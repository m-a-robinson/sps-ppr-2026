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tables/table26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63.xml" ContentType="application/vnd.openxmlformats-officedocument.spreadsheetml.table+xml"/>
  <Override PartName="/xl/queryTables/queryTable1.xml" ContentType="application/vnd.openxmlformats-officedocument.spreadsheetml.queryTable+xml"/>
  <Override PartName="/xl/tables/table264.xml" ContentType="application/vnd.openxmlformats-officedocument.spreadsheetml.table+xml"/>
  <Override PartName="/xl/queryTables/queryTable2.xml" ContentType="application/vnd.openxmlformats-officedocument.spreadsheetml.queryTable+xml"/>
  <Override PartName="/xl/tables/table265.xml" ContentType="application/vnd.openxmlformats-officedocument.spreadsheetml.table+xml"/>
  <Override PartName="/xl/queryTables/queryTable3.xml" ContentType="application/vnd.openxmlformats-officedocument.spreadsheetml.queryTable+xml"/>
  <Override PartName="/xl/tables/table266.xml" ContentType="application/vnd.openxmlformats-officedocument.spreadsheetml.table+xml"/>
  <Override PartName="/xl/queryTables/queryTable4.xml" ContentType="application/vnd.openxmlformats-officedocument.spreadsheetml.queryTable+xml"/>
  <Override PartName="/xl/tables/table267.xml" ContentType="application/vnd.openxmlformats-officedocument.spreadsheetml.table+xml"/>
  <Override PartName="/xl/queryTables/queryTable5.xml" ContentType="application/vnd.openxmlformats-officedocument.spreadsheetml.queryTable+xml"/>
  <Override PartName="/xl/tables/table268.xml" ContentType="application/vnd.openxmlformats-officedocument.spreadsheetml.table+xml"/>
  <Override PartName="/xl/queryTables/queryTable6.xml" ContentType="application/vnd.openxmlformats-officedocument.spreadsheetml.queryTable+xml"/>
  <Override PartName="/xl/tables/table269.xml" ContentType="application/vnd.openxmlformats-officedocument.spreadsheetml.table+xml"/>
  <Override PartName="/xl/queryTables/queryTable7.xml" ContentType="application/vnd.openxmlformats-officedocument.spreadsheetml.queryTable+xml"/>
  <Override PartName="/xl/tables/table270.xml" ContentType="application/vnd.openxmlformats-officedocument.spreadsheetml.table+xml"/>
  <Override PartName="/xl/queryTables/queryTable8.xml" ContentType="application/vnd.openxmlformats-officedocument.spreadsheetml.queryTable+xml"/>
  <Override PartName="/xl/tables/table271.xml" ContentType="application/vnd.openxmlformats-officedocument.spreadsheetml.table+xml"/>
  <Override PartName="/xl/queryTables/queryTable9.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updateLinks="always" codeName="ThisWorkbook" hidePivotFieldList="1" defaultThemeVersion="202300"/>
  <mc:AlternateContent xmlns:mc="http://schemas.openxmlformats.org/markup-compatibility/2006">
    <mc:Choice Requires="x15">
      <x15ac:absPath xmlns:x15ac="http://schemas.microsoft.com/office/spreadsheetml/2010/11/ac" url="https://ljmu.sharepoint.com/teams/SPSRe-validation2026Team/Shared Documents/Sport and Exercise Science/Module Documents/"/>
    </mc:Choice>
  </mc:AlternateContent>
  <xr:revisionPtr revIDLastSave="7157" documentId="8_{20AD63D6-7E4E-4EFA-BE5C-A6DF2DDE1EA8}" xr6:coauthVersionLast="47" xr6:coauthVersionMax="47" xr10:uidLastSave="{32589C5B-72FD-4620-9A84-CDCEAB94ABA0}"/>
  <bookViews>
    <workbookView xWindow="-21990" yWindow="0" windowWidth="21630" windowHeight="15585" firstSheet="5" activeTab="2" xr2:uid="{8D7B9789-0724-4FF2-A9AF-E462B2920CAC}"/>
  </bookViews>
  <sheets>
    <sheet name="Module" sheetId="68" r:id="rId1"/>
    <sheet name="4101SPS" sheetId="80" r:id="rId2"/>
    <sheet name="4091SPS" sheetId="106" r:id="rId3"/>
    <sheet name="4092SPS" sheetId="90" r:id="rId4"/>
    <sheet name="4102SPS" sheetId="89" r:id="rId5"/>
    <sheet name="4094SPS" sheetId="76" r:id="rId6"/>
    <sheet name="5091SPS" sheetId="105" r:id="rId7"/>
    <sheet name="5101SPS" sheetId="107" r:id="rId8"/>
    <sheet name="5102SPS" sheetId="83" r:id="rId9"/>
    <sheet name="5103SPS" sheetId="93" r:id="rId10"/>
    <sheet name="5092SPS" sheetId="86" r:id="rId11"/>
    <sheet name="6101SPS" sheetId="104" r:id="rId12"/>
    <sheet name="6103SPS" sheetId="109" r:id="rId13"/>
    <sheet name="6102SPS" sheetId="85" r:id="rId14"/>
    <sheet name="6104SPS" sheetId="84" r:id="rId15"/>
    <sheet name="6105SPS" sheetId="78" r:id="rId16"/>
    <sheet name="6106SPS" sheetId="87" r:id="rId17"/>
    <sheet name="6107SPS" sheetId="108" r:id="rId18"/>
    <sheet name="6108SPS" sheetId="81" r:id="rId19"/>
    <sheet name="6109SPS" sheetId="77" r:id="rId20"/>
    <sheet name="6091SPS" sheetId="82" r:id="rId21"/>
    <sheet name="6093SPS" sheetId="79" r:id="rId22"/>
    <sheet name="6094SPS" sheetId="92" r:id="rId23"/>
    <sheet name="6095SPS" sheetId="88" r:id="rId24"/>
    <sheet name="Module (22)" sheetId="95" r:id="rId25"/>
    <sheet name="Template" sheetId="7" r:id="rId26"/>
    <sheet name="LISTS" sheetId="4" r:id="rId27"/>
    <sheet name="DASH" sheetId="119" r:id="rId28"/>
    <sheet name="SES_Hours_Wide" sheetId="116" r:id="rId29"/>
    <sheet name="SES_SkillsCoverage" sheetId="118" r:id="rId30"/>
    <sheet name="SES_Module_Overview" sheetId="117" r:id="rId31"/>
    <sheet name="SES_Meta_Wide" sheetId="115" r:id="rId32"/>
    <sheet name="SES_Mapping" sheetId="114" r:id="rId33"/>
    <sheet name="SES_Hours" sheetId="113" r:id="rId34"/>
    <sheet name="SES_Assess" sheetId="112" r:id="rId35"/>
    <sheet name="SES_LO" sheetId="111" r:id="rId36"/>
    <sheet name="SES_Meta" sheetId="110" r:id="rId37"/>
  </sheets>
  <definedNames>
    <definedName name="_xlnm._FilterDatabase" localSheetId="27" hidden="1">DASH!$A$3:$I$31</definedName>
    <definedName name="ApplicationofKnowledge">_xlfn.ANCHORARRAY(LISTS!$O$37)</definedName>
    <definedName name="Communication">_xlfn.ANCHORARRAY(LISTS!$O$62)</definedName>
    <definedName name="DeliveryEnvironment">_xlfn.ANCHORARRAY(LISTS!$O$89)</definedName>
    <definedName name="ExternalData_1" localSheetId="36" hidden="1">SES_Meta!$A$1:$I$225</definedName>
    <definedName name="ExternalData_2" localSheetId="35" hidden="1">SES_LO!$A$1:$I$81</definedName>
    <definedName name="ExternalData_3" localSheetId="34" hidden="1">SES_Assess!$A$1:$M$57</definedName>
    <definedName name="ExternalData_4" localSheetId="33" hidden="1">SES_Hours!$A$1:$I$169</definedName>
    <definedName name="ExternalData_5" localSheetId="32" hidden="1">SES_Mapping!$A$1:$K$312</definedName>
    <definedName name="ExternalData_6" localSheetId="31" hidden="1">SES_Meta_Wide!$A$1:$N$29</definedName>
    <definedName name="ExternalData_7" localSheetId="28" hidden="1">SES_Hours_Wide!$A$1:$M$29</definedName>
    <definedName name="ExternalData_8" localSheetId="30" hidden="1">SES_Module_Overview!$A$1:$I$29</definedName>
    <definedName name="ExternalData_9" localSheetId="29" hidden="1">SES_SkillsCoverage!$A$1:$E$65</definedName>
    <definedName name="MgmtSelf">_xlfn.ANCHORARRAY(LISTS!$O$78)</definedName>
    <definedName name="ProblemSolving">_xlfn.ANCHORARRAY(LISTS!$O$70)</definedName>
    <definedName name="ProfRelationships">_xlfn.ANCHORARRAY(LISTS!$O$96)</definedName>
    <definedName name="ScientificKnowledge">_xlfn.ANCHORARRAY(LISTS!$O$21)</definedName>
    <definedName name="SelfEvaluation">_xlfn.ANCHORARRAY(LISTS!$O$53)</definedName>
    <definedName name="SkillNameMap">LISTS!$S$20:$T$30</definedName>
    <definedName name="TechnicalSkills">_xlfn.ANCHORARRAY(LISTS!$O$29)</definedName>
    <definedName name="UnderstandingResearch">_xlfn.ANCHORARRAY(LISTS!$O$45)</definedName>
  </definedNames>
  <calcPr calcId="191028"/>
  <pivotCaches>
    <pivotCache cacheId="6" r:id="rId38"/>
    <pivotCache cacheId="11" r:id="rId3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4" i="109" l="1"/>
  <c r="D2" i="109"/>
  <c r="C2" i="109"/>
  <c r="D24" i="108"/>
  <c r="D2" i="108"/>
  <c r="C2" i="108"/>
  <c r="D24" i="107"/>
  <c r="D2" i="107"/>
  <c r="C2" i="107"/>
  <c r="D24" i="106"/>
  <c r="D2" i="106"/>
  <c r="C2" i="106"/>
  <c r="C2" i="105"/>
  <c r="D2" i="105"/>
  <c r="D24" i="105"/>
  <c r="D24" i="104"/>
  <c r="D2" i="104"/>
  <c r="C2" i="104"/>
  <c r="D24" i="95"/>
  <c r="D2" i="95"/>
  <c r="C2" i="95"/>
  <c r="D24" i="93"/>
  <c r="D2" i="93"/>
  <c r="C2" i="93"/>
  <c r="D24" i="92"/>
  <c r="D2" i="92"/>
  <c r="C2" i="92"/>
  <c r="D24" i="90"/>
  <c r="D2" i="90"/>
  <c r="C2" i="90"/>
  <c r="D24" i="89"/>
  <c r="D2" i="89"/>
  <c r="C2" i="89"/>
  <c r="D24" i="88"/>
  <c r="D2" i="88"/>
  <c r="C2" i="88"/>
  <c r="D24" i="87"/>
  <c r="D2" i="87"/>
  <c r="C2" i="87"/>
  <c r="D24" i="86"/>
  <c r="D2" i="86"/>
  <c r="C2" i="86"/>
  <c r="D24" i="85"/>
  <c r="D2" i="85"/>
  <c r="C2" i="85"/>
  <c r="D24" i="84"/>
  <c r="D2" i="84"/>
  <c r="C2" i="84"/>
  <c r="D24" i="83"/>
  <c r="D2" i="83"/>
  <c r="C2" i="83"/>
  <c r="D24" i="82"/>
  <c r="D2" i="82"/>
  <c r="C2" i="82"/>
  <c r="D24" i="81"/>
  <c r="D2" i="81"/>
  <c r="C2" i="81"/>
  <c r="D24" i="80"/>
  <c r="D2" i="80"/>
  <c r="C2" i="80"/>
  <c r="D24" i="79"/>
  <c r="D2" i="79"/>
  <c r="C2" i="79"/>
  <c r="D24" i="78"/>
  <c r="D2" i="78"/>
  <c r="C2" i="78"/>
  <c r="D24" i="77"/>
  <c r="D2" i="77"/>
  <c r="C2" i="77"/>
  <c r="D24" i="76"/>
  <c r="D2" i="76"/>
  <c r="C2" i="76"/>
  <c r="D24" i="68"/>
  <c r="D2" i="68"/>
  <c r="C2" i="68"/>
  <c r="D24" i="7"/>
  <c r="D2" i="7"/>
  <c r="C2" i="7"/>
  <c r="O96" i="4" a="1"/>
  <c r="O89" i="4" a="1"/>
  <c r="O78" i="4" a="1"/>
  <c r="O70" i="4" a="1"/>
  <c r="O62" i="4" a="1"/>
  <c r="O53" i="4" a="1"/>
  <c r="O45" i="4" a="1"/>
  <c r="O37" i="4" a="1"/>
  <c r="O29" i="4" a="1"/>
  <c r="O21" i="4" a="1"/>
  <c r="O96" i="4"/>
  <c r="O89" i="4"/>
  <c r="O78" i="4"/>
  <c r="O70" i="4"/>
  <c r="O62" i="4"/>
  <c r="O53" i="4"/>
  <c r="O45" i="4"/>
  <c r="O37" i="4"/>
  <c r="O29" i="4"/>
  <c r="O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tc={3645A966-E75C-4267-9C38-FBA7FE00828B}</author>
    <author>tc={F66AD8D5-B5C5-4755-B548-7270B05FF0CB}</author>
    <author>tc={3E8F4BD7-486E-4104-BC82-62579504483E}</author>
  </authors>
  <commentList>
    <comment ref="D20" authorId="0" shapeId="0" xr:uid="{3645A966-E75C-4267-9C38-FBA7FE00828B}">
      <text>
        <t>[Threaded comment]
Your version of Excel allows you to read this threaded comment; however, any edits to it will get removed if the file is opened in a newer version of Excel. Learn more: https://go.microsoft.com/fwlink/?linkid=870924
Comment:
    Peer Review Seminar</t>
      </text>
    </comment>
    <comment ref="D22" authorId="1" shapeId="0" xr:uid="{F66AD8D5-B5C5-4755-B548-7270B05FF0CB}">
      <text>
        <t>[Threaded comment]
Your version of Excel allows you to read this threaded comment; however, any edits to it will get removed if the file is opened in a newer version of Excel. Learn more: https://go.microsoft.com/fwlink/?linkid=870924
Comment:
    Data Analysis Computer Practical</t>
      </text>
    </comment>
    <comment ref="D23" authorId="2" shapeId="0" xr:uid="{3E8F4BD7-486E-4104-BC82-62579504483E}">
      <text>
        <t>[Threaded comment]
Your version of Excel allows you to read this threaded comment; however, any edits to it will get removed if the file is opened in a newer version of Excel. Learn more: https://go.microsoft.com/fwlink/?linkid=870924
Comment:
    Synchronous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tc={79432D10-3ACF-47B8-889A-D1492EDEAE22}</author>
  </authors>
  <commentList>
    <comment ref="D32" authorId="0" shapeId="0" xr:uid="{79432D10-3ACF-47B8-889A-D1492EDEAE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Agree addition ?
@Robinson, Mark @Maganaris, Constantinos 
Reply:
    Yes fine by me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tc={4E91AFC5-1741-4F40-9C85-8F128F5276C2}</author>
  </authors>
  <commentList>
    <comment ref="E39" authorId="0" shapeId="0" xr:uid="{4E91AFC5-1741-4F40-9C85-8F128F5276C2}">
      <text>
        <t>[Threaded comment]
Your version of Excel allows you to read this threaded comment; however, any edits to it will get removed if the file is opened in a newer version of Excel. Learn more: https://go.microsoft.com/fwlink/?linkid=870924
Comment:
    In person exam - cant edit this box sorry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tc={CF96CFBA-D202-EA45-BC96-05784F2960B9}</author>
    <author>tc={3AB5123D-DF87-9644-840C-6807885DA646}</author>
    <author>tc={3DBEF854-8471-DF46-B18D-AC05DB307F33}</author>
    <author>tc={5C5F7A89-0EDA-48CB-819D-1968E0B25D3B}</author>
  </authors>
  <commentList>
    <comment ref="D20" authorId="0" shapeId="0" xr:uid="{CF96CFBA-D202-EA45-BC96-05784F2960B9}">
      <text>
        <t>[Threaded comment]
Your version of Excel allows you to read this threaded comment; however, any edits to it will get removed if the file is opened in a newer version of Excel. Learn more: https://go.microsoft.com/fwlink/?linkid=870924
Comment:
    These refer to the online drop in classes each week, should these be listed as online?</t>
      </text>
    </comment>
    <comment ref="D23" authorId="1" shapeId="0" xr:uid="{3AB5123D-DF87-9644-840C-6807885DA646}">
      <text>
        <t>[Threaded comment]
Your version of Excel allows you to read this threaded comment; however, any edits to it will get removed if the file is opened in a newer version of Excel. Learn more: https://go.microsoft.com/fwlink/?linkid=870924
Comment:
    These refer to the flipped lecture content- should these be listed as lectures?</t>
      </text>
    </comment>
    <comment ref="D24" authorId="2" shapeId="0" xr:uid="{3DBEF854-8471-DF46-B18D-AC05DB307F33}">
      <text>
        <t xml:space="preserve">[Threaded comment]
Your version of Excel allows you to read this threaded comment; however, any edits to it will get removed if the file is opened in a newer version of Excel. Learn more: https://go.microsoft.com/fwlink/?linkid=870924
Comment:
    Is this too high now? If so the online drop ins can be swapped to 2 x 30min sessions, rather than 2 x 60min sessions. (divided into 2 sessions to accomodate the L6 timetable). </t>
      </text>
    </comment>
    <comment ref="E38" authorId="3" shapeId="0" xr:uid="{5C5F7A89-0EDA-48CB-819D-1968E0B25D3B}">
      <text>
        <t>[Threaded comment]
Your version of Excel allows you to read this threaded comment; however, any edits to it will get removed if the file is opened in a newer version of Excel. Learn more: https://go.microsoft.com/fwlink/?linkid=870924
Comment:
    This is a portfolio made up of three mini essays.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1EFCAE-6867-4369-A3A2-878D2CD4400C}" keepAlive="1" name="Query - fnItemTable" description="Connection to the 'fnItemTable' query in the workbook." type="5" refreshedVersion="0" background="1">
    <dbPr connection="Provider=Microsoft.Mashup.OleDb.1;Data Source=$Workbook$;Location=fnItemTable;Extended Properties=&quot;&quot;" command="SELECT * FROM [fnItemTable]"/>
  </connection>
  <connection id="2" xr16:uid="{2D2C2781-E2B3-4F2B-B64A-B48D87B1362F}" keepAlive="1" name="Query - fnModuleOverview" description="Connection to the 'fnModuleOverview' query in the workbook." type="5" refreshedVersion="0" background="1">
    <dbPr connection="Provider=Microsoft.Mashup.OleDb.1;Data Source=$Workbook$;Location=fnModuleOverview;Extended Properties=&quot;&quot;" command="SELECT * FROM [fnModuleOverview]"/>
  </connection>
  <connection id="3" xr16:uid="{ED8E257C-611A-4D22-9B96-BDE2BEBEA013}" keepAlive="1" name="Query - fnParseTableName" description="Connection to the 'fnParseTableName' query in the workbook." type="5" refreshedVersion="0" background="1">
    <dbPr connection="Provider=Microsoft.Mashup.OleDb.1;Data Source=$Workbook$;Location=fnParseTableName;Extended Properties=&quot;&quot;" command="SELECT * FROM [fnParseTableName]"/>
  </connection>
  <connection id="4" xr16:uid="{BA8101B4-602B-44C3-99FA-13D3C073F8B4}" keepAlive="1" name="Query - fnPivotKeyValue" description="Connection to the 'fnPivotKeyValue' query in the workbook." type="5" refreshedVersion="0" background="1">
    <dbPr connection="Provider=Microsoft.Mashup.OleDb.1;Data Source=$Workbook$;Location=fnPivotKeyValue;Extended Properties=&quot;&quot;" command="SELECT * FROM [fnPivotKeyValue]"/>
  </connection>
  <connection id="5" xr16:uid="{3BB015D6-ED31-4D13-A376-1AA58FA2D48B}" keepAlive="1" name="Query - fnSkillsCoverage" description="Connection to the 'fnSkillsCoverage' query in the workbook." type="5" refreshedVersion="0" background="1">
    <dbPr connection="Provider=Microsoft.Mashup.OleDb.1;Data Source=$Workbook$;Location=fnSkillsCoverage;Extended Properties=&quot;&quot;" command="SELECT * FROM [fnSkillsCoverage]"/>
  </connection>
  <connection id="6" xr16:uid="{EF984BC6-AD59-406B-9F2B-26A62EFC0AE5}" keepAlive="1" name="Query - GetRegisterFileContent" description="Connection to the 'GetRegisterFileContent' query in the workbook." type="5" refreshedVersion="0" background="1">
    <dbPr connection="Provider=Microsoft.Mashup.OleDb.1;Data Source=$Workbook$;Location=GetRegisterFileContent;Extended Properties=&quot;&quot;" command="SELECT * FROM [GetRegisterFileContent]"/>
  </connection>
  <connection id="7" xr16:uid="{E86AAD0B-950E-4BD5-B6C3-BA6800842EC0}" keepAlive="1" name="Query - GetWorkbookFiles" description="Connection to the 'GetWorkbookFiles' query in the workbook." type="5" refreshedVersion="0" background="1">
    <dbPr connection="Provider=Microsoft.Mashup.OleDb.1;Data Source=$Workbook$;Location=GetWorkbookFiles;Extended Properties=&quot;&quot;" command="SELECT * FROM [GetWorkbookFiles]"/>
  </connection>
  <connection id="8" xr16:uid="{06727D3C-698A-45B7-B890-D0DD9940EF9E}" keepAlive="1" name="Query - GraduateSkillsCatalogue" description="Connection to the 'GraduateSkillsCatalogue' query in the workbook." type="5" refreshedVersion="0" background="1">
    <dbPr connection="Provider=Microsoft.Mashup.OleDb.1;Data Source=$Workbook$;Location=GraduateSkillsCatalogue;Extended Properties=&quot;&quot;" command="SELECT * FROM [GraduateSkillsCatalogue]"/>
  </connection>
  <connection id="9" xr16:uid="{6E45512B-CC53-4589-A3FD-D85E80DE4134}" keepAlive="1" name="Query - ModuleRegister" description="Connection to the 'ModuleRegister' query in the workbook." type="5" refreshedVersion="0" background="1">
    <dbPr connection="Provider=Microsoft.Mashup.OleDb.1;Data Source=$Workbook$;Location=ModuleRegister;Extended Properties=&quot;&quot;" command="SELECT * FROM [ModuleRegister]"/>
  </connection>
  <connection id="10" xr16:uid="{70AFD8C4-03D5-445E-BE47-8EA1777FCF37}" keepAlive="1" name="Query - RegisterBlocks" description="Connection to the 'RegisterBlocks' query in the workbook." type="5" refreshedVersion="0" background="1">
    <dbPr connection="Provider=Microsoft.Mashup.OleDb.1;Data Source=$Workbook$;Location=RegisterBlocks;Extended Properties=&quot;&quot;" command="SELECT * FROM [RegisterBlocks]"/>
  </connection>
  <connection id="11" xr16:uid="{FB27829F-3C77-4C43-AB1E-19CA959B4D39}" keepAlive="1" name="Query - RelevantItems" description="Connection to the 'RelevantItems' query in the workbook." type="5" refreshedVersion="0" background="1">
    <dbPr connection="Provider=Microsoft.Mashup.OleDb.1;Data Source=$Workbook$;Location=RelevantItems;Extended Properties=&quot;&quot;" command="SELECT * FROM [RelevantItems]"/>
  </connection>
  <connection id="12" xr16:uid="{A5C36A7D-C2A9-4BBE-B793-995C2FE41973}" keepAlive="1" name="Query - SES_Assess" description="Connection to the 'SES_Assess' query in the workbook." type="5" refreshedVersion="8" background="1" saveData="1">
    <dbPr connection="Provider=Microsoft.Mashup.OleDb.1;Data Source=$Workbook$;Location=SES_Assess;Extended Properties=&quot;&quot;" command="SELECT * FROM [SES_Assess]"/>
  </connection>
  <connection id="13" xr16:uid="{585AA2EF-3C8D-4965-B7E4-AC3C6C3C2660}" keepAlive="1" name="Query - SES_Hours" description="Connection to the 'SES_Hours' query in the workbook." type="5" refreshedVersion="8" background="1" saveData="1">
    <dbPr connection="Provider=Microsoft.Mashup.OleDb.1;Data Source=$Workbook$;Location=SES_Hours;Extended Properties=&quot;&quot;" command="SELECT * FROM [SES_Hours]"/>
  </connection>
  <connection id="14" xr16:uid="{66B39D3E-C31D-49E7-BF8F-3E7BD18BD95D}" keepAlive="1" name="Query - SES_Hours_Wide" description="Connection to the 'SES_Hours_Wide' query in the workbook." type="5" refreshedVersion="8" background="1" saveData="1">
    <dbPr connection="Provider=Microsoft.Mashup.OleDb.1;Data Source=$Workbook$;Location=SES_Hours_Wide;Extended Properties=&quot;&quot;" command="SELECT * FROM [SES_Hours_Wide]"/>
  </connection>
  <connection id="15" xr16:uid="{F8178110-CB34-4FAA-9CEF-9FA6C071A1FC}" keepAlive="1" name="Query - SES_LO" description="Connection to the 'SES_LO' query in the workbook." type="5" refreshedVersion="8" background="1" saveData="1">
    <dbPr connection="Provider=Microsoft.Mashup.OleDb.1;Data Source=$Workbook$;Location=SES_LO;Extended Properties=&quot;&quot;" command="SELECT * FROM [SES_LO]"/>
  </connection>
  <connection id="16" xr16:uid="{4F6366BD-C933-4AAF-9D59-07C39EE26580}" keepAlive="1" name="Query - SES_Mapping" description="Connection to the 'SES_Mapping' query in the workbook." type="5" refreshedVersion="8" background="1" saveData="1">
    <dbPr connection="Provider=Microsoft.Mashup.OleDb.1;Data Source=$Workbook$;Location=SES_Mapping;Extended Properties=&quot;&quot;" command="SELECT * FROM [SES_Mapping]"/>
  </connection>
  <connection id="17" xr16:uid="{6EB5116C-C8F9-4569-BF5E-5E3F187274A3}" keepAlive="1" name="Query - SES_Meta" description="Connection to the 'SES_Meta' query in the workbook." type="5" refreshedVersion="8" background="1" saveData="1">
    <dbPr connection="Provider=Microsoft.Mashup.OleDb.1;Data Source=$Workbook$;Location=SES_Meta;Extended Properties=&quot;&quot;" command="SELECT * FROM [SES_Meta]"/>
  </connection>
  <connection id="18" xr16:uid="{D8AAC6DC-D138-427A-811E-BA255588DF2C}" keepAlive="1" name="Query - SES_Meta_Wide" description="Connection to the 'SES_Meta_Wide' query in the workbook." type="5" refreshedVersion="8" background="1" saveData="1">
    <dbPr connection="Provider=Microsoft.Mashup.OleDb.1;Data Source=$Workbook$;Location=SES_Meta_Wide;Extended Properties=&quot;&quot;" command="SELECT * FROM [SES_Meta_Wide]"/>
  </connection>
  <connection id="19" xr16:uid="{17B9B98F-EE61-42BC-AFAD-93439DC866B2}" keepAlive="1" name="Query - SES_Module_Overview" description="Connection to the 'SES_Module_Overview' query in the workbook." type="5" refreshedVersion="8" background="1" saveData="1">
    <dbPr connection="Provider=Microsoft.Mashup.OleDb.1;Data Source=$Workbook$;Location=SES_Module_Overview;Extended Properties=&quot;&quot;" command="SELECT * FROM [SES_Module_Overview]"/>
  </connection>
  <connection id="20" xr16:uid="{A6FA6A43-C8AD-4DA0-A88C-92F783A32A32}" keepAlive="1" name="Query - SES_SkillsCoverage" description="Connection to the 'SES_SkillsCoverage' query in the workbook." type="5" refreshedVersion="8" background="1" saveData="1">
    <dbPr connection="Provider=Microsoft.Mashup.OleDb.1;Data Source=$Workbook$;Location=SES_SkillsCoverage;Extended Properties=&quot;&quot;" command="SELECT * FROM [SES_SkillsCoverage]"/>
  </connection>
  <connection id="21" xr16:uid="{2B4AF151-008D-4FEF-A7F7-12412358B85A}" keepAlive="1" name="Query - SharePointSiteRoot" description="Connection to the 'SharePointSiteRoot' query in the workbook." type="5" refreshedVersion="0" background="1">
    <dbPr connection="Provider=Microsoft.Mashup.OleDb.1;Data Source=$Workbook$;Location=SharePointSiteRoot;Extended Properties=&quot;&quot;" command="SELECT * FROM [SharePointSiteRoot]"/>
  </connection>
  <connection id="22" xr16:uid="{DAA4DE1F-5E42-4B60-9FCD-76A414294387}" keepAlive="1" name="Query - SourceTables" description="Connection to the 'SourceTables' query in the workbook." type="5" refreshedVersion="0" background="1">
    <dbPr connection="Provider=Microsoft.Mashup.OleDb.1;Data Source=$Workbook$;Location=SourceTables;Extended Properties=&quot;&quot;" command="SELECT * FROM [SourceTables]"/>
  </connection>
  <connection id="23" xr16:uid="{3DE9C0B1-9EF3-4D5A-A896-DD2967490A9F}" keepAlive="1" name="Query - SourceTablesParsed" description="Connection to the 'SourceTablesParsed' query in the workbook." type="5" refreshedVersion="0" background="1">
    <dbPr connection="Provider=Microsoft.Mashup.OleDb.1;Data Source=$Workbook$;Location=SourceTablesParsed;Extended Properties=&quot;&quot;" command="SELECT * FROM [SourceTablesPars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<sst xmlns="http://schemas.openxmlformats.org/spreadsheetml/2006/main" count="13024" uniqueCount="1424">
  <si>
    <t>Module Information</t>
  </si>
  <si>
    <t>Module Data</t>
  </si>
  <si>
    <t>Details</t>
  </si>
  <si>
    <t>Aims</t>
  </si>
  <si>
    <t>Module Code</t>
  </si>
  <si>
    <t>SEM401</t>
  </si>
  <si>
    <t>Module Title</t>
  </si>
  <si>
    <t>Credits</t>
  </si>
  <si>
    <t>Semester</t>
  </si>
  <si>
    <t>Outline Syllabus</t>
  </si>
  <si>
    <t>Level</t>
  </si>
  <si>
    <t>Module Leader</t>
  </si>
  <si>
    <t>Module Type</t>
  </si>
  <si>
    <t>Programme(s)</t>
  </si>
  <si>
    <t>Module Overview</t>
  </si>
  <si>
    <t>Contact Hours</t>
  </si>
  <si>
    <t>Component</t>
  </si>
  <si>
    <t>Lecture</t>
  </si>
  <si>
    <t>Seminar</t>
  </si>
  <si>
    <t>Practical</t>
  </si>
  <si>
    <t>Workshop</t>
  </si>
  <si>
    <t>Additional Information/Notes</t>
  </si>
  <si>
    <t>Online</t>
  </si>
  <si>
    <t>Total</t>
  </si>
  <si>
    <t>Learning Outcomes</t>
  </si>
  <si>
    <t>After completing the module the student should be able to:</t>
  </si>
  <si>
    <t>LO Number</t>
  </si>
  <si>
    <t>LO Description</t>
  </si>
  <si>
    <t>LO1</t>
  </si>
  <si>
    <t>LO2</t>
  </si>
  <si>
    <t>LO3</t>
  </si>
  <si>
    <t>LO4</t>
  </si>
  <si>
    <t>LO5</t>
  </si>
  <si>
    <t>Assessment</t>
  </si>
  <si>
    <t>Assessment No</t>
  </si>
  <si>
    <t>Assessment Type</t>
  </si>
  <si>
    <t>Assessment Specific</t>
  </si>
  <si>
    <t>Assessment Description</t>
  </si>
  <si>
    <t>Weighting</t>
  </si>
  <si>
    <t>Due Week</t>
  </si>
  <si>
    <t>A1</t>
  </si>
  <si>
    <t>Presentation</t>
  </si>
  <si>
    <t>Group Presentation</t>
  </si>
  <si>
    <t>Group presentation on biomechanical principles in weightlifting</t>
  </si>
  <si>
    <t>A2</t>
  </si>
  <si>
    <t>A3</t>
  </si>
  <si>
    <t>A4</t>
  </si>
  <si>
    <t>Assessment Mapping</t>
  </si>
  <si>
    <t>Graduate Skills Category</t>
  </si>
  <si>
    <t>Graduate Skill</t>
  </si>
  <si>
    <t>Scientific knowledge</t>
  </si>
  <si>
    <t>Information retrieval</t>
  </si>
  <si>
    <t>Scientific literacy</t>
  </si>
  <si>
    <t>Application of knowledge and skills</t>
  </si>
  <si>
    <t>Decision-making</t>
  </si>
  <si>
    <t>Communication</t>
  </si>
  <si>
    <t>Oral presentation</t>
  </si>
  <si>
    <t>Technical skills</t>
  </si>
  <si>
    <t>Equipment and technology utilisation</t>
  </si>
  <si>
    <t>Weekly Content</t>
  </si>
  <si>
    <t xml:space="preserve">Semester </t>
  </si>
  <si>
    <t>Week Number</t>
  </si>
  <si>
    <t>Weekly Content 1</t>
  </si>
  <si>
    <t>Weekly Content 2</t>
  </si>
  <si>
    <t>Weekly Content 3</t>
  </si>
  <si>
    <t>Introduction to biomechanics</t>
  </si>
  <si>
    <t>Linear kinematics</t>
  </si>
  <si>
    <t>2D motion analysis practical</t>
  </si>
  <si>
    <t>Angular kinematics</t>
  </si>
  <si>
    <t>Forces and Newton’s laws</t>
  </si>
  <si>
    <t>Force platform practical</t>
  </si>
  <si>
    <t>Work, energy, and power</t>
  </si>
  <si>
    <t>Momentum and impulse</t>
  </si>
  <si>
    <t>Fluid mechanics</t>
  </si>
  <si>
    <t>Tissue mechanics</t>
  </si>
  <si>
    <t>Biomechanical modelling</t>
  </si>
  <si>
    <t>Measurement techniques</t>
  </si>
  <si>
    <t xml:space="preserve">Markerless practical </t>
  </si>
  <si>
    <t>Data analysis</t>
  </si>
  <si>
    <t>Revision / assessment preparation</t>
  </si>
  <si>
    <t>4101SPS</t>
  </si>
  <si>
    <t>Support successful transition and belonging. Introduce the core Sport and Exercise Science disciplines.
Develop professional identity and foundational competencies.
Develop academic, digital and employability skills.
Embed evidence-informed practice, responsible AI, sustainability and inclusion.
Prepare students for Level 5.</t>
  </si>
  <si>
    <t>Professional Practice in Sport and Exercise Science 1</t>
  </si>
  <si>
    <t>Transition and belonging
Exercise Physiology Spotlight
Biomechanics Spotlight
Sport &amp; Exercise Psychology Spotlight
Physical Activity Spotlight
Professional behaviours and ethics
Evidence-informed practice
Academic Skills CPD
Responsible AI
Sustainability and EDI
Employability
Reflection and Professional Development Portfolio</t>
  </si>
  <si>
    <t>Conor Heeney</t>
  </si>
  <si>
    <t>Prof Practice Strand</t>
  </si>
  <si>
    <t>Sport and Exercise Science</t>
  </si>
  <si>
    <t>This module provides the developmental foundation for the Sport and Exercise Science programme, supporting transition into higher education while introducing the core disciplines, developing professional identity, and establishing the knowledge, behaviours and competencies required of contemporary Sport and Exercise Scientists through a Professional Development Portfolio.</t>
  </si>
  <si>
    <t>This module provides the developmental foundation for the Sport and Exercise Science programme by supporting students' transition into higher education whilst fostering their identity as developing sport and exercise scientists. It integrates professional practice, disciplinary exploration, academic development and employability.</t>
  </si>
  <si>
    <t>A distinctive feature of the module is the use of Sport Science Spotlight weeks, introducing students to the core disciplines of Exercise Physiology, Biomechanics, Sport and Exercise Psychology, and Physical Activity through authentic, profession-focused learning experiences that demonstrate the impact and career opportunities within each discipline.</t>
  </si>
  <si>
    <t>Assessment is centred on a Professional Development Portfolio and skills audit presentation, which enables students to evidence their academic, personal and professional development through discipline-based activities, reflective practice, and Academic Achievement CPD. The module adopts an active, student-centred approach and is explicitly aligned with the programme's Professional Practice Competency Framework.</t>
  </si>
  <si>
    <t xml:space="preserve">CUES Mapping: 4.2.4 T, 4.3.1 T, 4.3.2 T, 4.3.4 A, 4.3.5 A, 4.3.7 D, </t>
  </si>
  <si>
    <t>Identify and explain the professional roles, working environments, knowledge, skills, behaviours and graduate competencies required in contemporary Sport and Exercise Science.</t>
  </si>
  <si>
    <t>Evaluate current strengths, development needs and engagement to formulate a realistic, evidence-informed personal and professional development plan.</t>
  </si>
  <si>
    <t>Communicate and justify professional development, experiences and application of learning through live professional discussion, supported by evidence of continuing professional development.</t>
  </si>
  <si>
    <t>Individual Presentation</t>
  </si>
  <si>
    <t>Approved job-role skills audit: 5-minute individual presentation followed by 5 minutes of personal tutor questions. Students compare their current evidence against the role requirements and present a realistic, time-bound development plan.</t>
  </si>
  <si>
    <t>Portfolio</t>
  </si>
  <si>
    <t>Reflection</t>
  </si>
  <si>
    <t>Professional Development Portfolio comprising evidence of two specified professional certificates (10% each) and a 10-minute individual personal tutor viva (40%) covering development, engagement and attendance reflection, disciplinary learning, experience, professional behaviours and future action planning.</t>
  </si>
  <si>
    <t>Self-evaluation and professional development</t>
  </si>
  <si>
    <t>Reflective practice</t>
  </si>
  <si>
    <t>Understanding the delivery environment</t>
  </si>
  <si>
    <t>Professional awareness</t>
  </si>
  <si>
    <t>Interpersonal communication</t>
  </si>
  <si>
    <t>Personal development planning</t>
  </si>
  <si>
    <t>Management of self and others</t>
  </si>
  <si>
    <t>Time management</t>
  </si>
  <si>
    <t>Lecture (2hr) - Becoming a Sport Scientist 
Professional identity, graduate competencies, introduction to the profession and programme. Professional Competency: Professional identity &amp; management of self</t>
  </si>
  <si>
    <r>
      <rPr>
        <sz val="11"/>
        <color rgb="FF000000"/>
        <rFont val="Aptos Narrow"/>
        <family val="2"/>
      </rPr>
      <t>Workshop - Transition to university, Canvas, library, academic integrity, Portfolio introduction. AI</t>
    </r>
    <r>
      <rPr>
        <b/>
        <sz val="11"/>
        <color rgb="FF000000"/>
        <rFont val="Aptos Narrow"/>
        <family val="2"/>
      </rPr>
      <t>:</t>
    </r>
    <r>
      <rPr>
        <sz val="11"/>
        <color rgb="FF000000"/>
        <rFont val="Aptos Narrow"/>
        <family val="2"/>
      </rPr>
      <t xml:space="preserve"> Responsible use of AI at university.</t>
    </r>
  </si>
  <si>
    <t>Seminar (1hr) - Personal tutor meeting, goal setting and PDP. Employability: Career pathways. Sustainability: What is sustainable professional practice?</t>
  </si>
  <si>
    <t>Lecture / Guest Session (2hr) – Professional Journey and Reflective Practice: career decisions, setbacks, feedback, values, resilience and continuing development, split between lecturer and a senior practitioner or alumnus</t>
  </si>
  <si>
    <t>Personal Tutor Meeting (1hr) - Introduction, transition and professional identity: expectations, support, initial career interests, strengths and development priorities.</t>
  </si>
  <si>
    <t>Formative activity  – Students generate questions in advance and identify one action arising from the session.</t>
  </si>
  <si>
    <t>Lecture - Exercise Physiology Spotlight – Why physiology matters. Professional Competency: Scientific knowledge, Employability: Careers in physiology</t>
  </si>
  <si>
    <t>Physiology practical and communication with clients. Professional Competency: Communication &amp; technical skills</t>
  </si>
  <si>
    <t>Workshop – Presentation &amp; communication skills, introduction to presentation assessment</t>
  </si>
  <si>
    <t>Lecture (2hr): Evidence-Informed Practice – Using science to make decisions. Professional Competency: Research capability</t>
  </si>
  <si>
    <r>
      <rPr>
        <sz val="11"/>
        <color rgb="FF000000"/>
        <rFont val="Aptos Narrow"/>
        <family val="2"/>
        <scheme val="minor"/>
      </rPr>
      <t>Excel workshop analysing physiological data. Professional Competency: Problem solving &amp; data analysis. AI</t>
    </r>
    <r>
      <rPr>
        <b/>
        <sz val="11"/>
        <color rgb="FF000000"/>
        <rFont val="Aptos Narrow"/>
        <family val="2"/>
        <scheme val="minor"/>
      </rPr>
      <t>:</t>
    </r>
    <r>
      <rPr>
        <sz val="11"/>
        <color rgb="FF000000"/>
        <rFont val="Aptos Narrow"/>
        <family val="2"/>
        <scheme val="minor"/>
      </rPr>
      <t xml:space="preserve"> Using AI to support literature searching and checking data interpretation.</t>
    </r>
  </si>
  <si>
    <t>Seminar - Reflection on evidence-informed practice</t>
  </si>
  <si>
    <r>
      <rPr>
        <sz val="11"/>
        <color rgb="FF000000"/>
        <rFont val="Aptos Narrow"/>
        <family val="2"/>
      </rPr>
      <t>Lecture (2hr): Biomechanics Spotlight – Movement, injury prevention and technology. Professional Competency</t>
    </r>
    <r>
      <rPr>
        <b/>
        <sz val="11"/>
        <color rgb="FF000000"/>
        <rFont val="Aptos Narrow"/>
        <family val="2"/>
      </rPr>
      <t>:</t>
    </r>
    <r>
      <rPr>
        <sz val="11"/>
        <color rgb="FF000000"/>
        <rFont val="Aptos Narrow"/>
        <family val="2"/>
      </rPr>
      <t xml:space="preserve"> Application of knowledge</t>
    </r>
  </si>
  <si>
    <t>Biomechanics practical</t>
  </si>
  <si>
    <t>Workshop - Sustainability: Sustainable technologies, equipment and innovation in biomechanics.</t>
  </si>
  <si>
    <t>Professional Identity and Careers – CASES, career pathways and employability. Professional Competency: Management of self</t>
  </si>
  <si>
    <t>Workshop: Future Focus, CV development, LinkedIn, networking.</t>
  </si>
  <si>
    <t>Assessment workshop - practice presentations and portfolio check in</t>
  </si>
  <si>
    <t>DIRECTED STUDY WEEK</t>
  </si>
  <si>
    <t>Lecture (2hr) - Sport &amp; Exercise Psychology Spotlight – Behaviour change and performance. Professional Competency: Communication/Listening</t>
  </si>
  <si>
    <t>Workshop / Personal Tutor Assessment (1hr) – Assessment 1: 5-minute individual presentation and 5 minutes of questions within the personal tutor.</t>
  </si>
  <si>
    <t>Directed online activity (1hr) – Submit presentation evidence, review feedback and update the development plan.</t>
  </si>
  <si>
    <t>Lecture. Physical Activity &amp; Health Spotlight – Population health and public health. Professional Competency: Application of knowledge</t>
  </si>
  <si>
    <t>Workshop: Community case studies and physical activity assessment. Professional Competency: Delivery environment.</t>
  </si>
  <si>
    <t>Academic writing seminar. Employability: Careers in public health. Sustainability: Active travel, green exercise and social prescribing.</t>
  </si>
  <si>
    <t>Lecture (2hr) – AI, Digital Literacy and Evidence-Informed Practice: appropriate use, limitations, bias, data protection, verification and professional accountability.</t>
  </si>
  <si>
    <t>Workshop (1hr) – AI-output audit: verify, challenge and improve a sport and exercise science response using evidence and professional judgement.</t>
  </si>
  <si>
    <t>Directed online activity (1hr) – Complete or progress the specified professional certification and upload evidence to the portfolio.</t>
  </si>
  <si>
    <t>Lecture (2hr) – Review, Progression and Preparing for Semester 2 and  Level 5: using feedback, maintaining engagement, accessing support and carrying the development plan forward.</t>
  </si>
  <si>
    <t>Workshop / Personal Tutor Assessment (1hr) – Assessment 2: certificate completion check followed by a 10-minute individual viva.</t>
  </si>
  <si>
    <t>Directed online activity (1hr) – Final portfolio submission and updated personal and professional development plan.</t>
  </si>
  <si>
    <t>Lecture / Guest Session (2hr) – Professional Journey and Reflective Practice: career decisions, setbacks, feedback, values, resilience and continuing development, led by a senior practitioner or alumnus.</t>
  </si>
  <si>
    <t>Formative activity – Students generate questions in advance and identify one action arising from the session.</t>
  </si>
  <si>
    <t>A1 is an online test with no statement of how it is invigilated. A2 now says it is taken in person and invigilated; say the same for A1, or redesign it (Assessment Design principle 7).</t>
  </si>
  <si>
    <t>Add CUES mapping to notes</t>
  </si>
  <si>
    <t>4091SPS</t>
  </si>
  <si>
    <t>Research Methods 1</t>
  </si>
  <si>
    <t>The aim of this module is to introduce the fundamental concepts of research methods, along with covering the basic application and interpretation of various data analysis techniques.</t>
  </si>
  <si>
    <t>Research methods (e.g. Descriptive / experimental research, internal / extrenal validity)</t>
  </si>
  <si>
    <t>Theodoors Bampouras</t>
  </si>
  <si>
    <t>Fundamentals of statistical assessment (e.g. data handling, probability, basic parametric difference and correlation tests)</t>
  </si>
  <si>
    <t>Research Strand</t>
  </si>
  <si>
    <t>Qualitative methods and analysis (e.g. step by step process)</t>
  </si>
  <si>
    <t>All Programmes</t>
  </si>
  <si>
    <t>The module will cover the fundamentals of reseacrh methods, so as to introduce the students to the concepts of scientific research and its methods. It will also introduce the students into basic statistical analysis. The students will develop a critical analytical thinking towards reading reseacrh and devlpoing their own project at L6. Lectures will be used to deliver the main material with activities and tasks as part of the lecture. Computer practicals will be used to teach students how to apply, interpret and report statistical analysis, as part of these session students will be taught how to use a statistical software package.</t>
  </si>
  <si>
    <t>Formative practice quizzes are released each week with questions on the content delivered. These questions serve three purposes, a) enable students to assess their understanding of the material delivered, b) familiarise them with the test/exam questions format, and c) enable them to reflect on their progress and identify topics difficult to them.</t>
  </si>
  <si>
    <t>CASES CUES competencies</t>
  </si>
  <si>
    <t>4.2.1 The value of research, and principles &amp; applications of scientific enquiry</t>
  </si>
  <si>
    <t>4.2.3 A range of qualitative and quantitative researh methodologies</t>
  </si>
  <si>
    <t>4.2.4 Use of appropriate data analysis &amp; visualisation techniques</t>
  </si>
  <si>
    <t>4.1.1 Integration of variables contributing to sport performance</t>
  </si>
  <si>
    <t>Identify characteristics of different research designs</t>
  </si>
  <si>
    <t>4.1.2 Integration of variables contributing to exercise &amp; health contexts</t>
  </si>
  <si>
    <t>Apply, interpret and report quantitative and qualitative techniques</t>
  </si>
  <si>
    <t>4.1.3 Consideration of special populations</t>
  </si>
  <si>
    <t>Exam</t>
  </si>
  <si>
    <r>
      <rPr>
        <sz val="11"/>
        <color rgb="FF000000"/>
        <rFont val="Aptos Narrow"/>
        <scheme val="minor"/>
      </rPr>
      <t>Online test with multiple-choice, fill in the gap or true/false questions. The test is not invigilated but taken within a specific time-window. The questions are based around the content of the first 4 weeks. Practice questions will be available on Canvas. [</t>
    </r>
    <r>
      <rPr>
        <i/>
        <sz val="11"/>
        <color rgb="FF000000"/>
        <rFont val="Aptos Narrow"/>
        <scheme val="minor"/>
      </rPr>
      <t>NB: The restriction of not being able to take the test on site, and thus invigilate it, is imposed by the University</t>
    </r>
    <r>
      <rPr>
        <sz val="11"/>
        <color rgb="FF000000"/>
        <rFont val="Aptos Narrow"/>
        <scheme val="minor"/>
      </rPr>
      <t>]</t>
    </r>
  </si>
  <si>
    <t>Online exam, in-person and on campus, invigilated. Multiple-choice, fill in the gap or true/false questions. The questions are based around the remaining content (after 4 weeks) of the module. Practice questions will be available on Canvas.</t>
  </si>
  <si>
    <t>Assessment period</t>
  </si>
  <si>
    <t>Contextual application</t>
  </si>
  <si>
    <t>Understanding and use of research</t>
  </si>
  <si>
    <t>Data interpretation</t>
  </si>
  <si>
    <t>Introduction / What is research</t>
  </si>
  <si>
    <t>What is research</t>
  </si>
  <si>
    <t>Seminars run every other week - weeks 1-12</t>
  </si>
  <si>
    <t>Descriptive research / questionnaires</t>
  </si>
  <si>
    <t>Questionnaires</t>
  </si>
  <si>
    <t>Experimental research</t>
  </si>
  <si>
    <t>Levels of measurement / Data analysis and summarising</t>
  </si>
  <si>
    <t>Data analysis and summarising</t>
  </si>
  <si>
    <t>Correlation / Simple regression</t>
  </si>
  <si>
    <t>Simple regression</t>
  </si>
  <si>
    <t>Data analysis: categorical data / continuous data</t>
  </si>
  <si>
    <t>Data analysis: Continuous data</t>
  </si>
  <si>
    <t>Online test</t>
  </si>
  <si>
    <t>Introduction to qualitative research</t>
  </si>
  <si>
    <t>Introduction to qualitative reseacrh (workshop)</t>
  </si>
  <si>
    <t>Qualitative research designs</t>
  </si>
  <si>
    <t>Trustworthiness / rigour (workshop)</t>
  </si>
  <si>
    <t>Collecting data</t>
  </si>
  <si>
    <t>Developing an interview guide /  schedule (workshop)</t>
  </si>
  <si>
    <t>Analysing data</t>
  </si>
  <si>
    <t>Analysing a transcript (workshop)</t>
  </si>
  <si>
    <t>Exam  revision</t>
  </si>
  <si>
    <t>Exam preparation</t>
  </si>
  <si>
    <t>4092SPS</t>
  </si>
  <si>
    <t>To develop knowledge and understanding of the basic structure and function of key physiological systems and metabolic processes, their responses to acute exercise, and their integration in determining the limits of human performance, while developing skills in the collection, presentation and interpretation of physiological data.</t>
  </si>
  <si>
    <t>Fundamentals of Exercise Physiology</t>
  </si>
  <si>
    <t>The module will use the overarching theme of the limits of human performance to explore how physiological systems and metabolic processes function, respond to acute exercise and interact as exercise intensity increases.</t>
  </si>
  <si>
    <t>Theme 1: Creating Movement - Homeostasis and physiological regulation; structure and function of the nervous system; neural control of movement; skeletal-muscle structure and function; muscle contraction, motor-unit recruitment and acute fatigue.</t>
  </si>
  <si>
    <t xml:space="preserve">Gemma Miller </t>
  </si>
  <si>
    <t>Theme 2: Building the Aerobic Ceiling - Structure and function of the cardiovascular and respiratory systems; cardiac cycle; heart rate, stroke volume and cardiac output; blood pressure and regulation of blood flow; ventilation and gas exchange; the integrated oxygen pathway; the Fick principle; physiological determinants and measurement of V̇O₂max.</t>
  </si>
  <si>
    <t>Core module</t>
  </si>
  <si>
    <t>Theme 3 : Producing and Sustaining Energy - DNA, genes and protein synthesis; biological variation; ATP, enzymes and mitochondria; phosphagen, glycolytic and oxidative energy systems; carbohydrate and lipid metabolism; substrate use across exercise intensities; blood lactate; exercise-intensity domains; fractional utilisation of V̇O₂max. Theme 4: Reaching and Explaining the Limit -Thermoregulation and fluid balance during acute exercise; cardiovascular, respiratory, metabolic, muscular and perceptual contributions to fatigue; exercise economy; sustainable performance; integration of physiological systems from rest to maximal exercise and recovery.</t>
  </si>
  <si>
    <t>Other combination</t>
  </si>
  <si>
    <t>This module introduces the fundamental physiological systems and metabolic processes that enable humans to exercise, using the overarching theme of the limits of human performance. Students will explore how the nervous, muscular, cardiovascular and respiratory systems function and interact, how energy is produced and used, and how these systems respond as exercise intensity increases from rest to maximal and sustainable performance. Practical laboratory and field-based experiences will provide opportunities to develop skills in cardiovascular assessment, pulmonary-function testing, V̇O₂max measurement and the evaluation of sustainable performance. Students will collect, present and interpret physiological data and relate their findings to the underpinning scientific concepts. A programme of synchronous online lectures and asynchronous resources will provide structured support for laboratory-report development, including study design, methods, data analysis, presentation of results, scientific discussion and the use of evidence. Peer review, reflection and feedforward will support students in applying learning from an initial report to a more independent second submission. Together, these experiences provide the scientific knowledge, practical skills and research foundations required for subsequent study of chronic exercise adaptation, health, disease, nutrition and environmental physiology.</t>
  </si>
  <si>
    <t xml:space="preserve">Formative feedback: Following each taught session, students are provided with canvas quizzes to test their knowledge. They recieve their results through the canvas quiz and this allows them to obtain feedback on their performance in those types of questions for the MCQ Exam. </t>
  </si>
  <si>
    <t>CASES competencies all Taught within the module (T):  2.1.1, 2.1.2, 2.1.3, 2.1.4, 2.1.5, 2.1.6, 3.1.1 (D), 3.1.2 (D), 3.1.3 (D), 3.1.6, 3.1.8, 3.1.9, 4.1.1 (D), 4.1.2 (D), 4.2.1, 4.2.4, 4.3.4, 4.3.5 (D)</t>
  </si>
  <si>
    <t>Describe the basic structure and function of key physiological systems and metabolic processes.</t>
  </si>
  <si>
    <t>Describe and explain how key physiological systems and metabolic processes respond to acute exercise.</t>
  </si>
  <si>
    <t>Collect, present and interpret physiological data using appropriate scientific methods and conventions.</t>
  </si>
  <si>
    <t>Lab Report</t>
  </si>
  <si>
    <t>Lab Report Portfolio: Lab Report 1 Submission + Peer Review Activity + Reflection + Lab Report 2 Submission</t>
  </si>
  <si>
    <t>In Person Exam</t>
  </si>
  <si>
    <t>1 hour Online MCQ Exam</t>
  </si>
  <si>
    <t>17-18</t>
  </si>
  <si>
    <t>Critical thinking</t>
  </si>
  <si>
    <t>Data collection</t>
  </si>
  <si>
    <t>Written communication</t>
  </si>
  <si>
    <t>Professional judgement</t>
  </si>
  <si>
    <t xml:space="preserve">Lecture: Introducing human performance: homeostasis, physiological regulation and the demands of exercise </t>
  </si>
  <si>
    <t>Lecture: How does the brain initiate movement? Structure and function of the nervous system</t>
  </si>
  <si>
    <t>Synchronous: The Big Picture/ Asynchronous: Overview of laboratory-report structure and purpose</t>
  </si>
  <si>
    <t>Lecture: Skeletal-muscle structure: fibres, motor units and muscle architecture</t>
  </si>
  <si>
    <t>Lecture: Skeletal-muscle function: contraction, recruitment and acute fatigue</t>
  </si>
  <si>
    <t xml:space="preserve">Asynchronous: Research questions, variables, reliability, validity, ethics and standardisation </t>
  </si>
  <si>
    <t>Lecture: Structure and function of the heart: cardiac cycle, heart rate and stroke volume</t>
  </si>
  <si>
    <t>Lecture: Acute cardiovascular responses: cardiac output and blood pressure</t>
  </si>
  <si>
    <t>Practical 1: HR and BP responses — Dataset 1/ Synchronous: Who Are We Testing and What Are We Measuring? Participant characteristics and study design applied to the HR/BP practical / Asynchronous: Complete the laboratory record and draft the participant characteristics, study design and procedural sections</t>
  </si>
  <si>
    <t>Lecture: Blood vessels, systemic circulation and distribution of blood flow</t>
  </si>
  <si>
    <t>Lecture: Regulation of blood pressure and blood flow during acute exercise</t>
  </si>
  <si>
    <t>Seminar (Computer Prac ): Dataset 1 analysis: means, SD, tables and figures / Asynchronous: Complete the Dataset 1 analysis and produce a draft table or figure</t>
  </si>
  <si>
    <t>Lecture: Structure and function of the respiratory system</t>
  </si>
  <si>
    <t>Lecture: Ventilation, pulmonary gas exchange and acute respiratory responses</t>
  </si>
  <si>
    <t>Practical 2: Pulmonary function and oxygen transport / Synchronous: How Do We Communicate What We Did and Found?Procedures, study design and objective results writing / Asynchronous: Draft the Dataset 1 results section using the class data and reporting checklist</t>
  </si>
  <si>
    <t>Lecture: The integrated oxygen pathway: atmosphere to mitochondria</t>
  </si>
  <si>
    <t>Lecture: The Fick principle and physiological determinants of V̇O₂max</t>
  </si>
  <si>
    <t>Lab Report 1 Submission</t>
  </si>
  <si>
    <t>Recorded Lecture: DNA, genes and protein synthesis</t>
  </si>
  <si>
    <t>Recorded Lecture: genetics, biological variation and the limits of prediction</t>
  </si>
  <si>
    <t>Asynchronous: Watch the recorded content, compare three contrasting lab reports and complete a formative quiz</t>
  </si>
  <si>
    <t>Lecture: How to peer review scientific work: evaluating methods, results, tables and figures; giving constructive feedback</t>
  </si>
  <si>
    <t>Lecture: Meeting the energy demands of exercise: ATP, enzymes and interaction of the energy systems</t>
  </si>
  <si>
    <t xml:space="preserve">Seminar: Peer Review of Lab Report 1 / Asynchronous task: Complete a reflection identifying one strength, two areas for improvement and three feedforward actions for Lab Report 2 </t>
  </si>
  <si>
    <t>Lecture: Integrated metabolic and physiological responses to incremental exercise</t>
  </si>
  <si>
    <t>Lecture: Measuring V̇O₂max: protocols, maximal criteria and volitional exhaustion</t>
  </si>
  <si>
    <t>Practical 3: V̇O₂max and maximal exercise; Dataset 2 / Synchronous: Using Feedback to Become a Better Physiological Scientist: feedback on Report 1 and feedforward into Report 2 / Asynchronous: Asynchronous: Apply the Report 1 feedback and produce an outline of the Report 2 methods and results</t>
  </si>
  <si>
    <t>Lecture: Carbohydrate and lipid metabolism: substrate use across exercise intensities</t>
  </si>
  <si>
    <t>Lecture: Lactate, exercise-intensity domains and the fraction of V̇O₂max sustained</t>
  </si>
  <si>
    <t>Synchronous: Explaining Why the Body Reached Its Limit: structuring the discussion and linking findings to mechanisms and evidence / Asynchronous: Draft a discussion paragraph using a claim–evidence–explanation structure</t>
  </si>
  <si>
    <t>Lecture: Heat production, heat transfer and thermoregulation during exercise</t>
  </si>
  <si>
    <t>Lecture: Sweating, fluid balance and cardiovascular strain during exercise in the heat</t>
  </si>
  <si>
    <t>Practical 4: Field-based sustainable performance / Asynchronous: Review limitations and conclusions and complete the final Lab Report 2 self-review checklist</t>
  </si>
  <si>
    <r>
      <t>Live to the Limit:</t>
    </r>
    <r>
      <rPr>
        <sz val="11"/>
        <color theme="1"/>
        <rFont val="Aptos Narrow"/>
        <family val="2"/>
        <scheme val="minor"/>
      </rPr>
      <t xml:space="preserve"> live V̇O₂max and blood-lactate exercise test integrating nervous, muscular, cardiovascular, respiratory and metabolic responses</t>
    </r>
  </si>
  <si>
    <r>
      <t>Can You Explain the Limit?</t>
    </r>
    <r>
      <rPr>
        <sz val="11"/>
        <color theme="1"/>
        <rFont val="Aptos Narrow"/>
        <family val="2"/>
        <scheme val="minor"/>
      </rPr>
      <t xml:space="preserve"> MCQ feedforward and revision using data generated during the live exercise test</t>
    </r>
  </si>
  <si>
    <t>Lab Report 2 Submission / Asynchronous: Can You Explain the Limits of Human Performance? Practice MCQ, revision and whole-module integration</t>
  </si>
  <si>
    <t>1 mapping row has an item and outcome but no skill chosen</t>
  </si>
  <si>
    <t>4102SPS</t>
  </si>
  <si>
    <t xml:space="preserve">To develop knowledge and understanding of concepts and principles associated with 24-hour movement behaviours and sustainable development goals. </t>
  </si>
  <si>
    <t>Understanding Physical Activity &amp; Sedentary Behaviour</t>
  </si>
  <si>
    <t>To develop skills in analysing, interpreting and presenting scientific literature and quantitative data</t>
  </si>
  <si>
    <t>24-hour movement behaviour terminology, trends and prevalence; Sustainable development goals; Benefits of moving more, reducing sedentary time, and sleep; Movement behaviour guidelines across the lifecourse; Behavioural epidemiology framework; Socio-ecological model of health; Influences on physical activity and sedentary behaviour.</t>
  </si>
  <si>
    <t>Lee Graves</t>
  </si>
  <si>
    <t xml:space="preserve">This module explores concepts and principles associated with 24-hour movement behaviours, which includes physical activity, sedentary behaviour and sleep, and sustainable development goals. It introduces learners to the socio-ecological model of health and influences on behaviour. </t>
  </si>
  <si>
    <t>Formative assessment includes practice exam/quiz opportunites.</t>
  </si>
  <si>
    <t>Group presentation includes an individual reflection (individual contribution).</t>
  </si>
  <si>
    <t>The exam is delivered in person on University computers with at least two invigilators per room.</t>
  </si>
  <si>
    <t>T: 2.1.1; 2.1.3; 2.1.4; 2.1.5; 2.1.7; 2.1.8; 2.2.1; 2.2.3; 2.2.4; 2.2.5; 2.2.6; 2.2.7; 2.2.8; 4.1.2; 4.1.3; 4.1.4; 4.2.1; 4.2.4; 4.3.4; 4.3.5.</t>
  </si>
  <si>
    <t xml:space="preserve">D: </t>
  </si>
  <si>
    <t>A: 2.1.3; 2.1.5; 2.1.7; 2.1.8; 2.2.1; 2.2.3; 2.2.6; 2.2.7; 2.2.8; 4.1.2; 4.1.3; 4.1.4; 4.2.1; 4.2.4; 4.3.4; 4.3.5.</t>
  </si>
  <si>
    <t>Identify, describe and interpret 24-hour movement behaviours, their benefits and guidelines across the lifecourse</t>
  </si>
  <si>
    <t>Analyse and interpret 24-hour movement behaviour data and influences on behaviour</t>
  </si>
  <si>
    <t>In-person test on University computers. 1-hour. Individual.</t>
  </si>
  <si>
    <t>Group narrated (recorded) presentation for a local interest holder (e.g., City Council). 10-minute recording uploaded to Canvas. Group work.</t>
  </si>
  <si>
    <t>Literature searching</t>
  </si>
  <si>
    <t>Organisation</t>
  </si>
  <si>
    <t>24-hour movement behaviour terminology, trends and prevalence</t>
  </si>
  <si>
    <t>Practice quiz questions with feedback.</t>
  </si>
  <si>
    <t xml:space="preserve">Children and young people: 24-hour movement behaviour guidelines and benefits </t>
  </si>
  <si>
    <t>Adults: 24-hour movement behaviour guidelines and benefits</t>
  </si>
  <si>
    <t>Wider benefits of moving more, reducing sedentary time and sleeping well</t>
  </si>
  <si>
    <t>The role of PA, exercise, and sport in climate breakdown</t>
  </si>
  <si>
    <t>Assessment 1 support</t>
  </si>
  <si>
    <t>DIRECTED STUDY</t>
  </si>
  <si>
    <t xml:space="preserve">Influences on PA and SB </t>
  </si>
  <si>
    <t>Influence of gender on PA, SB, and health</t>
  </si>
  <si>
    <t>Influence of ethnicity on PA, SB, and health</t>
  </si>
  <si>
    <t>Influence of disability on PA, SB, and health</t>
  </si>
  <si>
    <t>Assessment 2 support</t>
  </si>
  <si>
    <t>Hours - 33 in-person hours (36 including 3 online); the framework asks for about 40–48 per module.</t>
  </si>
  <si>
    <t>Excessive mapping: A2 → LO2 and LO3 claim 9 skills. Keep the 3–5 the item genuinely assesses and map the rest where they are taught.</t>
  </si>
  <si>
    <t>4094SPS</t>
  </si>
  <si>
    <t>To introduce the basic principles of human anatomy, functional movement, biomechanics, and motor skill acquisition, and to illustrate applications of these principles in sport, exercise, and health. The module also aims to introduce experimental methods in biomechanics and to develop skills in data handling.</t>
  </si>
  <si>
    <t>Human Movement</t>
  </si>
  <si>
    <t>Anatomy and functional movement (3 weeks)</t>
  </si>
  <si>
    <t>Katie Fitton Davies</t>
  </si>
  <si>
    <t>Biomechanics (4 weeks)</t>
  </si>
  <si>
    <t>Skill Acquisition (3-4 weeks)</t>
  </si>
  <si>
    <t>This module will present different concepts of human movement, from internal systems where you will be introduced to the basic principles of human anatomy and functional movement, to the mechanical laws relating to human movement via biomechanics, and finally to how we can progress whole body movement from early to later stages of learning through skill acquisition theories. You will take the theories gained through lectures and workshops and apply these theories in practical sessions, alongside being introduced to experimental methods in biomechanics and developing skills in data handling. By the end of this module, you will be able to describe human anatomical structure and function and apply concepts and techniques from biomechanics and skill acquisition to sport, exercise, and health.</t>
  </si>
  <si>
    <t>AI literacy - Formative task to use AI to create a blocked and random practice schedule, review the content against the module content information and write a short piece on contextual interference within the plan, it's strengths and its weaknesses, as a practice plan (critical evaluation of AI)</t>
  </si>
  <si>
    <t xml:space="preserve">AI literacy - AI in Human Movement will be included as part of the biomechanics content, the basics of using AI/machine learning in biomechanics  </t>
  </si>
  <si>
    <t>Formative task 1 - Plan of action for group to make progress across assessment two; a projected weekly breakdown of tasks to complete.</t>
  </si>
  <si>
    <t>Formative task 2 - create a blocked and random practice schedule using AI, pinpoint the location and type of contextual interference, highlight the strengths and weaknesses of the generated plan against module content.</t>
  </si>
  <si>
    <t>Formative task 3 - reflection on when stages of learning were reached and how they know this.</t>
  </si>
  <si>
    <t>Formative task 4 - applying biomechanical principles to their chosen skill.</t>
  </si>
  <si>
    <t>Describe human anatomical structure and function and apply these concepts to sport, exercise and health</t>
  </si>
  <si>
    <t>Group work - assessment 2 is group work however we will include a short reflective piece on their contribution and journey through the group assessment. Assessment 1 is an individual online test so the module mark is not just based on group work.</t>
  </si>
  <si>
    <t>Apply concepts and techniques of biomechanics to sport, exercise, and health</t>
  </si>
  <si>
    <t xml:space="preserve">Online exam - online exam will have students choose 3 videos out of 6 and then choose a joint to deconstruct within those videos. The amount of choice the exam offers acts as a better safeguard against AI-misuse (in comparison to MCQ) and does not require staff to invigilate. </t>
  </si>
  <si>
    <t>Apply concepts and techniques of skill acquisition to sport, exercise, and health</t>
  </si>
  <si>
    <t>CASES competencies: 2.1.1 - T, A; 2.3.1 - T,  A; 2.3.2 -  T,  A; 2.3.3 -  T,  A; 2.3.8 -  T,  A; 3.3.1 -  T,  A; 3.3.2 -  T,  A; 4.2.4 - D, A; 4.3.4 - D; 4.3.5 - A</t>
  </si>
  <si>
    <r>
      <rPr>
        <sz val="11"/>
        <color rgb="FF000000"/>
        <rFont val="Aptos Narrow"/>
        <family val="2"/>
        <scheme val="minor"/>
      </rPr>
      <t xml:space="preserve">Sustainability - </t>
    </r>
    <r>
      <rPr>
        <b/>
        <sz val="11"/>
        <color rgb="FF000000"/>
        <rFont val="Aptos Narrow"/>
        <family val="2"/>
        <scheme val="minor"/>
      </rPr>
      <t>Healthy Options/Accessibility &amp; Equality</t>
    </r>
    <r>
      <rPr>
        <sz val="11"/>
        <color rgb="FF000000"/>
        <rFont val="Aptos Narrow"/>
        <family val="2"/>
        <scheme val="minor"/>
      </rPr>
      <t xml:space="preserve">: during the skill acquisition strand, students will engage in content surrounding skill and inequalities in physical activity, physical education and sport participation, they will also design a practice schedule catering for diverse needs to ensure inclusive practice which is supported through formative task. Accessibility and Equality will feature in assessment 2 marking rubric. </t>
    </r>
    <r>
      <rPr>
        <b/>
        <sz val="11"/>
        <color rgb="FF000000"/>
        <rFont val="Aptos Narrow"/>
        <family val="2"/>
        <scheme val="minor"/>
      </rPr>
      <t>Engagement &amp; Education, Economy &amp; Community</t>
    </r>
    <r>
      <rPr>
        <sz val="11"/>
        <color rgb="FF000000"/>
        <rFont val="Aptos Narrow"/>
        <family val="2"/>
        <scheme val="minor"/>
      </rPr>
      <t xml:space="preserve"> - during week 10, after receiving all content across the three strands in Human Movement, we will cover social sustainability and community wellbeing, reflecting on the content of the module against these topics. This will help form part of their reflective individual piece for their second assessment. </t>
    </r>
  </si>
  <si>
    <t>MCQ Online Test</t>
  </si>
  <si>
    <t>Online exam where students choose 3 out of 6 possible videos of movement to deconstruct a joint of their choice through MCQ and open text responses</t>
  </si>
  <si>
    <t>Video</t>
  </si>
  <si>
    <t>Using biomechanical and skill acquisition theories, students will work in groups and pick a skill to progress through the stages of learning and create a short video to document this progression and how they have applied the theories gained through the module. It will also include an individual reflective piece on how their knowledge has developed over the module and how it might impact on work in sport, exercise and health.</t>
  </si>
  <si>
    <t>Digital communication</t>
  </si>
  <si>
    <t>Problem solving and impact</t>
  </si>
  <si>
    <t>Evaluation of outcomes</t>
  </si>
  <si>
    <t>Knowledge synthesis</t>
  </si>
  <si>
    <t>Conflict resolution</t>
  </si>
  <si>
    <t>Leadership</t>
  </si>
  <si>
    <t>Intro &amp; Planes and Axes</t>
  </si>
  <si>
    <t>S1: Introduction to the module and the assessment; what is a skill; categorisation of skills; motor learning theory; stages of learning.
S2: Key anatomical terms related to body orientation and position; explain anatomical planes; use directional and regional terms to describe relative locations of structures in the body.</t>
  </si>
  <si>
    <t>Lecture/workshop x2 (4 hours)</t>
  </si>
  <si>
    <t>Bones and Joints &amp; Muscle Structure and Function</t>
  </si>
  <si>
    <t>S1:Identify and classify joints; describe the anatomical components of synovial joints; explain the different types of movements; relate the structyre of specifc joints to their range of motion and function.
S2: Structure and function of skeletal muscles and how these affect strength characteristics.</t>
  </si>
  <si>
    <t>Linear Motion  - 100m Sprint</t>
  </si>
  <si>
    <t>Understand mechanical descriptors of linear motion adn apply to chosen movement.</t>
  </si>
  <si>
    <t>Lecture/workshop x2 (4 hours) + practical (1 hour)</t>
  </si>
  <si>
    <t>Cricket Bowling Action</t>
  </si>
  <si>
    <t>Understand the mechanical descriptors of angular motion so that you are able to apply these descriptors to your chosen movement.</t>
  </si>
  <si>
    <t>Lecture/workshop (2 hours)</t>
  </si>
  <si>
    <t>World's Strongest Competition</t>
  </si>
  <si>
    <t>Understand Newton's Laws in the context of how internal and external forces affect human movement.</t>
  </si>
  <si>
    <t>Lecture/workshop (2 hours) + practical (1 hour)</t>
  </si>
  <si>
    <t>Dynamics - Vertical Jump</t>
  </si>
  <si>
    <t>Understand angular kinetics and then the impulse-momentum relationship within the context of the vertical jump.</t>
  </si>
  <si>
    <t>Biomechanics content</t>
  </si>
  <si>
    <t>TBC</t>
  </si>
  <si>
    <t>Lecture/workshop (2 hours) + online seminar (2 hours)</t>
  </si>
  <si>
    <t>Practice</t>
  </si>
  <si>
    <t>Understand how different practice leads to different learning outcomes, understand contextual interference in practice, understand blocked and random practice and how these affect learning.</t>
  </si>
  <si>
    <t>Feedback</t>
  </si>
  <si>
    <t>Augmented feedback- what is it, when do we use, how often, and in relation to stages of learning.</t>
  </si>
  <si>
    <t xml:space="preserve">Skill Acquisition content </t>
  </si>
  <si>
    <t>Lecture/workshop (2 hours) + practical (1 hour) + online seminar (2 hour2)</t>
  </si>
  <si>
    <t>Assessment Support</t>
  </si>
  <si>
    <t>Assessment review</t>
  </si>
  <si>
    <t>Formative assessment: Only assessment briefing or feedforward sessions are noted (notes). Add a task students complete and get feedback on, aligned to A1</t>
  </si>
  <si>
    <t>The plan is entered under semester 1 but should be semester 2.  Add CUES mapping to notes</t>
  </si>
  <si>
    <t>LO2 uses only lower-order verbs (describe, explain, identify) at Level 5. Consider analyse, evaluate or apply</t>
  </si>
  <si>
    <t>Group work carries 60% of the mark, more than half. Add an individually marked element inside the group item (a short viva, individual questions or a write-up) or rebalance the weights.</t>
  </si>
  <si>
    <t>5091SPS</t>
  </si>
  <si>
    <t>This module will enhance students' understanding of the research process and related methodological approaches, whilst also developing their knowledge, skills and ability to undertake a research project involving data collection, analysis and interpretation.</t>
  </si>
  <si>
    <t>Research Methods 2</t>
  </si>
  <si>
    <t>Theme 1: Qualitative research: design, methods and analysis, interpretation of results and reporting approaches. data interpretation, analysis, and presentation.</t>
  </si>
  <si>
    <t>Jonathan Foulkes</t>
  </si>
  <si>
    <t>Theme 2: Quantitative research: design, methods and analysis, interpretation of results and reporting approaches, data interpretation, analysis, and presentation.</t>
  </si>
  <si>
    <t>Theme 3: The Research Process: research designs incl. systematic review; ethical and methodological considerations; participant recruitment.</t>
  </si>
  <si>
    <t>Module consistes of lectures, seminars and IT sessions.</t>
  </si>
  <si>
    <t xml:space="preserve">Programm-specific seminars have been inlcuded to allow Programme teams to incorporate their own programme/discipline-specific content e.g. Sport Psychology students receiving additonal quantitative/inferential statistics content in order to help in meeting their programmes accreditation requirments </t>
  </si>
  <si>
    <t>One of the later programme-specific seminars will be used to provide a feedforward to students for the Level 6 Major Project module and for discussion and guidance on the option modules available to the students at Level 6 and the processes of selecting the necessary modules/pathways (this will differ by programme e.g. Sports Science option modules will be selecte dbased on the "pathway" a student has chosen).</t>
  </si>
  <si>
    <r>
      <rPr>
        <sz val="11"/>
        <color rgb="FF000000"/>
        <rFont val="Aptos Narrow"/>
      </rPr>
      <t xml:space="preserve">AI Literacy - As outlined in the departments PPR </t>
    </r>
    <r>
      <rPr>
        <i/>
        <sz val="11"/>
        <color rgb="FF000000"/>
        <rFont val="Aptos Narrow"/>
      </rPr>
      <t>AI Literacy</t>
    </r>
    <r>
      <rPr>
        <sz val="11"/>
        <color rgb="FF000000"/>
        <rFont val="Aptos Narrow"/>
      </rPr>
      <t xml:space="preserve"> document, a presentation has been implemented for AS!, rquiring students to present and  defend their work verbally </t>
    </r>
  </si>
  <si>
    <t>AI Literacy - Students will be advised of how/when AI can be used ethically and responsibly in relation to AS1 and AS2 e.g. in the design, formatting and presentation of information in their group presentation and as a "critical friend" when outlining the design nad methodology of their proposed study for AS2</t>
  </si>
  <si>
    <t>CUES Mapping - 4.2.1 (T &amp; D), 4.2.3 (T, D &amp; A), 4.2.4 (T, D &amp; A), 4.2.5 (T &amp; D)</t>
  </si>
  <si>
    <t>Deploy accurately established techniques of analysis and enquiry within a discipline</t>
  </si>
  <si>
    <t>Describe and analyse aspects of current research, or equivalent advanced scholarship, in the discipline</t>
  </si>
  <si>
    <t>Manage their own learning, and to make use of scholarly reviews and primary sources (for example, refereed research articles and/or original materials appropriate to the discipline).</t>
  </si>
  <si>
    <t>Portfolio (2500 words)Group presentation demonstrating their analysis of a mixed-methods data set i.e. both qualitative and quantitative data. Assessment Criteria will include an individual mark to help differentiate grades between students alongside Peer Review i.e. Buddycheck.</t>
  </si>
  <si>
    <t>Report</t>
  </si>
  <si>
    <t>Essay</t>
  </si>
  <si>
    <t>Research Proposal outlining the design and methodology of a feasible study the student could undertake at L6 i.e. Dissertation Major Project</t>
  </si>
  <si>
    <t>Assessment Period</t>
  </si>
  <si>
    <t>Scientific writing</t>
  </si>
  <si>
    <t>Qualitative Research</t>
  </si>
  <si>
    <t>Programme-Specific Seminar</t>
  </si>
  <si>
    <t>IT Practical (NVivo)</t>
  </si>
  <si>
    <t xml:space="preserve">Quantitative Research </t>
  </si>
  <si>
    <t>Research Ethics / Proposal</t>
  </si>
  <si>
    <t>Study Design/Rationale Recap &amp; Systematic Review</t>
  </si>
  <si>
    <t xml:space="preserve">Methodological Considerations </t>
  </si>
  <si>
    <t>Participant Recruitment</t>
  </si>
  <si>
    <t>Would it be possible to add something around sustainability to this module content/assessment</t>
  </si>
  <si>
    <t>5101SPS</t>
  </si>
  <si>
    <t>To develop the student’s skills, knowledge and abilities as a professional practitioner in sport and exercise science. To enhance practical skills and theoretical knowledge to audit a ‘client’s’ requirements and effectively communicate outcomes of consultation. To understand the requirements for professional behaviour and how to be inclusive. To recognise ways to enhance personal and professional development.</t>
  </si>
  <si>
    <t>Professional Practice in Sport and Exercise Science 2</t>
  </si>
  <si>
    <t>Theme 1: The Professional Practitioner - What does it mean to be a Professional</t>
  </si>
  <si>
    <t>Dr. Scott Gillham</t>
  </si>
  <si>
    <t xml:space="preserve">Theme 2: Understanding Client Needs </t>
  </si>
  <si>
    <t>Theme 3: Employability</t>
  </si>
  <si>
    <t>Students will engage with weekly lecture material, delivered largely by the module leader - with some input from academic/industry experts where appropriate. Lecture material will be supported by Seminars, whereby students will be afforded the ability to work in smaller groups to help refine their analytic, communicative and academic skillsets to help achieve the module learning outcomes. Students should also engage in the extracurricular CPD material that is signposted to them throughout the module.</t>
  </si>
  <si>
    <t xml:space="preserve">Students will be able to engage in formative tasks within lectures and seminars which are aimed to enhance their critical approach to understanding CV development and work within interdisciplinary teams. </t>
  </si>
  <si>
    <t>Employ sport &amp; exercise science principles and practice</t>
  </si>
  <si>
    <t>Analyse personal and professional development</t>
  </si>
  <si>
    <t>Evaluate client needs and prepare appropriate client-based material and feedback, accounting for individual differences (e.g. culture and environmental factors).</t>
  </si>
  <si>
    <t>Students will Compose a CV, Cover Letter + Video Interview for the "application" for one of two roles in a Sport &amp; Exercise Setting</t>
  </si>
  <si>
    <t>Students will, in groups, provide a needs analysis for a given issue and should deliver a presentation of interdisciplinary cohesion to improve health and/or performance outcomes</t>
  </si>
  <si>
    <t>Self-awareness</t>
  </si>
  <si>
    <t>Evidence-based practice</t>
  </si>
  <si>
    <t>Module Introduction &amp; Overview</t>
  </si>
  <si>
    <t>Online / in-Person Ad-Hoc Support</t>
  </si>
  <si>
    <t>Anti-Doping in Sport</t>
  </si>
  <si>
    <t>CV + Cover Letter Development</t>
  </si>
  <si>
    <t>Early Career Navigation</t>
  </si>
  <si>
    <t>Careers Beyond Performance Sport</t>
  </si>
  <si>
    <t>Interdisciplinary Approached in SES</t>
  </si>
  <si>
    <t>Elite Practitioner Insights</t>
  </si>
  <si>
    <t>Conducting Appropriate Needs Analyses in SES</t>
  </si>
  <si>
    <t>Fostering Cohesive Environments in SES</t>
  </si>
  <si>
    <t>What Does the Sport Scientist do? Elite Practitioner Insights</t>
  </si>
  <si>
    <t>Group Assessment Preperation</t>
  </si>
  <si>
    <t>5102SPS</t>
  </si>
  <si>
    <t>This module aims to develop students’ theoretical knowledge and understanding of socio-ecological influences on physical activity, sedentary behaviour and sleep through analysis of scientific literature in different population subgroups. The module also aims to analyse the strengths and limitations of methods to assess physical activity and sedentary behaviour, and to equip students with the skills to conduct a brief assessment of physical activity with a client, including assessment administration, interpretation of behaviour/results against guidelines, and feedback.</t>
  </si>
  <si>
    <t>Influences and Assessment of Physical Activity and Sedentary Behaviour</t>
  </si>
  <si>
    <t>Influences on physical activity and sedentary behaviour</t>
  </si>
  <si>
    <t>Sarah Taylor</t>
  </si>
  <si>
    <t>Assessment of physical activity and sedentary behaviour: Measurement principles, Device-based measures, Self-report measures, Brief assessment and advice</t>
  </si>
  <si>
    <t>Students should engage with synchronous lectures that will be delivered face-to-face. Lecture content will be supported by seminar and practical activities. Students will be expected to use their analytical, statistical and research skills to interpret the scientific evidence. Practical activities will provide experiential learning opportunities for students to analyse the measurement methods and practice skills-based competencies. Students should also access the wide range of resources provided to broaden their knowledge, understanding and their ability to apply module material.</t>
  </si>
  <si>
    <t>The final Journal Club Seminar in Week 5 includes an assessment formative task with a group practice presentation with peer and tutor feedback</t>
  </si>
  <si>
    <t>The 11 online hours are synchronous. The hours are drop-in sessions for module support, with the module leader available for the full hour so that students can recieve support with any problems they are having. They are not online hours in the form of recorded content.</t>
  </si>
  <si>
    <t>TDA: 4.1.1 Integration of variables contributing to exercise &amp; health contexts</t>
  </si>
  <si>
    <t>TDA: 4.1.3 Consideration of special populations</t>
  </si>
  <si>
    <t xml:space="preserve">TDA: 4.1.4 Environmental and occupational factors in relation to health, disease, disorder, dysfunction &amp; rehabilitation </t>
  </si>
  <si>
    <t>TDA: 4.2.1 The value of research, and principles &amp; applications of scientific enquiry</t>
  </si>
  <si>
    <t>Analyse and interpret influences on physical activity and sedentary behaviour</t>
  </si>
  <si>
    <t>TD: 4.2.3 A range of qualitative and quantitative research methodologies</t>
  </si>
  <si>
    <t>Analyse the strengths and limitations of methods for assessing physical activity and sedentary behaviour</t>
  </si>
  <si>
    <t>TDA: 4.2.5 Evidence-based practice and evaluation</t>
  </si>
  <si>
    <t xml:space="preserve">Assess physical activity and communicate results to a lay person </t>
  </si>
  <si>
    <t>TDA: 4.3.2 Professional behaviour (ethics, values &amp; code of conduct)</t>
  </si>
  <si>
    <t>TDA: 4.3.4 Interpersonal &amp; communication skill development</t>
  </si>
  <si>
    <t>30-minute group presentation – Analyse the factors that influence physical activity sedentary behaviour, and sleep in a specific population subgroup (e.g., young children, children, adolescents, adults, older adults). 30% Individual Mark - 20% Questions, 10% Delivery</t>
  </si>
  <si>
    <r>
      <rPr>
        <sz val="11"/>
        <color rgb="FF000000"/>
        <rFont val="Aptos Narrow"/>
        <family val="2"/>
        <scheme val="minor"/>
      </rPr>
      <t xml:space="preserve">PART 1 – </t>
    </r>
    <r>
      <rPr>
        <b/>
        <sz val="11"/>
        <color rgb="FF000000"/>
        <rFont val="Aptos Narrow"/>
        <family val="2"/>
        <scheme val="minor"/>
      </rPr>
      <t>Individual practical:</t>
    </r>
    <r>
      <rPr>
        <sz val="11"/>
        <color rgb="FF000000"/>
        <rFont val="Aptos Narrow"/>
        <family val="2"/>
        <scheme val="minor"/>
      </rPr>
      <t xml:space="preserve"> Perform a brief assessment of physical activity with a client (research participant) and give accurate feedback and appropriate recommendations. PART 2 - </t>
    </r>
    <r>
      <rPr>
        <b/>
        <sz val="11"/>
        <color rgb="FF000000"/>
        <rFont val="Aptos Narrow"/>
        <family val="2"/>
        <scheme val="minor"/>
      </rPr>
      <t>Viva:</t>
    </r>
    <r>
      <rPr>
        <sz val="11"/>
        <color rgb="FF000000"/>
        <rFont val="Aptos Narrow"/>
        <family val="2"/>
        <scheme val="minor"/>
      </rPr>
      <t xml:space="preserve"> Analyse the strengths and limitations and provide recommendations for a proposed measurement approach in a given research scenario .</t>
    </r>
  </si>
  <si>
    <t>17-18 (January Assessment Week)</t>
  </si>
  <si>
    <t>Professional relationships and behaviours</t>
  </si>
  <si>
    <t>Collaboration/multi-disciplinary working</t>
  </si>
  <si>
    <t>Module Introduction, Individual (demographic) factors (L4 recap)</t>
  </si>
  <si>
    <t>Online module support drop in</t>
  </si>
  <si>
    <t>Individual (psychological) factors</t>
  </si>
  <si>
    <t>Seminar: Journal Club</t>
  </si>
  <si>
    <t>Social factors</t>
  </si>
  <si>
    <t>Environmental factors</t>
  </si>
  <si>
    <t>Policy factors</t>
  </si>
  <si>
    <t>Seminar: Journal Club. Assessment formative task practice presentation with peer and tutor feedback,</t>
  </si>
  <si>
    <t xml:space="preserve">Assessment support </t>
  </si>
  <si>
    <t xml:space="preserve">PA and SB Measurement Introduction </t>
  </si>
  <si>
    <t xml:space="preserve">Practical: Measurement Feasibility and Potential Issues </t>
  </si>
  <si>
    <t>PA and SB Measurement: Device-Based</t>
  </si>
  <si>
    <t>Seminar: Device-Based Deployment</t>
  </si>
  <si>
    <t>PA and SB Measurement: Self-Report</t>
  </si>
  <si>
    <t>Seminar: Self-Report Deployment</t>
  </si>
  <si>
    <t>PA and SB Measurement: Strengths and Limitations</t>
  </si>
  <si>
    <t>Seminar: Viva Preparation</t>
  </si>
  <si>
    <t>Formative task needs adding in notes section</t>
  </si>
  <si>
    <t>Enter the semester (1, 2 ).  Need to add CUES Mappig to notes section</t>
  </si>
  <si>
    <t>Contact hours: 34 in-person hours (35 including 1 online); the framework asks for about 40–48 per module.</t>
  </si>
  <si>
    <t>Map each assessment item and outcome to the graduate skills it develops (one row per item, outcome and skill, from the dropdowns). 6 rows have an item and outcome but no skill chosen</t>
  </si>
  <si>
    <t>5103SPS</t>
  </si>
  <si>
    <t xml:space="preserve">This module aims to give students the knowledge and technical ability to describe, measure and explain human movement using the application of biomechanical principles. In this way, we can improve performance and reduce the risk of injury.
</t>
  </si>
  <si>
    <t xml:space="preserve">Biomechanics </t>
  </si>
  <si>
    <t xml:space="preserve">The module builds biomechanical knowledge and practical skills in the topics of: Joint and athlete loading, Jumping, 3D motion analysis, Neuromuscular foundations of movement, and Running. </t>
  </si>
  <si>
    <t xml:space="preserve">Thomas O'Brien </t>
  </si>
  <si>
    <t>SES and FS</t>
  </si>
  <si>
    <t>This module provides students with the knowledge and practical skills required to describe, measure, and explain human movement through the application of biomechanical principles. By developing an understanding of how the human body moves and responds to mechanical forces, students will be able to evaluate movement patterns with the aim of enhancing performance and reducing injury risk. The module explores key topics including joint and athlete loading, jumping, three-dimensional (3D) motion analysis, neuromuscular foundations of movement, and running biomechanics. Learning is delivered through a combination of lectures, practical sessions, and seminars, enabling students to develop both theoretical knowledge and applied analytical skills. Throughout the module, students will build a portfolio of work that demonstrates their competency in conducting and interpreting biomechanical analyses in sport and exercise settings.</t>
  </si>
  <si>
    <t>Collect, analyse and report biomechanical data and in sports and exercise applications</t>
  </si>
  <si>
    <t xml:space="preserve">Explain how biomechanical principles can be used to improve performance and reduce injury </t>
  </si>
  <si>
    <t xml:space="preserve">Porfolio of biomechanical analysis reports to a 'Performance Director', linked to taught labs </t>
  </si>
  <si>
    <t xml:space="preserve">Exam testing knowledge of taught conetent and assessing depth of knowlegde and seeking justifications and critique of portfolio </t>
  </si>
  <si>
    <t>Describing and measuring movement</t>
  </si>
  <si>
    <t xml:space="preserve">Directed study: qualitative movement analysis </t>
  </si>
  <si>
    <t>Moments and Forces</t>
  </si>
  <si>
    <t xml:space="preserve">Seminar: More moments </t>
  </si>
  <si>
    <t>Directed reading and study of lecure content. Weekly Quiz</t>
  </si>
  <si>
    <t>Load measurement and monitoring</t>
  </si>
  <si>
    <t xml:space="preserve">Lab: moments data collection </t>
  </si>
  <si>
    <t xml:space="preserve">Jumping 1: Performance + Screening and RtP </t>
  </si>
  <si>
    <t>Computer prctical</t>
  </si>
  <si>
    <t xml:space="preserve">Jumping 2 </t>
  </si>
  <si>
    <t>Lab: Jumping</t>
  </si>
  <si>
    <t>Kicking</t>
  </si>
  <si>
    <t>Seminar: Jumping analysis</t>
  </si>
  <si>
    <t xml:space="preserve">3D motion analysis </t>
  </si>
  <si>
    <t xml:space="preserve">3D labs </t>
  </si>
  <si>
    <t xml:space="preserve">Running 1 (technique) </t>
  </si>
  <si>
    <t>Lab: running GRF</t>
  </si>
  <si>
    <t>Running 2 (Appliations)</t>
  </si>
  <si>
    <t xml:space="preserve">Seminar: running analysis </t>
  </si>
  <si>
    <t xml:space="preserve">Neuro-muscular basis of movement: EMG </t>
  </si>
  <si>
    <t>Lab: EMG</t>
  </si>
  <si>
    <t>Neuro-muscular basis of movement: Strength</t>
  </si>
  <si>
    <t xml:space="preserve">Seminar: EMG analysis </t>
  </si>
  <si>
    <t>Exam prep</t>
  </si>
  <si>
    <t>5092SPS</t>
  </si>
  <si>
    <t>Physiological adaptations to exercise</t>
  </si>
  <si>
    <t>To develop knowledge and understanding of the physiological adaptations to chronic exercise across diverse populations and environmental conditions, and to critically discuss their implications for human health and performance.</t>
  </si>
  <si>
    <t>Theme 1: Physiological adaptations to exercise training in athletes, inc. endurance training, resistance training and high-intensity interval training</t>
  </si>
  <si>
    <t>Pascale Kippelen</t>
  </si>
  <si>
    <t>Theme 2: Physiological adaptations to exercise intervention for health and diseases prevention / management, inc. metabolic health, cardiovascular health, respiratory health, women's health</t>
  </si>
  <si>
    <t>Theme 3: Environmental and nutritional influences on training adaptations and performance, inc. thermal stress, altitude, nutrition</t>
  </si>
  <si>
    <t>The module combines physiological theory, applied examples, practical laboratory experiences, and critical discussion to enhance students' understanding of physiological adaptations to chronic exercise and exercise as a tool for improving health and optimising performance in diverse contexts / environments. Through introduction of real-world case studies in lectures, students will learn how physiological theories and research can be used to understand and solve practical challenges in sport, exercise, health, and performance. Through the analysis of contemporary research and participation in structured debates on controversial topics, students will develop their ability to critically evaluate competing perspectives and communicate evidence-based arguments.</t>
  </si>
  <si>
    <t>Online - synchronous</t>
  </si>
  <si>
    <t>Formative assessment tasks: For A1 (Lab Report), students will be asked to write results of their statistical analysis during a timetabled computer lab session and  will be provided with instant formative feedback. For A2 (Group Presentation), students will gain instant formative feedback during  a student practice workshop (i.e. preparatory workshop for their pro/con debate).</t>
  </si>
  <si>
    <t>For A2 (Group Presentation), 30% of the mark will be individual-based (covering individual delivery and communication, and individual understanding of the topic)</t>
  </si>
  <si>
    <t>All online tutorials (6*1h) are synchronous / timetabled and are designed to provide dedicated support and feedforward to students for their 2 assessments.</t>
  </si>
  <si>
    <t xml:space="preserve">CASES competencies:  
Influence of diet &amp; nutrition: T,D,A
Effects of the environment: T,D,A
Energy systems &amp; metabolic cost: T,D,A
Components of fitness, principles of training &amp; adaptations to training (structure and function): T,D,A
Growth, development and ageing: T,D,A
Exercise and health (e.g. adapted physical activity; musculo-skeletal, cardiorespiratory &amp; neurological disorders): T,D,A
Use of appropriate data analysis &amp; visualisation techniques: T,D,A
Interpersonal &amp; communication skill development: T,D,A
</t>
  </si>
  <si>
    <t>Analyse and critically evaluate the physiological effects of sport and exercise interventions in diverse populations.</t>
  </si>
  <si>
    <t>Critically assess the impact of environmental factors, nutritional interventions, and disease states on physiological responses and adaptations to exercise training,</t>
  </si>
  <si>
    <t>Using an experimental dataset provided and an AI-generated draft report, students will produce a scientific laboratory report that analyses and evaluates the physiological effects of exercise training in a specific population group</t>
  </si>
  <si>
    <t>Pro/con debate: working in groups, students will research, prepare, and participate in a structured debate on a controversial topic related to sport and exercise physiology</t>
  </si>
  <si>
    <t>Assessment week</t>
  </si>
  <si>
    <t>Evidence evaluation</t>
  </si>
  <si>
    <t>Active listening</t>
  </si>
  <si>
    <t>Critical appraisal</t>
  </si>
  <si>
    <t>Introduction lecture (1h)</t>
  </si>
  <si>
    <t>Workshop/debate: Should asthma inhalers be banned in elite sport? (1h)</t>
  </si>
  <si>
    <t>Tutorial: Feedforward 'How to write a lab report' – Online synchronous (1h)</t>
  </si>
  <si>
    <t>Lecture: Endurance training – case study: the professional cyclist (1.5h)</t>
  </si>
  <si>
    <t>Practical + seminar: Douglas bag technique (2h)</t>
  </si>
  <si>
    <t>Tutorial: Feedforward 'How to use SPSS' – Online synchronous (1h)</t>
  </si>
  <si>
    <t>Lecture: High intensity interval training – case study: the football academy player (1.5h)</t>
  </si>
  <si>
    <t>Practical + seminar: HIIT (2h)</t>
  </si>
  <si>
    <t>Practical: Data analysis / reporting, inc. formative feedback – computer lab (1h)</t>
  </si>
  <si>
    <t>Lecture: Resistance training – case study: the bodybuilder (1.5h)</t>
  </si>
  <si>
    <t>Practical + seminar : Cardiovascular response to resistance training (2h)</t>
  </si>
  <si>
    <t>Workshop/debate: Pro/con of anabolic steroids? (1h)</t>
  </si>
  <si>
    <t>Lecture: Exercise for metabolic health – case study: the obese adult</t>
  </si>
  <si>
    <t>Practical + seminar: Substrate use (2h)</t>
  </si>
  <si>
    <t>Tutorial: Feedforward 'How to interpret research findings' – Online synchronous (1h)</t>
  </si>
  <si>
    <t>Lecture: Exercise for cardiovascular health – case study: the older adult with cardiovascular disease (1.5h)</t>
  </si>
  <si>
    <t>Workshop/debate: Can exercise keep you young? (1h)</t>
  </si>
  <si>
    <t>Tutorial: Feedforward 'AI literacy: dos and don’ts' – Online synchronous (1h)</t>
  </si>
  <si>
    <t>ENRICHMENT WEEK</t>
  </si>
  <si>
    <t>Lecture: Exercise for respiratory health – case study: the child with asthma (1.5h)</t>
  </si>
  <si>
    <t>Workshop/debate: Risks versus benefits of active commuting (1h)</t>
  </si>
  <si>
    <t>Lecture: Exercise for all women – case study: the amenorrhoeic athlete (1.5h)</t>
  </si>
  <si>
    <t>Workshop/debate: How to address female under-representation in sport and exercise sciences research? (1h)</t>
  </si>
  <si>
    <t>Tutorial: Feedback lab report / Feedforward pro/con debate – Online synchronous (1h)</t>
  </si>
  <si>
    <t>Lecture: Environmental thermal stress – case study: the athlete who suffered heatstroke (1.5h)</t>
  </si>
  <si>
    <t>Practical + seminar: Heat (2h)</t>
  </si>
  <si>
    <t>Tutorial: Feedforward 'How to win a debate' – Online synchronous (1h)</t>
  </si>
  <si>
    <t>Lecture: Exercise at altitude – case study: the Queen of the mountain (successful pregnancy while exercising up to 5,300 m) (1.5h)</t>
  </si>
  <si>
    <t>Workshop/debate: Is altitude training doping?  (1h)</t>
  </si>
  <si>
    <t>Lecture: Nutrition for health and performance – case study: the marathon runner who ‘hit the wall’ (1.5h)</t>
  </si>
  <si>
    <t>Workshop/debate: Student practice, inc. formative feedback (1h)</t>
  </si>
  <si>
    <t>Drop-in session</t>
  </si>
  <si>
    <t>check title</t>
  </si>
  <si>
    <t>6101SPS</t>
  </si>
  <si>
    <t xml:space="preserve">The aim of this module is for students to critically evaluate, measure and interpret biomechanical, musculoskeletal and neural factors underpinning human movement, strength and sporting performance </t>
  </si>
  <si>
    <t>Sport and Performance Biomechanics</t>
  </si>
  <si>
    <t>This module develops advanced knowledge and practical skills in sports biomechanics, focusing on the experimental analysis of human movement and the biomechanical determinants of strength and performance. Students will gain experience in contemporary biomechanical measurement techniques, including 3D motion capture, forces, modelling, ultrasound imaging and neuromuscular assessment, while critically evaluating the strengths and limitations of these methods.</t>
  </si>
  <si>
    <t>Mark Robinson</t>
  </si>
  <si>
    <t>Through laboratory practicals, data analysis activities and critical discussion of current research, students will investigate musculoskeletal and neural function, adaptation and performance. The module applies biomechanical theory and measurement techniques to conduct and interpret experimental investigations, enabling students to critically evaluate factors influencing strength, movement and sporting performance.</t>
  </si>
  <si>
    <t>Option module</t>
  </si>
  <si>
    <t>This module adopts an integrated approach to learning, combining lectures, seminars and laboratory practicals to support students in developing the knowledge, practical competence and critical thinking skills required for advanced biomechanical analysis.</t>
  </si>
  <si>
    <t>Lectures provide the theoretical foundations of movement analysis, segmental modelling, strength determinants, musculoskeletal function and neural adaptation, while introducing the biomechanical principles and measurement techniques (e.g. motion analysis, Visual 3D, ultrasound) that underpin the module assessments.</t>
  </si>
  <si>
    <t>Seminars are designed to facilitate critical discussion and application of biomechanical concepts. Regular formative and feedforward activities are embedded throughout the module, enabling students to develop their assessment literacy, receive guidance on data interpretation and scientific communication, and progressively build the knowledge and skills required for both the biomechanics client report and oral presentation assessment.</t>
  </si>
  <si>
    <t>Laboratory practicals and computer-based workshops provide hands-on experience of industry-standard techniques, including 3D motion capture, force and kinetic analysis, modelling, ultrasound imaging and neuromuscular assessment. Students will collect, analyse and interpret data generated during these sessions, directly supporting the production of a client report based on a 3D motion analysis, while also preparing them to present and defend their understanding of the techniques, findings and biomechanical principles explored throughout the module.</t>
  </si>
  <si>
    <t>Scientific Knowledge Biomechanics 
TD 2.3.1	Anatomy of human movement (including planes of motion, axes of rotation, segmental analysis)
TDA 2.3.2	Linear and angular kinetics
TDA 2.3.3	Linear and angular kinematics
2.3.4	Gait and postural control
2.3.5	Fluid dynamics and projectile motion
TD 2.3.6	Work, power and energy
2.3.7	Qualitative analysis of movement
2.3.8	Motor skill acquisition (may be covered in psychology curriculum)</t>
  </si>
  <si>
    <t>Technical Skills 
TDA 3.3.1	Kinetic measurement techniques
TDA 3.3.2	Kinematic measurement techniques
TDA 3.3.3	Muscle activity assessment techniques
3.3.4	Flexibility/ range of motion
3.3.5	Balance
TDA 3.3.6	Muscular strength, power
3.3.7	Physical activity monitoring
3.3.8	Performance analysis</t>
  </si>
  <si>
    <t>4.2	Application of Knowledge &amp; Skills: Research
TD 4.2.1	The value of research, and principles &amp; applications of scientific enquiry
TDA 4.2.4	Use of appropriate data analysis &amp; visualisation techniques</t>
  </si>
  <si>
    <t>Conduct an experimental analysis in sports biomechanics and interpret the findings</t>
  </si>
  <si>
    <t>Critique measurement tools used in biomechanical analysis</t>
  </si>
  <si>
    <t>Critically evaluate the role of musculoskeletal and neural function and adaptation</t>
  </si>
  <si>
    <t xml:space="preserve">Apply measurement teachniques and interpret findings of musculoskeletal and neural factors that detemine strength. </t>
  </si>
  <si>
    <t>Data Analysis</t>
  </si>
  <si>
    <t>Client report based on 3D motion analysis data collection</t>
  </si>
  <si>
    <t xml:space="preserve">Presentation </t>
  </si>
  <si>
    <r>
      <t>Presentation and questions of knowledge</t>
    </r>
    <r>
      <rPr>
        <sz val="11"/>
        <rFont val="Aptos Narrow"/>
        <family val="2"/>
        <scheme val="minor"/>
      </rPr>
      <t xml:space="preserve"> and data</t>
    </r>
    <r>
      <rPr>
        <sz val="11"/>
        <color theme="1"/>
        <rFont val="Aptos Narrow"/>
        <family val="2"/>
        <scheme val="minor"/>
      </rPr>
      <t xml:space="preserve"> gathered in module classes </t>
    </r>
  </si>
  <si>
    <t>Translational practice</t>
  </si>
  <si>
    <t>Service delivery</t>
  </si>
  <si>
    <t>Evidence-based decision making</t>
  </si>
  <si>
    <t>Introduction to report topic</t>
  </si>
  <si>
    <t>3D motion analysis</t>
  </si>
  <si>
    <t>QTM training practical</t>
  </si>
  <si>
    <t>Lab Data Collection</t>
  </si>
  <si>
    <t>Feedforward Seminar</t>
  </si>
  <si>
    <t>Segmental modelling</t>
  </si>
  <si>
    <t>Visual 3D lab</t>
  </si>
  <si>
    <t>Kinetics</t>
  </si>
  <si>
    <t>Interventions in biomechanics</t>
  </si>
  <si>
    <t>DSW</t>
  </si>
  <si>
    <t>Joint moments / muscle forces and strength dependence in sport</t>
  </si>
  <si>
    <t xml:space="preserve">Practical assessing muscle strength </t>
  </si>
  <si>
    <t>Factors affecting muscle strength</t>
  </si>
  <si>
    <t xml:space="preserve">Ultrasound imaging of muscle architecture and directed reading </t>
  </si>
  <si>
    <t xml:space="preserve">Plasticity of muscle architecture and functional implications </t>
  </si>
  <si>
    <t xml:space="preserve">Analysis of ultrasound images of muscle architecture </t>
  </si>
  <si>
    <t>Activation of angonist and antagonist muscles</t>
  </si>
  <si>
    <t>Pre-lab task: Video demo of agonist activaion data collection.
Computer practical: analysis of agonist activation</t>
  </si>
  <si>
    <t xml:space="preserve">Moment arms and mechanical advantage </t>
  </si>
  <si>
    <t xml:space="preserve">Calculating mechanical advanatge </t>
  </si>
  <si>
    <t xml:space="preserve">Assessment guidance and prep </t>
  </si>
  <si>
    <t>Please add CUES mapping to notes section</t>
  </si>
  <si>
    <t>6103SPS</t>
  </si>
  <si>
    <t>To develop an understanding of the regulation of the metabolic processes by which muscles are provided with energy during exercise, as well as examining the molecular mechanisms underpinning muscle adaptation to exercise training.</t>
  </si>
  <si>
    <t>Exercise Metabolism</t>
  </si>
  <si>
    <t>Theme 1: methods used in exercise metabolism</t>
  </si>
  <si>
    <t>Daniel Owens</t>
  </si>
  <si>
    <t>Theme 2: metabolic regulation during exercise</t>
  </si>
  <si>
    <t>Theme 3: metabolic adaptations to exercise training</t>
  </si>
  <si>
    <t xml:space="preserve">This module will use lectures, seminars (journal club and case studies), practical classes and engaging online content to engage students. </t>
  </si>
  <si>
    <t xml:space="preserve">Critically evaluate and synthesise evidence relating to the hormonal and cellular processes involved in the metabolic regulation of energy provision during exercise </t>
  </si>
  <si>
    <t>Critically evaluate the metabolic responses to acute and chronic endurance, high intensity and resistance-type exercise.</t>
  </si>
  <si>
    <t>Recognise and evaluate key concepts relating to the influence of pre- and during- exercise feeding on related metabolic pathways.</t>
  </si>
  <si>
    <t>Laboratory Report</t>
  </si>
  <si>
    <t xml:space="preserve">Scientific laboratory report based upon data collected during physiological testing lab practicals. Designed to demonstrate analysis, synthesis and evaluation skills. </t>
  </si>
  <si>
    <t xml:space="preserve">In person exam to assess knowledge and comprehension. </t>
  </si>
  <si>
    <t>Domain-specific analytical skills</t>
  </si>
  <si>
    <t>Research literacy</t>
  </si>
  <si>
    <t>Module overview and measuring fuel use during exercise</t>
  </si>
  <si>
    <t>Metabolic fuels and determinants of fuel selection during exercise</t>
  </si>
  <si>
    <t>Online mini lecture: important molecules in exercise metabolism</t>
  </si>
  <si>
    <t>NotebookLM podcast of key reading items</t>
  </si>
  <si>
    <t>Fundamentals of carbohydrate metabolism</t>
  </si>
  <si>
    <t>Seminar Journal club 1 - seminal research article Romijn et al 1993</t>
  </si>
  <si>
    <t>Fundamentals of lipid metabolism</t>
  </si>
  <si>
    <t>Seminar Journal club 2 - seminal research article van Loon et al 2001</t>
  </si>
  <si>
    <t>Fundamentals of protein metabolism</t>
  </si>
  <si>
    <t>Seminar Journal club 3 - seminal research article Watt et al 2002</t>
  </si>
  <si>
    <t>Lab practical</t>
  </si>
  <si>
    <t>Metabolic adaptations to endurance training</t>
  </si>
  <si>
    <t>Seminar Journal club 4 - seminal research article Romijn et al 1995</t>
  </si>
  <si>
    <t xml:space="preserve">Adaptations to resistance training </t>
  </si>
  <si>
    <t>Seminar Case study: Team sport athlete profiling</t>
  </si>
  <si>
    <t>Molecular drivers of exercise adaptations</t>
  </si>
  <si>
    <t xml:space="preserve">Seminar Case study: Metabolic consequences of low energy availability </t>
  </si>
  <si>
    <t>Maladaptations and the metabolic effects of detraining</t>
  </si>
  <si>
    <t xml:space="preserve">Seminar Case study: Premier league footballer ACL </t>
  </si>
  <si>
    <t>Mock exam preparation</t>
  </si>
  <si>
    <t>Metabolic profiling of athletes: lab to field data translation</t>
  </si>
  <si>
    <t xml:space="preserve">Seminar Case study: Ironman triathlete data analysis, training prescription and pacing </t>
  </si>
  <si>
    <t>Exam preparation lecture</t>
  </si>
  <si>
    <t>Exam preparation seminar</t>
  </si>
  <si>
    <t>Exam preparation - self directed</t>
  </si>
  <si>
    <t>6102SPS</t>
  </si>
  <si>
    <t>Physical activity and sedentary behaviour across the life course</t>
  </si>
  <si>
    <t>This module aims to engage students in current physical activity, sedentary behaviour and health concepts linked to stages of the life course. Students will gain experience of using physical activity and sedentary behaviour measurement tools via practical sessions. Students will also gain an understanding of the principles of intervention design, evaluation and health inequalities.</t>
  </si>
  <si>
    <t>Theme 1: Physical activity, sedentary behaviour and health across the life course, for example: Pregnancy, early years, childhood and adolescence, early adulthood, middle age, older age, inequalities.</t>
  </si>
  <si>
    <t>Prof. Lynne Boddy</t>
  </si>
  <si>
    <t xml:space="preserve">Theme 2: Intervention design, measurement and evaluation. Developing interventions physical activity and sedentary behaviour measurement, evaluation. </t>
  </si>
  <si>
    <t xml:space="preserve">This module will use flipped lectures, lectures, seminars, practical classes and online drop in sessions to engage students in the content. </t>
  </si>
  <si>
    <t xml:space="preserve">Each week content will be supplemented with an online drop in session (2hrs in total offeredin 2 x 1hr sessions to accomodate student timetables) for students to discuss topics and receive support. </t>
  </si>
  <si>
    <t>Formative feedback opportunities available in Week 3- review of assessment 1 planning document. Students will submit where they are up to with planning and receive feedback from the module team- either spoken/recorded feedback or annotations on the planning document.</t>
  </si>
  <si>
    <t xml:space="preserve">L6 students have given positive feedback around the flipped lecture approach on the current module, and this gets around timetabling issues at L6. The additional online drop in sessions are being piloted in 2026-2027 and seem to be useful/appreciated by teams so far. </t>
  </si>
  <si>
    <t xml:space="preserve">The online synchronous content has been included as seminars on the hours, and flipped lectures as 'online'. I wasnt sure of the best approach, and whether the hours are now too high. </t>
  </si>
  <si>
    <t>CASES CUES: 2.1.7. Growth, development and ageing- PA and SB across the lifecourse, T</t>
  </si>
  <si>
    <t>3.3.7: Physical activity monitoring T</t>
  </si>
  <si>
    <t>Demonstrate a crticial understanding of the influence of physical activity and sedentary behaviour on health across the life span.</t>
  </si>
  <si>
    <t>4.1.2 integration of variables contributing to exercise and health contexts T</t>
  </si>
  <si>
    <t>Demonstrate an ability to locate and synthesise physical activity, sedentary behaviour and health research literature.</t>
  </si>
  <si>
    <t>4.1.3 Consideration of special populations T</t>
  </si>
  <si>
    <t>Demonstrate a critical understanding of intervention design, measurement and evaluation principles in the context of physical activity, sedentary behaviour and health research.</t>
  </si>
  <si>
    <t>4.2.5 Evidence-based practice and evaluaiton D, A</t>
  </si>
  <si>
    <t xml:space="preserve">Demonstrate a critical  understanding of inequalities in physical activity, sedendary behaviour and associated health outcomes. </t>
  </si>
  <si>
    <t>4.3.4 Interpersonal &amp; communication skill development D</t>
  </si>
  <si>
    <t xml:space="preserve">Students produce a portfolio of three 500 word critical discussions based on responses to scenarios and/or questions. Students also complete a written reflection. This is an individual assessment. </t>
  </si>
  <si>
    <t xml:space="preserve">One 10 minute individual presentation plus up to 5 minutes of questions. </t>
  </si>
  <si>
    <t>Module introduction &amp; assessment feed forward [Flipped lecture]</t>
  </si>
  <si>
    <t>Life course 1</t>
  </si>
  <si>
    <t>Drop in week 1 content [online synchronous]</t>
  </si>
  <si>
    <t>Life course 2 introduction [flipped lecture]</t>
  </si>
  <si>
    <t>Life course 2</t>
  </si>
  <si>
    <t>Drop in week 2 content [online synchronous]</t>
  </si>
  <si>
    <t>Life course 3 introduction [flipped lecture]</t>
  </si>
  <si>
    <t>Life course 3 &amp; submission of assessment 1 Q1 planning document for formative assessment/feedback</t>
  </si>
  <si>
    <t>Drop in week 3 content [online synchronous]</t>
  </si>
  <si>
    <t>Life course 5 introduction [flipped lecture]</t>
  </si>
  <si>
    <t xml:space="preserve">Life course 5 </t>
  </si>
  <si>
    <t>Drop in week 4 content [online synchronous]</t>
  </si>
  <si>
    <t>Life course 4 introduction [flipped lecture]</t>
  </si>
  <si>
    <t>Life course 4</t>
  </si>
  <si>
    <t>Drop in week 5 content [online synchronous]</t>
  </si>
  <si>
    <t>Introduction to intervention design [flipped lecture]</t>
  </si>
  <si>
    <t>Intervention planning &amp; Assessment 1 support clinic</t>
  </si>
  <si>
    <t>Drop in week 6 content &amp; assessment support [online synchronous]</t>
  </si>
  <si>
    <t>ASSESSMENT 1 SUBMISSION</t>
  </si>
  <si>
    <t>Intervention design 2 [flipped lecture]</t>
  </si>
  <si>
    <t>Evaluation 1</t>
  </si>
  <si>
    <t>Practical: Measuring PA and SB 1 (IT rooms), drop in week 8 [online synchronous]</t>
  </si>
  <si>
    <t>Evaluation 2 introduction [flipped lecture]</t>
  </si>
  <si>
    <t>Evaluation 2</t>
  </si>
  <si>
    <t>Practical: Measuring PA and SB 2 (Sports Hall), drop in week 9 [online synchronous]</t>
  </si>
  <si>
    <t>Evaluation 3 introduction [flipped lecture]</t>
  </si>
  <si>
    <t>Evaluation 3</t>
  </si>
  <si>
    <t>Drop in week 10 content [online, synchronous]</t>
  </si>
  <si>
    <t>Intervention and Evaluation summary [flipped lecture]</t>
  </si>
  <si>
    <t xml:space="preserve"> Intervention and Evalution summary &amp; Assessment 2 support clinic</t>
  </si>
  <si>
    <t>Drop in week 11 content &amp; assessment support [online synchronous]</t>
  </si>
  <si>
    <t>ASSESSMENT 2 WEEK &amp; Module Summary [online]</t>
  </si>
  <si>
    <t>ASSESSMENT 2 WEEK</t>
  </si>
  <si>
    <t>Need to detail a formative task - please add to notes section</t>
  </si>
  <si>
    <t>A1: the description is brief (“Case-study presentation and viva”). Add what students produce, the length or duration, and whether it is individual or group.</t>
  </si>
  <si>
    <t>A2: the description is brief (“ECG interpretation exam”). Add what students produce, the length or duration, and whether it is individual or group.</t>
  </si>
  <si>
    <t>6104SPS</t>
  </si>
  <si>
    <t xml:space="preserve">To develop an understanding of integrated cardiovascular physiology, how we can measure and identify issues, and how we can prevent or alleviate conditions with lifestyle medicine. </t>
  </si>
  <si>
    <t>Cardiovascular Physiology</t>
  </si>
  <si>
    <t>Theme 1: Cardiovascular and vascular physiology/pathophysiology</t>
  </si>
  <si>
    <t>Ben Buckley</t>
  </si>
  <si>
    <t>Theme 2: Integrated cardiopulmonary physiology</t>
  </si>
  <si>
    <t xml:space="preserve">Theme 3: Cardiac electrophysiology </t>
  </si>
  <si>
    <t xml:space="preserve">This module will use lectures, seminars, practical classes and engaging online content to engage students. </t>
  </si>
  <si>
    <t xml:space="preserve">Each week typically includes a two hour lecture and two hour laboratory session where theoretical knowledge is applied. </t>
  </si>
  <si>
    <t>Critically evaluate the diagnostic and prognostic ability of various cardiovascular assessment tools employed in practice.</t>
  </si>
  <si>
    <t>Conduct, analyse, interpret, and communicate results from integrated cardiovascular assessments.</t>
  </si>
  <si>
    <t>Critically evaluate the pathophysiology of cardiovascular conditions, their impact on exercise response and exercise as medicine.</t>
  </si>
  <si>
    <t>Case-study presentation and viva</t>
  </si>
  <si>
    <t>ECG interpretation exam</t>
  </si>
  <si>
    <t>Laboratory/clinical techniques</t>
  </si>
  <si>
    <t>Teamwork</t>
  </si>
  <si>
    <t>Cardiovascular disease</t>
  </si>
  <si>
    <t>Vascular ultrasound practical</t>
  </si>
  <si>
    <t>Vascular physiology / pathophysiology</t>
  </si>
  <si>
    <t>Cardiopulmonary exercise testing: principles</t>
  </si>
  <si>
    <t>Conducting a CPET practical</t>
  </si>
  <si>
    <t>Cardiopulmonary exercise testing: application</t>
  </si>
  <si>
    <t>CPET interpretation practical</t>
  </si>
  <si>
    <t>Exercise prescription and assessment support</t>
  </si>
  <si>
    <t>Clinical CPET interpretation</t>
  </si>
  <si>
    <t>Advanced CPET interpretation (case studies)</t>
  </si>
  <si>
    <t>Assessment 1 tutorials</t>
  </si>
  <si>
    <t>Enrichment week</t>
  </si>
  <si>
    <t>Assessment 1: case-study presentation and viva</t>
  </si>
  <si>
    <t>ECG principles and assessment preparation</t>
  </si>
  <si>
    <t>Taking an ECG and ECG interpretation</t>
  </si>
  <si>
    <t>Clinical ECG interpretation</t>
  </si>
  <si>
    <t>Clinical ECG practical</t>
  </si>
  <si>
    <t>Advanced ECG interpretation</t>
  </si>
  <si>
    <t>Athletes’ ECG and cardiovascular disease</t>
  </si>
  <si>
    <t>Introduction to echocardiography</t>
  </si>
  <si>
    <t>Assessment 2 tutorials</t>
  </si>
  <si>
    <t>6105SPS</t>
  </si>
  <si>
    <t>To develop students' ability to evaluate and apply clinical gait analysis and biomechanical assessment techniques to identify movement impairments, understand injury mechanisms, and inform evidence-based decision making.</t>
  </si>
  <si>
    <t>Clinical Biomechanics of Gait and Injury</t>
  </si>
  <si>
    <t>Introduction to gait analysis, Observational gait analysis and temporal/spatial parameters, Methods of 3D movement analysis, Normal gait, Collection of kinematic data for assessment, Invited speaker on clinical gait analysis in cerebral palsy. Injury epidemiology, Risk factors and screening, Return to sports, Rehabilitation, Prevention.</t>
  </si>
  <si>
    <t>Gabor Barton</t>
  </si>
  <si>
    <t>This module explores the application of biomechanics to the assessment of human movement, with a particular focus on clinical gait analysis and sports injury management. Students will develop an understanding of normal and pathological gait, learning how observational gait analysis, temporal-spatial analysis, physical examination and three-dimensional motion analysis can be used to identify movement dysfunction and inform clinical and performance-related decision making. Through the study of normal and pathological gait patterns, supported by clinical case examples students will develop the skills required to interpret biomechanical data and understand the mechanisms underpinning movement impairments.</t>
  </si>
  <si>
    <t>The module combines lectures, seminars, directed reading and laboratory practicals to develop both theoretical understanding and applied practitioner skills. Practical classes provide hands-on experience in gait assessment, physical examination techniques, kinematic data collection and biomechanical data processing using specialist software. Formative activities, including multiple-choice questions and guided data interpretation exercises, provide opportunities for students to monitor their progress and receive feedback ahead of assessment.</t>
  </si>
  <si>
    <t>The second half of the module examines the role of biomechanics across the injury continuum. Students will investigate injury epidemiology, risk factors, screening approaches, injury prevention strategies, rehabilitation and return-to-performance decision making. Applied practical sessions enable students to undertake injury-related assessments and collect biomechanical data that can be used to evaluate injury risk and inform intervention strategies.</t>
  </si>
  <si>
    <t>Assessments are designed to develop both analytical and professional skills. Students will complete an applied gait analysis coursework project involving the collection, processing and interpretation of three-dimensional kinematic data, before applying biomechanical evidence to evaluate injury-related problems and develop evidence-informed recommendations for injury prevention, rehabilitation and return-to-performance. Through these activities, students will develop the ability to integrate biomechanical theory, clinical assessment and applied decision making within sport, exercise and healthcare settings.</t>
  </si>
  <si>
    <t xml:space="preserve">The gait analysis component of the module (content and assessment) is endorsed by the European Society for Movement Analysis in Adults and Children (www.esmac.org). </t>
  </si>
  <si>
    <t>Formative assessment: Multiple Choice Questions are used to assess knowledge covered in the first three weeks. Each question is discussed with students in a group session.</t>
  </si>
  <si>
    <t>2.3	Scientific Knowledge: Biomechanics
2.3.1	TDA Anatomy of human movement (including planes of motion, axes of rotation, segmental analysis)
2.3.2	TD Linear and angular kinetics
2.3.3	TDA Linear and angular kinematics
2.3.4	TDA Gait and postural control
2.3.5	- Fluid dynamics and projectile motion
2.3.6	- Work, power and energy
2.3.7	TDA Qualitative analysis of movement
2.3.8	- Motor skill acquisition (may be covered in psychology curriculum)</t>
  </si>
  <si>
    <t>3.3	Technical Skills: Development &amp; Application - Biomechanics
3.3.1	TDA Kinetic measurement techniques
3.3.2	TDA Kinematic measurement techniques
3.3.3	T Muscle activity assessment techniques
3.3.4	TDA Flexibility/ range of motion
3.3.5	- Balance
3.3.6	TD Muscular strength, power
3.3.7	-Physical activity monitoring
3.3.8	- Performance analysis</t>
  </si>
  <si>
    <t>4.1	Application of Knowledge &amp; Skills: Interdisciplinary
4.1.1	- Integration of variables contributing to sport performance contexts
4.1.2	TDA Integration of variables contributing to exercise &amp; health contexts
4.1.3	TDA Consideration of special populations
4.1.4	- Environmental and occupational factors in relation to health, disease, disorder, dysfunction &amp; rehabilitation
4.1.5	- Interdisciplinary project (where appropriate)
4.2	Application of Knowledge &amp; Skills: Research
4.2.1	TDA The value of research, and principles &amp; applications of scientific enquiry
4.2.2	- Appropriate research ethics &amp; governance training
4.2.3	TDA (quantitative) A range of qualitative and quantitative research methodologies
4.2.4	TDAUse of appropriate data analysis &amp; visualisation techniques
4.2.5	TDA Evidence-based practice and evaluation
4.2.6	- Research Project (where applicable)
4.3	Application of Knowledge &amp; Skills: Professional Practice and Employability 
4.3.1	TD Awareness of professional bodies (including CASES and others)
4.3.2	- Professional behaviour (ethics, values &amp; code of conduct)
4.3.3	- Safeguarding, welfare &amp; vulnerable groups
4.3.4	- Interpersonal &amp; communication skill development
4.3.5	- Reflective practice 
4.3.6	TDA Work-based or work-related learning placement or project
4.3.7	TD Development and career planning
4.3.8	- Awareness of commercial/ enterprise contexts 
4.3.9	- Global awareness (sport  related)</t>
  </si>
  <si>
    <t>Conduct an experimental analysis of human gait and interpret the findings</t>
  </si>
  <si>
    <t>Critically evaluate injury epidemiology, mechanisms and risk factors to inform evidence-based injury assessment and management</t>
  </si>
  <si>
    <t>The effects of walking speed on three-dimensional gait kinematics</t>
  </si>
  <si>
    <t>A client summary for a specific injury with presentation</t>
  </si>
  <si>
    <t>Module introduction and
Introduction to gait analysis</t>
  </si>
  <si>
    <t>Directed reading (selected papers, ESMAC abstracts, CMAS/ESMAC websites, etc.)</t>
  </si>
  <si>
    <t>Observational gait analysis and temporal-spatial parameters</t>
  </si>
  <si>
    <t>Capturing, calculating and interpreting temporal and spatial parameters of gait using TemporoSpatial program and new/existing data</t>
  </si>
  <si>
    <t>Physical examination</t>
  </si>
  <si>
    <r>
      <t xml:space="preserve">Measure joint angles from images with program, explain which muscle/tendon is short. </t>
    </r>
    <r>
      <rPr>
        <b/>
        <sz val="10"/>
        <color rgb="FFFF0000"/>
        <rFont val="Arial"/>
        <family val="2"/>
      </rPr>
      <t>FORMATIVE MCQs covering content so far</t>
    </r>
    <r>
      <rPr>
        <sz val="11"/>
        <color theme="1"/>
        <rFont val="Aptos Narrow"/>
        <family val="2"/>
        <scheme val="minor"/>
      </rPr>
      <t>, see in phys. exam folder.</t>
    </r>
  </si>
  <si>
    <t>Normal gait</t>
  </si>
  <si>
    <t>Compare normal gait video with normal angle curves</t>
  </si>
  <si>
    <t>Kinematics data collection for Coursework</t>
  </si>
  <si>
    <t>Data processing in QTM&amp;V3D with step-by-step guide</t>
  </si>
  <si>
    <t>Clinical gait analysis - invited speaker</t>
  </si>
  <si>
    <t>Identify mechanisms in normal and pathological gait (ankylosis, SDR, CP) using video worksheets</t>
  </si>
  <si>
    <r>
      <t xml:space="preserve">Coursework preparation
</t>
    </r>
    <r>
      <rPr>
        <b/>
        <sz val="10"/>
        <color rgb="FFFF0000"/>
        <rFont val="Arial"/>
        <family val="2"/>
      </rPr>
      <t>COURSEWORK SUBMISSION on Canvas</t>
    </r>
  </si>
  <si>
    <t>The injury problem (injury epidemiology)</t>
  </si>
  <si>
    <t>Seminar 90 mins</t>
  </si>
  <si>
    <t>Risk factors and screening</t>
  </si>
  <si>
    <t>Injury  practical  1 - Applied assessment 2hrs</t>
  </si>
  <si>
    <t>Return to play / performance</t>
  </si>
  <si>
    <t>Injury  practical  2 - Biomechanical assessment 2hrs</t>
  </si>
  <si>
    <t>Injury prevention</t>
  </si>
  <si>
    <t>Injury - data collection 2hrs</t>
  </si>
  <si>
    <t>Feedforward Seminar 90 mins</t>
  </si>
  <si>
    <t>Injury rehabilitation</t>
  </si>
  <si>
    <t>6106SPS</t>
  </si>
  <si>
    <t>This module aims to develop students' understanding of the role of physical activity and sedentary behaviour in the prevention and management of long term medical conditions. It explores contemporary evidence and practice relating to the promotion of physical activity, the reduction of sedentary behaviour, and the use of physical activity as an evidence based, non pharmacological component of healthcare across a range of clinical populations and settings. Students will critically evaluate current approaches to physical activity promotion and progress from understanding interventions within specific populations and environments to designing and communicating evidence informed physical activity interventions for clinical populations.</t>
  </si>
  <si>
    <t>Physical Activity in Healthcare</t>
  </si>
  <si>
    <t>The role of physical activity within healthcare, including referral pathways, clinical reporting, prehabilitation, rehabilitation, risk stratification and health inequalities.
Physical activity as an evidence based, non pharmacological component of the prevention and management of long term medical conditions.</t>
  </si>
  <si>
    <t>Dr Tori Sprung</t>
  </si>
  <si>
    <t>Physiological, psychological and functional benefits of physical activity across a range of clinical populations, including cancer, cardiovascular disease, metabolic disease, rheumatic disease, pregnancy and severe mental illness.</t>
  </si>
  <si>
    <t>Behaviour change and motivational strategies to support long term physical activity participation and adherence.
Effective communication with healthcare professionals, patients and the wider public, including the translation of scientific evidence into accessible health messages.</t>
  </si>
  <si>
    <t>Students are expected to engage with a combination of synchronous and asynchronous learning activities, including lectures, some of which may be delivered by guest speakers with specialist expertise. Workshops, journal club seminars and online worksheet activities are designed to consolidate lecture content, promote critical engagement with the evidence base and support the application of learning to clinical practice.</t>
  </si>
  <si>
    <t>Interactive teaching sessions will incorporate discussion activities that encourage students to share perspectives and experiences, fostering collaborative learning and consideration of wider societal and healthcare needs. Additional tutorials will be available throughout the module, with students expected to book appointments via the University's SeeMyTutor system to support their academic development.</t>
  </si>
  <si>
    <t>Students are also expected to undertake prescribed reading and directed independent study to broaden their knowledge, develop critical understanding and strengthen their ability to apply evidence based principles of physical activity for people living with long term medical conditions.</t>
  </si>
  <si>
    <r>
      <rPr>
        <b/>
        <sz val="11"/>
        <color rgb="FF000000"/>
        <rFont val="Aptos Narrow"/>
        <family val="2"/>
        <scheme val="minor"/>
      </rPr>
      <t>Interactive learning and formative assessment:</t>
    </r>
    <r>
      <rPr>
        <sz val="11"/>
        <color rgb="FF000000"/>
        <rFont val="Aptos Narrow"/>
        <family val="2"/>
        <scheme val="minor"/>
      </rPr>
      <t xml:space="preserve"> Workshops and seminars are designed to be interactive, incorporating formative assessment, peer feedback and whole group discussion. Activities are scaffolded to support students in preparing for their summative assessments, including drafting and refining sections of their The Conversation style articles, developing infographics and practising presentations in preparation for their patient education sessions. These activities provide opportunities for students to receive feedback, reflect on their progress and develop confidence in communicating evidence to lay audiences. There are several formative tasks included in self-directed learning also, eg. quizzes.</t>
    </r>
  </si>
  <si>
    <r>
      <t>Patient education session delivery:</t>
    </r>
    <r>
      <rPr>
        <sz val="11"/>
        <color theme="1"/>
        <rFont val="Aptos Narrow"/>
        <family val="2"/>
        <scheme val="minor"/>
      </rPr>
      <t xml:space="preserve"> Patient education sessions will be delivered individually on the University campus and recorded for assessment and moderation purposes.</t>
    </r>
  </si>
  <si>
    <r>
      <rPr>
        <b/>
        <sz val="11"/>
        <color rgb="FF000000"/>
        <rFont val="Aptos Narrow"/>
        <family val="2"/>
        <scheme val="minor"/>
      </rPr>
      <t xml:space="preserve">Assessment overview: </t>
    </r>
    <r>
      <rPr>
        <sz val="11"/>
        <color rgb="FF000000"/>
        <rFont val="Aptos Narrow"/>
        <family val="2"/>
        <scheme val="minor"/>
      </rPr>
      <t>The two assessments complement one another rather than duplicating each other: Assessment 1 asks: Can you find, evaluate, synthesise and communicate the evidence? Assessment 2 asks: Can you apply that evidence safely and effectively when educating and supporting patients?</t>
    </r>
  </si>
  <si>
    <t>Examine the prevalence of long term medical conditions and critically consider how protected characteristics and their intersections influence disease risk, health inequalities and opportunities for physical activity participation.</t>
  </si>
  <si>
    <t>Evaluate the evidence underpinning physical activity for the prevention and management of long term medical conditions, including its role in improving function, facilitating recovery, maximising independence and supporting participation.</t>
  </si>
  <si>
    <t>Critically evaluate the practical, ethical and societal considerations associated with promoting physical activity and reducing sedentary behaviour among people living with long term medical conditions.</t>
  </si>
  <si>
    <t>Critically analyse the effectiveness of physical activity, sedentary behaviour and health interventions, and formulate evidence based recommendations appropriate for clinical practice and patient education.</t>
  </si>
  <si>
    <t>Communicate evidence based physical activity recommendations effectively to healthcare professionals, patients and the wider public, adapting information appropriately for the intended audience.</t>
  </si>
  <si>
    <t>The Conversation' style article and accompanying infographic. Individual assessment: Students produce a 3-page article written in the style of The Conversation, accompanied by an infographic. The article critically synthesises evidence relating to the role of physical activity in the management of a long term medical condition of their choice, translating complex scientific information into accessible, evidence based recommendations for a lay audience. The accompanying infographic visually communicates key messages.</t>
  </si>
  <si>
    <t>24 (6)</t>
  </si>
  <si>
    <t>Patient Education Session. Individual assessment: Students design and deliver a 10 minute patient education session, supported by presentation slides, for a clinical population living with a specified long term medical condition (different to that selected for assessment 1). The presentation communicates key information about the condition and the role of physical activity in its management, providing evidence based recommendations that consider individual abilities, exercise adaptations, progression and safety. This is followed by approximately 5 minutes of questioning (2-3 questions posed from a patient perspective), during which students demonstrate their ability to respond to patient concerns and communicate complex information clearly and appropriately.</t>
  </si>
  <si>
    <t>33 (12)</t>
  </si>
  <si>
    <t>Module introduction</t>
  </si>
  <si>
    <t>Self-directed learning on Canvas pages</t>
  </si>
  <si>
    <t>The role of Physical Activity in healthcare</t>
  </si>
  <si>
    <t>Physical activity for clinical groups</t>
  </si>
  <si>
    <t>Effective Communication &amp; Utilisation of Evidence</t>
  </si>
  <si>
    <t>The role of Physical Activity in healthcare II + Assessment Feedforward</t>
  </si>
  <si>
    <t>Seminar incluidng formative task of outlining sections of conversation article and receiving peer feedback.</t>
  </si>
  <si>
    <t>PA for Cancer</t>
  </si>
  <si>
    <t>PA for Pregnancy related complications</t>
  </si>
  <si>
    <t>PA for Mental Health</t>
  </si>
  <si>
    <t>PA for Rheumatoid Arthritis</t>
  </si>
  <si>
    <t>Motivatonal Strategies to Enhance Adherence &amp; Compliance</t>
  </si>
  <si>
    <t>Assessment Support Clinic</t>
  </si>
  <si>
    <t>Add CUES mapping - to notes section</t>
  </si>
  <si>
    <t>No formative task is noted - add to notes section</t>
  </si>
  <si>
    <t>6107SPS</t>
  </si>
  <si>
    <t>Environmental Physiology</t>
  </si>
  <si>
    <t xml:space="preserve">This module is designed to critically examine the limitations to health and
performance under various environmental stressors and will examine how these
limitations can be ameliorated with appropriate adaptation strategies and exercise
interventions.
</t>
  </si>
  <si>
    <t>Thermoregulatory physiology
Hydration
Exercise in the heat/cold
Circadian physiology
Pollution
Space physiology
Exercise at altitude
Diving physiology
Climate change</t>
  </si>
  <si>
    <t>Dr Ben Edwards</t>
  </si>
  <si>
    <t xml:space="preserve">Learning Activities
Students will attend time-tabled lectures and laboratory practicals and will be
encouraged to utilise the available directed learning/private study time and resources
made available via the virtual learning platforms. Students should seek advice from
module staff and/or conduct essential reading as directed. Some of the teaching
sessions will contain practical based activities where students will be required to use
their analytical, statistical and problem solving skills to enhance their own learning.
Students should complete the required and recommended reading and directed
learning/private study tasks to widen their knowledge, understanding and their ability
to apply module material. Students will be required to evidence this in their
assessments, in practical/tutorial discourse and via virtual learning platform tasks.
</t>
  </si>
  <si>
    <t>Learning Activities</t>
  </si>
  <si>
    <t>Students will attend time-tabled lectures and laboratory practicals and will be</t>
  </si>
  <si>
    <t>encouraged to utilise the available directed learning/private study time and resources</t>
  </si>
  <si>
    <t>made available via the virtual learning platforms. Students should seek advice from</t>
  </si>
  <si>
    <t>module staff and/or conduct essential reading as directed. Some of the teaching</t>
  </si>
  <si>
    <t>sessions (seminars) will contain practical based activities where students will be required to use</t>
  </si>
  <si>
    <t>Critically analyse the limitations to performance and health during common environmental stressors</t>
  </si>
  <si>
    <t>their analytical, statistical and problem solving skills to enhance their own learning.</t>
  </si>
  <si>
    <t xml:space="preserve">Critically evaluate a range of coping strategies when confronted with common
environmental stressors
</t>
  </si>
  <si>
    <t>Students should complete the required and recommended reading and directed</t>
  </si>
  <si>
    <t>learning/private study tasks to widen their knowledge, understanding and their ability</t>
  </si>
  <si>
    <t>to apply module material. Students will be required to evidence this in their</t>
  </si>
  <si>
    <t>assessments, in practical/tutorial discourse and via virtual learning platform tasks.</t>
  </si>
  <si>
    <t>On a chosen sporting challenge in extreme heat/cold</t>
  </si>
  <si>
    <t>Presnt a poster and defend questions on the poster and the topic both theoretical and practical</t>
  </si>
  <si>
    <t>25 (10/2/2027)</t>
  </si>
  <si>
    <t>Answering 2/4 questions</t>
  </si>
  <si>
    <t>From the Topics/lectures covered in the module</t>
  </si>
  <si>
    <t>34 (10/5/2027)</t>
  </si>
  <si>
    <t>Digital literacy</t>
  </si>
  <si>
    <t>Research communication</t>
  </si>
  <si>
    <t>Introduction</t>
  </si>
  <si>
    <t>Lecture and seminar (allocation to groups for ASS1)</t>
  </si>
  <si>
    <t>Heat</t>
  </si>
  <si>
    <t>Lecture and seminar and practical (heat/cold)</t>
  </si>
  <si>
    <t xml:space="preserve">Cold </t>
  </si>
  <si>
    <t>Dehydration</t>
  </si>
  <si>
    <t>Lecture and seminar and theme consolidation</t>
  </si>
  <si>
    <t>Rhythms</t>
  </si>
  <si>
    <t xml:space="preserve">Lecture </t>
  </si>
  <si>
    <t>Directed Study week</t>
  </si>
  <si>
    <t>Sleep</t>
  </si>
  <si>
    <t>ASS1 submission and Presentation</t>
  </si>
  <si>
    <t>Polution</t>
  </si>
  <si>
    <t>Lecture  and theme consolidation</t>
  </si>
  <si>
    <t>Space</t>
  </si>
  <si>
    <t>Lecture and seminar</t>
  </si>
  <si>
    <t>Altitude</t>
  </si>
  <si>
    <t>Lecture and seminar and practical (alt 1)</t>
  </si>
  <si>
    <t>Diving</t>
  </si>
  <si>
    <t>Lecture and seminar and practical (alt 2) and theme consolidation</t>
  </si>
  <si>
    <t>Survival vs Sport Science</t>
  </si>
  <si>
    <t>Add CUES mapping to notes section</t>
  </si>
  <si>
    <t>6108SPS</t>
  </si>
  <si>
    <t xml:space="preserve">This module first aims to introduce fundamental knowledge in nutrition related to methods to measure energy intake/expenditure and body composition, macro- andmicronutrients. This knowledge will underpin the second aim. </t>
  </si>
  <si>
    <t>Health and Performance Nutrition</t>
  </si>
  <si>
    <t>the second aim is understanding how _x000D_macronutrients, micronutrients and ergogenic aids can be used effectively to_x000D_ enhance sports performance, training adaptation, and exercise recovery. The_x000D_ module will also consider the application of the key principles of nutrition to improve _x000D_health and prevent and treat metabolic disease.</t>
  </si>
  <si>
    <t>Methods in Nutrition; Measuring energy intake, Measuring energy expenditure,_x000D_ Measuring body composition
Nutrition Fundamentals – Macro- &amp; micro-nutrients; RDI's, Carbohydrates, Fats,_x000D_Proteins, Vitamins, Minerals</t>
  </si>
  <si>
    <t>Richie Kirwan</t>
  </si>
  <si>
    <t>Sports Nutrition; Endurance sports performance, Strength/power sports_x000D_ performance, Intermittent sports performance, Weight-making sports performance,_x000D_Hydration
_x000D_Health Nutrition; Obesity, T2D, Aging &amp; sarcopenia, Eating disorders</t>
  </si>
  <si>
    <t>Individual-level influences on physical activity and sedentary behaviour
Prevalence, patterns and trends in physical activity and sedentary behaviour</t>
  </si>
  <si>
    <t>This module firstly aims to introduce fundamental knowledge in nutrition related to methods to measure energy intake/expenditure and body composition, macro- and micronutrients. This knowledge will underpin the second aim of understanding how macronutrients, micronutrients and ergogenic aids can be used effectively to enhance sports performance, training adaptation, and exercise recovery.</t>
  </si>
  <si>
    <t>Formative task 1: Observed, pair-based dietary assessment practice</t>
  </si>
  <si>
    <t>Formative task 2: Recipe creation and nutrient analysis using Nutritics software.</t>
  </si>
  <si>
    <t>Critically evaluate the contribution of macronutrients to sports performance,_x000D_training adaptations and recovery.</t>
  </si>
  <si>
    <t>Critically evaluate the role of micronutrients and ergogenic aids in sports_x000D_performance, training adaptation and recovery</t>
  </si>
  <si>
    <t>Critically evaluate the role of diet in prevention and treatment of metabolic disease.</t>
  </si>
  <si>
    <t>Group presentation on population nutrient deficiency in health and performance context</t>
  </si>
  <si>
    <t>Case Study</t>
  </si>
  <si>
    <t>Case study of athlete needs for performance and health goals</t>
  </si>
  <si>
    <t xml:space="preserve">	Lecture Week 1: Module Introduction: Calories, Macros &amp; Calculations</t>
  </si>
  <si>
    <t xml:space="preserve">	Lecture Week 2: Nutrition for endurance performance</t>
  </si>
  <si>
    <t>Seminar Week 2: Assessing Intake</t>
  </si>
  <si>
    <t xml:space="preserve">	Lecture Week 3: Nutrition for making weight</t>
  </si>
  <si>
    <t>Seminar Week 3: Intro to nutrition software packages</t>
  </si>
  <si>
    <t>Lecture Week 4: Appetite Regulation</t>
  </si>
  <si>
    <t>Seminar Week 4: RDIs</t>
  </si>
  <si>
    <t>Lab Week 4: Body Composition Analysis</t>
  </si>
  <si>
    <t xml:space="preserve">	Lecture Week 5: Nutrition and Cardiovascular Disease</t>
  </si>
  <si>
    <t xml:space="preserve">	Seminar Week 5: Minerals 1</t>
  </si>
  <si>
    <t xml:space="preserve">	Lab Week 5: Glycemic response to food</t>
  </si>
  <si>
    <t>Lecture Week 6: Ultra Processed Foods and Health</t>
  </si>
  <si>
    <t xml:space="preserve">	Seminar Week 6: Minerals 2</t>
  </si>
  <si>
    <t>Lab Week 6: Assessment Support Drop-In</t>
  </si>
  <si>
    <t>Lecture Week 8: Nutrition for strength/power athletes</t>
  </si>
  <si>
    <t>Seminar Week 8: Vitamins 1</t>
  </si>
  <si>
    <t>Lab Week 8: Assessment Support Drop-In</t>
  </si>
  <si>
    <t>Lecture Week 9: Fueling Team Sports</t>
  </si>
  <si>
    <t>Seminar Week 9: Vitamins 2</t>
  </si>
  <si>
    <t>Lecture Week 10: Hydration and sports performance</t>
  </si>
  <si>
    <t>Lecture Week 11: Nutrition and Diabetes</t>
  </si>
  <si>
    <t>Extend on outline syllabus</t>
  </si>
  <si>
    <t>Is it possible to include something relating to A.I and sustainability in the assessments</t>
  </si>
  <si>
    <t>6109SPS</t>
  </si>
  <si>
    <t>This module provides students with the opportunity to develop and critically evaluate the knowledge, skills and professional behaviours required for effective practice within applied sport and exercise science.</t>
  </si>
  <si>
    <t>Applied Professional Practice </t>
  </si>
  <si>
    <t>YL</t>
  </si>
  <si>
    <t>Map and examine professional competencies which translate experience to graduate exit routes.</t>
  </si>
  <si>
    <t>Tim Donovan</t>
  </si>
  <si>
    <t>This module enables students to apply and critically evaluate their sport and exercise science knowledge within an authentic professional setting. Students will undertake a placement or equivalent work-related learning experience, using reflective practice and scientific evidence to evaluate their contribution, professional development and the demands of their chosen area of practice. The module supports the transition from academic study to graduate employment by fostering professional competence, critical thinking and lifelong learning.</t>
  </si>
  <si>
    <t>Following the lectures to the cohort the students will follow specific training and tutorials associated with their placement from the allocated tutors.  The content and structure will be dependent on the type of placement (in-situ, remote or work related) and the type of activity.</t>
  </si>
  <si>
    <t>Formative assesments will be provided by the individual placement tutor for AS1.  In class formative assessmnet will be initiated in semester two for AS2</t>
  </si>
  <si>
    <t>The Level 6 Placement Module provides all students with opportunities to develop core competencies in applied scientific knowledge, evidence-based practice, critical reflection, communication, professional development, problem solving and ethical professional behaviour.</t>
  </si>
  <si>
    <t>CASES professional competencies developed across all placement routes (T): 1.1, 1.3, 2.3, 3.5, 3.6, 4.1, 4.2, 4.3, 5.4, 5.5, 6.1, 7.1, 7.3, 8.2, 8.7, 9.3, 10.1, 10.2, 10.7, 10.8.</t>
  </si>
  <si>
    <t>Additional competencies are developed according to the specific requirements and activities of individual placements, including technical assessment, applied interventions, research, consultancy, multidisciplinary working and client-facing responsibilities.</t>
  </si>
  <si>
    <t>Additional CASES professional competencies dependent upon placement activities and responsibilities (T/D): 1.2, 1.4, 1.5, 2.1, 2.2, 2.4, 2.5, 3.1, 3.2, 3.3, 3.4, 3.7, 4.4, 4.5, 4.6, 5.1, 5.2, 5.3, 5.6, 6.2, 6.3, 6.4, 6.5, 6.6, 7.2, 7.4, 7.5, 7.6, 8.1, 8.3, 8.4, 8.5, 8.6, 9.1, 9.2, 9.4, 9.5, 9.6, 10.3, 10.4, 10.5, 10.6.</t>
  </si>
  <si>
    <t>Critically evaluate the important skills, applied knowledge and evidence base required to work in applied Sport and Exercise Science</t>
  </si>
  <si>
    <t>Critically reflect on issues relating to professional practice.</t>
  </si>
  <si>
    <t>Demonstrate a critical understanding of the applied knowledge in your placement area.</t>
  </si>
  <si>
    <t>Work related task. The submission will depend upon the nature of the work related activity (3000 words or equivalent)</t>
  </si>
  <si>
    <t>An individual presentation within the context of the discipline area that you have completed your placement, and in consideration of your skills, experience and possible career plans you are required to reflect upon the knowledge and competencies required to work in Sport and Exercise Science field/discipline.</t>
  </si>
  <si>
    <t>Stakeholder awareness</t>
  </si>
  <si>
    <t>Ethical practice</t>
  </si>
  <si>
    <t>Professionalism</t>
  </si>
  <si>
    <t>Cultural awareness and competence</t>
  </si>
  <si>
    <t>Evidence-Based Practice in Sport and Exercise Science</t>
  </si>
  <si>
    <t>Critically evaluating scientific evidence and applying research findings to inform professional decisions and practice.</t>
  </si>
  <si>
    <t>Professional Relationships and Communication</t>
  </si>
  <si>
    <t>Developing effective communication, interpersonal skills and professional relationships with clients, colleagues and stakeholders.</t>
  </si>
  <si>
    <t>Child Protection and participant welfare - Summative assessment with formative process to achieve the outcome</t>
  </si>
  <si>
    <t>Problem Solving in Professional Practice</t>
  </si>
  <si>
    <t>Identifying professional challenges and applying critical thinking, analytical skills and evidence-based approaches to develop appropriate solutions.</t>
  </si>
  <si>
    <t>Helath, safey and risk assessment - Summative assessment with formative process to achieve the outcome</t>
  </si>
  <si>
    <t>Applying Knowledge to Practice</t>
  </si>
  <si>
    <t>Integrating theoretical knowledge and practical skills to address real-world challenges in sport and exercise science settings.</t>
  </si>
  <si>
    <t>Managing Professional Practice</t>
  </si>
  <si>
    <t>Developing organisational, planning, time management and reflective skills to manage professional responsibilities effectively.</t>
  </si>
  <si>
    <t>Delivering Sport and Exercise Science in Professional Contexts</t>
  </si>
  <si>
    <t>Planning, implementing and evaluating sport and exercise science services and interventions within professional environments.</t>
  </si>
  <si>
    <t>Refective practcice</t>
  </si>
  <si>
    <t>Critically reflecting on professional experiences to evaluate performance, identify strengths and areas for development and inform future professional practice.</t>
  </si>
  <si>
    <t xml:space="preserve">ReflectIon on placement objectives </t>
  </si>
  <si>
    <t>Critical analysis of placement objectives and outcomes in preperation for reflective presentation (AS2)</t>
  </si>
  <si>
    <t>Formative assessment of critical evaluation of placement (A2)</t>
  </si>
  <si>
    <t>6091SPS</t>
  </si>
  <si>
    <t>To critically extend the students understanding and deployment of the research process through the planning, production, analyses and report of a piece of independent research conducted in a responsible, safe and ethical manner</t>
  </si>
  <si>
    <t>Major Project</t>
  </si>
  <si>
    <t xml:space="preserve">Project design (e.g., ethical approval, risk assessment, technical training, data analyses) </t>
  </si>
  <si>
    <t>Dave Low</t>
  </si>
  <si>
    <t>Project monitoring (tutorials with project supervisor to discuss and provide feedback on research process)</t>
  </si>
  <si>
    <t>Research Project</t>
  </si>
  <si>
    <t>Practical data collection, analysis and communication</t>
  </si>
  <si>
    <t xml:space="preserve">Students should attend all lectures/seminars/tutorials on the </t>
  </si>
  <si>
    <t xml:space="preserve">requirements of the project. Students should meet regularly with their designated </t>
  </si>
  <si>
    <t xml:space="preserve">major project supervisor and or Personal Tutor to engage with tutorial support. </t>
  </si>
  <si>
    <t>Students may be required to undertake training and to demonstrate competency with</t>
  </si>
  <si>
    <t>research tools.</t>
  </si>
  <si>
    <t xml:space="preserve">Formative assessment will be faciliated via a range of items, such as, risk assessment and ethics drafts, systematic review protocol template, methods training, project specific methods training, PLG and individual tutorial activity, supervisor feedback on data analyses and thesis and defence inforgraphic summative assessment items  </t>
  </si>
  <si>
    <t>4.2.1.The value of research, and principles &amp; applications of scientific enquiry (T,D,A)</t>
  </si>
  <si>
    <t>4.2.2.Appropriate research ethics &amp; governance training (T,D,A)</t>
  </si>
  <si>
    <t>4.2.3.A range of qualitative and quantitative research methodologies (T,D,A)</t>
  </si>
  <si>
    <t>4.2.4.Use of appropriate data analysis &amp; visualisation techniques (T,D,A)</t>
  </si>
  <si>
    <t>4.2.5.Evidence-based practice and evaluation (D,A)</t>
  </si>
  <si>
    <t>Apply skills and competencies to conduct research in an area relevant to their programme of study</t>
  </si>
  <si>
    <t>4.2.6.Research Project (T,D,A)</t>
  </si>
  <si>
    <t>Critically appraise the research in a written format as specified by the major project guidelines</t>
  </si>
  <si>
    <t>4.3.1.Awareness of professional bodies (including CASES and others) (D)</t>
  </si>
  <si>
    <t>Present and defend the progress and summary of the project and its findings in a scientific manner</t>
  </si>
  <si>
    <t>4.3.2.Professional behaviour (ethics, values &amp; code of conduct) (T,D,A)</t>
  </si>
  <si>
    <t>4.3.4.Interpersonal &amp; communication skill development (T,D,A)</t>
  </si>
  <si>
    <t>4.3.5.Reflective practice (D)</t>
  </si>
  <si>
    <t>Dissertation</t>
  </si>
  <si>
    <t>Students are required to submit a thesis that describes and reports the major project that they conducted using the scientific method, e.g., Introduction, Methods, Results and Discussion. This could be in the format of an Empirical type project or a Systeamtic Review type project. AI use will be allowed and will be assessed.</t>
  </si>
  <si>
    <t xml:space="preserve">Students are required to manage their own project throughout the year and produce, present and defend their major project </t>
  </si>
  <si>
    <t>Technical proficiency</t>
  </si>
  <si>
    <t>Risk assessment</t>
  </si>
  <si>
    <t>Empirical Major Projects Intro </t>
  </si>
  <si>
    <t>Systematic Review Projects Intro </t>
  </si>
  <si>
    <t>PLG</t>
  </si>
  <si>
    <t>Project Management Skills</t>
  </si>
  <si>
    <t>Systematic Review Projects; Top Tips</t>
  </si>
  <si>
    <t xml:space="preserve">Research Sustainability </t>
  </si>
  <si>
    <t>Writing your Risk Assessment and Ethics Application</t>
  </si>
  <si>
    <t>Literature searching 2</t>
  </si>
  <si>
    <t>Academic writing and Ethical AI Use</t>
  </si>
  <si>
    <t>Article Screening</t>
  </si>
  <si>
    <t>Data Collection Tools</t>
  </si>
  <si>
    <t>Data Extraction</t>
  </si>
  <si>
    <t>DROP IN</t>
  </si>
  <si>
    <t>Welcome Back/Thesis Feedforward</t>
  </si>
  <si>
    <t>Writing Up Part 1</t>
  </si>
  <si>
    <t>Data Extraction 2</t>
  </si>
  <si>
    <t>Quantitative Data Analyses</t>
  </si>
  <si>
    <t>Data Presentation</t>
  </si>
  <si>
    <t>Qualititative Data Analyses</t>
  </si>
  <si>
    <t>Writing Up Part 2</t>
  </si>
  <si>
    <t>Project Defence Feedforward</t>
  </si>
  <si>
    <t>add CUES mapping to notes section</t>
  </si>
  <si>
    <t>6093SPS</t>
  </si>
  <si>
    <t>Students will learn how to implement strength and conditioning concepts and principles in the applied sporting environment. Specifically, students will develop the knowledge and skills needed to perform a needs analysis of an athlete, analyse data against theoretical norms and programme design. Students will gain the opportunity to practise and explore the correct ways to administer safe and effective training-interventions.</t>
  </si>
  <si>
    <t>Strength and Conditioning</t>
  </si>
  <si>
    <t>Needs analysis (of a sport and athlete); warm-ups; periodisation and programme design; basic lifting technique; performance testing and monitoring; strength and power development; speed and agility; endurance performance (aerobic and anaerobic); concurrent training; data visualisation; injury prevention. </t>
  </si>
  <si>
    <t>Chelsea Oxendale</t>
  </si>
  <si>
    <t>SES, SC, PE</t>
  </si>
  <si>
    <t>In this module, you will learn to apply strength and conditioning principles in a sporting context to enhance performance and minimize risk of injury. You will develop the knowledge and skills to conduct a thorough needs analysis, assess data against normative values, and design individualized training programs tailored to the athlete's needs. Furthermore, you will gain hands-on experience in resistance training, power and speed development, injury screening, performance testing, and explore different data visualization methods</t>
  </si>
  <si>
    <t>Formative task 1: Students complete a needs analysis task in groups. Formative task 2: Students design a training programme for a 10 km runner</t>
  </si>
  <si>
    <t>CUES mapping: 2.1.5: Components of fitness, principles of training &amp; adaptations to training (structure and function) (T,D,A)</t>
  </si>
  <si>
    <t>2.1.6: Fatigue, recovery and overtraining (T,D)</t>
  </si>
  <si>
    <t>2.3.7: Qualitative analysis of movement (T,D)</t>
  </si>
  <si>
    <t>3.1.3: Sub-maximal and maximal exercise tests (T)</t>
  </si>
  <si>
    <t>3.1.4: Muscular strength, speed, power, endurance and repeat sprint activity (T,D)</t>
  </si>
  <si>
    <t>Complete an athlete needs analysis and analyse the data against norms found within academic literature</t>
  </si>
  <si>
    <t>3.2.1: Needs analysis, intervention design and evaluation (T,D,A)</t>
  </si>
  <si>
    <t>Design an athlete training programme in consideration of the athlete needs analysis and scientific determinants of performance.</t>
  </si>
  <si>
    <t>3.2.3: Goal setting (T,D,A)</t>
  </si>
  <si>
    <t>Design safe and effective coaching sessions to athletes</t>
  </si>
  <si>
    <t>3.3.6: Muscular strength, power (T,D)</t>
  </si>
  <si>
    <t>4.1.1: Integration of variables contributing to sport performance contexts (T, D)</t>
  </si>
  <si>
    <t>4.2.4: Use of appropriate data analysis &amp; visualisation techniques (T,D); 4.3.1: Awareness of professional bodies (including CASES and others) (T); 4.3.7: Development and career planning (T)</t>
  </si>
  <si>
    <t>Students will produce and deliver an individual 10 minute pre-recorded needs analysis presentation</t>
  </si>
  <si>
    <t>Viva</t>
  </si>
  <si>
    <t>Students will produce an individual 4 week training programme and take part in an individual 10 minute oral viva defence to answer questions about their training programme.</t>
  </si>
  <si>
    <t>Adaptability</t>
  </si>
  <si>
    <t>Module Introduction and Needs Analysis (Assessment Guidance)</t>
  </si>
  <si>
    <t>Seminar: Needs Analysis and Effective Coaching (Assessment A1 Formative Task)</t>
  </si>
  <si>
    <t>Training Load and Adaptation</t>
  </si>
  <si>
    <t>Practical: Warm-ups and Load Monitoring</t>
  </si>
  <si>
    <t>Performance Testing and Monitoring</t>
  </si>
  <si>
    <t>Practical: Performance Testing and Monitoring</t>
  </si>
  <si>
    <t>Periodisation and Programme Design</t>
  </si>
  <si>
    <t>Seminar:Data Visualisation (Assessment A1 Feedforward)</t>
  </si>
  <si>
    <t>Preconditioning and Warm-up</t>
  </si>
  <si>
    <t>Practical: Basic Lifting Technique (lower)</t>
  </si>
  <si>
    <t>Principles of Resistance Training</t>
  </si>
  <si>
    <t>Practical: Basic Lifting Technique (upper)</t>
  </si>
  <si>
    <t>Principles of Power Training</t>
  </si>
  <si>
    <t>Practical: Power Training</t>
  </si>
  <si>
    <t>Principles of Endurance Training</t>
  </si>
  <si>
    <t>Seminar: Endurance Training Planning (Assessment A2 Formative Task)</t>
  </si>
  <si>
    <t>Principles of Speed and Agility Training (Assessment Guidance)</t>
  </si>
  <si>
    <t>Practical: Speed and Agility Training</t>
  </si>
  <si>
    <t xml:space="preserve">Injury Prevention and Rehabilitation </t>
  </si>
  <si>
    <t>Practical: Screening and Return to Sport Criteria</t>
  </si>
  <si>
    <t>S&amp;C Career Pathways (Assessment A2 Feedforward)</t>
  </si>
  <si>
    <t>add CUES apping to notes section</t>
  </si>
  <si>
    <t>6094SPS</t>
  </si>
  <si>
    <t>This module seeks to immerse students in contemporary behaviour change theory and practical applications within the disciplines of physical activity, nutrition, sport performance, and health. It aims to equip students with the knowledge, skills, and behaviours needed to effectively facilitate behaviour change.</t>
  </si>
  <si>
    <t>Behaviour Change</t>
  </si>
  <si>
    <t>Theoretical underpinning in behaviour change using the Behaviour Change Wheel, including:- Defining and selecting target behaviours; Behavioural analysis and diagnosis using the COM-B model; Identifying intervention options and corresponding theories; identifying behaviour change techniques and modes of delivery; effective communication; coaching, action planning; goal setting.  Practical application of behaviour change interventions in multi-disciplinary contexts and case study scenarios at different levels, including population/organisational/ teams/ group/ individual.</t>
  </si>
  <si>
    <t>Lawrence Foweather</t>
  </si>
  <si>
    <t>This module will engage you in current behaviour change theories, concepts and applied examples across the physical activity, nutrition, sport performance and health disciplines. In doing so, you will gain a theoretical underpinning in behaviour change and insight into how to change behaviours across a range of settings/populations/disciplines.</t>
  </si>
  <si>
    <t>Other contact hours are timetabled tutorials (4 hours) taking place in week 7</t>
  </si>
  <si>
    <t>2 hour online drop in assessment support in week 8 and week 16</t>
  </si>
  <si>
    <t xml:space="preserve">Practical simulation to take place either week 12 or first week of Jan assessment weeks. </t>
  </si>
  <si>
    <t>Reflection submitted before semester 2 starts (Jan assessment weeks)</t>
  </si>
  <si>
    <t>Guest speakers in the applied contexts sessions</t>
  </si>
  <si>
    <t>Formative tasks - week 6 example applied scenario task with tutor feedback; week 10 &amp; 11 1:1 practical simulation in-class practice attempts with tutor feedback</t>
  </si>
  <si>
    <t>Design a theory-based behaviour change intervention</t>
  </si>
  <si>
    <t>Online is one hour drop in session synchronous each week</t>
  </si>
  <si>
    <t>Conduct a behaviour change consultation</t>
  </si>
  <si>
    <t xml:space="preserve"> If all level 6 modules include four hours of face to face content then semester 1 timetabling will be impossible. </t>
  </si>
  <si>
    <t>Critically evaluate and reflect upon personal and professional skills to support behaviour change</t>
  </si>
  <si>
    <t>I am confused by my module details check as what I have stated is consistent with the text: they already agree.</t>
  </si>
  <si>
    <t>Design a theory-based behaviour change intervention (10 minute narrated presentation)</t>
  </si>
  <si>
    <t xml:space="preserve">Practical Simulation and Reflection: Students complete a 12-15 minute behaviour change consultation with an adult client seeking support. Following the practical, students submit a critical reflection (≈750–1,000 words) on their consultation. </t>
  </si>
  <si>
    <t>Coaching and mentoring</t>
  </si>
  <si>
    <t>Module Introduction | Behaviour Change Wheel 1: Target Behaviours</t>
  </si>
  <si>
    <t>Behaviour Change Wheel 2: What needs to change? (COM-B)</t>
  </si>
  <si>
    <t>Behaviour Change Wheel 3: Intervention Options &amp; Behaviour Change Techniques</t>
  </si>
  <si>
    <t>Behaviour Change in Applied Contexts</t>
  </si>
  <si>
    <t>Assessment Support and Preparation</t>
  </si>
  <si>
    <t>Directed Study Week | Tutorials</t>
  </si>
  <si>
    <t>Communication skills to support behaviour change</t>
  </si>
  <si>
    <t xml:space="preserve">Goal setting, action planning, and self-monitoring </t>
  </si>
  <si>
    <t>GROW coaching model and 1:1 skills practice</t>
  </si>
  <si>
    <t>Reflective Practice and 1:1 skills practice</t>
  </si>
  <si>
    <t>Add formative task to notes</t>
  </si>
  <si>
    <t>6095SPS</t>
  </si>
  <si>
    <t>This module aims to develop students' theoretical knowledge, applied understanding and skills in performance analysis of sport. The module will develop students’ ability to review and critique performance analysis application across sports. Students will develop their theoretical knowledge and applied skills of assessment and analysis of sport performance domains. Students will develop critical thinking skills required for performance analysis and translation of performance analysis information to the daily sport practice.</t>
  </si>
  <si>
    <t>Performance Analysis in Sport</t>
  </si>
  <si>
    <t>Applied performance analysis in sport; Notational analysis; Video analysis; Performance profiling (normative profiling); Physical analysis; Tracking technology and athlete monitoring Coach feedback Applications of performance analysis</t>
  </si>
  <si>
    <t>Dr Ed Hope</t>
  </si>
  <si>
    <t>This module will develop your theoretical knowledge, applied understanding and skills in performance analysis of sport. In doing so, you will improve your ability to review and critique performance analysis application across sports.</t>
  </si>
  <si>
    <t>This module provides an opportunity to develop your theoretical knowledge and applied skills of assessment and analysis of sport performance domains. You will develop the critical thinking skills required for performance analysis and translation of performance analysis information to the daily sport practice.</t>
  </si>
  <si>
    <t>BUES mapped.</t>
  </si>
  <si>
    <t xml:space="preserve">
Analyse and evaluate the application of performance analysis in sport.</t>
  </si>
  <si>
    <t xml:space="preserve">
Demonstrate and apply techniques used to collect, analyse, interpret, and feedback performance analysis data.</t>
  </si>
  <si>
    <t>Part A includes 3 different components: a code window file (from Sportscode), a CSV file, and a report.                                                                                                                                                Part B includes 2 different components: a video playlist, and a Tableau dashboard file.</t>
  </si>
  <si>
    <t>Group Presentation analysing performance of a team or athlete (15 minutes + 5 minutes questions).</t>
  </si>
  <si>
    <t>Week 17</t>
  </si>
  <si>
    <t>Introduction and module guidance (Lecture) </t>
  </si>
  <si>
    <t>Assessment feedforward (Video analysis lab) </t>
  </si>
  <si>
    <t>Foundations of Performance Analysis (Lecture) </t>
  </si>
  <si>
    <t>Performance indicators and code window (Video analysis lab) </t>
  </si>
  <si>
    <t>Tactical analysis (Lecture) </t>
  </si>
  <si>
    <t>Video coding (Video analysis lab) </t>
  </si>
  <si>
    <t>Physical analysis (Lecture) </t>
  </si>
  <si>
    <t>Formative check-in on Tagging Window; this is really important as subsequent portfolio items build onto this.</t>
  </si>
  <si>
    <t>Technique analysis (Lecture) </t>
  </si>
  <si>
    <t>Motion analysis with LPS (Practical) </t>
  </si>
  <si>
    <t>Measurement issues in PA: validity, objectivity, reliability (Lecture) </t>
  </si>
  <si>
    <t>Evaluation of technique (Practical) </t>
  </si>
  <si>
    <t>Curriculum Enrichment Week </t>
  </si>
  <si>
    <t>Data analysis (Lecture) </t>
  </si>
  <si>
    <t>Clipping, telestration and playlists (Practical) </t>
  </si>
  <si>
    <t>Formative check-in on Physical Analysis Report</t>
  </si>
  <si>
    <t>Sport analytics (Lecture) </t>
  </si>
  <si>
    <t>Data analysis (Practical) </t>
  </si>
  <si>
    <t>Performance profiling (Lecture) </t>
  </si>
  <si>
    <t>Data visualisation (Practical) </t>
  </si>
  <si>
    <t>From analysis to coaching (Lecture) </t>
  </si>
  <si>
    <t>Guest lecture (Lecture) </t>
  </si>
  <si>
    <t>Drop-in </t>
  </si>
  <si>
    <t>Formative check-in for other Portfolio items and Group Presentation</t>
  </si>
  <si>
    <t>Applied Biomechanics</t>
  </si>
  <si>
    <t>Jane Smith</t>
  </si>
  <si>
    <t>Explain the fundamental principles of biomechanics</t>
  </si>
  <si>
    <t>Analyse human movement using quantitative methods</t>
  </si>
  <si>
    <t>Apply biomechanical concepts to practical scenarios</t>
  </si>
  <si>
    <t>Table 1</t>
  </si>
  <si>
    <t>Table 3</t>
  </si>
  <si>
    <t>Table 5</t>
  </si>
  <si>
    <t>Category</t>
  </si>
  <si>
    <t>Skill</t>
  </si>
  <si>
    <t>Placement</t>
  </si>
  <si>
    <t>Scientific Knowledge</t>
  </si>
  <si>
    <t>Category text shown to user</t>
  </si>
  <si>
    <t>Defined Name</t>
  </si>
  <si>
    <t>ScientificKnowledge</t>
  </si>
  <si>
    <t>TechnicalSkills</t>
  </si>
  <si>
    <t>ApplicationofKnowledge</t>
  </si>
  <si>
    <t>Infographic</t>
  </si>
  <si>
    <t>UnderstandingResearch</t>
  </si>
  <si>
    <t>SelfEvaluation</t>
  </si>
  <si>
    <t>Football Science</t>
  </si>
  <si>
    <t>Journal</t>
  </si>
  <si>
    <t>Physical Education</t>
  </si>
  <si>
    <t>ProblemSolving</t>
  </si>
  <si>
    <t>Technical Skills</t>
  </si>
  <si>
    <t>MgmtSelf</t>
  </si>
  <si>
    <t>Sport Coaching</t>
  </si>
  <si>
    <t>DeliveryEnvironment</t>
  </si>
  <si>
    <t>Sport Nutrition</t>
  </si>
  <si>
    <t>ProfRelationships</t>
  </si>
  <si>
    <t>Sport Psychology</t>
  </si>
  <si>
    <t>SES and SN</t>
  </si>
  <si>
    <t>SC and PE</t>
  </si>
  <si>
    <t>Application of Knowledge &amp; Skills</t>
  </si>
  <si>
    <t>Lifelong learning</t>
  </si>
  <si>
    <t>Resilience</t>
  </si>
  <si>
    <t>Initiative</t>
  </si>
  <si>
    <t>Accountability</t>
  </si>
  <si>
    <t>Analytical thinking</t>
  </si>
  <si>
    <t>problem identification</t>
  </si>
  <si>
    <t>Creative thinking</t>
  </si>
  <si>
    <t>Innovation</t>
  </si>
  <si>
    <t>Delegation</t>
  </si>
  <si>
    <t>Empathy</t>
  </si>
  <si>
    <t>Multi-tasking</t>
  </si>
  <si>
    <t>Resource management</t>
  </si>
  <si>
    <t>Organisational awareness</t>
  </si>
  <si>
    <t>Policy interpretation</t>
  </si>
  <si>
    <t>Integrity</t>
  </si>
  <si>
    <t>Respect</t>
  </si>
  <si>
    <t>Professional relationships &amp; behaviours</t>
  </si>
  <si>
    <t>MODULES</t>
  </si>
  <si>
    <t>ModuleCode</t>
  </si>
  <si>
    <t>ModuleTitle</t>
  </si>
  <si>
    <t>Total Contact Hours</t>
  </si>
  <si>
    <t>Hours per Credit</t>
  </si>
  <si>
    <t>Sum of Contact Hours</t>
  </si>
  <si>
    <t>Column Labels</t>
  </si>
  <si>
    <t>4093SPS</t>
  </si>
  <si>
    <t>Psychosocial Principles of Sport and Exercise</t>
  </si>
  <si>
    <t>Kathryn Curran</t>
  </si>
  <si>
    <t>Row Labels</t>
  </si>
  <si>
    <t>Grand Total</t>
  </si>
  <si>
    <t>Gemma Miller (TBC)</t>
  </si>
  <si>
    <t>Understanding Physical Activity and Sedentary Behaviour</t>
  </si>
  <si>
    <t>5093SPS</t>
  </si>
  <si>
    <t>Sport amd Performance Psychology</t>
  </si>
  <si>
    <t>James Roberts</t>
  </si>
  <si>
    <t>Biomechanics</t>
  </si>
  <si>
    <t>6096SPS</t>
  </si>
  <si>
    <t>Secondary PE Teacher Education</t>
  </si>
  <si>
    <t>Kelly Massey</t>
  </si>
  <si>
    <t>6052SPS</t>
  </si>
  <si>
    <t>Applied Motor Behaviour</t>
  </si>
  <si>
    <t>Simon Bennett</t>
  </si>
  <si>
    <t>Sport and Injury Biomechanics</t>
  </si>
  <si>
    <t>6097SPS</t>
  </si>
  <si>
    <t>Clinical Biomechanics</t>
  </si>
  <si>
    <t>Applied Professional Practice</t>
  </si>
  <si>
    <t>Working in High Performance Sport</t>
  </si>
  <si>
    <t>Count of Assessment No</t>
  </si>
  <si>
    <t>Count of Assessment Description</t>
  </si>
  <si>
    <t>SourceWorkbook</t>
  </si>
  <si>
    <t>Programme</t>
  </si>
  <si>
    <t>TableName</t>
  </si>
  <si>
    <t>ProgCode</t>
  </si>
  <si>
    <t>Physical Education - AllModuleProformas.xlsx</t>
  </si>
  <si>
    <t>6096SPS_Hours</t>
  </si>
  <si>
    <t>SES</t>
  </si>
  <si>
    <t>Sport Coaching - AllModuleProformas.xlsx</t>
  </si>
  <si>
    <t>6097SPS_Hours</t>
  </si>
  <si>
    <t>Sport Psychology - AllModuleProformas.xlsx</t>
  </si>
  <si>
    <t>4093SPS_Hours</t>
  </si>
  <si>
    <t>Sport and Performance Psychology</t>
  </si>
  <si>
    <t>5093SPS_Hours</t>
  </si>
  <si>
    <t>6052SPS_Hours</t>
  </si>
  <si>
    <t>Sport and Exercise Science - AllModuleProformas.xlsx</t>
  </si>
  <si>
    <t>4091SPS_Hours</t>
  </si>
  <si>
    <t>4092SPS_Hours</t>
  </si>
  <si>
    <t>4094SPS_Hours</t>
  </si>
  <si>
    <t>4101SPS_Hours</t>
  </si>
  <si>
    <t>4102SPS_Hours</t>
  </si>
  <si>
    <t>5091SPS_Hours</t>
  </si>
  <si>
    <t>5092SPS_Hours</t>
  </si>
  <si>
    <t>5101SPS_Hours</t>
  </si>
  <si>
    <t>5102SPS_Hours</t>
  </si>
  <si>
    <t>5103SPS_Hours</t>
  </si>
  <si>
    <t>6091SPS_Hours</t>
  </si>
  <si>
    <t>6093SPS_Hours</t>
  </si>
  <si>
    <t>6094SPS_Hours</t>
  </si>
  <si>
    <t>6095SPS_Hours</t>
  </si>
  <si>
    <t>6101SPS_Hours</t>
  </si>
  <si>
    <t>6102SPS_Hours</t>
  </si>
  <si>
    <t>6103SPS_Hours</t>
  </si>
  <si>
    <t>6104SPS_Hours</t>
  </si>
  <si>
    <t>6105SPS_Hours</t>
  </si>
  <si>
    <t>6106SPS_Hours</t>
  </si>
  <si>
    <t>6107SPS_Hours</t>
  </si>
  <si>
    <t>6108SPS_Hours</t>
  </si>
  <si>
    <t>6109SPS_Hours</t>
  </si>
  <si>
    <t>Modules Covering</t>
  </si>
  <si>
    <t>Module Count</t>
  </si>
  <si>
    <t>Covered</t>
  </si>
  <si>
    <t>Research Methods 2; Professional Practice in Sport and Exercise Science 2; Secondary PE Teacher Education; Clinical Biomechanics; Strength and Conditioning; Performance Analysis in Sport</t>
  </si>
  <si>
    <t>Secondary PE Teacher Education; Strength and Conditioning</t>
  </si>
  <si>
    <t>Secondary PE Teacher Education; Major Project</t>
  </si>
  <si>
    <t>Research Methods 2; Physiological adaptations to exercise; Clinical Biomechanics; Major Project; Working in High Performance Sport</t>
  </si>
  <si>
    <t>Physiological adaptations to exercise; Secondary PE Teacher Education</t>
  </si>
  <si>
    <t>Professional Practice; Influences and Assessment of Physical Activity and Sedentary Behaviour; Secondary PE Teacher Education; Behaviour Change; Applied Motor Behaviour</t>
  </si>
  <si>
    <t>Professional Practice; Secondary PE Teacher Education; Applied Professional Practice</t>
  </si>
  <si>
    <t>Human Movement; Secondary PE Teacher Education</t>
  </si>
  <si>
    <t>Human Movement; Professional Practice in Sport and Exercise Science 2; Secondary PE Teacher Education</t>
  </si>
  <si>
    <t>Secondary PE Teacher Education; Psychosocial Principles of Sport and Exercise; Sport and Performance Psychology</t>
  </si>
  <si>
    <t>Secondary PE Teacher Education; Applied Professional Practice</t>
  </si>
  <si>
    <t>Secondary PE Teacher Education; Applied Professional Practice; Behaviour Change</t>
  </si>
  <si>
    <t>Professional Practice; Understanding Physical Activity and Sedentary Behaviour; Research Methods 1; Exercise Phys L4; Professional Practice in Sport and Exercise Science 2; Applied Professional Practice; Behaviour Change</t>
  </si>
  <si>
    <t>Professional Practice</t>
  </si>
  <si>
    <t>Professional Practice in Sport and Exercise Science 2; Behaviour Change</t>
  </si>
  <si>
    <t>Physiological adaptations to exercise; Professional Practice in Sport and Exercise Science 2; Sport and Injury Biomechanics; Clinical Biomechanics; Applied Professional Practice; Performance Analysis in Sport</t>
  </si>
  <si>
    <t>Understanding Physical Activity and Sedentary Behaviour; Research Methods 1; Research Methods 2; Influences and Assessment of Physical Activity and Sedentary Behaviour; Sport and Injury Biomechanics; Clinical Biomechanics; Performance Analysis in Sport</t>
  </si>
  <si>
    <t>Dr Nic Robinson</t>
  </si>
  <si>
    <t>ItemSuffix</t>
  </si>
  <si>
    <t>6096SPS_Meta</t>
  </si>
  <si>
    <t>Meta</t>
  </si>
  <si>
    <t>6097SPS_Meta</t>
  </si>
  <si>
    <t>4093SPS_Meta</t>
  </si>
  <si>
    <t>5093SPS_Meta</t>
  </si>
  <si>
    <t>6052SPS_Meta</t>
  </si>
  <si>
    <t>4091SPS_Meta</t>
  </si>
  <si>
    <t>4092SPS_Meta</t>
  </si>
  <si>
    <t>4094SPS_Meta</t>
  </si>
  <si>
    <t>4101SPS_Meta</t>
  </si>
  <si>
    <t>4102SPS_Meta</t>
  </si>
  <si>
    <t>5091SPS_Meta</t>
  </si>
  <si>
    <t>5092SPS_Meta</t>
  </si>
  <si>
    <t>5101SPS_Meta</t>
  </si>
  <si>
    <t>5102SPS_Meta</t>
  </si>
  <si>
    <t>5103SPS_Meta</t>
  </si>
  <si>
    <t>6091SPS_Meta</t>
  </si>
  <si>
    <t>6093SPS_Meta</t>
  </si>
  <si>
    <t>6094SPS_Meta</t>
  </si>
  <si>
    <t>6095SPS_Meta</t>
  </si>
  <si>
    <t>6101SPS_Meta</t>
  </si>
  <si>
    <t>6102SPS_Meta</t>
  </si>
  <si>
    <t>6103SPS_Meta</t>
  </si>
  <si>
    <t>6104SPS_Meta</t>
  </si>
  <si>
    <t>6105SPS_Meta</t>
  </si>
  <si>
    <t>6106SPS_Meta</t>
  </si>
  <si>
    <t>6107SPS_Meta</t>
  </si>
  <si>
    <t>6108SPS_Meta</t>
  </si>
  <si>
    <t>6109SPS_Meta</t>
  </si>
  <si>
    <t>4101SPS_Mapping</t>
  </si>
  <si>
    <t>Mapping</t>
  </si>
  <si>
    <t>4102SPS_Mapping</t>
  </si>
  <si>
    <t>4091SPS_Mapping</t>
  </si>
  <si>
    <t>4092SPS_Mapping</t>
  </si>
  <si>
    <t>Exercise Phys L4</t>
  </si>
  <si>
    <t>4094SPS_Mapping</t>
  </si>
  <si>
    <t>5091SPS_Mapping</t>
  </si>
  <si>
    <t>5092SPS_Mapping</t>
  </si>
  <si>
    <t>5101SPS_Mapping</t>
  </si>
  <si>
    <t>5102SPS_Mapping</t>
  </si>
  <si>
    <t>5103SPS_Mapping</t>
  </si>
  <si>
    <t>6101SPS_Mapping</t>
  </si>
  <si>
    <t>6102SPS_Mapping</t>
  </si>
  <si>
    <t>6096SPS_Mapping</t>
  </si>
  <si>
    <t>6103SPS_Mapping</t>
  </si>
  <si>
    <t>6104SPS_Mapping</t>
  </si>
  <si>
    <t>6105SPS_Mapping</t>
  </si>
  <si>
    <t>6106SPS_Mapping</t>
  </si>
  <si>
    <t>6108SPS_Mapping</t>
  </si>
  <si>
    <t>6109SPS_Mapping</t>
  </si>
  <si>
    <t>6091SPS_Mapping</t>
  </si>
  <si>
    <t>6093SPS_Mapping</t>
  </si>
  <si>
    <t>6094SPS_Mapping</t>
  </si>
  <si>
    <t>6095SPS_Mapping</t>
  </si>
  <si>
    <t>6097SPS_Mapping</t>
  </si>
  <si>
    <t>4093SPS_Mapping</t>
  </si>
  <si>
    <t>5093SPS_Mapping</t>
  </si>
  <si>
    <t>6052SPS_Mapping</t>
  </si>
  <si>
    <t>Hours</t>
  </si>
  <si>
    <t>4101SPS_Assess</t>
  </si>
  <si>
    <t>Assess</t>
  </si>
  <si>
    <t>4102SPS_Assess</t>
  </si>
  <si>
    <t>4091SPS_Assess</t>
  </si>
  <si>
    <t>4092SPS_Assess</t>
  </si>
  <si>
    <t>4094SPS_Assess</t>
  </si>
  <si>
    <t>5091SPS_Assess</t>
  </si>
  <si>
    <t>5092SPS_Assess</t>
  </si>
  <si>
    <t>5101SPS_Assess</t>
  </si>
  <si>
    <t>5102SPS_Assess</t>
  </si>
  <si>
    <t>PART 1 – Individual practical: Perform a brief assessment of physical activity with a client (research participant) and give accurate feedback and appropriate recommendations. PART 2 - Viva: Analyse the strengths and limitations and provide recommendations for a proposed measurement approach in a given research scenario .</t>
  </si>
  <si>
    <t>5103SPS_Assess</t>
  </si>
  <si>
    <t>Group lesson plan and delivery of lesson</t>
  </si>
  <si>
    <t>6096SPS_Assess</t>
  </si>
  <si>
    <t>Individual essay critically evaluating a current trend in secondary PE</t>
  </si>
  <si>
    <t>6101SPS_Assess</t>
  </si>
  <si>
    <t>6102SPS_Assess</t>
  </si>
  <si>
    <t>6103SPS_Assess</t>
  </si>
  <si>
    <t>6104SPS_Assess</t>
  </si>
  <si>
    <t>6105SPS_Assess</t>
  </si>
  <si>
    <t>6106SPS_Assess</t>
  </si>
  <si>
    <t>6107SPS_Assess</t>
  </si>
  <si>
    <t>6108SPS_Assess</t>
  </si>
  <si>
    <t>6109SPS_Assess</t>
  </si>
  <si>
    <t>6091SPS_Assess</t>
  </si>
  <si>
    <t>6093SPS_Assess</t>
  </si>
  <si>
    <t>6094SPS_Assess</t>
  </si>
  <si>
    <t>6095SPS_Assess</t>
  </si>
  <si>
    <t>Group podcast (15 minutes). "Inside the Performance Environment". Groups act as the senior interdisciplinary team of a named high-performance organisation, such as an NGB World Class Programme, a Category 1 academy or a performance institute. They record a podcast on a real performance problem. Examples:
An athlete stalling at the transition from pathway to podium.
A squad with a rising burnout risk.
A cut in UK Sport funding.
Each student takes a senior role, such as Performance Director, Head of Sport Science, Academy Manager or Lead Coach. They explain how their role sees the problem and what it contributes. Together, the group then agrees an interdisciplinary performance solution. This keeps the collaborative, problem-based format students rate highly. It also brings in the new content: organisational structures, roles and competencies, leadership, communication and conflict, and welfare or ethical limits on the solution.</t>
  </si>
  <si>
    <t>6097SPS_Assess</t>
  </si>
  <si>
    <t>Annual performance plan . Write an evidence-based annual plan for an athlete or team in that setting. Cover periodisation, monitoring and evaluation, and interdisciplinary justification. Add a short section on how the plan would be led and managed: who owns each part, how the team works together and communicates with stakeholders, and any welfare, safeguarding or anti-doping considerations.</t>
  </si>
  <si>
    <t xml:space="preserve">60 minute and 50 question MCT to cover material delivered during weeks 1-6 of the module. </t>
  </si>
  <si>
    <t>Week 8</t>
  </si>
  <si>
    <t>4093SPS_Assess</t>
  </si>
  <si>
    <t>60 minute and 50 question MCT to cover material delivered during weeks 8-12 of the module. </t>
  </si>
  <si>
    <t>January Assessment Weeks</t>
  </si>
  <si>
    <t>5093SPS_Assess</t>
  </si>
  <si>
    <t>13-14</t>
  </si>
  <si>
    <t>Individually-written report on motor learning protocols followed by viva</t>
  </si>
  <si>
    <t>6052SPS_Assess</t>
  </si>
  <si>
    <t>Interpret statistical outputs to independently produce a summary of key findings, followed by discussion that considers findings relative to research and conceptual/theoretical perspectives</t>
  </si>
  <si>
    <t>4091SPS_LO</t>
  </si>
  <si>
    <t>LO</t>
  </si>
  <si>
    <t>4092SPS_LO</t>
  </si>
  <si>
    <t>4093SPS_LO</t>
  </si>
  <si>
    <t>4094SPS_LO</t>
  </si>
  <si>
    <t>4101SPS_LO</t>
  </si>
  <si>
    <t>4102SPS_LO</t>
  </si>
  <si>
    <t>5091SPS_LO</t>
  </si>
  <si>
    <t>5092SPS_LO</t>
  </si>
  <si>
    <t>Evaluate individual and environmental psychological principles associated with sport performance.</t>
  </si>
  <si>
    <t>5093SPS_LO</t>
  </si>
  <si>
    <t>Evaluate the identification and development of perceptual-cognitive expertise within sport.</t>
  </si>
  <si>
    <t>5101SPS_LO</t>
  </si>
  <si>
    <t>5102SPS_LO</t>
  </si>
  <si>
    <t>5103SPS_LO</t>
  </si>
  <si>
    <t>Critically evaluate protocols, research findings, and models of motor learning in sport, exercise and health</t>
  </si>
  <si>
    <t>6052SPS_LO</t>
  </si>
  <si>
    <t>Critically evaluate and integrate research findings, perspectives and models of interceptive actions in sport, exercise and health</t>
  </si>
  <si>
    <t>Apply quantitative research skills to understanding applied motor behaviour</t>
  </si>
  <si>
    <t>6091SPS_LO</t>
  </si>
  <si>
    <t>6093SPS_LO</t>
  </si>
  <si>
    <t>6094SPS_LO</t>
  </si>
  <si>
    <t>6095SPS_LO</t>
  </si>
  <si>
    <t>Critically analyse the structure, content, and delivery of the secondary Physical Education curriculum and the role of the PE teacher in facilitating effective learning</t>
  </si>
  <si>
    <t>6096SPS_LO</t>
  </si>
  <si>
    <t xml:space="preserve">Critically evaluate the structures, governance and leadership models of high-performance sport organisations in the UK (e.g. UK Sport, NGBs, professional academies, performance institutes). </t>
  </si>
  <si>
    <t>6097SPS_LO</t>
  </si>
  <si>
    <t xml:space="preserve">Synthesise interdisciplinary sport science and coaching knowledge (physiology, psychology, biomechanics, performance analysis) to design and justify a holistic performance support strategy for an elite athlete or team. </t>
  </si>
  <si>
    <t xml:space="preserve">Evaluate the evidence base underpinning performance planning, talent development and periodisation within real-world high-performance environments. </t>
  </si>
  <si>
    <t>6101SPS_LO</t>
  </si>
  <si>
    <t>6102SPS_LO</t>
  </si>
  <si>
    <t>6103SPS_LO</t>
  </si>
  <si>
    <t>6104SPS_LO</t>
  </si>
  <si>
    <t>6105SPS_LO</t>
  </si>
  <si>
    <t>6106SPS_LO</t>
  </si>
  <si>
    <t>6107SPS_LO</t>
  </si>
  <si>
    <t>6108SPS_LO</t>
  </si>
  <si>
    <t>6109SPS_LO</t>
  </si>
  <si>
    <t>PA</t>
  </si>
  <si>
    <t>Exercise Phys L4; Physiological adaptations to exercise; Professional Practice in Sport and Exercise Science 2; Sport and Injury Biomechanics; Exercise Metabolism; Cardiovascular Physiology; Clinical Biomechanics; PA; Health and Performance Nutrition; Applied Professional Practice; Major Project; Strength and Conditioning; Behaviour Change; Sport and Performance Psychology; Applied Motor Behaviour</t>
  </si>
  <si>
    <t>Understanding Physical Activity and Sedentary Behaviour; Research Methods 1; Exercise Phys L4; Research Methods 2; Physiological adaptations to exercise; Exercise Metabolism; Cardiovascular Physiology; Health and Performance Nutrition; Major Project; Strength and Conditioning; Applied Motor Behaviour</t>
  </si>
  <si>
    <t>Understanding Physical Activity and Sedentary Behaviour; Research Methods 1; Human Movement; Research Methods 2; Influences and Assessment of Physical Activity and Sedentary Behaviour; Strength and Conditioning; Psychosocial Principles of Sport and Exercise; Sport and Performance Psychology</t>
  </si>
  <si>
    <t>Professional Practice; Understanding Physical Activity and Sedentary Behaviour; Research Methods 2; Physiological adaptations to exercise; Professional Practice in Sport and Exercise Science 2; Influences and Assessment of Physical Activity and Sedentary Behaviour; Sport and Injury Biomechanics; Secondary PE Teacher Education; Cardiovascular Physiology; Clinical Biomechanics; PA; Health and Performance Nutrition; Applied Professional Practice; Major Project; Strength and Conditioning; Behaviour Change; Performance Analysis in Sport; Working in High Performance Sport</t>
  </si>
  <si>
    <t>Human Movement; Exercise Metabolism; Physical activity and sedentary behaviour across the life course; Cardiovascular Physiology; Clinical Biomechanics; PA; Health and Performance Nutrition; Major Project; Sport and Performance Psychology</t>
  </si>
  <si>
    <t>Exercise Metabolism; Physical activity and sedentary behaviour across the life course; Cardiovascular Physiology; Health and Performance Nutrition; Applied Professional Practice; Strength and Conditioning; Behaviour Change; Performance Analysis in Sport</t>
  </si>
  <si>
    <t>Physiological adaptations to exercise; Cardiovascular Physiology; Clinical Biomechanics; Health and Performance Nutrition; Psychosocial Principles of Sport and Exercise; Sport and Performance Psychology</t>
  </si>
  <si>
    <t>Cardiovascular Physiology; Health and Performance Nutrition; Applied Motor Behaviour</t>
  </si>
  <si>
    <t>Exercise Phys L4; Human Movement; Sport and Injury Biomechanics; Major Project</t>
  </si>
  <si>
    <t>Understanding Physical Activity and Sedentary Behaviour; Research Methods 1; Human Movement; Influences and Assessment of Physical Activity and Sedentary Behaviour; Sport and Injury Biomechanics; Secondary PE Teacher Education; PA; Strength and Conditioning; Behaviour Change; Working in High Performance Sport; Sport and Performance Psychology; Applied Motor Behaviour</t>
  </si>
  <si>
    <t>Understanding Physical Activity and Sedentary Behaviour; Research Methods 2; Influences and Assessment of Physical Activity and Sedentary Behaviour; Secondary PE Teacher Education; Clinical Biomechanics; PA</t>
  </si>
  <si>
    <t>Major Project; Behaviour Change</t>
  </si>
  <si>
    <t>Understanding Physical Activity and Sedentary Behaviour; Research Methods 1; Exercise Phys L4; Research Methods 2; Physiological adaptations to exercise; Influences and Assessment of Physical Activity and Sedentary Behaviour; Exercise Metabolism; Secondary PE Teacher Education; Applied Professional Practice; Major Project; Strength and Conditioning; Performance Analysis in Sport; Applied Motor Behaviour</t>
  </si>
  <si>
    <t>Understanding Physical Activity and Sedentary Behaviour; Human Movement; Physiological adaptations to exercise; Secondary PE Teacher Education; Applied Professional Practice; Major Project; Performance Analysis in Sport</t>
  </si>
  <si>
    <t>Sport and Injury Biomechanics; Sport and Performance Psychology</t>
  </si>
  <si>
    <t>Exercise Phys L4; Secondary PE Teacher Education; Clinical Biomechanics; Applied Professional Practice; Major Project; Psychosocial Principles of Sport and Exercise</t>
  </si>
  <si>
    <t>Exercise Phys L4; Sport and Injury Biomechanics; PA</t>
  </si>
  <si>
    <t>Human Movement; Sport and Performance Psychology</t>
  </si>
  <si>
    <t>Human Movement; Sport and Injury Biomechanics; Performance Analysis in Sport</t>
  </si>
  <si>
    <t>Physiological adaptations to exercise; Sport and Injury Biomechanics; Exercise Metabolism; Secondary PE Teacher Education; Physical activity and sedentary behaviour across the life course; PA; Sport and Performance Psychology; Applied Motor Behaviour</t>
  </si>
  <si>
    <t>Professional Practice in Sport and Exercise Science 2; Secondary PE Teacher Education; Cardiovascular Physiology; Working in High Performance Sport</t>
  </si>
  <si>
    <t>Influences and Assessment of Physical Activity and Sedentary Behaviour; Cardiovascular Physiology; Applied Professional Practice</t>
  </si>
  <si>
    <t>Sport and Injury Biomechanics; Secondary PE Teacher Education; PA</t>
  </si>
  <si>
    <t>Sport and Injury Biomechanics; Secondary PE Teacher Education; Clinical Biomechanics; PA; Applied Professional Practice; Strength and Conditioning; Working in High Performance Sport; Psychosocial Principles of Sport and Exercise; Sport and Performance Psychology</t>
  </si>
  <si>
    <t>Secondary PE Teacher Education; Sport and Performance Psychology</t>
  </si>
  <si>
    <t>Secondary PE Teacher Education; Cardiovascular Physiology; Sport and Performance Psychology</t>
  </si>
  <si>
    <t>Online test with multiple-choice, fill in the gap or true/false questions. The test is not invigilated but taken within a specific time-window. The questions are based around the content of the first 4 weeks. Practice questions will be available on Canvas. [NB: The restriction of not being able to take the test on site, and thus invigilate it, is imposed by the University]</t>
  </si>
  <si>
    <t xml:space="preserve">Presentation and questions of knowledge and data gathered in module classes </t>
  </si>
  <si>
    <t>Video presentation</t>
  </si>
  <si>
    <t xml:space="preserve">Group presentation (5 in 5 mins academeic + AI-generated lay audiance video)  </t>
  </si>
  <si>
    <t>In-class short and multi-choice answer questions</t>
  </si>
  <si>
    <t>Apply and evaluate pedagogical teaching and learning strategies within a secondary Physical Education setting</t>
  </si>
  <si>
    <t>Critically evaluate the provision and processes that underpin Physical Education for learners within the 14-16 curriculum</t>
  </si>
  <si>
    <t xml:space="preserve">Recognise the importance of psychology, sociology and psychosocial principles in sport and exercise. </t>
  </si>
  <si>
    <t>Recall how psychological factors influence behaviour, performance and participation in sport and exercise</t>
  </si>
  <si>
    <t>Recall how social, cultural, and structural factors influence participation, behaviour and experiences in sport and exercise.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</si>
</sst>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20"/>
      <color theme="1"/>
      <name val="Aptos Narrow"/>
      <family val="2"/>
      <scheme val="minor"/>
    </font>
    <font>
      <b/>
      <sz val="11"/>
      <color theme="0"/>
      <name val="Aptos Narrow"/>
      <family val="2"/>
      <scheme val="minor"/>
    </font>
    <font>
      <i/>
      <sz val="12"/>
      <color theme="1"/>
      <name val="Aptos Narrow"/>
      <family val="2"/>
    </font>
    <font>
      <sz val="12"/>
      <color rgb="FF000000"/>
      <name val="Arial"/>
      <family val="2"/>
    </font>
    <font>
      <sz val="12"/>
      <color rgb="FF000000"/>
      <name val="Calibri"/>
      <family val="2"/>
      <charset val="1"/>
    </font>
    <font>
      <sz val="12"/>
      <color theme="1"/>
      <name val="Calibri"/>
      <family val="2"/>
      <charset val="1"/>
    </font>
    <font>
      <sz val="11"/>
      <color theme="1"/>
      <name val="Calibri"/>
      <family val="2"/>
      <charset val="1"/>
    </font>
    <font>
      <sz val="12"/>
      <name val="Arial"/>
      <family val="2"/>
      <charset val="1"/>
    </font>
    <font>
      <sz val="11"/>
      <color theme="1"/>
      <name val="Aptos Narrow"/>
      <family val="2"/>
      <scheme val="minor"/>
    </font>
    <font>
      <sz val="11"/>
      <color rgb="FF525252"/>
      <name val="Roboto"/>
      <family val="2"/>
      <charset val="1"/>
    </font>
    <font>
      <sz val="10"/>
      <color rgb="FF525252"/>
      <name val="Roboto"/>
    </font>
    <font>
      <sz val="11"/>
      <color rgb="FF011A42"/>
      <name val="Arial"/>
      <family val="2"/>
    </font>
    <font>
      <sz val="11"/>
      <color rgb="FF000000"/>
      <name val="Aptos Narrow"/>
      <family val="2"/>
      <scheme val="minor"/>
    </font>
    <font>
      <b/>
      <sz val="11"/>
      <color rgb="FF000000"/>
      <name val="Aptos Narrow"/>
      <family val="2"/>
      <scheme val="minor"/>
    </font>
    <font>
      <sz val="11"/>
      <color rgb="FF000000"/>
      <name val="Aptos Narrow"/>
      <family val="2"/>
    </font>
    <font>
      <b/>
      <sz val="11"/>
      <color rgb="FF000000"/>
      <name val="Aptos Narrow"/>
      <family val="2"/>
    </font>
    <font>
      <sz val="12"/>
      <color rgb="FF000000"/>
      <name val="Aptos"/>
      <family val="2"/>
      <charset val="1"/>
    </font>
    <font>
      <b/>
      <sz val="11"/>
      <color rgb="FF242424"/>
      <name val="Yu Gothic"/>
      <family val="2"/>
    </font>
    <font>
      <sz val="11"/>
      <color rgb="FF000000"/>
      <name val="Calibri"/>
      <family val="2"/>
      <charset val="1"/>
    </font>
    <font>
      <sz val="11"/>
      <color rgb="FF232C38"/>
      <name val="Aptos Narrow"/>
      <family val="2"/>
      <scheme val="minor"/>
    </font>
    <font>
      <b/>
      <sz val="11"/>
      <color rgb="FF232C38"/>
      <name val="Aptos Narrow"/>
      <family val="2"/>
      <scheme val="minor"/>
    </font>
    <font>
      <b/>
      <sz val="11"/>
      <color rgb="FFFFFFFF"/>
      <name val="Aptos Narrow"/>
      <family val="2"/>
      <scheme val="minor"/>
    </font>
    <font>
      <sz val="12"/>
      <color theme="1"/>
      <name val="Times New Roman"/>
      <family val="1"/>
      <charset val="1"/>
    </font>
    <font>
      <sz val="11"/>
      <color rgb="FF242424"/>
      <name val="Aptos Narrow"/>
      <family val="2"/>
    </font>
    <font>
      <b/>
      <sz val="12"/>
      <color rgb="FF000000"/>
      <name val="Arial"/>
      <family val="2"/>
      <charset val="1"/>
    </font>
    <font>
      <sz val="12"/>
      <color theme="1"/>
      <name val="Arial"/>
      <family val="2"/>
      <charset val="1"/>
    </font>
    <font>
      <sz val="10"/>
      <color theme="1"/>
      <name val="Helvetica Neue"/>
      <family val="2"/>
    </font>
    <font>
      <sz val="11"/>
      <color theme="1"/>
      <name val="Arial"/>
      <family val="2"/>
      <charset val="1"/>
    </font>
    <font>
      <sz val="9"/>
      <color theme="1"/>
      <name val="Verdana"/>
      <family val="2"/>
      <charset val="1"/>
    </font>
    <font>
      <b/>
      <sz val="10"/>
      <color rgb="FFFF0000"/>
      <name val="Arial"/>
      <family val="2"/>
    </font>
    <font>
      <sz val="11"/>
      <color rgb="FF000000"/>
      <name val="Calibri"/>
      <family val="2"/>
    </font>
    <font>
      <b/>
      <sz val="11"/>
      <color rgb="FF000000"/>
      <name val="Calibri"/>
      <family val="2"/>
    </font>
    <font>
      <sz val="12"/>
      <color theme="1"/>
      <name val="Aptos"/>
      <family val="2"/>
      <charset val="1"/>
    </font>
    <font>
      <sz val="11"/>
      <name val="Aptos Narrow"/>
      <family val="2"/>
      <scheme val="minor"/>
    </font>
    <font>
      <sz val="10"/>
      <color rgb="FF12211D"/>
      <name val="Work Sans"/>
      <charset val="1"/>
    </font>
    <font>
      <sz val="11"/>
      <color rgb="FF000000"/>
      <name val="Aptos Narrow"/>
    </font>
    <font>
      <i/>
      <sz val="11"/>
      <color rgb="FF000000"/>
      <name val="Aptos Narrow"/>
    </font>
    <font>
      <sz val="11"/>
      <color rgb="FF000000"/>
      <name val="Aptos Narrow"/>
      <scheme val="minor"/>
    </font>
    <font>
      <i/>
      <sz val="11"/>
      <color rgb="FF000000"/>
      <name val="Aptos Narrow"/>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5" tint="0.79998168889431442"/>
        <bgColor theme="5" tint="0.79998168889431442"/>
      </patternFill>
    </fill>
    <fill>
      <patternFill patternType="solid">
        <fgColor rgb="FFFFFFFF"/>
        <bgColor indexed="64"/>
      </patternFill>
    </fill>
    <fill>
      <patternFill patternType="solid">
        <fgColor rgb="FF4EA72E"/>
        <bgColor rgb="FF4EA72E"/>
      </patternFill>
    </fill>
    <fill>
      <patternFill patternType="solid">
        <fgColor rgb="FFDAF2D0"/>
        <bgColor rgb="FFDAF2D0"/>
      </patternFill>
    </fill>
    <fill>
      <patternFill patternType="solid">
        <fgColor rgb="FFFFFF00"/>
        <bgColor indexed="64"/>
      </patternFill>
    </fill>
    <fill>
      <patternFill patternType="solid">
        <fgColor rgb="FF92D050"/>
        <bgColor indexed="64"/>
      </patternFill>
    </fill>
  </fills>
  <borders count="1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5" tint="0.39997558519241921"/>
      </left>
      <right/>
      <top style="thin">
        <color theme="5" tint="0.39997558519241921"/>
      </top>
      <bottom style="thin">
        <color theme="5" tint="0.39997558519241921"/>
      </bottom>
      <diagonal/>
    </border>
    <border>
      <left style="thin">
        <color indexed="64"/>
      </left>
      <right style="thin">
        <color indexed="64"/>
      </right>
      <top style="thin">
        <color indexed="64"/>
      </top>
      <bottom style="thin">
        <color indexed="64"/>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10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left" vertical="center" wrapText="1"/>
    </xf>
    <xf numFmtId="0" fontId="3" fillId="0" borderId="0" xfId="0" applyFont="1" applyAlignment="1">
      <alignment vertical="center" wrapText="1"/>
    </xf>
    <xf numFmtId="0" fontId="1" fillId="0" borderId="0" xfId="0" applyFont="1"/>
    <xf numFmtId="0" fontId="0" fillId="0" borderId="0" xfId="0" applyAlignment="1">
      <alignment horizontal="center"/>
    </xf>
    <xf numFmtId="0" fontId="6" fillId="0" borderId="0" xfId="0" applyFont="1"/>
    <xf numFmtId="0" fontId="4" fillId="4" borderId="0" xfId="0" applyFont="1" applyFill="1"/>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9" fontId="0" fillId="0" borderId="0" xfId="0" applyNumberFormat="1" applyAlignment="1" applyProtection="1">
      <alignment horizontal="left" vertical="center" wrapText="1"/>
      <protection locked="0"/>
    </xf>
    <xf numFmtId="0" fontId="0" fillId="0" borderId="0" xfId="0" applyProtection="1">
      <protection locked="0"/>
    </xf>
    <xf numFmtId="0" fontId="1" fillId="0" borderId="0" xfId="0" applyFont="1" applyProtection="1">
      <protection locked="0"/>
    </xf>
    <xf numFmtId="0" fontId="7" fillId="0" borderId="0" xfId="0" applyFont="1" applyProtection="1">
      <protection locked="0"/>
    </xf>
    <xf numFmtId="0" fontId="8" fillId="0" borderId="0" xfId="0" applyFont="1" applyAlignment="1" applyProtection="1">
      <alignment wrapText="1"/>
      <protection locked="0"/>
    </xf>
    <xf numFmtId="0" fontId="9" fillId="0" borderId="0" xfId="0" applyFont="1" applyAlignment="1" applyProtection="1">
      <alignment wrapText="1"/>
      <protection locked="0"/>
    </xf>
    <xf numFmtId="0" fontId="10" fillId="0" borderId="0" xfId="0" applyFont="1" applyProtection="1">
      <protection locked="0"/>
    </xf>
    <xf numFmtId="0" fontId="11" fillId="0" borderId="0" xfId="0" applyFont="1" applyAlignment="1" applyProtection="1">
      <alignment wrapText="1"/>
      <protection locked="0"/>
    </xf>
    <xf numFmtId="0" fontId="0" fillId="0" borderId="0" xfId="0" applyAlignment="1" applyProtection="1">
      <alignment wrapText="1"/>
      <protection locked="0"/>
    </xf>
    <xf numFmtId="0" fontId="13" fillId="0" borderId="0" xfId="0" applyFont="1" applyAlignment="1" applyProtection="1">
      <alignment wrapText="1"/>
      <protection locked="0"/>
    </xf>
    <xf numFmtId="0" fontId="14" fillId="0" borderId="0" xfId="0" applyFont="1" applyAlignment="1" applyProtection="1">
      <alignment wrapText="1"/>
      <protection locked="0"/>
    </xf>
    <xf numFmtId="0" fontId="15" fillId="0" borderId="0" xfId="0" applyFont="1" applyAlignment="1" applyProtection="1">
      <alignment wrapText="1"/>
      <protection locked="0"/>
    </xf>
    <xf numFmtId="0" fontId="18" fillId="0" borderId="0" xfId="0" applyFont="1" applyAlignment="1" applyProtection="1">
      <alignment wrapText="1"/>
      <protection locked="0"/>
    </xf>
    <xf numFmtId="0" fontId="20" fillId="0" borderId="0" xfId="0" applyFont="1" applyAlignment="1" applyProtection="1">
      <alignment wrapText="1"/>
      <protection locked="0"/>
    </xf>
    <xf numFmtId="0" fontId="1" fillId="5" borderId="5" xfId="0" applyFont="1" applyFill="1" applyBorder="1" applyProtection="1">
      <protection locked="0"/>
    </xf>
    <xf numFmtId="0" fontId="1" fillId="0" borderId="5" xfId="0" applyFont="1" applyBorder="1" applyProtection="1">
      <protection locked="0"/>
    </xf>
    <xf numFmtId="0" fontId="21" fillId="0" borderId="0" xfId="0" applyFont="1" applyProtection="1">
      <protection locked="0"/>
    </xf>
    <xf numFmtId="0" fontId="22" fillId="0" borderId="0" xfId="0" applyFont="1" applyProtection="1">
      <protection locked="0"/>
    </xf>
    <xf numFmtId="0" fontId="16" fillId="0" borderId="0" xfId="0" applyFont="1" applyAlignment="1" applyProtection="1">
      <alignment wrapText="1"/>
      <protection locked="0"/>
    </xf>
    <xf numFmtId="0" fontId="12" fillId="0" borderId="0" xfId="0" applyFont="1" applyAlignment="1" applyProtection="1">
      <alignment wrapText="1"/>
      <protection locked="0"/>
    </xf>
    <xf numFmtId="0" fontId="12" fillId="0" borderId="6" xfId="0" applyFont="1" applyBorder="1" applyAlignment="1" applyProtection="1">
      <alignment wrapText="1"/>
      <protection locked="0"/>
    </xf>
    <xf numFmtId="0" fontId="16" fillId="0" borderId="0" xfId="0" applyFont="1" applyProtection="1">
      <protection locked="0"/>
    </xf>
    <xf numFmtId="0" fontId="16" fillId="6" borderId="0" xfId="0" applyFont="1" applyFill="1" applyAlignment="1" applyProtection="1">
      <alignment wrapText="1"/>
      <protection locked="0"/>
    </xf>
    <xf numFmtId="0" fontId="16" fillId="0" borderId="0" xfId="0" applyFont="1" applyAlignment="1" applyProtection="1">
      <alignment horizontal="left" vertical="center" wrapText="1"/>
      <protection locked="0"/>
    </xf>
    <xf numFmtId="0" fontId="0" fillId="0" borderId="0" xfId="0" quotePrefix="1" applyAlignment="1" applyProtection="1">
      <alignment horizontal="left" vertical="center" wrapText="1"/>
      <protection locked="0"/>
    </xf>
    <xf numFmtId="0" fontId="0" fillId="0" borderId="0" xfId="0" applyAlignment="1" applyProtection="1">
      <alignment vertical="top" wrapText="1"/>
      <protection locked="0"/>
    </xf>
    <xf numFmtId="0" fontId="23" fillId="0" borderId="0" xfId="0" applyFont="1" applyAlignment="1" applyProtection="1">
      <alignment wrapText="1"/>
      <protection locked="0"/>
    </xf>
    <xf numFmtId="0" fontId="23" fillId="0" borderId="0" xfId="0" applyFont="1" applyAlignment="1" applyProtection="1">
      <alignment vertical="center" wrapText="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23" fillId="0" borderId="0" xfId="0" applyFont="1" applyAlignment="1" applyProtection="1">
      <alignment vertical="center"/>
      <protection locked="0"/>
    </xf>
    <xf numFmtId="0" fontId="24" fillId="0" borderId="0" xfId="0" applyFont="1" applyProtection="1">
      <protection locked="0"/>
    </xf>
    <xf numFmtId="0" fontId="18" fillId="0" borderId="0" xfId="0" applyFont="1" applyProtection="1">
      <protection locked="0"/>
    </xf>
    <xf numFmtId="0" fontId="25" fillId="7" borderId="7" xfId="0" applyFont="1" applyFill="1" applyBorder="1"/>
    <xf numFmtId="0" fontId="25" fillId="7" borderId="8" xfId="0" applyFont="1" applyFill="1" applyBorder="1"/>
    <xf numFmtId="0" fontId="25" fillId="7" borderId="9"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26" fillId="0" borderId="0" xfId="0" applyFont="1" applyAlignment="1" applyProtection="1">
      <alignment wrapText="1"/>
      <protection locked="0"/>
    </xf>
    <xf numFmtId="0" fontId="27" fillId="0" borderId="0" xfId="0" applyFont="1" applyAlignment="1" applyProtection="1">
      <alignment horizontal="left" vertical="center" wrapText="1"/>
      <protection locked="0"/>
    </xf>
    <xf numFmtId="0" fontId="26" fillId="0" borderId="0" xfId="0" applyFont="1" applyAlignment="1" applyProtection="1">
      <alignment horizontal="left" vertical="center" wrapText="1"/>
      <protection locked="0"/>
    </xf>
    <xf numFmtId="0" fontId="28" fillId="0" borderId="0" xfId="0" applyFont="1" applyAlignment="1" applyProtection="1">
      <alignment wrapText="1"/>
      <protection locked="0"/>
    </xf>
    <xf numFmtId="0" fontId="19" fillId="0" borderId="0" xfId="0" applyFont="1" applyAlignment="1" applyProtection="1">
      <alignment wrapText="1"/>
      <protection locked="0"/>
    </xf>
    <xf numFmtId="0" fontId="16" fillId="8" borderId="7" xfId="0" applyFont="1" applyFill="1" applyBorder="1"/>
    <xf numFmtId="0" fontId="16" fillId="8" borderId="8" xfId="0" applyFont="1" applyFill="1" applyBorder="1"/>
    <xf numFmtId="0" fontId="16" fillId="8" borderId="9" xfId="0" applyFont="1" applyFill="1" applyBorder="1"/>
    <xf numFmtId="0" fontId="16" fillId="0" borderId="7" xfId="0" applyFont="1" applyBorder="1"/>
    <xf numFmtId="0" fontId="16" fillId="0" borderId="8" xfId="0" applyFont="1" applyBorder="1"/>
    <xf numFmtId="0" fontId="16" fillId="0" borderId="9" xfId="0" applyFont="1" applyBorder="1"/>
    <xf numFmtId="0" fontId="1" fillId="0" borderId="0" xfId="0" applyFont="1" applyAlignment="1" applyProtection="1">
      <alignment horizontal="left" vertical="center" wrapText="1"/>
      <protection locked="0"/>
    </xf>
    <xf numFmtId="0" fontId="0" fillId="0" borderId="0" xfId="0" applyAlignment="1" applyProtection="1">
      <alignment horizontal="center"/>
      <protection locked="0"/>
    </xf>
    <xf numFmtId="0" fontId="1" fillId="0" borderId="0" xfId="0" applyFont="1" applyAlignment="1" applyProtection="1">
      <alignment horizontal="center" vertical="center" wrapText="1"/>
      <protection locked="0"/>
    </xf>
    <xf numFmtId="0" fontId="31" fillId="0" borderId="0" xfId="0" applyFont="1" applyProtection="1">
      <protection locked="0"/>
    </xf>
    <xf numFmtId="0" fontId="30" fillId="0" borderId="0" xfId="0" applyFont="1" applyProtection="1">
      <protection locked="0"/>
    </xf>
    <xf numFmtId="0" fontId="30" fillId="0" borderId="0" xfId="0" applyFont="1" applyAlignment="1" applyProtection="1">
      <alignment wrapText="1"/>
      <protection locked="0"/>
    </xf>
    <xf numFmtId="0" fontId="1" fillId="0" borderId="0" xfId="0" applyFont="1" applyAlignment="1">
      <alignment vertical="center" wrapText="1"/>
    </xf>
    <xf numFmtId="0" fontId="32" fillId="0" borderId="0" xfId="0" applyFont="1" applyProtection="1">
      <protection locked="0"/>
    </xf>
    <xf numFmtId="0" fontId="1" fillId="2" borderId="1" xfId="0" applyFont="1" applyFill="1" applyBorder="1"/>
    <xf numFmtId="0" fontId="5" fillId="3" borderId="3" xfId="0" applyFont="1" applyFill="1" applyBorder="1"/>
    <xf numFmtId="0" fontId="5" fillId="3" borderId="4" xfId="0" applyFont="1" applyFill="1" applyBorder="1"/>
    <xf numFmtId="0" fontId="0" fillId="2" borderId="3" xfId="0" applyFill="1" applyBorder="1"/>
    <xf numFmtId="0" fontId="0" fillId="2" borderId="4" xfId="0" applyFill="1" applyBorder="1"/>
    <xf numFmtId="0" fontId="0" fillId="0" borderId="3" xfId="0" applyBorder="1"/>
    <xf numFmtId="0" fontId="0" fillId="0" borderId="4" xfId="0" applyBorder="1"/>
    <xf numFmtId="0" fontId="0" fillId="0" borderId="1" xfId="0" applyBorder="1"/>
    <xf numFmtId="0" fontId="0" fillId="0" borderId="2" xfId="0" applyBorder="1"/>
    <xf numFmtId="0" fontId="0" fillId="2" borderId="1" xfId="0" applyFill="1" applyBorder="1"/>
    <xf numFmtId="0" fontId="1" fillId="0" borderId="1" xfId="0" applyFont="1" applyBorder="1"/>
    <xf numFmtId="0" fontId="22" fillId="0" borderId="0" xfId="0" applyFont="1" applyAlignment="1" applyProtection="1">
      <alignment wrapText="1"/>
      <protection locked="0"/>
    </xf>
    <xf numFmtId="0" fontId="3" fillId="0" borderId="0" xfId="0" applyFont="1" applyAlignment="1">
      <alignment wrapText="1"/>
    </xf>
    <xf numFmtId="0" fontId="34" fillId="0" borderId="11" xfId="0" applyFont="1" applyBorder="1" applyAlignment="1" applyProtection="1">
      <alignment readingOrder="1"/>
      <protection locked="0"/>
    </xf>
    <xf numFmtId="0" fontId="35" fillId="0" borderId="10" xfId="0" applyFont="1" applyBorder="1" applyAlignment="1" applyProtection="1">
      <alignment readingOrder="1"/>
      <protection locked="0"/>
    </xf>
    <xf numFmtId="0" fontId="1" fillId="0" borderId="0" xfId="0" applyFont="1" applyAlignment="1" applyProtection="1">
      <alignment wrapText="1"/>
      <protection locked="0"/>
    </xf>
    <xf numFmtId="0" fontId="34" fillId="0" borderId="12" xfId="0" applyFont="1" applyBorder="1" applyAlignment="1" applyProtection="1">
      <alignment wrapText="1"/>
      <protection locked="0"/>
    </xf>
    <xf numFmtId="0" fontId="36" fillId="0" borderId="0" xfId="0" applyFont="1" applyAlignment="1" applyProtection="1">
      <alignment wrapText="1"/>
      <protection locked="0"/>
    </xf>
    <xf numFmtId="0" fontId="0" fillId="0" borderId="0" xfId="0" applyAlignment="1" applyProtection="1">
      <alignment horizontal="left" vertical="top" wrapText="1"/>
      <protection locked="0"/>
    </xf>
    <xf numFmtId="0" fontId="12" fillId="0" borderId="0" xfId="0" applyFont="1" applyAlignment="1" applyProtection="1">
      <alignment vertical="top" wrapText="1"/>
      <protection locked="0"/>
    </xf>
    <xf numFmtId="0" fontId="36" fillId="0" borderId="0" xfId="0" applyFont="1" applyAlignment="1" applyProtection="1">
      <alignment vertical="top" wrapText="1"/>
      <protection locked="0"/>
    </xf>
    <xf numFmtId="0" fontId="0" fillId="0" borderId="0" xfId="0" applyAlignment="1">
      <alignment wrapText="1"/>
    </xf>
    <xf numFmtId="0" fontId="0" fillId="0" borderId="0" xfId="0" applyAlignment="1" applyProtection="1">
      <alignment horizontal="left" vertical="center"/>
      <protection locked="0"/>
    </xf>
    <xf numFmtId="14" fontId="0" fillId="0" borderId="0" xfId="0" applyNumberFormat="1" applyAlignment="1" applyProtection="1">
      <alignment horizontal="center" vertical="center" wrapText="1"/>
      <protection locked="0"/>
    </xf>
    <xf numFmtId="14" fontId="0" fillId="0" borderId="0" xfId="0" applyNumberFormat="1" applyAlignment="1" applyProtection="1">
      <alignment horizontal="center"/>
      <protection locked="0"/>
    </xf>
    <xf numFmtId="0" fontId="29" fillId="0" borderId="0" xfId="0" applyFont="1" applyAlignment="1" applyProtection="1">
      <alignment wrapText="1"/>
      <protection locked="0"/>
    </xf>
    <xf numFmtId="0" fontId="37" fillId="0" borderId="0" xfId="0" applyFont="1" applyAlignment="1" applyProtection="1">
      <alignment horizontal="left" vertical="center" wrapText="1"/>
      <protection locked="0"/>
    </xf>
    <xf numFmtId="0" fontId="37" fillId="0" borderId="0" xfId="0" applyFont="1" applyProtection="1">
      <protection locked="0"/>
    </xf>
    <xf numFmtId="0" fontId="1" fillId="9" borderId="0" xfId="0" applyFont="1" applyFill="1" applyAlignment="1">
      <alignment horizontal="center" vertical="center" wrapText="1"/>
    </xf>
    <xf numFmtId="0" fontId="0" fillId="9" borderId="0" xfId="0" applyFill="1" applyAlignment="1" applyProtection="1">
      <alignment horizontal="center" vertical="center" wrapText="1"/>
      <protection locked="0"/>
    </xf>
    <xf numFmtId="0" fontId="0" fillId="9" borderId="0" xfId="0" applyFill="1"/>
    <xf numFmtId="0" fontId="38" fillId="9" borderId="0" xfId="0" applyFont="1" applyFill="1"/>
    <xf numFmtId="0" fontId="38" fillId="9" borderId="0" xfId="0" applyFont="1" applyFill="1" applyAlignment="1">
      <alignment wrapText="1"/>
    </xf>
    <xf numFmtId="0" fontId="17" fillId="0" borderId="0" xfId="0" applyFont="1" applyAlignment="1" applyProtection="1">
      <alignment wrapText="1"/>
      <protection locked="0"/>
    </xf>
    <xf numFmtId="0" fontId="27" fillId="0" borderId="0" xfId="0" applyFont="1" applyProtection="1">
      <protection locked="0"/>
    </xf>
    <xf numFmtId="0" fontId="38" fillId="10" borderId="0" xfId="0" applyFont="1" applyFill="1"/>
    <xf numFmtId="0" fontId="39" fillId="0" borderId="0" xfId="0" applyFont="1" applyAlignment="1" applyProtection="1">
      <alignment wrapText="1"/>
      <protection locked="0"/>
    </xf>
    <xf numFmtId="0" fontId="41" fillId="0" borderId="0" xfId="0" applyFont="1" applyAlignment="1" applyProtection="1">
      <alignment horizontal="left" vertical="center" wrapText="1"/>
      <protection locked="0"/>
    </xf>
    <xf numFmtId="0" fontId="0" fillId="0" borderId="0" xfId="0" applyNumberFormat="1"/>
  </cellXfs>
  <cellStyles count="1">
    <cellStyle name="Normal" xfId="0" builtinId="0"/>
  </cellStyles>
  <dxfs count="115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protection locked="1" hidden="0"/>
    </dxf>
    <dxf>
      <protection locked="1" hidden="0"/>
    </dxf>
    <dxf>
      <protection locked="1" hidden="0"/>
    </dxf>
    <dxf>
      <protection locked="1" hidden="0"/>
    </dxf>
    <dxf>
      <protection locked="1" hidden="0"/>
    </dxf>
    <dxf>
      <protection locked="1" hidden="0"/>
    </dxf>
    <dxf>
      <protection locked="1"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wrapText="1"/>
      <protection locked="0" hidden="0"/>
    </dxf>
    <dxf>
      <alignment wrapText="1"/>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general"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wrapText="1"/>
      <protection locked="0" hidden="0"/>
    </dxf>
    <dxf>
      <alignment wrapText="1"/>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wrapText="1"/>
      <protection locked="0" hidden="0"/>
    </dxf>
    <dxf>
      <alignment wrapText="1"/>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wrapText="1"/>
      <protection locked="0" hidden="0"/>
    </dxf>
    <dxf>
      <alignment wrapText="1"/>
      <protection locked="0" hidden="0"/>
    </dxf>
    <dxf>
      <alignment wrapText="1"/>
      <protection locked="1" hidden="0"/>
    </dxf>
    <dxf>
      <alignment wrapText="1"/>
      <protection locked="0" hidden="0"/>
    </dxf>
    <dxf>
      <alignment wrapText="1"/>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textRotation="0" wrapText="1" justifyLastLine="0" shrinkToFit="0" readingOrder="0"/>
      <protection locked="0" hidden="0"/>
    </dxf>
    <dxf>
      <alignment textRotation="0" wrapText="1" justifyLastLine="0" shrinkToFit="0" readingOrder="0"/>
      <protection locked="0" hidden="0"/>
    </dxf>
    <dxf>
      <alignment textRotation="0" wrapText="1" justifyLastLine="0" shrinkToFit="0" readingOrder="0"/>
      <protection locked="1" hidden="0"/>
    </dxf>
    <dxf>
      <alignment textRotation="0" wrapText="1" justifyLastLine="0" shrinkToFit="0" readingOrder="0"/>
      <protection locked="0" hidden="0"/>
    </dxf>
    <dxf>
      <alignment textRotation="0" wrapText="1" justifyLastLine="0" shrinkToFit="0" readingOrder="0"/>
      <protection locked="0" hidden="0"/>
    </dxf>
    <dxf>
      <alignment textRotation="0" wrapText="1" justifyLastLine="0" shrinkToFit="0" readingOrder="0"/>
      <protection locked="1" hidden="0"/>
    </dxf>
    <dxf>
      <alignment textRotation="0" wrapText="1" justifyLastLine="0" shrinkToFit="0" readingOrder="0"/>
      <protection locked="0" hidden="0"/>
    </dxf>
    <dxf>
      <alignment textRotation="0" wrapText="1" justifyLastLine="0" shrinkToFit="0" readingOrder="0"/>
      <protection locked="0" hidden="0"/>
    </dxf>
    <dxf>
      <alignment textRotation="0" wrapText="1" justifyLastLine="0" shrinkToFit="0" readingOrder="0"/>
      <protection locked="1" hidden="0"/>
    </dxf>
    <dxf>
      <alignment textRotation="0" wrapText="1" justifyLastLine="0" shrinkToFit="0" readingOrder="0"/>
      <protection locked="0" hidden="0"/>
    </dxf>
    <dxf>
      <alignment textRotation="0" wrapText="1" justifyLastLine="0" shrinkToFit="0" readingOrder="0"/>
      <protection locked="0" hidden="0"/>
    </dxf>
    <dxf>
      <alignment textRotation="0" wrapText="1" justifyLastLine="0" shrinkToFit="0" readingOrder="0"/>
      <protection locked="1" hidden="0"/>
    </dxf>
    <dxf>
      <alignment textRotation="0" wrapText="1" justifyLastLine="0" shrinkToFit="0" readingOrder="0"/>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alignment textRotation="0" wrapText="1" justifyLastLine="0" shrinkToFit="0" readingOrder="0"/>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alignment wrapText="1"/>
      <protection locked="0" hidden="0"/>
    </dxf>
    <dxf>
      <alignment wrapText="1"/>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font>
        <sz val="11"/>
        <name val="Aptos Narrow"/>
        <scheme val="minor"/>
      </font>
      <protection locked="0" hidden="0"/>
    </dxf>
    <dxf>
      <font>
        <sz val="11"/>
        <name val="Aptos Narrow"/>
        <scheme val="minor"/>
      </font>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font>
        <strike val="0"/>
        <outline val="0"/>
        <shadow val="0"/>
        <u val="none"/>
        <vertAlign val="baseline"/>
        <sz val="11"/>
        <name val="Aptos Narrow"/>
        <family val="2"/>
        <scheme val="minor"/>
      </font>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bottom" textRotation="0" wrapText="0" indent="0" justifyLastLine="0" shrinkToFit="0" readingOrder="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
      <protection locked="0" hidden="0"/>
    </dxf>
    <dxf>
      <protection locked="0" hidden="0"/>
    </dxf>
    <dxf>
      <protection locked="1" hidden="0"/>
    </dxf>
    <dxf>
      <protection locked="0" hidden="0"/>
    </dxf>
    <dxf>
      <protection locked="0" hidden="0"/>
    </dxf>
    <dxf>
      <protection locked="1" hidden="0"/>
    </dxf>
    <dxf>
      <protection locked="0" hidden="0"/>
    </dxf>
    <dxf>
      <protection locked="0" hidden="0"/>
    </dxf>
    <dxf>
      <protection locked="1"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protection locked="1" hidden="0"/>
    </dxf>
    <dxf>
      <protection locked="0" hidden="0"/>
    </dxf>
    <dxf>
      <protection locked="0" hidden="0"/>
    </dxf>
    <dxf>
      <protection locked="0" hidden="0"/>
    </dxf>
    <dxf>
      <font>
        <b/>
      </font>
      <protection locked="0" hidden="0"/>
    </dxf>
    <dxf>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1" hidden="0"/>
    </dxf>
    <dxf>
      <alignment horizontal="center"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protection locked="0" hidden="0"/>
    </dxf>
    <dxf>
      <alignment horizontal="center" vertical="bottom" textRotation="0" wrapText="0" indent="0" justifyLastLine="0" shrinkToFit="0" readingOrder="0"/>
      <protection locked="0" hidden="0"/>
    </dxf>
    <dxf>
      <protection locked="0" hidden="0"/>
    </dxf>
    <dxf>
      <protection locked="1" hidden="0"/>
    </dxf>
    <dxf>
      <protection locked="0" hidden="0"/>
    </dxf>
    <dxf>
      <protection locked="0" hidden="0"/>
    </dxf>
    <dxf>
      <protection locked="0" hidden="0"/>
    </dxf>
    <dxf>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1" hidden="0"/>
    </dxf>
    <dxf>
      <alignment horizontal="left" vertical="center" textRotation="0" wrapText="1" indent="0" justifyLastLine="0" shrinkToFit="0" readingOrder="0"/>
      <protection locked="0" hidden="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protection locked="0" hidden="0"/>
    </dxf>
    <dxf>
      <protection locked="0" hidden="0"/>
    </dxf>
    <dxf>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s>
</file>

<file path=xl/documenttasks/documenttask1.xml><?xml version="1.0" encoding="utf-8"?>
<Tasks xmlns="http://schemas.microsoft.com/office/tasks/2019/documenttasks">
  <Task id="{A929A5C3-53A2-4C22-9982-95C7F7FFCA38}">
    <Anchor>
      <Comment id="{79432D10-3ACF-47B8-889A-D1492EDEAE22}"/>
    </Anchor>
    <History>
      <Event time="2026-10-16T08:01:32.70" id="{A5F8B1C9-5760-4FD0-93CD-9A98FB352E28}">
        <Attribution userId="S::SPSTOBRI@ljmu.ac.uk::28b2c575-fe03-4579-ace1-e432fe3c3935" userName="O'Brien, Thomas" userProvider="AD"/>
        <Anchor>
          <Comment id="{79432D10-3ACF-47B8-889A-D1492EDEAE22}"/>
        </Anchor>
        <Create/>
      </Event>
      <Event time="2026-10-16T08:01:32.70" id="{E3492615-6448-49F9-B3CC-952951C4AF5D}">
        <Attribution userId="S::SPSTOBRI@ljmu.ac.uk::28b2c575-fe03-4579-ace1-e432fe3c3935" userName="O'Brien, Thomas" userProvider="AD"/>
        <Anchor>
          <Comment id="{79432D10-3ACF-47B8-889A-D1492EDEAE22}"/>
        </Anchor>
        <Assign userId="S::SPSMROBI@ljmu.ac.uk::b4a6d85e-ef53-4622-8edb-d8abbe8f79a1" userName="Robinson, Mark" userProvider="AD"/>
      </Event>
      <Event time="2026-10-16T08:01:32.70" id="{E8426402-83B0-477B-AEF7-E73726D0D1E5}">
        <Attribution userId="S::SPSTOBRI@ljmu.ac.uk::28b2c575-fe03-4579-ace1-e432fe3c3935" userName="O'Brien, Thomas" userProvider="AD"/>
        <Anchor>
          <Comment id="{79432D10-3ACF-47B8-889A-D1492EDEAE22}"/>
        </Anchor>
        <SetTitle title="Agree addition ? @Robinson, Mark @Maganaris, Constantinos "/>
      </Event>
    </History>
  </Task>
</Tasks>
</file>

<file path=xl/persons/person.xml><?xml version="1.0" encoding="utf-8"?>
<personList xmlns="http://schemas.microsoft.com/office/spreadsheetml/2018/threadedcomments" xmlns:x="http://schemas.openxmlformats.org/spreadsheetml/2006/main">
  <person displayName="Maganaris, Constantinos" id="{4C5D2EA4-AC45-48DD-82DD-815814DC5F57}" userId="SPSCMAGA@ljmu.ac.uk" providerId="PeoplePicker"/>
  <person displayName="Robinson, Mark" id="{D10845A7-78AF-471B-92A2-931983CCF3EE}" userId="SPSMROBI@ljmu.ac.uk" providerId="PeoplePicker"/>
  <person displayName="Boddy, Lynne" id="{02468CA8-E19A-4AF1-B522-9F4654B8473C}" userId="S::OLFLBODD@ljmu.ac.uk::4e2c177b-3065-45f0-b76e-62857f926f3e" providerId="AD"/>
  <person displayName="Owens, Daniel" id="{38634D3B-70C4-8F44-856B-2B4869DA4869}" userId="S::SPSDOWEN@ljmu.ac.uk::3eac6e0b-34d7-4a7c-9b8a-cef9e010b0a3" providerId="AD"/>
  <person displayName="Robinson, Mark" id="{2A048AC4-FB21-4649-A98F-653968BBA810}" userId="S::SPSMROBI@ljmu.ac.uk::b4a6d85e-ef53-4622-8edb-d8abbe8f79a1" providerId="AD"/>
  <person displayName="O'Brien, Thomas" id="{12A76DBD-3589-478C-8F14-BB8114290580}" userId="S::SPSTOBRI@ljmu.ac.uk::28b2c575-fe03-4579-ace1-e432fe3c3935" providerId="AD"/>
  <person displayName="Boddy, Lynne" id="{14AE07FE-F738-4266-B42F-DFD851BB43E4}" userId="S::olflbodd@ljmu.ac.uk::4e2c177b-3065-45f0-b76e-62857f926f3e" providerId="AD"/>
  <person displayName="Miller, Gemma" id="{51414E2E-ADDB-4659-9E0D-35850923C808}" userId="S::spsgmill@ljmu.ac.uk::1e036a39-ad06-42aa-9aae-539c4900d76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son, Mark" refreshedDate="46317.300577199072" createdVersion="8" refreshedVersion="8" minRefreshableVersion="3" recordCount="168" xr:uid="{F6538765-2DF2-3840-8937-7B9437E9586B}">
  <cacheSource type="worksheet">
    <worksheetSource name="SES_Hours"/>
  </cacheSource>
  <cacheFields count="9">
    <cacheField name="SourceWorkbook" numFmtId="0">
      <sharedItems/>
    </cacheField>
    <cacheField name="ModuleCode" numFmtId="0">
      <sharedItems count="28">
        <s v="4101SPS"/>
        <s v="4102SPS"/>
        <s v="4091SPS"/>
        <s v="4092SPS"/>
        <s v="4094SPS"/>
        <s v="5091SPS"/>
        <s v="5092SPS"/>
        <s v="5101SPS"/>
        <s v="5102SPS"/>
        <s v="5103SPS"/>
        <s v="6101SPS"/>
        <s v="6102SPS"/>
        <s v="6096SPS"/>
        <s v="6103SPS"/>
        <s v="6104SPS"/>
        <s v="6105SPS"/>
        <s v="6106SPS"/>
        <s v="6107SPS"/>
        <s v="6108SPS"/>
        <s v="6109SPS"/>
        <s v="6091SPS"/>
        <s v="6093SPS"/>
        <s v="6094SPS"/>
        <s v="6095SPS"/>
        <s v="6097SPS"/>
        <s v="4093SPS"/>
        <s v="5093SPS"/>
        <s v="6052SPS"/>
      </sharedItems>
    </cacheField>
    <cacheField name="ModuleTitle" numFmtId="0">
      <sharedItems/>
    </cacheField>
    <cacheField name="Component" numFmtId="0">
      <sharedItems count="6">
        <s v="Lecture"/>
        <s v="Seminar"/>
        <s v="Practical"/>
        <s v="Workshop"/>
        <s v="Online"/>
        <s v="Total"/>
      </sharedItems>
    </cacheField>
    <cacheField name="Contact Hours" numFmtId="0">
      <sharedItems containsString="0" containsBlank="1" containsNumber="1" containsInteger="1" minValue="0" maxValue="50"/>
    </cacheField>
    <cacheField name="ItemSuffix" numFmtId="0">
      <sharedItems/>
    </cacheField>
    <cacheField name="Programme" numFmtId="0">
      <sharedItems/>
    </cacheField>
    <cacheField name="TableName" numFmtId="0">
      <sharedItems/>
    </cacheField>
    <cacheField name="ProgCode"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son, Mark" refreshedDate="46317.300577662034" createdVersion="8" refreshedVersion="8" minRefreshableVersion="3" recordCount="56" xr:uid="{1D4E36C7-8739-714E-9A14-79EF7A3B3554}">
  <cacheSource type="worksheet">
    <worksheetSource name="SES_Assess"/>
  </cacheSource>
  <cacheFields count="13">
    <cacheField name="SourceWorkbook" numFmtId="0">
      <sharedItems/>
    </cacheField>
    <cacheField name="ModuleCode" numFmtId="0">
      <sharedItems count="28">
        <s v="4101SPS"/>
        <s v="4102SPS"/>
        <s v="4091SPS"/>
        <s v="4092SPS"/>
        <s v="4094SPS"/>
        <s v="5091SPS"/>
        <s v="5092SPS"/>
        <s v="5101SPS"/>
        <s v="5102SPS"/>
        <s v="5103SPS"/>
        <s v="6096SPS"/>
        <s v="6101SPS"/>
        <s v="6102SPS"/>
        <s v="6103SPS"/>
        <s v="6104SPS"/>
        <s v="6105SPS"/>
        <s v="6106SPS"/>
        <s v="6107SPS"/>
        <s v="6108SPS"/>
        <s v="6109SPS"/>
        <s v="6091SPS"/>
        <s v="6093SPS"/>
        <s v="6094SPS"/>
        <s v="6095SPS"/>
        <s v="6097SPS"/>
        <s v="4093SPS"/>
        <s v="5093SPS"/>
        <s v="6052SPS"/>
      </sharedItems>
    </cacheField>
    <cacheField name="ModuleTitle" numFmtId="0">
      <sharedItems/>
    </cacheField>
    <cacheField name="Assessment No" numFmtId="0">
      <sharedItems/>
    </cacheField>
    <cacheField name="Assessment Type" numFmtId="0">
      <sharedItems count="8">
        <s v="Presentation"/>
        <s v="Portfolio"/>
        <s v="Exam"/>
        <s v="Report"/>
        <s v="Essay"/>
        <s v="15-min group presentation"/>
        <s v="2-h exam "/>
        <s v="Practical"/>
      </sharedItems>
    </cacheField>
    <cacheField name="Assessment Specific" numFmtId="0">
      <sharedItems containsBlank="1"/>
    </cacheField>
    <cacheField name="Assessment Description" numFmtId="0">
      <sharedItems longText="1"/>
    </cacheField>
    <cacheField name="Weighting" numFmtId="0">
      <sharedItems containsString="0" containsBlank="1" containsNumber="1" minValue="0.3" maxValue="0.7"/>
    </cacheField>
    <cacheField name="Due Week" numFmtId="0">
      <sharedItems containsBlank="1" containsMixedTypes="1" containsNumber="1" containsInteger="1" minValue="6" maxValue="33"/>
    </cacheField>
    <cacheField name="TableName" numFmtId="0">
      <sharedItems/>
    </cacheField>
    <cacheField name="ItemSuffix" numFmtId="0">
      <sharedItems/>
    </cacheField>
    <cacheField name="Programme" numFmtId="0">
      <sharedItems/>
    </cacheField>
    <cacheField name="ProgCode" numFmtId="0">
      <sharedItems/>
    </cacheField>
  </cacheFields>
  <extLst>
    <ext xmlns:x14="http://schemas.microsoft.com/office/spreadsheetml/2009/9/main" uri="{725AE2AE-9491-48be-B2B4-4EB974FC3084}">
      <x14:pivotCacheDefinition pivotCacheId="12716519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s v="Sport and Exercise Science - AllModuleProformas.xlsx"/>
    <x v="0"/>
    <s v="Professional Practice"/>
    <x v="0"/>
    <n v="22"/>
    <s v="Hours"/>
    <s v="Sport and Exercise Science"/>
    <s v="4101SPS_Hours"/>
    <s v="SES"/>
  </r>
  <r>
    <s v="Sport and Exercise Science - AllModuleProformas.xlsx"/>
    <x v="0"/>
    <s v="Professional Practice"/>
    <x v="1"/>
    <n v="5"/>
    <s v="Hours"/>
    <s v="Sport and Exercise Science"/>
    <s v="4101SPS_Hours"/>
    <s v="SES"/>
  </r>
  <r>
    <s v="Sport and Exercise Science - AllModuleProformas.xlsx"/>
    <x v="0"/>
    <s v="Professional Practice"/>
    <x v="2"/>
    <n v="3"/>
    <s v="Hours"/>
    <s v="Sport and Exercise Science"/>
    <s v="4101SPS_Hours"/>
    <s v="SES"/>
  </r>
  <r>
    <s v="Sport and Exercise Science - AllModuleProformas.xlsx"/>
    <x v="0"/>
    <s v="Professional Practice"/>
    <x v="3"/>
    <n v="10"/>
    <s v="Hours"/>
    <s v="Sport and Exercise Science"/>
    <s v="4101SPS_Hours"/>
    <s v="SES"/>
  </r>
  <r>
    <s v="Sport and Exercise Science - AllModuleProformas.xlsx"/>
    <x v="0"/>
    <s v="Professional Practice"/>
    <x v="4"/>
    <n v="4"/>
    <s v="Hours"/>
    <s v="Sport and Exercise Science"/>
    <s v="4101SPS_Hours"/>
    <s v="SES"/>
  </r>
  <r>
    <s v="Sport and Exercise Science - AllModuleProformas.xlsx"/>
    <x v="0"/>
    <s v="Professional Practice"/>
    <x v="5"/>
    <n v="44"/>
    <s v="Hours"/>
    <s v="Sport and Exercise Science"/>
    <s v="4101SPS_Hours"/>
    <s v="SES"/>
  </r>
  <r>
    <s v="Sport and Exercise Science - AllModuleProformas.xlsx"/>
    <x v="1"/>
    <s v="Understanding Physical Activity and Sedentary Behaviour"/>
    <x v="0"/>
    <n v="23"/>
    <s v="Hours"/>
    <s v="Sport and Exercise Science"/>
    <s v="4102SPS_Hours"/>
    <s v="SES"/>
  </r>
  <r>
    <s v="Sport and Exercise Science - AllModuleProformas.xlsx"/>
    <x v="1"/>
    <s v="Understanding Physical Activity and Sedentary Behaviour"/>
    <x v="1"/>
    <m/>
    <s v="Hours"/>
    <s v="Sport and Exercise Science"/>
    <s v="4102SPS_Hours"/>
    <s v="SES"/>
  </r>
  <r>
    <s v="Sport and Exercise Science - AllModuleProformas.xlsx"/>
    <x v="1"/>
    <s v="Understanding Physical Activity and Sedentary Behaviour"/>
    <x v="2"/>
    <m/>
    <s v="Hours"/>
    <s v="Sport and Exercise Science"/>
    <s v="4102SPS_Hours"/>
    <s v="SES"/>
  </r>
  <r>
    <s v="Sport and Exercise Science - AllModuleProformas.xlsx"/>
    <x v="1"/>
    <s v="Understanding Physical Activity and Sedentary Behaviour"/>
    <x v="3"/>
    <n v="17"/>
    <s v="Hours"/>
    <s v="Sport and Exercise Science"/>
    <s v="4102SPS_Hours"/>
    <s v="SES"/>
  </r>
  <r>
    <s v="Sport and Exercise Science - AllModuleProformas.xlsx"/>
    <x v="1"/>
    <s v="Understanding Physical Activity and Sedentary Behaviour"/>
    <x v="4"/>
    <m/>
    <s v="Hours"/>
    <s v="Sport and Exercise Science"/>
    <s v="4102SPS_Hours"/>
    <s v="SES"/>
  </r>
  <r>
    <s v="Sport and Exercise Science - AllModuleProformas.xlsx"/>
    <x v="1"/>
    <s v="Understanding Physical Activity and Sedentary Behaviour"/>
    <x v="5"/>
    <n v="40"/>
    <s v="Hours"/>
    <s v="Sport and Exercise Science"/>
    <s v="4102SPS_Hours"/>
    <s v="SES"/>
  </r>
  <r>
    <s v="Sport and Exercise Science - AllModuleProformas.xlsx"/>
    <x v="2"/>
    <s v="Research Methods 1"/>
    <x v="0"/>
    <n v="34"/>
    <s v="Hours"/>
    <s v="Sport and Exercise Science"/>
    <s v="4091SPS_Hours"/>
    <s v="SES"/>
  </r>
  <r>
    <s v="Sport and Exercise Science - AllModuleProformas.xlsx"/>
    <x v="2"/>
    <s v="Research Methods 1"/>
    <x v="1"/>
    <n v="6"/>
    <s v="Hours"/>
    <s v="Sport and Exercise Science"/>
    <s v="4091SPS_Hours"/>
    <s v="SES"/>
  </r>
  <r>
    <s v="Sport and Exercise Science - AllModuleProformas.xlsx"/>
    <x v="2"/>
    <s v="Research Methods 1"/>
    <x v="2"/>
    <m/>
    <s v="Hours"/>
    <s v="Sport and Exercise Science"/>
    <s v="4091SPS_Hours"/>
    <s v="SES"/>
  </r>
  <r>
    <s v="Sport and Exercise Science - AllModuleProformas.xlsx"/>
    <x v="2"/>
    <s v="Research Methods 1"/>
    <x v="3"/>
    <n v="4"/>
    <s v="Hours"/>
    <s v="Sport and Exercise Science"/>
    <s v="4091SPS_Hours"/>
    <s v="SES"/>
  </r>
  <r>
    <s v="Sport and Exercise Science - AllModuleProformas.xlsx"/>
    <x v="2"/>
    <s v="Research Methods 1"/>
    <x v="4"/>
    <m/>
    <s v="Hours"/>
    <s v="Sport and Exercise Science"/>
    <s v="4091SPS_Hours"/>
    <s v="SES"/>
  </r>
  <r>
    <s v="Sport and Exercise Science - AllModuleProformas.xlsx"/>
    <x v="2"/>
    <s v="Research Methods 1"/>
    <x v="5"/>
    <n v="44"/>
    <s v="Hours"/>
    <s v="Sport and Exercise Science"/>
    <s v="4091SPS_Hours"/>
    <s v="SES"/>
  </r>
  <r>
    <s v="Sport and Exercise Science - AllModuleProformas.xlsx"/>
    <x v="3"/>
    <s v="Fundamentals of Exercise Physiology"/>
    <x v="0"/>
    <n v="33"/>
    <s v="Hours"/>
    <s v="Sport and Exercise Science"/>
    <s v="4092SPS_Hours"/>
    <s v="SES"/>
  </r>
  <r>
    <s v="Sport and Exercise Science - AllModuleProformas.xlsx"/>
    <x v="3"/>
    <s v="Fundamentals of Exercise Physiology"/>
    <x v="1"/>
    <n v="1"/>
    <s v="Hours"/>
    <s v="Sport and Exercise Science"/>
    <s v="4092SPS_Hours"/>
    <s v="SES"/>
  </r>
  <r>
    <s v="Sport and Exercise Science - AllModuleProformas.xlsx"/>
    <x v="3"/>
    <s v="Fundamentals of Exercise Physiology"/>
    <x v="2"/>
    <n v="6"/>
    <s v="Hours"/>
    <s v="Sport and Exercise Science"/>
    <s v="4092SPS_Hours"/>
    <s v="SES"/>
  </r>
  <r>
    <s v="Sport and Exercise Science - AllModuleProformas.xlsx"/>
    <x v="3"/>
    <s v="Fundamentals of Exercise Physiology"/>
    <x v="3"/>
    <n v="1"/>
    <s v="Hours"/>
    <s v="Sport and Exercise Science"/>
    <s v="4092SPS_Hours"/>
    <s v="SES"/>
  </r>
  <r>
    <s v="Sport and Exercise Science - AllModuleProformas.xlsx"/>
    <x v="3"/>
    <s v="Fundamentals of Exercise Physiology"/>
    <x v="4"/>
    <n v="3"/>
    <s v="Hours"/>
    <s v="Sport and Exercise Science"/>
    <s v="4092SPS_Hours"/>
    <s v="SES"/>
  </r>
  <r>
    <s v="Sport and Exercise Science - AllModuleProformas.xlsx"/>
    <x v="3"/>
    <s v="Fundamentals of Exercise Physiology"/>
    <x v="5"/>
    <n v="44"/>
    <s v="Hours"/>
    <s v="Sport and Exercise Science"/>
    <s v="4092SPS_Hours"/>
    <s v="SES"/>
  </r>
  <r>
    <s v="Sport and Exercise Science - AllModuleProformas.xlsx"/>
    <x v="4"/>
    <s v="Human Movement"/>
    <x v="0"/>
    <n v="11"/>
    <s v="Hours"/>
    <s v="Sport and Exercise Science"/>
    <s v="4094SPS_Hours"/>
    <s v="SES"/>
  </r>
  <r>
    <s v="Sport and Exercise Science - AllModuleProformas.xlsx"/>
    <x v="4"/>
    <s v="Human Movement"/>
    <x v="1"/>
    <m/>
    <s v="Hours"/>
    <s v="Sport and Exercise Science"/>
    <s v="4094SPS_Hours"/>
    <s v="SES"/>
  </r>
  <r>
    <s v="Sport and Exercise Science - AllModuleProformas.xlsx"/>
    <x v="4"/>
    <s v="Human Movement"/>
    <x v="2"/>
    <n v="6"/>
    <s v="Hours"/>
    <s v="Sport and Exercise Science"/>
    <s v="4094SPS_Hours"/>
    <s v="SES"/>
  </r>
  <r>
    <s v="Sport and Exercise Science - AllModuleProformas.xlsx"/>
    <x v="4"/>
    <s v="Human Movement"/>
    <x v="3"/>
    <n v="11"/>
    <s v="Hours"/>
    <s v="Sport and Exercise Science"/>
    <s v="4094SPS_Hours"/>
    <s v="SES"/>
  </r>
  <r>
    <s v="Sport and Exercise Science - AllModuleProformas.xlsx"/>
    <x v="4"/>
    <s v="Human Movement"/>
    <x v="4"/>
    <n v="11"/>
    <s v="Hours"/>
    <s v="Sport and Exercise Science"/>
    <s v="4094SPS_Hours"/>
    <s v="SES"/>
  </r>
  <r>
    <s v="Sport and Exercise Science - AllModuleProformas.xlsx"/>
    <x v="4"/>
    <s v="Human Movement"/>
    <x v="5"/>
    <n v="39"/>
    <s v="Hours"/>
    <s v="Sport and Exercise Science"/>
    <s v="4094SPS_Hours"/>
    <s v="SES"/>
  </r>
  <r>
    <s v="Sport and Exercise Science - AllModuleProformas.xlsx"/>
    <x v="5"/>
    <s v="Research Methods 2"/>
    <x v="0"/>
    <n v="34"/>
    <s v="Hours"/>
    <s v="Sport and Exercise Science"/>
    <s v="5091SPS_Hours"/>
    <s v="SES"/>
  </r>
  <r>
    <s v="Sport and Exercise Science - AllModuleProformas.xlsx"/>
    <x v="5"/>
    <s v="Research Methods 2"/>
    <x v="1"/>
    <n v="6"/>
    <s v="Hours"/>
    <s v="Sport and Exercise Science"/>
    <s v="5091SPS_Hours"/>
    <s v="SES"/>
  </r>
  <r>
    <s v="Sport and Exercise Science - AllModuleProformas.xlsx"/>
    <x v="5"/>
    <s v="Research Methods 2"/>
    <x v="2"/>
    <m/>
    <s v="Hours"/>
    <s v="Sport and Exercise Science"/>
    <s v="5091SPS_Hours"/>
    <s v="SES"/>
  </r>
  <r>
    <s v="Sport and Exercise Science - AllModuleProformas.xlsx"/>
    <x v="5"/>
    <s v="Research Methods 2"/>
    <x v="3"/>
    <n v="2"/>
    <s v="Hours"/>
    <s v="Sport and Exercise Science"/>
    <s v="5091SPS_Hours"/>
    <s v="SES"/>
  </r>
  <r>
    <s v="Sport and Exercise Science - AllModuleProformas.xlsx"/>
    <x v="5"/>
    <s v="Research Methods 2"/>
    <x v="4"/>
    <m/>
    <s v="Hours"/>
    <s v="Sport and Exercise Science"/>
    <s v="5091SPS_Hours"/>
    <s v="SES"/>
  </r>
  <r>
    <s v="Sport and Exercise Science - AllModuleProformas.xlsx"/>
    <x v="5"/>
    <s v="Research Methods 2"/>
    <x v="5"/>
    <n v="42"/>
    <s v="Hours"/>
    <s v="Sport and Exercise Science"/>
    <s v="5091SPS_Hours"/>
    <s v="SES"/>
  </r>
  <r>
    <s v="Sport and Exercise Science - AllModuleProformas.xlsx"/>
    <x v="6"/>
    <s v="Physiological adaptations to exercise"/>
    <x v="0"/>
    <n v="16"/>
    <s v="Hours"/>
    <s v="Sport and Exercise Science"/>
    <s v="5092SPS_Hours"/>
    <s v="SES"/>
  </r>
  <r>
    <s v="Sport and Exercise Science - AllModuleProformas.xlsx"/>
    <x v="6"/>
    <s v="Physiological adaptations to exercise"/>
    <x v="1"/>
    <n v="5"/>
    <s v="Hours"/>
    <s v="Sport and Exercise Science"/>
    <s v="5092SPS_Hours"/>
    <s v="SES"/>
  </r>
  <r>
    <s v="Sport and Exercise Science - AllModuleProformas.xlsx"/>
    <x v="6"/>
    <s v="Physiological adaptations to exercise"/>
    <x v="2"/>
    <n v="6"/>
    <s v="Hours"/>
    <s v="Sport and Exercise Science"/>
    <s v="5092SPS_Hours"/>
    <s v="SES"/>
  </r>
  <r>
    <s v="Sport and Exercise Science - AllModuleProformas.xlsx"/>
    <x v="6"/>
    <s v="Physiological adaptations to exercise"/>
    <x v="3"/>
    <n v="7"/>
    <s v="Hours"/>
    <s v="Sport and Exercise Science"/>
    <s v="5092SPS_Hours"/>
    <s v="SES"/>
  </r>
  <r>
    <s v="Sport and Exercise Science - AllModuleProformas.xlsx"/>
    <x v="6"/>
    <s v="Physiological adaptations to exercise"/>
    <x v="4"/>
    <n v="6"/>
    <s v="Hours"/>
    <s v="Sport and Exercise Science"/>
    <s v="5092SPS_Hours"/>
    <s v="SES"/>
  </r>
  <r>
    <s v="Sport and Exercise Science - AllModuleProformas.xlsx"/>
    <x v="6"/>
    <s v="Physiological adaptations to exercise"/>
    <x v="5"/>
    <n v="40"/>
    <s v="Hours"/>
    <s v="Sport and Exercise Science"/>
    <s v="5092SPS_Hours"/>
    <s v="SES"/>
  </r>
  <r>
    <s v="Sport and Exercise Science - AllModuleProformas.xlsx"/>
    <x v="7"/>
    <s v="Professional Practice in Sport and Exercise Science 2"/>
    <x v="0"/>
    <n v="22"/>
    <s v="Hours"/>
    <s v="Sport and Exercise Science"/>
    <s v="5101SPS_Hours"/>
    <s v="SES"/>
  </r>
  <r>
    <s v="Sport and Exercise Science - AllModuleProformas.xlsx"/>
    <x v="7"/>
    <s v="Professional Practice in Sport and Exercise Science 2"/>
    <x v="1"/>
    <n v="12"/>
    <s v="Hours"/>
    <s v="Sport and Exercise Science"/>
    <s v="5101SPS_Hours"/>
    <s v="SES"/>
  </r>
  <r>
    <s v="Sport and Exercise Science - AllModuleProformas.xlsx"/>
    <x v="7"/>
    <s v="Professional Practice in Sport and Exercise Science 2"/>
    <x v="2"/>
    <n v="0"/>
    <s v="Hours"/>
    <s v="Sport and Exercise Science"/>
    <s v="5101SPS_Hours"/>
    <s v="SES"/>
  </r>
  <r>
    <s v="Sport and Exercise Science - AllModuleProformas.xlsx"/>
    <x v="7"/>
    <s v="Professional Practice in Sport and Exercise Science 2"/>
    <x v="3"/>
    <n v="0"/>
    <s v="Hours"/>
    <s v="Sport and Exercise Science"/>
    <s v="5101SPS_Hours"/>
    <s v="SES"/>
  </r>
  <r>
    <s v="Sport and Exercise Science - AllModuleProformas.xlsx"/>
    <x v="7"/>
    <s v="Professional Practice in Sport and Exercise Science 2"/>
    <x v="4"/>
    <n v="0"/>
    <s v="Hours"/>
    <s v="Sport and Exercise Science"/>
    <s v="5101SPS_Hours"/>
    <s v="SES"/>
  </r>
  <r>
    <s v="Sport and Exercise Science - AllModuleProformas.xlsx"/>
    <x v="7"/>
    <s v="Professional Practice in Sport and Exercise Science 2"/>
    <x v="5"/>
    <n v="34"/>
    <s v="Hours"/>
    <s v="Sport and Exercise Science"/>
    <s v="5101SPS_Hours"/>
    <s v="SES"/>
  </r>
  <r>
    <s v="Sport and Exercise Science - AllModuleProformas.xlsx"/>
    <x v="8"/>
    <s v="Influences and Assessment of Physical Activity and Sedentary Behaviour"/>
    <x v="0"/>
    <n v="22"/>
    <s v="Hours"/>
    <s v="Sport and Exercise Science"/>
    <s v="5102SPS_Hours"/>
    <s v="SES"/>
  </r>
  <r>
    <s v="Sport and Exercise Science - AllModuleProformas.xlsx"/>
    <x v="8"/>
    <s v="Influences and Assessment of Physical Activity and Sedentary Behaviour"/>
    <x v="1"/>
    <n v="14"/>
    <s v="Hours"/>
    <s v="Sport and Exercise Science"/>
    <s v="5102SPS_Hours"/>
    <s v="SES"/>
  </r>
  <r>
    <s v="Sport and Exercise Science - AllModuleProformas.xlsx"/>
    <x v="8"/>
    <s v="Influences and Assessment of Physical Activity and Sedentary Behaviour"/>
    <x v="2"/>
    <n v="2"/>
    <s v="Hours"/>
    <s v="Sport and Exercise Science"/>
    <s v="5102SPS_Hours"/>
    <s v="SES"/>
  </r>
  <r>
    <s v="Sport and Exercise Science - AllModuleProformas.xlsx"/>
    <x v="8"/>
    <s v="Influences and Assessment of Physical Activity and Sedentary Behaviour"/>
    <x v="3"/>
    <n v="0"/>
    <s v="Hours"/>
    <s v="Sport and Exercise Science"/>
    <s v="5102SPS_Hours"/>
    <s v="SES"/>
  </r>
  <r>
    <s v="Sport and Exercise Science - AllModuleProformas.xlsx"/>
    <x v="8"/>
    <s v="Influences and Assessment of Physical Activity and Sedentary Behaviour"/>
    <x v="4"/>
    <n v="11"/>
    <s v="Hours"/>
    <s v="Sport and Exercise Science"/>
    <s v="5102SPS_Hours"/>
    <s v="SES"/>
  </r>
  <r>
    <s v="Sport and Exercise Science - AllModuleProformas.xlsx"/>
    <x v="8"/>
    <s v="Influences and Assessment of Physical Activity and Sedentary Behaviour"/>
    <x v="5"/>
    <n v="49"/>
    <s v="Hours"/>
    <s v="Sport and Exercise Science"/>
    <s v="5102SPS_Hours"/>
    <s v="SES"/>
  </r>
  <r>
    <s v="Sport and Exercise Science - AllModuleProformas.xlsx"/>
    <x v="9"/>
    <s v="Biomechanics"/>
    <x v="0"/>
    <m/>
    <s v="Hours"/>
    <s v="Sport and Exercise Science"/>
    <s v="5103SPS_Hours"/>
    <s v="SES"/>
  </r>
  <r>
    <s v="Sport and Exercise Science - AllModuleProformas.xlsx"/>
    <x v="9"/>
    <s v="Biomechanics"/>
    <x v="1"/>
    <m/>
    <s v="Hours"/>
    <s v="Sport and Exercise Science"/>
    <s v="5103SPS_Hours"/>
    <s v="SES"/>
  </r>
  <r>
    <s v="Sport and Exercise Science - AllModuleProformas.xlsx"/>
    <x v="9"/>
    <s v="Biomechanics"/>
    <x v="2"/>
    <m/>
    <s v="Hours"/>
    <s v="Sport and Exercise Science"/>
    <s v="5103SPS_Hours"/>
    <s v="SES"/>
  </r>
  <r>
    <s v="Sport and Exercise Science - AllModuleProformas.xlsx"/>
    <x v="9"/>
    <s v="Biomechanics"/>
    <x v="3"/>
    <m/>
    <s v="Hours"/>
    <s v="Sport and Exercise Science"/>
    <s v="5103SPS_Hours"/>
    <s v="SES"/>
  </r>
  <r>
    <s v="Sport and Exercise Science - AllModuleProformas.xlsx"/>
    <x v="9"/>
    <s v="Biomechanics"/>
    <x v="4"/>
    <m/>
    <s v="Hours"/>
    <s v="Sport and Exercise Science"/>
    <s v="5103SPS_Hours"/>
    <s v="SES"/>
  </r>
  <r>
    <s v="Sport and Exercise Science - AllModuleProformas.xlsx"/>
    <x v="9"/>
    <s v="Biomechanics"/>
    <x v="5"/>
    <n v="0"/>
    <s v="Hours"/>
    <s v="Sport and Exercise Science"/>
    <s v="5103SPS_Hours"/>
    <s v="SES"/>
  </r>
  <r>
    <s v="Sport and Exercise Science - AllModuleProformas.xlsx"/>
    <x v="10"/>
    <s v="Sport and Injury Biomechanics"/>
    <x v="0"/>
    <n v="20"/>
    <s v="Hours"/>
    <s v="Sport and Exercise Science"/>
    <s v="6101SPS_Hours"/>
    <s v="SES"/>
  </r>
  <r>
    <s v="Sport and Exercise Science - AllModuleProformas.xlsx"/>
    <x v="10"/>
    <s v="Sport and Injury Biomechanics"/>
    <x v="1"/>
    <n v="9"/>
    <s v="Hours"/>
    <s v="Sport and Exercise Science"/>
    <s v="6101SPS_Hours"/>
    <s v="SES"/>
  </r>
  <r>
    <s v="Sport and Exercise Science - AllModuleProformas.xlsx"/>
    <x v="10"/>
    <s v="Sport and Injury Biomechanics"/>
    <x v="2"/>
    <n v="13"/>
    <s v="Hours"/>
    <s v="Sport and Exercise Science"/>
    <s v="6101SPS_Hours"/>
    <s v="SES"/>
  </r>
  <r>
    <s v="Sport and Exercise Science - AllModuleProformas.xlsx"/>
    <x v="10"/>
    <s v="Sport and Injury Biomechanics"/>
    <x v="3"/>
    <n v="0"/>
    <s v="Hours"/>
    <s v="Sport and Exercise Science"/>
    <s v="6101SPS_Hours"/>
    <s v="SES"/>
  </r>
  <r>
    <s v="Sport and Exercise Science - AllModuleProformas.xlsx"/>
    <x v="10"/>
    <s v="Sport and Injury Biomechanics"/>
    <x v="4"/>
    <n v="0"/>
    <s v="Hours"/>
    <s v="Sport and Exercise Science"/>
    <s v="6101SPS_Hours"/>
    <s v="SES"/>
  </r>
  <r>
    <s v="Sport and Exercise Science - AllModuleProformas.xlsx"/>
    <x v="10"/>
    <s v="Sport and Injury Biomechanics"/>
    <x v="5"/>
    <n v="42"/>
    <s v="Hours"/>
    <s v="Sport and Exercise Science"/>
    <s v="6101SPS_Hours"/>
    <s v="SES"/>
  </r>
  <r>
    <s v="Sport and Exercise Science - AllModuleProformas.xlsx"/>
    <x v="11"/>
    <s v="Physical activity and sedentary behaviour across the life course"/>
    <x v="0"/>
    <n v="20"/>
    <s v="Hours"/>
    <s v="Sport and Exercise Science"/>
    <s v="6102SPS_Hours"/>
    <s v="SES"/>
  </r>
  <r>
    <s v="Sport and Exercise Science - AllModuleProformas.xlsx"/>
    <x v="11"/>
    <s v="Physical activity and sedentary behaviour across the life course"/>
    <x v="1"/>
    <n v="16"/>
    <s v="Hours"/>
    <s v="Sport and Exercise Science"/>
    <s v="6102SPS_Hours"/>
    <s v="SES"/>
  </r>
  <r>
    <s v="Sport and Exercise Science - AllModuleProformas.xlsx"/>
    <x v="11"/>
    <s v="Physical activity and sedentary behaviour across the life course"/>
    <x v="2"/>
    <n v="4"/>
    <s v="Hours"/>
    <s v="Sport and Exercise Science"/>
    <s v="6102SPS_Hours"/>
    <s v="SES"/>
  </r>
  <r>
    <s v="Sport and Exercise Science - AllModuleProformas.xlsx"/>
    <x v="11"/>
    <s v="Physical activity and sedentary behaviour across the life course"/>
    <x v="3"/>
    <m/>
    <s v="Hours"/>
    <s v="Sport and Exercise Science"/>
    <s v="6102SPS_Hours"/>
    <s v="SES"/>
  </r>
  <r>
    <s v="Sport and Exercise Science - AllModuleProformas.xlsx"/>
    <x v="11"/>
    <s v="Physical activity and sedentary behaviour across the life course"/>
    <x v="4"/>
    <m/>
    <s v="Hours"/>
    <s v="Sport and Exercise Science"/>
    <s v="6102SPS_Hours"/>
    <s v="SES"/>
  </r>
  <r>
    <s v="Sport and Exercise Science - AllModuleProformas.xlsx"/>
    <x v="11"/>
    <s v="Physical activity and sedentary behaviour across the life course"/>
    <x v="5"/>
    <n v="40"/>
    <s v="Hours"/>
    <s v="Sport and Exercise Science"/>
    <s v="6102SPS_Hours"/>
    <s v="SES"/>
  </r>
  <r>
    <s v="Physical Education - AllModuleProformas.xlsx"/>
    <x v="12"/>
    <s v="Secondary PE Teacher Education"/>
    <x v="0"/>
    <n v="9"/>
    <s v="Hours"/>
    <s v="Sport and Exercise Science"/>
    <s v="6096SPS_Hours"/>
    <s v="SES"/>
  </r>
  <r>
    <s v="Physical Education - AllModuleProformas.xlsx"/>
    <x v="12"/>
    <s v="Secondary PE Teacher Education"/>
    <x v="1"/>
    <n v="3"/>
    <s v="Hours"/>
    <s v="Sport and Exercise Science"/>
    <s v="6096SPS_Hours"/>
    <s v="SES"/>
  </r>
  <r>
    <s v="Physical Education - AllModuleProformas.xlsx"/>
    <x v="12"/>
    <s v="Secondary PE Teacher Education"/>
    <x v="2"/>
    <n v="16"/>
    <s v="Hours"/>
    <s v="Sport and Exercise Science"/>
    <s v="6096SPS_Hours"/>
    <s v="SES"/>
  </r>
  <r>
    <s v="Physical Education - AllModuleProformas.xlsx"/>
    <x v="12"/>
    <s v="Secondary PE Teacher Education"/>
    <x v="3"/>
    <n v="6"/>
    <s v="Hours"/>
    <s v="Sport and Exercise Science"/>
    <s v="6096SPS_Hours"/>
    <s v="SES"/>
  </r>
  <r>
    <s v="Physical Education - AllModuleProformas.xlsx"/>
    <x v="12"/>
    <s v="Secondary PE Teacher Education"/>
    <x v="4"/>
    <n v="6"/>
    <s v="Hours"/>
    <s v="Sport and Exercise Science"/>
    <s v="6096SPS_Hours"/>
    <s v="SES"/>
  </r>
  <r>
    <s v="Physical Education - AllModuleProformas.xlsx"/>
    <x v="12"/>
    <s v="Secondary PE Teacher Education"/>
    <x v="5"/>
    <n v="40"/>
    <s v="Hours"/>
    <s v="Sport and Exercise Science"/>
    <s v="6096SPS_Hours"/>
    <s v="SES"/>
  </r>
  <r>
    <s v="Sport and Exercise Science - AllModuleProformas.xlsx"/>
    <x v="13"/>
    <s v="Exercise Metabolism"/>
    <x v="0"/>
    <n v="22"/>
    <s v="Hours"/>
    <s v="Sport and Exercise Science"/>
    <s v="6103SPS_Hours"/>
    <s v="SES"/>
  </r>
  <r>
    <s v="Sport and Exercise Science - AllModuleProformas.xlsx"/>
    <x v="13"/>
    <s v="Exercise Metabolism"/>
    <x v="1"/>
    <n v="18"/>
    <s v="Hours"/>
    <s v="Sport and Exercise Science"/>
    <s v="6103SPS_Hours"/>
    <s v="SES"/>
  </r>
  <r>
    <s v="Sport and Exercise Science - AllModuleProformas.xlsx"/>
    <x v="13"/>
    <s v="Exercise Metabolism"/>
    <x v="2"/>
    <n v="4"/>
    <s v="Hours"/>
    <s v="Sport and Exercise Science"/>
    <s v="6103SPS_Hours"/>
    <s v="SES"/>
  </r>
  <r>
    <s v="Sport and Exercise Science - AllModuleProformas.xlsx"/>
    <x v="13"/>
    <s v="Exercise Metabolism"/>
    <x v="3"/>
    <m/>
    <s v="Hours"/>
    <s v="Sport and Exercise Science"/>
    <s v="6103SPS_Hours"/>
    <s v="SES"/>
  </r>
  <r>
    <s v="Sport and Exercise Science - AllModuleProformas.xlsx"/>
    <x v="13"/>
    <s v="Exercise Metabolism"/>
    <x v="4"/>
    <m/>
    <s v="Hours"/>
    <s v="Sport and Exercise Science"/>
    <s v="6103SPS_Hours"/>
    <s v="SES"/>
  </r>
  <r>
    <s v="Sport and Exercise Science - AllModuleProformas.xlsx"/>
    <x v="13"/>
    <s v="Exercise Metabolism"/>
    <x v="5"/>
    <n v="44"/>
    <s v="Hours"/>
    <s v="Sport and Exercise Science"/>
    <s v="6103SPS_Hours"/>
    <s v="SES"/>
  </r>
  <r>
    <s v="Sport and Exercise Science - AllModuleProformas.xlsx"/>
    <x v="14"/>
    <s v="Cardiovascular Physiology"/>
    <x v="0"/>
    <n v="18"/>
    <s v="Hours"/>
    <s v="Sport and Exercise Science"/>
    <s v="6104SPS_Hours"/>
    <s v="SES"/>
  </r>
  <r>
    <s v="Sport and Exercise Science - AllModuleProformas.xlsx"/>
    <x v="14"/>
    <s v="Cardiovascular Physiology"/>
    <x v="1"/>
    <n v="4"/>
    <s v="Hours"/>
    <s v="Sport and Exercise Science"/>
    <s v="6104SPS_Hours"/>
    <s v="SES"/>
  </r>
  <r>
    <s v="Sport and Exercise Science - AllModuleProformas.xlsx"/>
    <x v="14"/>
    <s v="Cardiovascular Physiology"/>
    <x v="2"/>
    <n v="16"/>
    <s v="Hours"/>
    <s v="Sport and Exercise Science"/>
    <s v="6104SPS_Hours"/>
    <s v="SES"/>
  </r>
  <r>
    <s v="Sport and Exercise Science - AllModuleProformas.xlsx"/>
    <x v="14"/>
    <s v="Cardiovascular Physiology"/>
    <x v="3"/>
    <m/>
    <s v="Hours"/>
    <s v="Sport and Exercise Science"/>
    <s v="6104SPS_Hours"/>
    <s v="SES"/>
  </r>
  <r>
    <s v="Sport and Exercise Science - AllModuleProformas.xlsx"/>
    <x v="14"/>
    <s v="Cardiovascular Physiology"/>
    <x v="4"/>
    <m/>
    <s v="Hours"/>
    <s v="Sport and Exercise Science"/>
    <s v="6104SPS_Hours"/>
    <s v="SES"/>
  </r>
  <r>
    <s v="Sport and Exercise Science - AllModuleProformas.xlsx"/>
    <x v="14"/>
    <s v="Cardiovascular Physiology"/>
    <x v="5"/>
    <n v="38"/>
    <s v="Hours"/>
    <s v="Sport and Exercise Science"/>
    <s v="6104SPS_Hours"/>
    <s v="SES"/>
  </r>
  <r>
    <s v="Sport and Exercise Science - AllModuleProformas.xlsx"/>
    <x v="15"/>
    <s v="Clinical Biomechanics"/>
    <x v="0"/>
    <n v="18"/>
    <s v="Hours"/>
    <s v="Sport and Exercise Science"/>
    <s v="6105SPS_Hours"/>
    <s v="SES"/>
  </r>
  <r>
    <s v="Sport and Exercise Science - AllModuleProformas.xlsx"/>
    <x v="15"/>
    <s v="Clinical Biomechanics"/>
    <x v="1"/>
    <n v="4"/>
    <s v="Hours"/>
    <s v="Sport and Exercise Science"/>
    <s v="6105SPS_Hours"/>
    <s v="SES"/>
  </r>
  <r>
    <s v="Sport and Exercise Science - AllModuleProformas.xlsx"/>
    <x v="15"/>
    <s v="Clinical Biomechanics"/>
    <x v="2"/>
    <n v="8"/>
    <s v="Hours"/>
    <s v="Sport and Exercise Science"/>
    <s v="6105SPS_Hours"/>
    <s v="SES"/>
  </r>
  <r>
    <s v="Sport and Exercise Science - AllModuleProformas.xlsx"/>
    <x v="15"/>
    <s v="Clinical Biomechanics"/>
    <x v="3"/>
    <n v="4"/>
    <s v="Hours"/>
    <s v="Sport and Exercise Science"/>
    <s v="6105SPS_Hours"/>
    <s v="SES"/>
  </r>
  <r>
    <s v="Sport and Exercise Science - AllModuleProformas.xlsx"/>
    <x v="15"/>
    <s v="Clinical Biomechanics"/>
    <x v="4"/>
    <n v="4"/>
    <s v="Hours"/>
    <s v="Sport and Exercise Science"/>
    <s v="6105SPS_Hours"/>
    <s v="SES"/>
  </r>
  <r>
    <s v="Sport and Exercise Science - AllModuleProformas.xlsx"/>
    <x v="15"/>
    <s v="Clinical Biomechanics"/>
    <x v="5"/>
    <n v="38"/>
    <s v="Hours"/>
    <s v="Sport and Exercise Science"/>
    <s v="6105SPS_Hours"/>
    <s v="SES"/>
  </r>
  <r>
    <s v="Sport and Exercise Science - AllModuleProformas.xlsx"/>
    <x v="16"/>
    <s v="Module Title"/>
    <x v="0"/>
    <n v="22"/>
    <s v="Hours"/>
    <s v="Sport and Exercise Science"/>
    <s v="6106SPS_Hours"/>
    <s v="SES"/>
  </r>
  <r>
    <s v="Sport and Exercise Science - AllModuleProformas.xlsx"/>
    <x v="16"/>
    <s v="Module Title"/>
    <x v="1"/>
    <n v="16"/>
    <s v="Hours"/>
    <s v="Sport and Exercise Science"/>
    <s v="6106SPS_Hours"/>
    <s v="SES"/>
  </r>
  <r>
    <s v="Sport and Exercise Science - AllModuleProformas.xlsx"/>
    <x v="16"/>
    <s v="Module Title"/>
    <x v="2"/>
    <m/>
    <s v="Hours"/>
    <s v="Sport and Exercise Science"/>
    <s v="6106SPS_Hours"/>
    <s v="SES"/>
  </r>
  <r>
    <s v="Sport and Exercise Science - AllModuleProformas.xlsx"/>
    <x v="16"/>
    <s v="Module Title"/>
    <x v="3"/>
    <n v="8"/>
    <s v="Hours"/>
    <s v="Sport and Exercise Science"/>
    <s v="6106SPS_Hours"/>
    <s v="SES"/>
  </r>
  <r>
    <s v="Sport and Exercise Science - AllModuleProformas.xlsx"/>
    <x v="16"/>
    <s v="Module Title"/>
    <x v="4"/>
    <m/>
    <s v="Hours"/>
    <s v="Sport and Exercise Science"/>
    <s v="6106SPS_Hours"/>
    <s v="SES"/>
  </r>
  <r>
    <s v="Sport and Exercise Science - AllModuleProformas.xlsx"/>
    <x v="16"/>
    <s v="Module Title"/>
    <x v="5"/>
    <n v="46"/>
    <s v="Hours"/>
    <s v="Sport and Exercise Science"/>
    <s v="6106SPS_Hours"/>
    <s v="SES"/>
  </r>
  <r>
    <s v="Sport and Exercise Science - AllModuleProformas.xlsx"/>
    <x v="17"/>
    <s v="Environmental Physiology"/>
    <x v="0"/>
    <n v="34"/>
    <s v="Hours"/>
    <s v="Sport and Exercise Science"/>
    <s v="6107SPS_Hours"/>
    <s v="SES"/>
  </r>
  <r>
    <s v="Sport and Exercise Science - AllModuleProformas.xlsx"/>
    <x v="17"/>
    <s v="Environmental Physiology"/>
    <x v="1"/>
    <n v="2"/>
    <s v="Hours"/>
    <s v="Sport and Exercise Science"/>
    <s v="6107SPS_Hours"/>
    <s v="SES"/>
  </r>
  <r>
    <s v="Sport and Exercise Science - AllModuleProformas.xlsx"/>
    <x v="17"/>
    <s v="Environmental Physiology"/>
    <x v="2"/>
    <n v="4"/>
    <s v="Hours"/>
    <s v="Sport and Exercise Science"/>
    <s v="6107SPS_Hours"/>
    <s v="SES"/>
  </r>
  <r>
    <s v="Sport and Exercise Science - AllModuleProformas.xlsx"/>
    <x v="17"/>
    <s v="Environmental Physiology"/>
    <x v="3"/>
    <m/>
    <s v="Hours"/>
    <s v="Sport and Exercise Science"/>
    <s v="6107SPS_Hours"/>
    <s v="SES"/>
  </r>
  <r>
    <s v="Sport and Exercise Science - AllModuleProformas.xlsx"/>
    <x v="17"/>
    <s v="Environmental Physiology"/>
    <x v="4"/>
    <m/>
    <s v="Hours"/>
    <s v="Sport and Exercise Science"/>
    <s v="6107SPS_Hours"/>
    <s v="SES"/>
  </r>
  <r>
    <s v="Sport and Exercise Science - AllModuleProformas.xlsx"/>
    <x v="17"/>
    <s v="Environmental Physiology"/>
    <x v="5"/>
    <n v="40"/>
    <s v="Hours"/>
    <s v="Sport and Exercise Science"/>
    <s v="6107SPS_Hours"/>
    <s v="SES"/>
  </r>
  <r>
    <s v="Sport and Exercise Science - AllModuleProformas.xlsx"/>
    <x v="18"/>
    <s v="Health and Performance Nutrition"/>
    <x v="0"/>
    <n v="18"/>
    <s v="Hours"/>
    <s v="Sport and Exercise Science"/>
    <s v="6108SPS_Hours"/>
    <s v="SES"/>
  </r>
  <r>
    <s v="Sport and Exercise Science - AllModuleProformas.xlsx"/>
    <x v="18"/>
    <s v="Health and Performance Nutrition"/>
    <x v="1"/>
    <n v="14"/>
    <s v="Hours"/>
    <s v="Sport and Exercise Science"/>
    <s v="6108SPS_Hours"/>
    <s v="SES"/>
  </r>
  <r>
    <s v="Sport and Exercise Science - AllModuleProformas.xlsx"/>
    <x v="18"/>
    <s v="Health and Performance Nutrition"/>
    <x v="2"/>
    <n v="2"/>
    <s v="Hours"/>
    <s v="Sport and Exercise Science"/>
    <s v="6108SPS_Hours"/>
    <s v="SES"/>
  </r>
  <r>
    <s v="Sport and Exercise Science - AllModuleProformas.xlsx"/>
    <x v="18"/>
    <s v="Health and Performance Nutrition"/>
    <x v="3"/>
    <n v="2"/>
    <s v="Hours"/>
    <s v="Sport and Exercise Science"/>
    <s v="6108SPS_Hours"/>
    <s v="SES"/>
  </r>
  <r>
    <s v="Sport and Exercise Science - AllModuleProformas.xlsx"/>
    <x v="18"/>
    <s v="Health and Performance Nutrition"/>
    <x v="4"/>
    <m/>
    <s v="Hours"/>
    <s v="Sport and Exercise Science"/>
    <s v="6108SPS_Hours"/>
    <s v="SES"/>
  </r>
  <r>
    <s v="Sport and Exercise Science - AllModuleProformas.xlsx"/>
    <x v="18"/>
    <s v="Health and Performance Nutrition"/>
    <x v="5"/>
    <n v="36"/>
    <s v="Hours"/>
    <s v="Sport and Exercise Science"/>
    <s v="6108SPS_Hours"/>
    <s v="SES"/>
  </r>
  <r>
    <s v="Sport and Exercise Science - AllModuleProformas.xlsx"/>
    <x v="19"/>
    <s v="Applied Professional Practice"/>
    <x v="0"/>
    <n v="10"/>
    <s v="Hours"/>
    <s v="Sport and Exercise Science"/>
    <s v="6109SPS_Hours"/>
    <s v="SES"/>
  </r>
  <r>
    <s v="Sport and Exercise Science - AllModuleProformas.xlsx"/>
    <x v="19"/>
    <s v="Applied Professional Practice"/>
    <x v="1"/>
    <m/>
    <s v="Hours"/>
    <s v="Sport and Exercise Science"/>
    <s v="6109SPS_Hours"/>
    <s v="SES"/>
  </r>
  <r>
    <s v="Sport and Exercise Science - AllModuleProformas.xlsx"/>
    <x v="19"/>
    <s v="Applied Professional Practice"/>
    <x v="2"/>
    <n v="40"/>
    <s v="Hours"/>
    <s v="Sport and Exercise Science"/>
    <s v="6109SPS_Hours"/>
    <s v="SES"/>
  </r>
  <r>
    <s v="Sport and Exercise Science - AllModuleProformas.xlsx"/>
    <x v="19"/>
    <s v="Applied Professional Practice"/>
    <x v="3"/>
    <m/>
    <s v="Hours"/>
    <s v="Sport and Exercise Science"/>
    <s v="6109SPS_Hours"/>
    <s v="SES"/>
  </r>
  <r>
    <s v="Sport and Exercise Science - AllModuleProformas.xlsx"/>
    <x v="19"/>
    <s v="Applied Professional Practice"/>
    <x v="4"/>
    <m/>
    <s v="Hours"/>
    <s v="Sport and Exercise Science"/>
    <s v="6109SPS_Hours"/>
    <s v="SES"/>
  </r>
  <r>
    <s v="Sport and Exercise Science - AllModuleProformas.xlsx"/>
    <x v="19"/>
    <s v="Applied Professional Practice"/>
    <x v="5"/>
    <n v="50"/>
    <s v="Hours"/>
    <s v="Sport and Exercise Science"/>
    <s v="6109SPS_Hours"/>
    <s v="SES"/>
  </r>
  <r>
    <s v="Sport and Exercise Science - AllModuleProformas.xlsx"/>
    <x v="20"/>
    <s v="Major Project"/>
    <x v="0"/>
    <n v="10"/>
    <s v="Hours"/>
    <s v="Sport and Exercise Science"/>
    <s v="6091SPS_Hours"/>
    <s v="SES"/>
  </r>
  <r>
    <s v="Sport and Exercise Science - AllModuleProformas.xlsx"/>
    <x v="20"/>
    <s v="Major Project"/>
    <x v="1"/>
    <n v="26"/>
    <s v="Hours"/>
    <s v="Sport and Exercise Science"/>
    <s v="6091SPS_Hours"/>
    <s v="SES"/>
  </r>
  <r>
    <s v="Sport and Exercise Science - AllModuleProformas.xlsx"/>
    <x v="20"/>
    <s v="Major Project"/>
    <x v="2"/>
    <m/>
    <s v="Hours"/>
    <s v="Sport and Exercise Science"/>
    <s v="6091SPS_Hours"/>
    <s v="SES"/>
  </r>
  <r>
    <s v="Sport and Exercise Science - AllModuleProformas.xlsx"/>
    <x v="20"/>
    <s v="Major Project"/>
    <x v="3"/>
    <m/>
    <s v="Hours"/>
    <s v="Sport and Exercise Science"/>
    <s v="6091SPS_Hours"/>
    <s v="SES"/>
  </r>
  <r>
    <s v="Sport and Exercise Science - AllModuleProformas.xlsx"/>
    <x v="20"/>
    <s v="Major Project"/>
    <x v="4"/>
    <m/>
    <s v="Hours"/>
    <s v="Sport and Exercise Science"/>
    <s v="6091SPS_Hours"/>
    <s v="SES"/>
  </r>
  <r>
    <s v="Sport and Exercise Science - AllModuleProformas.xlsx"/>
    <x v="20"/>
    <s v="Major Project"/>
    <x v="5"/>
    <n v="36"/>
    <s v="Hours"/>
    <s v="Sport and Exercise Science"/>
    <s v="6091SPS_Hours"/>
    <s v="SES"/>
  </r>
  <r>
    <s v="Sport and Exercise Science - AllModuleProformas.xlsx"/>
    <x v="21"/>
    <s v="Strength and Conditioning"/>
    <x v="0"/>
    <n v="22"/>
    <s v="Hours"/>
    <s v="Sport and Exercise Science"/>
    <s v="6093SPS_Hours"/>
    <s v="SES"/>
  </r>
  <r>
    <s v="Sport and Exercise Science - AllModuleProformas.xlsx"/>
    <x v="21"/>
    <s v="Strength and Conditioning"/>
    <x v="1"/>
    <n v="6"/>
    <s v="Hours"/>
    <s v="Sport and Exercise Science"/>
    <s v="6093SPS_Hours"/>
    <s v="SES"/>
  </r>
  <r>
    <s v="Sport and Exercise Science - AllModuleProformas.xlsx"/>
    <x v="21"/>
    <s v="Strength and Conditioning"/>
    <x v="2"/>
    <n v="12"/>
    <s v="Hours"/>
    <s v="Sport and Exercise Science"/>
    <s v="6093SPS_Hours"/>
    <s v="SES"/>
  </r>
  <r>
    <s v="Sport and Exercise Science - AllModuleProformas.xlsx"/>
    <x v="21"/>
    <s v="Strength and Conditioning"/>
    <x v="3"/>
    <m/>
    <s v="Hours"/>
    <s v="Sport and Exercise Science"/>
    <s v="6093SPS_Hours"/>
    <s v="SES"/>
  </r>
  <r>
    <s v="Sport and Exercise Science - AllModuleProformas.xlsx"/>
    <x v="21"/>
    <s v="Strength and Conditioning"/>
    <x v="4"/>
    <m/>
    <s v="Hours"/>
    <s v="Sport and Exercise Science"/>
    <s v="6093SPS_Hours"/>
    <s v="SES"/>
  </r>
  <r>
    <s v="Sport and Exercise Science - AllModuleProformas.xlsx"/>
    <x v="21"/>
    <s v="Strength and Conditioning"/>
    <x v="5"/>
    <n v="40"/>
    <s v="Hours"/>
    <s v="Sport and Exercise Science"/>
    <s v="6093SPS_Hours"/>
    <s v="SES"/>
  </r>
  <r>
    <s v="Sport and Exercise Science - AllModuleProformas.xlsx"/>
    <x v="22"/>
    <s v="Behaviour Change"/>
    <x v="0"/>
    <m/>
    <s v="Hours"/>
    <s v="Sport and Exercise Science"/>
    <s v="6094SPS_Hours"/>
    <s v="SES"/>
  </r>
  <r>
    <s v="Sport and Exercise Science - AllModuleProformas.xlsx"/>
    <x v="22"/>
    <s v="Behaviour Change"/>
    <x v="1"/>
    <n v="6"/>
    <s v="Hours"/>
    <s v="Sport and Exercise Science"/>
    <s v="6094SPS_Hours"/>
    <s v="SES"/>
  </r>
  <r>
    <s v="Sport and Exercise Science - AllModuleProformas.xlsx"/>
    <x v="22"/>
    <s v="Behaviour Change"/>
    <x v="2"/>
    <m/>
    <s v="Hours"/>
    <s v="Sport and Exercise Science"/>
    <s v="6094SPS_Hours"/>
    <s v="SES"/>
  </r>
  <r>
    <s v="Sport and Exercise Science - AllModuleProformas.xlsx"/>
    <x v="22"/>
    <s v="Behaviour Change"/>
    <x v="3"/>
    <n v="27"/>
    <s v="Hours"/>
    <s v="Sport and Exercise Science"/>
    <s v="6094SPS_Hours"/>
    <s v="SES"/>
  </r>
  <r>
    <s v="Sport and Exercise Science - AllModuleProformas.xlsx"/>
    <x v="22"/>
    <s v="Behaviour Change"/>
    <x v="4"/>
    <n v="4"/>
    <s v="Hours"/>
    <s v="Sport and Exercise Science"/>
    <s v="6094SPS_Hours"/>
    <s v="SES"/>
  </r>
  <r>
    <s v="Sport and Exercise Science - AllModuleProformas.xlsx"/>
    <x v="22"/>
    <s v="Behaviour Change"/>
    <x v="5"/>
    <n v="37"/>
    <s v="Hours"/>
    <s v="Sport and Exercise Science"/>
    <s v="6094SPS_Hours"/>
    <s v="SES"/>
  </r>
  <r>
    <s v="Sport and Exercise Science - AllModuleProformas.xlsx"/>
    <x v="23"/>
    <s v="Performance Analysis in Sport"/>
    <x v="0"/>
    <n v="22"/>
    <s v="Hours"/>
    <s v="Sport and Exercise Science"/>
    <s v="6095SPS_Hours"/>
    <s v="SES"/>
  </r>
  <r>
    <s v="Sport and Exercise Science - AllModuleProformas.xlsx"/>
    <x v="23"/>
    <s v="Performance Analysis in Sport"/>
    <x v="1"/>
    <m/>
    <s v="Hours"/>
    <s v="Sport and Exercise Science"/>
    <s v="6095SPS_Hours"/>
    <s v="SES"/>
  </r>
  <r>
    <s v="Sport and Exercise Science - AllModuleProformas.xlsx"/>
    <x v="23"/>
    <s v="Performance Analysis in Sport"/>
    <x v="2"/>
    <n v="16"/>
    <s v="Hours"/>
    <s v="Sport and Exercise Science"/>
    <s v="6095SPS_Hours"/>
    <s v="SES"/>
  </r>
  <r>
    <s v="Sport and Exercise Science - AllModuleProformas.xlsx"/>
    <x v="23"/>
    <s v="Performance Analysis in Sport"/>
    <x v="3"/>
    <n v="6"/>
    <s v="Hours"/>
    <s v="Sport and Exercise Science"/>
    <s v="6095SPS_Hours"/>
    <s v="SES"/>
  </r>
  <r>
    <s v="Sport and Exercise Science - AllModuleProformas.xlsx"/>
    <x v="23"/>
    <s v="Performance Analysis in Sport"/>
    <x v="4"/>
    <m/>
    <s v="Hours"/>
    <s v="Sport and Exercise Science"/>
    <s v="6095SPS_Hours"/>
    <s v="SES"/>
  </r>
  <r>
    <s v="Sport and Exercise Science - AllModuleProformas.xlsx"/>
    <x v="23"/>
    <s v="Performance Analysis in Sport"/>
    <x v="5"/>
    <n v="44"/>
    <s v="Hours"/>
    <s v="Sport and Exercise Science"/>
    <s v="6095SPS_Hours"/>
    <s v="SES"/>
  </r>
  <r>
    <s v="Sport Coaching - AllModuleProformas.xlsx"/>
    <x v="24"/>
    <s v="Working in High Performance Sport"/>
    <x v="0"/>
    <n v="20"/>
    <s v="Hours"/>
    <s v="Sport and Exercise Science"/>
    <s v="6097SPS_Hours"/>
    <s v="SES"/>
  </r>
  <r>
    <s v="Sport Coaching - AllModuleProformas.xlsx"/>
    <x v="24"/>
    <s v="Working in High Performance Sport"/>
    <x v="1"/>
    <n v="2"/>
    <s v="Hours"/>
    <s v="Sport and Exercise Science"/>
    <s v="6097SPS_Hours"/>
    <s v="SES"/>
  </r>
  <r>
    <s v="Sport Coaching - AllModuleProformas.xlsx"/>
    <x v="24"/>
    <s v="Working in High Performance Sport"/>
    <x v="2"/>
    <n v="8"/>
    <s v="Hours"/>
    <s v="Sport and Exercise Science"/>
    <s v="6097SPS_Hours"/>
    <s v="SES"/>
  </r>
  <r>
    <s v="Sport Coaching - AllModuleProformas.xlsx"/>
    <x v="24"/>
    <s v="Working in High Performance Sport"/>
    <x v="3"/>
    <n v="10"/>
    <s v="Hours"/>
    <s v="Sport and Exercise Science"/>
    <s v="6097SPS_Hours"/>
    <s v="SES"/>
  </r>
  <r>
    <s v="Sport Coaching - AllModuleProformas.xlsx"/>
    <x v="24"/>
    <s v="Working in High Performance Sport"/>
    <x v="4"/>
    <m/>
    <s v="Hours"/>
    <s v="Sport and Exercise Science"/>
    <s v="6097SPS_Hours"/>
    <s v="SES"/>
  </r>
  <r>
    <s v="Sport Coaching - AllModuleProformas.xlsx"/>
    <x v="24"/>
    <s v="Working in High Performance Sport"/>
    <x v="5"/>
    <n v="40"/>
    <s v="Hours"/>
    <s v="Sport and Exercise Science"/>
    <s v="6097SPS_Hours"/>
    <s v="SES"/>
  </r>
  <r>
    <s v="Sport Psychology - AllModuleProformas.xlsx"/>
    <x v="25"/>
    <s v="Psychosocial Principles of Sport and Exercise"/>
    <x v="0"/>
    <n v="42"/>
    <s v="Hours"/>
    <s v="Sport and Exercise Science"/>
    <s v="4093SPS_Hours"/>
    <s v="SES"/>
  </r>
  <r>
    <s v="Sport Psychology - AllModuleProformas.xlsx"/>
    <x v="25"/>
    <s v="Psychosocial Principles of Sport and Exercise"/>
    <x v="1"/>
    <m/>
    <s v="Hours"/>
    <s v="Sport and Exercise Science"/>
    <s v="4093SPS_Hours"/>
    <s v="SES"/>
  </r>
  <r>
    <s v="Sport Psychology - AllModuleProformas.xlsx"/>
    <x v="25"/>
    <s v="Psychosocial Principles of Sport and Exercise"/>
    <x v="2"/>
    <m/>
    <s v="Hours"/>
    <s v="Sport and Exercise Science"/>
    <s v="4093SPS_Hours"/>
    <s v="SES"/>
  </r>
  <r>
    <s v="Sport Psychology - AllModuleProformas.xlsx"/>
    <x v="25"/>
    <s v="Psychosocial Principles of Sport and Exercise"/>
    <x v="3"/>
    <m/>
    <s v="Hours"/>
    <s v="Sport and Exercise Science"/>
    <s v="4093SPS_Hours"/>
    <s v="SES"/>
  </r>
  <r>
    <s v="Sport Psychology - AllModuleProformas.xlsx"/>
    <x v="25"/>
    <s v="Psychosocial Principles of Sport and Exercise"/>
    <x v="4"/>
    <m/>
    <s v="Hours"/>
    <s v="Sport and Exercise Science"/>
    <s v="4093SPS_Hours"/>
    <s v="SES"/>
  </r>
  <r>
    <s v="Sport Psychology - AllModuleProformas.xlsx"/>
    <x v="25"/>
    <s v="Psychosocial Principles of Sport and Exercise"/>
    <x v="5"/>
    <n v="42"/>
    <s v="Hours"/>
    <s v="Sport and Exercise Science"/>
    <s v="4093SPS_Hours"/>
    <s v="SES"/>
  </r>
  <r>
    <s v="Sport Psychology - AllModuleProformas.xlsx"/>
    <x v="26"/>
    <s v="Sport and Performance Psychology"/>
    <x v="0"/>
    <n v="38"/>
    <s v="Hours"/>
    <s v="Sport and Exercise Science"/>
    <s v="5093SPS_Hours"/>
    <s v="SES"/>
  </r>
  <r>
    <s v="Sport Psychology - AllModuleProformas.xlsx"/>
    <x v="26"/>
    <s v="Sport and Performance Psychology"/>
    <x v="1"/>
    <n v="6"/>
    <s v="Hours"/>
    <s v="Sport and Exercise Science"/>
    <s v="5093SPS_Hours"/>
    <s v="SES"/>
  </r>
  <r>
    <s v="Sport Psychology - AllModuleProformas.xlsx"/>
    <x v="26"/>
    <s v="Sport and Performance Psychology"/>
    <x v="2"/>
    <n v="0"/>
    <s v="Hours"/>
    <s v="Sport and Exercise Science"/>
    <s v="5093SPS_Hours"/>
    <s v="SES"/>
  </r>
  <r>
    <s v="Sport Psychology - AllModuleProformas.xlsx"/>
    <x v="26"/>
    <s v="Sport and Performance Psychology"/>
    <x v="3"/>
    <n v="0"/>
    <s v="Hours"/>
    <s v="Sport and Exercise Science"/>
    <s v="5093SPS_Hours"/>
    <s v="SES"/>
  </r>
  <r>
    <s v="Sport Psychology - AllModuleProformas.xlsx"/>
    <x v="26"/>
    <s v="Sport and Performance Psychology"/>
    <x v="4"/>
    <n v="0"/>
    <s v="Hours"/>
    <s v="Sport and Exercise Science"/>
    <s v="5093SPS_Hours"/>
    <s v="SES"/>
  </r>
  <r>
    <s v="Sport Psychology - AllModuleProformas.xlsx"/>
    <x v="26"/>
    <s v="Sport and Performance Psychology"/>
    <x v="5"/>
    <n v="44"/>
    <s v="Hours"/>
    <s v="Sport and Exercise Science"/>
    <s v="5093SPS_Hours"/>
    <s v="SES"/>
  </r>
  <r>
    <s v="Sport Psychology - AllModuleProformas.xlsx"/>
    <x v="27"/>
    <s v="Applied Motor Behaviour"/>
    <x v="0"/>
    <n v="22"/>
    <s v="Hours"/>
    <s v="Sport and Exercise Science"/>
    <s v="6052SPS_Hours"/>
    <s v="SES"/>
  </r>
  <r>
    <s v="Sport Psychology - AllModuleProformas.xlsx"/>
    <x v="27"/>
    <s v="Applied Motor Behaviour"/>
    <x v="1"/>
    <m/>
    <s v="Hours"/>
    <s v="Sport and Exercise Science"/>
    <s v="6052SPS_Hours"/>
    <s v="SES"/>
  </r>
  <r>
    <s v="Sport Psychology - AllModuleProformas.xlsx"/>
    <x v="27"/>
    <s v="Applied Motor Behaviour"/>
    <x v="2"/>
    <n v="8"/>
    <s v="Hours"/>
    <s v="Sport and Exercise Science"/>
    <s v="6052SPS_Hours"/>
    <s v="SES"/>
  </r>
  <r>
    <s v="Sport Psychology - AllModuleProformas.xlsx"/>
    <x v="27"/>
    <s v="Applied Motor Behaviour"/>
    <x v="3"/>
    <n v="14"/>
    <s v="Hours"/>
    <s v="Sport and Exercise Science"/>
    <s v="6052SPS_Hours"/>
    <s v="SES"/>
  </r>
  <r>
    <s v="Sport Psychology - AllModuleProformas.xlsx"/>
    <x v="27"/>
    <s v="Applied Motor Behaviour"/>
    <x v="4"/>
    <m/>
    <s v="Hours"/>
    <s v="Sport and Exercise Science"/>
    <s v="6052SPS_Hours"/>
    <s v="SES"/>
  </r>
  <r>
    <s v="Sport Psychology - AllModuleProformas.xlsx"/>
    <x v="27"/>
    <s v="Applied Motor Behaviour"/>
    <x v="5"/>
    <n v="44"/>
    <s v="Hours"/>
    <s v="Sport and Exercise Science"/>
    <s v="6052SPS_Hours"/>
    <s v="S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s v="Sport and Exercise Science - AllModuleProformas.xlsx"/>
    <x v="0"/>
    <s v="Professional Practice in Sport and Exercise Science 1"/>
    <s v="A1"/>
    <x v="0"/>
    <s v="Individual Presentation"/>
    <s v="Approved job-role skills audit: 5-minute individual presentation followed by 5 minutes of personal tutor questions. Students compare their current evidence against the role requirements and present a realistic, time-bound development plan."/>
    <n v="0.4"/>
    <n v="8"/>
    <s v="4101SPS_Assess"/>
    <s v="Assess"/>
    <s v="Sport and Exercise Science"/>
    <s v="SES"/>
  </r>
  <r>
    <s v="Sport and Exercise Science - AllModuleProformas.xlsx"/>
    <x v="0"/>
    <s v="Professional Practice in Sport and Exercise Science 1"/>
    <s v="A2"/>
    <x v="1"/>
    <s v="Reflection"/>
    <s v="Professional Development Portfolio comprising evidence of two specified professional certificates (10% each) and a 10-minute individual personal tutor viva (40%) covering development, engagement and attendance reflection, disciplinary learning, experience, professional behaviours and future action planning."/>
    <n v="0.6"/>
    <n v="12"/>
    <s v="4101SPS_Assess"/>
    <s v="Assess"/>
    <s v="Sport and Exercise Science"/>
    <s v="SES"/>
  </r>
  <r>
    <s v="Sport and Exercise Science - AllModuleProformas.xlsx"/>
    <x v="1"/>
    <s v="Understanding Physical Activity and Sedentary Behaviour"/>
    <s v="A1"/>
    <x v="2"/>
    <s v="In Person Exam"/>
    <s v="In-person test"/>
    <n v="0.5"/>
    <n v="6"/>
    <s v="4102SPS_Assess"/>
    <s v="Assess"/>
    <s v="Sport and Exercise Science"/>
    <s v="SES"/>
  </r>
  <r>
    <s v="Sport and Exercise Science - AllModuleProformas.xlsx"/>
    <x v="1"/>
    <s v="Understanding Physical Activity and Sedentary Behaviour"/>
    <s v="A2"/>
    <x v="0"/>
    <s v="Group Presentation"/>
    <s v="Group narrated (recorded) presentation"/>
    <n v="0.5"/>
    <n v="12"/>
    <s v="4102SPS_Assess"/>
    <s v="Assess"/>
    <s v="Sport and Exercise Science"/>
    <s v="SES"/>
  </r>
  <r>
    <s v="Sport and Exercise Science - AllModuleProformas.xlsx"/>
    <x v="2"/>
    <s v="Research Methods 1"/>
    <s v="A1"/>
    <x v="2"/>
    <m/>
    <s v="Online test with multiple-choice, fill in the gap or true/false questions. The questions are based around the content of the first 4 weeks. Practice questions will be available on Canvas."/>
    <n v="0.3"/>
    <n v="7"/>
    <s v="4091SPS_Assess"/>
    <s v="Assess"/>
    <s v="Sport and Exercise Science"/>
    <s v="SES"/>
  </r>
  <r>
    <s v="Sport and Exercise Science - AllModuleProformas.xlsx"/>
    <x v="2"/>
    <s v="Research Methods 1"/>
    <s v="A2"/>
    <x v="2"/>
    <m/>
    <s v="Online exam with multiple-choice, fill in the gap or true/false questions. The questions are based around the remaining content (after 4 weeks) of the module. Practice questions will be available on Canvas."/>
    <m/>
    <s v="Assessment period"/>
    <s v="4091SPS_Assess"/>
    <s v="Assess"/>
    <s v="Sport and Exercise Science"/>
    <s v="SES"/>
  </r>
  <r>
    <s v="Sport and Exercise Science - AllModuleProformas.xlsx"/>
    <x v="3"/>
    <s v="Fundamentals of Exercise Physiology"/>
    <s v="A1"/>
    <x v="1"/>
    <s v="Lab Report"/>
    <s v="Lab Report Portfolio: Lab Report 1 Submission + Peer Review Activity + Reflection + Lab Report 2 Submission"/>
    <n v="0.5"/>
    <n v="6"/>
    <s v="4092SPS_Assess"/>
    <s v="Assess"/>
    <s v="Sport and Exercise Science"/>
    <s v="SES"/>
  </r>
  <r>
    <s v="Sport and Exercise Science - AllModuleProformas.xlsx"/>
    <x v="3"/>
    <s v="Fundamentals of Exercise Physiology"/>
    <s v="A2"/>
    <x v="2"/>
    <s v="In Person Exam"/>
    <s v="In person Online MCQ Exam "/>
    <n v="0.5"/>
    <n v="12"/>
    <s v="4092SPS_Assess"/>
    <s v="Assess"/>
    <s v="Sport and Exercise Science"/>
    <s v="SES"/>
  </r>
  <r>
    <s v="Sport and Exercise Science - AllModuleProformas.xlsx"/>
    <x v="4"/>
    <s v="Human Movement"/>
    <s v="A1"/>
    <x v="2"/>
    <s v="MCQ Online Test"/>
    <s v="Online exam where students choose 3 out of 6 possible videos of movement to deconstruct a joint of their choice through MCQ and open text responses"/>
    <n v="0.35"/>
    <n v="6"/>
    <s v="4094SPS_Assess"/>
    <s v="Assess"/>
    <s v="Sport and Exercise Science"/>
    <s v="SES"/>
  </r>
  <r>
    <s v="Sport and Exercise Science - AllModuleProformas.xlsx"/>
    <x v="4"/>
    <s v="Human Movement"/>
    <s v="A2"/>
    <x v="0"/>
    <s v="Video"/>
    <s v="Using biomechanical and skill acquisition theories, students will work in groups and pick a skill to progress through the stages of learning and create a short video to document this progression and how they have applied the theories gained through the module. It will also include an individual reflective piece on how their knowledge has developed over the module and how it might impact on work in sport, exercise and health."/>
    <n v="0.65"/>
    <n v="13"/>
    <s v="4094SPS_Assess"/>
    <s v="Assess"/>
    <s v="Sport and Exercise Science"/>
    <s v="SES"/>
  </r>
  <r>
    <s v="Sport and Exercise Science - AllModuleProformas.xlsx"/>
    <x v="5"/>
    <s v="Research Methods 2"/>
    <s v="A1"/>
    <x v="0"/>
    <s v="Group Presentation"/>
    <s v="Group presentation demonstrating analysis of mixed-methods data"/>
    <n v="0.5"/>
    <n v="6"/>
    <s v="5091SPS_Assess"/>
    <s v="Assess"/>
    <s v="Sport and Exercise Science"/>
    <s v="SES"/>
  </r>
  <r>
    <s v="Sport and Exercise Science - AllModuleProformas.xlsx"/>
    <x v="5"/>
    <s v="Research Methods 2"/>
    <s v="A2"/>
    <x v="3"/>
    <s v="Essay"/>
    <s v="Research Proposal outlining a feasible study to undertake at L6"/>
    <n v="0.5"/>
    <n v="12"/>
    <s v="5091SPS_Assess"/>
    <s v="Assess"/>
    <s v="Sport and Exercise Science"/>
    <s v="SES"/>
  </r>
  <r>
    <s v="Sport and Exercise Science - AllModuleProformas.xlsx"/>
    <x v="6"/>
    <s v="Physiological adaptations to exercise"/>
    <s v="A1"/>
    <x v="3"/>
    <s v="Lab Report"/>
    <s v="Using the experimental data provided and an AI-generated draft report, students will produce a scientific laboratory report that analyses and evaluates the physiological effects of exercise training"/>
    <n v="0.5"/>
    <n v="8"/>
    <s v="5092SPS_Assess"/>
    <s v="Assess"/>
    <s v="Sport and Exercise Science"/>
    <s v="SES"/>
  </r>
  <r>
    <s v="Sport and Exercise Science - AllModuleProformas.xlsx"/>
    <x v="6"/>
    <s v="Physiological adaptations to exercise"/>
    <s v="A2"/>
    <x v="0"/>
    <s v="Group Presentation"/>
    <s v="Pro/con debate: working in groups, students will research, prepare, and participate in a structured debate on a controversial topic related to sport and exercise physiology"/>
    <n v="0.5"/>
    <s v="Assessment week"/>
    <s v="5092SPS_Assess"/>
    <s v="Assess"/>
    <s v="Sport and Exercise Science"/>
    <s v="SES"/>
  </r>
  <r>
    <s v="Sport and Exercise Science - AllModuleProformas.xlsx"/>
    <x v="7"/>
    <s v="Professional Practice in Sport and Exercise Science 2"/>
    <s v="A1"/>
    <x v="1"/>
    <m/>
    <s v="Students will Compose a CV, Cover Letter + Video Interview for the &quot;application&quot; for one of two roles in a Sport &amp; Exercise Setting"/>
    <n v="0.6"/>
    <n v="6"/>
    <s v="5101SPS_Assess"/>
    <s v="Assess"/>
    <s v="Sport and Exercise Science"/>
    <s v="SES"/>
  </r>
  <r>
    <s v="Sport and Exercise Science - AllModuleProformas.xlsx"/>
    <x v="7"/>
    <s v="Professional Practice in Sport and Exercise Science 2"/>
    <s v="A2"/>
    <x v="0"/>
    <m/>
    <s v="Students will, in groups, provide a needs analysis for a given issue and should deliver a presentation of interdisciplinary cohesion to improve health and/or performance outcomes"/>
    <n v="0.4"/>
    <n v="12"/>
    <s v="5101SPS_Assess"/>
    <s v="Assess"/>
    <s v="Sport and Exercise Science"/>
    <s v="SES"/>
  </r>
  <r>
    <s v="Sport and Exercise Science - AllModuleProformas.xlsx"/>
    <x v="8"/>
    <s v="Influences and Assessment of Physical Activity and Sedentary Behaviour"/>
    <s v="A1"/>
    <x v="0"/>
    <s v="Group Presentation"/>
    <s v="30-minute group presentation – Analyse the factors that influence physical activity sedentary behaviour, and sleep in a specific population subgroup (e.g., young children, children, adolescents, adults, older adults)."/>
    <n v="0.5"/>
    <n v="7"/>
    <s v="5102SPS_Assess"/>
    <s v="Assess"/>
    <s v="Sport and Exercise Science"/>
    <s v="SES"/>
  </r>
  <r>
    <s v="Sport and Exercise Science - AllModuleProformas.xlsx"/>
    <x v="8"/>
    <s v="Influences and Assessment of Physical Activity and Sedentary Behaviour"/>
    <s v="A2"/>
    <x v="1"/>
    <m/>
    <s v="PART 1 – Individual practical: Perform a brief assessment of physical activity with a client (research participant) and give accurate feedback and appropriate recommendations. PART 2 - Viva: Analyse the strengths and limitations and provide recommendations for a proposed measurement approach in a given research scenario ."/>
    <n v="0.5"/>
    <s v="17-18 (January Assessment Week)"/>
    <s v="5102SPS_Assess"/>
    <s v="Assess"/>
    <s v="Sport and Exercise Science"/>
    <s v="SES"/>
  </r>
  <r>
    <s v="Sport and Exercise Science - AllModuleProformas.xlsx"/>
    <x v="9"/>
    <s v="Biomechanics"/>
    <s v="A1"/>
    <x v="1"/>
    <s v="Lab Report"/>
    <s v="Porfoiolo of biomechanical analysis reports to a 'Performance Director', linked to taught labs "/>
    <n v="0.5"/>
    <n v="9"/>
    <s v="5103SPS_Assess"/>
    <s v="Assess"/>
    <s v="Sport and Exercise Science"/>
    <s v="SES"/>
  </r>
  <r>
    <s v="Sport and Exercise Science - AllModuleProformas.xlsx"/>
    <x v="9"/>
    <s v="Biomechanics"/>
    <s v="A2"/>
    <x v="2"/>
    <s v="In Person Exam"/>
    <s v="Exam testing knowledge of taught conetent and assessing depth of knowlegde and seeking justifications and critique of portfolio "/>
    <n v="0.5"/>
    <n v="12"/>
    <s v="5103SPS_Assess"/>
    <s v="Assess"/>
    <s v="Sport and Exercise Science"/>
    <s v="SES"/>
  </r>
  <r>
    <s v="Physical Education - AllModuleProformas.xlsx"/>
    <x v="10"/>
    <s v="Secondary PE Teacher Education"/>
    <s v="A1"/>
    <x v="0"/>
    <s v="Group Presentation"/>
    <s v="Group lesson plan and delivery of lesson"/>
    <n v="0.5"/>
    <n v="12"/>
    <s v="6096SPS_Assess"/>
    <s v="Assess"/>
    <s v="Sport and Exercise Science"/>
    <s v="SES"/>
  </r>
  <r>
    <s v="Physical Education - AllModuleProformas.xlsx"/>
    <x v="10"/>
    <s v="Secondary PE Teacher Education"/>
    <s v="A2"/>
    <x v="4"/>
    <s v="Essay"/>
    <s v="Individual essay critically evaluating a current trend in secondary PE"/>
    <n v="0.5"/>
    <n v="16"/>
    <s v="6096SPS_Assess"/>
    <s v="Assess"/>
    <s v="Sport and Exercise Science"/>
    <s v="SES"/>
  </r>
  <r>
    <s v="Sport and Exercise Science - AllModuleProformas.xlsx"/>
    <x v="11"/>
    <s v="Sport and Injury Biomechanics"/>
    <s v="A1"/>
    <x v="3"/>
    <s v="Data Analysis"/>
    <s v="Running Evaluation"/>
    <n v="0.5"/>
    <n v="6"/>
    <s v="6101SPS_Assess"/>
    <s v="Assess"/>
    <s v="Sport and Exercise Science"/>
    <s v="SES"/>
  </r>
  <r>
    <s v="Sport and Exercise Science - AllModuleProformas.xlsx"/>
    <x v="11"/>
    <s v="Sport and Injury Biomechanics"/>
    <s v="A2"/>
    <x v="3"/>
    <s v="Case Study"/>
    <s v="Injury Screening Evaluation"/>
    <n v="0.5"/>
    <n v="12"/>
    <s v="6101SPS_Assess"/>
    <s v="Assess"/>
    <s v="Sport and Exercise Science"/>
    <s v="SES"/>
  </r>
  <r>
    <s v="Sport and Exercise Science - AllModuleProformas.xlsx"/>
    <x v="12"/>
    <s v="Physical activity and sedentary behaviour across the life course"/>
    <s v="A1"/>
    <x v="1"/>
    <s v="Essay"/>
    <s v="Three mini essays: Critical discussions. "/>
    <n v="0.5"/>
    <n v="7"/>
    <s v="6102SPS_Assess"/>
    <s v="Assess"/>
    <s v="Sport and Exercise Science"/>
    <s v="SES"/>
  </r>
  <r>
    <s v="Sport and Exercise Science - AllModuleProformas.xlsx"/>
    <x v="12"/>
    <s v="Physical activity and sedentary behaviour across the life course"/>
    <s v="A2"/>
    <x v="0"/>
    <s v="Individual Presentation"/>
    <s v="One 10 minute individual presentation plus up to 5 minutes of questions. "/>
    <n v="0.5"/>
    <n v="12"/>
    <s v="6102SPS_Assess"/>
    <s v="Assess"/>
    <s v="Sport and Exercise Science"/>
    <s v="SES"/>
  </r>
  <r>
    <s v="Sport and Exercise Science - AllModuleProformas.xlsx"/>
    <x v="13"/>
    <s v="Exercise Metabolism"/>
    <s v="A1"/>
    <x v="3"/>
    <s v="Laboratory Report"/>
    <s v="Scientific laboratory report based upon data collected during physiological testing lab practicals. Designed to demonstrate analysis, synthesis and evaluation skills. "/>
    <n v="0.5"/>
    <n v="6"/>
    <s v="6103SPS_Assess"/>
    <s v="Assess"/>
    <s v="Sport and Exercise Science"/>
    <s v="SES"/>
  </r>
  <r>
    <s v="Sport and Exercise Science - AllModuleProformas.xlsx"/>
    <x v="13"/>
    <s v="Exercise Metabolism"/>
    <s v="A2"/>
    <x v="2"/>
    <m/>
    <s v="In person exam to assess knowledge and comprehension. "/>
    <n v="0.5"/>
    <n v="12"/>
    <s v="6103SPS_Assess"/>
    <s v="Assess"/>
    <s v="Sport and Exercise Science"/>
    <s v="SES"/>
  </r>
  <r>
    <s v="Sport and Exercise Science - AllModuleProformas.xlsx"/>
    <x v="14"/>
    <s v="Cardiovascular Physiology"/>
    <s v="A1"/>
    <x v="0"/>
    <s v="Individual Presentation"/>
    <s v="Case-study presentation of CPET data collected during lab practicals + viva"/>
    <n v="0.5"/>
    <n v="8"/>
    <s v="6104SPS_Assess"/>
    <s v="Assess"/>
    <s v="Sport and Exercise Science"/>
    <s v="SES"/>
  </r>
  <r>
    <s v="Sport and Exercise Science - AllModuleProformas.xlsx"/>
    <x v="14"/>
    <s v="Cardiovascular Physiology"/>
    <s v="A2"/>
    <x v="2"/>
    <s v="In Person Exam"/>
    <s v="ECG interpretation exam"/>
    <n v="0.5"/>
    <n v="18"/>
    <s v="6104SPS_Assess"/>
    <s v="Assess"/>
    <s v="Sport and Exercise Science"/>
    <s v="SES"/>
  </r>
  <r>
    <s v="Sport and Exercise Science - AllModuleProformas.xlsx"/>
    <x v="15"/>
    <s v="Clinical Biomechanics"/>
    <s v="A1"/>
    <x v="3"/>
    <s v="Data Analysis"/>
    <s v="The effects of walking speed on three-dimensional gait kinematics"/>
    <n v="0.5"/>
    <n v="7"/>
    <s v="6105SPS_Assess"/>
    <s v="Assess"/>
    <s v="Sport and Exercise Science"/>
    <s v="SES"/>
  </r>
  <r>
    <s v="Sport and Exercise Science - AllModuleProformas.xlsx"/>
    <x v="15"/>
    <s v="Clinical Biomechanics"/>
    <s v="A2"/>
    <x v="2"/>
    <s v="Essay"/>
    <s v="Exam covering content delivered in the second half on strength, muscles and tendons."/>
    <n v="0.5"/>
    <n v="12"/>
    <s v="6105SPS_Assess"/>
    <s v="Assess"/>
    <s v="Sport and Exercise Science"/>
    <s v="SES"/>
  </r>
  <r>
    <s v="Sport and Exercise Science - AllModuleProformas.xlsx"/>
    <x v="16"/>
    <s v="Module Title"/>
    <s v="A1"/>
    <x v="3"/>
    <s v="Essay"/>
    <s v="The Conversation' style article and accompanying infographic"/>
    <n v="0.4"/>
    <n v="24"/>
    <s v="6106SPS_Assess"/>
    <s v="Assess"/>
    <s v="Sport and Exercise Science"/>
    <s v="SES"/>
  </r>
  <r>
    <s v="Sport and Exercise Science - AllModuleProformas.xlsx"/>
    <x v="16"/>
    <s v="Module Title"/>
    <s v="A2"/>
    <x v="0"/>
    <s v="Individual Presentation"/>
    <s v="Patient Education Session"/>
    <n v="0.6"/>
    <n v="33"/>
    <s v="6106SPS_Assess"/>
    <s v="Assess"/>
    <s v="Sport and Exercise Science"/>
    <s v="SES"/>
  </r>
  <r>
    <s v="Sport and Exercise Science - AllModuleProformas.xlsx"/>
    <x v="17"/>
    <s v="Environmental Physiology"/>
    <s v="A1"/>
    <x v="5"/>
    <s v="On a chosen sporting challenge in extreme heat/cold"/>
    <s v="Presnt a poster and defend questions on the poster and the topic both theoretical and practical"/>
    <n v="0.5"/>
    <m/>
    <s v="6107SPS_Assess"/>
    <s v="Assess"/>
    <s v="Sport and Exercise Science"/>
    <s v="SES"/>
  </r>
  <r>
    <s v="Sport and Exercise Science - AllModuleProformas.xlsx"/>
    <x v="17"/>
    <s v="Environmental Physiology"/>
    <s v="A2"/>
    <x v="6"/>
    <s v="Answering 2/4 questions"/>
    <s v="From the Topics/lectures covered in the module"/>
    <n v="0.5"/>
    <m/>
    <s v="6107SPS_Assess"/>
    <s v="Assess"/>
    <s v="Sport and Exercise Science"/>
    <s v="SES"/>
  </r>
  <r>
    <s v="Sport and Exercise Science - AllModuleProformas.xlsx"/>
    <x v="18"/>
    <s v="Health and Performance Nutrition"/>
    <s v="A1"/>
    <x v="0"/>
    <s v="Group Presentation"/>
    <s v="Group presentation on population nutrient deficiency in health and performance context"/>
    <n v="0.3"/>
    <n v="9"/>
    <s v="6108SPS_Assess"/>
    <s v="Assess"/>
    <s v="Sport and Exercise Science"/>
    <s v="SES"/>
  </r>
  <r>
    <s v="Sport and Exercise Science - AllModuleProformas.xlsx"/>
    <x v="18"/>
    <s v="Health and Performance Nutrition"/>
    <s v="A2"/>
    <x v="1"/>
    <s v="Case Study"/>
    <s v="Case study of athlete needs for performance and health goals"/>
    <n v="0.7"/>
    <n v="12"/>
    <s v="6108SPS_Assess"/>
    <s v="Assess"/>
    <s v="Sport and Exercise Science"/>
    <s v="SES"/>
  </r>
  <r>
    <s v="Sport and Exercise Science - AllModuleProformas.xlsx"/>
    <x v="19"/>
    <s v="Applied Professional Practice"/>
    <s v="A1"/>
    <x v="1"/>
    <s v="Case Study"/>
    <s v="Work related task. The submission will depend upon the nature of the work related activity (3000 words or equivalent)"/>
    <n v="0.5"/>
    <n v="26"/>
    <s v="6109SPS_Assess"/>
    <s v="Assess"/>
    <s v="Sport and Exercise Science"/>
    <s v="SES"/>
  </r>
  <r>
    <s v="Sport and Exercise Science - AllModuleProformas.xlsx"/>
    <x v="19"/>
    <s v="Applied Professional Practice"/>
    <s v="A2"/>
    <x v="0"/>
    <s v="Individual Presentation"/>
    <s v="An individual presentation within the context of the discipline area that you have completed your placement, and in consideration of your skills, experience and possible career plans you are required to reflect upon the knowledge and competencies required to work in Sport and Exercise Science field/discipline."/>
    <n v="0.5"/>
    <n v="26"/>
    <s v="6109SPS_Assess"/>
    <s v="Assess"/>
    <s v="Sport and Exercise Science"/>
    <s v="SES"/>
  </r>
  <r>
    <s v="Sport and Exercise Science - AllModuleProformas.xlsx"/>
    <x v="20"/>
    <s v="Major Project"/>
    <s v="A1"/>
    <x v="3"/>
    <s v="Dissertation"/>
    <s v="Students are required to submit a thesis that describes and reports the major project that they conducted using the scientific method, e.g., Introduction, Methods, Results and Discussion. This could be in the format of an Empirical type project or a Systeamtic Review type project."/>
    <n v="0.6"/>
    <n v="28"/>
    <s v="6091SPS_Assess"/>
    <s v="Assess"/>
    <s v="Sport and Exercise Science"/>
    <s v="SES"/>
  </r>
  <r>
    <s v="Sport and Exercise Science - AllModuleProformas.xlsx"/>
    <x v="20"/>
    <s v="Major Project"/>
    <s v="A2"/>
    <x v="0"/>
    <s v="Individual Presentation"/>
    <s v="Students are required to manage their own project throughout the year and produce, present and defend their major project "/>
    <n v="0.4"/>
    <n v="28"/>
    <s v="6091SPS_Assess"/>
    <s v="Assess"/>
    <s v="Sport and Exercise Science"/>
    <s v="SES"/>
  </r>
  <r>
    <s v="Sport and Exercise Science - AllModuleProformas.xlsx"/>
    <x v="21"/>
    <s v="Strength and Conditioning"/>
    <s v="A1"/>
    <x v="0"/>
    <s v="Individual Presentation"/>
    <s v="10 minute pre-recorded needs analysis presentation"/>
    <n v="0.5"/>
    <n v="6"/>
    <s v="6093SPS_Assess"/>
    <s v="Assess"/>
    <s v="Sport and Exercise Science"/>
    <s v="SES"/>
  </r>
  <r>
    <s v="Sport and Exercise Science - AllModuleProformas.xlsx"/>
    <x v="21"/>
    <s v="Strength and Conditioning"/>
    <s v="A2"/>
    <x v="1"/>
    <s v="Viva"/>
    <s v="Training Programme and Viva Defence"/>
    <n v="0.5"/>
    <n v="12"/>
    <s v="6093SPS_Assess"/>
    <s v="Assess"/>
    <s v="Sport and Exercise Science"/>
    <s v="SES"/>
  </r>
  <r>
    <s v="Sport and Exercise Science - AllModuleProformas.xlsx"/>
    <x v="22"/>
    <s v="Behaviour Change"/>
    <s v="A1"/>
    <x v="0"/>
    <s v="Individual Presentation"/>
    <s v="Design a theory-based behaviour change intervention (10 minute narrated presentation)"/>
    <n v="0.5"/>
    <n v="8"/>
    <s v="6094SPS_Assess"/>
    <s v="Assess"/>
    <s v="Sport and Exercise Science"/>
    <s v="SES"/>
  </r>
  <r>
    <s v="Sport and Exercise Science - AllModuleProformas.xlsx"/>
    <x v="22"/>
    <s v="Behaviour Change"/>
    <s v="A2"/>
    <x v="7"/>
    <m/>
    <s v="Practical Simulation and Reflection: Students complete a 12-15 minute behaviour change consultation with an adult client seeking support. Following the practical, students submit a critical reflection (≈750–1,000 words) on their consultation. "/>
    <n v="0.5"/>
    <n v="12"/>
    <s v="6094SPS_Assess"/>
    <s v="Assess"/>
    <s v="Sport and Exercise Science"/>
    <s v="SES"/>
  </r>
  <r>
    <s v="Sport and Exercise Science - AllModuleProformas.xlsx"/>
    <x v="23"/>
    <s v="Performance Analysis in Sport"/>
    <s v="A1"/>
    <x v="1"/>
    <s v="Data Analysis"/>
    <s v="Part A includes 3 different components: a code window file (from Sportscode), a CSV file, and a report.                                                                                                                                                Part B includes 2 different components: a video playlist, and a Tableau dashboard file."/>
    <n v="0.6"/>
    <n v="12"/>
    <s v="6095SPS_Assess"/>
    <s v="Assess"/>
    <s v="Sport and Exercise Science"/>
    <s v="SES"/>
  </r>
  <r>
    <s v="Sport and Exercise Science - AllModuleProformas.xlsx"/>
    <x v="23"/>
    <s v="Performance Analysis in Sport"/>
    <s v="A2"/>
    <x v="0"/>
    <s v="Group Presentation"/>
    <s v="Group Presentation analysing performance of a team or athlete (15 minutes + 5 minutes questions)."/>
    <n v="0.4"/>
    <s v="Week 17"/>
    <s v="6095SPS_Assess"/>
    <s v="Assess"/>
    <s v="Sport and Exercise Science"/>
    <s v="SES"/>
  </r>
  <r>
    <s v="Sport Coaching - AllModuleProformas.xlsx"/>
    <x v="24"/>
    <s v="Working in High Performance Sport"/>
    <s v="A1"/>
    <x v="0"/>
    <s v="Group Presentation"/>
    <s v="Group podcast (15 minutes). &quot;Inside the Performance Environment&quot;. Groups act as the senior interdisciplinary team of a named high-performance organisation, such as an NGB World Class Programme, a Category 1 academy or a performance institute. They record a podcast on a real performance problem. Examples:_x000a__x000a_An athlete stalling at the transition from pathway to podium._x000a_A squad with a rising burnout risk._x000a_A cut in UK Sport funding._x000a__x000a_Each student takes a senior role, such as Performance Director, Head of Sport Science, Academy Manager or Lead Coach. They explain how their role sees the problem and what it contributes. Together, the group then agrees an interdisciplinary performance solution. This keeps the collaborative, problem-based format students rate highly. It also brings in the new content: organisational structures, roles and competencies, leadership, communication and conflict, and welfare or ethical limits on the solution."/>
    <n v="0.3"/>
    <n v="12"/>
    <s v="6097SPS_Assess"/>
    <s v="Assess"/>
    <s v="Sport and Exercise Science"/>
    <s v="SES"/>
  </r>
  <r>
    <s v="Sport Coaching - AllModuleProformas.xlsx"/>
    <x v="24"/>
    <s v="Working in High Performance Sport"/>
    <s v="A2"/>
    <x v="3"/>
    <m/>
    <s v="Annual performance plan . Write an evidence-based annual plan for an athlete or team in that setting. Cover periodisation, monitoring and evaluation, and interdisciplinary justification. Add a short section on how the plan would be led and managed: who owns each part, how the team works together and communicates with stakeholders, and any welfare, safeguarding or anti-doping considerations."/>
    <n v="0.7"/>
    <n v="17"/>
    <s v="6097SPS_Assess"/>
    <s v="Assess"/>
    <s v="Sport and Exercise Science"/>
    <s v="SES"/>
  </r>
  <r>
    <s v="Sport Psychology - AllModuleProformas.xlsx"/>
    <x v="25"/>
    <s v="Psychosocial Principles of Sport and Exercise"/>
    <s v="A1"/>
    <x v="2"/>
    <s v="In Person Exam"/>
    <s v="60 minute and 50 question MCT to cover material delivered during weeks 1-6 of the module. "/>
    <n v="0.5"/>
    <s v="Week 8"/>
    <s v="4093SPS_Assess"/>
    <s v="Assess"/>
    <s v="Sport and Exercise Science"/>
    <s v="SES"/>
  </r>
  <r>
    <s v="Sport Psychology - AllModuleProformas.xlsx"/>
    <x v="25"/>
    <s v="Psychosocial Principles of Sport and Exercise"/>
    <s v="A2"/>
    <x v="2"/>
    <s v="In Person Exam"/>
    <s v="60 minute and 50 question MCT to cover material delivered during weeks 8-12 of the module. "/>
    <n v="0.5"/>
    <s v="January Assessment Weeks"/>
    <s v="4093SPS_Assess"/>
    <s v="Assess"/>
    <s v="Sport and Exercise Science"/>
    <s v="SES"/>
  </r>
  <r>
    <s v="Sport Psychology - AllModuleProformas.xlsx"/>
    <x v="26"/>
    <s v="Sport and Performance Psychology"/>
    <s v="A1"/>
    <x v="0"/>
    <m/>
    <s v="In-class video observation and short-answer questions"/>
    <n v="0.5"/>
    <n v="8"/>
    <s v="5093SPS_Assess"/>
    <s v="Assess"/>
    <s v="Sport and Exercise Science"/>
    <s v="SES"/>
  </r>
  <r>
    <s v="Sport Psychology - AllModuleProformas.xlsx"/>
    <x v="26"/>
    <s v="Sport and Performance Psychology"/>
    <s v="A2"/>
    <x v="2"/>
    <s v="In Person Exam"/>
    <s v="In-class short- and multi-choice answer questions"/>
    <n v="0.5"/>
    <s v="13-14"/>
    <s v="5093SPS_Assess"/>
    <s v="Assess"/>
    <s v="Sport and Exercise Science"/>
    <s v="SES"/>
  </r>
  <r>
    <s v="Sport Psychology - AllModuleProformas.xlsx"/>
    <x v="27"/>
    <s v="Applied Motor Behaviour"/>
    <s v="A1"/>
    <x v="3"/>
    <m/>
    <s v="Individually-written report on motor learning protocols followed by viva"/>
    <n v="0.5"/>
    <n v="8"/>
    <s v="6052SPS_Assess"/>
    <s v="Assess"/>
    <s v="Sport and Exercise Science"/>
    <s v="SES"/>
  </r>
  <r>
    <s v="Sport Psychology - AllModuleProformas.xlsx"/>
    <x v="27"/>
    <s v="Applied Motor Behaviour"/>
    <s v="A2"/>
    <x v="2"/>
    <s v="Essay"/>
    <s v="Interpret statistical outputs to independently produce a summary of key findings, followed by discussion that considers findings relative to research and conceptual/theoretical perspectives"/>
    <n v="0.5"/>
    <n v="17"/>
    <s v="6052SPS_Assess"/>
    <s v="Assess"/>
    <s v="Sport and Exercise Science"/>
    <s v="S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A7598-651F-684E-8C2C-7D48C009BD2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C42" firstHeaderRow="0" firstDataRow="1" firstDataCol="1"/>
  <pivotFields count="13">
    <pivotField showAll="0"/>
    <pivotField axis="axisRow" showAll="0">
      <items count="29">
        <item x="3"/>
        <item h="1" x="25"/>
        <item h="1" x="4"/>
        <item h="1" x="0"/>
        <item h="1" x="1"/>
        <item h="1" x="5"/>
        <item h="1" x="6"/>
        <item h="1" x="26"/>
        <item h="1" x="8"/>
        <item h="1" x="9"/>
        <item h="1" x="27"/>
        <item h="1" x="20"/>
        <item h="1" x="21"/>
        <item h="1" x="22"/>
        <item h="1" x="23"/>
        <item h="1" x="10"/>
        <item h="1" x="24"/>
        <item h="1" x="11"/>
        <item h="1" x="12"/>
        <item h="1" x="14"/>
        <item h="1" x="15"/>
        <item h="1" x="16"/>
        <item h="1" x="18"/>
        <item h="1" x="19"/>
        <item h="1" x="13"/>
        <item h="1" x="17"/>
        <item h="1" x="2"/>
        <item h="1" x="7"/>
        <item t="default"/>
      </items>
    </pivotField>
    <pivotField showAll="0"/>
    <pivotField dataField="1" showAll="0"/>
    <pivotField axis="axisRow" showAll="0">
      <items count="9">
        <item x="4"/>
        <item x="2"/>
        <item x="1"/>
        <item x="7"/>
        <item x="0"/>
        <item x="3"/>
        <item x="5"/>
        <item x="6"/>
        <item t="default"/>
      </items>
    </pivotField>
    <pivotField showAll="0"/>
    <pivotField dataField="1" showAll="0"/>
    <pivotField showAll="0"/>
    <pivotField showAll="0"/>
    <pivotField showAll="0"/>
    <pivotField showAll="0"/>
    <pivotField showAll="0"/>
    <pivotField showAll="0"/>
  </pivotFields>
  <rowFields count="2">
    <field x="1"/>
    <field x="4"/>
  </rowFields>
  <rowItems count="4">
    <i>
      <x/>
    </i>
    <i r="1">
      <x v="1"/>
    </i>
    <i r="1">
      <x v="2"/>
    </i>
    <i t="grand">
      <x/>
    </i>
  </rowItems>
  <colFields count="1">
    <field x="-2"/>
  </colFields>
  <colItems count="2">
    <i>
      <x/>
    </i>
    <i i="1">
      <x v="1"/>
    </i>
  </colItems>
  <dataFields count="2">
    <dataField name="Count of Assessment No" fld="3" subtotal="count" baseField="0" baseItem="0"/>
    <dataField name="Count of Assessment Descriptio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35F69C-A493-8E47-8F06-DECA81DB26B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R33" firstHeaderRow="1" firstDataRow="2" firstDataCol="1"/>
  <pivotFields count="9">
    <pivotField showAll="0"/>
    <pivotField axis="axisRow" showAll="0">
      <items count="29">
        <item x="2"/>
        <item x="3"/>
        <item x="25"/>
        <item x="4"/>
        <item x="0"/>
        <item x="1"/>
        <item x="5"/>
        <item x="6"/>
        <item x="26"/>
        <item x="7"/>
        <item x="8"/>
        <item x="9"/>
        <item x="27"/>
        <item x="20"/>
        <item x="21"/>
        <item x="22"/>
        <item x="23"/>
        <item x="12"/>
        <item x="24"/>
        <item x="10"/>
        <item x="11"/>
        <item x="13"/>
        <item x="14"/>
        <item x="15"/>
        <item x="16"/>
        <item x="17"/>
        <item x="18"/>
        <item x="19"/>
        <item t="default"/>
      </items>
    </pivotField>
    <pivotField showAll="0"/>
    <pivotField axis="axisCol" showAll="0">
      <items count="7">
        <item x="0"/>
        <item x="4"/>
        <item x="2"/>
        <item x="1"/>
        <item x="5"/>
        <item x="3"/>
        <item t="default"/>
      </items>
    </pivotField>
    <pivotField dataField="1" showAll="0"/>
    <pivotField showAll="0"/>
    <pivotField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3"/>
  </colFields>
  <colItems count="7">
    <i>
      <x/>
    </i>
    <i>
      <x v="1"/>
    </i>
    <i>
      <x v="2"/>
    </i>
    <i>
      <x v="3"/>
    </i>
    <i>
      <x v="4"/>
    </i>
    <i>
      <x v="5"/>
    </i>
    <i t="grand">
      <x/>
    </i>
  </colItems>
  <dataFields count="1">
    <dataField name="Sum of Contact Hou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14" xr16:uid="{1D0DFEF6-C54A-4438-9168-708B2C1B3FB3}" autoFormatId="16" applyNumberFormats="0" applyBorderFormats="0" applyFontFormats="0" applyPatternFormats="0" applyAlignmentFormats="0" applyWidthHeightFormats="0">
  <queryTableRefresh nextId="14">
    <queryTableFields count="13">
      <queryTableField id="1" name="SourceWorkbook" tableColumnId="1"/>
      <queryTableField id="2" name="ModuleCode" tableColumnId="2"/>
      <queryTableField id="3" name="ModuleTitle" tableColumnId="3"/>
      <queryTableField id="4" name="Programme" tableColumnId="4"/>
      <queryTableField id="5" name="TableName" tableColumnId="5"/>
      <queryTableField id="6" name="ProgCode" tableColumnId="6"/>
      <queryTableField id="7" name="Lecture" tableColumnId="7"/>
      <queryTableField id="8" name="Seminar" tableColumnId="8"/>
      <queryTableField id="9" name="Practical" tableColumnId="9"/>
      <queryTableField id="10" name="Workshop" tableColumnId="10"/>
      <queryTableField id="11" name="Online" tableColumnId="11"/>
      <queryTableField id="12" name="Total" tableColumnId="12"/>
      <queryTableField id="13" name="Online - synchronou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9" connectionId="20" xr16:uid="{5A8F4048-6E8F-4AB4-900B-1268A45FB177}" autoFormatId="16" applyNumberFormats="0" applyBorderFormats="0" applyFontFormats="0" applyPatternFormats="0" applyAlignmentFormats="0" applyWidthHeightFormats="0">
  <queryTableRefresh nextId="6">
    <queryTableFields count="5">
      <queryTableField id="1" name="Category" tableColumnId="1"/>
      <queryTableField id="2" name="Skill" tableColumnId="2"/>
      <queryTableField id="3" name="Modules Covering" tableColumnId="3"/>
      <queryTableField id="4" name="Module Count" tableColumnId="4"/>
      <queryTableField id="5" name="Covered"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19" xr16:uid="{4CF3F2C3-1EE5-402F-9AAB-A39D3C19F063}" autoFormatId="16" applyNumberFormats="0" applyBorderFormats="0" applyFontFormats="0" applyPatternFormats="0" applyAlignmentFormats="0" applyWidthHeightFormats="0">
  <queryTableRefresh nextId="10">
    <queryTableFields count="9">
      <queryTableField id="1" name="ModuleCode" tableColumnId="1"/>
      <queryTableField id="2" name="ModuleTitle" tableColumnId="2"/>
      <queryTableField id="3" name="Level" tableColumnId="3"/>
      <queryTableField id="4" name="Semester" tableColumnId="4"/>
      <queryTableField id="5" name="Credits" tableColumnId="5"/>
      <queryTableField id="6" name="Module Leader" tableColumnId="6"/>
      <queryTableField id="7" name="Module Type" tableColumnId="7"/>
      <queryTableField id="8" name="Total Contact Hours" tableColumnId="8"/>
      <queryTableField id="9" name="Hours per Credit"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18" xr16:uid="{FA3807B1-35D8-4219-B2E7-881433E67C10}" autoFormatId="16" applyNumberFormats="0" applyBorderFormats="0" applyFontFormats="0" applyPatternFormats="0" applyAlignmentFormats="0" applyWidthHeightFormats="0">
  <queryTableRefresh nextId="15">
    <queryTableFields count="14">
      <queryTableField id="1" name="SourceWorkbook" tableColumnId="1"/>
      <queryTableField id="2" name="ModuleCode" tableColumnId="2"/>
      <queryTableField id="3" name="ModuleTitle" tableColumnId="3"/>
      <queryTableField id="4" name="Module Title" tableColumnId="4"/>
      <queryTableField id="5" name="Credits" tableColumnId="5"/>
      <queryTableField id="6" name="Semester" tableColumnId="6"/>
      <queryTableField id="7" name="Level" tableColumnId="7"/>
      <queryTableField id="8" name="Module Leader" tableColumnId="8"/>
      <queryTableField id="9" name="Module Type" tableColumnId="9"/>
      <queryTableField id="10" name="Programme(s)" tableColumnId="10"/>
      <queryTableField id="11" name="TableName" tableColumnId="11"/>
      <queryTableField id="12" name="ItemSuffix" tableColumnId="12"/>
      <queryTableField id="13" name="Programme" tableColumnId="13"/>
      <queryTableField id="14" name="ProgCode"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16" xr16:uid="{EE3325D3-30AC-4143-A0C6-85A6DF70D050}" autoFormatId="16" applyNumberFormats="0" applyBorderFormats="0" applyFontFormats="0" applyPatternFormats="0" applyAlignmentFormats="0" applyWidthHeightFormats="0">
  <queryTableRefresh nextId="12">
    <queryTableFields count="11">
      <queryTableField id="1" name="SourceWorkbook" tableColumnId="1"/>
      <queryTableField id="2" name="TableName" tableColumnId="2"/>
      <queryTableField id="3" name="Assessment No" tableColumnId="3"/>
      <queryTableField id="4" name="LO Number" tableColumnId="4"/>
      <queryTableField id="5" name="Graduate Skills Category" tableColumnId="5"/>
      <queryTableField id="6" name="Graduate Skill" tableColumnId="6"/>
      <queryTableField id="7" name="ModuleCode" tableColumnId="7"/>
      <queryTableField id="8" name="ItemSuffix" tableColumnId="8"/>
      <queryTableField id="9" name="Programme" tableColumnId="9"/>
      <queryTableField id="10" name="ProgCode" tableColumnId="10"/>
      <queryTableField id="11" name="ModuleTitle"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3" xr16:uid="{4FC2C8A4-B774-4847-ACE0-CC1733D1FEC0}" autoFormatId="16" applyNumberFormats="0" applyBorderFormats="0" applyFontFormats="0" applyPatternFormats="0" applyAlignmentFormats="0" applyWidthHeightFormats="0">
  <queryTableRefresh nextId="10">
    <queryTableFields count="9">
      <queryTableField id="1" name="SourceWorkbook" tableColumnId="1"/>
      <queryTableField id="2" name="ModuleCode" tableColumnId="2"/>
      <queryTableField id="3" name="ModuleTitle" tableColumnId="3"/>
      <queryTableField id="4" name="Component" tableColumnId="4"/>
      <queryTableField id="5" name="Contact Hours" tableColumnId="5"/>
      <queryTableField id="6" name="ItemSuffix" tableColumnId="6"/>
      <queryTableField id="7" name="Programme" tableColumnId="7"/>
      <queryTableField id="8" name="TableName" tableColumnId="8"/>
      <queryTableField id="9" name="ProgCode"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2" xr16:uid="{8ACE5520-D1EC-4E37-9794-78FDBD058F98}" autoFormatId="16" applyNumberFormats="0" applyBorderFormats="0" applyFontFormats="0" applyPatternFormats="0" applyAlignmentFormats="0" applyWidthHeightFormats="0">
  <queryTableRefresh nextId="14">
    <queryTableFields count="13">
      <queryTableField id="1" name="SourceWorkbook" tableColumnId="1"/>
      <queryTableField id="2" name="ModuleCode" tableColumnId="2"/>
      <queryTableField id="3" name="ModuleTitle" tableColumnId="3"/>
      <queryTableField id="4" name="Assessment No" tableColumnId="4"/>
      <queryTableField id="5" name="Assessment Type" tableColumnId="5"/>
      <queryTableField id="6" name="Assessment Specific" tableColumnId="6"/>
      <queryTableField id="7" name="Assessment Description" tableColumnId="7"/>
      <queryTableField id="8" name="Weighting" tableColumnId="8"/>
      <queryTableField id="9" name="Due Week" tableColumnId="9"/>
      <queryTableField id="10" name="TableName" tableColumnId="10"/>
      <queryTableField id="11" name="ItemSuffix" tableColumnId="11"/>
      <queryTableField id="12" name="Programme" tableColumnId="12"/>
      <queryTableField id="13" name="ProgCode"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5" xr16:uid="{B04525B2-0492-4569-84EF-1415FCE5CB80}" autoFormatId="16" applyNumberFormats="0" applyBorderFormats="0" applyFontFormats="0" applyPatternFormats="0" applyAlignmentFormats="0" applyWidthHeightFormats="0">
  <queryTableRefresh nextId="10">
    <queryTableFields count="9">
      <queryTableField id="1" name="SourceWorkbook" tableColumnId="1"/>
      <queryTableField id="2" name="Programme" tableColumnId="2"/>
      <queryTableField id="3" name="ModuleCode" tableColumnId="3"/>
      <queryTableField id="4" name="ModuleTitle" tableColumnId="4"/>
      <queryTableField id="5" name="LO Number" tableColumnId="5"/>
      <queryTableField id="6" name="LO Description" tableColumnId="6"/>
      <queryTableField id="7" name="TableName" tableColumnId="7"/>
      <queryTableField id="8" name="ItemSuffix" tableColumnId="8"/>
      <queryTableField id="9" name="ProgCode" tableColumnId="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7" xr16:uid="{D889CFCD-FBDC-4F58-A1D1-455B5F8797A6}"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Module Data" tableColumnId="3"/>
      <queryTableField id="4" name="Detail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tables/_rels/table26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6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26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26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26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26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26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27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27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7D2E46-20CA-4E3C-B2E0-BBFDD53504A7}" name="Module_Meta" displayName="Module_Meta" ref="C6:D14" totalsRowShown="0">
  <autoFilter ref="C6:D14" xr:uid="{CD75D2A7-14B1-4ABD-B64D-6E875F9BC652}">
    <filterColumn colId="0" hiddenButton="1"/>
    <filterColumn colId="1" hiddenButton="1"/>
  </autoFilter>
  <tableColumns count="2">
    <tableColumn id="1" xr3:uid="{ACF32678-77E3-4DB8-8FD6-8F313C0082A9}" name="Module Data" dataDxfId="1111"/>
    <tableColumn id="2" xr3:uid="{DD1FE0F1-BC22-47E6-B097-D50D8388821E}" name="Details" dataDxfId="111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AD0A51-796C-42E3-A2CB-4698AC5634E2}" name="Module_LO" displayName="Module_LO" ref="C28:D33" totalsRowShown="0" headerRowDxfId="1109">
  <autoFilter ref="C28:D33" xr:uid="{22316987-6BEB-4FAF-9619-BF9BE9909CFA}">
    <filterColumn colId="0" hiddenButton="1"/>
    <filterColumn colId="1" hiddenButton="1"/>
  </autoFilter>
  <tableColumns count="2">
    <tableColumn id="1" xr3:uid="{6CB2DC80-959E-4050-BA4D-48CD62403E05}" name="LO Number" dataDxfId="1108"/>
    <tableColumn id="2" xr3:uid="{85688B06-9831-461B-B933-1E407D860BB8}" name="LO Description" dataDxfId="110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5D0629-EB1D-4813-BD7D-E585D72A4BD3}" name="Module_Assess" displayName="Module_Assess" ref="C37:H41" totalsRowShown="0" headerRowDxfId="1106">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F802E997-1B43-47D3-BE02-499B71A9E504}" name="Assessment No" dataDxfId="1105"/>
    <tableColumn id="2" xr3:uid="{F4594AC5-B575-460A-8B6B-2EF3FCBAB24A}" name="Assessment Type" dataDxfId="1104"/>
    <tableColumn id="7" xr3:uid="{AAABE4DC-4613-4F22-97E3-44DC05E3C8C2}" name="Assessment Specific" dataDxfId="1103"/>
    <tableColumn id="3" xr3:uid="{C3DF3668-A1BF-4CA9-A035-72DE23145404}" name="Assessment Description" dataDxfId="1102"/>
    <tableColumn id="4" xr3:uid="{3D9A7936-2757-4200-8A20-0CA5D42BA49F}" name="Weighting" dataDxfId="1101"/>
    <tableColumn id="5" xr3:uid="{8EF3572C-5F74-4584-B936-B47EF6784AC5}" name="Due Week" dataDxfId="1100"/>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D1A8E39-0E8F-4461-9CD0-BAED3F9153AA}" name="Module_Weekly" displayName="Module_Weekly" ref="B70:F94" totalsRowShown="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7B3CFE4C-4542-4F37-A796-803C120DA3A8}" name="Semester " dataDxfId="1099"/>
    <tableColumn id="2" xr3:uid="{FBC07EB1-2635-4DBE-A175-763442B26942}" name="Week Number" dataDxfId="1098"/>
    <tableColumn id="3" xr3:uid="{D5767446-3CE7-477F-86AC-430EDC126EA2}" name="Weekly Content 1" dataDxfId="1097"/>
    <tableColumn id="4" xr3:uid="{9EAF880D-82C8-4C10-BC2E-5F1E7B2ED0C1}" name="Weekly Content 2" dataDxfId="1096"/>
    <tableColumn id="5" xr3:uid="{322143D7-C33E-4E77-9B9F-4AFE42EC2AA6}" name="Weekly Content 3" dataDxfId="109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70F3EDC-BBF5-489E-9F42-5224BBE1CD49}" name="Module_Hours" displayName="Module_Hours" ref="C18:D24" totalsRowShown="0">
  <autoFilter ref="C18:D24" xr:uid="{B71A3569-AA65-4A4E-98A2-885F5C38B46D}">
    <filterColumn colId="0" hiddenButton="1"/>
    <filterColumn colId="1" hiddenButton="1"/>
  </autoFilter>
  <tableColumns count="2">
    <tableColumn id="1" xr3:uid="{CF6425D2-EB8D-46CC-B2D7-B49E8963FCEB}" name="Component" dataDxfId="1094"/>
    <tableColumn id="2" xr3:uid="{BD9901A8-2A59-4CEC-ADF1-EDBA06D8EC9A}" name="Contact Hours" dataDxfId="10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AEAAA9F-CEFA-44C3-A54E-F2BA30C0D409}" name="Module_Mapping" displayName="Module_Mapping" ref="C45:F66" totalsRowShown="0" headerRowDxfId="1092" dataDxfId="1091">
  <autoFilter ref="C45:F66" xr:uid="{E0A841BB-B6D5-4048-B5F2-18CF9F502EBA}">
    <filterColumn colId="0" hiddenButton="1"/>
    <filterColumn colId="1" hiddenButton="1"/>
    <filterColumn colId="2" hiddenButton="1"/>
    <filterColumn colId="3" hiddenButton="1"/>
  </autoFilter>
  <tableColumns count="4">
    <tableColumn id="1" xr3:uid="{B7230EFB-0A7F-419F-81C2-C9BFFB988192}" name="Assessment No" dataDxfId="1090"/>
    <tableColumn id="2" xr3:uid="{7A675E84-DDDC-4998-99E6-205908A58F57}" name="LO Number" dataDxfId="1089"/>
    <tableColumn id="3" xr3:uid="{66CA6E22-8945-41E1-BB50-73156CC69517}" name="Graduate Skills Category" dataDxfId="1088"/>
    <tableColumn id="4" xr3:uid="{325393C6-2FBF-4ABB-8CB2-DF104C6AB43E}" name="Graduate Skill" dataDxfId="1087"/>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4BDA32-9DC2-4107-9CE7-44CBEB4C67B7}" name="Module_Aims" displayName="Module_Aims" ref="F6:F8" totalsRowShown="0" dataDxfId="1086">
  <autoFilter ref="F6:F8" xr:uid="{9552138F-2332-4BC4-A585-0E13162881A5}"/>
  <tableColumns count="1">
    <tableColumn id="1" xr3:uid="{67F975D0-E9AC-4452-A379-A1359EC2808C}" name="Aims" dataDxfId="1085"/>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EEE860E-45CA-47CA-BBA2-61D6A01BA1D6}" name="Module_Syllabus" displayName="Module_Syllabus" ref="F10:F13" totalsRowShown="0" dataDxfId="1084">
  <autoFilter ref="F10:F13" xr:uid="{94F18F67-3F10-4F6E-A953-4FE3399B07F2}"/>
  <tableColumns count="1">
    <tableColumn id="1" xr3:uid="{BFF28868-E7E3-4275-B13E-588F6503F19C}" name="Outline Syllabus" dataDxfId="1083"/>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435E393-57B9-4F17-94C3-35EA9CC21840}" name="Module_Overview" displayName="Module_Overview" ref="F15:F20" totalsRowShown="0" dataDxfId="1082">
  <autoFilter ref="F15:F20" xr:uid="{1B2BCD7B-6C15-4B1C-86BC-48FF83D8F225}"/>
  <tableColumns count="1">
    <tableColumn id="1" xr3:uid="{AD6B21BA-8875-45A9-8932-F4F0FB08A980}" name="Module Overview" dataDxfId="1081"/>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9DD1CC4-8FCD-4438-91A2-90693EC04391}" name="Module_Notes" displayName="Module_Notes" ref="F22:F33" totalsRowShown="0" dataDxfId="1080">
  <autoFilter ref="F22:F33" xr:uid="{D5968C0A-6D7E-4221-87EE-78A85A4039B3}"/>
  <tableColumns count="1">
    <tableColumn id="1" xr3:uid="{91D0B8DA-30D1-4338-88D9-5A2355C1DF22}" name="Additional Information/Notes" dataDxfId="1079"/>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17E94F5D-87D3-4DF8-986C-B28A1AFAD773}" name="4101SPS_Meta" displayName="_4101SPS_Meta" ref="C6:D14" totalsRowShown="0" headerRowDxfId="1078" dataDxfId="1077">
  <autoFilter ref="C6:D14" xr:uid="{CD75D2A7-14B1-4ABD-B64D-6E875F9BC652}">
    <filterColumn colId="0" hiddenButton="1"/>
    <filterColumn colId="1" hiddenButton="1"/>
  </autoFilter>
  <tableColumns count="2">
    <tableColumn id="1" xr3:uid="{DC5E8FB2-F1EF-4C76-ADAD-8DF1D4236058}" name="Module Data" dataDxfId="1076"/>
    <tableColumn id="2" xr3:uid="{3CEC4644-C90E-484A-BB04-BC7E2522484B}" name="Details" dataDxfId="1075"/>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9E236EF1-A2F6-44EA-9CD3-686F2C6247E0}" name="4101SPS_LO" displayName="_4101SPS_LO" ref="C28:D33" totalsRowShown="0" headerRowDxfId="1074" dataDxfId="1073">
  <autoFilter ref="C28:D33" xr:uid="{22316987-6BEB-4FAF-9619-BF9BE9909CFA}">
    <filterColumn colId="0" hiddenButton="1"/>
    <filterColumn colId="1" hiddenButton="1"/>
  </autoFilter>
  <tableColumns count="2">
    <tableColumn id="1" xr3:uid="{96E1C0A4-F310-4104-877A-16C95A9DF8F8}" name="LO Number" dataDxfId="1072"/>
    <tableColumn id="2" xr3:uid="{5193B932-1BB4-4665-BB60-1094CB27D2FB}" name="LO Description" dataDxfId="107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8FFE59E6-A839-4DF2-B28B-BA390FAAC7FF}" name="4101SPS_Assess" displayName="_4101SPS_Assess" ref="C37:H41" totalsRowShown="0" headerRowDxfId="1070" dataDxfId="106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0154566D-F16C-483F-9906-53214A1163EC}" name="Assessment No" dataDxfId="1068"/>
    <tableColumn id="2" xr3:uid="{F6CC8F23-24C9-49E1-A7E1-F0C42C5E4062}" name="Assessment Type" dataDxfId="1067"/>
    <tableColumn id="7" xr3:uid="{23445359-B102-481A-9626-644EC1147971}" name="Assessment Specific" dataDxfId="1066"/>
    <tableColumn id="3" xr3:uid="{09F68760-DB1D-47DA-9C3B-991E85819122}" name="Assessment Description" dataDxfId="1065"/>
    <tableColumn id="4" xr3:uid="{9C4EFAF0-0549-4906-AB40-C8046612A4D0}" name="Weighting" dataDxfId="1064"/>
    <tableColumn id="5" xr3:uid="{6867F2EF-8B96-4C7F-A3F0-4AD115D6B611}" name="Due Week" dataDxfId="1063"/>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563A272D-E3F6-4799-9E67-4B36BC407350}" name="4101SPS_Weekly" displayName="_4101SPS_Weekly" ref="B70:F94" totalsRowShown="0" headerRowDxfId="1062" dataDxfId="106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B0408B6-1C06-4309-B9B2-E387A6531EBC}" name="Semester " dataDxfId="1060"/>
    <tableColumn id="2" xr3:uid="{3DC0D0B8-ED93-4FAA-ACD1-6A257B8D7D8B}" name="Week Number" dataDxfId="1059"/>
    <tableColumn id="3" xr3:uid="{396A1CD9-0EA8-4576-AC19-41A37C40C78C}" name="Weekly Content 1" dataDxfId="1058"/>
    <tableColumn id="4" xr3:uid="{27E6FFD2-4BB2-4380-B643-929F8059E10C}" name="Weekly Content 2" dataDxfId="1057"/>
    <tableColumn id="5" xr3:uid="{5D410880-EC3B-476E-B727-61773B3F1720}" name="Weekly Content 3" dataDxfId="1056"/>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2034533F-3C96-4BBB-B91F-96B2BF107FF6}" name="4101SPS_Hours" displayName="_4101SPS_Hours" ref="C18:D24" totalsRowShown="0" headerRowDxfId="1055" dataDxfId="1054">
  <autoFilter ref="C18:D24" xr:uid="{B71A3569-AA65-4A4E-98A2-885F5C38B46D}">
    <filterColumn colId="0" hiddenButton="1"/>
    <filterColumn colId="1" hiddenButton="1"/>
  </autoFilter>
  <tableColumns count="2">
    <tableColumn id="1" xr3:uid="{50ADF208-83C1-48D5-9F5C-65E697F266B7}" name="Component" dataDxfId="1053"/>
    <tableColumn id="2" xr3:uid="{1EADC3A3-1557-4323-A40A-C84AEA0F188A}" name="Contact Hours" dataDxfId="105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5BB88119-4CEC-4B9F-9734-616397E661D4}" name="4101SPS_Mapping" displayName="_4101SPS_Mapping" ref="C45:F66" totalsRowShown="0" headerRowDxfId="1051" dataDxfId="1050">
  <autoFilter ref="C45:F66" xr:uid="{E0A841BB-B6D5-4048-B5F2-18CF9F502EBA}">
    <filterColumn colId="0" hiddenButton="1"/>
    <filterColumn colId="1" hiddenButton="1"/>
    <filterColumn colId="2" hiddenButton="1"/>
    <filterColumn colId="3" hiddenButton="1"/>
  </autoFilter>
  <tableColumns count="4">
    <tableColumn id="1" xr3:uid="{4F176BC0-31BF-4358-B856-EFBB6BB7AAB0}" name="Assessment No" dataDxfId="1049"/>
    <tableColumn id="2" xr3:uid="{162D175A-F572-46B3-8399-9FF334864C28}" name="LO Number" dataDxfId="1048"/>
    <tableColumn id="3" xr3:uid="{4B8F87D6-8076-4256-870F-FFB0D542729A}" name="Graduate Skills Category" dataDxfId="1047"/>
    <tableColumn id="4" xr3:uid="{3DB5254F-E5B1-45EA-B3FC-772579673F08}" name="Graduate Skill" dataDxfId="1046"/>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66D0C022-EFBE-4464-91FC-F436D7DFB43A}" name="4101SPS_Aims" displayName="_4101SPS_Aims" ref="F6:F8" totalsRowShown="0" headerRowDxfId="1045" dataDxfId="1044">
  <autoFilter ref="F6:F8" xr:uid="{9552138F-2332-4BC4-A585-0E13162881A5}"/>
  <tableColumns count="1">
    <tableColumn id="1" xr3:uid="{D5911F00-3A12-4884-94FA-2461F2E6A773}" name="Aims" dataDxfId="1043"/>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5F89D8F4-40FF-4A85-91D9-660D46503FEA}" name="4101SPS_Syllabus" displayName="_4101SPS_Syllabus" ref="F10:F13" totalsRowShown="0" headerRowDxfId="1042" dataDxfId="1041">
  <autoFilter ref="F10:F13" xr:uid="{94F18F67-3F10-4F6E-A953-4FE3399B07F2}"/>
  <tableColumns count="1">
    <tableColumn id="1" xr3:uid="{1984609B-7A7C-44AA-A114-5466EF451351}" name="Outline Syllabus" dataDxfId="1040"/>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CE8D45C-F32D-403F-87CE-50D315C2F149}" name="4101SPS_Overview" displayName="_4101SPS_Overview" ref="F15:F20" totalsRowShown="0" headerRowDxfId="1039" dataDxfId="1038">
  <autoFilter ref="F15:F20" xr:uid="{1B2BCD7B-6C15-4B1C-86BC-48FF83D8F225}"/>
  <tableColumns count="1">
    <tableColumn id="1" xr3:uid="{19A46962-3EFC-4EE2-ACCE-5363E30EDC4F}" name="Module Overview" dataDxfId="1037"/>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9A33D543-C10F-446B-A3DE-E3B66E260D5A}" name="4101SPS_Notes" displayName="_4101SPS_Notes" ref="F22:F33" totalsRowShown="0" headerRowDxfId="1036" dataDxfId="1035">
  <autoFilter ref="F22:F33" xr:uid="{D5968C0A-6D7E-4221-87EE-78A85A4039B3}"/>
  <tableColumns count="1">
    <tableColumn id="1" xr3:uid="{EEDA3204-13C4-4B95-A550-B650C09B689D}" name="Additional Information/Notes" dataDxfId="1034"/>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6C4896-A2E4-423D-8E90-EB5A2AB3245B}" name="4091SPS_Meta" displayName="_4091SPS_Meta" ref="C6:D14" totalsRowShown="0" headerRowDxfId="1156" dataDxfId="1155">
  <autoFilter ref="C6:D14" xr:uid="{CD75D2A7-14B1-4ABD-B64D-6E875F9BC652}">
    <filterColumn colId="0" hiddenButton="1"/>
    <filterColumn colId="1" hiddenButton="1"/>
  </autoFilter>
  <tableColumns count="2">
    <tableColumn id="1" xr3:uid="{5CAE6DCC-0B4E-4410-BC17-0966ECA43772}" name="Module Data" dataDxfId="1154"/>
    <tableColumn id="2" xr3:uid="{970E26A5-A7F4-4321-B82B-D13FE1144137}" name="Details" dataDxfId="1153"/>
  </tableColumns>
  <tableStyleInfo name="TableStyleMedium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492619-E6E6-43FB-A784-44619DDE64D8}" name="4091SPS_LO" displayName="_4091SPS_LO" ref="C28:D33" totalsRowShown="0" headerRowDxfId="1152" dataDxfId="1151">
  <autoFilter ref="C28:D33" xr:uid="{22316987-6BEB-4FAF-9619-BF9BE9909CFA}">
    <filterColumn colId="0" hiddenButton="1"/>
    <filterColumn colId="1" hiddenButton="1"/>
  </autoFilter>
  <tableColumns count="2">
    <tableColumn id="1" xr3:uid="{0A11F82C-9CC6-4514-8C9C-A57873EAD2B2}" name="LO Number" dataDxfId="1150"/>
    <tableColumn id="2" xr3:uid="{F31332DF-C392-41DF-953C-3A3C50595C13}" name="LO Description" dataDxfId="1149"/>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14B2934-6843-4DAA-9409-7B27337223D4}" name="4091SPS_Assess" displayName="_4091SPS_Assess" ref="C37:H41" totalsRowShown="0" headerRowDxfId="1148" dataDxfId="1147">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A4325A3F-13DE-4FB0-8F03-817E79ACEBCC}" name="Assessment No" dataDxfId="1146"/>
    <tableColumn id="2" xr3:uid="{6EDF5DE8-6C8F-4C2D-A6DF-AC6BEF22BC64}" name="Assessment Type" dataDxfId="1145"/>
    <tableColumn id="7" xr3:uid="{AA3B32F1-6075-4714-A6BA-9731314D07D0}" name="Assessment Specific" dataDxfId="1144"/>
    <tableColumn id="3" xr3:uid="{8E3A26D1-F578-415A-B678-167984B814DB}" name="Assessment Description" dataDxfId="1143"/>
    <tableColumn id="4" xr3:uid="{9E6C966A-5630-4D4C-9627-7591122D0259}" name="Weighting" dataDxfId="1142"/>
    <tableColumn id="5" xr3:uid="{C9B05E13-38F4-4E03-B0D3-D0EE3F95EB2B}" name="Due Week" dataDxfId="1141"/>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DC7DF7E-3F13-43A7-BE1F-79B23F5E013B}" name="4091SPS_Weekly" displayName="_4091SPS_Weekly" ref="B61:F85" totalsRowShown="0" headerRowDxfId="1140" dataDxfId="1139">
  <autoFilter ref="B61:F85" xr:uid="{3A41AF80-1AD3-44F6-93D1-6C4A16CCF943}">
    <filterColumn colId="0" hiddenButton="1"/>
    <filterColumn colId="1" hiddenButton="1"/>
    <filterColumn colId="2" hiddenButton="1"/>
    <filterColumn colId="3" hiddenButton="1"/>
    <filterColumn colId="4" hiddenButton="1"/>
  </autoFilter>
  <tableColumns count="5">
    <tableColumn id="1" xr3:uid="{901447A2-AD62-4BA6-B372-760C4E77E787}" name="Semester " dataDxfId="1138"/>
    <tableColumn id="2" xr3:uid="{FD7D723C-B230-47EC-A26D-C7473B04B404}" name="Week Number" dataDxfId="1137"/>
    <tableColumn id="3" xr3:uid="{D9C76432-1B48-453C-894F-F7D3D2065F07}" name="Weekly Content 1" dataDxfId="1136"/>
    <tableColumn id="4" xr3:uid="{D09AF3FF-5DB0-4227-A133-D20512EFAC6D}" name="Weekly Content 2" dataDxfId="1135"/>
    <tableColumn id="5" xr3:uid="{FA0AC2DC-5772-4DA1-A019-C97829960860}" name="Weekly Content 3" dataDxfId="1134"/>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B1BBEE2-212D-4512-BC80-E7FE68691DAA}" name="4091SPS_Hours" displayName="_4091SPS_Hours" ref="C18:D24" totalsRowShown="0" headerRowDxfId="1133" dataDxfId="1132">
  <autoFilter ref="C18:D24" xr:uid="{B71A3569-AA65-4A4E-98A2-885F5C38B46D}">
    <filterColumn colId="0" hiddenButton="1"/>
    <filterColumn colId="1" hiddenButton="1"/>
  </autoFilter>
  <tableColumns count="2">
    <tableColumn id="1" xr3:uid="{6802FBB4-907A-473D-8B88-8D88B0EEC271}" name="Component" dataDxfId="1131"/>
    <tableColumn id="2" xr3:uid="{3E9DF78E-6E77-4BE5-A314-09B570297DA8}" name="Contact Hours" dataDxfId="1130"/>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F10E51D-FB34-4798-B43F-9197E91048A2}" name="4091SPS_Mapping" displayName="_4091SPS_Mapping" ref="C45:F57" totalsRowShown="0" headerRowDxfId="1129" dataDxfId="1128">
  <autoFilter ref="C45:F57" xr:uid="{E0A841BB-B6D5-4048-B5F2-18CF9F502EBA}">
    <filterColumn colId="0" hiddenButton="1"/>
    <filterColumn colId="1" hiddenButton="1"/>
    <filterColumn colId="2" hiddenButton="1"/>
    <filterColumn colId="3" hiddenButton="1"/>
  </autoFilter>
  <tableColumns count="4">
    <tableColumn id="1" xr3:uid="{9B8D8B0F-B618-4B6D-A024-13D81EA1B6A8}" name="Assessment No" dataDxfId="1127"/>
    <tableColumn id="2" xr3:uid="{D23DD564-B79B-4904-9554-72695B80AD45}" name="LO Number" dataDxfId="1126"/>
    <tableColumn id="3" xr3:uid="{88C32D0A-874A-468F-A832-EEE52A351A07}" name="Graduate Skills Category" dataDxfId="1125"/>
    <tableColumn id="4" xr3:uid="{1E14291E-5A6F-43C1-A360-D9FFACA1968A}" name="Graduate Skill" dataDxfId="1124"/>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42F5B4C-7A89-4693-8B50-CE2823EB4531}" name="4091SPS_Aims" displayName="_4091SPS_Aims" ref="F6:F8" totalsRowShown="0" headerRowDxfId="1123" dataDxfId="1122">
  <autoFilter ref="F6:F8" xr:uid="{9552138F-2332-4BC4-A585-0E13162881A5}"/>
  <tableColumns count="1">
    <tableColumn id="1" xr3:uid="{9FEDC839-8D77-4978-9FAB-CCC1EFD3F9DD}" name="Aims" dataDxfId="1121"/>
  </tableColumns>
  <tableStyleInfo name="TableStyleMedium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6EE4159-81BE-4657-8E77-92CD77507775}" name="4091SPS_Syllabus" displayName="_4091SPS_Syllabus" ref="F10:F13" totalsRowShown="0" headerRowDxfId="1120" dataDxfId="1119">
  <autoFilter ref="F10:F13" xr:uid="{94F18F67-3F10-4F6E-A953-4FE3399B07F2}"/>
  <tableColumns count="1">
    <tableColumn id="1" xr3:uid="{3FF080E0-4BCF-4535-9268-5A1BB69C31D2}" name="Outline Syllabus" dataDxfId="1118"/>
  </tableColumns>
  <tableStyleInfo name="TableStyleMedium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00EC6A0-21E5-4A73-BB76-F2D1CC9A53CF}" name="4091SPS_Overview" displayName="_4091SPS_Overview" ref="F15:F20" totalsRowShown="0" headerRowDxfId="1117" dataDxfId="1116">
  <autoFilter ref="F15:F20" xr:uid="{1B2BCD7B-6C15-4B1C-86BC-48FF83D8F225}"/>
  <tableColumns count="1">
    <tableColumn id="1" xr3:uid="{1EA79F76-A3E4-477D-AF9C-12FAD11B790E}" name="Module Overview" dataDxfId="1115"/>
  </tableColumns>
  <tableStyleInfo name="TableStyleMedium6"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D53F410-3C16-49E4-9950-96B40C17C239}" name="4091SPS_Notes" displayName="_4091SPS_Notes" ref="F22:F33" totalsRowShown="0" headerRowDxfId="1114" dataDxfId="1113">
  <autoFilter ref="F22:F33" xr:uid="{D5968C0A-6D7E-4221-87EE-78A85A4039B3}"/>
  <tableColumns count="1">
    <tableColumn id="1" xr3:uid="{31D7E7BF-E4C9-4356-AB1C-2456C826DF1D}" name="Additional Information/Notes" dataDxfId="1112"/>
  </tableColumns>
  <tableStyleInfo name="TableStyleMedium6"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4" xr:uid="{28372338-2E37-4191-80AB-7CDEB7097C85}" name="4092SPS_Meta" displayName="_4092SPS_Meta" ref="C6:D14" totalsRowShown="0" headerRowDxfId="1033" dataDxfId="1032">
  <autoFilter ref="C6:D14" xr:uid="{CD75D2A7-14B1-4ABD-B64D-6E875F9BC652}">
    <filterColumn colId="0" hiddenButton="1"/>
    <filterColumn colId="1" hiddenButton="1"/>
  </autoFilter>
  <tableColumns count="2">
    <tableColumn id="1" xr3:uid="{C794C41A-B3D4-4E3F-B5FB-FA944F9B274E}" name="Module Data" dataDxfId="1031"/>
    <tableColumn id="2" xr3:uid="{E49520ED-A919-4952-A8A6-55CE0CAA2CD7}" name="Details" dataDxfId="1030"/>
  </tableColumns>
  <tableStyleInfo name="TableStyleMedium6"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5" xr:uid="{62048854-D31A-43BA-A061-6227835FFFFB}" name="4092SPS_LO" displayName="_4092SPS_LO" ref="C28:D33" totalsRowShown="0" headerRowDxfId="1029" dataDxfId="1028">
  <autoFilter ref="C28:D33" xr:uid="{22316987-6BEB-4FAF-9619-BF9BE9909CFA}">
    <filterColumn colId="0" hiddenButton="1"/>
    <filterColumn colId="1" hiddenButton="1"/>
  </autoFilter>
  <tableColumns count="2">
    <tableColumn id="1" xr3:uid="{80C0D1F0-F1A8-4430-808B-47BCEEF20CE4}" name="LO Number" dataDxfId="1027"/>
    <tableColumn id="2" xr3:uid="{18D491B4-A69E-4F4C-B75D-F831CDDE9B61}" name="LO Description" dataDxfId="102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6" xr:uid="{E62F148C-32C1-4823-8551-4E62CBC93400}" name="4092SPS_Assess" displayName="_4092SPS_Assess" ref="C37:H41" totalsRowShown="0" headerRowDxfId="1025" dataDxfId="102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E670D0D0-8BA0-4284-A342-868A64B5C97B}" name="Assessment No" dataDxfId="1023"/>
    <tableColumn id="2" xr3:uid="{303588A5-09EF-4283-9F8D-0F1977EB4446}" name="Assessment Type" dataDxfId="1022"/>
    <tableColumn id="7" xr3:uid="{38DE938A-79BC-4F55-9B11-8E225C93CFBC}" name="Assessment Specific" dataDxfId="1021"/>
    <tableColumn id="3" xr3:uid="{09C8715D-B38A-42DD-AD3B-162E48F08BB1}" name="Assessment Description" dataDxfId="1020"/>
    <tableColumn id="4" xr3:uid="{5F982B10-F8BC-4F37-9652-E995FCBDCC5C}" name="Weighting" dataDxfId="1019"/>
    <tableColumn id="5" xr3:uid="{23DBA92E-BC2A-45A7-9C8F-206778783AC7}" name="Due Week" dataDxfId="1018"/>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7" xr:uid="{2BCBD85E-E61A-45D7-B351-DA973823C825}" name="4092SPS_Weekly" displayName="_4092SPS_Weekly" ref="B70:F94" totalsRowShown="0" headerRowDxfId="1017" dataDxfId="1016">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2B9E3293-90E7-4154-BA1A-31C1207E8B9A}" name="Semester " dataDxfId="1015"/>
    <tableColumn id="2" xr3:uid="{DB652FCB-2B91-445C-9704-199CE040B8F2}" name="Week Number" dataDxfId="1014"/>
    <tableColumn id="3" xr3:uid="{D97A9609-D887-4F4A-AD6D-4D81CFB13BF4}" name="Weekly Content 1" dataDxfId="1013"/>
    <tableColumn id="4" xr3:uid="{BA12CC17-6A24-48D2-96FA-AE4A6A326331}" name="Weekly Content 2" dataDxfId="1012"/>
    <tableColumn id="5" xr3:uid="{E745714E-A74C-41FD-998E-D63BB2086608}" name="Weekly Content 3" dataDxfId="1011"/>
  </tableColumns>
  <tableStyleInfo name="TableStyleMedium4"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8" xr:uid="{947C7909-EA40-4340-B6C7-193437AE54F2}" name="4092SPS_Hours" displayName="_4092SPS_Hours" ref="C18:D24" totalsRowShown="0" headerRowDxfId="1010" dataDxfId="1009">
  <autoFilter ref="C18:D24" xr:uid="{B71A3569-AA65-4A4E-98A2-885F5C38B46D}">
    <filterColumn colId="0" hiddenButton="1"/>
    <filterColumn colId="1" hiddenButton="1"/>
  </autoFilter>
  <tableColumns count="2">
    <tableColumn id="1" xr3:uid="{F5B85481-760E-46D7-B7FD-F25114B32834}" name="Component" dataDxfId="1008"/>
    <tableColumn id="2" xr3:uid="{F11A4515-4BF8-45E6-A01E-E4B979E5F657}" name="Contact Hours" dataDxfId="1007"/>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A1BFC9D3-5A8B-468D-B809-548205A5EBD2}" name="4092SPS_Mapping" displayName="_4092SPS_Mapping" ref="C45:F66" totalsRowShown="0" headerRowDxfId="1006" dataDxfId="1005">
  <autoFilter ref="C45:F66" xr:uid="{E0A841BB-B6D5-4048-B5F2-18CF9F502EBA}">
    <filterColumn colId="0" hiddenButton="1"/>
    <filterColumn colId="1" hiddenButton="1"/>
    <filterColumn colId="2" hiddenButton="1"/>
    <filterColumn colId="3" hiddenButton="1"/>
  </autoFilter>
  <tableColumns count="4">
    <tableColumn id="1" xr3:uid="{E77E9759-ABCD-4319-87F6-DB7A694E6AD1}" name="Assessment No" dataDxfId="1004"/>
    <tableColumn id="2" xr3:uid="{83283E9D-E72D-4033-AEEC-CD3908E140C0}" name="LO Number" dataDxfId="1003"/>
    <tableColumn id="3" xr3:uid="{41E9FCD1-0B07-4E05-AC6A-E51D0FEBF769}" name="Graduate Skills Category" dataDxfId="1002"/>
    <tableColumn id="4" xr3:uid="{5E9350FF-E07F-4FD3-87B6-CD11C2FE35F0}" name="Graduate Skill" dataDxfId="1001"/>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0" xr:uid="{A309254B-0329-4E26-82FD-04396CECAA92}" name="4092SPS_Aims" displayName="_4092SPS_Aims" ref="F6:F8" totalsRowShown="0" headerRowDxfId="1000" dataDxfId="999">
  <autoFilter ref="F6:F8" xr:uid="{9552138F-2332-4BC4-A585-0E13162881A5}"/>
  <tableColumns count="1">
    <tableColumn id="1" xr3:uid="{9E01E8B7-2D84-4DC8-9BC2-41B080983931}" name="Aims" dataDxfId="998"/>
  </tableColumns>
  <tableStyleInfo name="TableStyleMedium6"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1" xr:uid="{FA1F02C6-79F7-461C-95EF-812C63A653E6}" name="4092SPS_Syllabus" displayName="_4092SPS_Syllabus" ref="F10:F13" totalsRowShown="0" headerRowDxfId="997" dataDxfId="996">
  <autoFilter ref="F10:F13" xr:uid="{94F18F67-3F10-4F6E-A953-4FE3399B07F2}"/>
  <tableColumns count="1">
    <tableColumn id="1" xr3:uid="{A9B5A855-86AA-4588-89FD-51A2545B2BB8}" name="Outline Syllabus" dataDxfId="995"/>
  </tableColumns>
  <tableStyleInfo name="TableStyleMedium6"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2" xr:uid="{0F30B56E-C191-41FD-8640-ADF8F59860D5}" name="4092SPS_Overview" displayName="_4092SPS_Overview" ref="F15:F20" totalsRowShown="0" headerRowDxfId="994" dataDxfId="993">
  <autoFilter ref="F15:F20" xr:uid="{1B2BCD7B-6C15-4B1C-86BC-48FF83D8F225}"/>
  <tableColumns count="1">
    <tableColumn id="1" xr3:uid="{ECDA9BFC-6E84-43FA-82B4-C3099170F9C1}" name="Module Overview" dataDxfId="992"/>
  </tableColumns>
  <tableStyleInfo name="TableStyleMedium6"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3" xr:uid="{1E22DC6B-4B6A-4E04-B552-B6DF48EDC3C9}" name="4092SPS_Notes" displayName="_4092SPS_Notes" ref="F22:F33" totalsRowShown="0" headerRowDxfId="991" dataDxfId="990">
  <autoFilter ref="F22:F33" xr:uid="{D5968C0A-6D7E-4221-87EE-78A85A4039B3}"/>
  <tableColumns count="1">
    <tableColumn id="1" xr3:uid="{4864C879-18E7-4489-BD28-43030BE0548E}" name="Additional Information/Notes" dataDxfId="989"/>
  </tableColumns>
  <tableStyleInfo name="TableStyleMedium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75083FE9-FEE8-4F27-B169-A64C8DDF0D6F}" name="4102SPS_Meta" displayName="_4102SPS_Meta" ref="C6:D14" totalsRowShown="0" headerRowDxfId="988" dataDxfId="987">
  <autoFilter ref="C6:D14" xr:uid="{CD75D2A7-14B1-4ABD-B64D-6E875F9BC652}">
    <filterColumn colId="0" hiddenButton="1"/>
    <filterColumn colId="1" hiddenButton="1"/>
  </autoFilter>
  <tableColumns count="2">
    <tableColumn id="1" xr3:uid="{70210DD7-8693-47F9-9121-A95800E8A890}" name="Module Data" dataDxfId="986"/>
    <tableColumn id="2" xr3:uid="{30CA9DF0-4D82-4AAC-B5A4-5E23096210E4}" name="Details" dataDxfId="985"/>
  </tableColumns>
  <tableStyleInfo name="TableStyleMedium6"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AF59724A-3670-4399-BA93-39FEA8D87F5A}" name="4102SPS_LO" displayName="_4102SPS_LO" ref="C28:D33" totalsRowShown="0" headerRowDxfId="984" dataDxfId="983">
  <autoFilter ref="C28:D33" xr:uid="{22316987-6BEB-4FAF-9619-BF9BE9909CFA}">
    <filterColumn colId="0" hiddenButton="1"/>
    <filterColumn colId="1" hiddenButton="1"/>
  </autoFilter>
  <tableColumns count="2">
    <tableColumn id="1" xr3:uid="{1ECDF0C7-AF26-464B-BCE9-2B009E72BD6C}" name="LO Number" dataDxfId="982"/>
    <tableColumn id="2" xr3:uid="{5D84BD32-1C18-49FB-8945-25164268A306}" name="LO Description" dataDxfId="98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A1E41A91-9FB7-4F18-A714-29B8ED4AB3ED}" name="4102SPS_Assess" displayName="_4102SPS_Assess" ref="C37:H41" totalsRowShown="0" headerRowDxfId="980" dataDxfId="97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74414914-53A5-4154-89A0-8C792B2D38F5}" name="Assessment No" dataDxfId="978"/>
    <tableColumn id="2" xr3:uid="{EBA9F26A-003A-4A21-92B3-3846A60685B4}" name="Assessment Type" dataDxfId="977"/>
    <tableColumn id="7" xr3:uid="{1FA35D8A-ADF2-474B-870B-830A4424621D}" name="Assessment Specific" dataDxfId="976"/>
    <tableColumn id="3" xr3:uid="{778C1D37-8633-48FE-8CDE-43AF7CFB80F6}" name="Assessment Description" dataDxfId="975"/>
    <tableColumn id="4" xr3:uid="{88DDF55E-0393-47ED-8B52-A643AB84C782}" name="Weighting" dataDxfId="974"/>
    <tableColumn id="5" xr3:uid="{6A573A22-F1F9-4642-BB99-12D366C6574B}" name="Due Week" dataDxfId="973"/>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085665BF-2A25-482A-81FF-D1BE0192FF28}" name="4102SPS_Weekly" displayName="_4102SPS_Weekly" ref="B70:F94" totalsRowShown="0" headerRowDxfId="972" dataDxfId="97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0982B878-AABF-4362-9EB5-1CED66D2FF3A}" name="Semester " dataDxfId="970"/>
    <tableColumn id="2" xr3:uid="{C17B4C7C-BC0A-4B70-9112-0207C120A6F5}" name="Week Number" dataDxfId="969"/>
    <tableColumn id="3" xr3:uid="{10BC0F5B-D1A3-4EC0-B433-70F0D238CC5A}" name="Weekly Content 1" dataDxfId="968"/>
    <tableColumn id="4" xr3:uid="{1CD2C705-EB74-4B5E-A0A5-A3E89451D6CA}" name="Weekly Content 2" dataDxfId="967"/>
    <tableColumn id="5" xr3:uid="{5D8725BC-5C35-40EE-8D33-26FB3EA6913F}" name="Weekly Content 3" dataDxfId="966"/>
  </tableColumns>
  <tableStyleInfo name="TableStyleMedium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05C059EB-680C-4DD3-B7B3-05C171F4FDD6}" name="4102SPS_Hours" displayName="_4102SPS_Hours" ref="C18:D24" totalsRowShown="0" headerRowDxfId="965" dataDxfId="964">
  <autoFilter ref="C18:D24" xr:uid="{B71A3569-AA65-4A4E-98A2-885F5C38B46D}">
    <filterColumn colId="0" hiddenButton="1"/>
    <filterColumn colId="1" hiddenButton="1"/>
  </autoFilter>
  <tableColumns count="2">
    <tableColumn id="1" xr3:uid="{D165B1FC-543F-4341-B2A0-C0EB1A44C20C}" name="Component" dataDxfId="963"/>
    <tableColumn id="2" xr3:uid="{2C358000-6828-4206-BBB3-6BA3D7B77570}" name="Contact Hours" dataDxfId="96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B5B9D10C-8A94-44FC-823D-6393365CD951}" name="4102SPS_Mapping" displayName="_4102SPS_Mapping" ref="C45:F66" totalsRowShown="0" headerRowDxfId="961" dataDxfId="960">
  <autoFilter ref="C45:F66" xr:uid="{E0A841BB-B6D5-4048-B5F2-18CF9F502EBA}">
    <filterColumn colId="0" hiddenButton="1"/>
    <filterColumn colId="1" hiddenButton="1"/>
    <filterColumn colId="2" hiddenButton="1"/>
    <filterColumn colId="3" hiddenButton="1"/>
  </autoFilter>
  <tableColumns count="4">
    <tableColumn id="1" xr3:uid="{7EB170E9-2FDD-4DCD-B519-E7F12E8D52C7}" name="Assessment No" dataDxfId="959"/>
    <tableColumn id="2" xr3:uid="{227EDB49-2E3A-4877-9C36-33C3F03CF48C}" name="LO Number" dataDxfId="958"/>
    <tableColumn id="3" xr3:uid="{715C2316-1A4A-491D-A809-299250606610}" name="Graduate Skills Category" dataDxfId="957"/>
    <tableColumn id="4" xr3:uid="{788AAA21-04C3-4566-B4BB-1857DF5CA6B2}" name="Graduate Skill" dataDxfId="956"/>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C8416254-915D-48C3-B376-7C389E90CD9D}" name="4102SPS_Aims" displayName="_4102SPS_Aims" ref="F6:F8" totalsRowShown="0" headerRowDxfId="955" dataDxfId="954">
  <autoFilter ref="F6:F8" xr:uid="{9552138F-2332-4BC4-A585-0E13162881A5}"/>
  <tableColumns count="1">
    <tableColumn id="1" xr3:uid="{D78B9EBB-342F-434D-8A09-59BFF176D758}" name="Aims" dataDxfId="953"/>
  </tableColumns>
  <tableStyleInfo name="TableStyleMedium6"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1" xr:uid="{665C7543-9A8F-45E3-94F9-FB56CA37B137}" name="4102SPS_Syllabus" displayName="_4102SPS_Syllabus" ref="F10:F13" totalsRowShown="0" headerRowDxfId="952" dataDxfId="951">
  <autoFilter ref="F10:F13" xr:uid="{94F18F67-3F10-4F6E-A953-4FE3399B07F2}"/>
  <tableColumns count="1">
    <tableColumn id="1" xr3:uid="{7007DC8B-FE79-4463-BAE3-44C537876FE8}" name="Outline Syllabus" dataDxfId="950"/>
  </tableColumns>
  <tableStyleInfo name="TableStyleMedium6"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2" xr:uid="{78676DAD-B831-40BA-9D1D-0DFD7B5CE7BC}" name="4102SPS_Overview" displayName="_4102SPS_Overview" ref="F15:F20" totalsRowShown="0" headerRowDxfId="949" dataDxfId="948">
  <autoFilter ref="F15:F20" xr:uid="{1B2BCD7B-6C15-4B1C-86BC-48FF83D8F225}"/>
  <tableColumns count="1">
    <tableColumn id="1" xr3:uid="{FCC1C58C-CF4D-476E-9721-41272F3EA00A}" name="Module Overview" dataDxfId="947"/>
  </tableColumns>
  <tableStyleInfo name="TableStyleMedium6"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3" xr:uid="{A1962770-F53C-43B4-8AF1-88F38EC66B1F}" name="4102SPS_Notes" displayName="_4102SPS_Notes" ref="F22:F33" totalsRowShown="0" headerRowDxfId="946" dataDxfId="945">
  <autoFilter ref="F22:F33" xr:uid="{D5968C0A-6D7E-4221-87EE-78A85A4039B3}"/>
  <tableColumns count="1">
    <tableColumn id="1" xr3:uid="{9ABE691D-D9E9-4EB5-9717-89C3D9579FFC}" name="Additional Information/Notes" dataDxfId="944"/>
  </tableColumns>
  <tableStyleInfo name="TableStyleMedium6"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E9FA17F3-8510-4713-9EFA-F81B9896C75F}" name="4094SPS_Meta" displayName="_4094SPS_Meta" ref="C6:D14" totalsRowShown="0" headerRowDxfId="943" dataDxfId="942">
  <autoFilter ref="C6:D14" xr:uid="{CD75D2A7-14B1-4ABD-B64D-6E875F9BC652}">
    <filterColumn colId="0" hiddenButton="1"/>
    <filterColumn colId="1" hiddenButton="1"/>
  </autoFilter>
  <tableColumns count="2">
    <tableColumn id="1" xr3:uid="{644E4444-F68A-4E74-BD5D-8748CD05A7D2}" name="Module Data" dataDxfId="941"/>
    <tableColumn id="2" xr3:uid="{AF6CCCE6-633B-4669-B570-EB4F893B50C4}" name="Details" dataDxfId="940"/>
  </tableColumns>
  <tableStyleInfo name="TableStyleMedium6"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A4EE75AE-77CE-4A68-A718-983DED4FF7A1}" name="4094SPS_LO" displayName="_4094SPS_LO" ref="C28:D33" totalsRowShown="0" headerRowDxfId="939" dataDxfId="938">
  <autoFilter ref="C28:D33" xr:uid="{22316987-6BEB-4FAF-9619-BF9BE9909CFA}">
    <filterColumn colId="0" hiddenButton="1"/>
    <filterColumn colId="1" hiddenButton="1"/>
  </autoFilter>
  <tableColumns count="2">
    <tableColumn id="1" xr3:uid="{589112ED-5C99-4CD7-912A-F216AEC245F3}" name="LO Number" dataDxfId="937"/>
    <tableColumn id="2" xr3:uid="{D42319CA-BEAF-49C8-8EC7-B45F24386E7A}" name="LO Description" dataDxfId="936"/>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CAE2B91-6BD8-4529-8B59-5DB7121B1D24}" name="4094SPS_Assess" displayName="_4094SPS_Assess" ref="C37:H41" totalsRowShown="0" headerRowDxfId="935" dataDxfId="93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FED30EF-9DFC-4FCF-9A98-B1395296BD26}" name="Assessment No" dataDxfId="933"/>
    <tableColumn id="2" xr3:uid="{0C168E40-BC62-40F7-8494-D9D585BBF5DD}" name="Assessment Type" dataDxfId="932"/>
    <tableColumn id="7" xr3:uid="{03042C7C-BE5A-4EDB-B18A-F162688CAFDA}" name="Assessment Specific" dataDxfId="931"/>
    <tableColumn id="3" xr3:uid="{B536E57C-91CB-491F-8850-5E1F4FFB6EC2}" name="Assessment Description" dataDxfId="930"/>
    <tableColumn id="4" xr3:uid="{CFEF4DCA-7026-4AB8-9930-965F672B21EC}" name="Weighting" dataDxfId="929"/>
    <tableColumn id="5" xr3:uid="{268A91DF-58B1-43BF-A340-0E1D33705BAA}" name="Due Week" dataDxfId="928"/>
  </tableColumns>
  <tableStyleInfo name="TableStyleMedium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FAFDD563-D76D-4667-B964-69DE19A2F370}" name="4094SPS_Weekly" displayName="_4094SPS_Weekly" ref="B81:F105" totalsRowShown="0" headerRowDxfId="927" dataDxfId="926">
  <autoFilter ref="B81:F105" xr:uid="{3A41AF80-1AD3-44F6-93D1-6C4A16CCF943}">
    <filterColumn colId="0" hiddenButton="1"/>
    <filterColumn colId="1" hiddenButton="1"/>
    <filterColumn colId="2" hiddenButton="1"/>
    <filterColumn colId="3" hiddenButton="1"/>
    <filterColumn colId="4" hiddenButton="1"/>
  </autoFilter>
  <tableColumns count="5">
    <tableColumn id="1" xr3:uid="{2EC0DE77-F537-4352-B465-CD91C72B6257}" name="Semester " dataDxfId="925"/>
    <tableColumn id="2" xr3:uid="{916AD303-2708-4E40-8E0C-DE9D347BA8EA}" name="Week Number" dataDxfId="924"/>
    <tableColumn id="3" xr3:uid="{66580F8A-FF82-4503-9EBF-1B44DD45F9F5}" name="Weekly Content 1" dataDxfId="923"/>
    <tableColumn id="4" xr3:uid="{5E6D35EA-634F-45B1-8A96-068CB99E3BA7}" name="Weekly Content 2" dataDxfId="922"/>
    <tableColumn id="5" xr3:uid="{25F8B45E-A68A-40F6-AADD-D3228D0F228B}" name="Weekly Content 3" dataDxfId="921"/>
  </tableColumns>
  <tableStyleInfo name="TableStyleMedium4"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02355DE-CDC7-4C13-A897-B84D0D96A8FC}" name="4094SPS_Hours" displayName="_4094SPS_Hours" ref="C18:D24" totalsRowShown="0" headerRowDxfId="920" dataDxfId="919">
  <autoFilter ref="C18:D24" xr:uid="{B71A3569-AA65-4A4E-98A2-885F5C38B46D}">
    <filterColumn colId="0" hiddenButton="1"/>
    <filterColumn colId="1" hiddenButton="1"/>
  </autoFilter>
  <tableColumns count="2">
    <tableColumn id="1" xr3:uid="{E6DA5AB3-0374-477C-BB37-91CD5B04A8A7}" name="Component" dataDxfId="918"/>
    <tableColumn id="2" xr3:uid="{25171EA2-F360-4480-9A69-30F0637E5E19}" name="Contact Hours" dataDxfId="917"/>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20E05B93-0CDB-4250-BCA8-9C03D039B5AA}" name="4094SPS_Mapping" displayName="_4094SPS_Mapping" ref="C45:F75" totalsRowShown="0" headerRowDxfId="916" dataDxfId="915">
  <autoFilter ref="C45:F75" xr:uid="{E0A841BB-B6D5-4048-B5F2-18CF9F502EBA}">
    <filterColumn colId="0" hiddenButton="1"/>
    <filterColumn colId="1" hiddenButton="1"/>
    <filterColumn colId="2" hiddenButton="1"/>
    <filterColumn colId="3" hiddenButton="1"/>
  </autoFilter>
  <tableColumns count="4">
    <tableColumn id="1" xr3:uid="{5D5BD11A-55EF-4A54-875D-6C3259B55C2B}" name="Assessment No" dataDxfId="914"/>
    <tableColumn id="2" xr3:uid="{220CCF7F-D01D-41B9-83FA-AB3772B56C47}" name="LO Number" dataDxfId="913"/>
    <tableColumn id="3" xr3:uid="{35876AFA-8C5D-4EB6-A40B-8013521A5A47}" name="Graduate Skills Category" dataDxfId="912"/>
    <tableColumn id="4" xr3:uid="{8CC8B0ED-B11D-43C6-AB11-C69764FE383C}" name="Graduate Skill" dataDxfId="911"/>
  </tableColumns>
  <tableStyleInfo name="TableStyleMedium3"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AD421795-C657-4B23-85A2-74B0174B165C}" name="4094SPS_Aims" displayName="_4094SPS_Aims" ref="F6:F8" totalsRowShown="0" headerRowDxfId="910" dataDxfId="909">
  <autoFilter ref="F6:F8" xr:uid="{9552138F-2332-4BC4-A585-0E13162881A5}"/>
  <tableColumns count="1">
    <tableColumn id="1" xr3:uid="{17C9A3A3-D0C1-421C-8D52-32617D054C2E}" name="Aims" dataDxfId="908"/>
  </tableColumns>
  <tableStyleInfo name="TableStyleMedium6"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4C708692-CFFF-4D84-88A9-BCE4B09138E0}" name="4094SPS_Syllabus" displayName="_4094SPS_Syllabus" ref="F10:F13" totalsRowShown="0" headerRowDxfId="907" dataDxfId="906">
  <autoFilter ref="F10:F13" xr:uid="{94F18F67-3F10-4F6E-A953-4FE3399B07F2}"/>
  <tableColumns count="1">
    <tableColumn id="1" xr3:uid="{D7FF23A0-D568-4D96-9868-A6319DCE887A}" name="Outline Syllabus" dataDxfId="905"/>
  </tableColumns>
  <tableStyleInfo name="TableStyleMedium6"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4CADD0E-07B9-4D59-8E61-01F39F116463}" name="4094SPS_Overview" displayName="_4094SPS_Overview" ref="F15:F20" totalsRowShown="0" headerRowDxfId="904" dataDxfId="903">
  <autoFilter ref="F15:F20" xr:uid="{1B2BCD7B-6C15-4B1C-86BC-48FF83D8F225}"/>
  <tableColumns count="1">
    <tableColumn id="1" xr3:uid="{E558D902-00D8-4FEB-8431-38F38D3FD8C5}" name="Module Overview" dataDxfId="902"/>
  </tableColumns>
  <tableStyleInfo name="TableStyleMedium6"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F1F5DED-CF26-4C92-A936-AD81E729AA08}" name="4094SPS_Notes" displayName="_4094SPS_Notes" ref="F22:F33" totalsRowShown="0" headerRowDxfId="901" dataDxfId="900">
  <autoFilter ref="F22:F33" xr:uid="{D5968C0A-6D7E-4221-87EE-78A85A4039B3}"/>
  <tableColumns count="1">
    <tableColumn id="1" xr3:uid="{C6EF2F48-EFDC-40BF-8A10-F2C80BC78705}" name="Additional Information/Notes" dataDxfId="899"/>
  </tableColumns>
  <tableStyleInfo name="TableStyleMedium6"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EA3E6E8-D502-4D0D-BF9C-D667FFA58F64}" name="5091SPS_Meta" displayName="_5091SPS_Meta" ref="C6:D14" totalsRowShown="0" headerRowDxfId="898" dataDxfId="897">
  <autoFilter ref="C6:D14" xr:uid="{CD75D2A7-14B1-4ABD-B64D-6E875F9BC652}">
    <filterColumn colId="0" hiddenButton="1"/>
    <filterColumn colId="1" hiddenButton="1"/>
  </autoFilter>
  <tableColumns count="2">
    <tableColumn id="1" xr3:uid="{EB65BA05-1DE9-4FD7-BDBD-BDE47DF298A4}" name="Module Data" dataDxfId="896"/>
    <tableColumn id="2" xr3:uid="{310F2A93-D88D-4CC8-AC0C-C016B97380F6}" name="Details" dataDxfId="895"/>
  </tableColumns>
  <tableStyleInfo name="TableStyleMedium6"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39A1AF-3082-4708-961D-482478CCC574}" name="5091SPS_LO" displayName="_5091SPS_LO" ref="C28:D33" totalsRowShown="0" headerRowDxfId="894" dataDxfId="893">
  <autoFilter ref="C28:D33" xr:uid="{22316987-6BEB-4FAF-9619-BF9BE9909CFA}">
    <filterColumn colId="0" hiddenButton="1"/>
    <filterColumn colId="1" hiddenButton="1"/>
  </autoFilter>
  <tableColumns count="2">
    <tableColumn id="1" xr3:uid="{2DA2E0DF-8487-4F48-AD57-6C8EF1F6A824}" name="LO Number" dataDxfId="892"/>
    <tableColumn id="2" xr3:uid="{5F671E3D-DB5F-4A86-A8E8-215D497F640F}" name="LO Description" dataDxfId="891"/>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623DB9F-1EDE-4183-9D4D-11543678EACB}" name="5091SPS_Assess" displayName="_5091SPS_Assess" ref="C37:H41" totalsRowShown="0" headerRowDxfId="890" dataDxfId="88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786E370-A6E2-472B-A06D-0B294D362273}" name="Assessment No" dataDxfId="888"/>
    <tableColumn id="2" xr3:uid="{99037CEE-E227-4DE7-AC0C-42C69784F090}" name="Assessment Type" dataDxfId="887"/>
    <tableColumn id="7" xr3:uid="{EE90A0B1-86AF-42EC-AB37-5E98D709E3E4}" name="Assessment Specific" dataDxfId="886"/>
    <tableColumn id="3" xr3:uid="{8B0C1721-2FDC-4C1A-AECE-975C6F1434A1}" name="Assessment Description" dataDxfId="885"/>
    <tableColumn id="4" xr3:uid="{876D72EC-520F-497B-8AC7-6AF0A5409783}" name="Weighting" dataDxfId="884"/>
    <tableColumn id="5" xr3:uid="{31A1A910-0DF5-428E-806F-6E026C606C3B}" name="Due Week" dataDxfId="883"/>
  </tableColumns>
  <tableStyleInfo name="TableStyleMedium3"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82A5281-A689-4EDE-A4B7-B6DB624A199D}" name="5091SPS_Weekly" displayName="_5091SPS_Weekly" ref="B70:F94" totalsRowShown="0" headerRowDxfId="882" dataDxfId="88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F8C77D5A-A698-44A7-A4E3-08630D8FD36A}" name="Semester " dataDxfId="880"/>
    <tableColumn id="2" xr3:uid="{8C49AFEC-B460-42E3-B373-FC0AB260F379}" name="Week Number" dataDxfId="879"/>
    <tableColumn id="3" xr3:uid="{A81B53B3-7EE2-4FDF-9110-0A8C17CA27E0}" name="Weekly Content 1" dataDxfId="878"/>
    <tableColumn id="4" xr3:uid="{362C63E5-C442-416C-9DB4-4F34D3EDDEF3}" name="Weekly Content 2" dataDxfId="877"/>
    <tableColumn id="5" xr3:uid="{E3C14089-4743-4CA8-9480-E777866BAF64}" name="Weekly Content 3" dataDxfId="876"/>
  </tableColumns>
  <tableStyleInfo name="TableStyleMedium4"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A22E3FD-B14A-4F02-81BF-8A73E0C5EEDF}" name="5091SPS_Hours" displayName="_5091SPS_Hours" ref="C18:D24" totalsRowShown="0" headerRowDxfId="875" dataDxfId="874">
  <autoFilter ref="C18:D24" xr:uid="{B71A3569-AA65-4A4E-98A2-885F5C38B46D}">
    <filterColumn colId="0" hiddenButton="1"/>
    <filterColumn colId="1" hiddenButton="1"/>
  </autoFilter>
  <tableColumns count="2">
    <tableColumn id="1" xr3:uid="{7C918E81-2521-4CC2-B784-37E43EEC3CDD}" name="Component" dataDxfId="873"/>
    <tableColumn id="2" xr3:uid="{0D2A69D7-E2F7-4C5C-8E4D-714C66054E76}" name="Contact Hours" dataDxfId="872"/>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4C3D2CC-2E44-415A-BEA6-F4BD775A21DB}" name="5091SPS_Mapping" displayName="_5091SPS_Mapping" ref="C45:F66" totalsRowShown="0" headerRowDxfId="871" dataDxfId="870">
  <autoFilter ref="C45:F66" xr:uid="{E0A841BB-B6D5-4048-B5F2-18CF9F502EBA}">
    <filterColumn colId="0" hiddenButton="1"/>
    <filterColumn colId="1" hiddenButton="1"/>
    <filterColumn colId="2" hiddenButton="1"/>
    <filterColumn colId="3" hiddenButton="1"/>
  </autoFilter>
  <tableColumns count="4">
    <tableColumn id="1" xr3:uid="{B6420078-6983-409A-AD6E-9EAEEF45A138}" name="Assessment No" dataDxfId="869"/>
    <tableColumn id="2" xr3:uid="{8D3D6147-F8A2-4D54-BC97-772B8CE44EA3}" name="LO Number" dataDxfId="868"/>
    <tableColumn id="3" xr3:uid="{C41D8ED0-797F-45E8-B847-5F5796F9B51E}" name="Graduate Skills Category" dataDxfId="867"/>
    <tableColumn id="4" xr3:uid="{28997C86-0364-497D-A258-1C7BA682BCAA}" name="Graduate Skill" dataDxfId="866"/>
  </tableColumns>
  <tableStyleInfo name="TableStyleMedium3"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41A0E6C-8F7D-4C35-BE99-1BB2D9E19D16}" name="5091SPS_Aims" displayName="_5091SPS_Aims" ref="F6:F8" totalsRowShown="0" headerRowDxfId="865" dataDxfId="864">
  <autoFilter ref="F6:F8" xr:uid="{9552138F-2332-4BC4-A585-0E13162881A5}"/>
  <tableColumns count="1">
    <tableColumn id="1" xr3:uid="{3E728AAA-21E1-43D6-98EC-781D610D5B5C}" name="Aims" dataDxfId="863"/>
  </tableColumns>
  <tableStyleInfo name="TableStyleMedium6"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2D0FC6B6-F450-489C-BD42-179CE6C51EC1}" name="5091SPS_Syllabus" displayName="_5091SPS_Syllabus" ref="F10:F13" totalsRowShown="0" headerRowDxfId="862" dataDxfId="861">
  <autoFilter ref="F10:F13" xr:uid="{94F18F67-3F10-4F6E-A953-4FE3399B07F2}"/>
  <tableColumns count="1">
    <tableColumn id="1" xr3:uid="{CAFF733E-EEBF-4C10-ACD1-A6DDCD33C63A}" name="Outline Syllabus" dataDxfId="860"/>
  </tableColumns>
  <tableStyleInfo name="TableStyleMedium6"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020DC6C-A05E-4992-9A02-B70D3B7661B7}" name="5091SPS_Overview" displayName="_5091SPS_Overview" ref="F15:F20" totalsRowShown="0" headerRowDxfId="859" dataDxfId="858">
  <autoFilter ref="F15:F20" xr:uid="{1B2BCD7B-6C15-4B1C-86BC-48FF83D8F225}"/>
  <tableColumns count="1">
    <tableColumn id="1" xr3:uid="{3D131B43-1A6C-42C4-B635-F81D00AEF103}" name="Module Overview" dataDxfId="857"/>
  </tableColumns>
  <tableStyleInfo name="TableStyleMedium6"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FB3A6D94-9FD0-4E5B-ABB7-29067964AA80}" name="5091SPS_Notes" displayName="_5091SPS_Notes" ref="F22:F33" totalsRowShown="0" headerRowDxfId="856" dataDxfId="855">
  <autoFilter ref="F22:F33" xr:uid="{D5968C0A-6D7E-4221-87EE-78A85A4039B3}"/>
  <tableColumns count="1">
    <tableColumn id="1" xr3:uid="{DBD01D3B-64A5-4A59-96FF-8858AB682507}" name="Additional Information/Notes" dataDxfId="854"/>
  </tableColumns>
  <tableStyleInfo name="TableStyleMedium6"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4D254B34-809D-4796-B53E-C3667C63A97A}" name="5101SPS_Meta" displayName="_5101SPS_Meta" ref="C6:D14" totalsRowShown="0" headerRowDxfId="853" dataDxfId="852">
  <autoFilter ref="C6:D14" xr:uid="{CD75D2A7-14B1-4ABD-B64D-6E875F9BC652}">
    <filterColumn colId="0" hiddenButton="1"/>
    <filterColumn colId="1" hiddenButton="1"/>
  </autoFilter>
  <tableColumns count="2">
    <tableColumn id="1" xr3:uid="{A93989B6-C5A6-451F-AE89-104E146E0EF0}" name="Module Data" dataDxfId="851"/>
    <tableColumn id="2" xr3:uid="{4717CF38-7FE1-4468-A6C2-052FB6958B0C}" name="Details" dataDxfId="850"/>
  </tableColumns>
  <tableStyleInfo name="TableStyleMedium6"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1A4B0E9-5E17-4D1C-A27E-0B18D60F1ED5}" name="5101SPS_LO" displayName="_5101SPS_LO" ref="C28:D33" totalsRowShown="0" headerRowDxfId="849" dataDxfId="848">
  <autoFilter ref="C28:D33" xr:uid="{22316987-6BEB-4FAF-9619-BF9BE9909CFA}">
    <filterColumn colId="0" hiddenButton="1"/>
    <filterColumn colId="1" hiddenButton="1"/>
  </autoFilter>
  <tableColumns count="2">
    <tableColumn id="1" xr3:uid="{6330B93C-1643-4FCC-A51A-A60DFF28F508}" name="LO Number" dataDxfId="847"/>
    <tableColumn id="2" xr3:uid="{B8FEEBD8-E561-4EC1-821D-0E8D81AFB843}" name="LO Description" dataDxfId="846"/>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BD8AC3DD-85DB-4039-839A-A666445858AB}" name="5101SPS_Assess" displayName="_5101SPS_Assess" ref="C37:H41" totalsRowShown="0" headerRowDxfId="845" dataDxfId="84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5BC93529-97A7-42F5-81F2-8C4BA7B2B093}" name="Assessment No" dataDxfId="843"/>
    <tableColumn id="2" xr3:uid="{37DDB860-944C-49CE-BBAB-4C9965368CC2}" name="Assessment Type" dataDxfId="842"/>
    <tableColumn id="7" xr3:uid="{ED861CB4-2B63-4253-B5BE-DE88E4F73F2E}" name="Assessment Specific" dataDxfId="841"/>
    <tableColumn id="3" xr3:uid="{1DCB063F-9FB2-4041-BF76-A84A3B5663BB}" name="Assessment Description" dataDxfId="840"/>
    <tableColumn id="4" xr3:uid="{26C6EB23-C381-45B7-BCF2-AAF849B39CB2}" name="Weighting" dataDxfId="839"/>
    <tableColumn id="5" xr3:uid="{9E9E73E0-F346-4712-A521-E6CBD773E6DC}" name="Due Week" dataDxfId="838"/>
  </tableColumns>
  <tableStyleInfo name="TableStyleMedium3"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72C8C0C-B492-42EC-B8CF-8C6BB1826E54}" name="5101SPS_Weekly" displayName="_5101SPS_Weekly" ref="B71:F95" totalsRowShown="0" headerRowDxfId="837" dataDxfId="836">
  <autoFilter ref="B71:F95" xr:uid="{3A41AF80-1AD3-44F6-93D1-6C4A16CCF943}">
    <filterColumn colId="0" hiddenButton="1"/>
    <filterColumn colId="1" hiddenButton="1"/>
    <filterColumn colId="2" hiddenButton="1"/>
    <filterColumn colId="3" hiddenButton="1"/>
    <filterColumn colId="4" hiddenButton="1"/>
  </autoFilter>
  <tableColumns count="5">
    <tableColumn id="1" xr3:uid="{9330817A-9E44-438D-A321-1CFEE5D8D0A7}" name="Semester " dataDxfId="835"/>
    <tableColumn id="2" xr3:uid="{9F2CA314-7251-40AD-875D-FDBE444AE8CC}" name="Week Number" dataDxfId="834"/>
    <tableColumn id="3" xr3:uid="{46103C64-EFA8-45A5-86D1-05E1F58CDC16}" name="Weekly Content 1" dataDxfId="833"/>
    <tableColumn id="4" xr3:uid="{CD53E2F5-AA95-424B-BF40-C872C1A02C0E}" name="Weekly Content 2" dataDxfId="832"/>
    <tableColumn id="5" xr3:uid="{975461FA-2E01-4A1F-9002-F6756C0E6D27}" name="Weekly Content 3" dataDxfId="831"/>
  </tableColumns>
  <tableStyleInfo name="TableStyleMedium4"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7C49CD3-B6BF-411D-8A9C-C1B0DC1D4B5E}" name="5101SPS_Hours" displayName="_5101SPS_Hours" ref="C18:D24" totalsRowShown="0" headerRowDxfId="830" dataDxfId="829">
  <autoFilter ref="C18:D24" xr:uid="{B71A3569-AA65-4A4E-98A2-885F5C38B46D}">
    <filterColumn colId="0" hiddenButton="1"/>
    <filterColumn colId="1" hiddenButton="1"/>
  </autoFilter>
  <tableColumns count="2">
    <tableColumn id="1" xr3:uid="{84D4DC95-B091-4EC4-BD9F-E1414E1ED663}" name="Component" dataDxfId="828"/>
    <tableColumn id="2" xr3:uid="{FDF142ED-DB38-4C6B-974B-85FCB5F78A66}" name="Contact Hours" dataDxfId="827"/>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7BED6D6-D9C6-4D16-B4F8-793228B3132C}" name="5101SPS_Mapping" displayName="_5101SPS_Mapping" ref="C45:F67" totalsRowShown="0" headerRowDxfId="826" dataDxfId="825">
  <autoFilter ref="C45:F67" xr:uid="{E0A841BB-B6D5-4048-B5F2-18CF9F502EBA}">
    <filterColumn colId="0" hiddenButton="1"/>
    <filterColumn colId="1" hiddenButton="1"/>
    <filterColumn colId="2" hiddenButton="1"/>
    <filterColumn colId="3" hiddenButton="1"/>
  </autoFilter>
  <tableColumns count="4">
    <tableColumn id="1" xr3:uid="{41EF2E9F-FE80-4EA5-AB6A-B0F17268715A}" name="Assessment No" dataDxfId="824"/>
    <tableColumn id="2" xr3:uid="{52365B2B-58FF-4272-83A0-0634C708D5DA}" name="LO Number" dataDxfId="823"/>
    <tableColumn id="3" xr3:uid="{365F3B95-BB30-4DC3-B449-C011CC935255}" name="Graduate Skills Category" dataDxfId="822"/>
    <tableColumn id="4" xr3:uid="{256AA9F3-5FDE-43AA-AF06-C9277EFAE7AA}" name="Graduate Skill" dataDxfId="821"/>
  </tableColumns>
  <tableStyleInfo name="TableStyleMedium3"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DADE969-2273-4007-B81E-6F2394E65365}" name="5101SPS_Aims" displayName="_5101SPS_Aims" ref="F6:F8" totalsRowShown="0" headerRowDxfId="820" dataDxfId="819">
  <autoFilter ref="F6:F8" xr:uid="{9552138F-2332-4BC4-A585-0E13162881A5}"/>
  <tableColumns count="1">
    <tableColumn id="1" xr3:uid="{20ACFDED-B70B-4A37-8748-E2398DA2866E}" name="Aims" dataDxfId="818"/>
  </tableColumns>
  <tableStyleInfo name="TableStyleMedium6"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258CDB4B-F40E-4880-A10E-73999D87ED5C}" name="5101SPS_Syllabus" displayName="_5101SPS_Syllabus" ref="F10:F13" totalsRowShown="0" headerRowDxfId="817" dataDxfId="816">
  <autoFilter ref="F10:F13" xr:uid="{94F18F67-3F10-4F6E-A953-4FE3399B07F2}"/>
  <tableColumns count="1">
    <tableColumn id="1" xr3:uid="{28548C89-3381-4F89-8618-132773B9AFDF}" name="Outline Syllabus" dataDxfId="815"/>
  </tableColumns>
  <tableStyleInfo name="TableStyleMedium6"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903467D8-18BB-4284-A4E9-A5C8DD5AD9A4}" name="5101SPS_Overview" displayName="_5101SPS_Overview" ref="F15:F20" totalsRowShown="0" headerRowDxfId="814" dataDxfId="813">
  <autoFilter ref="F15:F20" xr:uid="{1B2BCD7B-6C15-4B1C-86BC-48FF83D8F225}"/>
  <tableColumns count="1">
    <tableColumn id="1" xr3:uid="{E8562468-335C-46B5-B44B-DD03585A4A33}" name="Module Overview" dataDxfId="812"/>
  </tableColumns>
  <tableStyleInfo name="TableStyleMedium6"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2C70509-540F-4249-B7FB-6FA92DD2AB46}" name="5101SPS_Notes" displayName="_5101SPS_Notes" ref="F22:F33" totalsRowShown="0" headerRowDxfId="811" dataDxfId="810">
  <autoFilter ref="F22:F33" xr:uid="{D5968C0A-6D7E-4221-87EE-78A85A4039B3}"/>
  <tableColumns count="1">
    <tableColumn id="1" xr3:uid="{33EAFAF4-27B4-468B-AC97-74ABA5DAA992}" name="Additional Information/Notes" dataDxfId="809"/>
  </tableColumns>
  <tableStyleInfo name="TableStyleMedium6"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5270F11D-EB2D-4D37-A0C7-A548812199C3}" name="5102SPS_Meta" displayName="_5102SPS_Meta" ref="C6:D14" totalsRowShown="0" headerRowDxfId="808" dataDxfId="807">
  <autoFilter ref="C6:D14" xr:uid="{CD75D2A7-14B1-4ABD-B64D-6E875F9BC652}">
    <filterColumn colId="0" hiddenButton="1"/>
    <filterColumn colId="1" hiddenButton="1"/>
  </autoFilter>
  <tableColumns count="2">
    <tableColumn id="1" xr3:uid="{29D4E0BE-5C0F-4EF3-BF95-85E95BCEF890}" name="Module Data" dataDxfId="806"/>
    <tableColumn id="2" xr3:uid="{8CF62EB8-FFB4-436A-9EE3-575FDB15387F}" name="Details" dataDxfId="805"/>
  </tableColumns>
  <tableStyleInfo name="TableStyleMedium6"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237020EB-E434-4CF8-BA7F-AAE80EFFA7DE}" name="5102SPS_LO" displayName="_5102SPS_LO" ref="C28:D33" totalsRowShown="0" headerRowDxfId="804" dataDxfId="803">
  <autoFilter ref="C28:D33" xr:uid="{22316987-6BEB-4FAF-9619-BF9BE9909CFA}">
    <filterColumn colId="0" hiddenButton="1"/>
    <filterColumn colId="1" hiddenButton="1"/>
  </autoFilter>
  <tableColumns count="2">
    <tableColumn id="1" xr3:uid="{ABACB5F8-1C23-4668-B7BA-EF2517F6F237}" name="LO Number" dataDxfId="802"/>
    <tableColumn id="2" xr3:uid="{16EFEC94-FB26-48E6-A1CD-F272E329A036}" name="LO Description" dataDxfId="801"/>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D1E80F96-254A-4374-9350-7B1F947FEA77}" name="5102SPS_Assess" displayName="_5102SPS_Assess" ref="C37:H41" totalsRowShown="0" headerRowDxfId="800" dataDxfId="79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60550122-E287-466F-A05A-EEEF3BC2A7B1}" name="Assessment No" dataDxfId="798"/>
    <tableColumn id="2" xr3:uid="{2BC12B11-B6CF-4E7C-B492-9E71A2A4DCFC}" name="Assessment Type" dataDxfId="797"/>
    <tableColumn id="7" xr3:uid="{F22466C0-E91B-4130-82AB-931BDD5DAFD5}" name="Assessment Specific" dataDxfId="796"/>
    <tableColumn id="3" xr3:uid="{A2D2688F-0CD2-442B-B2C4-399FA320B460}" name="Assessment Description" dataDxfId="795"/>
    <tableColumn id="4" xr3:uid="{9C3172F4-207C-490E-A1A4-3782CCE0F62E}" name="Weighting" dataDxfId="794"/>
    <tableColumn id="5" xr3:uid="{5D552087-F8C1-4DC6-AB58-461CAA57A675}" name="Due Week" dataDxfId="793"/>
  </tableColumns>
  <tableStyleInfo name="TableStyleMedium3"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A4E79B66-A399-44F9-AC05-30A8D8E4EFFC}" name="5102SPS_Weekly" displayName="_5102SPS_Weekly" ref="B71:F95" totalsRowShown="0" headerRowDxfId="792" dataDxfId="791">
  <autoFilter ref="B71:F95" xr:uid="{3A41AF80-1AD3-44F6-93D1-6C4A16CCF943}">
    <filterColumn colId="0" hiddenButton="1"/>
    <filterColumn colId="1" hiddenButton="1"/>
    <filterColumn colId="2" hiddenButton="1"/>
    <filterColumn colId="3" hiddenButton="1"/>
    <filterColumn colId="4" hiddenButton="1"/>
  </autoFilter>
  <tableColumns count="5">
    <tableColumn id="1" xr3:uid="{761211FD-07C5-4C60-8E49-B011DF71603B}" name="Semester " dataDxfId="790"/>
    <tableColumn id="2" xr3:uid="{C3767A97-7DDC-4C9C-BAA0-36AD5C496EEE}" name="Week Number" dataDxfId="789"/>
    <tableColumn id="3" xr3:uid="{ECEBB099-0848-4BF9-A0F1-A91B05144BDE}" name="Weekly Content 1" dataDxfId="788"/>
    <tableColumn id="4" xr3:uid="{C2073020-3A29-4533-9629-7F40A8DD2B8B}" name="Weekly Content 2" dataDxfId="787"/>
    <tableColumn id="5" xr3:uid="{6345D17D-CE7F-4BE7-9354-5B3222EE1FDE}" name="Weekly Content 3" dataDxfId="786"/>
  </tableColumns>
  <tableStyleInfo name="TableStyleMedium4"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BDFBF6B0-B509-44BE-828C-EF93C1923EC6}" name="5102SPS_Hours" displayName="_5102SPS_Hours" ref="C18:D24" totalsRowShown="0" headerRowDxfId="785" dataDxfId="784">
  <autoFilter ref="C18:D24" xr:uid="{B71A3569-AA65-4A4E-98A2-885F5C38B46D}">
    <filterColumn colId="0" hiddenButton="1"/>
    <filterColumn colId="1" hiddenButton="1"/>
  </autoFilter>
  <tableColumns count="2">
    <tableColumn id="1" xr3:uid="{B46B0870-C95C-4D4E-B01A-05CA40485288}" name="Component" dataDxfId="783"/>
    <tableColumn id="2" xr3:uid="{A34E191B-0F4D-40A9-98C4-DFC5C0ED5B03}" name="Contact Hours" dataDxfId="782"/>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F74075A1-DA58-473A-9E54-24D876995322}" name="5102SPS_Mapping" displayName="_5102SPS_Mapping" ref="C45:F67" totalsRowShown="0" headerRowDxfId="781" dataDxfId="780">
  <autoFilter ref="C45:F67" xr:uid="{E0A841BB-B6D5-4048-B5F2-18CF9F502EBA}">
    <filterColumn colId="0" hiddenButton="1"/>
    <filterColumn colId="1" hiddenButton="1"/>
    <filterColumn colId="2" hiddenButton="1"/>
    <filterColumn colId="3" hiddenButton="1"/>
  </autoFilter>
  <tableColumns count="4">
    <tableColumn id="1" xr3:uid="{33F03CAC-37A3-4CB5-BBBE-230DBDFC5B6B}" name="Assessment No" dataDxfId="779"/>
    <tableColumn id="2" xr3:uid="{D948967E-B1D8-422E-BC05-E5DE64BFE116}" name="LO Number" dataDxfId="778"/>
    <tableColumn id="3" xr3:uid="{41BBFD1D-FBB9-4518-8884-EB40901F4694}" name="Graduate Skills Category" dataDxfId="777"/>
    <tableColumn id="4" xr3:uid="{913662D7-6EF1-491B-A990-50699C27238F}" name="Graduate Skill" dataDxfId="776"/>
  </tableColumns>
  <tableStyleInfo name="TableStyleMedium3"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5AE026F8-16C4-406D-B110-7288CB09E506}" name="5102SPS_Aims" displayName="_5102SPS_Aims" ref="F6:F8" totalsRowShown="0" headerRowDxfId="775" dataDxfId="774">
  <autoFilter ref="F6:F8" xr:uid="{9552138F-2332-4BC4-A585-0E13162881A5}"/>
  <tableColumns count="1">
    <tableColumn id="1" xr3:uid="{2CF6523F-40A9-456F-8FAA-4363371E379D}" name="Aims" dataDxfId="773"/>
  </tableColumns>
  <tableStyleInfo name="TableStyleMedium6"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E8C1BBC-E995-4B58-8CC6-9D5E3880A081}" name="5102SPS_Syllabus" displayName="_5102SPS_Syllabus" ref="F10:F13" totalsRowShown="0" headerRowDxfId="772" dataDxfId="771">
  <autoFilter ref="F10:F13" xr:uid="{94F18F67-3F10-4F6E-A953-4FE3399B07F2}"/>
  <tableColumns count="1">
    <tableColumn id="1" xr3:uid="{5BDD719A-56F8-4CFB-8C2B-B09D9EFEEBC9}" name="Outline Syllabus" dataDxfId="770"/>
  </tableColumns>
  <tableStyleInfo name="TableStyleMedium6"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3B6B7C2B-C63A-4C91-BFC7-FEAD7D7A4AAB}" name="5102SPS_Overview" displayName="_5102SPS_Overview" ref="F15:F20" totalsRowShown="0" headerRowDxfId="769" dataDxfId="768">
  <autoFilter ref="F15:F20" xr:uid="{1B2BCD7B-6C15-4B1C-86BC-48FF83D8F225}"/>
  <tableColumns count="1">
    <tableColumn id="1" xr3:uid="{6FA2E212-5F86-4DAE-AF6E-5A52409DCB13}" name="Module Overview" dataDxfId="767"/>
  </tableColumns>
  <tableStyleInfo name="TableStyleMedium6"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B8EDE4E8-58B3-4823-B749-470799FC0595}" name="5102SPS_Notes" displayName="_5102SPS_Notes" ref="F22:F33" totalsRowShown="0" headerRowDxfId="766" dataDxfId="765">
  <autoFilter ref="F22:F33" xr:uid="{D5968C0A-6D7E-4221-87EE-78A85A4039B3}"/>
  <tableColumns count="1">
    <tableColumn id="1" xr3:uid="{8FE8F154-AB86-4DDE-9840-555725F99393}" name="Additional Information/Notes" dataDxfId="764"/>
  </tableColumns>
  <tableStyleInfo name="TableStyleMedium6"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4" xr:uid="{1414709A-4675-4471-85EE-DA0D00B4BFD4}" name="5103SPS_Meta" displayName="_5103SPS_Meta" ref="C6:D14" totalsRowShown="0" headerRowDxfId="763" dataDxfId="762">
  <autoFilter ref="C6:D14" xr:uid="{CD75D2A7-14B1-4ABD-B64D-6E875F9BC652}">
    <filterColumn colId="0" hiddenButton="1"/>
    <filterColumn colId="1" hiddenButton="1"/>
  </autoFilter>
  <tableColumns count="2">
    <tableColumn id="1" xr3:uid="{8F10F388-99AB-4D28-B816-601553218F24}" name="Module Data" dataDxfId="761"/>
    <tableColumn id="2" xr3:uid="{AE7AA7A8-FBD0-4010-AD14-259A290F3DBF}" name="Details" dataDxfId="760"/>
  </tableColumns>
  <tableStyleInfo name="TableStyleMedium6"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5" xr:uid="{19D7E4CA-6D4B-4290-ADC9-EBD889ED7090}" name="5103SPS_LO" displayName="_5103SPS_LO" ref="C28:D33" totalsRowShown="0" headerRowDxfId="759" dataDxfId="758">
  <autoFilter ref="C28:D33" xr:uid="{22316987-6BEB-4FAF-9619-BF9BE9909CFA}">
    <filterColumn colId="0" hiddenButton="1"/>
    <filterColumn colId="1" hiddenButton="1"/>
  </autoFilter>
  <tableColumns count="2">
    <tableColumn id="1" xr3:uid="{65874036-7B81-4E0E-AD1F-388C30468A0C}" name="LO Number" dataDxfId="757"/>
    <tableColumn id="2" xr3:uid="{AB5F4256-8EBE-42B2-864C-6175401C4B94}" name="LO Description" dataDxfId="756"/>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6" xr:uid="{94DF75FA-7885-457B-A760-4C33470CB4F2}" name="5103SPS_Assess" displayName="_5103SPS_Assess" ref="C37:H41" totalsRowShown="0" headerRowDxfId="755" dataDxfId="75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F1C107EB-6EF5-4321-A9D3-7F0F473733A9}" name="Assessment No" dataDxfId="753"/>
    <tableColumn id="2" xr3:uid="{A7D8377D-26A9-4C0C-89E5-2BBF15A2C53A}" name="Assessment Type" dataDxfId="752"/>
    <tableColumn id="7" xr3:uid="{902CD105-3E65-4D48-9EBC-28A512F14EA4}" name="Assessment Specific" dataDxfId="751"/>
    <tableColumn id="3" xr3:uid="{F0188AEF-B58B-42EE-B788-6BDBEC8A2666}" name="Assessment Description" dataDxfId="750"/>
    <tableColumn id="4" xr3:uid="{463AE76C-D818-4D0D-9C85-14C568E969CF}" name="Weighting" dataDxfId="749"/>
    <tableColumn id="5" xr3:uid="{F3A74D3A-9891-4785-8514-2F35F953399C}" name="Due Week" dataDxfId="748"/>
  </tableColumns>
  <tableStyleInfo name="TableStyleMedium3"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7" xr:uid="{134F8FF6-FA26-4083-80C6-B1D636160277}" name="5103SPS_Weekly" displayName="_5103SPS_Weekly" ref="B70:F94" totalsRowShown="0" headerRowDxfId="747" dataDxfId="746">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1B3410E0-1738-4226-A94C-CA8EF9997135}" name="Semester " dataDxfId="745"/>
    <tableColumn id="2" xr3:uid="{779570F9-536A-4051-99E1-6CF566D7A0D1}" name="Week Number" dataDxfId="744"/>
    <tableColumn id="3" xr3:uid="{B34499F2-A07D-444A-9F9C-30E044383158}" name="Weekly Content 1" dataDxfId="743"/>
    <tableColumn id="4" xr3:uid="{F39D2B5F-C444-4352-91E8-C0744DF26B06}" name="Weekly Content 2" dataDxfId="742"/>
    <tableColumn id="5" xr3:uid="{694E2C5F-AF9A-4034-8744-D2347A9BD5B9}" name="Weekly Content 3" dataDxfId="741"/>
  </tableColumns>
  <tableStyleInfo name="TableStyleMedium4"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8" xr:uid="{8667F49A-5642-4195-9AEF-E5818E9EAE7C}" name="5103SPS_Hours" displayName="_5103SPS_Hours" ref="C18:D24" totalsRowShown="0" headerRowDxfId="740" dataDxfId="739">
  <autoFilter ref="C18:D24" xr:uid="{B71A3569-AA65-4A4E-98A2-885F5C38B46D}">
    <filterColumn colId="0" hiddenButton="1"/>
    <filterColumn colId="1" hiddenButton="1"/>
  </autoFilter>
  <tableColumns count="2">
    <tableColumn id="1" xr3:uid="{AACE1E36-CD18-4943-8A94-8FD55C616649}" name="Component" dataDxfId="738"/>
    <tableColumn id="2" xr3:uid="{B1979956-177B-4D66-BF9C-2582ABBB4BF9}" name="Contact Hours" dataDxfId="737"/>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9" xr:uid="{6BC11C12-EA0A-40E7-AEE3-4C9A37EEC326}" name="5103SPS_Mapping" displayName="_5103SPS_Mapping" ref="C45:F66" totalsRowShown="0" headerRowDxfId="736" dataDxfId="735">
  <autoFilter ref="C45:F66" xr:uid="{E0A841BB-B6D5-4048-B5F2-18CF9F502EBA}">
    <filterColumn colId="0" hiddenButton="1"/>
    <filterColumn colId="1" hiddenButton="1"/>
    <filterColumn colId="2" hiddenButton="1"/>
    <filterColumn colId="3" hiddenButton="1"/>
  </autoFilter>
  <tableColumns count="4">
    <tableColumn id="1" xr3:uid="{DF7309A3-37E0-4C87-875E-A6B27799A75B}" name="Assessment No" dataDxfId="734"/>
    <tableColumn id="2" xr3:uid="{BBF5102E-4D62-467D-89A8-6878CBB973B5}" name="LO Number" dataDxfId="733"/>
    <tableColumn id="3" xr3:uid="{19F9550F-E174-446A-8CD8-FB222F828FA2}" name="Graduate Skills Category" dataDxfId="732"/>
    <tableColumn id="4" xr3:uid="{22926E4B-AB40-45D5-A07C-199AB2307121}" name="Graduate Skill" dataDxfId="731"/>
  </tableColumns>
  <tableStyleInfo name="TableStyleMedium3"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0" xr:uid="{B1B8FE6F-CFA3-45B4-9B48-293E0069DBF8}" name="5103SPS_Aims" displayName="_5103SPS_Aims" ref="F6:F8" totalsRowShown="0" headerRowDxfId="730" dataDxfId="729">
  <autoFilter ref="F6:F8" xr:uid="{9552138F-2332-4BC4-A585-0E13162881A5}"/>
  <tableColumns count="1">
    <tableColumn id="1" xr3:uid="{75179496-A8E3-4C17-A2D2-8AF29C0BD18A}" name="Aims" dataDxfId="728"/>
  </tableColumns>
  <tableStyleInfo name="TableStyleMedium6"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1" xr:uid="{50E39927-606F-4D55-95D1-99519B04C2BA}" name="5103SPS_Syllabus" displayName="_5103SPS_Syllabus" ref="F10:F13" totalsRowShown="0" headerRowDxfId="727" dataDxfId="726">
  <autoFilter ref="F10:F13" xr:uid="{94F18F67-3F10-4F6E-A953-4FE3399B07F2}"/>
  <tableColumns count="1">
    <tableColumn id="1" xr3:uid="{C11B339B-A121-4F67-998C-0EB7843C79D2}" name="Outline Syllabus" dataDxfId="725"/>
  </tableColumns>
  <tableStyleInfo name="TableStyleMedium6"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2" xr:uid="{7E5EA307-5AA4-450B-8B5B-62AEA252D8BA}" name="5103SPS_Overview" displayName="_5103SPS_Overview" ref="F15:F20" totalsRowShown="0" headerRowDxfId="724" dataDxfId="723">
  <autoFilter ref="F15:F20" xr:uid="{1B2BCD7B-6C15-4B1C-86BC-48FF83D8F225}"/>
  <tableColumns count="1">
    <tableColumn id="1" xr3:uid="{B644A5C6-F53D-4CAC-B23F-A22EE05D52F7}" name="Module Overview" dataDxfId="722"/>
  </tableColumns>
  <tableStyleInfo name="TableStyleMedium6"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3" xr:uid="{65D3AED5-41D6-4638-A570-DE51FA0102F6}" name="5103SPS_Notes" displayName="_5103SPS_Notes" ref="F22:F33" totalsRowShown="0" headerRowDxfId="721" dataDxfId="720">
  <autoFilter ref="F22:F33" xr:uid="{D5968C0A-6D7E-4221-87EE-78A85A4039B3}"/>
  <tableColumns count="1">
    <tableColumn id="1" xr3:uid="{17E3BB4C-BB7C-4827-AAED-6C9AECAD47FE}" name="Additional Information/Notes" dataDxfId="719"/>
  </tableColumns>
  <tableStyleInfo name="TableStyleMedium6"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624550D8-3246-406D-9203-C76D3E1169A8}" name="5092SPS_Meta" displayName="_5092SPS_Meta" ref="C6:D14" totalsRowShown="0" headerRowDxfId="718" dataDxfId="717">
  <autoFilter ref="C6:D14" xr:uid="{CD75D2A7-14B1-4ABD-B64D-6E875F9BC652}">
    <filterColumn colId="0" hiddenButton="1"/>
    <filterColumn colId="1" hiddenButton="1"/>
  </autoFilter>
  <tableColumns count="2">
    <tableColumn id="1" xr3:uid="{F75C39EB-FA62-46B2-BBD7-C15273288588}" name="Module Data" dataDxfId="716"/>
    <tableColumn id="2" xr3:uid="{AFAD978E-7AB7-41A9-B9E1-ABF4834D59E6}" name="Details" dataDxfId="715"/>
  </tableColumns>
  <tableStyleInfo name="TableStyleMedium6"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B3A0DF70-76CC-43CC-B01A-C5B9F6018DA1}" name="5092SPS_LO" displayName="_5092SPS_LO" ref="C28:D33" totalsRowShown="0" headerRowDxfId="714" dataDxfId="713">
  <autoFilter ref="C28:D33" xr:uid="{22316987-6BEB-4FAF-9619-BF9BE9909CFA}">
    <filterColumn colId="0" hiddenButton="1"/>
    <filterColumn colId="1" hiddenButton="1"/>
  </autoFilter>
  <tableColumns count="2">
    <tableColumn id="1" xr3:uid="{03889838-3692-4CDB-B3C9-843AC2EB8510}" name="LO Number" dataDxfId="712"/>
    <tableColumn id="2" xr3:uid="{EBF4F997-F685-4171-8E33-10C81A9AA6BD}" name="LO Description" dataDxfId="711"/>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D5DD12BE-6599-42D1-AC02-0B9161A223C5}" name="5092SPS_Assess" displayName="_5092SPS_Assess" ref="C37:H41" totalsRowShown="0" headerRowDxfId="710" dataDxfId="70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4894FCF-0035-4C97-A904-AD8F7449DA67}" name="Assessment No" dataDxfId="708"/>
    <tableColumn id="2" xr3:uid="{154AA898-EB51-423F-971E-2D54E7AE168D}" name="Assessment Type" dataDxfId="707"/>
    <tableColumn id="7" xr3:uid="{9983984E-B1DF-4F0D-9268-C2C69B7257DE}" name="Assessment Specific" dataDxfId="706"/>
    <tableColumn id="3" xr3:uid="{7393D08E-D15D-482F-94F5-3955E2087F8B}" name="Assessment Description" dataDxfId="705"/>
    <tableColumn id="4" xr3:uid="{A7B8D88B-748B-437A-9A1C-F9ED211ABF56}" name="Weighting" dataDxfId="704"/>
    <tableColumn id="5" xr3:uid="{79ED1616-9922-40C9-8AED-68B6819817F9}" name="Due Week" dataDxfId="703"/>
  </tableColumns>
  <tableStyleInfo name="TableStyleMedium3"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5549275A-166A-4CD3-9308-81EDEF3B26DB}" name="5092SPS_Weekly" displayName="_5092SPS_Weekly" ref="B70:F94" totalsRowShown="0" headerRowDxfId="702" dataDxfId="70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B7FA3159-D6A2-414C-94D8-A2E8568CD41C}" name="Semester " dataDxfId="700"/>
    <tableColumn id="2" xr3:uid="{FFEC1971-8BF4-44B8-BD5C-805779F987C9}" name="Week Number" dataDxfId="699"/>
    <tableColumn id="3" xr3:uid="{A9F5297B-ACA7-4D9D-842B-9A24FD16BA05}" name="Weekly Content 1" dataDxfId="698"/>
    <tableColumn id="4" xr3:uid="{B96BEEEA-7F39-4C28-9F20-2E7BAC5D76C4}" name="Weekly Content 2" dataDxfId="697"/>
    <tableColumn id="5" xr3:uid="{6D853DE2-8A0D-4998-B49D-5DECC81696CA}" name="Weekly Content 3" dataDxfId="696"/>
  </tableColumns>
  <tableStyleInfo name="TableStyleMedium4"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C3DF0F01-A9D0-4761-8965-A2F4863E2A4E}" name="5092SPS_Hours" displayName="_5092SPS_Hours" ref="C18:D24" totalsRowShown="0" headerRowDxfId="695" dataDxfId="694">
  <autoFilter ref="C18:D24" xr:uid="{B71A3569-AA65-4A4E-98A2-885F5C38B46D}">
    <filterColumn colId="0" hiddenButton="1"/>
    <filterColumn colId="1" hiddenButton="1"/>
  </autoFilter>
  <tableColumns count="2">
    <tableColumn id="1" xr3:uid="{E1F6A0CE-A0D1-484E-806D-5F1EE294F6C5}" name="Component" dataDxfId="693"/>
    <tableColumn id="2" xr3:uid="{C29C0E16-5D02-4470-B9A3-F33C24B509D3}" name="Contact Hours" dataDxfId="692"/>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D55D786C-9F3A-48CE-8767-1DD44ED57855}" name="5092SPS_Mapping" displayName="_5092SPS_Mapping" ref="C45:F66" totalsRowShown="0" headerRowDxfId="691" dataDxfId="690">
  <autoFilter ref="C45:F66" xr:uid="{E0A841BB-B6D5-4048-B5F2-18CF9F502EBA}">
    <filterColumn colId="0" hiddenButton="1"/>
    <filterColumn colId="1" hiddenButton="1"/>
    <filterColumn colId="2" hiddenButton="1"/>
    <filterColumn colId="3" hiddenButton="1"/>
  </autoFilter>
  <tableColumns count="4">
    <tableColumn id="1" xr3:uid="{351B8FDB-16CD-4D24-AF2C-C5AD529DF595}" name="Assessment No" dataDxfId="689"/>
    <tableColumn id="2" xr3:uid="{9CB0238A-1328-4A0D-AAE2-50C376C7235C}" name="LO Number" dataDxfId="688"/>
    <tableColumn id="3" xr3:uid="{96B6D864-B246-4570-9A1C-3387C1ABD880}" name="Graduate Skills Category" dataDxfId="687"/>
    <tableColumn id="4" xr3:uid="{D00C4D9A-F418-40FC-AB6A-A84F0B2A9E4C}" name="Graduate Skill" dataDxfId="686"/>
  </tableColumns>
  <tableStyleInfo name="TableStyleMedium3"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0ABE8A2B-4753-418C-8174-04E8DA313A71}" name="5092SPS_Aims" displayName="_5092SPS_Aims" ref="F6:F8" totalsRowShown="0" headerRowDxfId="685" dataDxfId="684">
  <autoFilter ref="F6:F8" xr:uid="{9552138F-2332-4BC4-A585-0E13162881A5}"/>
  <tableColumns count="1">
    <tableColumn id="1" xr3:uid="{31A9816E-6125-4BB1-B024-023BC57E4CF3}" name="Aims" dataDxfId="683"/>
  </tableColumns>
  <tableStyleInfo name="TableStyleMedium6"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1747F9EA-8662-4F26-A01D-803EAD3C1FD5}" name="5092SPS_Syllabus" displayName="_5092SPS_Syllabus" ref="F10:F13" totalsRowShown="0" headerRowDxfId="682" dataDxfId="681">
  <autoFilter ref="F10:F13" xr:uid="{94F18F67-3F10-4F6E-A953-4FE3399B07F2}"/>
  <tableColumns count="1">
    <tableColumn id="1" xr3:uid="{6A2A3EA9-0D72-4A0E-A2B5-FF641EDBA034}" name="Outline Syllabus" dataDxfId="680"/>
  </tableColumns>
  <tableStyleInfo name="TableStyleMedium6"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26F3C05B-4EDF-47A0-9FA6-60C5FAD6ECCD}" name="5092SPS_Overview" displayName="_5092SPS_Overview" ref="F15:F20" totalsRowShown="0" headerRowDxfId="679" dataDxfId="678">
  <autoFilter ref="F15:F20" xr:uid="{1B2BCD7B-6C15-4B1C-86BC-48FF83D8F225}"/>
  <tableColumns count="1">
    <tableColumn id="1" xr3:uid="{3ECD395E-FA33-4C57-93BB-6A0232B1FB84}" name="Module Overview" dataDxfId="677"/>
  </tableColumns>
  <tableStyleInfo name="TableStyleMedium6"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3B1F6B96-9B9D-4196-A72D-C9C91B0E85E6}" name="5092SPS_Notes" displayName="_5092SPS_Notes" ref="F22:F33" totalsRowShown="0" headerRowDxfId="676" dataDxfId="675">
  <autoFilter ref="F22:F33" xr:uid="{D5968C0A-6D7E-4221-87EE-78A85A4039B3}"/>
  <tableColumns count="1">
    <tableColumn id="1" xr3:uid="{7082D249-848A-49C3-8DF4-B67EE67DF58C}" name="Additional Information/Notes" dataDxfId="674"/>
  </tableColumns>
  <tableStyleInfo name="TableStyleMedium6"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D74122E-1B7A-499D-906B-5CC560923C45}" name="6101SPS_Meta" displayName="_6101SPS_Meta" ref="C6:D14" totalsRowShown="0" headerRowDxfId="673" dataDxfId="672">
  <autoFilter ref="C6:D14" xr:uid="{CD75D2A7-14B1-4ABD-B64D-6E875F9BC652}">
    <filterColumn colId="0" hiddenButton="1"/>
    <filterColumn colId="1" hiddenButton="1"/>
  </autoFilter>
  <tableColumns count="2">
    <tableColumn id="1" xr3:uid="{59632FD2-ADF3-4C82-8BD5-420F294E11C7}" name="Module Data" dataDxfId="671"/>
    <tableColumn id="2" xr3:uid="{8CCBAE8A-F2FE-41C4-ACC2-A97D717C0112}" name="Details" dataDxfId="670"/>
  </tableColumns>
  <tableStyleInfo name="TableStyleMedium6"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0485721-F385-4C04-84DE-34B88F81293E}" name="6101SPS_LO" displayName="_6101SPS_LO" ref="C28:D33" totalsRowShown="0" headerRowDxfId="669" dataDxfId="668">
  <autoFilter ref="C28:D33" xr:uid="{22316987-6BEB-4FAF-9619-BF9BE9909CFA}">
    <filterColumn colId="0" hiddenButton="1"/>
    <filterColumn colId="1" hiddenButton="1"/>
  </autoFilter>
  <tableColumns count="2">
    <tableColumn id="1" xr3:uid="{4EF000E4-780E-462E-94B9-665B9C66E80A}" name="LO Number" dataDxfId="667"/>
    <tableColumn id="2" xr3:uid="{8DE7FF42-E93D-4882-90E1-F03BDCC7C663}" name="LO Description" dataDxfId="666"/>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E63FB89-C42F-4AD7-BB3B-FCF3CA739275}" name="6101SPS_Assess" displayName="_6101SPS_Assess" ref="C37:H41" totalsRowShown="0" headerRowDxfId="665" dataDxfId="66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3B9A126F-DEC0-41E6-BFC4-E3B68EFE4090}" name="Assessment No" dataDxfId="663"/>
    <tableColumn id="2" xr3:uid="{E56CBD09-3E9D-4390-BC32-4320288ECF49}" name="Assessment Type" dataDxfId="662"/>
    <tableColumn id="7" xr3:uid="{2042A595-88BB-48AE-8DE9-08F9843A65F4}" name="Assessment Specific" dataDxfId="661"/>
    <tableColumn id="3" xr3:uid="{4E7A1FBA-AC92-4C49-968B-C1C40CDF45A5}" name="Assessment Description" dataDxfId="660"/>
    <tableColumn id="4" xr3:uid="{0A8E3B7A-41B3-4C6C-BD7C-F70005A5518B}" name="Weighting" dataDxfId="659"/>
    <tableColumn id="5" xr3:uid="{41BF57AA-9057-4D7D-B892-C99EED25778F}" name="Due Week" dataDxfId="658"/>
  </tableColumns>
  <tableStyleInfo name="TableStyleMedium3"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9057A16-900F-4819-9CE5-ACCA8322C193}" name="6101SPS_Weekly" displayName="_6101SPS_Weekly" ref="B70:F94" totalsRowShown="0" headerRowDxfId="657" dataDxfId="656">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FAF03C6-C5B8-4CE3-BF5B-A6AF2E351492}" name="Semester " dataDxfId="655"/>
    <tableColumn id="2" xr3:uid="{592CAF7B-B3BC-484C-9EF6-A0DBEF72E67F}" name="Week Number" dataDxfId="654"/>
    <tableColumn id="3" xr3:uid="{C9C70C18-20BE-49C0-8CBE-BE6063301D8B}" name="Weekly Content 1" dataDxfId="653"/>
    <tableColumn id="4" xr3:uid="{F2059AD0-6761-42AB-90EB-C1B04E0C7353}" name="Weekly Content 2" dataDxfId="652"/>
    <tableColumn id="5" xr3:uid="{C5FF21DA-C072-4003-8733-39BDF19353FA}" name="Weekly Content 3" dataDxfId="651"/>
  </tableColumns>
  <tableStyleInfo name="TableStyleMedium4"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A153528-7480-476A-9D50-9B88A6E38F55}" name="6101SPS_Hours" displayName="_6101SPS_Hours" ref="C18:D24" totalsRowShown="0" headerRowDxfId="650" dataDxfId="649">
  <autoFilter ref="C18:D24" xr:uid="{B71A3569-AA65-4A4E-98A2-885F5C38B46D}">
    <filterColumn colId="0" hiddenButton="1"/>
    <filterColumn colId="1" hiddenButton="1"/>
  </autoFilter>
  <tableColumns count="2">
    <tableColumn id="1" xr3:uid="{E76F71CE-1496-4AF6-BD8E-AC4301E5C11C}" name="Component" dataDxfId="648"/>
    <tableColumn id="2" xr3:uid="{10A8B829-22E5-44FA-B898-C017E70406A4}" name="Contact Hours" dataDxfId="647"/>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80EE851-E0D2-4482-860E-C97FC3978DED}" name="6101SPS_Mapping" displayName="_6101SPS_Mapping" ref="C45:F66" totalsRowShown="0" headerRowDxfId="646" dataDxfId="645">
  <autoFilter ref="C45:F66" xr:uid="{E0A841BB-B6D5-4048-B5F2-18CF9F502EBA}">
    <filterColumn colId="0" hiddenButton="1"/>
    <filterColumn colId="1" hiddenButton="1"/>
    <filterColumn colId="2" hiddenButton="1"/>
    <filterColumn colId="3" hiddenButton="1"/>
  </autoFilter>
  <tableColumns count="4">
    <tableColumn id="1" xr3:uid="{BDA1BC20-9DA6-4D2D-BE66-628F0EC23ABD}" name="Assessment No" dataDxfId="644"/>
    <tableColumn id="2" xr3:uid="{EA5FDCD9-1E61-472D-81F9-2883B9641747}" name="LO Number" dataDxfId="643"/>
    <tableColumn id="3" xr3:uid="{CCCF5ADA-06E0-4A91-83AE-399B900464ED}" name="Graduate Skills Category" dataDxfId="642"/>
    <tableColumn id="4" xr3:uid="{D6FEAFFF-68F2-40EF-BDC4-92DC8AF60B0B}" name="Graduate Skill" dataDxfId="641"/>
  </tableColumns>
  <tableStyleInfo name="TableStyleMedium3"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CD466DF-B795-42C3-AE3B-281D11D9B2FD}" name="6101SPS_Aims" displayName="_6101SPS_Aims" ref="F6:F8" totalsRowShown="0" headerRowDxfId="640" dataDxfId="639">
  <autoFilter ref="F6:F8" xr:uid="{9552138F-2332-4BC4-A585-0E13162881A5}"/>
  <tableColumns count="1">
    <tableColumn id="1" xr3:uid="{805616E4-B757-49C5-8AFD-679FD1C3035C}" name="Aims" dataDxfId="638"/>
  </tableColumns>
  <tableStyleInfo name="TableStyleMedium6"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672675B-2C0F-4782-AB89-559295DD13FF}" name="6101SPS_Syllabus" displayName="_6101SPS_Syllabus" ref="F10:F13" totalsRowShown="0" headerRowDxfId="637" dataDxfId="636">
  <autoFilter ref="F10:F13" xr:uid="{94F18F67-3F10-4F6E-A953-4FE3399B07F2}"/>
  <tableColumns count="1">
    <tableColumn id="1" xr3:uid="{AC4E006D-D99C-4E50-B5D9-56154F4430AD}" name="Outline Syllabus" dataDxfId="635"/>
  </tableColumns>
  <tableStyleInfo name="TableStyleMedium6"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B5DFED8-0F85-4604-A480-EB21F372A2E2}" name="6101SPS_Overview" displayName="_6101SPS_Overview" ref="F15:F20" totalsRowShown="0" headerRowDxfId="634" dataDxfId="633">
  <autoFilter ref="F15:F20" xr:uid="{1B2BCD7B-6C15-4B1C-86BC-48FF83D8F225}"/>
  <tableColumns count="1">
    <tableColumn id="1" xr3:uid="{D99038A9-7472-476F-8C90-5531054233FC}" name="Module Overview" dataDxfId="632"/>
  </tableColumns>
  <tableStyleInfo name="TableStyleMedium6"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00D51C3-316A-46F0-BC0E-1314FD91CA13}" name="6101SPS_Notes" displayName="_6101SPS_Notes" ref="F22:F33" totalsRowShown="0" headerRowDxfId="631" dataDxfId="630">
  <autoFilter ref="F22:F33" xr:uid="{D5968C0A-6D7E-4221-87EE-78A85A4039B3}"/>
  <tableColumns count="1">
    <tableColumn id="1" xr3:uid="{3994805D-762E-401D-88C3-584C97999D0D}" name="Additional Information/Notes" dataDxfId="629"/>
  </tableColumns>
  <tableStyleInfo name="TableStyleMedium6"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D38E0FBC-144F-4EEE-94A6-7B3ED9B43127}" name="6103SPS_Meta" displayName="_6103SPS_Meta" ref="C6:D14" totalsRowShown="0" headerRowDxfId="628" dataDxfId="627">
  <autoFilter ref="C6:D14" xr:uid="{CD75D2A7-14B1-4ABD-B64D-6E875F9BC652}">
    <filterColumn colId="0" hiddenButton="1"/>
    <filterColumn colId="1" hiddenButton="1"/>
  </autoFilter>
  <tableColumns count="2">
    <tableColumn id="1" xr3:uid="{1C097530-B4B2-49B5-9A38-694FB66998A6}" name="Module Data" dataDxfId="626"/>
    <tableColumn id="2" xr3:uid="{614B3911-F5ED-4B05-8A07-45A7AB4CFB52}" name="Details" dataDxfId="625"/>
  </tableColumns>
  <tableStyleInfo name="TableStyleMedium6"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70207BEA-4163-4330-92BD-85D7725D2A6A}" name="6103SPS_LO" displayName="_6103SPS_LO" ref="C28:D33" totalsRowShown="0" headerRowDxfId="624" dataDxfId="623">
  <autoFilter ref="C28:D33" xr:uid="{22316987-6BEB-4FAF-9619-BF9BE9909CFA}">
    <filterColumn colId="0" hiddenButton="1"/>
    <filterColumn colId="1" hiddenButton="1"/>
  </autoFilter>
  <tableColumns count="2">
    <tableColumn id="1" xr3:uid="{35E5C1D8-FDBE-4821-B0A4-A27E42F34EF4}" name="LO Number" dataDxfId="622"/>
    <tableColumn id="2" xr3:uid="{73BDB3B5-85D4-4EC4-AD91-D458B8D1A13B}" name="LO Description" dataDxfId="621"/>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D61084F8-276C-4CE8-AC1C-346F783040D4}" name="6103SPS_Assess" displayName="_6103SPS_Assess" ref="C37:H41" totalsRowShown="0" headerRowDxfId="620" dataDxfId="61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BE21A1FC-02CE-4566-9AE4-6A42BD9BC513}" name="Assessment No" dataDxfId="618"/>
    <tableColumn id="2" xr3:uid="{AF86F5B1-FF29-4F6F-A5B8-A38E3BC1D030}" name="Assessment Type" dataDxfId="617"/>
    <tableColumn id="7" xr3:uid="{268D098B-B2AC-48D1-8C93-1931D4DE6AB3}" name="Assessment Specific" dataDxfId="616"/>
    <tableColumn id="3" xr3:uid="{8CE69AB0-F52A-4FCB-ABAE-8BC40377EBFE}" name="Assessment Description" dataDxfId="615"/>
    <tableColumn id="4" xr3:uid="{D5BB5EE6-FB13-43AB-8E1C-E693D40E6BF0}" name="Weighting" dataDxfId="614"/>
    <tableColumn id="5" xr3:uid="{F2049C7E-C5BD-40CF-96F7-3CF3E251AA9C}" name="Due Week" dataDxfId="613"/>
  </tableColumns>
  <tableStyleInfo name="TableStyleMedium3"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50AAF580-B431-48A2-8BB5-B5DBED2E9A32}" name="6103SPS_Weekly" displayName="_6103SPS_Weekly" ref="B70:F94" totalsRowShown="0" headerRowDxfId="612" dataDxfId="61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91995BF8-91FB-4B9C-B90F-9C1F2EFA18B2}" name="Semester " dataDxfId="610"/>
    <tableColumn id="2" xr3:uid="{3E5B5951-E025-4950-A5CA-C0E79C3EEC69}" name="Week Number" dataDxfId="609"/>
    <tableColumn id="3" xr3:uid="{F9C32F04-0801-43F1-8091-DC40F8686858}" name="Weekly Content 1" dataDxfId="608"/>
    <tableColumn id="4" xr3:uid="{FA80DB17-0F80-4708-8DB2-144E6C81F8FA}" name="Weekly Content 2" dataDxfId="607"/>
    <tableColumn id="5" xr3:uid="{56A4E034-2385-43D6-A3E9-53F2A39959F5}" name="Weekly Content 3" dataDxfId="606"/>
  </tableColumns>
  <tableStyleInfo name="TableStyleMedium4"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37E1DD7B-F30D-48F1-BEB1-FA7FA5497992}" name="6103SPS_Hours" displayName="_6103SPS_Hours" ref="C18:D24" totalsRowShown="0" headerRowDxfId="605" dataDxfId="604">
  <autoFilter ref="C18:D24" xr:uid="{B71A3569-AA65-4A4E-98A2-885F5C38B46D}">
    <filterColumn colId="0" hiddenButton="1"/>
    <filterColumn colId="1" hiddenButton="1"/>
  </autoFilter>
  <tableColumns count="2">
    <tableColumn id="1" xr3:uid="{6C8E6598-2974-4356-A517-0C8CAEC4B9A6}" name="Component" dataDxfId="603"/>
    <tableColumn id="2" xr3:uid="{AC5AC74A-364C-4EEE-97C7-F5085AF8F46A}" name="Contact Hours" dataDxfId="602"/>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E24E1607-810F-40F6-96DE-9BBFD23C52C4}" name="6103SPS_Mapping" displayName="_6103SPS_Mapping" ref="C45:F66" totalsRowShown="0" headerRowDxfId="601" dataDxfId="600">
  <autoFilter ref="C45:F66" xr:uid="{E0A841BB-B6D5-4048-B5F2-18CF9F502EBA}">
    <filterColumn colId="0" hiddenButton="1"/>
    <filterColumn colId="1" hiddenButton="1"/>
    <filterColumn colId="2" hiddenButton="1"/>
    <filterColumn colId="3" hiddenButton="1"/>
  </autoFilter>
  <tableColumns count="4">
    <tableColumn id="1" xr3:uid="{6D1F08E0-55BB-4DBA-BF37-6B7B9BE6A8DA}" name="Assessment No" dataDxfId="599"/>
    <tableColumn id="2" xr3:uid="{F343AF7C-C9D2-4A5E-A10A-9D229CB18D29}" name="LO Number" dataDxfId="598"/>
    <tableColumn id="3" xr3:uid="{64B910F9-13E3-4711-AA05-211E9CF37C70}" name="Graduate Skills Category" dataDxfId="597"/>
    <tableColumn id="4" xr3:uid="{2D114B02-AD52-4ABD-A1E0-DA14541743A0}" name="Graduate Skill" dataDxfId="596"/>
  </tableColumns>
  <tableStyleInfo name="TableStyleMedium3"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8E700F73-9AA2-445F-8E6B-089639B178EE}" name="6103SPS_Aims" displayName="_6103SPS_Aims" ref="F6:F8" totalsRowShown="0" headerRowDxfId="595" dataDxfId="594">
  <autoFilter ref="F6:F8" xr:uid="{9552138F-2332-4BC4-A585-0E13162881A5}"/>
  <tableColumns count="1">
    <tableColumn id="1" xr3:uid="{72C0010A-7E65-4165-85B1-92F42C49D790}" name="Aims" dataDxfId="593"/>
  </tableColumns>
  <tableStyleInfo name="TableStyleMedium6"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5D97512-DB9E-4F4D-B110-D91E98EA8473}" name="6103SPS_Syllabus" displayName="_6103SPS_Syllabus" ref="F10:F13" totalsRowShown="0" headerRowDxfId="592" dataDxfId="591">
  <autoFilter ref="F10:F13" xr:uid="{94F18F67-3F10-4F6E-A953-4FE3399B07F2}"/>
  <tableColumns count="1">
    <tableColumn id="1" xr3:uid="{40F38839-A844-4EAD-B354-606D615D253D}" name="Outline Syllabus" dataDxfId="590"/>
  </tableColumns>
  <tableStyleInfo name="TableStyleMedium6"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6DCD1081-4AF8-4170-A8C5-1AE48475C9BF}" name="6103SPS_Overview" displayName="_6103SPS_Overview" ref="F15:F20" totalsRowShown="0" headerRowDxfId="589" dataDxfId="588">
  <autoFilter ref="F15:F20" xr:uid="{1B2BCD7B-6C15-4B1C-86BC-48FF83D8F225}"/>
  <tableColumns count="1">
    <tableColumn id="1" xr3:uid="{F0EA7A21-A240-4378-ABC5-4F4BC08223CF}" name="Module Overview" dataDxfId="587"/>
  </tableColumns>
  <tableStyleInfo name="TableStyleMedium6"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110D869-0C27-4050-B0EB-2117E07C5447}" name="6103SPS_Notes" displayName="_6103SPS_Notes" ref="F22:F33" totalsRowShown="0" headerRowDxfId="586" dataDxfId="585">
  <autoFilter ref="F22:F33" xr:uid="{D5968C0A-6D7E-4221-87EE-78A85A4039B3}"/>
  <tableColumns count="1">
    <tableColumn id="1" xr3:uid="{29B53D27-6E02-4157-BA49-5A597182E735}" name="Additional Information/Notes" dataDxfId="584"/>
  </tableColumns>
  <tableStyleInfo name="TableStyleMedium6"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40940089-4244-43F1-B97C-810AAAE444CF}" name="6102SPS_Meta" displayName="_6102SPS_Meta" ref="C6:D14" totalsRowShown="0" headerRowDxfId="583" dataDxfId="582">
  <autoFilter ref="C6:D14" xr:uid="{CD75D2A7-14B1-4ABD-B64D-6E875F9BC652}">
    <filterColumn colId="0" hiddenButton="1"/>
    <filterColumn colId="1" hiddenButton="1"/>
  </autoFilter>
  <tableColumns count="2">
    <tableColumn id="1" xr3:uid="{070BBF13-BA41-4DE1-A713-FB0E8630711C}" name="Module Data" dataDxfId="581"/>
    <tableColumn id="2" xr3:uid="{0E3F0926-B28A-4EA7-AAE9-E35BEC0A4DF5}" name="Details" dataDxfId="580"/>
  </tableColumns>
  <tableStyleInfo name="TableStyleMedium6"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0696BD3D-C247-4096-9138-5992AFD94B43}" name="6102SPS_LO" displayName="_6102SPS_LO" ref="C28:D33" totalsRowShown="0" headerRowDxfId="579" dataDxfId="578">
  <autoFilter ref="C28:D33" xr:uid="{22316987-6BEB-4FAF-9619-BF9BE9909CFA}">
    <filterColumn colId="0" hiddenButton="1"/>
    <filterColumn colId="1" hiddenButton="1"/>
  </autoFilter>
  <tableColumns count="2">
    <tableColumn id="1" xr3:uid="{6088F306-C9B4-4ED7-9EEC-A674129ECCC9}" name="LO Number" dataDxfId="577"/>
    <tableColumn id="2" xr3:uid="{43834854-BE01-444E-8E1C-AE64963B358A}" name="LO Description" dataDxfId="576"/>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F396ADA4-3F6E-4C44-8B94-249567CBD6BD}" name="6102SPS_Assess" displayName="_6102SPS_Assess" ref="C37:H41" totalsRowShown="0" headerRowDxfId="575" dataDxfId="57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2E1276A-52B5-424B-9BBA-9CC123ECC641}" name="Assessment No" dataDxfId="573"/>
    <tableColumn id="2" xr3:uid="{E2407AF6-3C98-4FD1-B31B-CB85A955F2E3}" name="Assessment Type" dataDxfId="572"/>
    <tableColumn id="7" xr3:uid="{803004E8-4057-430E-BD7F-E6A122487416}" name="Assessment Specific" dataDxfId="571"/>
    <tableColumn id="3" xr3:uid="{E82EABFF-0858-4F25-A741-AD63FC636934}" name="Assessment Description" dataDxfId="570"/>
    <tableColumn id="4" xr3:uid="{C435B8B1-D65F-4F43-8C3B-45550CBDD4FC}" name="Weighting" dataDxfId="569"/>
    <tableColumn id="5" xr3:uid="{03FBD12C-63B3-45F3-8CCB-172C1C96BB7E}" name="Due Week" dataDxfId="568"/>
  </tableColumns>
  <tableStyleInfo name="TableStyleMedium3"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C8359A26-B512-45F8-8655-ACB9669F3576}" name="6102SPS_Weekly" displayName="_6102SPS_Weekly" ref="B70:F94" totalsRowShown="0" headerRowDxfId="567" dataDxfId="566">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92701B6C-B731-4332-A2BC-EDB90DA0F8C9}" name="Semester " dataDxfId="565"/>
    <tableColumn id="2" xr3:uid="{0DEEBD8D-895D-4DB2-9CAB-767B56867428}" name="Week Number" dataDxfId="564"/>
    <tableColumn id="3" xr3:uid="{7E2D8092-2899-4612-BA2F-D50BF49F0F02}" name="Weekly Content 1" dataDxfId="563"/>
    <tableColumn id="4" xr3:uid="{543E0828-8F90-405C-8DC4-A27DEA150475}" name="Weekly Content 2" dataDxfId="562"/>
    <tableColumn id="5" xr3:uid="{CFCB0F41-D4BE-4456-B805-D7551BF9E83C}" name="Weekly Content 3" dataDxfId="561"/>
  </tableColumns>
  <tableStyleInfo name="TableStyleMedium4"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AE8A534E-D29F-4551-AB97-6D70C45149F5}" name="6102SPS_Hours" displayName="_6102SPS_Hours" ref="C18:D24" totalsRowShown="0" headerRowDxfId="560" dataDxfId="559">
  <autoFilter ref="C18:D24" xr:uid="{B71A3569-AA65-4A4E-98A2-885F5C38B46D}">
    <filterColumn colId="0" hiddenButton="1"/>
    <filterColumn colId="1" hiddenButton="1"/>
  </autoFilter>
  <tableColumns count="2">
    <tableColumn id="1" xr3:uid="{A95790DB-8258-4803-8284-4A4A89FC1A81}" name="Component" dataDxfId="558"/>
    <tableColumn id="2" xr3:uid="{F8CDBB8B-28A2-40B8-8AB1-6707537C499B}" name="Contact Hours" dataDxfId="557"/>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56D173C9-B42C-49E7-9D87-A5745A22D1C2}" name="6102SPS_Mapping" displayName="_6102SPS_Mapping" ref="C45:F66" totalsRowShown="0" headerRowDxfId="556" dataDxfId="555">
  <autoFilter ref="C45:F66" xr:uid="{E0A841BB-B6D5-4048-B5F2-18CF9F502EBA}">
    <filterColumn colId="0" hiddenButton="1"/>
    <filterColumn colId="1" hiddenButton="1"/>
    <filterColumn colId="2" hiddenButton="1"/>
    <filterColumn colId="3" hiddenButton="1"/>
  </autoFilter>
  <tableColumns count="4">
    <tableColumn id="1" xr3:uid="{01E2F7EB-60A0-4C13-A872-0336F07EDF9F}" name="Assessment No" dataDxfId="554"/>
    <tableColumn id="2" xr3:uid="{0A9CFE48-B3C3-4D3C-9F56-3062488E96D8}" name="LO Number" dataDxfId="553"/>
    <tableColumn id="3" xr3:uid="{F14AC592-27AF-4E15-B730-92515D2D5861}" name="Graduate Skills Category" dataDxfId="552"/>
    <tableColumn id="4" xr3:uid="{33BA90E8-AAD8-435C-9AC1-A549EDBF7228}" name="Graduate Skill" dataDxfId="551"/>
  </tableColumns>
  <tableStyleInfo name="TableStyleMedium3"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2059C37A-58BE-4D59-894C-B91B91BF8452}" name="6102SPS_Aims" displayName="_6102SPS_Aims" ref="F6:F8" totalsRowShown="0" headerRowDxfId="550" dataDxfId="549">
  <autoFilter ref="F6:F8" xr:uid="{9552138F-2332-4BC4-A585-0E13162881A5}"/>
  <tableColumns count="1">
    <tableColumn id="1" xr3:uid="{95B55738-9EA9-42EF-9542-C1E475114357}" name="Aims" dataDxfId="548"/>
  </tableColumns>
  <tableStyleInfo name="TableStyleMedium6"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D10F85BC-1345-43FC-B85A-FF83FDB98376}" name="6102SPS_Syllabus" displayName="_6102SPS_Syllabus" ref="F10:F13" totalsRowShown="0" headerRowDxfId="547" dataDxfId="546">
  <autoFilter ref="F10:F13" xr:uid="{94F18F67-3F10-4F6E-A953-4FE3399B07F2}"/>
  <tableColumns count="1">
    <tableColumn id="1" xr3:uid="{773F3BC1-153C-4CA9-9626-F7014E9C09FC}" name="Outline Syllabus" dataDxfId="545"/>
  </tableColumns>
  <tableStyleInfo name="TableStyleMedium6"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9361160D-E085-4AC4-8943-5386B5E8545C}" name="6102SPS_Overview" displayName="_6102SPS_Overview" ref="F15:F20" totalsRowShown="0" headerRowDxfId="544" dataDxfId="543">
  <autoFilter ref="F15:F20" xr:uid="{1B2BCD7B-6C15-4B1C-86BC-48FF83D8F225}"/>
  <tableColumns count="1">
    <tableColumn id="1" xr3:uid="{5AB497BE-0287-4B15-828E-068ECF632096}" name="Module Overview" dataDxfId="542"/>
  </tableColumns>
  <tableStyleInfo name="TableStyleMedium6"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2BD2469B-FE6E-4B79-8C1A-DBD7F029C0E0}" name="6102SPS_Notes" displayName="_6102SPS_Notes" ref="F22:F33" totalsRowShown="0" headerRowDxfId="541" dataDxfId="540">
  <autoFilter ref="F22:F33" xr:uid="{D5968C0A-6D7E-4221-87EE-78A85A4039B3}"/>
  <tableColumns count="1">
    <tableColumn id="1" xr3:uid="{050403C8-321F-4DA4-B6C6-73EFBF9C2B3A}" name="Additional Information/Notes" dataDxfId="539"/>
  </tableColumns>
  <tableStyleInfo name="TableStyleMedium6"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EB3195DA-61BF-4DC3-AA26-8375196AC911}" name="6104SPS_Meta" displayName="_6104SPS_Meta" ref="C6:D14" totalsRowShown="0" headerRowDxfId="538" dataDxfId="537">
  <autoFilter ref="C6:D14" xr:uid="{CD75D2A7-14B1-4ABD-B64D-6E875F9BC652}">
    <filterColumn colId="0" hiddenButton="1"/>
    <filterColumn colId="1" hiddenButton="1"/>
  </autoFilter>
  <tableColumns count="2">
    <tableColumn id="1" xr3:uid="{259296C2-F94D-4D8E-8A48-375C8B32976A}" name="Module Data" dataDxfId="536"/>
    <tableColumn id="2" xr3:uid="{FBE26AB7-C871-483E-8BF5-3102A6CBA6A9}" name="Details" dataDxfId="535"/>
  </tableColumns>
  <tableStyleInfo name="TableStyleMedium6"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B0C6758-C764-42DF-8334-275486F59160}" name="6104SPS_LO" displayName="_6104SPS_LO" ref="C28:D33" totalsRowShown="0" headerRowDxfId="534" dataDxfId="533">
  <autoFilter ref="C28:D33" xr:uid="{22316987-6BEB-4FAF-9619-BF9BE9909CFA}">
    <filterColumn colId="0" hiddenButton="1"/>
    <filterColumn colId="1" hiddenButton="1"/>
  </autoFilter>
  <tableColumns count="2">
    <tableColumn id="1" xr3:uid="{A4A042E5-B73A-4E95-83BE-374230EAEF75}" name="LO Number" dataDxfId="532"/>
    <tableColumn id="2" xr3:uid="{4CC50DE2-34DC-4FAA-BB54-72EB81C5A918}" name="LO Description" dataDxfId="531"/>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3825F8F9-FE98-45C9-AC62-4DE90913B2D5}" name="6104SPS_Assess" displayName="_6104SPS_Assess" ref="C37:H41" totalsRowShown="0" headerRowDxfId="530" dataDxfId="52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B86A69A5-1E61-43A0-B8A8-D409B7E2AEA6}" name="Assessment No" dataDxfId="528"/>
    <tableColumn id="2" xr3:uid="{846FFE48-B8E8-4A55-98C3-5451769A8EB5}" name="Assessment Type" dataDxfId="527"/>
    <tableColumn id="7" xr3:uid="{82AE06D6-F94C-441D-B6C3-297200BD5794}" name="Assessment Specific" dataDxfId="526"/>
    <tableColumn id="3" xr3:uid="{FEAAD1E7-46DD-4E01-9EEE-AB9037A04A09}" name="Assessment Description" dataDxfId="525"/>
    <tableColumn id="4" xr3:uid="{C4BFD846-DFE3-41AB-966C-3EFB00B2A790}" name="Weighting" dataDxfId="524"/>
    <tableColumn id="5" xr3:uid="{476F5563-CB55-4B33-88F8-D363824819FD}" name="Due Week" dataDxfId="523"/>
  </tableColumns>
  <tableStyleInfo name="TableStyleMedium3"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D46EDFDA-9AB0-4331-B17D-30F807C2D6D5}" name="6104SPS_Weekly" displayName="_6104SPS_Weekly" ref="B70:F94" totalsRowShown="0" headerRowDxfId="522" dataDxfId="52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68B6C85-E233-4451-9163-94A920B533E6}" name="Semester " dataDxfId="520"/>
    <tableColumn id="2" xr3:uid="{B9620A06-7C82-4FF4-995F-02655A14B62E}" name="Week Number" dataDxfId="519"/>
    <tableColumn id="3" xr3:uid="{90BEA63A-0B10-4F26-B07B-76B2D9A73B94}" name="Weekly Content 1" dataDxfId="518"/>
    <tableColumn id="4" xr3:uid="{BA0A787E-3BAF-4419-9436-D40693419273}" name="Weekly Content 2" dataDxfId="517"/>
    <tableColumn id="5" xr3:uid="{3E95C25D-5EE2-483B-B9C6-B69D6222BD63}" name="Weekly Content 3" dataDxfId="516"/>
  </tableColumns>
  <tableStyleInfo name="TableStyleMedium4"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B7F0130C-63E7-417A-B41E-9C3A0D03AD17}" name="6104SPS_Hours" displayName="_6104SPS_Hours" ref="C18:D24" totalsRowShown="0" headerRowDxfId="515" dataDxfId="514">
  <autoFilter ref="C18:D24" xr:uid="{B71A3569-AA65-4A4E-98A2-885F5C38B46D}">
    <filterColumn colId="0" hiddenButton="1"/>
    <filterColumn colId="1" hiddenButton="1"/>
  </autoFilter>
  <tableColumns count="2">
    <tableColumn id="1" xr3:uid="{17D1F957-8C58-47BC-9BD8-09011C101FC1}" name="Component" dataDxfId="513"/>
    <tableColumn id="2" xr3:uid="{F76831A8-1692-44D6-9D6D-3D5E7EBE7CB7}" name="Contact Hours" dataDxfId="512"/>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6E2263C1-7862-4289-A529-F692C072B024}" name="6104SPS_Mapping" displayName="_6104SPS_Mapping" ref="C45:F66" totalsRowShown="0" headerRowDxfId="511" dataDxfId="510">
  <autoFilter ref="C45:F66" xr:uid="{E0A841BB-B6D5-4048-B5F2-18CF9F502EBA}">
    <filterColumn colId="0" hiddenButton="1"/>
    <filterColumn colId="1" hiddenButton="1"/>
    <filterColumn colId="2" hiddenButton="1"/>
    <filterColumn colId="3" hiddenButton="1"/>
  </autoFilter>
  <tableColumns count="4">
    <tableColumn id="1" xr3:uid="{5FF07F7A-0B59-4A66-94E8-2AA6F3FABE01}" name="Assessment No" dataDxfId="509"/>
    <tableColumn id="2" xr3:uid="{AFA09957-495C-47A6-9409-B82CF20C9FEE}" name="LO Number" dataDxfId="508"/>
    <tableColumn id="3" xr3:uid="{4A6EF506-39E0-4A77-AB9A-A419A13B11BA}" name="Graduate Skills Category" dataDxfId="507"/>
    <tableColumn id="4" xr3:uid="{1CC8553E-650D-4CC9-BCBD-8A5C77CF26BC}" name="Graduate Skill" dataDxfId="506"/>
  </tableColumns>
  <tableStyleInfo name="TableStyleMedium3"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F218F218-BF90-416D-B952-D9393923801D}" name="6104SPS_Aims" displayName="_6104SPS_Aims" ref="F6:F8" totalsRowShown="0" headerRowDxfId="505" dataDxfId="504">
  <autoFilter ref="F6:F8" xr:uid="{9552138F-2332-4BC4-A585-0E13162881A5}"/>
  <tableColumns count="1">
    <tableColumn id="1" xr3:uid="{8B84DA76-C73A-484B-AB85-93CE53A85FF5}" name="Aims" dataDxfId="503"/>
  </tableColumns>
  <tableStyleInfo name="TableStyleMedium6"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405DABE-6D82-46AB-84E5-8BBBD87BD0BB}" name="6104SPS_Syllabus" displayName="_6104SPS_Syllabus" ref="F10:F13" totalsRowShown="0" headerRowDxfId="502" dataDxfId="501">
  <autoFilter ref="F10:F13" xr:uid="{94F18F67-3F10-4F6E-A953-4FE3399B07F2}"/>
  <tableColumns count="1">
    <tableColumn id="1" xr3:uid="{7BB23C35-AB5C-4E42-B2E9-C41B68F5AF1F}" name="Outline Syllabus" dataDxfId="500"/>
  </tableColumns>
  <tableStyleInfo name="TableStyleMedium6"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7AFB107C-53D3-4975-A4F4-CAB65BC99D03}" name="6104SPS_Overview" displayName="_6104SPS_Overview" ref="F15:F20" totalsRowShown="0" headerRowDxfId="499" dataDxfId="498">
  <autoFilter ref="F15:F20" xr:uid="{1B2BCD7B-6C15-4B1C-86BC-48FF83D8F225}"/>
  <tableColumns count="1">
    <tableColumn id="1" xr3:uid="{A7EAB096-E6DB-40BE-B37B-256679A7DD5C}" name="Module Overview" dataDxfId="497"/>
  </tableColumns>
  <tableStyleInfo name="TableStyleMedium6"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D37E2A52-3152-415A-95CE-C4D6FD7B7CAC}" name="6104SPS_Notes" displayName="_6104SPS_Notes" ref="F22:F33" totalsRowShown="0" headerRowDxfId="496" dataDxfId="495">
  <autoFilter ref="F22:F33" xr:uid="{D5968C0A-6D7E-4221-87EE-78A85A4039B3}"/>
  <tableColumns count="1">
    <tableColumn id="1" xr3:uid="{C72ADE2C-BCB8-499B-B1B7-EDB3A3B2FE5B}" name="Additional Information/Notes" dataDxfId="494"/>
  </tableColumns>
  <tableStyleInfo name="TableStyleMedium6"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3D9C059-9C0F-4D85-8B52-4BE4E2F3A820}" name="6105SPS_Meta" displayName="_6105SPS_Meta" ref="C6:D14" totalsRowShown="0" headerRowDxfId="493" dataDxfId="492">
  <autoFilter ref="C6:D14" xr:uid="{CD75D2A7-14B1-4ABD-B64D-6E875F9BC652}">
    <filterColumn colId="0" hiddenButton="1"/>
    <filterColumn colId="1" hiddenButton="1"/>
  </autoFilter>
  <tableColumns count="2">
    <tableColumn id="1" xr3:uid="{294825A0-B000-4273-A73D-4BDF1B0EEF00}" name="Module Data" dataDxfId="491"/>
    <tableColumn id="2" xr3:uid="{BFFFACD7-D0A7-40F6-BF15-469686406C3F}" name="Details" dataDxfId="490"/>
  </tableColumns>
  <tableStyleInfo name="TableStyleMedium6"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DD0C48BE-F6F8-4E15-8EEF-3079EE79AB53}" name="6105SPS_LO" displayName="_6105SPS_LO" ref="C28:D33" totalsRowShown="0" headerRowDxfId="489" dataDxfId="488">
  <autoFilter ref="C28:D33" xr:uid="{22316987-6BEB-4FAF-9619-BF9BE9909CFA}">
    <filterColumn colId="0" hiddenButton="1"/>
    <filterColumn colId="1" hiddenButton="1"/>
  </autoFilter>
  <tableColumns count="2">
    <tableColumn id="1" xr3:uid="{EB0958A2-9E66-44D9-A8DF-610B48FE0AC6}" name="LO Number" dataDxfId="487"/>
    <tableColumn id="2" xr3:uid="{0F368925-4523-471B-A68D-184E05AABCF7}" name="LO Description" dataDxfId="486"/>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FBE7F226-F525-4AEE-9051-8E8C19804E49}" name="6105SPS_Assess" displayName="_6105SPS_Assess" ref="C37:H41" totalsRowShown="0" headerRowDxfId="485" dataDxfId="48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1623195A-EACB-49C4-931F-4FDDF41A020A}" name="Assessment No" dataDxfId="483"/>
    <tableColumn id="2" xr3:uid="{1FA5C130-1C0E-45D6-8735-EA79A0166F2D}" name="Assessment Type" dataDxfId="482"/>
    <tableColumn id="7" xr3:uid="{34024CC2-5A32-45FD-95BD-978953E7F41B}" name="Assessment Specific" dataDxfId="481"/>
    <tableColumn id="3" xr3:uid="{5DA2B338-CCFE-4568-ACFD-CC8F0B883170}" name="Assessment Description" dataDxfId="480"/>
    <tableColumn id="4" xr3:uid="{597ADF95-B9B9-411B-8079-7F615E89550C}" name="Weighting" dataDxfId="479"/>
    <tableColumn id="5" xr3:uid="{A0D1FD19-8DF8-4595-ADE8-675937B4A7F4}" name="Due Week" dataDxfId="478"/>
  </tableColumns>
  <tableStyleInfo name="TableStyleMedium3"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7F94D071-7B51-4AEF-B4B4-033ED66B10D3}" name="6105SPS_Weekly" displayName="_6105SPS_Weekly" ref="B80:F104" totalsRowShown="0" headerRowDxfId="477" dataDxfId="476">
  <autoFilter ref="B80:F104" xr:uid="{3A41AF80-1AD3-44F6-93D1-6C4A16CCF943}">
    <filterColumn colId="0" hiddenButton="1"/>
    <filterColumn colId="1" hiddenButton="1"/>
    <filterColumn colId="2" hiddenButton="1"/>
    <filterColumn colId="3" hiddenButton="1"/>
    <filterColumn colId="4" hiddenButton="1"/>
  </autoFilter>
  <tableColumns count="5">
    <tableColumn id="1" xr3:uid="{57BA6DA9-286D-48FA-A29C-33DB01958BBC}" name="Semester " dataDxfId="475"/>
    <tableColumn id="2" xr3:uid="{633971FF-9E7F-4A44-865E-D409908313D1}" name="Week Number" dataDxfId="474"/>
    <tableColumn id="3" xr3:uid="{77413702-BFB9-4DEA-BF99-C2A188E22509}" name="Weekly Content 1" dataDxfId="473"/>
    <tableColumn id="4" xr3:uid="{DD1B7D42-32B3-4CC2-9308-AD66B052F8DB}" name="Weekly Content 2" dataDxfId="472"/>
    <tableColumn id="5" xr3:uid="{504E9A1A-C43C-49D3-BB42-E4DD5A49EFCE}" name="Weekly Content 3" dataDxfId="471"/>
  </tableColumns>
  <tableStyleInfo name="TableStyleMedium4"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1658A09-6752-4A08-B64F-A2B57CA717E6}" name="6105SPS_Hours" displayName="_6105SPS_Hours" ref="C18:D24" totalsRowShown="0" headerRowDxfId="470" dataDxfId="469">
  <autoFilter ref="C18:D24" xr:uid="{B71A3569-AA65-4A4E-98A2-885F5C38B46D}">
    <filterColumn colId="0" hiddenButton="1"/>
    <filterColumn colId="1" hiddenButton="1"/>
  </autoFilter>
  <tableColumns count="2">
    <tableColumn id="1" xr3:uid="{5D165BDB-09FC-4AAA-91DB-E67A247DFF72}" name="Component" dataDxfId="468"/>
    <tableColumn id="2" xr3:uid="{E28A3B10-E692-47D9-A3AD-18128B6A4794}" name="Contact Hours" dataDxfId="467"/>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74EC906-9B9F-48BF-8818-9671FFE04486}" name="6105SPS_Mapping" displayName="_6105SPS_Mapping" ref="C45:F77" totalsRowShown="0" headerRowDxfId="466" dataDxfId="465">
  <autoFilter ref="C45:F77" xr:uid="{E0A841BB-B6D5-4048-B5F2-18CF9F502EBA}">
    <filterColumn colId="0" hiddenButton="1"/>
    <filterColumn colId="1" hiddenButton="1"/>
    <filterColumn colId="2" hiddenButton="1"/>
    <filterColumn colId="3" hiddenButton="1"/>
  </autoFilter>
  <tableColumns count="4">
    <tableColumn id="1" xr3:uid="{BF66E6C2-D388-4188-90AD-9408AE3ED7DA}" name="Assessment No" dataDxfId="464"/>
    <tableColumn id="2" xr3:uid="{A7D6827C-7020-4950-BD3E-00625169C68E}" name="LO Number" dataDxfId="463"/>
    <tableColumn id="3" xr3:uid="{1F68EB03-6C47-4955-9791-229A42D1A45A}" name="Graduate Skills Category" dataDxfId="462"/>
    <tableColumn id="4" xr3:uid="{1FD832D4-8E97-4B72-9B09-606CF407E6C7}" name="Graduate Skill" dataDxfId="461"/>
  </tableColumns>
  <tableStyleInfo name="TableStyleMedium3"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59817139-EB2F-4EEA-A5A5-14E06D17B2BD}" name="6105SPS_Aims" displayName="_6105SPS_Aims" ref="F6:F8" totalsRowShown="0" headerRowDxfId="460" dataDxfId="459">
  <autoFilter ref="F6:F8" xr:uid="{9552138F-2332-4BC4-A585-0E13162881A5}"/>
  <tableColumns count="1">
    <tableColumn id="1" xr3:uid="{2EE5D059-BB6B-4406-AF24-CB56C5C24856}" name="Aims" dataDxfId="458"/>
  </tableColumns>
  <tableStyleInfo name="TableStyleMedium6"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32FF468F-C8D3-4B79-9797-F22B3B7B3D03}" name="6105SPS_Syllabus" displayName="_6105SPS_Syllabus" ref="F10:F13" totalsRowShown="0" headerRowDxfId="457" dataDxfId="456">
  <autoFilter ref="F10:F13" xr:uid="{94F18F67-3F10-4F6E-A953-4FE3399B07F2}"/>
  <tableColumns count="1">
    <tableColumn id="1" xr3:uid="{CF8ACDF4-0E48-466C-AF99-EC810B28E6AF}" name="Outline Syllabus" dataDxfId="455"/>
  </tableColumns>
  <tableStyleInfo name="TableStyleMedium6"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38871805-3392-4A3F-AFF8-B6F3E2CBA152}" name="6105SPS_Overview" displayName="_6105SPS_Overview" ref="F15:F20" totalsRowShown="0" headerRowDxfId="454" dataDxfId="453">
  <autoFilter ref="F15:F20" xr:uid="{1B2BCD7B-6C15-4B1C-86BC-48FF83D8F225}"/>
  <tableColumns count="1">
    <tableColumn id="1" xr3:uid="{C16E0E90-DC44-4185-AB55-C39332B32B2D}" name="Module Overview" dataDxfId="452"/>
  </tableColumns>
  <tableStyleInfo name="TableStyleMedium6"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641172B8-C240-400A-88D4-1BDB4D30A1C9}" name="6105SPS_Notes" displayName="_6105SPS_Notes" ref="F22:F33" totalsRowShown="0" headerRowDxfId="451" dataDxfId="450">
  <autoFilter ref="F22:F33" xr:uid="{D5968C0A-6D7E-4221-87EE-78A85A4039B3}"/>
  <tableColumns count="1">
    <tableColumn id="1" xr3:uid="{719B4DA9-E67A-4094-A58E-921C645096BE}" name="Additional Information/Notes" dataDxfId="449"/>
  </tableColumns>
  <tableStyleInfo name="TableStyleMedium6"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6101E4E0-85EB-4155-B186-22297C98CE26}" name="6106SPS_Meta" displayName="_6106SPS_Meta" ref="C6:D14" totalsRowShown="0" headerRowDxfId="448" dataDxfId="447">
  <autoFilter ref="C6:D14" xr:uid="{CD75D2A7-14B1-4ABD-B64D-6E875F9BC652}">
    <filterColumn colId="0" hiddenButton="1"/>
    <filterColumn colId="1" hiddenButton="1"/>
  </autoFilter>
  <tableColumns count="2">
    <tableColumn id="1" xr3:uid="{B946128C-97AA-429A-BFB7-14DA62D23F93}" name="Module Data" dataDxfId="446"/>
    <tableColumn id="2" xr3:uid="{9E5B10EF-821C-4302-A35D-3F36AB2362C9}" name="Details" dataDxfId="445"/>
  </tableColumns>
  <tableStyleInfo name="TableStyleMedium6"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98DD26DA-5250-445B-9525-2120184BE2DD}" name="6106SPS_LO" displayName="_6106SPS_LO" ref="C28:D33" totalsRowShown="0" headerRowDxfId="444" dataDxfId="443">
  <autoFilter ref="C28:D33" xr:uid="{22316987-6BEB-4FAF-9619-BF9BE9909CFA}">
    <filterColumn colId="0" hiddenButton="1"/>
    <filterColumn colId="1" hiddenButton="1"/>
  </autoFilter>
  <tableColumns count="2">
    <tableColumn id="1" xr3:uid="{3806001B-7A24-4470-B13B-816824C48A87}" name="LO Number" dataDxfId="442"/>
    <tableColumn id="2" xr3:uid="{D801C621-044F-4B79-AEEF-83CB123A3537}" name="LO Description" dataDxfId="441"/>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7ABC33D0-F5B3-4FCB-B25F-FA187E50300E}" name="6106SPS_Assess" displayName="_6106SPS_Assess" ref="C37:H41" totalsRowShown="0" headerRowDxfId="440" dataDxfId="43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CED5AE70-AB59-4814-8058-344FE8B3F393}" name="Assessment No" dataDxfId="438"/>
    <tableColumn id="2" xr3:uid="{64354A91-AE63-4D1E-BE94-8BE1D1CC7A59}" name="Assessment Type" dataDxfId="437"/>
    <tableColumn id="7" xr3:uid="{530A1FC8-EA43-41F4-BFFD-95021CCF673E}" name="Assessment Specific" dataDxfId="436"/>
    <tableColumn id="3" xr3:uid="{D7982B35-955C-4EF8-8FFF-272E5115BF74}" name="Assessment Description" dataDxfId="435"/>
    <tableColumn id="4" xr3:uid="{3D5D5D25-1897-4307-B2B9-AB9926C0783C}" name="Weighting" dataDxfId="434"/>
    <tableColumn id="5" xr3:uid="{41F93229-30BA-4DE4-BA85-1B8D0C842BE7}" name="Due Week" dataDxfId="433"/>
  </tableColumns>
  <tableStyleInfo name="TableStyleMedium3"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401509DF-1734-4C36-899A-ACE838CA9F81}" name="6106SPS_Weekly" displayName="_6106SPS_Weekly" ref="B70:F94" totalsRowShown="0" headerRowDxfId="432" dataDxfId="43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2C70E742-EE79-4C66-A81C-751B73A8833B}" name="Semester " dataDxfId="430"/>
    <tableColumn id="2" xr3:uid="{6B27DC11-3985-495E-B86E-D8AEE2E81BAF}" name="Week Number" dataDxfId="429"/>
    <tableColumn id="3" xr3:uid="{B399D5B9-AB04-4B80-8627-ADE3E5852A07}" name="Weekly Content 1" dataDxfId="428"/>
    <tableColumn id="4" xr3:uid="{F9B22473-EB7D-423C-B21A-CD3C0CD2604C}" name="Weekly Content 2" dataDxfId="427"/>
    <tableColumn id="5" xr3:uid="{BDB725C3-96D9-443B-8128-47286ADCA89C}" name="Weekly Content 3" dataDxfId="426"/>
  </tableColumns>
  <tableStyleInfo name="TableStyleMedium4"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C13203B9-F424-4B30-984F-FF53C91916DF}" name="6106SPS_Hours" displayName="_6106SPS_Hours" ref="C18:D24" totalsRowShown="0" headerRowDxfId="425" dataDxfId="424">
  <autoFilter ref="C18:D24" xr:uid="{B71A3569-AA65-4A4E-98A2-885F5C38B46D}">
    <filterColumn colId="0" hiddenButton="1"/>
    <filterColumn colId="1" hiddenButton="1"/>
  </autoFilter>
  <tableColumns count="2">
    <tableColumn id="1" xr3:uid="{157B6D45-69F3-4709-8CC3-C24641471D5F}" name="Component" dataDxfId="423"/>
    <tableColumn id="2" xr3:uid="{99B73441-0316-4CCD-B0C7-06884A8A7754}" name="Contact Hours" dataDxfId="422"/>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2AB15E2B-C0B2-41FD-B483-151F09EBAD86}" name="6106SPS_Mapping" displayName="_6106SPS_Mapping" ref="C45:F66" totalsRowShown="0" headerRowDxfId="421" dataDxfId="420">
  <autoFilter ref="C45:F66" xr:uid="{E0A841BB-B6D5-4048-B5F2-18CF9F502EBA}">
    <filterColumn colId="0" hiddenButton="1"/>
    <filterColumn colId="1" hiddenButton="1"/>
    <filterColumn colId="2" hiddenButton="1"/>
    <filterColumn colId="3" hiddenButton="1"/>
  </autoFilter>
  <tableColumns count="4">
    <tableColumn id="1" xr3:uid="{88094BA4-095B-41BB-975D-D34C506E1163}" name="Assessment No" dataDxfId="419"/>
    <tableColumn id="2" xr3:uid="{EF2FFCFD-E58D-4443-B708-BCE0D7EB93E1}" name="LO Number" dataDxfId="418"/>
    <tableColumn id="3" xr3:uid="{8E20D7DD-0908-49BF-87A5-AB3FCB98D85C}" name="Graduate Skills Category" dataDxfId="417"/>
    <tableColumn id="4" xr3:uid="{C5033368-6F6A-4D25-8F22-ECB65757E12D}" name="Graduate Skill" dataDxfId="416"/>
  </tableColumns>
  <tableStyleInfo name="TableStyleMedium3"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9A117804-871D-49EE-A48A-BED4D08FCBF8}" name="6106SPS_Aims" displayName="_6106SPS_Aims" ref="F6:F8" totalsRowShown="0" headerRowDxfId="415" dataDxfId="414">
  <autoFilter ref="F6:F8" xr:uid="{9552138F-2332-4BC4-A585-0E13162881A5}"/>
  <tableColumns count="1">
    <tableColumn id="1" xr3:uid="{95683184-77D7-4D5F-B6CD-76493CDECA59}" name="Aims" dataDxfId="413"/>
  </tableColumns>
  <tableStyleInfo name="TableStyleMedium6"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8BE269B1-AE52-407F-93A1-8BE0EAF4E8FB}" name="6106SPS_Syllabus" displayName="_6106SPS_Syllabus" ref="F10:F13" totalsRowShown="0" headerRowDxfId="412" dataDxfId="411">
  <autoFilter ref="F10:F13" xr:uid="{94F18F67-3F10-4F6E-A953-4FE3399B07F2}"/>
  <tableColumns count="1">
    <tableColumn id="1" xr3:uid="{5EEDAB62-FC71-46AD-86A7-2D7304C83206}" name="Outline Syllabus" dataDxfId="410"/>
  </tableColumns>
  <tableStyleInfo name="TableStyleMedium6"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DA6C0AC9-4EC8-454E-A46C-6FFE57848647}" name="6106SPS_Overview" displayName="_6106SPS_Overview" ref="F15:F20" totalsRowShown="0" headerRowDxfId="409" dataDxfId="408">
  <autoFilter ref="F15:F20" xr:uid="{1B2BCD7B-6C15-4B1C-86BC-48FF83D8F225}"/>
  <tableColumns count="1">
    <tableColumn id="1" xr3:uid="{0DC5DF41-105A-41BF-AF39-34EA66DFB865}" name="Module Overview" dataDxfId="407"/>
  </tableColumns>
  <tableStyleInfo name="TableStyleMedium6"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3839986D-808E-4EB2-B632-76542967DDD0}" name="6106SPS_Notes" displayName="_6106SPS_Notes" ref="F22:F33" totalsRowShown="0" headerRowDxfId="406" dataDxfId="405">
  <autoFilter ref="F22:F33" xr:uid="{D5968C0A-6D7E-4221-87EE-78A85A4039B3}"/>
  <tableColumns count="1">
    <tableColumn id="1" xr3:uid="{38D613A6-4794-4339-B091-D4F707A1828F}" name="Additional Information/Notes" dataDxfId="404"/>
  </tableColumns>
  <tableStyleInfo name="TableStyleMedium6"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6AB17149-A37D-47BC-8A11-F7655DEB8656}" name="6107SPS_Meta" displayName="_6107SPS_Meta" ref="C6:D14" totalsRowShown="0" headerRowDxfId="403" dataDxfId="402">
  <autoFilter ref="C6:D14" xr:uid="{CD75D2A7-14B1-4ABD-B64D-6E875F9BC652}">
    <filterColumn colId="0" hiddenButton="1"/>
    <filterColumn colId="1" hiddenButton="1"/>
  </autoFilter>
  <tableColumns count="2">
    <tableColumn id="1" xr3:uid="{F8338C20-999E-4297-841F-9EE93A275BC1}" name="Module Data" dataDxfId="401"/>
    <tableColumn id="2" xr3:uid="{DD3D0DAB-0512-4653-894E-2A43CB80A14F}" name="Details" dataDxfId="400"/>
  </tableColumns>
  <tableStyleInfo name="TableStyleMedium6"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41E90C6-BDAF-49EC-93F4-ECDC663E6BBC}" name="6107SPS_LO" displayName="_6107SPS_LO" ref="C28:D33" totalsRowShown="0" headerRowDxfId="399" dataDxfId="398">
  <autoFilter ref="C28:D33" xr:uid="{22316987-6BEB-4FAF-9619-BF9BE9909CFA}">
    <filterColumn colId="0" hiddenButton="1"/>
    <filterColumn colId="1" hiddenButton="1"/>
  </autoFilter>
  <tableColumns count="2">
    <tableColumn id="1" xr3:uid="{360A9A1C-A283-4342-B2CD-121409E92237}" name="LO Number" dataDxfId="397"/>
    <tableColumn id="2" xr3:uid="{D77336CC-4999-44E1-B85F-06159DECADC9}" name="LO Description" dataDxfId="396"/>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D9ABDFE3-AA27-4575-B2F2-657312B5FE58}" name="6107SPS_Assess" displayName="_6107SPS_Assess" ref="C37:H41" totalsRowShown="0" headerRowDxfId="395" dataDxfId="39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10EC8BCA-9A9C-4DC6-96C4-15B3BA26835C}" name="Assessment No" dataDxfId="393"/>
    <tableColumn id="2" xr3:uid="{D102834D-EA77-4D8D-AF03-4D1253A95943}" name="Assessment Type" dataDxfId="392"/>
    <tableColumn id="7" xr3:uid="{6A820545-0789-4C0D-A647-FC3F67E4210C}" name="Assessment Specific" dataDxfId="391"/>
    <tableColumn id="3" xr3:uid="{5D59550A-157C-41E1-B08D-4B5CA96021E8}" name="Assessment Description" dataDxfId="390"/>
    <tableColumn id="4" xr3:uid="{08D7A47C-3DFE-49EE-A529-CCB01F0D916F}" name="Weighting" dataDxfId="389"/>
    <tableColumn id="5" xr3:uid="{A42FACF0-B475-435F-8764-79130DAAEBB9}" name="Due Week" dataDxfId="388"/>
  </tableColumns>
  <tableStyleInfo name="TableStyleMedium3"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75A3588-9122-4BE4-B3E1-5FA8CA853CC3}" name="6107SPS_Weekly" displayName="_6107SPS_Weekly" ref="B70:F94" totalsRowShown="0" headerRowDxfId="387" dataDxfId="386">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50B05C96-8427-4946-9F13-2364A3A0E57F}" name="Semester " dataDxfId="385"/>
    <tableColumn id="2" xr3:uid="{6C4F4CD8-E2EA-46BF-8EAC-7E670D3B07CA}" name="Week Number" dataDxfId="384"/>
    <tableColumn id="3" xr3:uid="{40BFBB60-729C-4EC6-A8F3-E2411EF0888B}" name="Weekly Content 1" dataDxfId="383"/>
    <tableColumn id="4" xr3:uid="{F65B9FF2-E151-4466-971C-B7438924C1A8}" name="Weekly Content 2" dataDxfId="382"/>
    <tableColumn id="5" xr3:uid="{6A2B2E4C-CB26-4F3D-B0E8-EB3063A556F7}" name="Weekly Content 3" dataDxfId="381"/>
  </tableColumns>
  <tableStyleInfo name="TableStyleMedium4"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4F4A2EE-F8A1-462B-AE49-27B39246DF5B}" name="6107SPS_Hours" displayName="_6107SPS_Hours" ref="C18:D24" totalsRowShown="0" headerRowDxfId="380" dataDxfId="379">
  <autoFilter ref="C18:D24" xr:uid="{B71A3569-AA65-4A4E-98A2-885F5C38B46D}">
    <filterColumn colId="0" hiddenButton="1"/>
    <filterColumn colId="1" hiddenButton="1"/>
  </autoFilter>
  <tableColumns count="2">
    <tableColumn id="1" xr3:uid="{BCDF52D9-CC8A-47BD-9C49-2D01E1059F91}" name="Component" dataDxfId="378"/>
    <tableColumn id="2" xr3:uid="{BD08259C-3B56-4A0B-B83D-6944A6CB2E8C}" name="Contact Hours" dataDxfId="377"/>
  </tableColumns>
  <tableStyleInfo name="TableStyleMedium2"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159BCC12-40F1-4160-81B2-18003B53E43E}" name="6107SPS_Mapping" displayName="_6107SPS_Mapping" ref="C45:F66" totalsRowShown="0" headerRowDxfId="376" dataDxfId="375">
  <autoFilter ref="C45:F66" xr:uid="{E0A841BB-B6D5-4048-B5F2-18CF9F502EBA}">
    <filterColumn colId="0" hiddenButton="1"/>
    <filterColumn colId="1" hiddenButton="1"/>
    <filterColumn colId="2" hiddenButton="1"/>
    <filterColumn colId="3" hiddenButton="1"/>
  </autoFilter>
  <tableColumns count="4">
    <tableColumn id="1" xr3:uid="{67625249-86C2-400E-89B4-213A09EF7ADE}" name="Assessment No" dataDxfId="374"/>
    <tableColumn id="2" xr3:uid="{6DFA238E-D9FA-4C1B-AC76-81F3134AF2FB}" name="LO Number" dataDxfId="373"/>
    <tableColumn id="3" xr3:uid="{AFADD497-E043-4C5A-9358-01FDAF376932}" name="Graduate Skills Category" dataDxfId="372"/>
    <tableColumn id="4" xr3:uid="{56BA5CBC-2213-453E-B8E7-13C7B1D96EF0}" name="Graduate Skill" dataDxfId="371"/>
  </tableColumns>
  <tableStyleInfo name="TableStyleMedium3"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F9A82F14-3614-4473-ADFE-06BA385D8E5A}" name="6107SPS_Aims" displayName="_6107SPS_Aims" ref="F6:F8" totalsRowShown="0" headerRowDxfId="370" dataDxfId="369">
  <autoFilter ref="F6:F8" xr:uid="{9552138F-2332-4BC4-A585-0E13162881A5}"/>
  <tableColumns count="1">
    <tableColumn id="1" xr3:uid="{A0267780-C0EB-4306-AD01-D2C059ADA9E4}" name="Aims" dataDxfId="368"/>
  </tableColumns>
  <tableStyleInfo name="TableStyleMedium6"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9EEB99-490E-4D58-914C-A0F311E6F502}" name="6107SPS_Syllabus" displayName="_6107SPS_Syllabus" ref="F10:F13" totalsRowShown="0" headerRowDxfId="367" dataDxfId="366">
  <autoFilter ref="F10:F13" xr:uid="{94F18F67-3F10-4F6E-A953-4FE3399B07F2}"/>
  <tableColumns count="1">
    <tableColumn id="1" xr3:uid="{BB1D3EF2-0CA6-4122-B8DF-C71EA5E06D8C}" name="Outline Syllabus" dataDxfId="365"/>
  </tableColumns>
  <tableStyleInfo name="TableStyleMedium6"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3EBC7ACA-7097-41F4-850D-79E3A1D4FC23}" name="6107SPS_Overview" displayName="_6107SPS_Overview" ref="F15:F20" totalsRowShown="0" headerRowDxfId="364" dataDxfId="363">
  <autoFilter ref="F15:F20" xr:uid="{1B2BCD7B-6C15-4B1C-86BC-48FF83D8F225}"/>
  <tableColumns count="1">
    <tableColumn id="1" xr3:uid="{0EBC70A1-3D05-4113-BF67-EAD2BD7D7FFF}" name="Module Overview" dataDxfId="362"/>
  </tableColumns>
  <tableStyleInfo name="TableStyleMedium6"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4AAC450-D40A-4844-8156-646A53C73FFD}" name="6107SPS_Notes" displayName="_6107SPS_Notes" ref="F22:F33" totalsRowShown="0" headerRowDxfId="361" dataDxfId="360">
  <autoFilter ref="F22:F33" xr:uid="{D5968C0A-6D7E-4221-87EE-78A85A4039B3}"/>
  <tableColumns count="1">
    <tableColumn id="1" xr3:uid="{4DADF9D2-88EE-4868-9220-536D564B2285}" name="Additional Information/Notes" dataDxfId="359"/>
  </tableColumns>
  <tableStyleInfo name="TableStyleMedium6"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74B2B836-FEE3-4D8C-A583-FCE8AD37DA97}" name="6108SPS_Meta" displayName="_6108SPS_Meta" ref="C6:D14" totalsRowShown="0" headerRowDxfId="358" dataDxfId="357">
  <autoFilter ref="C6:D14" xr:uid="{CD75D2A7-14B1-4ABD-B64D-6E875F9BC652}">
    <filterColumn colId="0" hiddenButton="1"/>
    <filterColumn colId="1" hiddenButton="1"/>
  </autoFilter>
  <tableColumns count="2">
    <tableColumn id="1" xr3:uid="{4312B193-D095-44A4-B0FA-8864AE0BCBEF}" name="Module Data" dataDxfId="356"/>
    <tableColumn id="2" xr3:uid="{4F08D2F7-88F2-4061-857B-CBAD6623F570}" name="Details" dataDxfId="355"/>
  </tableColumns>
  <tableStyleInfo name="TableStyleMedium6"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6B4EAB99-124D-42E9-8E49-DC0D3280A770}" name="6108SPS_LO" displayName="_6108SPS_LO" ref="C28:D33" totalsRowShown="0" headerRowDxfId="354" dataDxfId="353">
  <autoFilter ref="C28:D33" xr:uid="{22316987-6BEB-4FAF-9619-BF9BE9909CFA}">
    <filterColumn colId="0" hiddenButton="1"/>
    <filterColumn colId="1" hiddenButton="1"/>
  </autoFilter>
  <tableColumns count="2">
    <tableColumn id="1" xr3:uid="{87282965-A2DA-4B4E-8D06-98090F28BEEF}" name="LO Number" dataDxfId="352"/>
    <tableColumn id="2" xr3:uid="{5860F21B-133F-4A88-A61B-07CF39BC7E21}" name="LO Description" dataDxfId="351"/>
  </tableColumns>
  <tableStyleInfo name="TableStyleMedium2"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3B225F4-04B9-42E5-AA5E-0B231BCFA0EF}" name="6108SPS_Assess" displayName="_6108SPS_Assess" ref="C37:H41" totalsRowShown="0" headerRowDxfId="350" dataDxfId="34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8DF47951-A7BD-47A8-B1ED-B6F5AF65DA1D}" name="Assessment No" dataDxfId="348"/>
    <tableColumn id="2" xr3:uid="{02E86080-DD71-4108-821B-E566F188DEA2}" name="Assessment Type" dataDxfId="347"/>
    <tableColumn id="7" xr3:uid="{47CA01EB-2FAC-4F47-BB5B-4ACF9B64B490}" name="Assessment Specific" dataDxfId="346"/>
    <tableColumn id="3" xr3:uid="{FBD48AF8-7B7F-4162-9266-C7CCFD60F0E7}" name="Assessment Description" dataDxfId="345"/>
    <tableColumn id="4" xr3:uid="{B1C6A884-1B35-475C-8890-451E2B62B45B}" name="Weighting" dataDxfId="344"/>
    <tableColumn id="5" xr3:uid="{52275FFC-C744-424D-9DA8-F4384F058801}" name="Due Week" dataDxfId="343"/>
  </tableColumns>
  <tableStyleInfo name="TableStyleMedium3"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11C1444-7D9D-41F0-B07B-761DA8B67262}" name="6108SPS_Weekly" displayName="_6108SPS_Weekly" ref="B70:F94" totalsRowShown="0" headerRowDxfId="342" dataDxfId="34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AA171258-098F-40B4-886F-EAA2D59C0870}" name="Semester " dataDxfId="340"/>
    <tableColumn id="2" xr3:uid="{F2C231FA-6829-4DDE-AADC-3E8FA43A1138}" name="Week Number" dataDxfId="339"/>
    <tableColumn id="3" xr3:uid="{BF2905C5-0007-47A2-850C-6A3A59009B1B}" name="Weekly Content 1" dataDxfId="338"/>
    <tableColumn id="4" xr3:uid="{87E349A9-C7DB-4B62-AE2D-73DF6FE87FF2}" name="Weekly Content 2" dataDxfId="337"/>
    <tableColumn id="5" xr3:uid="{9335E186-D4FA-4BC9-96F6-48CA2E66C8B8}" name="Weekly Content 3" dataDxfId="336"/>
  </tableColumns>
  <tableStyleInfo name="TableStyleMedium4"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A93C3D93-C0B3-4DC1-A2AD-C094B48CCC3E}" name="6108SPS_Hours" displayName="_6108SPS_Hours" ref="C18:D24" totalsRowShown="0" headerRowDxfId="335" dataDxfId="334">
  <autoFilter ref="C18:D24" xr:uid="{B71A3569-AA65-4A4E-98A2-885F5C38B46D}">
    <filterColumn colId="0" hiddenButton="1"/>
    <filterColumn colId="1" hiddenButton="1"/>
  </autoFilter>
  <tableColumns count="2">
    <tableColumn id="1" xr3:uid="{9CDDC04F-6E44-4B1D-B2F7-BCFB91288FF8}" name="Component" dataDxfId="333"/>
    <tableColumn id="2" xr3:uid="{0A78BA71-0A43-4908-AD5D-EAD433A8F0CB}" name="Contact Hours" dataDxfId="332"/>
  </tableColumns>
  <tableStyleInfo name="TableStyleMedium2"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74D72A6-497B-41F6-AEDC-764E0477FB4D}" name="6108SPS_Mapping" displayName="_6108SPS_Mapping" ref="C45:F66" totalsRowShown="0" headerRowDxfId="331" dataDxfId="330">
  <autoFilter ref="C45:F66" xr:uid="{E0A841BB-B6D5-4048-B5F2-18CF9F502EBA}">
    <filterColumn colId="0" hiddenButton="1"/>
    <filterColumn colId="1" hiddenButton="1"/>
    <filterColumn colId="2" hiddenButton="1"/>
    <filterColumn colId="3" hiddenButton="1"/>
  </autoFilter>
  <tableColumns count="4">
    <tableColumn id="1" xr3:uid="{EACDE5D0-DCC0-4C25-9632-DAE8298C79C4}" name="Assessment No" dataDxfId="329"/>
    <tableColumn id="2" xr3:uid="{38F835BE-5EB1-4FFA-8259-BEB6E39C8FA1}" name="LO Number" dataDxfId="328"/>
    <tableColumn id="3" xr3:uid="{C6B979A3-0E5A-464F-B5CD-CBA3047E98BE}" name="Graduate Skills Category" dataDxfId="327"/>
    <tableColumn id="4" xr3:uid="{2D7AD4B8-14A9-4533-A3C6-5E7125BAACC7}" name="Graduate Skill" dataDxfId="326"/>
  </tableColumns>
  <tableStyleInfo name="TableStyleMedium3"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3DFB63D-58AB-47FF-9208-A470E9348B6F}" name="6108SPS_Aims" displayName="_6108SPS_Aims" ref="F6:F8" totalsRowShown="0" headerRowDxfId="325" dataDxfId="324">
  <autoFilter ref="F6:F8" xr:uid="{9552138F-2332-4BC4-A585-0E13162881A5}"/>
  <tableColumns count="1">
    <tableColumn id="1" xr3:uid="{9E1F2909-CE11-40D2-90E4-0F2548AB10B2}" name="Aims" dataDxfId="323"/>
  </tableColumns>
  <tableStyleInfo name="TableStyleMedium6"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5CFA8ECE-8F57-4ECA-B2A5-317B767EA53F}" name="6108SPS_Syllabus" displayName="_6108SPS_Syllabus" ref="F10:F13" totalsRowShown="0" headerRowDxfId="322" dataDxfId="321">
  <autoFilter ref="F10:F13" xr:uid="{94F18F67-3F10-4F6E-A953-4FE3399B07F2}"/>
  <tableColumns count="1">
    <tableColumn id="1" xr3:uid="{454BC257-77E7-4C9C-B231-D65E8EE20325}" name="Outline Syllabus" dataDxfId="320"/>
  </tableColumns>
  <tableStyleInfo name="TableStyleMedium6"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3CDE255B-3A1A-451C-A13C-91436E9FCF71}" name="6108SPS_Overview" displayName="_6108SPS_Overview" ref="F15:F20" totalsRowShown="0" headerRowDxfId="319" dataDxfId="318">
  <autoFilter ref="F15:F20" xr:uid="{1B2BCD7B-6C15-4B1C-86BC-48FF83D8F225}"/>
  <tableColumns count="1">
    <tableColumn id="1" xr3:uid="{D37E1C0D-C9AF-4C78-BCFF-8B2CE993F50A}" name="Module Overview" dataDxfId="317"/>
  </tableColumns>
  <tableStyleInfo name="TableStyleMedium6"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1D041108-8D42-47AB-9472-C648C6F01A1B}" name="6108SPS_Notes" displayName="_6108SPS_Notes" ref="F22:F33" totalsRowShown="0" headerRowDxfId="316" dataDxfId="315">
  <autoFilter ref="F22:F33" xr:uid="{D5968C0A-6D7E-4221-87EE-78A85A4039B3}"/>
  <tableColumns count="1">
    <tableColumn id="1" xr3:uid="{E8342C1A-2B62-4E1C-B80B-B12917066000}" name="Additional Information/Notes" dataDxfId="314"/>
  </tableColumns>
  <tableStyleInfo name="TableStyleMedium6"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C1815BC-3D96-4CE2-A3C0-E524ED84C584}" name="6109SPS_Meta" displayName="_6109SPS_Meta" ref="C6:D14" totalsRowShown="0" headerRowDxfId="313" dataDxfId="312">
  <autoFilter ref="C6:D14" xr:uid="{CD75D2A7-14B1-4ABD-B64D-6E875F9BC652}">
    <filterColumn colId="0" hiddenButton="1"/>
    <filterColumn colId="1" hiddenButton="1"/>
  </autoFilter>
  <tableColumns count="2">
    <tableColumn id="1" xr3:uid="{5D38FCD1-7A3F-4025-AC69-E6A90C68A79E}" name="Module Data" dataDxfId="311"/>
    <tableColumn id="2" xr3:uid="{ACE861FD-0C1D-4D19-A0A8-AC83427FA81A}" name="Details" dataDxfId="310"/>
  </tableColumns>
  <tableStyleInfo name="TableStyleMedium6"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D5D2633F-A72A-4EBD-BB0D-2D2560E496A6}" name="6109SPS_LO" displayName="_6109SPS_LO" ref="C28:D33" totalsRowShown="0" headerRowDxfId="309" dataDxfId="308">
  <autoFilter ref="C28:D33" xr:uid="{22316987-6BEB-4FAF-9619-BF9BE9909CFA}">
    <filterColumn colId="0" hiddenButton="1"/>
    <filterColumn colId="1" hiddenButton="1"/>
  </autoFilter>
  <tableColumns count="2">
    <tableColumn id="1" xr3:uid="{92FDE3DF-EAC0-4CA6-A5B4-E15BAAC4A01D}" name="LO Number" dataDxfId="307"/>
    <tableColumn id="2" xr3:uid="{A384CFCB-55B0-46B7-AF9A-FAAC6022096A}" name="LO Description" dataDxfId="306"/>
  </tableColumns>
  <tableStyleInfo name="TableStyleMedium2"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F820147B-082B-4FA1-97BA-0F1A0D69376D}" name="6109SPS_Assess" displayName="_6109SPS_Assess" ref="C37:H41" totalsRowShown="0" headerRowDxfId="305" dataDxfId="30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2063B804-9290-4363-A24F-BA34F88A89EF}" name="Assessment No" dataDxfId="303"/>
    <tableColumn id="2" xr3:uid="{390EF809-FA62-405F-B84C-B2AD571CEBAA}" name="Assessment Type" dataDxfId="302"/>
    <tableColumn id="7" xr3:uid="{2B1618E6-AA98-4A15-AE0C-79993F1BAFB7}" name="Assessment Specific" dataDxfId="301"/>
    <tableColumn id="3" xr3:uid="{138C3352-0967-40A6-A5BE-4B32DEC01ACB}" name="Assessment Description" dataDxfId="300"/>
    <tableColumn id="4" xr3:uid="{F4B4B6BF-3460-42E3-849C-1BBE242E83C3}" name="Weighting" dataDxfId="299"/>
    <tableColumn id="5" xr3:uid="{E52307F9-F56A-42FC-9A76-6A630F2C5B71}" name="Due Week" dataDxfId="298"/>
  </tableColumns>
  <tableStyleInfo name="TableStyleMedium3"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36DF56C-F5DF-42FA-9C3E-466BEB6A9B25}" name="6109SPS_Weekly" displayName="_6109SPS_Weekly" ref="B76:F100" totalsRowShown="0" headerRowDxfId="297" dataDxfId="296">
  <autoFilter ref="B76:F100" xr:uid="{3A41AF80-1AD3-44F6-93D1-6C4A16CCF943}">
    <filterColumn colId="0" hiddenButton="1"/>
    <filterColumn colId="1" hiddenButton="1"/>
    <filterColumn colId="2" hiddenButton="1"/>
    <filterColumn colId="3" hiddenButton="1"/>
    <filterColumn colId="4" hiddenButton="1"/>
  </autoFilter>
  <tableColumns count="5">
    <tableColumn id="1" xr3:uid="{A5D23D0B-4E1E-44F9-A154-416BAE9F0E6A}" name="Semester " dataDxfId="295"/>
    <tableColumn id="2" xr3:uid="{1B7B234D-0DD9-4913-9C62-18CC4E0FD5D6}" name="Week Number" dataDxfId="294"/>
    <tableColumn id="3" xr3:uid="{FDA6287D-7D09-41DC-96F1-E9BCD4B11D2E}" name="Weekly Content 1" dataDxfId="293"/>
    <tableColumn id="4" xr3:uid="{C104D628-2E09-432B-BC7A-B7E29838D1BD}" name="Weekly Content 2" dataDxfId="292"/>
    <tableColumn id="5" xr3:uid="{6CD950CC-83A5-4FD3-93FC-B284F6F6350E}" name="Weekly Content 3" dataDxfId="291"/>
  </tableColumns>
  <tableStyleInfo name="TableStyleMedium4"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92B2FE4A-AD2A-4354-81FF-92DECA27A716}" name="6109SPS_Hours" displayName="_6109SPS_Hours" ref="C18:D24" totalsRowShown="0" headerRowDxfId="290" dataDxfId="289">
  <autoFilter ref="C18:D24" xr:uid="{B71A3569-AA65-4A4E-98A2-885F5C38B46D}">
    <filterColumn colId="0" hiddenButton="1"/>
    <filterColumn colId="1" hiddenButton="1"/>
  </autoFilter>
  <tableColumns count="2">
    <tableColumn id="1" xr3:uid="{27F817B7-6395-4976-9120-60D5C9775BA5}" name="Component" dataDxfId="288"/>
    <tableColumn id="2" xr3:uid="{D9B68E50-AFDD-4B94-80F2-BAB157C2FF40}" name="Contact Hours" dataDxfId="287"/>
  </tableColumns>
  <tableStyleInfo name="TableStyleMedium2"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ACD4F23-19CD-490A-863B-D357A075F62D}" name="6109SPS_Mapping" displayName="_6109SPS_Mapping" ref="C45:F72" totalsRowShown="0" headerRowDxfId="286" dataDxfId="285">
  <autoFilter ref="C45:F72" xr:uid="{E0A841BB-B6D5-4048-B5F2-18CF9F502EBA}">
    <filterColumn colId="0" hiddenButton="1"/>
    <filterColumn colId="1" hiddenButton="1"/>
    <filterColumn colId="2" hiddenButton="1"/>
    <filterColumn colId="3" hiddenButton="1"/>
  </autoFilter>
  <tableColumns count="4">
    <tableColumn id="1" xr3:uid="{4320F17F-7532-4CD6-9873-A1CBAAFA9F7C}" name="Assessment No" dataDxfId="284"/>
    <tableColumn id="2" xr3:uid="{CF29F699-8C1A-4AC4-A563-FCBB128AC8F3}" name="LO Number" dataDxfId="283"/>
    <tableColumn id="3" xr3:uid="{B1082C18-E8C1-42F9-B74D-584EBA4A0A39}" name="Graduate Skills Category" dataDxfId="282"/>
    <tableColumn id="4" xr3:uid="{BD6D6488-ABFD-45B6-B06F-748690280986}" name="Graduate Skill" dataDxfId="281"/>
  </tableColumns>
  <tableStyleInfo name="TableStyleMedium3"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BD2BE49-9025-454E-A9D0-BE88D8AF0F0B}" name="6109SPS_Aims" displayName="_6109SPS_Aims" ref="F6:F8" totalsRowShown="0" headerRowDxfId="280" dataDxfId="279">
  <autoFilter ref="F6:F8" xr:uid="{9552138F-2332-4BC4-A585-0E13162881A5}"/>
  <tableColumns count="1">
    <tableColumn id="1" xr3:uid="{E2B338AF-53C9-469A-B45D-DF4BE4CCBDD0}" name="Aims" dataDxfId="278"/>
  </tableColumns>
  <tableStyleInfo name="TableStyleMedium6"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963A62B5-6BD6-4FF7-AC53-AE2CCA7AF0AD}" name="6109SPS_Syllabus" displayName="_6109SPS_Syllabus" ref="F10:F13" totalsRowShown="0" headerRowDxfId="277" dataDxfId="276">
  <autoFilter ref="F10:F13" xr:uid="{94F18F67-3F10-4F6E-A953-4FE3399B07F2}"/>
  <tableColumns count="1">
    <tableColumn id="1" xr3:uid="{0B585185-EFA9-44AB-A953-91DF09E1C8F4}" name="Outline Syllabus" dataDxfId="275"/>
  </tableColumns>
  <tableStyleInfo name="TableStyleMedium6"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49D78F64-BBE3-4F16-BBE6-34802F612A15}" name="6109SPS_Overview" displayName="_6109SPS_Overview" ref="F15:F20" totalsRowShown="0" headerRowDxfId="274" dataDxfId="273">
  <autoFilter ref="F15:F20" xr:uid="{1B2BCD7B-6C15-4B1C-86BC-48FF83D8F225}"/>
  <tableColumns count="1">
    <tableColumn id="1" xr3:uid="{8DA5C005-FC9F-4CBE-A281-B2B92A53526A}" name="Module Overview" dataDxfId="272"/>
  </tableColumns>
  <tableStyleInfo name="TableStyleMedium6"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E2516B-A7EA-432E-92EE-6643A09A6407}" name="6109SPS_Notes" displayName="_6109SPS_Notes" ref="F22:F33" totalsRowShown="0" headerRowDxfId="271" dataDxfId="270">
  <autoFilter ref="F22:F33" xr:uid="{D5968C0A-6D7E-4221-87EE-78A85A4039B3}"/>
  <tableColumns count="1">
    <tableColumn id="1" xr3:uid="{D67854B5-D179-408B-A477-7F6E3033D84B}" name="Additional Information/Notes" dataDxfId="269"/>
  </tableColumns>
  <tableStyleInfo name="TableStyleMedium6"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85DC69C9-BE42-468F-B2BB-4E80EFAA9DB8}" name="6091SPS_Meta" displayName="_6091SPS_Meta" ref="C6:D14" totalsRowShown="0" headerRowDxfId="268" dataDxfId="267">
  <autoFilter ref="C6:D14" xr:uid="{CD75D2A7-14B1-4ABD-B64D-6E875F9BC652}">
    <filterColumn colId="0" hiddenButton="1"/>
    <filterColumn colId="1" hiddenButton="1"/>
  </autoFilter>
  <tableColumns count="2">
    <tableColumn id="1" xr3:uid="{EB65BA05-1DE9-4FD7-BDBD-BDE47DF298A4}" name="Module Data" dataDxfId="266"/>
    <tableColumn id="2" xr3:uid="{310F2A93-D88D-4CC8-AC0C-C016B97380F6}" name="Details" dataDxfId="265"/>
  </tableColumns>
  <tableStyleInfo name="TableStyleMedium6"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0EF7517-CDCA-4E4C-9047-154277CCFA43}" name="6091SPS_LO" displayName="_6091SPS_LO" ref="C28:D33" totalsRowShown="0" headerRowDxfId="264" dataDxfId="263">
  <autoFilter ref="C28:D33" xr:uid="{22316987-6BEB-4FAF-9619-BF9BE9909CFA}">
    <filterColumn colId="0" hiddenButton="1"/>
    <filterColumn colId="1" hiddenButton="1"/>
  </autoFilter>
  <tableColumns count="2">
    <tableColumn id="1" xr3:uid="{2DA2E0DF-8487-4F48-AD57-6C8EF1F6A824}" name="LO Number" dataDxfId="262"/>
    <tableColumn id="2" xr3:uid="{5F671E3D-DB5F-4A86-A8E8-215D497F640F}" name="LO Description" dataDxfId="261"/>
  </tableColumns>
  <tableStyleInfo name="TableStyleMedium2"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1BB2DB77-32B9-47E3-B172-5236610AB17A}" name="6091SPS_Assess" displayName="_6091SPS_Assess" ref="C37:H41" totalsRowShown="0" headerRowDxfId="260" dataDxfId="25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786E370-A6E2-472B-A06D-0B294D362273}" name="Assessment No" dataDxfId="258"/>
    <tableColumn id="2" xr3:uid="{99037CEE-E227-4DE7-AC0C-42C69784F090}" name="Assessment Type" dataDxfId="257"/>
    <tableColumn id="7" xr3:uid="{EE90A0B1-86AF-42EC-AB37-5E98D709E3E4}" name="Assessment Specific" dataDxfId="256"/>
    <tableColumn id="3" xr3:uid="{8B0C1721-2FDC-4C1A-AECE-975C6F1434A1}" name="Assessment Description" dataDxfId="255"/>
    <tableColumn id="4" xr3:uid="{876D72EC-520F-497B-8AC7-6AF0A5409783}" name="Weighting" dataDxfId="254"/>
    <tableColumn id="5" xr3:uid="{31A1A910-0DF5-428E-806F-6E026C606C3B}" name="Due Week" dataDxfId="253"/>
  </tableColumns>
  <tableStyleInfo name="TableStyleMedium3"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407C2B80-44A8-4EFD-ACE8-01F8593CF4E1}" name="6091SPS_Weekly" displayName="_6091SPS_Weekly" ref="B70:F94" totalsRowShown="0" headerRowDxfId="252" dataDxfId="25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F8C77D5A-A698-44A7-A4E3-08630D8FD36A}" name="Semester " dataDxfId="250"/>
    <tableColumn id="2" xr3:uid="{8C49AFEC-B460-42E3-B373-FC0AB260F379}" name="Week Number" dataDxfId="249"/>
    <tableColumn id="3" xr3:uid="{A81B53B3-7EE2-4FDF-9110-0A8C17CA27E0}" name="Weekly Content 1" dataDxfId="248"/>
    <tableColumn id="4" xr3:uid="{362C63E5-C442-416C-9DB4-4F34D3EDDEF3}" name="Weekly Content 2" dataDxfId="247"/>
    <tableColumn id="5" xr3:uid="{E3C14089-4743-4CA8-9480-E777866BAF64}" name="Weekly Content 3" dataDxfId="246"/>
  </tableColumns>
  <tableStyleInfo name="TableStyleMedium4"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6A30B449-6643-4D56-A6EF-AE96296A3D03}" name="6091SPS_Hours" displayName="_6091SPS_Hours" ref="C18:D24" totalsRowShown="0" headerRowDxfId="245" dataDxfId="244">
  <autoFilter ref="C18:D24" xr:uid="{B71A3569-AA65-4A4E-98A2-885F5C38B46D}">
    <filterColumn colId="0" hiddenButton="1"/>
    <filterColumn colId="1" hiddenButton="1"/>
  </autoFilter>
  <tableColumns count="2">
    <tableColumn id="1" xr3:uid="{7C918E81-2521-4CC2-B784-37E43EEC3CDD}" name="Component" dataDxfId="243"/>
    <tableColumn id="2" xr3:uid="{0D2A69D7-E2F7-4C5C-8E4D-714C66054E76}" name="Contact Hours" dataDxfId="242"/>
  </tableColumns>
  <tableStyleInfo name="TableStyleMedium2"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723641A-ADF0-4C69-969E-9516C86FC569}" name="6091SPS_Mapping" displayName="_6091SPS_Mapping" ref="C45:F66" totalsRowShown="0" headerRowDxfId="241" dataDxfId="240">
  <autoFilter ref="C45:F66" xr:uid="{E0A841BB-B6D5-4048-B5F2-18CF9F502EBA}">
    <filterColumn colId="0" hiddenButton="1"/>
    <filterColumn colId="1" hiddenButton="1"/>
    <filterColumn colId="2" hiddenButton="1"/>
    <filterColumn colId="3" hiddenButton="1"/>
  </autoFilter>
  <tableColumns count="4">
    <tableColumn id="1" xr3:uid="{B6420078-6983-409A-AD6E-9EAEEF45A138}" name="Assessment No" dataDxfId="239"/>
    <tableColumn id="2" xr3:uid="{8D3D6147-F8A2-4D54-BC97-772B8CE44EA3}" name="LO Number" dataDxfId="238"/>
    <tableColumn id="3" xr3:uid="{C41D8ED0-797F-45E8-B847-5F5796F9B51E}" name="Graduate Skills Category" dataDxfId="237"/>
    <tableColumn id="4" xr3:uid="{28997C86-0364-497D-A258-1C7BA682BCAA}" name="Graduate Skill" dataDxfId="236"/>
  </tableColumns>
  <tableStyleInfo name="TableStyleMedium3"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7BE3C87-0560-4F04-B07A-C606EE2CC56D}" name="6091SPS_Aims" displayName="_6091SPS_Aims" ref="F6:F8" totalsRowShown="0" headerRowDxfId="235" dataDxfId="234">
  <autoFilter ref="F6:F8" xr:uid="{9552138F-2332-4BC4-A585-0E13162881A5}"/>
  <tableColumns count="1">
    <tableColumn id="1" xr3:uid="{3E728AAA-21E1-43D6-98EC-781D610D5B5C}" name="Aims" dataDxfId="233"/>
  </tableColumns>
  <tableStyleInfo name="TableStyleMedium6"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24DBD723-9435-4154-9659-24C8E488A767}" name="6091SPS_Syllabus" displayName="_6091SPS_Syllabus" ref="F10:F13" totalsRowShown="0" headerRowDxfId="232" dataDxfId="231">
  <autoFilter ref="F10:F13" xr:uid="{94F18F67-3F10-4F6E-A953-4FE3399B07F2}"/>
  <tableColumns count="1">
    <tableColumn id="1" xr3:uid="{CAFF733E-EEBF-4C10-ACD1-A6DDCD33C63A}" name="Outline Syllabus" dataDxfId="230"/>
  </tableColumns>
  <tableStyleInfo name="TableStyleMedium6"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C47F6AB6-EF50-4395-B0F7-E6C315358556}" name="6091SPS_Overview" displayName="_6091SPS_Overview" ref="F15:F20" totalsRowShown="0" headerRowDxfId="229" dataDxfId="228">
  <autoFilter ref="F15:F20" xr:uid="{1B2BCD7B-6C15-4B1C-86BC-48FF83D8F225}"/>
  <tableColumns count="1">
    <tableColumn id="1" xr3:uid="{3D131B43-1A6C-42C4-B635-F81D00AEF103}" name="Module Overview" dataDxfId="227"/>
  </tableColumns>
  <tableStyleInfo name="TableStyleMedium6"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759B136A-3D50-4F87-9E82-4E8BACD02961}" name="6091SPS_Notes" displayName="_6091SPS_Notes" ref="F22:F33" totalsRowShown="0" headerRowDxfId="226" dataDxfId="225">
  <autoFilter ref="F22:F33" xr:uid="{D5968C0A-6D7E-4221-87EE-78A85A4039B3}"/>
  <tableColumns count="1">
    <tableColumn id="1" xr3:uid="{DBD01D3B-64A5-4A59-96FF-8858AB682507}" name="Additional Information/Notes" dataDxfId="224"/>
  </tableColumns>
  <tableStyleInfo name="TableStyleMedium6"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C86E48D9-F82B-402B-A44C-BC8F8F7303D0}" name="6093SPS_Meta" displayName="_6093SPS_Meta" ref="C6:D14" totalsRowShown="0" headerRowDxfId="223" dataDxfId="222">
  <autoFilter ref="C6:D14" xr:uid="{CD75D2A7-14B1-4ABD-B64D-6E875F9BC652}">
    <filterColumn colId="0" hiddenButton="1"/>
    <filterColumn colId="1" hiddenButton="1"/>
  </autoFilter>
  <tableColumns count="2">
    <tableColumn id="1" xr3:uid="{7833E623-ED87-40CE-93D2-B78B6A7D7E94}" name="Module Data" dataDxfId="221"/>
    <tableColumn id="2" xr3:uid="{0659839B-A1DA-4204-9267-1A4CC295A6EF}" name="Details" dataDxfId="220"/>
  </tableColumns>
  <tableStyleInfo name="TableStyleMedium6"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32A9936-076B-4BC2-B13B-069BFBBB1804}" name="6093SPS_LO" displayName="_6093SPS_LO" ref="C28:D33" totalsRowShown="0" headerRowDxfId="219" dataDxfId="218">
  <autoFilter ref="C28:D33" xr:uid="{22316987-6BEB-4FAF-9619-BF9BE9909CFA}">
    <filterColumn colId="0" hiddenButton="1"/>
    <filterColumn colId="1" hiddenButton="1"/>
  </autoFilter>
  <tableColumns count="2">
    <tableColumn id="1" xr3:uid="{FEDC5FCD-23F6-4532-A565-C979DFEE6452}" name="LO Number" dataDxfId="217"/>
    <tableColumn id="2" xr3:uid="{1F64A8B9-B360-490C-BD12-64A29F9CF82F}" name="LO Description" dataDxfId="216"/>
  </tableColumns>
  <tableStyleInfo name="TableStyleMedium2"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A199E17E-33E1-438A-8DFD-E5E7B9D9B6AD}" name="6093SPS_Assess" displayName="_6093SPS_Assess" ref="C37:H41" totalsRowShown="0" headerRowDxfId="215" dataDxfId="21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257FCD3-320E-4A09-882E-104641C1FD58}" name="Assessment No" dataDxfId="213"/>
    <tableColumn id="2" xr3:uid="{0FE47FA8-B999-4405-B49D-E106E82A7509}" name="Assessment Type" dataDxfId="212"/>
    <tableColumn id="7" xr3:uid="{61D6D411-EDDD-4962-A754-A4B5EEB96263}" name="Assessment Specific" dataDxfId="211"/>
    <tableColumn id="3" xr3:uid="{1A288D47-FFDF-4BA0-94F1-9B647BE04DCC}" name="Assessment Description" dataDxfId="210"/>
    <tableColumn id="4" xr3:uid="{ED08857B-A938-490D-9B30-962DE64252AB}" name="Weighting" dataDxfId="209"/>
    <tableColumn id="5" xr3:uid="{581E13F4-4545-426B-8995-08E09758F5CB}" name="Due Week" dataDxfId="208"/>
  </tableColumns>
  <tableStyleInfo name="TableStyleMedium3"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BF4AD49-2241-4DE3-B6F1-0E1C2F3DE17D}" name="6093SPS_Weekly" displayName="_6093SPS_Weekly" ref="B70:F94" totalsRowShown="0" headerRowDxfId="207" dataDxfId="206">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D1DA16D2-1087-49A1-9BB0-8496A2968E4A}" name="Semester " dataDxfId="205"/>
    <tableColumn id="2" xr3:uid="{BED16F5A-D8C5-4300-A763-C0065F48E598}" name="Week Number" dataDxfId="204"/>
    <tableColumn id="3" xr3:uid="{1C3278D5-9F89-43C0-84A5-ACE6AE3BF8C8}" name="Weekly Content 1" dataDxfId="203"/>
    <tableColumn id="4" xr3:uid="{8ADEF497-35DC-4945-B42C-DCA4C8DB67C9}" name="Weekly Content 2" dataDxfId="202"/>
    <tableColumn id="5" xr3:uid="{E6B69E39-A78E-4994-8E8F-40C76F0002A1}" name="Weekly Content 3" dataDxfId="201"/>
  </tableColumns>
  <tableStyleInfo name="TableStyleMedium4" showFirstColumn="0" showLastColumn="0"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E7FD2E5-9819-4DDA-9192-9962A61B1C4E}" name="6093SPS_Hours" displayName="_6093SPS_Hours" ref="C18:D24" totalsRowShown="0" headerRowDxfId="200" dataDxfId="199">
  <autoFilter ref="C18:D24" xr:uid="{B71A3569-AA65-4A4E-98A2-885F5C38B46D}">
    <filterColumn colId="0" hiddenButton="1"/>
    <filterColumn colId="1" hiddenButton="1"/>
  </autoFilter>
  <tableColumns count="2">
    <tableColumn id="1" xr3:uid="{2FFE33E1-E3D8-499A-B70C-70494FCFC11F}" name="Component" dataDxfId="198"/>
    <tableColumn id="2" xr3:uid="{D8D74B7C-DED1-4107-9D9B-A69709137AF1}" name="Contact Hours" dataDxfId="197"/>
  </tableColumns>
  <tableStyleInfo name="TableStyleMedium2" showFirstColumn="0" showLastColumn="0"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568775CE-CA9A-402A-A796-7C84FDD56B4E}" name="6093SPS_Mapping" displayName="_6093SPS_Mapping" ref="C45:F66" totalsRowShown="0" headerRowDxfId="196" dataDxfId="195">
  <autoFilter ref="C45:F66" xr:uid="{E0A841BB-B6D5-4048-B5F2-18CF9F502EBA}">
    <filterColumn colId="0" hiddenButton="1"/>
    <filterColumn colId="1" hiddenButton="1"/>
    <filterColumn colId="2" hiddenButton="1"/>
    <filterColumn colId="3" hiddenButton="1"/>
  </autoFilter>
  <tableColumns count="4">
    <tableColumn id="1" xr3:uid="{1EFBBED1-A4EE-4381-813E-E578917BA7ED}" name="Assessment No" dataDxfId="194"/>
    <tableColumn id="2" xr3:uid="{3DE98FE2-3138-46D6-BD99-F2FB47042775}" name="LO Number" dataDxfId="193"/>
    <tableColumn id="3" xr3:uid="{810A03D8-C153-4962-9C3C-D761D27C4A3F}" name="Graduate Skills Category" dataDxfId="192"/>
    <tableColumn id="4" xr3:uid="{C3B0D1F6-1274-4ED1-9705-01F40BB1E2F2}" name="Graduate Skill" dataDxfId="191"/>
  </tableColumns>
  <tableStyleInfo name="TableStyleMedium3" showFirstColumn="0" showLastColumn="0"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F6D575A-6B50-40E0-9195-2B0B7EBAA31D}" name="6093SPS_Aims" displayName="_6093SPS_Aims" ref="F6:F8" totalsRowShown="0" headerRowDxfId="190" dataDxfId="189">
  <autoFilter ref="F6:F8" xr:uid="{9552138F-2332-4BC4-A585-0E13162881A5}"/>
  <tableColumns count="1">
    <tableColumn id="1" xr3:uid="{C445F0C7-61B3-46CB-A56F-67D79AE54D5C}" name="Aims" dataDxfId="188"/>
  </tableColumns>
  <tableStyleInfo name="TableStyleMedium6" showFirstColumn="0" showLastColumn="0"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4737D9A0-1182-4F4B-8A02-69208479CE71}" name="6093SPS_Syllabus" displayName="_6093SPS_Syllabus" ref="F10:F13" totalsRowShown="0" headerRowDxfId="187" dataDxfId="186">
  <autoFilter ref="F10:F13" xr:uid="{94F18F67-3F10-4F6E-A953-4FE3399B07F2}"/>
  <tableColumns count="1">
    <tableColumn id="1" xr3:uid="{CAABEA9D-6FBF-459A-AD97-585A17318A01}" name="Outline Syllabus" dataDxfId="185"/>
  </tableColumns>
  <tableStyleInfo name="TableStyleMedium6" showFirstColumn="0" showLastColumn="0"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235D63BF-CDCE-4B35-AC53-8391B5EC5408}" name="6093SPS_Overview" displayName="_6093SPS_Overview" ref="F15:F20" totalsRowShown="0" headerRowDxfId="184" dataDxfId="183">
  <autoFilter ref="F15:F20" xr:uid="{1B2BCD7B-6C15-4B1C-86BC-48FF83D8F225}"/>
  <tableColumns count="1">
    <tableColumn id="1" xr3:uid="{A14625FC-0807-41B3-BEF3-09E7E979EFED}" name="Module Overview" dataDxfId="182"/>
  </tableColumns>
  <tableStyleInfo name="TableStyleMedium6" showFirstColumn="0" showLastColumn="0"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69E4EB89-A002-43BB-BD42-A6CBE09A1C1C}" name="6093SPS_Notes" displayName="_6093SPS_Notes" ref="F22:F33" totalsRowShown="0" headerRowDxfId="181" dataDxfId="180">
  <autoFilter ref="F22:F33" xr:uid="{D5968C0A-6D7E-4221-87EE-78A85A4039B3}"/>
  <tableColumns count="1">
    <tableColumn id="1" xr3:uid="{0F69CA79-BA33-4E25-8FA9-233F7FC95036}" name="Additional Information/Notes" dataDxfId="179"/>
  </tableColumns>
  <tableStyleInfo name="TableStyleMedium6" showFirstColumn="0" showLastColumn="0"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4" xr:uid="{1742E01A-4016-4567-9344-B85EF957D1B4}" name="6094SPS_Meta" displayName="_6094SPS_Meta" ref="C6:D14" totalsRowShown="0" headerRowDxfId="178" dataDxfId="177">
  <autoFilter ref="C6:D14" xr:uid="{CD75D2A7-14B1-4ABD-B64D-6E875F9BC652}">
    <filterColumn colId="0" hiddenButton="1"/>
    <filterColumn colId="1" hiddenButton="1"/>
  </autoFilter>
  <tableColumns count="2">
    <tableColumn id="1" xr3:uid="{06BDFAA3-479A-4BBC-9915-8C7BAD6E936F}" name="Module Data" dataDxfId="176"/>
    <tableColumn id="2" xr3:uid="{88C1139F-D00E-41AC-AAA3-7F947DD3692E}" name="Details" dataDxfId="175"/>
  </tableColumns>
  <tableStyleInfo name="TableStyleMedium6" showFirstColumn="0" showLastColumn="0"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5" xr:uid="{9444F959-C929-476E-AC1C-CAF1511057B8}" name="6094SPS_LO" displayName="_6094SPS_LO" ref="C28:D33" totalsRowShown="0" headerRowDxfId="174" dataDxfId="173">
  <autoFilter ref="C28:D33" xr:uid="{22316987-6BEB-4FAF-9619-BF9BE9909CFA}">
    <filterColumn colId="0" hiddenButton="1"/>
    <filterColumn colId="1" hiddenButton="1"/>
  </autoFilter>
  <tableColumns count="2">
    <tableColumn id="1" xr3:uid="{BD831C2D-873F-4998-A52A-F0B0FFD7968F}" name="LO Number" dataDxfId="172"/>
    <tableColumn id="2" xr3:uid="{1BA07E0C-CECD-4EA1-95B7-176525BCA192}" name="LO Description" dataDxfId="171"/>
  </tableColumns>
  <tableStyleInfo name="TableStyleMedium2" showFirstColumn="0" showLastColumn="0"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6" xr:uid="{1FD31010-90D0-4CE6-9C34-BFB80C458243}" name="6094SPS_Assess" displayName="_6094SPS_Assess" ref="C37:H41" totalsRowShown="0" headerRowDxfId="170" dataDxfId="169">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1B228D9B-CC97-4858-8BFD-B1CBBB2545F7}" name="Assessment No" dataDxfId="168"/>
    <tableColumn id="2" xr3:uid="{073B1C1C-0D75-4D35-9FCA-2B312A5ED358}" name="Assessment Type" dataDxfId="167"/>
    <tableColumn id="7" xr3:uid="{071C21B2-890F-443A-86AA-C710C5744CED}" name="Assessment Specific" dataDxfId="166"/>
    <tableColumn id="3" xr3:uid="{A198D730-F6D1-47E9-A6FA-E8F8BA77CD85}" name="Assessment Description" dataDxfId="165"/>
    <tableColumn id="4" xr3:uid="{862B274B-375D-412B-941A-F96D77BAB655}" name="Weighting" dataDxfId="164"/>
    <tableColumn id="5" xr3:uid="{31C4237D-6059-4BF1-AD5B-5ED6BA8C43C2}" name="Due Week" dataDxfId="163"/>
  </tableColumns>
  <tableStyleInfo name="TableStyleMedium3" showFirstColumn="0" showLastColumn="0"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7" xr:uid="{681D6CBF-AB61-47D2-9228-3F0244489C7F}" name="6094SPS_Weekly" displayName="_6094SPS_Weekly" ref="B70:F94" totalsRowShown="0" headerRowDxfId="162" dataDxfId="161">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3C4938FE-CF0E-4B27-A9C1-444C05E20B75}" name="Semester " dataDxfId="160"/>
    <tableColumn id="2" xr3:uid="{02F13E06-E65A-4AFE-8D67-E2133F40E94E}" name="Week Number" dataDxfId="159"/>
    <tableColumn id="3" xr3:uid="{622E2BE4-4ADC-49E4-80A5-92158A4B4565}" name="Weekly Content 1" dataDxfId="158"/>
    <tableColumn id="4" xr3:uid="{70F5763E-49CE-4BB6-AE7B-48EE4EFDF193}" name="Weekly Content 2" dataDxfId="157"/>
    <tableColumn id="5" xr3:uid="{19393265-A875-4C1F-ABDC-2C80B2BC8433}" name="Weekly Content 3" dataDxfId="156"/>
  </tableColumns>
  <tableStyleInfo name="TableStyleMedium4" showFirstColumn="0" showLastColumn="0"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8" xr:uid="{E6864FBC-F504-4A19-9427-5028B1703AAA}" name="6094SPS_Hours" displayName="_6094SPS_Hours" ref="C18:D24" totalsRowShown="0" headerRowDxfId="155" dataDxfId="154">
  <autoFilter ref="C18:D24" xr:uid="{B71A3569-AA65-4A4E-98A2-885F5C38B46D}">
    <filterColumn colId="0" hiddenButton="1"/>
    <filterColumn colId="1" hiddenButton="1"/>
  </autoFilter>
  <tableColumns count="2">
    <tableColumn id="1" xr3:uid="{3CB3CF83-F534-442B-BFBB-7069B2473590}" name="Component" dataDxfId="153"/>
    <tableColumn id="2" xr3:uid="{A6DA5467-53EE-43D7-9A23-DC36B887A605}" name="Contact Hours" dataDxfId="152"/>
  </tableColumns>
  <tableStyleInfo name="TableStyleMedium2" showFirstColumn="0" showLastColumn="0"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9" xr:uid="{3A438361-ADF9-4C82-9085-D26A66C67372}" name="6094SPS_Mapping" displayName="_6094SPS_Mapping" ref="C45:F66" totalsRowShown="0" headerRowDxfId="151" dataDxfId="150">
  <autoFilter ref="C45:F66" xr:uid="{E0A841BB-B6D5-4048-B5F2-18CF9F502EBA}">
    <filterColumn colId="0" hiddenButton="1"/>
    <filterColumn colId="1" hiddenButton="1"/>
    <filterColumn colId="2" hiddenButton="1"/>
    <filterColumn colId="3" hiddenButton="1"/>
  </autoFilter>
  <tableColumns count="4">
    <tableColumn id="1" xr3:uid="{9E24E800-2AF7-4FDC-96FE-BC44944158BC}" name="Assessment No" dataDxfId="149"/>
    <tableColumn id="2" xr3:uid="{36743B67-FBBC-4B9D-80DB-B5F4EE41B207}" name="LO Number" dataDxfId="148"/>
    <tableColumn id="3" xr3:uid="{0EA32A76-827B-4807-803F-742CBE030D84}" name="Graduate Skills Category" dataDxfId="147"/>
    <tableColumn id="4" xr3:uid="{BA130ADB-6060-40D2-9E79-B61C98C5C88F}" name="Graduate Skill" dataDxfId="146"/>
  </tableColumns>
  <tableStyleInfo name="TableStyleMedium3" showFirstColumn="0" showLastColumn="0"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0" xr:uid="{BFBEAC7D-3DD5-425D-90C9-4A4034B1D768}" name="6094SPS_Aims" displayName="_6094SPS_Aims" ref="F6:F8" totalsRowShown="0" headerRowDxfId="145" dataDxfId="144">
  <autoFilter ref="F6:F8" xr:uid="{9552138F-2332-4BC4-A585-0E13162881A5}"/>
  <tableColumns count="1">
    <tableColumn id="1" xr3:uid="{07962947-B408-415F-8A82-F59CCF1578AB}" name="Aims" dataDxfId="143"/>
  </tableColumns>
  <tableStyleInfo name="TableStyleMedium6" showFirstColumn="0" showLastColumn="0"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1" xr:uid="{F637F415-58DC-4416-9EE8-E805417A1D8C}" name="6094SPS_Syllabus" displayName="_6094SPS_Syllabus" ref="F10:F13" totalsRowShown="0" headerRowDxfId="142" dataDxfId="141">
  <autoFilter ref="F10:F13" xr:uid="{94F18F67-3F10-4F6E-A953-4FE3399B07F2}"/>
  <tableColumns count="1">
    <tableColumn id="1" xr3:uid="{25CBD8F4-D3C3-4881-AD03-3B068068E1B7}" name="Outline Syllabus" dataDxfId="140"/>
  </tableColumns>
  <tableStyleInfo name="TableStyleMedium6" showFirstColumn="0" showLastColumn="0"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2" xr:uid="{0F3C042F-3F79-4A8D-B2DE-C76C9776F2AF}" name="6094SPS_Overview" displayName="_6094SPS_Overview" ref="F15:F20" totalsRowShown="0" headerRowDxfId="139" dataDxfId="138">
  <autoFilter ref="F15:F20" xr:uid="{1B2BCD7B-6C15-4B1C-86BC-48FF83D8F225}"/>
  <tableColumns count="1">
    <tableColumn id="1" xr3:uid="{6CAF4282-21AD-4117-8648-19B290673EF5}" name="Module Overview" dataDxfId="137"/>
  </tableColumns>
  <tableStyleInfo name="TableStyleMedium6" showFirstColumn="0" showLastColumn="0" showRowStripes="1"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3" xr:uid="{7D239B4D-5261-4E3B-B7BD-38D3BF85BE83}" name="6094SPS_Notes" displayName="_6094SPS_Notes" ref="F22:F33" totalsRowShown="0" headerRowDxfId="136" dataDxfId="135">
  <autoFilter ref="F22:F33" xr:uid="{D5968C0A-6D7E-4221-87EE-78A85A4039B3}"/>
  <tableColumns count="1">
    <tableColumn id="1" xr3:uid="{6C784C6F-DE98-4ADB-8DC3-84A9477FAE0C}" name="Additional Information/Notes" dataDxfId="134"/>
  </tableColumns>
  <tableStyleInfo name="TableStyleMedium6" showFirstColumn="0" showLastColumn="0" showRowStripes="1" showColumnStripes="0"/>
</table>
</file>

<file path=xl/tables/table2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0CD881A0-2268-4505-912E-C83A30A1D9F9}" name="6095SPS_Meta" displayName="_6095SPS_Meta" ref="C6:D14" totalsRowShown="0" headerRowDxfId="133" dataDxfId="132">
  <autoFilter ref="C6:D14" xr:uid="{CD75D2A7-14B1-4ABD-B64D-6E875F9BC652}">
    <filterColumn colId="0" hiddenButton="1"/>
    <filterColumn colId="1" hiddenButton="1"/>
  </autoFilter>
  <tableColumns count="2">
    <tableColumn id="1" xr3:uid="{003D85AB-DC18-4963-8429-2D172F516B3E}" name="Module Data" dataDxfId="131"/>
    <tableColumn id="2" xr3:uid="{85139526-41CF-4CCD-BD9C-741E3F4F2920}" name="Details" dataDxfId="130"/>
  </tableColumns>
  <tableStyleInfo name="TableStyleMedium6" showFirstColumn="0" showLastColumn="0" showRowStripes="1" showColumnStripes="0"/>
</table>
</file>

<file path=xl/tables/table2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8D1D8DC3-EF53-45AF-ACFC-D90428DAD8FE}" name="6095SPS_LO" displayName="_6095SPS_LO" ref="C28:D33" totalsRowShown="0" headerRowDxfId="129" dataDxfId="128">
  <autoFilter ref="C28:D33" xr:uid="{22316987-6BEB-4FAF-9619-BF9BE9909CFA}">
    <filterColumn colId="0" hiddenButton="1"/>
    <filterColumn colId="1" hiddenButton="1"/>
  </autoFilter>
  <tableColumns count="2">
    <tableColumn id="1" xr3:uid="{1DC30917-B49D-4C7F-9E25-FBC5CAD9C400}" name="LO Number" dataDxfId="127"/>
    <tableColumn id="2" xr3:uid="{952C1089-C63F-468E-894F-7522AA998AC3}" name="LO Description" dataDxfId="126"/>
  </tableColumns>
  <tableStyleInfo name="TableStyleMedium2" showFirstColumn="0" showLastColumn="0" showRowStripes="1" showColumnStripes="0"/>
</table>
</file>

<file path=xl/tables/table2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54AE5102-D8BE-4DBD-AAA2-BF4D0483D285}" name="6095SPS_Assess" displayName="_6095SPS_Assess" ref="C37:H41" totalsRowShown="0" headerRowDxfId="125" dataDxfId="124">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89AF1C42-1F65-47F5-BE03-C62994CC7FB3}" name="Assessment No" dataDxfId="123"/>
    <tableColumn id="2" xr3:uid="{803C22E3-C384-4AB5-AE31-4D40460ED0A1}" name="Assessment Type" dataDxfId="122"/>
    <tableColumn id="7" xr3:uid="{C4A45769-5895-4AF4-9F31-44700B697BFD}" name="Assessment Specific" dataDxfId="121"/>
    <tableColumn id="3" xr3:uid="{FFF5B57D-0618-4003-B7E6-B03D7EC23527}" name="Assessment Description" dataDxfId="120"/>
    <tableColumn id="4" xr3:uid="{E428CF52-BDBE-4BAE-BE2E-A5A269E31391}" name="Weighting" dataDxfId="119"/>
    <tableColumn id="5" xr3:uid="{0456530C-E6FF-4AC9-BC78-1BCF9137ABEF}" name="Due Week" dataDxfId="118"/>
  </tableColumns>
  <tableStyleInfo name="TableStyleMedium3" showFirstColumn="0" showLastColumn="0" showRowStripes="1" showColumnStripes="0"/>
</table>
</file>

<file path=xl/tables/table2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72DC79D5-3ADC-424C-A382-373BE24C67DD}" name="6095SPS_Weekly" displayName="_6095SPS_Weekly" ref="B70:F94" totalsRowShown="0" headerRowDxfId="117" dataDxfId="116">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CD4F0570-5393-4F18-BF18-0A2D7604C1ED}" name="Semester " dataDxfId="115"/>
    <tableColumn id="2" xr3:uid="{24B8FCA2-0ADD-409E-97AD-E7932ADBC4BA}" name="Week Number" dataDxfId="114"/>
    <tableColumn id="3" xr3:uid="{9A527A77-2946-4A22-B924-26F7ACB0268C}" name="Weekly Content 1" dataDxfId="113"/>
    <tableColumn id="4" xr3:uid="{11A1E556-85EB-4AE8-8856-5231CEE6EA87}" name="Weekly Content 2" dataDxfId="112"/>
    <tableColumn id="5" xr3:uid="{4E38731E-46FF-42DB-B350-4FE11BF2D6CC}" name="Weekly Content 3" dataDxfId="111"/>
  </tableColumns>
  <tableStyleInfo name="TableStyleMedium4" showFirstColumn="0" showLastColumn="0" showRowStripes="1" showColumnStripes="0"/>
</table>
</file>

<file path=xl/tables/table2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1FC60440-344F-441F-BF0F-C9E3EA32860E}" name="6095SPS_Hours" displayName="_6095SPS_Hours" ref="C18:D24" totalsRowShown="0" headerRowDxfId="110" dataDxfId="109">
  <autoFilter ref="C18:D24" xr:uid="{B71A3569-AA65-4A4E-98A2-885F5C38B46D}">
    <filterColumn colId="0" hiddenButton="1"/>
    <filterColumn colId="1" hiddenButton="1"/>
  </autoFilter>
  <tableColumns count="2">
    <tableColumn id="1" xr3:uid="{95CDC712-3B6D-4C16-B04E-549B61DA5022}" name="Component" dataDxfId="108"/>
    <tableColumn id="2" xr3:uid="{B695C860-F8BF-48B4-9F05-9E73F12A7156}" name="Contact Hours" dataDxfId="107"/>
  </tableColumns>
  <tableStyleInfo name="TableStyleMedium2" showFirstColumn="0" showLastColumn="0" showRowStripes="1" showColumnStripes="0"/>
</table>
</file>

<file path=xl/tables/table2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AEA4803D-D76D-4956-8FBE-DE9C3BE46189}" name="6095SPS_Mapping" displayName="_6095SPS_Mapping" ref="C45:F66" totalsRowShown="0" headerRowDxfId="106" dataDxfId="105">
  <autoFilter ref="C45:F66" xr:uid="{E0A841BB-B6D5-4048-B5F2-18CF9F502EBA}">
    <filterColumn colId="0" hiddenButton="1"/>
    <filterColumn colId="1" hiddenButton="1"/>
    <filterColumn colId="2" hiddenButton="1"/>
    <filterColumn colId="3" hiddenButton="1"/>
  </autoFilter>
  <tableColumns count="4">
    <tableColumn id="1" xr3:uid="{491EBCB7-B174-4F47-964C-124613DA615D}" name="Assessment No" dataDxfId="104"/>
    <tableColumn id="2" xr3:uid="{A2A784A6-AACE-4E36-91DF-72D5CE28095F}" name="LO Number" dataDxfId="103"/>
    <tableColumn id="3" xr3:uid="{F6F2DE07-0BDD-4A1A-941F-0DCAD01220D1}" name="Graduate Skills Category" dataDxfId="102"/>
    <tableColumn id="4" xr3:uid="{F9229346-8201-407C-9CE2-141C500E832D}" name="Graduate Skill" dataDxfId="101"/>
  </tableColumns>
  <tableStyleInfo name="TableStyleMedium3" showFirstColumn="0" showLastColumn="0" showRowStripes="1" showColumnStripes="0"/>
</table>
</file>

<file path=xl/tables/table2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F2B69E04-16E7-4A38-8621-4447824EA35C}" name="6095SPS_Aims" displayName="_6095SPS_Aims" ref="F6:F8" totalsRowShown="0" headerRowDxfId="100" dataDxfId="99">
  <autoFilter ref="F6:F8" xr:uid="{9552138F-2332-4BC4-A585-0E13162881A5}"/>
  <tableColumns count="1">
    <tableColumn id="1" xr3:uid="{9CF71A0E-81E1-475E-97A1-21722534446B}" name="Aims" dataDxfId="98"/>
  </tableColumns>
  <tableStyleInfo name="TableStyleMedium6" showFirstColumn="0" showLastColumn="0" showRowStripes="1" showColumnStripes="0"/>
</table>
</file>

<file path=xl/tables/table2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AEF9C42F-A09F-47DA-BE7E-CA162C33EF35}" name="6095SPS_Syllabus" displayName="_6095SPS_Syllabus" ref="F10:F13" totalsRowShown="0" headerRowDxfId="97" dataDxfId="96">
  <autoFilter ref="F10:F13" xr:uid="{94F18F67-3F10-4F6E-A953-4FE3399B07F2}"/>
  <tableColumns count="1">
    <tableColumn id="1" xr3:uid="{EAF9AC93-48F9-4BB8-A9A0-24E442041D11}" name="Outline Syllabus" dataDxfId="95"/>
  </tableColumns>
  <tableStyleInfo name="TableStyleMedium6" showFirstColumn="0" showLastColumn="0" showRowStripes="1" showColumnStripes="0"/>
</table>
</file>

<file path=xl/tables/table2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19785D06-0E58-4E0F-8AFF-9FC97CF62824}" name="6095SPS_Overview" displayName="_6095SPS_Overview" ref="F15:F20" totalsRowShown="0" headerRowDxfId="94" dataDxfId="93">
  <autoFilter ref="F15:F20" xr:uid="{1B2BCD7B-6C15-4B1C-86BC-48FF83D8F225}"/>
  <tableColumns count="1">
    <tableColumn id="1" xr3:uid="{DDD0AB10-61E7-41E6-B8F1-8D720BC48395}" name="Module Overview" dataDxfId="92"/>
  </tableColumns>
  <tableStyleInfo name="TableStyleMedium6" showFirstColumn="0" showLastColumn="0" showRowStripes="1" showColumnStripes="0"/>
</table>
</file>

<file path=xl/tables/table2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23E99D32-C429-486D-8709-CE5B9F94DCD2}" name="6095SPS_Notes" displayName="_6095SPS_Notes" ref="F22:F33" totalsRowShown="0" headerRowDxfId="91" dataDxfId="90">
  <autoFilter ref="F22:F33" xr:uid="{D5968C0A-6D7E-4221-87EE-78A85A4039B3}"/>
  <tableColumns count="1">
    <tableColumn id="1" xr3:uid="{3AE20833-E0CC-41C3-A178-FA35088F61A6}" name="Additional Information/Notes" dataDxfId="89"/>
  </tableColumns>
  <tableStyleInfo name="TableStyleMedium6" showFirstColumn="0" showLastColumn="0" showRowStripes="1" showColumnStripes="0"/>
</table>
</file>

<file path=xl/tables/table2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4" xr:uid="{6B022916-C94F-418A-96DF-CBA457C11D51}" name="Module (22)_Meta" displayName="Module__22__Meta" ref="C6:D14" totalsRowShown="0">
  <autoFilter ref="C6:D14" xr:uid="{CD75D2A7-14B1-4ABD-B64D-6E875F9BC652}">
    <filterColumn colId="0" hiddenButton="1"/>
    <filterColumn colId="1" hiddenButton="1"/>
  </autoFilter>
  <tableColumns count="2">
    <tableColumn id="1" xr3:uid="{8589D626-BD19-4A57-BC55-7BD93390B7E0}" name="Module Data" dataDxfId="88"/>
    <tableColumn id="2" xr3:uid="{32675E2E-11CE-466F-A203-8CBAD85B6106}" name="Details" dataDxfId="87"/>
  </tableColumns>
  <tableStyleInfo name="TableStyleMedium6" showFirstColumn="0" showLastColumn="0" showRowStripes="1" showColumnStripes="0"/>
</table>
</file>

<file path=xl/tables/table2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5" xr:uid="{0CF5979A-1250-4ABA-B04D-D211E7709252}" name="Module (22)_LO" displayName="Module__22__LO" ref="C28:D33" totalsRowShown="0" headerRowDxfId="86">
  <autoFilter ref="C28:D33" xr:uid="{22316987-6BEB-4FAF-9619-BF9BE9909CFA}">
    <filterColumn colId="0" hiddenButton="1"/>
    <filterColumn colId="1" hiddenButton="1"/>
  </autoFilter>
  <tableColumns count="2">
    <tableColumn id="1" xr3:uid="{406B4062-5346-4191-8E7D-3F30BE30CD89}" name="LO Number" dataDxfId="85"/>
    <tableColumn id="2" xr3:uid="{ECDF9592-E009-4317-AD78-8EDF29F5314D}" name="LO Description" dataDxfId="84"/>
  </tableColumns>
  <tableStyleInfo name="TableStyleMedium2" showFirstColumn="0" showLastColumn="0" showRowStripes="1" showColumnStripes="0"/>
</table>
</file>

<file path=xl/tables/table2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6" xr:uid="{19762499-B3C7-4CC1-A467-8E8F61A257A7}" name="Module (22)_Assess" displayName="Module__22__Assess" ref="C37:H41" totalsRowShown="0" headerRowDxfId="83">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999E1591-7EEA-4184-90DA-560BFC5DE2A2}" name="Assessment No" dataDxfId="82"/>
    <tableColumn id="2" xr3:uid="{9D0C9230-12A2-4CE1-AB8A-41C89C86FD6D}" name="Assessment Type" dataDxfId="81"/>
    <tableColumn id="7" xr3:uid="{CC85B4C4-D7B8-480C-8D99-2924B268E3B7}" name="Assessment Specific" dataDxfId="80"/>
    <tableColumn id="3" xr3:uid="{80BCCA64-D2D0-4773-BD53-30A11175D3FF}" name="Assessment Description" dataDxfId="79"/>
    <tableColumn id="4" xr3:uid="{FF66551B-1874-4D01-BA52-4FB7B725A9C6}" name="Weighting" dataDxfId="78"/>
    <tableColumn id="5" xr3:uid="{5C36320D-1108-4E73-A6DD-2E99CDC6AA42}" name="Due Week" dataDxfId="77"/>
  </tableColumns>
  <tableStyleInfo name="TableStyleMedium3" showFirstColumn="0" showLastColumn="0" showRowStripes="1" showColumnStripes="0"/>
</table>
</file>

<file path=xl/tables/table2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7" xr:uid="{F2016E46-EDBD-41C7-A651-70967A34E949}" name="Module (22)_Weekly" displayName="Module__22__Weekly" ref="B70:F94" totalsRowShown="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61FBBBFC-126A-493C-B2C2-868700A4A4E2}" name="Semester " dataDxfId="76"/>
    <tableColumn id="2" xr3:uid="{ABF01243-32FF-4D9F-A5E6-C4E4A07A3919}" name="Week Number" dataDxfId="75"/>
    <tableColumn id="3" xr3:uid="{5B208949-9811-4F2D-B05F-33A20DED36C5}" name="Weekly Content 1" dataDxfId="74"/>
    <tableColumn id="4" xr3:uid="{26B1AC14-0649-47D5-8A21-246674936AB4}" name="Weekly Content 2" dataDxfId="73"/>
    <tableColumn id="5" xr3:uid="{5B9975D5-79A7-4F7E-84FE-882367A23783}" name="Weekly Content 3" dataDxfId="72"/>
  </tableColumns>
  <tableStyleInfo name="TableStyleMedium4" showFirstColumn="0" showLastColumn="0" showRowStripes="1" showColumnStripes="0"/>
</table>
</file>

<file path=xl/tables/table2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8" xr:uid="{E444FE88-A6FA-4312-91EA-5AF6F8702F8A}" name="Module (22)_Hours" displayName="Module__22__Hours" ref="C18:D24" totalsRowShown="0">
  <autoFilter ref="C18:D24" xr:uid="{B71A3569-AA65-4A4E-98A2-885F5C38B46D}">
    <filterColumn colId="0" hiddenButton="1"/>
    <filterColumn colId="1" hiddenButton="1"/>
  </autoFilter>
  <tableColumns count="2">
    <tableColumn id="1" xr3:uid="{0A0C2499-F29C-443F-B932-A19F5E4FF06D}" name="Component" dataDxfId="71"/>
    <tableColumn id="2" xr3:uid="{C657DF13-3A82-4B4D-AC3C-87AC7DBF2362}" name="Contact Hours" dataDxfId="70"/>
  </tableColumns>
  <tableStyleInfo name="TableStyleMedium2" showFirstColumn="0" showLastColumn="0" showRowStripes="1" showColumnStripes="0"/>
</table>
</file>

<file path=xl/tables/table2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9" xr:uid="{2B2AC139-63EF-43CB-BBBD-BA466848F37C}" name="Module (22)_Mapping" displayName="Module__22__Mapping" ref="C45:F66" totalsRowShown="0" headerRowDxfId="69" dataDxfId="68">
  <autoFilter ref="C45:F66" xr:uid="{E0A841BB-B6D5-4048-B5F2-18CF9F502EBA}">
    <filterColumn colId="0" hiddenButton="1"/>
    <filterColumn colId="1" hiddenButton="1"/>
    <filterColumn colId="2" hiddenButton="1"/>
    <filterColumn colId="3" hiddenButton="1"/>
  </autoFilter>
  <tableColumns count="4">
    <tableColumn id="1" xr3:uid="{2DE1F221-75DB-43CE-9F3B-39F1118A2B14}" name="Assessment No" dataDxfId="67"/>
    <tableColumn id="2" xr3:uid="{3CC09ACF-36D5-49FE-8A29-1074730BAF04}" name="LO Number" dataDxfId="66"/>
    <tableColumn id="3" xr3:uid="{523070E8-BAE6-434E-BD26-958EC10A182B}" name="Graduate Skills Category" dataDxfId="65"/>
    <tableColumn id="4" xr3:uid="{2572A7A7-898C-4A7E-8D9C-B1F6C0FBEE94}" name="Graduate Skill" dataDxfId="64"/>
  </tableColumns>
  <tableStyleInfo name="TableStyleMedium3" showFirstColumn="0" showLastColumn="0" showRowStripes="1" showColumnStripes="0"/>
</table>
</file>

<file path=xl/tables/table2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97B05665-6ACF-4D35-BA38-71B7958844A1}" name="Module (22)_Aims" displayName="Module__22__Aims" ref="F6:F8" totalsRowShown="0" dataDxfId="63">
  <autoFilter ref="F6:F8" xr:uid="{9552138F-2332-4BC4-A585-0E13162881A5}"/>
  <tableColumns count="1">
    <tableColumn id="1" xr3:uid="{03C505AA-48A0-4A88-9F49-B7FF5C16BCAE}" name="Aims" dataDxfId="62"/>
  </tableColumns>
  <tableStyleInfo name="TableStyleMedium6" showFirstColumn="0" showLastColumn="0" showRowStripes="1" showColumnStripes="0"/>
</table>
</file>

<file path=xl/tables/table2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1" xr:uid="{D5BA3FF3-3E35-4CBB-B045-4F42DE077FE8}" name="Module (22)_Syllabus" displayName="Module__22__Syllabus" ref="F10:F13" totalsRowShown="0" dataDxfId="61">
  <autoFilter ref="F10:F13" xr:uid="{94F18F67-3F10-4F6E-A953-4FE3399B07F2}"/>
  <tableColumns count="1">
    <tableColumn id="1" xr3:uid="{D82AB61C-3BCC-45E5-A0F7-2A8249EBEA58}" name="Outline Syllabus" dataDxfId="60"/>
  </tableColumns>
  <tableStyleInfo name="TableStyleMedium6" showFirstColumn="0" showLastColumn="0" showRowStripes="1" showColumnStripes="0"/>
</table>
</file>

<file path=xl/tables/table2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2" xr:uid="{206EC6E6-7379-4207-BFEA-7454DEF8BEDC}" name="Module (22)_Overview" displayName="Module__22__Overview" ref="F15:F20" totalsRowShown="0" dataDxfId="59">
  <autoFilter ref="F15:F20" xr:uid="{1B2BCD7B-6C15-4B1C-86BC-48FF83D8F225}"/>
  <tableColumns count="1">
    <tableColumn id="1" xr3:uid="{A736E8CD-3F0B-4824-AA95-F9779192F7D4}" name="Module Overview" dataDxfId="58"/>
  </tableColumns>
  <tableStyleInfo name="TableStyleMedium6" showFirstColumn="0" showLastColumn="0" showRowStripes="1" showColumnStripes="0"/>
</table>
</file>

<file path=xl/tables/table2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3" xr:uid="{4DF8198E-11EB-4AA9-BADB-60106759E188}" name="Module (22)_Notes" displayName="Module__22__Notes" ref="F22:F33" totalsRowShown="0" dataDxfId="57">
  <autoFilter ref="F22:F33" xr:uid="{D5968C0A-6D7E-4221-87EE-78A85A4039B3}"/>
  <tableColumns count="1">
    <tableColumn id="1" xr3:uid="{85005615-7F38-4006-93CA-9CB054C3BDFF}" name="Additional Information/Notes" dataDxfId="56"/>
  </tableColumns>
  <tableStyleInfo name="TableStyleMedium6" showFirstColumn="0" showLastColumn="0" showRowStripes="1" showColumnStripes="0"/>
</table>
</file>

<file path=xl/tables/table2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DA15C93-7AE5-443F-BF80-B6C4734D3733}" name="Template_Meta" displayName="Template_Meta" ref="C6:D14" totalsRowShown="0">
  <autoFilter ref="C6:D14" xr:uid="{CD75D2A7-14B1-4ABD-B64D-6E875F9BC652}">
    <filterColumn colId="0" hiddenButton="1"/>
    <filterColumn colId="1" hiddenButton="1"/>
  </autoFilter>
  <tableColumns count="2">
    <tableColumn id="1" xr3:uid="{4D2BF844-9D2B-4FF1-8498-0279E04136FD}" name="Module Data" dataDxfId="55"/>
    <tableColumn id="2" xr3:uid="{7CDC44CD-A513-4579-ACC6-09E7304BB1BE}" name="Details" dataDxfId="54"/>
  </tableColumns>
  <tableStyleInfo name="TableStyleMedium6" showFirstColumn="0" showLastColumn="0" showRowStripes="1" showColumnStripes="0"/>
</table>
</file>

<file path=xl/tables/table2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F01ECD1-C3F7-4C71-876A-3C7A7FDBB474}" name="Template_LO" displayName="Template_LO" ref="C28:D33" totalsRowShown="0" headerRowDxfId="53">
  <autoFilter ref="C28:D33" xr:uid="{22316987-6BEB-4FAF-9619-BF9BE9909CFA}">
    <filterColumn colId="0" hiddenButton="1"/>
    <filterColumn colId="1" hiddenButton="1"/>
  </autoFilter>
  <tableColumns count="2">
    <tableColumn id="1" xr3:uid="{A75FADC5-DEDB-4B6C-9F57-BD04056AC57B}" name="LO Number" dataDxfId="52"/>
    <tableColumn id="2" xr3:uid="{2529C995-9CF3-46B4-B1CE-40C8315EEAF2}" name="LO Description" dataDxfId="51"/>
  </tableColumns>
  <tableStyleInfo name="TableStyleMedium2" showFirstColumn="0" showLastColumn="0" showRowStripes="1" showColumnStripes="0"/>
</table>
</file>

<file path=xl/tables/table2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27E036-CB6F-40EB-91EB-A39099EEB3CD}" name="Template_Assess" displayName="Template_Assess" ref="C37:H41" totalsRowShown="0" headerRowDxfId="50">
  <autoFilter ref="C37:H41" xr:uid="{39DE2F1F-0A9B-4873-A230-1AA954198F52}">
    <filterColumn colId="0" hiddenButton="1"/>
    <filterColumn colId="1" hiddenButton="1"/>
    <filterColumn colId="2" hiddenButton="1"/>
    <filterColumn colId="3" hiddenButton="1"/>
    <filterColumn colId="4" hiddenButton="1"/>
    <filterColumn colId="5" hiddenButton="1"/>
  </autoFilter>
  <tableColumns count="6">
    <tableColumn id="1" xr3:uid="{D8EBD973-01AE-4D1E-8786-915C86474423}" name="Assessment No" dataDxfId="49"/>
    <tableColumn id="2" xr3:uid="{707D2CCB-425D-48C3-A5FF-A62091BB3A56}" name="Assessment Type" dataDxfId="48"/>
    <tableColumn id="7" xr3:uid="{EB4F45BA-D8C2-4768-9796-02D50E7330DF}" name="Assessment Specific" dataDxfId="47"/>
    <tableColumn id="3" xr3:uid="{5B969136-9DE0-4A71-AF46-BE9B9C988057}" name="Assessment Description" dataDxfId="46"/>
    <tableColumn id="4" xr3:uid="{C51F8C6E-75D1-4D2A-980F-3DFD604FDE94}" name="Weighting" dataDxfId="45"/>
    <tableColumn id="5" xr3:uid="{732B8B1F-0938-4D2E-A221-A6E8EC0CEA2A}" name="Due Week" dataDxfId="44"/>
  </tableColumns>
  <tableStyleInfo name="TableStyleMedium3" showFirstColumn="0" showLastColumn="0" showRowStripes="1" showColumnStripes="0"/>
</table>
</file>

<file path=xl/tables/table2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61448E8-8EEE-4DE1-A2F9-F593D227DA0A}" name="Template_Weekly" displayName="Template_Weekly" ref="B70:F94" totalsRowShown="0">
  <autoFilter ref="B70:F94" xr:uid="{3A41AF80-1AD3-44F6-93D1-6C4A16CCF943}">
    <filterColumn colId="0" hiddenButton="1"/>
    <filterColumn colId="1" hiddenButton="1"/>
    <filterColumn colId="2" hiddenButton="1"/>
    <filterColumn colId="3" hiddenButton="1"/>
    <filterColumn colId="4" hiddenButton="1"/>
  </autoFilter>
  <tableColumns count="5">
    <tableColumn id="1" xr3:uid="{6D1B2880-FC9A-468B-B918-0197941EFFDE}" name="Semester " dataDxfId="43"/>
    <tableColumn id="2" xr3:uid="{B5886C84-F0E2-476E-B7F8-D50AED341227}" name="Week Number" dataDxfId="42"/>
    <tableColumn id="3" xr3:uid="{E72094EC-2F0A-4C32-8DE0-3CB3CF696309}" name="Weekly Content 1" dataDxfId="41"/>
    <tableColumn id="4" xr3:uid="{15BE7A5A-AEE2-4BE3-9FDF-71CA774FE739}" name="Weekly Content 2" dataDxfId="40"/>
    <tableColumn id="5" xr3:uid="{C4CF9651-D5F8-4074-B5BD-359D74967851}" name="Weekly Content 3" dataDxfId="39"/>
  </tableColumns>
  <tableStyleInfo name="TableStyleMedium4" showFirstColumn="0" showLastColumn="0" showRowStripes="1" showColumnStripes="0"/>
</table>
</file>

<file path=xl/tables/table2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FAF6343-FF50-43D2-B96C-219B05B209B3}" name="Template_Hours" displayName="Template_Hours" ref="C18:D24" totalsRowShown="0">
  <autoFilter ref="C18:D24" xr:uid="{B71A3569-AA65-4A4E-98A2-885F5C38B46D}">
    <filterColumn colId="0" hiddenButton="1"/>
    <filterColumn colId="1" hiddenButton="1"/>
  </autoFilter>
  <tableColumns count="2">
    <tableColumn id="1" xr3:uid="{DD613D1A-331B-4FD0-91B2-3BB01F5B1F40}" name="Component" dataDxfId="38"/>
    <tableColumn id="2" xr3:uid="{C0E95D7F-8DB9-4A30-B523-E4812C2D666C}" name="Contact Hours" dataDxfId="37"/>
  </tableColumns>
  <tableStyleInfo name="TableStyleMedium2" showFirstColumn="0" showLastColumn="0" showRowStripes="1" showColumnStripes="0"/>
</table>
</file>

<file path=xl/tables/table2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4905AEA-21AC-416A-8A59-FDBFEB2C673E}" name="Template_Mapping" displayName="Template_Mapping" ref="C45:F66" totalsRowShown="0" headerRowDxfId="36" dataDxfId="35">
  <autoFilter ref="C45:F66" xr:uid="{E0A841BB-B6D5-4048-B5F2-18CF9F502EBA}">
    <filterColumn colId="0" hiddenButton="1"/>
    <filterColumn colId="1" hiddenButton="1"/>
    <filterColumn colId="2" hiddenButton="1"/>
    <filterColumn colId="3" hiddenButton="1"/>
  </autoFilter>
  <tableColumns count="4">
    <tableColumn id="1" xr3:uid="{68FEA8A1-EEF2-48EA-ACC7-4E78BA6DFA99}" name="Assessment No" dataDxfId="34"/>
    <tableColumn id="2" xr3:uid="{2008E8A1-90F0-4A5C-A0CF-4F307DD2E2D8}" name="LO Number" dataDxfId="33"/>
    <tableColumn id="3" xr3:uid="{3A4DD78F-A393-4DAB-8994-3FEC28769F43}" name="Graduate Skills Category" dataDxfId="32"/>
    <tableColumn id="4" xr3:uid="{3CC06E09-AB6C-4DEE-8FEB-FEE7643702C5}" name="Graduate Skill" dataDxfId="31"/>
  </tableColumns>
  <tableStyleInfo name="TableStyleMedium3" showFirstColumn="0" showLastColumn="0" showRowStripes="1" showColumnStripes="0"/>
</table>
</file>

<file path=xl/tables/table2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52138F-2332-4BC4-A585-0E13162881A5}" name="Template_Aims" displayName="Template_Aims" ref="F6:F8" totalsRowShown="0" dataDxfId="30">
  <autoFilter ref="F6:F8" xr:uid="{9552138F-2332-4BC4-A585-0E13162881A5}"/>
  <tableColumns count="1">
    <tableColumn id="1" xr3:uid="{71044305-7275-4074-BD40-FFAF45A8E291}" name="Aims" dataDxfId="29"/>
  </tableColumns>
  <tableStyleInfo name="TableStyleMedium6" showFirstColumn="0" showLastColumn="0" showRowStripes="1" showColumnStripes="0"/>
</table>
</file>

<file path=xl/tables/table2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F18F67-3F10-4F6E-A953-4FE3399B07F2}" name="Template_Syllabus" displayName="Template_Syllabus" ref="F10:F13" totalsRowShown="0" dataDxfId="28">
  <autoFilter ref="F10:F13" xr:uid="{94F18F67-3F10-4F6E-A953-4FE3399B07F2}"/>
  <tableColumns count="1">
    <tableColumn id="1" xr3:uid="{409A0DF2-4B7A-4C37-A61C-CA2805617B9D}" name="Outline Syllabus" dataDxfId="27"/>
  </tableColumns>
  <tableStyleInfo name="TableStyleMedium6" showFirstColumn="0" showLastColumn="0" showRowStripes="1" showColumnStripes="0"/>
</table>
</file>

<file path=xl/tables/table2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2BCD7B-6C15-4B1C-86BC-48FF83D8F225}" name="Template_Overview" displayName="Template_Overview" ref="F15:F20" totalsRowShown="0" dataDxfId="26">
  <autoFilter ref="F15:F20" xr:uid="{1B2BCD7B-6C15-4B1C-86BC-48FF83D8F225}"/>
  <tableColumns count="1">
    <tableColumn id="1" xr3:uid="{5E6F0374-DB3C-4DCF-968A-D7EB3D575A6B}" name="Module Overview" dataDxfId="25"/>
  </tableColumns>
  <tableStyleInfo name="TableStyleMedium6" showFirstColumn="0" showLastColumn="0" showRowStripes="1" showColumnStripes="0"/>
</table>
</file>

<file path=xl/tables/table2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968C0A-6D7E-4221-87EE-78A85A4039B3}" name="Template_Notes" displayName="Template_Notes" ref="F22:F33" totalsRowShown="0" dataDxfId="24">
  <autoFilter ref="F22:F33" xr:uid="{D5968C0A-6D7E-4221-87EE-78A85A4039B3}"/>
  <tableColumns count="1">
    <tableColumn id="1" xr3:uid="{EBE60D7D-4BB5-4F06-A2E4-CFAAE9F14014}" name="Additional Information/Notes" dataDxfId="23"/>
  </tableColumns>
  <tableStyleInfo name="TableStyleMedium6" showFirstColumn="0" showLastColumn="0" showRowStripes="1" showColumnStripes="0"/>
</table>
</file>

<file path=xl/tables/table2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8D849E-6EFC-4A5A-932B-B6AE93050561}" name="LISTS_Assess" displayName="LISTS_Assess" ref="G14:G28" totalsRowShown="0" headerRowDxfId="22" dataDxfId="21">
  <autoFilter ref="G14:G28" xr:uid="{A28D849E-6EFC-4A5A-932B-B6AE93050561}"/>
  <tableColumns count="1">
    <tableColumn id="1" xr3:uid="{F9243E19-CFCD-47CF-90F4-B3457FC6A715}" name="Assessment Specific" dataDxfId="20"/>
  </tableColumns>
  <tableStyleInfo name="TableStyleMedium2" showFirstColumn="0" showLastColumn="0" showRowStripes="1" showColumnStripes="0"/>
</table>
</file>

<file path=xl/tables/table2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D39377-1E4D-4F11-AC33-A85FBA00A712}" name="LISTS_Table" displayName="LISTS_Table" ref="J19:K83" totalsRowShown="0" headerRowDxfId="19" dataDxfId="18">
  <autoFilter ref="J19:K83" xr:uid="{EBD39377-1E4D-4F11-AC33-A85FBA00A712}"/>
  <tableColumns count="2">
    <tableColumn id="1" xr3:uid="{88D4BEFB-0FE7-43D9-9144-A385F91AD367}" name="Category" dataDxfId="17"/>
    <tableColumn id="2" xr3:uid="{F16DBD3E-74AC-4DBC-9629-934DF2FB76A6}" name="Skill" dataDxfId="16"/>
  </tableColumns>
  <tableStyleInfo name="TableStyleMedium2" showFirstColumn="0" showLastColumn="0" showRowStripes="1" showColumnStripes="0"/>
</table>
</file>

<file path=xl/tables/table2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D6785227-D60F-4766-B278-5A6312774D6F}" name="SES_Hours_Wide" displayName="SES_Hours_Wide" ref="A1:M29" tableType="queryTable" totalsRowShown="0">
  <autoFilter ref="A1:M29" xr:uid="{D6785227-D60F-4766-B278-5A6312774D6F}"/>
  <tableColumns count="13">
    <tableColumn id="1" xr3:uid="{5E81213E-02E7-4E0A-8205-43825740BCF6}" uniqueName="1" name="SourceWorkbook" queryTableFieldId="1" dataDxfId="15"/>
    <tableColumn id="2" xr3:uid="{E91B9743-5C25-4A37-B6A7-7892A75F3DC1}" uniqueName="2" name="ModuleCode" queryTableFieldId="2"/>
    <tableColumn id="3" xr3:uid="{31850A1F-DC7C-4434-BE60-B044F1DC48DD}" uniqueName="3" name="ModuleTitle" queryTableFieldId="3" dataDxfId="14"/>
    <tableColumn id="4" xr3:uid="{4A4120D2-4B85-42E2-9CA2-90C32C09823A}" uniqueName="4" name="Programme" queryTableFieldId="4"/>
    <tableColumn id="5" xr3:uid="{EA3A31D8-EA49-40C7-AFA1-85577AE4B10D}" uniqueName="5" name="TableName" queryTableFieldId="5"/>
    <tableColumn id="6" xr3:uid="{BBB37545-1C37-410A-B9B9-EA90C1546F5E}" uniqueName="6" name="ProgCode" queryTableFieldId="6"/>
    <tableColumn id="7" xr3:uid="{C0EA9878-C47F-410F-AE2E-6B3EF4842A7C}" uniqueName="7" name="Lecture" queryTableFieldId="7"/>
    <tableColumn id="8" xr3:uid="{DB0369E9-40AF-47F4-8E71-AD9C3574F25A}" uniqueName="8" name="Seminar" queryTableFieldId="8"/>
    <tableColumn id="9" xr3:uid="{C9572734-6430-4AB1-B23C-8D3D18053234}" uniqueName="9" name="Practical" queryTableFieldId="9"/>
    <tableColumn id="10" xr3:uid="{EE25BDEF-11F4-422D-8832-8B290D98C1A8}" uniqueName="10" name="Workshop" queryTableFieldId="10"/>
    <tableColumn id="11" xr3:uid="{0C1B48BF-FBB0-40FE-84B1-860646E08CB3}" uniqueName="11" name="Online" queryTableFieldId="11"/>
    <tableColumn id="12" xr3:uid="{FD6093B6-FEBB-419B-BC48-B5D8B189DCA1}" uniqueName="12" name="Total" queryTableFieldId="12"/>
    <tableColumn id="13" xr3:uid="{A2FCBCE3-1356-4C70-B29D-F6BD6E85F21D}" uniqueName="13" name="Online - synchronous" queryTableFieldId="13"/>
  </tableColumns>
  <tableStyleInfo name="TableStyleMedium7" showFirstColumn="0" showLastColumn="0" showRowStripes="1" showColumnStripes="0"/>
</table>
</file>

<file path=xl/tables/table2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8FDDDAE3-DC87-4DD4-AFF1-E425457EB99C}" name="SES_SkillsCoverage" displayName="SES_SkillsCoverage" ref="A1:E65" tableType="queryTable" totalsRowShown="0">
  <autoFilter ref="A1:E65" xr:uid="{8FDDDAE3-DC87-4DD4-AFF1-E425457EB99C}"/>
  <sortState xmlns:xlrd2="http://schemas.microsoft.com/office/spreadsheetml/2017/richdata2" ref="A2:E65">
    <sortCondition ref="A1:A65"/>
  </sortState>
  <tableColumns count="5">
    <tableColumn id="1" xr3:uid="{5AE411E0-8F77-4C34-B986-CE2224B85471}" uniqueName="1" name="Category" queryTableFieldId="1"/>
    <tableColumn id="2" xr3:uid="{17ABEB65-CBE4-4DB3-ADC9-305B6D312048}" uniqueName="2" name="Skill" queryTableFieldId="2"/>
    <tableColumn id="3" xr3:uid="{E8E5D18D-BAF4-4F9D-BCB7-30B36DC58600}" uniqueName="3" name="Modules Covering" queryTableFieldId="3" dataDxfId="13"/>
    <tableColumn id="4" xr3:uid="{78A0F983-2896-44D8-A55A-51B59951D5C9}" uniqueName="4" name="Module Count" queryTableFieldId="4"/>
    <tableColumn id="5" xr3:uid="{46599D7A-1402-482F-9EA0-42ED8603B187}" uniqueName="5" name="Covered" queryTableFieldId="5"/>
  </tableColumns>
  <tableStyleInfo name="TableStyleMedium7" showFirstColumn="0" showLastColumn="0" showRowStripes="1" showColumnStripes="0"/>
</table>
</file>

<file path=xl/tables/table2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5E66F18-FB4F-4FDC-9E52-A325B3FEE1F1}" name="SES_Module_Overview" displayName="SES_Module_Overview" ref="A1:I29" tableType="queryTable" totalsRowShown="0">
  <autoFilter ref="A1:I29" xr:uid="{F5E66F18-FB4F-4FDC-9E52-A325B3FEE1F1}"/>
  <sortState xmlns:xlrd2="http://schemas.microsoft.com/office/spreadsheetml/2017/richdata2" ref="A2:I29">
    <sortCondition ref="A1:A29"/>
  </sortState>
  <tableColumns count="9">
    <tableColumn id="1" xr3:uid="{D1CBA8CE-221E-4B3C-9FFA-777E45A76316}" uniqueName="1" name="ModuleCode" queryTableFieldId="1"/>
    <tableColumn id="2" xr3:uid="{7EDD0D29-06E7-4AF7-9D6B-3A0ED7210DB1}" uniqueName="2" name="ModuleTitle" queryTableFieldId="2" dataDxfId="12"/>
    <tableColumn id="3" xr3:uid="{ABFF4355-14FD-4EF2-879C-C03E0D2EB89D}" uniqueName="3" name="Level" queryTableFieldId="3"/>
    <tableColumn id="4" xr3:uid="{EB88786D-5952-425F-BF95-DD8B31024CCA}" uniqueName="4" name="Semester" queryTableFieldId="4"/>
    <tableColumn id="5" xr3:uid="{D8FE3694-61E3-4B5C-B8FD-BB2AE6C49FB1}" uniqueName="5" name="Credits" queryTableFieldId="5"/>
    <tableColumn id="6" xr3:uid="{6DC7F283-A5CC-4857-B226-74196F21D333}" uniqueName="6" name="Module Leader" queryTableFieldId="6"/>
    <tableColumn id="7" xr3:uid="{D04C6315-5F2E-4CD7-B5E9-84CD7A4E50F1}" uniqueName="7" name="Module Type" queryTableFieldId="7"/>
    <tableColumn id="8" xr3:uid="{AF58861A-7525-46D6-B1EA-F3F90E752BC6}" uniqueName="8" name="Total Contact Hours" queryTableFieldId="8"/>
    <tableColumn id="9" xr3:uid="{8B413035-46E5-4345-918A-7436D721F646}" uniqueName="9" name="Hours per Credit" queryTableFieldId="9"/>
  </tableColumns>
  <tableStyleInfo name="TableStyleMedium7" showFirstColumn="0" showLastColumn="0" showRowStripes="1" showColumnStripes="0"/>
</table>
</file>

<file path=xl/tables/table2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AA2F7CA6-41EF-4506-8B38-32EBD8F24EE3}" name="SES_Meta_Wide" displayName="SES_Meta_Wide" ref="A1:N29" tableType="queryTable" totalsRowShown="0">
  <autoFilter ref="A1:N29" xr:uid="{AA2F7CA6-41EF-4506-8B38-32EBD8F24EE3}"/>
  <tableColumns count="14">
    <tableColumn id="1" xr3:uid="{E0BE8BD3-A713-41EC-8CA7-9BCC6FDAB23B}" uniqueName="1" name="SourceWorkbook" queryTableFieldId="1" dataDxfId="11"/>
    <tableColumn id="2" xr3:uid="{11345748-D206-4427-997F-09D43349D608}" uniqueName="2" name="ModuleCode" queryTableFieldId="2"/>
    <tableColumn id="3" xr3:uid="{B9896065-CC87-43F2-B609-555D89B08EE8}" uniqueName="3" name="ModuleTitle" queryTableFieldId="3" dataDxfId="10"/>
    <tableColumn id="4" xr3:uid="{C18D1D58-B2AF-4481-9997-85503F3B9299}" uniqueName="4" name="Module Title" queryTableFieldId="4"/>
    <tableColumn id="5" xr3:uid="{1A99511B-9138-4E5C-8497-B954A1C402C9}" uniqueName="5" name="Credits" queryTableFieldId="5"/>
    <tableColumn id="6" xr3:uid="{616E8227-BADF-47CD-8B4B-EA75AA5D5DFC}" uniqueName="6" name="Semester" queryTableFieldId="6"/>
    <tableColumn id="7" xr3:uid="{6A748FFA-A25A-47A7-8879-CE818F73D4DB}" uniqueName="7" name="Level" queryTableFieldId="7"/>
    <tableColumn id="8" xr3:uid="{BF860947-A0DE-41D5-BC8C-087B8F556718}" uniqueName="8" name="Module Leader" queryTableFieldId="8"/>
    <tableColumn id="9" xr3:uid="{ECCF9095-1C33-450A-9C9E-2FB48C4883E0}" uniqueName="9" name="Module Type" queryTableFieldId="9"/>
    <tableColumn id="10" xr3:uid="{3D1626AA-C62F-48C9-8073-E4E933D4824F}" uniqueName="10" name="Programme(s)" queryTableFieldId="10"/>
    <tableColumn id="11" xr3:uid="{5FFF5A03-E8A1-4968-98E8-BD2803568281}" uniqueName="11" name="TableName" queryTableFieldId="11"/>
    <tableColumn id="12" xr3:uid="{74541E47-A9A4-40B3-80DC-2F7EB35A60A1}" uniqueName="12" name="ItemSuffix" queryTableFieldId="12"/>
    <tableColumn id="13" xr3:uid="{2E3CBA5D-CB5A-4D22-89EF-D8480BF093AB}" uniqueName="13" name="Programme" queryTableFieldId="13"/>
    <tableColumn id="14" xr3:uid="{F07882AD-E58D-45D5-B061-FE95CDE98811}" uniqueName="14" name="ProgCode" queryTableFieldId="14"/>
  </tableColumns>
  <tableStyleInfo name="TableStyleMedium7" showFirstColumn="0" showLastColumn="0" showRowStripes="1" showColumnStripes="0"/>
</table>
</file>

<file path=xl/tables/table2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70EF03B2-3323-448C-8F4A-15CE0435B0D0}" name="SES_Mapping" displayName="SES_Mapping" ref="A1:K312" tableType="queryTable" totalsRowShown="0">
  <autoFilter ref="A1:K312" xr:uid="{70EF03B2-3323-448C-8F4A-15CE0435B0D0}"/>
  <tableColumns count="11">
    <tableColumn id="1" xr3:uid="{7C769416-8F6C-494F-889A-E3EBED31CD48}" uniqueName="1" name="SourceWorkbook" queryTableFieldId="1" dataDxfId="9"/>
    <tableColumn id="2" xr3:uid="{BDC69B99-98CD-4D74-AADE-DCD89AD5B6A6}" uniqueName="2" name="TableName" queryTableFieldId="2"/>
    <tableColumn id="3" xr3:uid="{E443FEA5-956B-4E42-8AFC-5746D9ED7939}" uniqueName="3" name="Assessment No" queryTableFieldId="3"/>
    <tableColumn id="4" xr3:uid="{230F0490-A4A8-4FCD-8E52-7B4F3A98F521}" uniqueName="4" name="LO Number" queryTableFieldId="4"/>
    <tableColumn id="5" xr3:uid="{28672339-1235-4379-9079-5051D90362CF}" uniqueName="5" name="Graduate Skills Category" queryTableFieldId="5"/>
    <tableColumn id="6" xr3:uid="{431EB83C-DC59-43F3-87CC-53BC37D31B0C}" uniqueName="6" name="Graduate Skill" queryTableFieldId="6"/>
    <tableColumn id="7" xr3:uid="{30D67A1E-7AA2-4052-8074-8D0D8F06FD7A}" uniqueName="7" name="ModuleCode" queryTableFieldId="7"/>
    <tableColumn id="8" xr3:uid="{1C2948B3-39BE-4796-B39B-626689792004}" uniqueName="8" name="ItemSuffix" queryTableFieldId="8"/>
    <tableColumn id="9" xr3:uid="{41A9F0EF-48E2-4276-B713-C56EA4B2FD18}" uniqueName="9" name="Programme" queryTableFieldId="9"/>
    <tableColumn id="10" xr3:uid="{2FB3223F-BCA8-49C1-8BA3-3651B9B6D30D}" uniqueName="10" name="ProgCode" queryTableFieldId="10"/>
    <tableColumn id="11" xr3:uid="{1B50A280-F9EF-4522-BA8B-06BF06F97B78}" uniqueName="11" name="ModuleTitle" queryTableFieldId="11" dataDxfId="8"/>
  </tableColumns>
  <tableStyleInfo name="TableStyleMedium7" showFirstColumn="0" showLastColumn="0" showRowStripes="1" showColumnStripes="0"/>
</table>
</file>

<file path=xl/tables/table2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C60294A-E386-4BD2-9639-E17260AA2058}" name="SES_Hours" displayName="SES_Hours" ref="A1:I169" tableType="queryTable" totalsRowShown="0">
  <autoFilter ref="A1:I169" xr:uid="{CC60294A-E386-4BD2-9639-E17260AA2058}"/>
  <tableColumns count="9">
    <tableColumn id="1" xr3:uid="{1B75B73D-A5D5-4929-8012-6182F8224A85}" uniqueName="1" name="SourceWorkbook" queryTableFieldId="1" dataDxfId="7"/>
    <tableColumn id="2" xr3:uid="{00B48005-1D22-44E7-A84F-1FF8DBDC0189}" uniqueName="2" name="ModuleCode" queryTableFieldId="2"/>
    <tableColumn id="3" xr3:uid="{B24A4CC2-0578-4BFD-851C-9A3A6B970806}" uniqueName="3" name="ModuleTitle" queryTableFieldId="3" dataDxfId="6"/>
    <tableColumn id="4" xr3:uid="{66663B38-12CA-4BCF-98A5-359358E20EA1}" uniqueName="4" name="Component" queryTableFieldId="4"/>
    <tableColumn id="5" xr3:uid="{0BBCC954-9D9D-4A0E-B21F-E01B79629238}" uniqueName="5" name="Contact Hours" queryTableFieldId="5"/>
    <tableColumn id="6" xr3:uid="{5A643085-9E6B-4010-9C9E-B0A3FA7D53A5}" uniqueName="6" name="ItemSuffix" queryTableFieldId="6"/>
    <tableColumn id="7" xr3:uid="{3C12BE2F-E97A-4ED6-ADCF-4F983F8D8F26}" uniqueName="7" name="Programme" queryTableFieldId="7"/>
    <tableColumn id="8" xr3:uid="{BD346F61-F444-4F61-8D34-51B9B67C9158}" uniqueName="8" name="TableName" queryTableFieldId="8"/>
    <tableColumn id="9" xr3:uid="{E5A8865A-6F4B-4FEE-8DC5-75419476F45D}" uniqueName="9" name="ProgCode" queryTableFieldId="9"/>
  </tableColumns>
  <tableStyleInfo name="TableStyleMedium7" showFirstColumn="0" showLastColumn="0" showRowStripes="1" showColumnStripes="0"/>
</table>
</file>

<file path=xl/tables/table2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DD38DBAB-D585-475B-9CA1-67DE02D2D7C1}" name="SES_Assess" displayName="SES_Assess" ref="A1:M57" tableType="queryTable" totalsRowShown="0">
  <autoFilter ref="A1:M57" xr:uid="{DD38DBAB-D585-475B-9CA1-67DE02D2D7C1}"/>
  <tableColumns count="13">
    <tableColumn id="1" xr3:uid="{F6165DBE-9012-4E67-AC64-530DA0AED0E7}" uniqueName="1" name="SourceWorkbook" queryTableFieldId="1" dataDxfId="5"/>
    <tableColumn id="2" xr3:uid="{0629D98C-5D5D-423F-AEB9-B8B91DF726CB}" uniqueName="2" name="ModuleCode" queryTableFieldId="2"/>
    <tableColumn id="3" xr3:uid="{1745D6FF-EB96-48CB-B3D4-E578E83E25C0}" uniqueName="3" name="ModuleTitle" queryTableFieldId="3" dataDxfId="4"/>
    <tableColumn id="4" xr3:uid="{980597F4-0832-477F-A503-4C2851DC908C}" uniqueName="4" name="Assessment No" queryTableFieldId="4"/>
    <tableColumn id="5" xr3:uid="{532091D0-E5C3-4918-8857-C30E28C80035}" uniqueName="5" name="Assessment Type" queryTableFieldId="5"/>
    <tableColumn id="6" xr3:uid="{6C0B6905-5720-4D19-ABD6-5B38DCE35F68}" uniqueName="6" name="Assessment Specific" queryTableFieldId="6"/>
    <tableColumn id="7" xr3:uid="{9BF41F83-FB76-40A8-B8CA-0EAF521615A7}" uniqueName="7" name="Assessment Description" queryTableFieldId="7"/>
    <tableColumn id="8" xr3:uid="{20E46A77-2F7C-466C-82C3-522006D21CA2}" uniqueName="8" name="Weighting" queryTableFieldId="8"/>
    <tableColumn id="9" xr3:uid="{727ECD05-662F-4376-8E51-88D77EF02B04}" uniqueName="9" name="Due Week" queryTableFieldId="9"/>
    <tableColumn id="10" xr3:uid="{5E66AF3D-FD0B-4EB5-95DD-E7E7261AD105}" uniqueName="10" name="TableName" queryTableFieldId="10"/>
    <tableColumn id="11" xr3:uid="{88BFA8F2-EFFF-48F6-A8D4-47063D5F3361}" uniqueName="11" name="ItemSuffix" queryTableFieldId="11"/>
    <tableColumn id="12" xr3:uid="{3AC278C2-40D1-4F72-851A-8B5AE4687EE8}" uniqueName="12" name="Programme" queryTableFieldId="12"/>
    <tableColumn id="13" xr3:uid="{17610F6D-3B31-405C-98DF-282F0FAC2A85}" uniqueName="13" name="ProgCode" queryTableFieldId="13"/>
  </tableColumns>
  <tableStyleInfo name="TableStyleMedium7" showFirstColumn="0" showLastColumn="0" showRowStripes="1" showColumnStripes="0"/>
</table>
</file>

<file path=xl/tables/table2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9E50A83D-239A-4755-A176-04DE7B57A721}" name="SES_LO" displayName="SES_LO" ref="A1:I81" tableType="queryTable" totalsRowShown="0">
  <autoFilter ref="A1:I81" xr:uid="{9E50A83D-239A-4755-A176-04DE7B57A721}"/>
  <sortState xmlns:xlrd2="http://schemas.microsoft.com/office/spreadsheetml/2017/richdata2" ref="A2:I81">
    <sortCondition ref="C1:C81"/>
  </sortState>
  <tableColumns count="9">
    <tableColumn id="1" xr3:uid="{AD8361CE-9CFF-443F-8D3E-BEB0CE2ED17C}" uniqueName="1" name="SourceWorkbook" queryTableFieldId="1" dataDxfId="1"/>
    <tableColumn id="2" xr3:uid="{4C0AE08B-8404-405A-96A9-4CD70364850E}" uniqueName="2" name="Programme" queryTableFieldId="2"/>
    <tableColumn id="3" xr3:uid="{178F9A24-08B8-4D5B-8190-481359B814D1}" uniqueName="3" name="ModuleCode" queryTableFieldId="3"/>
    <tableColumn id="4" xr3:uid="{39177534-A188-41BA-9E18-E7AB1A047309}" uniqueName="4" name="ModuleTitle" queryTableFieldId="4" dataDxfId="0"/>
    <tableColumn id="5" xr3:uid="{C35E10C0-C320-417F-8AAC-E1C3AE4DBD2D}" uniqueName="5" name="LO Number" queryTableFieldId="5"/>
    <tableColumn id="6" xr3:uid="{B8BE1DA2-69BE-4588-BBA0-EE3B54B16615}" uniqueName="6" name="LO Description" queryTableFieldId="6"/>
    <tableColumn id="7" xr3:uid="{669EE8EF-B230-42EF-8A7E-066E612C7CA7}" uniqueName="7" name="TableName" queryTableFieldId="7"/>
    <tableColumn id="8" xr3:uid="{EEDCDD53-FA99-4D1C-A48D-7640BC2C8DB3}" uniqueName="8" name="ItemSuffix" queryTableFieldId="8"/>
    <tableColumn id="9" xr3:uid="{EBC287BA-8DB6-41BB-8763-EFD2A05299F4}" uniqueName="9" name="ProgCode" queryTableFieldId="9"/>
  </tableColumns>
  <tableStyleInfo name="TableStyleMedium7" showFirstColumn="0" showLastColumn="0" showRowStripes="1" showColumnStripes="0"/>
</table>
</file>

<file path=xl/tables/table2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35525DF9-E6DD-4EBC-8B04-44F5FCB60200}" name="SES_Meta" displayName="SES_Meta" ref="A1:I225" tableType="queryTable" totalsRowShown="0">
  <autoFilter ref="A1:I225" xr:uid="{35525DF9-E6DD-4EBC-8B04-44F5FCB60200}"/>
  <tableColumns count="9">
    <tableColumn id="1" xr3:uid="{C196002C-9013-415A-898C-2AE018F783AE}" uniqueName="1" name="SourceWorkbook" queryTableFieldId="1" dataDxfId="3"/>
    <tableColumn id="2" xr3:uid="{FD878126-0444-4A97-9E58-8CA95087B087}" uniqueName="2" name="TableName" queryTableFieldId="2"/>
    <tableColumn id="3" xr3:uid="{3B87AE51-CCBD-457D-8684-FC34904253DD}" uniqueName="3" name="Module Data" queryTableFieldId="3"/>
    <tableColumn id="4" xr3:uid="{E023D3A4-E24C-47BD-A617-B7EEDBB7E305}" uniqueName="4" name="Details" queryTableFieldId="4"/>
    <tableColumn id="5" xr3:uid="{0D41F6A2-86C8-4639-81CA-B48AB720E582}" uniqueName="5" name="ModuleCode" queryTableFieldId="5"/>
    <tableColumn id="6" xr3:uid="{32EC0B32-C2D1-4E49-8E85-790600FB4270}" uniqueName="6" name="ItemSuffix" queryTableFieldId="6"/>
    <tableColumn id="7" xr3:uid="{72F01C2C-451D-4DD7-B489-4AE9723138D2}" uniqueName="7" name="Programme" queryTableFieldId="7"/>
    <tableColumn id="8" xr3:uid="{8FC56DD0-8A8A-43E2-851E-33DEFB094026}" uniqueName="8" name="ProgCode" queryTableFieldId="8"/>
    <tableColumn id="9" xr3:uid="{787A3EA6-8EC3-4377-8646-B1B50AA780AB}" uniqueName="9" name="ModuleTitle" queryTableFieldId="9"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0" dT="2026-07-31T07:48:42.38" personId="{51414E2E-ADDB-4659-9E0D-35850923C808}" id="{3645A966-E75C-4267-9C38-FBA7FE00828B}">
    <text>Peer Review Seminar</text>
  </threadedComment>
  <threadedComment ref="D22" dT="2026-07-31T07:48:54.10" personId="{51414E2E-ADDB-4659-9E0D-35850923C808}" id="{F66AD8D5-B5C5-4755-B548-7270B05FF0CB}">
    <text>Data Analysis Computer Practical</text>
  </threadedComment>
  <threadedComment ref="D23" dT="2026-07-31T07:49:16.83" personId="{51414E2E-ADDB-4659-9E0D-35850923C808}" id="{3E8F4BD7-486E-4104-BC82-62579504483E}">
    <text>Synchronous</text>
  </threadedComment>
</ThreadedComments>
</file>

<file path=xl/threadedComments/threadedComment2.xml><?xml version="1.0" encoding="utf-8"?>
<ThreadedComments xmlns="http://schemas.microsoft.com/office/spreadsheetml/2018/threadedcomments" xmlns:x="http://schemas.openxmlformats.org/spreadsheetml/2006/main">
  <threadedComment ref="D32" dT="2026-10-16T08:01:32.70" personId="{12A76DBD-3589-478C-8F14-BB8114290580}" id="{79432D10-3ACF-47B8-889A-D1492EDEAE22}">
    <text xml:space="preserve">Agree addition ?
@Robinson, Mark @Maganaris, Constantinos </text>
    <mentions>
      <mention mentionpersonId="{D10845A7-78AF-471B-92A2-931983CCF3EE}" mentionId="{B970C929-14A3-4BEC-AD26-222E3BE5B725}" startIndex="17" length="15"/>
      <mention mentionpersonId="{4C5D2EA4-AC45-48DD-82DD-815814DC5F57}" mentionId="{0F768FCF-56EE-4693-84BA-E64F693883CC}" startIndex="33" length="24"/>
    </mentions>
  </threadedComment>
  <threadedComment ref="D32" dT="2026-10-19T08:50:20.12" personId="{2A048AC4-FB21-4649-A98F-653968BBA810}" id="{08B689E6-C0B3-454E-8C93-A8AEDED1024C}" parentId="{79432D10-3ACF-47B8-889A-D1492EDEAE22}">
    <text>Yes fine by me</text>
  </threadedComment>
</ThreadedComments>
</file>

<file path=xl/threadedComments/threadedComment3.xml><?xml version="1.0" encoding="utf-8"?>
<ThreadedComments xmlns="http://schemas.microsoft.com/office/spreadsheetml/2018/threadedcomments" xmlns:x="http://schemas.openxmlformats.org/spreadsheetml/2006/main">
  <threadedComment ref="E39" dT="2026-09-07T13:01:21.74" personId="{38634D3B-70C4-8F44-856B-2B4869DA4869}" id="{4E91AFC5-1741-4F40-9C85-8F128F5276C2}">
    <text>In person exam - cant edit this box sorry</text>
  </threadedComment>
</ThreadedComments>
</file>

<file path=xl/threadedComments/threadedComment4.xml><?xml version="1.0" encoding="utf-8"?>
<ThreadedComments xmlns="http://schemas.microsoft.com/office/spreadsheetml/2018/threadedcomments" xmlns:x="http://schemas.openxmlformats.org/spreadsheetml/2006/main">
  <threadedComment ref="D20" dT="2026-10-08T09:34:35.24" personId="{02468CA8-E19A-4AF1-B522-9F4654B8473C}" id="{CF96CFBA-D202-EA45-BC96-05784F2960B9}">
    <text>These refer to the online drop in classes each week, should these be listed as online?</text>
  </threadedComment>
  <threadedComment ref="D23" dT="2026-10-08T09:34:53.61" personId="{02468CA8-E19A-4AF1-B522-9F4654B8473C}" id="{3AB5123D-DF87-9644-840C-6807885DA646}">
    <text>These refer to the flipped lecture content- should these be listed as lectures?</text>
  </threadedComment>
  <threadedComment ref="D24" dT="2026-10-08T09:36:50.66" personId="{02468CA8-E19A-4AF1-B522-9F4654B8473C}" id="{3DBEF854-8471-DF46-B18D-AC05DB307F33}">
    <text xml:space="preserve">Is this too high now? If so the online drop ins can be swapped to 2 x 30min sessions, rather than 2 x 60min sessions. (divided into 2 sessions to accomodate the L6 timetable). </text>
  </threadedComment>
  <threadedComment ref="E38" dT="2026-07-27T12:59:14.78" personId="{14AE07FE-F738-4266-B42F-DFD851BB43E4}" id="{5C5F7A89-0EDA-48CB-819D-1968E0B25D3B}">
    <text>This is a portfolio made up of three mini essays.</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printerSettings" Target="../printerSettings/printerSettings2.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comments" Target="../comments1.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7.xml"/><Relationship Id="rId3" Type="http://schemas.openxmlformats.org/officeDocument/2006/relationships/table" Target="../tables/table42.xml"/><Relationship Id="rId7" Type="http://schemas.openxmlformats.org/officeDocument/2006/relationships/table" Target="../tables/table46.xml"/><Relationship Id="rId2" Type="http://schemas.openxmlformats.org/officeDocument/2006/relationships/table" Target="../tables/table41.xml"/><Relationship Id="rId1" Type="http://schemas.openxmlformats.org/officeDocument/2006/relationships/printerSettings" Target="../printerSettings/printerSettings5.bin"/><Relationship Id="rId6" Type="http://schemas.openxmlformats.org/officeDocument/2006/relationships/table" Target="../tables/table45.xml"/><Relationship Id="rId11" Type="http://schemas.openxmlformats.org/officeDocument/2006/relationships/table" Target="../tables/table50.xml"/><Relationship Id="rId5" Type="http://schemas.openxmlformats.org/officeDocument/2006/relationships/table" Target="../tables/table44.xml"/><Relationship Id="rId10" Type="http://schemas.openxmlformats.org/officeDocument/2006/relationships/table" Target="../tables/table49.xml"/><Relationship Id="rId4" Type="http://schemas.openxmlformats.org/officeDocument/2006/relationships/table" Target="../tables/table43.xml"/><Relationship Id="rId9" Type="http://schemas.openxmlformats.org/officeDocument/2006/relationships/table" Target="../tables/table4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7.xml"/><Relationship Id="rId3" Type="http://schemas.openxmlformats.org/officeDocument/2006/relationships/table" Target="../tables/table52.xml"/><Relationship Id="rId7" Type="http://schemas.openxmlformats.org/officeDocument/2006/relationships/table" Target="../tables/table56.xml"/><Relationship Id="rId2" Type="http://schemas.openxmlformats.org/officeDocument/2006/relationships/table" Target="../tables/table51.xml"/><Relationship Id="rId1" Type="http://schemas.openxmlformats.org/officeDocument/2006/relationships/printerSettings" Target="../printerSettings/printerSettings6.bin"/><Relationship Id="rId6" Type="http://schemas.openxmlformats.org/officeDocument/2006/relationships/table" Target="../tables/table55.xml"/><Relationship Id="rId11" Type="http://schemas.openxmlformats.org/officeDocument/2006/relationships/table" Target="../tables/table60.xml"/><Relationship Id="rId5" Type="http://schemas.openxmlformats.org/officeDocument/2006/relationships/table" Target="../tables/table54.xml"/><Relationship Id="rId10" Type="http://schemas.openxmlformats.org/officeDocument/2006/relationships/table" Target="../tables/table59.xml"/><Relationship Id="rId4" Type="http://schemas.openxmlformats.org/officeDocument/2006/relationships/table" Target="../tables/table53.xml"/><Relationship Id="rId9" Type="http://schemas.openxmlformats.org/officeDocument/2006/relationships/table" Target="../tables/table5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7.xml"/><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printerSettings" Target="../printerSettings/printerSettings7.bin"/><Relationship Id="rId6" Type="http://schemas.openxmlformats.org/officeDocument/2006/relationships/table" Target="../tables/table65.xml"/><Relationship Id="rId11" Type="http://schemas.openxmlformats.org/officeDocument/2006/relationships/table" Target="../tables/table70.xml"/><Relationship Id="rId5" Type="http://schemas.openxmlformats.org/officeDocument/2006/relationships/table" Target="../tables/table64.xml"/><Relationship Id="rId10" Type="http://schemas.openxmlformats.org/officeDocument/2006/relationships/table" Target="../tables/table69.xml"/><Relationship Id="rId4" Type="http://schemas.openxmlformats.org/officeDocument/2006/relationships/table" Target="../tables/table63.xml"/><Relationship Id="rId9" Type="http://schemas.openxmlformats.org/officeDocument/2006/relationships/table" Target="../tables/table68.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7.xml"/><Relationship Id="rId3" Type="http://schemas.openxmlformats.org/officeDocument/2006/relationships/table" Target="../tables/table72.xml"/><Relationship Id="rId7" Type="http://schemas.openxmlformats.org/officeDocument/2006/relationships/table" Target="../tables/table76.xml"/><Relationship Id="rId2" Type="http://schemas.openxmlformats.org/officeDocument/2006/relationships/table" Target="../tables/table71.xml"/><Relationship Id="rId1" Type="http://schemas.openxmlformats.org/officeDocument/2006/relationships/printerSettings" Target="../printerSettings/printerSettings8.bin"/><Relationship Id="rId6" Type="http://schemas.openxmlformats.org/officeDocument/2006/relationships/table" Target="../tables/table75.xml"/><Relationship Id="rId11" Type="http://schemas.openxmlformats.org/officeDocument/2006/relationships/table" Target="../tables/table80.xml"/><Relationship Id="rId5" Type="http://schemas.openxmlformats.org/officeDocument/2006/relationships/table" Target="../tables/table74.xml"/><Relationship Id="rId10" Type="http://schemas.openxmlformats.org/officeDocument/2006/relationships/table" Target="../tables/table79.xml"/><Relationship Id="rId4" Type="http://schemas.openxmlformats.org/officeDocument/2006/relationships/table" Target="../tables/table73.xml"/><Relationship Id="rId9" Type="http://schemas.openxmlformats.org/officeDocument/2006/relationships/table" Target="../tables/table78.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7.xml"/><Relationship Id="rId3" Type="http://schemas.openxmlformats.org/officeDocument/2006/relationships/table" Target="../tables/table82.xml"/><Relationship Id="rId7" Type="http://schemas.openxmlformats.org/officeDocument/2006/relationships/table" Target="../tables/table86.xml"/><Relationship Id="rId2" Type="http://schemas.openxmlformats.org/officeDocument/2006/relationships/table" Target="../tables/table81.xml"/><Relationship Id="rId1" Type="http://schemas.openxmlformats.org/officeDocument/2006/relationships/printerSettings" Target="../printerSettings/printerSettings9.bin"/><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0" Type="http://schemas.openxmlformats.org/officeDocument/2006/relationships/table" Target="../tables/table89.xml"/><Relationship Id="rId4" Type="http://schemas.openxmlformats.org/officeDocument/2006/relationships/table" Target="../tables/table83.xml"/><Relationship Id="rId9" Type="http://schemas.openxmlformats.org/officeDocument/2006/relationships/table" Target="../tables/table88.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97.xml"/><Relationship Id="rId3" Type="http://schemas.openxmlformats.org/officeDocument/2006/relationships/table" Target="../tables/table92.xml"/><Relationship Id="rId7" Type="http://schemas.openxmlformats.org/officeDocument/2006/relationships/table" Target="../tables/table96.xml"/><Relationship Id="rId2" Type="http://schemas.openxmlformats.org/officeDocument/2006/relationships/table" Target="../tables/table91.xml"/><Relationship Id="rId1" Type="http://schemas.openxmlformats.org/officeDocument/2006/relationships/printerSettings" Target="../printerSettings/printerSettings10.bin"/><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07.xml"/><Relationship Id="rId3" Type="http://schemas.openxmlformats.org/officeDocument/2006/relationships/table" Target="../tables/table102.xml"/><Relationship Id="rId7" Type="http://schemas.openxmlformats.org/officeDocument/2006/relationships/table" Target="../tables/table106.xml"/><Relationship Id="rId2" Type="http://schemas.openxmlformats.org/officeDocument/2006/relationships/table" Target="../tables/table101.xml"/><Relationship Id="rId1" Type="http://schemas.openxmlformats.org/officeDocument/2006/relationships/printerSettings" Target="../printerSettings/printerSettings11.bin"/><Relationship Id="rId6" Type="http://schemas.openxmlformats.org/officeDocument/2006/relationships/table" Target="../tables/table105.xml"/><Relationship Id="rId11" Type="http://schemas.openxmlformats.org/officeDocument/2006/relationships/table" Target="../tables/table110.xml"/><Relationship Id="rId5" Type="http://schemas.openxmlformats.org/officeDocument/2006/relationships/table" Target="../tables/table104.xml"/><Relationship Id="rId10" Type="http://schemas.openxmlformats.org/officeDocument/2006/relationships/table" Target="../tables/table109.xml"/><Relationship Id="rId4" Type="http://schemas.openxmlformats.org/officeDocument/2006/relationships/table" Target="../tables/table103.xml"/><Relationship Id="rId9" Type="http://schemas.openxmlformats.org/officeDocument/2006/relationships/table" Target="../tables/table10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16.xml"/><Relationship Id="rId13" Type="http://schemas.openxmlformats.org/officeDocument/2006/relationships/comments" Target="../comments2.xml"/><Relationship Id="rId3" Type="http://schemas.openxmlformats.org/officeDocument/2006/relationships/table" Target="../tables/table111.xml"/><Relationship Id="rId7" Type="http://schemas.openxmlformats.org/officeDocument/2006/relationships/table" Target="../tables/table115.xml"/><Relationship Id="rId12" Type="http://schemas.openxmlformats.org/officeDocument/2006/relationships/table" Target="../tables/table120.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6" Type="http://schemas.openxmlformats.org/officeDocument/2006/relationships/table" Target="../tables/table114.xml"/><Relationship Id="rId11" Type="http://schemas.openxmlformats.org/officeDocument/2006/relationships/table" Target="../tables/table119.xml"/><Relationship Id="rId5" Type="http://schemas.openxmlformats.org/officeDocument/2006/relationships/table" Target="../tables/table113.xml"/><Relationship Id="rId15" Type="http://schemas.microsoft.com/office/2019/04/relationships/documenttask" Target="../documenttasks/documenttask1.xml"/><Relationship Id="rId10" Type="http://schemas.openxmlformats.org/officeDocument/2006/relationships/table" Target="../tables/table118.xml"/><Relationship Id="rId4" Type="http://schemas.openxmlformats.org/officeDocument/2006/relationships/table" Target="../tables/table112.xml"/><Relationship Id="rId9" Type="http://schemas.openxmlformats.org/officeDocument/2006/relationships/table" Target="../tables/table117.xml"/><Relationship Id="rId1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6.xml"/><Relationship Id="rId13" Type="http://schemas.openxmlformats.org/officeDocument/2006/relationships/comments" Target="../comments3.xml"/><Relationship Id="rId3" Type="http://schemas.openxmlformats.org/officeDocument/2006/relationships/table" Target="../tables/table121.xml"/><Relationship Id="rId7" Type="http://schemas.openxmlformats.org/officeDocument/2006/relationships/table" Target="../tables/table125.xml"/><Relationship Id="rId12" Type="http://schemas.openxmlformats.org/officeDocument/2006/relationships/table" Target="../tables/table130.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6" Type="http://schemas.openxmlformats.org/officeDocument/2006/relationships/table" Target="../tables/table124.xml"/><Relationship Id="rId11" Type="http://schemas.openxmlformats.org/officeDocument/2006/relationships/table" Target="../tables/table129.xml"/><Relationship Id="rId5" Type="http://schemas.openxmlformats.org/officeDocument/2006/relationships/table" Target="../tables/table123.xml"/><Relationship Id="rId10" Type="http://schemas.openxmlformats.org/officeDocument/2006/relationships/table" Target="../tables/table128.xml"/><Relationship Id="rId4" Type="http://schemas.openxmlformats.org/officeDocument/2006/relationships/table" Target="../tables/table122.xml"/><Relationship Id="rId9" Type="http://schemas.openxmlformats.org/officeDocument/2006/relationships/table" Target="../tables/table127.xml"/><Relationship Id="rId14" Type="http://schemas.microsoft.com/office/2017/10/relationships/threadedComment" Target="../threadedComments/threadedComment3.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36.xml"/><Relationship Id="rId13" Type="http://schemas.openxmlformats.org/officeDocument/2006/relationships/comments" Target="../comments4.xml"/><Relationship Id="rId3" Type="http://schemas.openxmlformats.org/officeDocument/2006/relationships/table" Target="../tables/table131.xml"/><Relationship Id="rId7" Type="http://schemas.openxmlformats.org/officeDocument/2006/relationships/table" Target="../tables/table135.xml"/><Relationship Id="rId12" Type="http://schemas.openxmlformats.org/officeDocument/2006/relationships/table" Target="../tables/table140.xml"/><Relationship Id="rId2" Type="http://schemas.openxmlformats.org/officeDocument/2006/relationships/vmlDrawing" Target="../drawings/vmlDrawing4.vml"/><Relationship Id="rId1" Type="http://schemas.openxmlformats.org/officeDocument/2006/relationships/printerSettings" Target="../printerSettings/printerSettings14.bin"/><Relationship Id="rId6" Type="http://schemas.openxmlformats.org/officeDocument/2006/relationships/table" Target="../tables/table134.xml"/><Relationship Id="rId11" Type="http://schemas.openxmlformats.org/officeDocument/2006/relationships/table" Target="../tables/table139.xml"/><Relationship Id="rId5" Type="http://schemas.openxmlformats.org/officeDocument/2006/relationships/table" Target="../tables/table133.xml"/><Relationship Id="rId10" Type="http://schemas.openxmlformats.org/officeDocument/2006/relationships/table" Target="../tables/table138.xml"/><Relationship Id="rId4" Type="http://schemas.openxmlformats.org/officeDocument/2006/relationships/table" Target="../tables/table132.xml"/><Relationship Id="rId9" Type="http://schemas.openxmlformats.org/officeDocument/2006/relationships/table" Target="../tables/table137.xml"/><Relationship Id="rId1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47.xml"/><Relationship Id="rId3" Type="http://schemas.openxmlformats.org/officeDocument/2006/relationships/table" Target="../tables/table142.xml"/><Relationship Id="rId7" Type="http://schemas.openxmlformats.org/officeDocument/2006/relationships/table" Target="../tables/table146.xml"/><Relationship Id="rId2" Type="http://schemas.openxmlformats.org/officeDocument/2006/relationships/table" Target="../tables/table141.xml"/><Relationship Id="rId1" Type="http://schemas.openxmlformats.org/officeDocument/2006/relationships/printerSettings" Target="../printerSettings/printerSettings15.bin"/><Relationship Id="rId6" Type="http://schemas.openxmlformats.org/officeDocument/2006/relationships/table" Target="../tables/table145.xml"/><Relationship Id="rId11" Type="http://schemas.openxmlformats.org/officeDocument/2006/relationships/table" Target="../tables/table150.xml"/><Relationship Id="rId5" Type="http://schemas.openxmlformats.org/officeDocument/2006/relationships/table" Target="../tables/table144.xml"/><Relationship Id="rId10" Type="http://schemas.openxmlformats.org/officeDocument/2006/relationships/table" Target="../tables/table149.xml"/><Relationship Id="rId4" Type="http://schemas.openxmlformats.org/officeDocument/2006/relationships/table" Target="../tables/table143.xml"/><Relationship Id="rId9" Type="http://schemas.openxmlformats.org/officeDocument/2006/relationships/table" Target="../tables/table148.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157.xml"/><Relationship Id="rId3" Type="http://schemas.openxmlformats.org/officeDocument/2006/relationships/table" Target="../tables/table152.xml"/><Relationship Id="rId7" Type="http://schemas.openxmlformats.org/officeDocument/2006/relationships/table" Target="../tables/table156.xml"/><Relationship Id="rId2" Type="http://schemas.openxmlformats.org/officeDocument/2006/relationships/table" Target="../tables/table151.xml"/><Relationship Id="rId1" Type="http://schemas.openxmlformats.org/officeDocument/2006/relationships/printerSettings" Target="../printerSettings/printerSettings16.bin"/><Relationship Id="rId6" Type="http://schemas.openxmlformats.org/officeDocument/2006/relationships/table" Target="../tables/table155.xml"/><Relationship Id="rId11" Type="http://schemas.openxmlformats.org/officeDocument/2006/relationships/table" Target="../tables/table160.xml"/><Relationship Id="rId5" Type="http://schemas.openxmlformats.org/officeDocument/2006/relationships/table" Target="../tables/table154.xml"/><Relationship Id="rId10" Type="http://schemas.openxmlformats.org/officeDocument/2006/relationships/table" Target="../tables/table159.xml"/><Relationship Id="rId4" Type="http://schemas.openxmlformats.org/officeDocument/2006/relationships/table" Target="../tables/table153.xml"/><Relationship Id="rId9" Type="http://schemas.openxmlformats.org/officeDocument/2006/relationships/table" Target="../tables/table158.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67.xml"/><Relationship Id="rId3" Type="http://schemas.openxmlformats.org/officeDocument/2006/relationships/table" Target="../tables/table162.xml"/><Relationship Id="rId7" Type="http://schemas.openxmlformats.org/officeDocument/2006/relationships/table" Target="../tables/table166.xml"/><Relationship Id="rId2" Type="http://schemas.openxmlformats.org/officeDocument/2006/relationships/table" Target="../tables/table161.xml"/><Relationship Id="rId1" Type="http://schemas.openxmlformats.org/officeDocument/2006/relationships/printerSettings" Target="../printerSettings/printerSettings17.bin"/><Relationship Id="rId6" Type="http://schemas.openxmlformats.org/officeDocument/2006/relationships/table" Target="../tables/table165.xml"/><Relationship Id="rId11" Type="http://schemas.openxmlformats.org/officeDocument/2006/relationships/table" Target="../tables/table170.xml"/><Relationship Id="rId5" Type="http://schemas.openxmlformats.org/officeDocument/2006/relationships/table" Target="../tables/table164.xml"/><Relationship Id="rId10" Type="http://schemas.openxmlformats.org/officeDocument/2006/relationships/table" Target="../tables/table169.xml"/><Relationship Id="rId4" Type="http://schemas.openxmlformats.org/officeDocument/2006/relationships/table" Target="../tables/table163.xml"/><Relationship Id="rId9" Type="http://schemas.openxmlformats.org/officeDocument/2006/relationships/table" Target="../tables/table168.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177.xml"/><Relationship Id="rId3" Type="http://schemas.openxmlformats.org/officeDocument/2006/relationships/table" Target="../tables/table172.xml"/><Relationship Id="rId7" Type="http://schemas.openxmlformats.org/officeDocument/2006/relationships/table" Target="../tables/table176.xml"/><Relationship Id="rId2" Type="http://schemas.openxmlformats.org/officeDocument/2006/relationships/table" Target="../tables/table171.xml"/><Relationship Id="rId1" Type="http://schemas.openxmlformats.org/officeDocument/2006/relationships/printerSettings" Target="../printerSettings/printerSettings18.bin"/><Relationship Id="rId6" Type="http://schemas.openxmlformats.org/officeDocument/2006/relationships/table" Target="../tables/table175.xml"/><Relationship Id="rId11" Type="http://schemas.openxmlformats.org/officeDocument/2006/relationships/table" Target="../tables/table180.xml"/><Relationship Id="rId5" Type="http://schemas.openxmlformats.org/officeDocument/2006/relationships/table" Target="../tables/table174.xml"/><Relationship Id="rId10" Type="http://schemas.openxmlformats.org/officeDocument/2006/relationships/table" Target="../tables/table179.xml"/><Relationship Id="rId4" Type="http://schemas.openxmlformats.org/officeDocument/2006/relationships/table" Target="../tables/table173.xml"/><Relationship Id="rId9" Type="http://schemas.openxmlformats.org/officeDocument/2006/relationships/table" Target="../tables/table178.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187.xml"/><Relationship Id="rId3" Type="http://schemas.openxmlformats.org/officeDocument/2006/relationships/table" Target="../tables/table182.xml"/><Relationship Id="rId7" Type="http://schemas.openxmlformats.org/officeDocument/2006/relationships/table" Target="../tables/table186.xml"/><Relationship Id="rId2" Type="http://schemas.openxmlformats.org/officeDocument/2006/relationships/table" Target="../tables/table181.xml"/><Relationship Id="rId1" Type="http://schemas.openxmlformats.org/officeDocument/2006/relationships/printerSettings" Target="../printerSettings/printerSettings19.bin"/><Relationship Id="rId6" Type="http://schemas.openxmlformats.org/officeDocument/2006/relationships/table" Target="../tables/table185.xml"/><Relationship Id="rId11" Type="http://schemas.openxmlformats.org/officeDocument/2006/relationships/table" Target="../tables/table190.xml"/><Relationship Id="rId5" Type="http://schemas.openxmlformats.org/officeDocument/2006/relationships/table" Target="../tables/table184.xml"/><Relationship Id="rId10" Type="http://schemas.openxmlformats.org/officeDocument/2006/relationships/table" Target="../tables/table189.xml"/><Relationship Id="rId4" Type="http://schemas.openxmlformats.org/officeDocument/2006/relationships/table" Target="../tables/table183.xml"/><Relationship Id="rId9" Type="http://schemas.openxmlformats.org/officeDocument/2006/relationships/table" Target="../tables/table188.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197.xml"/><Relationship Id="rId3" Type="http://schemas.openxmlformats.org/officeDocument/2006/relationships/table" Target="../tables/table192.xml"/><Relationship Id="rId7" Type="http://schemas.openxmlformats.org/officeDocument/2006/relationships/table" Target="../tables/table196.xml"/><Relationship Id="rId2" Type="http://schemas.openxmlformats.org/officeDocument/2006/relationships/table" Target="../tables/table191.xml"/><Relationship Id="rId1" Type="http://schemas.openxmlformats.org/officeDocument/2006/relationships/printerSettings" Target="../printerSettings/printerSettings20.bin"/><Relationship Id="rId6" Type="http://schemas.openxmlformats.org/officeDocument/2006/relationships/table" Target="../tables/table195.xml"/><Relationship Id="rId11" Type="http://schemas.openxmlformats.org/officeDocument/2006/relationships/table" Target="../tables/table200.xml"/><Relationship Id="rId5" Type="http://schemas.openxmlformats.org/officeDocument/2006/relationships/table" Target="../tables/table194.xml"/><Relationship Id="rId10" Type="http://schemas.openxmlformats.org/officeDocument/2006/relationships/table" Target="../tables/table199.xml"/><Relationship Id="rId4" Type="http://schemas.openxmlformats.org/officeDocument/2006/relationships/table" Target="../tables/table193.xml"/><Relationship Id="rId9" Type="http://schemas.openxmlformats.org/officeDocument/2006/relationships/table" Target="../tables/table198.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207.xml"/><Relationship Id="rId3" Type="http://schemas.openxmlformats.org/officeDocument/2006/relationships/table" Target="../tables/table202.xml"/><Relationship Id="rId7" Type="http://schemas.openxmlformats.org/officeDocument/2006/relationships/table" Target="../tables/table206.xml"/><Relationship Id="rId2" Type="http://schemas.openxmlformats.org/officeDocument/2006/relationships/table" Target="../tables/table201.xml"/><Relationship Id="rId1" Type="http://schemas.openxmlformats.org/officeDocument/2006/relationships/printerSettings" Target="../printerSettings/printerSettings21.bin"/><Relationship Id="rId6" Type="http://schemas.openxmlformats.org/officeDocument/2006/relationships/table" Target="../tables/table205.xml"/><Relationship Id="rId11" Type="http://schemas.openxmlformats.org/officeDocument/2006/relationships/table" Target="../tables/table210.xml"/><Relationship Id="rId5" Type="http://schemas.openxmlformats.org/officeDocument/2006/relationships/table" Target="../tables/table204.xml"/><Relationship Id="rId10" Type="http://schemas.openxmlformats.org/officeDocument/2006/relationships/table" Target="../tables/table209.xml"/><Relationship Id="rId4" Type="http://schemas.openxmlformats.org/officeDocument/2006/relationships/table" Target="../tables/table203.xml"/><Relationship Id="rId9" Type="http://schemas.openxmlformats.org/officeDocument/2006/relationships/table" Target="../tables/table208.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217.xml"/><Relationship Id="rId3" Type="http://schemas.openxmlformats.org/officeDocument/2006/relationships/table" Target="../tables/table212.xml"/><Relationship Id="rId7" Type="http://schemas.openxmlformats.org/officeDocument/2006/relationships/table" Target="../tables/table216.xml"/><Relationship Id="rId2" Type="http://schemas.openxmlformats.org/officeDocument/2006/relationships/table" Target="../tables/table211.xml"/><Relationship Id="rId1" Type="http://schemas.openxmlformats.org/officeDocument/2006/relationships/printerSettings" Target="../printerSettings/printerSettings22.bin"/><Relationship Id="rId6" Type="http://schemas.openxmlformats.org/officeDocument/2006/relationships/table" Target="../tables/table215.xml"/><Relationship Id="rId11" Type="http://schemas.openxmlformats.org/officeDocument/2006/relationships/table" Target="../tables/table220.xml"/><Relationship Id="rId5" Type="http://schemas.openxmlformats.org/officeDocument/2006/relationships/table" Target="../tables/table214.xml"/><Relationship Id="rId10" Type="http://schemas.openxmlformats.org/officeDocument/2006/relationships/table" Target="../tables/table219.xml"/><Relationship Id="rId4" Type="http://schemas.openxmlformats.org/officeDocument/2006/relationships/table" Target="../tables/table213.xml"/><Relationship Id="rId9" Type="http://schemas.openxmlformats.org/officeDocument/2006/relationships/table" Target="../tables/table218.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227.xml"/><Relationship Id="rId3" Type="http://schemas.openxmlformats.org/officeDocument/2006/relationships/table" Target="../tables/table222.xml"/><Relationship Id="rId7" Type="http://schemas.openxmlformats.org/officeDocument/2006/relationships/table" Target="../tables/table226.xml"/><Relationship Id="rId2" Type="http://schemas.openxmlformats.org/officeDocument/2006/relationships/table" Target="../tables/table221.xml"/><Relationship Id="rId1" Type="http://schemas.openxmlformats.org/officeDocument/2006/relationships/printerSettings" Target="../printerSettings/printerSettings23.bin"/><Relationship Id="rId6" Type="http://schemas.openxmlformats.org/officeDocument/2006/relationships/table" Target="../tables/table225.xml"/><Relationship Id="rId11" Type="http://schemas.openxmlformats.org/officeDocument/2006/relationships/table" Target="../tables/table230.xml"/><Relationship Id="rId5" Type="http://schemas.openxmlformats.org/officeDocument/2006/relationships/table" Target="../tables/table224.xml"/><Relationship Id="rId10" Type="http://schemas.openxmlformats.org/officeDocument/2006/relationships/table" Target="../tables/table229.xml"/><Relationship Id="rId4" Type="http://schemas.openxmlformats.org/officeDocument/2006/relationships/table" Target="../tables/table223.xml"/><Relationship Id="rId9" Type="http://schemas.openxmlformats.org/officeDocument/2006/relationships/table" Target="../tables/table228.xml"/></Relationships>
</file>

<file path=xl/worksheets/_rels/sheet24.xml.rels><?xml version="1.0" encoding="UTF-8" standalone="yes"?>
<Relationships xmlns="http://schemas.openxmlformats.org/package/2006/relationships"><Relationship Id="rId8" Type="http://schemas.openxmlformats.org/officeDocument/2006/relationships/table" Target="../tables/table237.xml"/><Relationship Id="rId3" Type="http://schemas.openxmlformats.org/officeDocument/2006/relationships/table" Target="../tables/table232.xml"/><Relationship Id="rId7" Type="http://schemas.openxmlformats.org/officeDocument/2006/relationships/table" Target="../tables/table236.xml"/><Relationship Id="rId2" Type="http://schemas.openxmlformats.org/officeDocument/2006/relationships/table" Target="../tables/table231.xml"/><Relationship Id="rId1" Type="http://schemas.openxmlformats.org/officeDocument/2006/relationships/printerSettings" Target="../printerSettings/printerSettings24.bin"/><Relationship Id="rId6" Type="http://schemas.openxmlformats.org/officeDocument/2006/relationships/table" Target="../tables/table235.xml"/><Relationship Id="rId11" Type="http://schemas.openxmlformats.org/officeDocument/2006/relationships/table" Target="../tables/table240.xml"/><Relationship Id="rId5" Type="http://schemas.openxmlformats.org/officeDocument/2006/relationships/table" Target="../tables/table234.xml"/><Relationship Id="rId10" Type="http://schemas.openxmlformats.org/officeDocument/2006/relationships/table" Target="../tables/table239.xml"/><Relationship Id="rId4" Type="http://schemas.openxmlformats.org/officeDocument/2006/relationships/table" Target="../tables/table233.xml"/><Relationship Id="rId9" Type="http://schemas.openxmlformats.org/officeDocument/2006/relationships/table" Target="../tables/table238.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247.xml"/><Relationship Id="rId3" Type="http://schemas.openxmlformats.org/officeDocument/2006/relationships/table" Target="../tables/table242.xml"/><Relationship Id="rId7" Type="http://schemas.openxmlformats.org/officeDocument/2006/relationships/table" Target="../tables/table246.xml"/><Relationship Id="rId2" Type="http://schemas.openxmlformats.org/officeDocument/2006/relationships/table" Target="../tables/table241.xml"/><Relationship Id="rId1" Type="http://schemas.openxmlformats.org/officeDocument/2006/relationships/printerSettings" Target="../printerSettings/printerSettings25.bin"/><Relationship Id="rId6" Type="http://schemas.openxmlformats.org/officeDocument/2006/relationships/table" Target="../tables/table245.xml"/><Relationship Id="rId11" Type="http://schemas.openxmlformats.org/officeDocument/2006/relationships/table" Target="../tables/table250.xml"/><Relationship Id="rId5" Type="http://schemas.openxmlformats.org/officeDocument/2006/relationships/table" Target="../tables/table244.xml"/><Relationship Id="rId10" Type="http://schemas.openxmlformats.org/officeDocument/2006/relationships/table" Target="../tables/table249.xml"/><Relationship Id="rId4" Type="http://schemas.openxmlformats.org/officeDocument/2006/relationships/table" Target="../tables/table243.xml"/><Relationship Id="rId9" Type="http://schemas.openxmlformats.org/officeDocument/2006/relationships/table" Target="../tables/table248.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257.xml"/><Relationship Id="rId3" Type="http://schemas.openxmlformats.org/officeDocument/2006/relationships/table" Target="../tables/table252.xml"/><Relationship Id="rId7" Type="http://schemas.openxmlformats.org/officeDocument/2006/relationships/table" Target="../tables/table256.xml"/><Relationship Id="rId2" Type="http://schemas.openxmlformats.org/officeDocument/2006/relationships/table" Target="../tables/table251.xml"/><Relationship Id="rId1" Type="http://schemas.openxmlformats.org/officeDocument/2006/relationships/printerSettings" Target="../printerSettings/printerSettings26.bin"/><Relationship Id="rId6" Type="http://schemas.openxmlformats.org/officeDocument/2006/relationships/table" Target="../tables/table255.xml"/><Relationship Id="rId11" Type="http://schemas.openxmlformats.org/officeDocument/2006/relationships/table" Target="../tables/table260.xml"/><Relationship Id="rId5" Type="http://schemas.openxmlformats.org/officeDocument/2006/relationships/table" Target="../tables/table254.xml"/><Relationship Id="rId10" Type="http://schemas.openxmlformats.org/officeDocument/2006/relationships/table" Target="../tables/table259.xml"/><Relationship Id="rId4" Type="http://schemas.openxmlformats.org/officeDocument/2006/relationships/table" Target="../tables/table253.xml"/><Relationship Id="rId9" Type="http://schemas.openxmlformats.org/officeDocument/2006/relationships/table" Target="../tables/table258.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62.xml"/><Relationship Id="rId1" Type="http://schemas.openxmlformats.org/officeDocument/2006/relationships/table" Target="../tables/table261.xml"/></Relationships>
</file>

<file path=xl/worksheets/_rels/sheet2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6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6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65.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66.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6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68.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6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7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7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45A9-AC63-4333-865C-D4B13C7A4426}">
  <sheetPr codeName="Sheet1"/>
  <dimension ref="B2:H94"/>
  <sheetViews>
    <sheetView showGridLines="0" zoomScale="85" zoomScaleNormal="85" workbookViewId="0">
      <selection activeCell="F54" sqref="F54"/>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SEM401</v>
      </c>
      <c r="D2" s="9" t="str">
        <f>D8</f>
        <v>Module Title</v>
      </c>
    </row>
    <row r="3" spans="2:6">
      <c r="B3" s="1"/>
      <c r="C3" s="1"/>
    </row>
    <row r="4" spans="2:6">
      <c r="B4" s="2"/>
      <c r="C4" s="2"/>
    </row>
    <row r="5" spans="2:6" ht="18.75">
      <c r="B5" s="2"/>
      <c r="C5" s="5" t="s">
        <v>0</v>
      </c>
    </row>
    <row r="6" spans="2:6">
      <c r="B6" s="2"/>
      <c r="C6" s="3" t="s">
        <v>1</v>
      </c>
      <c r="D6" s="4" t="s">
        <v>2</v>
      </c>
      <c r="E6" s="4"/>
      <c r="F6" t="s">
        <v>3</v>
      </c>
    </row>
    <row r="7" spans="2:6">
      <c r="B7" s="2"/>
      <c r="C7" s="3" t="s">
        <v>4</v>
      </c>
      <c r="D7" s="10" t="s">
        <v>5</v>
      </c>
      <c r="E7" s="4"/>
      <c r="F7" s="13"/>
    </row>
    <row r="8" spans="2:6">
      <c r="B8" s="2"/>
      <c r="C8" s="3" t="s">
        <v>6</v>
      </c>
      <c r="D8" s="10" t="s">
        <v>6</v>
      </c>
      <c r="E8" s="4"/>
      <c r="F8" s="13"/>
    </row>
    <row r="9" spans="2:6">
      <c r="C9" s="3" t="s">
        <v>7</v>
      </c>
      <c r="D9" s="10"/>
      <c r="E9" s="4"/>
    </row>
    <row r="10" spans="2:6">
      <c r="C10" s="3" t="s">
        <v>8</v>
      </c>
      <c r="D10" s="10"/>
      <c r="E10" s="4"/>
      <c r="F10" t="s">
        <v>9</v>
      </c>
    </row>
    <row r="11" spans="2:6">
      <c r="C11" s="3" t="s">
        <v>10</v>
      </c>
      <c r="D11" s="10"/>
      <c r="E11" s="4"/>
      <c r="F11" s="13"/>
    </row>
    <row r="12" spans="2:6">
      <c r="C12" s="3" t="s">
        <v>11</v>
      </c>
      <c r="D12" s="10"/>
      <c r="E12" s="4"/>
      <c r="F12" s="13"/>
    </row>
    <row r="13" spans="2:6">
      <c r="C13" s="3" t="s">
        <v>12</v>
      </c>
      <c r="D13" s="10"/>
      <c r="E13" s="4"/>
      <c r="F13" s="13"/>
    </row>
    <row r="14" spans="2:6">
      <c r="C14" s="3" t="s">
        <v>13</v>
      </c>
      <c r="D14" s="10"/>
      <c r="E14" s="4"/>
    </row>
    <row r="15" spans="2:6">
      <c r="C15" s="3"/>
      <c r="D15" s="4"/>
      <c r="E15" s="4"/>
      <c r="F15" t="s">
        <v>14</v>
      </c>
    </row>
    <row r="16" spans="2:6">
      <c r="C16" s="3"/>
      <c r="D16" s="4"/>
      <c r="E16" s="4"/>
      <c r="F16" s="13"/>
    </row>
    <row r="17" spans="3:6" ht="18.75">
      <c r="C17" s="5" t="s">
        <v>15</v>
      </c>
      <c r="D17" s="4"/>
      <c r="E17" s="4"/>
      <c r="F17" s="13"/>
    </row>
    <row r="18" spans="3:6">
      <c r="C18" s="3" t="s">
        <v>16</v>
      </c>
      <c r="D18" s="1" t="s">
        <v>15</v>
      </c>
      <c r="E18" s="4"/>
      <c r="F18" s="13"/>
    </row>
    <row r="19" spans="3:6">
      <c r="C19" s="3" t="s">
        <v>17</v>
      </c>
      <c r="D19" s="11"/>
      <c r="E19" s="4"/>
      <c r="F19" s="13"/>
    </row>
    <row r="20" spans="3:6">
      <c r="C20" s="3" t="s">
        <v>18</v>
      </c>
      <c r="D20" s="11"/>
      <c r="E20" s="4"/>
      <c r="F20" s="13"/>
    </row>
    <row r="21" spans="3:6">
      <c r="C21" s="3" t="s">
        <v>19</v>
      </c>
      <c r="D21" s="11"/>
      <c r="E21" s="4"/>
    </row>
    <row r="22" spans="3:6">
      <c r="C22" s="3" t="s">
        <v>20</v>
      </c>
      <c r="D22" s="11"/>
      <c r="E22" s="4"/>
      <c r="F22" t="s">
        <v>21</v>
      </c>
    </row>
    <row r="23" spans="3:6">
      <c r="C23" s="3" t="s">
        <v>22</v>
      </c>
      <c r="D23" s="11"/>
      <c r="E23" s="4"/>
      <c r="F23" s="13"/>
    </row>
    <row r="24" spans="3:6">
      <c r="C24" s="3" t="s">
        <v>23</v>
      </c>
      <c r="D24" s="1">
        <f>SUM(D19:D23)</f>
        <v>0</v>
      </c>
      <c r="E24" s="4"/>
      <c r="F24" s="13"/>
    </row>
    <row r="25" spans="3:6">
      <c r="F25" s="13"/>
    </row>
    <row r="26" spans="3:6">
      <c r="F26" s="13"/>
    </row>
    <row r="27" spans="3:6" ht="18.75">
      <c r="C27" s="5" t="s">
        <v>24</v>
      </c>
      <c r="D27" s="8" t="s">
        <v>25</v>
      </c>
      <c r="F27" s="13"/>
    </row>
    <row r="28" spans="3:6">
      <c r="C28" s="3" t="s">
        <v>26</v>
      </c>
      <c r="D28" s="3" t="s">
        <v>27</v>
      </c>
      <c r="E28" s="3"/>
      <c r="F28" s="13"/>
    </row>
    <row r="29" spans="3:6">
      <c r="C29" s="3" t="s">
        <v>28</v>
      </c>
      <c r="D29" s="10"/>
      <c r="E29" s="4"/>
      <c r="F29" s="13"/>
    </row>
    <row r="30" spans="3:6">
      <c r="C30" s="3" t="s">
        <v>29</v>
      </c>
      <c r="D30" s="10"/>
      <c r="E30" s="4"/>
      <c r="F30" s="13"/>
    </row>
    <row r="31" spans="3:6">
      <c r="C31" s="3" t="s">
        <v>30</v>
      </c>
      <c r="D31" s="10"/>
      <c r="E31" s="4"/>
      <c r="F31" s="13"/>
    </row>
    <row r="32" spans="3:6">
      <c r="C32" s="3" t="s">
        <v>31</v>
      </c>
      <c r="D32" s="10"/>
      <c r="E32" s="4"/>
      <c r="F32" s="13"/>
    </row>
    <row r="33" spans="3:8">
      <c r="C33" s="3" t="s">
        <v>32</v>
      </c>
      <c r="D33" s="10"/>
      <c r="E33" s="4"/>
      <c r="F33" s="13"/>
    </row>
    <row r="36" spans="3:8" ht="18.75">
      <c r="C36" s="5" t="s">
        <v>33</v>
      </c>
    </row>
    <row r="37" spans="3:8">
      <c r="C37" s="3" t="s">
        <v>34</v>
      </c>
      <c r="D37" s="3" t="s">
        <v>35</v>
      </c>
      <c r="E37" s="3" t="s">
        <v>36</v>
      </c>
      <c r="F37" s="3" t="s">
        <v>37</v>
      </c>
      <c r="G37" s="3" t="s">
        <v>38</v>
      </c>
      <c r="H37" s="3" t="s">
        <v>39</v>
      </c>
    </row>
    <row r="38" spans="3:8">
      <c r="C38" s="3" t="s">
        <v>40</v>
      </c>
      <c r="D38" s="10" t="s">
        <v>41</v>
      </c>
      <c r="E38" s="10" t="s">
        <v>42</v>
      </c>
      <c r="F38" s="10" t="s">
        <v>43</v>
      </c>
      <c r="G38" s="12">
        <v>0.5</v>
      </c>
      <c r="H38" s="10">
        <v>6</v>
      </c>
    </row>
    <row r="39" spans="3:8">
      <c r="C39" s="3" t="s">
        <v>44</v>
      </c>
      <c r="D39" s="10"/>
      <c r="E39" s="10"/>
      <c r="F39" s="10"/>
      <c r="G39" s="12">
        <v>0.5</v>
      </c>
      <c r="H39" s="10">
        <v>12</v>
      </c>
    </row>
    <row r="40" spans="3:8">
      <c r="C40" s="3" t="s">
        <v>45</v>
      </c>
      <c r="D40" s="13"/>
      <c r="E40" s="13"/>
      <c r="F40" s="13"/>
      <c r="G40" s="13"/>
      <c r="H40" s="13"/>
    </row>
    <row r="41" spans="3:8">
      <c r="C41" s="3"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50</v>
      </c>
      <c r="F47" s="13" t="s">
        <v>52</v>
      </c>
    </row>
    <row r="48" spans="3:8">
      <c r="C48" s="14" t="s">
        <v>40</v>
      </c>
      <c r="D48" s="13" t="s">
        <v>28</v>
      </c>
      <c r="E48" s="13" t="s">
        <v>53</v>
      </c>
      <c r="F48" s="13" t="s">
        <v>54</v>
      </c>
    </row>
    <row r="49" spans="3:6">
      <c r="C49" s="14" t="s">
        <v>44</v>
      </c>
      <c r="D49" s="13" t="s">
        <v>29</v>
      </c>
      <c r="E49" s="13" t="s">
        <v>55</v>
      </c>
      <c r="F49" s="13" t="s">
        <v>56</v>
      </c>
    </row>
    <row r="50" spans="3:6">
      <c r="C50" s="14" t="s">
        <v>44</v>
      </c>
      <c r="D50" s="13" t="s">
        <v>29</v>
      </c>
      <c r="E50" s="13" t="s">
        <v>57</v>
      </c>
      <c r="F50" s="13" t="s">
        <v>58</v>
      </c>
    </row>
    <row r="51" spans="3:6">
      <c r="C51" s="14" t="s">
        <v>44</v>
      </c>
      <c r="D51" s="13"/>
      <c r="E51" s="13"/>
      <c r="F51" s="13"/>
    </row>
    <row r="52" spans="3:6">
      <c r="C52" s="14" t="s">
        <v>45</v>
      </c>
      <c r="D52" s="13"/>
      <c r="E52" s="13"/>
      <c r="F52" s="13"/>
    </row>
    <row r="53" spans="3:6">
      <c r="C53" s="14" t="s">
        <v>45</v>
      </c>
      <c r="D53" s="13"/>
      <c r="E53" s="13"/>
      <c r="F53" s="13"/>
    </row>
    <row r="54" spans="3:6">
      <c r="C54" s="14" t="s">
        <v>45</v>
      </c>
      <c r="D54" s="13"/>
      <c r="E54" s="13"/>
      <c r="F54" s="13"/>
    </row>
    <row r="55" spans="3:6">
      <c r="C55" s="14" t="s">
        <v>46</v>
      </c>
      <c r="D55" s="13"/>
      <c r="E55" s="13"/>
      <c r="F55" s="13"/>
    </row>
    <row r="56" spans="3:6">
      <c r="C56" s="14" t="s">
        <v>46</v>
      </c>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7">
        <v>1</v>
      </c>
      <c r="C71" s="1">
        <v>1</v>
      </c>
      <c r="D71" s="10" t="s">
        <v>65</v>
      </c>
      <c r="E71" s="10"/>
      <c r="F71" s="10"/>
    </row>
    <row r="72" spans="2:6">
      <c r="B72" s="7">
        <v>1</v>
      </c>
      <c r="C72" s="1">
        <v>2</v>
      </c>
      <c r="D72" s="10" t="s">
        <v>66</v>
      </c>
      <c r="E72" s="10" t="s">
        <v>67</v>
      </c>
      <c r="F72" s="10" t="s">
        <v>18</v>
      </c>
    </row>
    <row r="73" spans="2:6">
      <c r="B73" s="7">
        <v>1</v>
      </c>
      <c r="C73" s="1">
        <v>3</v>
      </c>
      <c r="D73" s="10" t="s">
        <v>68</v>
      </c>
      <c r="E73" s="10"/>
      <c r="F73" s="10"/>
    </row>
    <row r="74" spans="2:6">
      <c r="B74" s="7">
        <v>1</v>
      </c>
      <c r="C74" s="1">
        <v>4</v>
      </c>
      <c r="D74" s="10" t="s">
        <v>69</v>
      </c>
      <c r="E74" s="10" t="s">
        <v>70</v>
      </c>
      <c r="F74" s="10" t="s">
        <v>18</v>
      </c>
    </row>
    <row r="75" spans="2:6">
      <c r="B75" s="7">
        <v>1</v>
      </c>
      <c r="C75" s="1">
        <v>5</v>
      </c>
      <c r="D75" s="10" t="s">
        <v>71</v>
      </c>
      <c r="E75" s="10"/>
      <c r="F75" s="10"/>
    </row>
    <row r="76" spans="2:6">
      <c r="B76" s="7">
        <v>1</v>
      </c>
      <c r="C76" s="1">
        <v>6</v>
      </c>
      <c r="D76" s="10" t="s">
        <v>72</v>
      </c>
      <c r="E76" s="10"/>
      <c r="F76" s="10" t="s">
        <v>18</v>
      </c>
    </row>
    <row r="77" spans="2:6">
      <c r="B77" s="7">
        <v>1</v>
      </c>
      <c r="C77" s="1">
        <v>7</v>
      </c>
      <c r="D77" s="10" t="s">
        <v>73</v>
      </c>
      <c r="E77" s="10"/>
      <c r="F77" s="10"/>
    </row>
    <row r="78" spans="2:6">
      <c r="B78" s="7">
        <v>1</v>
      </c>
      <c r="C78" s="1">
        <v>8</v>
      </c>
      <c r="D78" s="10" t="s">
        <v>74</v>
      </c>
      <c r="E78" s="10"/>
      <c r="F78" s="10" t="s">
        <v>18</v>
      </c>
    </row>
    <row r="79" spans="2:6">
      <c r="B79" s="7">
        <v>1</v>
      </c>
      <c r="C79" s="1">
        <v>9</v>
      </c>
      <c r="D79" s="10" t="s">
        <v>75</v>
      </c>
      <c r="E79" s="10"/>
      <c r="F79" s="10"/>
    </row>
    <row r="80" spans="2:6">
      <c r="B80" s="7">
        <v>1</v>
      </c>
      <c r="C80" s="1">
        <v>10</v>
      </c>
      <c r="D80" s="10" t="s">
        <v>76</v>
      </c>
      <c r="E80" s="10" t="s">
        <v>77</v>
      </c>
      <c r="F80" s="10" t="s">
        <v>18</v>
      </c>
    </row>
    <row r="81" spans="2:6">
      <c r="B81" s="7">
        <v>1</v>
      </c>
      <c r="C81" s="1">
        <v>11</v>
      </c>
      <c r="D81" s="10" t="s">
        <v>78</v>
      </c>
      <c r="E81" s="10"/>
      <c r="F81" s="10"/>
    </row>
    <row r="82" spans="2:6">
      <c r="B82" s="7">
        <v>1</v>
      </c>
      <c r="C82" s="1">
        <v>12</v>
      </c>
      <c r="D82" s="10" t="s">
        <v>79</v>
      </c>
      <c r="E82" s="10"/>
      <c r="F82" s="10" t="s">
        <v>18</v>
      </c>
    </row>
    <row r="83" spans="2:6">
      <c r="B83" s="7">
        <v>2</v>
      </c>
      <c r="C83" s="1">
        <v>1</v>
      </c>
      <c r="D83" s="10"/>
      <c r="E83" s="10"/>
      <c r="F83" s="10"/>
    </row>
    <row r="84" spans="2:6">
      <c r="B84" s="7">
        <v>2</v>
      </c>
      <c r="C84" s="1">
        <v>2</v>
      </c>
      <c r="D84" s="10"/>
      <c r="E84" s="10"/>
      <c r="F84" s="10"/>
    </row>
    <row r="85" spans="2:6">
      <c r="B85" s="7">
        <v>2</v>
      </c>
      <c r="C85" s="1">
        <v>3</v>
      </c>
      <c r="D85" s="10"/>
      <c r="E85" s="10"/>
      <c r="F85" s="10"/>
    </row>
    <row r="86" spans="2:6">
      <c r="B86" s="7">
        <v>2</v>
      </c>
      <c r="C86" s="1">
        <v>4</v>
      </c>
      <c r="D86" s="10"/>
      <c r="E86" s="10"/>
      <c r="F86" s="10"/>
    </row>
    <row r="87" spans="2:6">
      <c r="B87" s="7">
        <v>2</v>
      </c>
      <c r="C87" s="1">
        <v>5</v>
      </c>
      <c r="D87" s="10"/>
      <c r="E87" s="10"/>
      <c r="F87" s="10"/>
    </row>
    <row r="88" spans="2:6">
      <c r="B88" s="7">
        <v>2</v>
      </c>
      <c r="C88" s="1">
        <v>6</v>
      </c>
      <c r="D88" s="10"/>
      <c r="E88" s="10"/>
      <c r="F88" s="10"/>
    </row>
    <row r="89" spans="2:6">
      <c r="B89" s="7">
        <v>2</v>
      </c>
      <c r="C89" s="1">
        <v>7</v>
      </c>
      <c r="D89" s="10"/>
      <c r="E89" s="10"/>
      <c r="F89" s="10"/>
    </row>
    <row r="90" spans="2:6">
      <c r="B90" s="7">
        <v>2</v>
      </c>
      <c r="C90" s="1">
        <v>8</v>
      </c>
      <c r="D90" s="10"/>
      <c r="E90" s="10"/>
      <c r="F90" s="10"/>
    </row>
    <row r="91" spans="2:6">
      <c r="B91" s="7">
        <v>2</v>
      </c>
      <c r="C91" s="1">
        <v>9</v>
      </c>
      <c r="D91" s="10"/>
      <c r="E91" s="10"/>
      <c r="F91" s="10"/>
    </row>
    <row r="92" spans="2:6">
      <c r="B92" s="7">
        <v>2</v>
      </c>
      <c r="C92" s="1">
        <v>10</v>
      </c>
      <c r="D92" s="10"/>
      <c r="E92" s="10"/>
      <c r="F92" s="10"/>
    </row>
    <row r="93" spans="2:6">
      <c r="B93" s="7">
        <v>2</v>
      </c>
      <c r="C93" s="1">
        <v>11</v>
      </c>
      <c r="D93" s="10"/>
      <c r="E93" s="10"/>
      <c r="F93" s="10"/>
    </row>
    <row r="94" spans="2:6">
      <c r="B94" s="7">
        <v>2</v>
      </c>
      <c r="C94" s="1">
        <v>12</v>
      </c>
      <c r="D94" s="10"/>
      <c r="E94" s="10"/>
      <c r="F94" s="10"/>
    </row>
  </sheetData>
  <sheetProtection selectLockedCells="1" sort="0" autoFilter="0" pivotTables="0"/>
  <dataValidations count="4">
    <dataValidation type="whole" showInputMessage="1" showErrorMessage="1" error="This is not a realistic number of contact hours please reduce" sqref="D20:D23" xr:uid="{EABA9475-595C-4986-ACB3-2B03E9611389}">
      <formula1>0</formula1>
      <formula2>80</formula2>
    </dataValidation>
    <dataValidation type="whole" showInputMessage="1" showErrorMessage="1" error="This is not a realistic number of contact hours please change" sqref="D19" xr:uid="{6DEAC130-25D7-46E1-9A78-571866E64E9D}">
      <formula1>0</formula1>
      <formula2>80</formula2>
    </dataValidation>
    <dataValidation type="list" allowBlank="1" showInputMessage="1" showErrorMessage="1" sqref="E38:E41" xr:uid="{0DB2D524-94AD-40F2-A499-A222D2B8D15F}">
      <formula1>INDIRECT("LISTAssess[Assessment Specific]")</formula1>
    </dataValidation>
    <dataValidation type="list" allowBlank="1" showInputMessage="1" showErrorMessage="1" sqref="F46:F66" xr:uid="{C50ABEDB-8163-4FC5-B679-6468E42D1DD9}">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3AA01AF-B1EF-4507-B697-CCEBAB31CA7E}">
          <x14:formula1>
            <xm:f>LISTS!$C$26:$C$37</xm:f>
          </x14:formula1>
          <xm:sqref>D14</xm:sqref>
        </x14:dataValidation>
        <x14:dataValidation type="list" allowBlank="1" showInputMessage="1" showErrorMessage="1" xr:uid="{591B513E-05C3-435C-813F-26A60432C203}">
          <x14:formula1>
            <xm:f>LISTS!$C$17:$C$22</xm:f>
          </x14:formula1>
          <xm:sqref>D13</xm:sqref>
        </x14:dataValidation>
        <x14:dataValidation type="list" allowBlank="1" showInputMessage="1" showErrorMessage="1" xr:uid="{7CC409A8-6354-405F-8333-F463E1CAD86E}">
          <x14:formula1>
            <xm:f>LISTS!$C$7:$C$9</xm:f>
          </x14:formula1>
          <xm:sqref>D10</xm:sqref>
        </x14:dataValidation>
        <x14:dataValidation type="list" allowBlank="1" showInputMessage="1" showErrorMessage="1" xr:uid="{9306451D-6D0D-4680-87B3-1AD89B932998}">
          <x14:formula1>
            <xm:f>LISTS!$C$11:$C$15</xm:f>
          </x14:formula1>
          <xm:sqref>D11</xm:sqref>
        </x14:dataValidation>
        <x14:dataValidation type="list" allowBlank="1" showInputMessage="1" showErrorMessage="1" xr:uid="{B6C0BF8E-CA1A-44B7-8E19-D14A23F2ECD8}">
          <x14:formula1>
            <xm:f>LISTS!$G$7:$G$11</xm:f>
          </x14:formula1>
          <xm:sqref>D38:D42</xm:sqref>
        </x14:dataValidation>
        <x14:dataValidation type="list" allowBlank="1" showInputMessage="1" showErrorMessage="1" xr:uid="{D179A474-A86E-41E5-9898-8B49B0B60399}">
          <x14:formula1>
            <xm:f>LISTS!$E$7:$E$11</xm:f>
          </x14:formula1>
          <xm:sqref>D46:D66</xm:sqref>
        </x14:dataValidation>
        <x14:dataValidation type="list" allowBlank="1" showInputMessage="1" showErrorMessage="1" xr:uid="{C4F92686-9322-4C4E-8993-76138DE80E0B}">
          <x14:formula1>
            <xm:f>LISTS!$J$7:$J$16</xm:f>
          </x14:formula1>
          <xm:sqref>E46:E66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3168-6B81-47CF-B045-12BB97D9E5BE}">
  <sheetPr codeName="Sheet4"/>
  <dimension ref="B2:H94"/>
  <sheetViews>
    <sheetView showGridLines="0" zoomScale="60" zoomScaleNormal="85" workbookViewId="0">
      <selection activeCell="H78" sqref="H78"/>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4101SPS</v>
      </c>
      <c r="D2" s="9" t="str">
        <f>D8</f>
        <v>Professional Practice in Sport and Exercise Science 1</v>
      </c>
    </row>
    <row r="3" spans="2:6">
      <c r="B3" s="1"/>
      <c r="C3" s="1"/>
    </row>
    <row r="4" spans="2:6">
      <c r="B4" s="2"/>
      <c r="C4" s="2"/>
    </row>
    <row r="5" spans="2:6" ht="18.75">
      <c r="B5" s="2"/>
      <c r="C5" s="5" t="s">
        <v>0</v>
      </c>
    </row>
    <row r="6" spans="2:6">
      <c r="B6" s="2"/>
      <c r="C6" s="3" t="s">
        <v>1</v>
      </c>
      <c r="D6" s="4" t="s">
        <v>2</v>
      </c>
      <c r="E6" s="4"/>
      <c r="F6" t="s">
        <v>3</v>
      </c>
    </row>
    <row r="7" spans="2:6" ht="105">
      <c r="B7" s="2"/>
      <c r="C7" s="62" t="s">
        <v>4</v>
      </c>
      <c r="D7" s="10" t="s">
        <v>80</v>
      </c>
      <c r="E7" s="4"/>
      <c r="F7" s="30" t="s">
        <v>81</v>
      </c>
    </row>
    <row r="8" spans="2:6">
      <c r="B8" s="2"/>
      <c r="C8" s="62" t="s">
        <v>6</v>
      </c>
      <c r="D8" s="10" t="s">
        <v>82</v>
      </c>
      <c r="E8" s="4"/>
      <c r="F8" s="13"/>
    </row>
    <row r="9" spans="2:6">
      <c r="C9" s="62" t="s">
        <v>7</v>
      </c>
      <c r="D9" s="10">
        <v>20</v>
      </c>
      <c r="E9" s="4"/>
    </row>
    <row r="10" spans="2:6">
      <c r="C10" s="62" t="s">
        <v>8</v>
      </c>
      <c r="D10" s="10">
        <v>1</v>
      </c>
      <c r="E10" s="4"/>
      <c r="F10" t="s">
        <v>9</v>
      </c>
    </row>
    <row r="11" spans="2:6" ht="180">
      <c r="C11" s="62" t="s">
        <v>10</v>
      </c>
      <c r="D11" s="10">
        <v>4</v>
      </c>
      <c r="E11" s="4"/>
      <c r="F11" s="20" t="s">
        <v>83</v>
      </c>
    </row>
    <row r="12" spans="2:6">
      <c r="C12" s="62" t="s">
        <v>11</v>
      </c>
      <c r="D12" s="10" t="s">
        <v>84</v>
      </c>
      <c r="E12" s="4"/>
      <c r="F12" s="13"/>
    </row>
    <row r="13" spans="2:6">
      <c r="C13" s="62" t="s">
        <v>12</v>
      </c>
      <c r="D13" s="10" t="s">
        <v>85</v>
      </c>
      <c r="E13" s="4"/>
      <c r="F13" s="13"/>
    </row>
    <row r="14" spans="2:6">
      <c r="C14" s="62" t="s">
        <v>13</v>
      </c>
      <c r="D14" s="10" t="s">
        <v>86</v>
      </c>
      <c r="E14" s="4"/>
    </row>
    <row r="15" spans="2:6">
      <c r="C15" s="3"/>
      <c r="D15" s="4"/>
      <c r="E15" s="4"/>
      <c r="F15" t="s">
        <v>14</v>
      </c>
    </row>
    <row r="16" spans="2:6" ht="90">
      <c r="C16" s="3"/>
      <c r="D16" s="4"/>
      <c r="E16" s="4"/>
      <c r="F16" s="30" t="s">
        <v>87</v>
      </c>
    </row>
    <row r="17" spans="3:6" ht="18.75">
      <c r="C17" s="5" t="s">
        <v>15</v>
      </c>
      <c r="D17" s="4"/>
      <c r="E17" s="4"/>
      <c r="F17" s="13"/>
    </row>
    <row r="18" spans="3:6">
      <c r="C18" s="3" t="s">
        <v>16</v>
      </c>
      <c r="D18" s="1" t="s">
        <v>15</v>
      </c>
      <c r="E18" s="4"/>
      <c r="F18" s="13"/>
    </row>
    <row r="19" spans="3:6">
      <c r="C19" s="62" t="s">
        <v>17</v>
      </c>
      <c r="D19" s="11">
        <v>22</v>
      </c>
      <c r="E19" s="4"/>
      <c r="F19" s="13"/>
    </row>
    <row r="20" spans="3:6">
      <c r="C20" s="62" t="s">
        <v>18</v>
      </c>
      <c r="D20" s="11">
        <v>5</v>
      </c>
      <c r="E20" s="4"/>
      <c r="F20" s="13"/>
    </row>
    <row r="21" spans="3:6">
      <c r="C21" s="62" t="s">
        <v>19</v>
      </c>
      <c r="D21" s="11">
        <v>3</v>
      </c>
      <c r="E21" s="4"/>
    </row>
    <row r="22" spans="3:6">
      <c r="C22" s="62" t="s">
        <v>20</v>
      </c>
      <c r="D22" s="11">
        <v>10</v>
      </c>
      <c r="E22" s="4"/>
      <c r="F22" t="s">
        <v>21</v>
      </c>
    </row>
    <row r="23" spans="3:6">
      <c r="C23" s="62" t="s">
        <v>22</v>
      </c>
      <c r="D23" s="11">
        <v>4</v>
      </c>
      <c r="E23" s="4"/>
      <c r="F23" s="13" t="s">
        <v>88</v>
      </c>
    </row>
    <row r="24" spans="3:6">
      <c r="C24" s="62" t="s">
        <v>23</v>
      </c>
      <c r="D24" s="1">
        <f>SUM(D19:D23)</f>
        <v>44</v>
      </c>
      <c r="E24" s="4"/>
      <c r="F24" s="13" t="s">
        <v>89</v>
      </c>
    </row>
    <row r="25" spans="3:6">
      <c r="F25" s="13" t="s">
        <v>90</v>
      </c>
    </row>
    <row r="26" spans="3:6">
      <c r="F26" s="13"/>
    </row>
    <row r="27" spans="3:6" ht="18.75">
      <c r="C27" s="5" t="s">
        <v>24</v>
      </c>
      <c r="D27" s="8" t="s">
        <v>25</v>
      </c>
      <c r="F27" s="13" t="s">
        <v>91</v>
      </c>
    </row>
    <row r="28" spans="3:6">
      <c r="C28" s="3" t="s">
        <v>26</v>
      </c>
      <c r="D28" s="3" t="s">
        <v>27</v>
      </c>
      <c r="E28" s="3"/>
      <c r="F28" s="13"/>
    </row>
    <row r="29" spans="3:6" ht="60">
      <c r="C29" s="62" t="s">
        <v>28</v>
      </c>
      <c r="D29" s="20" t="s">
        <v>92</v>
      </c>
      <c r="E29" s="4"/>
      <c r="F29" s="13"/>
    </row>
    <row r="30" spans="3:6" ht="45">
      <c r="C30" s="62" t="s">
        <v>29</v>
      </c>
      <c r="D30" s="20" t="s">
        <v>93</v>
      </c>
      <c r="E30" s="4"/>
      <c r="F30" s="13"/>
    </row>
    <row r="31" spans="3:6" ht="60">
      <c r="C31" s="62" t="s">
        <v>30</v>
      </c>
      <c r="D31" s="20" t="s">
        <v>94</v>
      </c>
      <c r="E31" s="4"/>
      <c r="F31" s="13"/>
    </row>
    <row r="32" spans="3:6">
      <c r="C32" s="62"/>
      <c r="D32" s="10"/>
      <c r="E32" s="4"/>
      <c r="F32" s="13"/>
    </row>
    <row r="33" spans="3:8">
      <c r="C33" s="62"/>
      <c r="D33" s="10"/>
      <c r="E33" s="4"/>
      <c r="F33" s="13"/>
    </row>
    <row r="36" spans="3:8" ht="18.75">
      <c r="C36" s="5" t="s">
        <v>33</v>
      </c>
    </row>
    <row r="37" spans="3:8">
      <c r="C37" s="3" t="s">
        <v>34</v>
      </c>
      <c r="D37" s="3" t="s">
        <v>35</v>
      </c>
      <c r="E37" s="3" t="s">
        <v>36</v>
      </c>
      <c r="F37" s="3" t="s">
        <v>37</v>
      </c>
      <c r="G37" s="3" t="s">
        <v>38</v>
      </c>
      <c r="H37" s="3" t="s">
        <v>39</v>
      </c>
    </row>
    <row r="38" spans="3:8" ht="60">
      <c r="C38" s="62" t="s">
        <v>40</v>
      </c>
      <c r="D38" s="10" t="s">
        <v>41</v>
      </c>
      <c r="E38" s="10" t="s">
        <v>95</v>
      </c>
      <c r="F38" s="10" t="s">
        <v>96</v>
      </c>
      <c r="G38" s="12">
        <v>0.4</v>
      </c>
      <c r="H38" s="10">
        <v>8</v>
      </c>
    </row>
    <row r="39" spans="3:8" ht="75">
      <c r="C39" s="62" t="s">
        <v>44</v>
      </c>
      <c r="D39" s="10" t="s">
        <v>97</v>
      </c>
      <c r="E39" s="10" t="s">
        <v>98</v>
      </c>
      <c r="F39" s="30" t="s">
        <v>99</v>
      </c>
      <c r="G39" s="12">
        <v>0.6</v>
      </c>
      <c r="H39" s="10">
        <v>12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100</v>
      </c>
      <c r="F46" s="13" t="s">
        <v>101</v>
      </c>
    </row>
    <row r="47" spans="3:8">
      <c r="C47" s="14" t="s">
        <v>40</v>
      </c>
      <c r="D47" s="13" t="s">
        <v>28</v>
      </c>
      <c r="E47" s="13" t="s">
        <v>102</v>
      </c>
      <c r="F47" s="13" t="s">
        <v>103</v>
      </c>
    </row>
    <row r="48" spans="3:8">
      <c r="C48" s="14" t="s">
        <v>40</v>
      </c>
      <c r="D48" s="13" t="s">
        <v>28</v>
      </c>
      <c r="E48" s="13" t="s">
        <v>55</v>
      </c>
      <c r="F48" s="13" t="s">
        <v>56</v>
      </c>
    </row>
    <row r="49" spans="3:6">
      <c r="C49" s="14"/>
      <c r="D49" s="13"/>
      <c r="E49" s="13"/>
      <c r="F49" s="13"/>
    </row>
    <row r="50" spans="3:6">
      <c r="C50" s="14" t="s">
        <v>44</v>
      </c>
      <c r="D50" s="13" t="s">
        <v>29</v>
      </c>
      <c r="E50" s="13" t="s">
        <v>55</v>
      </c>
      <c r="F50" s="13" t="s">
        <v>104</v>
      </c>
    </row>
    <row r="51" spans="3:6">
      <c r="C51" s="14" t="s">
        <v>44</v>
      </c>
      <c r="D51" s="13" t="s">
        <v>30</v>
      </c>
      <c r="E51" s="13" t="s">
        <v>100</v>
      </c>
      <c r="F51" s="13" t="s">
        <v>105</v>
      </c>
    </row>
    <row r="52" spans="3:6">
      <c r="C52" s="14" t="s">
        <v>44</v>
      </c>
      <c r="D52" s="13" t="s">
        <v>30</v>
      </c>
      <c r="E52" s="13" t="s">
        <v>106</v>
      </c>
      <c r="F52" s="13" t="s">
        <v>107</v>
      </c>
    </row>
    <row r="53" spans="3:6">
      <c r="C53" s="14"/>
      <c r="D53" s="13"/>
      <c r="E53" s="13"/>
      <c r="F53" s="13"/>
    </row>
    <row r="54" spans="3:6">
      <c r="C54" s="14"/>
      <c r="D54" s="13"/>
      <c r="E54" s="13"/>
      <c r="F54" s="13"/>
    </row>
    <row r="55" spans="3:6">
      <c r="C55" s="14"/>
      <c r="D55" s="13"/>
      <c r="E55" s="13"/>
      <c r="F55" s="13"/>
    </row>
    <row r="56" spans="3:6">
      <c r="C56" s="14"/>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ht="75">
      <c r="B71" s="63">
        <v>1</v>
      </c>
      <c r="C71" s="64">
        <v>1</v>
      </c>
      <c r="D71" s="20" t="s">
        <v>108</v>
      </c>
      <c r="E71" s="24" t="s">
        <v>109</v>
      </c>
      <c r="F71" s="10" t="s">
        <v>110</v>
      </c>
    </row>
    <row r="72" spans="2:6" ht="75">
      <c r="B72" s="63">
        <v>1</v>
      </c>
      <c r="C72" s="64">
        <v>2</v>
      </c>
      <c r="D72" s="24" t="s">
        <v>111</v>
      </c>
      <c r="E72" s="20" t="s">
        <v>112</v>
      </c>
      <c r="F72" s="20" t="s">
        <v>113</v>
      </c>
    </row>
    <row r="73" spans="2:6" ht="45">
      <c r="B73" s="63">
        <v>1</v>
      </c>
      <c r="C73" s="64">
        <v>3</v>
      </c>
      <c r="D73" s="20" t="s">
        <v>114</v>
      </c>
      <c r="E73" s="20" t="s">
        <v>115</v>
      </c>
      <c r="F73" s="20" t="s">
        <v>116</v>
      </c>
    </row>
    <row r="74" spans="2:6" ht="45">
      <c r="B74" s="63">
        <v>1</v>
      </c>
      <c r="C74" s="64">
        <v>4</v>
      </c>
      <c r="D74" s="30" t="s">
        <v>117</v>
      </c>
      <c r="E74" s="30" t="s">
        <v>118</v>
      </c>
      <c r="F74" s="10" t="s">
        <v>119</v>
      </c>
    </row>
    <row r="75" spans="2:6" ht="45">
      <c r="B75" s="63">
        <v>1</v>
      </c>
      <c r="C75" s="64">
        <v>5</v>
      </c>
      <c r="D75" s="55" t="s">
        <v>120</v>
      </c>
      <c r="E75" s="10" t="s">
        <v>121</v>
      </c>
      <c r="F75" s="10" t="s">
        <v>122</v>
      </c>
    </row>
    <row r="76" spans="2:6" ht="45">
      <c r="B76" s="63">
        <v>1</v>
      </c>
      <c r="C76" s="64">
        <v>6</v>
      </c>
      <c r="D76" s="24" t="s">
        <v>123</v>
      </c>
      <c r="E76" s="10" t="s">
        <v>124</v>
      </c>
      <c r="F76" s="13" t="s">
        <v>125</v>
      </c>
    </row>
    <row r="77" spans="2:6">
      <c r="B77" s="63">
        <v>1</v>
      </c>
      <c r="C77" s="64">
        <v>7</v>
      </c>
      <c r="D77" s="10" t="s">
        <v>126</v>
      </c>
      <c r="E77" s="10"/>
      <c r="F77" s="10"/>
    </row>
    <row r="78" spans="2:6" ht="45">
      <c r="B78" s="63">
        <v>1</v>
      </c>
      <c r="C78" s="64">
        <v>8</v>
      </c>
      <c r="D78" s="30" t="s">
        <v>127</v>
      </c>
      <c r="E78" s="10" t="s">
        <v>128</v>
      </c>
      <c r="F78" s="10" t="s">
        <v>129</v>
      </c>
    </row>
    <row r="79" spans="2:6" ht="45">
      <c r="B79" s="63">
        <v>1</v>
      </c>
      <c r="C79" s="64">
        <v>9</v>
      </c>
      <c r="D79" s="20" t="s">
        <v>130</v>
      </c>
      <c r="E79" s="20" t="s">
        <v>131</v>
      </c>
      <c r="F79" s="20" t="s">
        <v>132</v>
      </c>
    </row>
    <row r="80" spans="2:6" ht="60">
      <c r="B80" s="63">
        <v>1</v>
      </c>
      <c r="C80" s="64">
        <v>10</v>
      </c>
      <c r="D80" s="10" t="s">
        <v>133</v>
      </c>
      <c r="E80" s="10" t="s">
        <v>134</v>
      </c>
      <c r="F80" s="10" t="s">
        <v>135</v>
      </c>
    </row>
    <row r="81" spans="2:6" ht="60">
      <c r="B81" s="63">
        <v>1</v>
      </c>
      <c r="C81" s="64">
        <v>11</v>
      </c>
      <c r="D81" s="10" t="s">
        <v>136</v>
      </c>
      <c r="E81" s="10" t="s">
        <v>137</v>
      </c>
      <c r="F81" s="10" t="s">
        <v>138</v>
      </c>
    </row>
    <row r="82" spans="2:6" ht="60">
      <c r="B82" s="63">
        <v>1</v>
      </c>
      <c r="C82" s="64">
        <v>12</v>
      </c>
      <c r="D82" s="20" t="s">
        <v>139</v>
      </c>
      <c r="E82" s="20"/>
      <c r="F82" s="20" t="s">
        <v>140</v>
      </c>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DCF1D4CF-AD13-4549-94DF-DAD7372507FF}">
      <formula1>0</formula1>
      <formula2>80</formula2>
    </dataValidation>
    <dataValidation type="whole" showInputMessage="1" showErrorMessage="1" error="This is not a realistic number of contact hours please change" sqref="D19" xr:uid="{2EFE7054-9BF0-4E34-9260-CE2CA4E53AC1}">
      <formula1>0</formula1>
      <formula2>80</formula2>
    </dataValidation>
    <dataValidation type="list" allowBlank="1" showInputMessage="1" showErrorMessage="1" sqref="E38:E41" xr:uid="{8FAAA275-BBC0-49B8-8FE4-71328DF55B6F}">
      <formula1>INDIRECT("LISTAssess[Assessment Specific]")</formula1>
    </dataValidation>
    <dataValidation type="list" allowBlank="1" showInputMessage="1" showErrorMessage="1" sqref="F46:F66" xr:uid="{E1682273-6EEC-4437-BA8D-462547C84EF8}">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D8F5AA3-C895-4B95-9912-EF67DA280821}">
          <x14:formula1>
            <xm:f>LISTS!$C$26:$C$37</xm:f>
          </x14:formula1>
          <xm:sqref>D14</xm:sqref>
        </x14:dataValidation>
        <x14:dataValidation type="list" allowBlank="1" showInputMessage="1" showErrorMessage="1" xr:uid="{703F0AA5-3DD9-4205-B10E-84D20D77F5DF}">
          <x14:formula1>
            <xm:f>LISTS!$C$17:$C$22</xm:f>
          </x14:formula1>
          <xm:sqref>D13</xm:sqref>
        </x14:dataValidation>
        <x14:dataValidation type="list" allowBlank="1" showInputMessage="1" showErrorMessage="1" xr:uid="{204C63EF-139E-4DCF-87C5-C1413D76F08F}">
          <x14:formula1>
            <xm:f>LISTS!$C$7:$C$9</xm:f>
          </x14:formula1>
          <xm:sqref>D10</xm:sqref>
        </x14:dataValidation>
        <x14:dataValidation type="list" allowBlank="1" showInputMessage="1" showErrorMessage="1" xr:uid="{02A4F4B2-CA44-4C0F-951D-7C349BD7AFEB}">
          <x14:formula1>
            <xm:f>LISTS!$C$11:$C$15</xm:f>
          </x14:formula1>
          <xm:sqref>D11</xm:sqref>
        </x14:dataValidation>
        <x14:dataValidation type="list" allowBlank="1" showInputMessage="1" showErrorMessage="1" xr:uid="{D6C3DA59-44C9-4E4B-8893-5EEB7E17375D}">
          <x14:formula1>
            <xm:f>LISTS!$G$7:$G$11</xm:f>
          </x14:formula1>
          <xm:sqref>D38:D42</xm:sqref>
        </x14:dataValidation>
        <x14:dataValidation type="list" allowBlank="1" showInputMessage="1" showErrorMessage="1" xr:uid="{1A267CA5-0348-4F32-BF79-432FCFC02438}">
          <x14:formula1>
            <xm:f>LISTS!$E$7:$E$11</xm:f>
          </x14:formula1>
          <xm:sqref>D46:D66</xm:sqref>
        </x14:dataValidation>
        <x14:dataValidation type="list" allowBlank="1" showInputMessage="1" showErrorMessage="1" xr:uid="{BE7A30BD-1760-4896-BACE-8BCA87088F96}">
          <x14:formula1>
            <xm:f>LISTS!$J$7:$J$16</xm:f>
          </x14:formula1>
          <xm:sqref>E46:E66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4201E-C1C9-4F7F-8205-AF7BE74FA433}">
  <sheetPr codeName="Sheet13"/>
  <dimension ref="B2:H85"/>
  <sheetViews>
    <sheetView showGridLines="0" tabSelected="1" zoomScaleNormal="85" workbookViewId="0">
      <selection activeCell="F38" sqref="F38"/>
    </sheetView>
  </sheetViews>
  <sheetFormatPr defaultColWidth="8.85546875" defaultRowHeight="15"/>
  <cols>
    <col min="3" max="3" width="33.140625" customWidth="1"/>
    <col min="4" max="4" width="55.1406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4091SPS</v>
      </c>
      <c r="D2" s="9" t="str">
        <f>D8</f>
        <v>Research Methods 1</v>
      </c>
    </row>
    <row r="3" spans="2:6" ht="15.75">
      <c r="B3" s="1"/>
      <c r="C3" s="1"/>
      <c r="E3" s="101" t="s">
        <v>141</v>
      </c>
    </row>
    <row r="4" spans="2:6">
      <c r="B4" s="2"/>
      <c r="C4" s="2"/>
      <c r="E4" s="100" t="s">
        <v>142</v>
      </c>
    </row>
    <row r="5" spans="2:6" ht="18.75">
      <c r="B5" s="2"/>
      <c r="C5" s="5" t="s">
        <v>0</v>
      </c>
    </row>
    <row r="6" spans="2:6">
      <c r="B6" s="2"/>
      <c r="C6" s="3" t="s">
        <v>1</v>
      </c>
      <c r="D6" s="4" t="s">
        <v>2</v>
      </c>
      <c r="E6" s="4"/>
      <c r="F6" t="s">
        <v>3</v>
      </c>
    </row>
    <row r="7" spans="2:6">
      <c r="B7" s="2"/>
      <c r="C7" s="62" t="s">
        <v>4</v>
      </c>
      <c r="D7" s="10" t="s">
        <v>143</v>
      </c>
      <c r="E7" s="4"/>
      <c r="F7" s="10"/>
    </row>
    <row r="8" spans="2:6" ht="45">
      <c r="B8" s="2"/>
      <c r="C8" s="62" t="s">
        <v>6</v>
      </c>
      <c r="D8" s="10" t="s">
        <v>144</v>
      </c>
      <c r="E8" s="4"/>
      <c r="F8" s="10" t="s">
        <v>145</v>
      </c>
    </row>
    <row r="9" spans="2:6">
      <c r="C9" s="62" t="s">
        <v>7</v>
      </c>
      <c r="D9" s="10">
        <v>20</v>
      </c>
      <c r="E9" s="4"/>
    </row>
    <row r="10" spans="2:6">
      <c r="C10" s="62" t="s">
        <v>8</v>
      </c>
      <c r="D10" s="10">
        <v>2</v>
      </c>
      <c r="E10" s="4"/>
      <c r="F10" t="s">
        <v>9</v>
      </c>
    </row>
    <row r="11" spans="2:6" ht="30">
      <c r="C11" s="62" t="s">
        <v>10</v>
      </c>
      <c r="D11" s="10">
        <v>4</v>
      </c>
      <c r="E11" s="4"/>
      <c r="F11" s="37" t="s">
        <v>146</v>
      </c>
    </row>
    <row r="12" spans="2:6" ht="30">
      <c r="C12" s="62" t="s">
        <v>11</v>
      </c>
      <c r="D12" s="10" t="s">
        <v>147</v>
      </c>
      <c r="E12" s="4"/>
      <c r="F12" s="10" t="s">
        <v>148</v>
      </c>
    </row>
    <row r="13" spans="2:6">
      <c r="C13" s="62" t="s">
        <v>12</v>
      </c>
      <c r="D13" s="10" t="s">
        <v>149</v>
      </c>
      <c r="E13" s="4"/>
      <c r="F13" s="13" t="s">
        <v>150</v>
      </c>
    </row>
    <row r="14" spans="2:6">
      <c r="C14" s="62" t="s">
        <v>13</v>
      </c>
      <c r="D14" s="10" t="s">
        <v>151</v>
      </c>
      <c r="E14" s="4"/>
    </row>
    <row r="15" spans="2:6">
      <c r="C15" s="3"/>
      <c r="D15" s="4"/>
      <c r="E15" s="4"/>
      <c r="F15" t="s">
        <v>14</v>
      </c>
    </row>
    <row r="16" spans="2:6">
      <c r="C16" s="3"/>
      <c r="D16" s="4"/>
      <c r="E16" s="4"/>
      <c r="F16" s="37"/>
    </row>
    <row r="17" spans="3:6" ht="150">
      <c r="C17" s="5" t="s">
        <v>15</v>
      </c>
      <c r="D17" s="4"/>
      <c r="E17" s="4"/>
      <c r="F17" s="10" t="s">
        <v>152</v>
      </c>
    </row>
    <row r="18" spans="3:6">
      <c r="C18" s="3" t="s">
        <v>16</v>
      </c>
      <c r="D18" s="1" t="s">
        <v>15</v>
      </c>
      <c r="E18" s="4"/>
      <c r="F18" s="13"/>
    </row>
    <row r="19" spans="3:6">
      <c r="C19" s="62" t="s">
        <v>17</v>
      </c>
      <c r="D19" s="11">
        <v>34</v>
      </c>
      <c r="E19" s="4"/>
      <c r="F19" s="13"/>
    </row>
    <row r="20" spans="3:6">
      <c r="C20" s="62" t="s">
        <v>18</v>
      </c>
      <c r="D20" s="11">
        <v>6</v>
      </c>
      <c r="E20" s="4"/>
      <c r="F20" s="13"/>
    </row>
    <row r="21" spans="3:6">
      <c r="C21" s="62" t="s">
        <v>19</v>
      </c>
      <c r="D21" s="11"/>
      <c r="E21" s="4"/>
    </row>
    <row r="22" spans="3:6">
      <c r="C22" s="62" t="s">
        <v>20</v>
      </c>
      <c r="D22" s="11">
        <v>4</v>
      </c>
      <c r="E22" s="4"/>
      <c r="F22" t="s">
        <v>21</v>
      </c>
    </row>
    <row r="23" spans="3:6" ht="90">
      <c r="C23" s="62" t="s">
        <v>22</v>
      </c>
      <c r="D23" s="11"/>
      <c r="E23" s="4"/>
      <c r="F23" s="20" t="s">
        <v>153</v>
      </c>
    </row>
    <row r="24" spans="3:6">
      <c r="C24" s="62" t="s">
        <v>23</v>
      </c>
      <c r="D24" s="1">
        <f>SUM(D19:D23)</f>
        <v>44</v>
      </c>
      <c r="E24" s="4"/>
      <c r="F24" s="14" t="s">
        <v>154</v>
      </c>
    </row>
    <row r="25" spans="3:6">
      <c r="F25" s="13" t="s">
        <v>155</v>
      </c>
    </row>
    <row r="26" spans="3:6">
      <c r="F26" s="13" t="s">
        <v>156</v>
      </c>
    </row>
    <row r="27" spans="3:6" ht="18.75">
      <c r="C27" s="5" t="s">
        <v>24</v>
      </c>
      <c r="D27" s="8" t="s">
        <v>25</v>
      </c>
      <c r="F27" s="13" t="s">
        <v>157</v>
      </c>
    </row>
    <row r="28" spans="3:6">
      <c r="C28" s="3" t="s">
        <v>26</v>
      </c>
      <c r="D28" s="3" t="s">
        <v>27</v>
      </c>
      <c r="E28" s="3"/>
      <c r="F28" s="13" t="s">
        <v>158</v>
      </c>
    </row>
    <row r="29" spans="3:6">
      <c r="C29" s="62" t="s">
        <v>28</v>
      </c>
      <c r="D29" s="65" t="s">
        <v>159</v>
      </c>
      <c r="E29" s="4"/>
      <c r="F29" s="13" t="s">
        <v>160</v>
      </c>
    </row>
    <row r="30" spans="3:6">
      <c r="C30" s="62" t="s">
        <v>29</v>
      </c>
      <c r="D30" s="65" t="s">
        <v>161</v>
      </c>
      <c r="E30" s="4"/>
      <c r="F30" s="13" t="s">
        <v>162</v>
      </c>
    </row>
    <row r="31" spans="3:6">
      <c r="C31" s="62" t="s">
        <v>30</v>
      </c>
      <c r="D31" s="10"/>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90">
      <c r="C38" s="62" t="s">
        <v>40</v>
      </c>
      <c r="D38" s="10" t="s">
        <v>163</v>
      </c>
      <c r="E38" s="10"/>
      <c r="F38" s="107" t="s">
        <v>164</v>
      </c>
      <c r="G38" s="12">
        <v>0.3</v>
      </c>
      <c r="H38" s="10">
        <v>7</v>
      </c>
    </row>
    <row r="39" spans="3:8" ht="60">
      <c r="C39" s="62" t="s">
        <v>44</v>
      </c>
      <c r="D39" s="10" t="s">
        <v>163</v>
      </c>
      <c r="E39" s="10"/>
      <c r="F39" s="10" t="s">
        <v>165</v>
      </c>
      <c r="G39" s="12">
        <v>0.7</v>
      </c>
      <c r="H39" s="10" t="s">
        <v>166</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50</v>
      </c>
      <c r="F47" s="13" t="s">
        <v>52</v>
      </c>
    </row>
    <row r="48" spans="3:8">
      <c r="C48" s="14" t="s">
        <v>40</v>
      </c>
      <c r="D48" s="13" t="s">
        <v>29</v>
      </c>
      <c r="E48" s="13" t="s">
        <v>57</v>
      </c>
      <c r="F48" s="13" t="s">
        <v>58</v>
      </c>
    </row>
    <row r="49" spans="2:6">
      <c r="C49" s="14" t="s">
        <v>40</v>
      </c>
      <c r="D49" s="13" t="s">
        <v>29</v>
      </c>
      <c r="E49" s="13" t="s">
        <v>53</v>
      </c>
      <c r="F49" s="13" t="s">
        <v>167</v>
      </c>
    </row>
    <row r="50" spans="2:6">
      <c r="C50" s="14" t="s">
        <v>40</v>
      </c>
      <c r="D50" s="13" t="s">
        <v>28</v>
      </c>
      <c r="E50" s="13" t="s">
        <v>168</v>
      </c>
      <c r="F50" s="13" t="s">
        <v>169</v>
      </c>
    </row>
    <row r="51" spans="2:6">
      <c r="C51" s="14" t="s">
        <v>40</v>
      </c>
      <c r="D51" s="13" t="s">
        <v>29</v>
      </c>
      <c r="E51" s="13" t="s">
        <v>100</v>
      </c>
      <c r="F51" s="13" t="s">
        <v>101</v>
      </c>
    </row>
    <row r="52" spans="2:6">
      <c r="C52" s="14" t="s">
        <v>44</v>
      </c>
      <c r="D52" s="13" t="s">
        <v>28</v>
      </c>
      <c r="E52" s="13" t="s">
        <v>50</v>
      </c>
      <c r="F52" s="13" t="s">
        <v>51</v>
      </c>
    </row>
    <row r="53" spans="2:6">
      <c r="C53" s="14" t="s">
        <v>44</v>
      </c>
      <c r="D53" s="13" t="s">
        <v>28</v>
      </c>
      <c r="E53" s="13" t="s">
        <v>50</v>
      </c>
      <c r="F53" s="13" t="s">
        <v>52</v>
      </c>
    </row>
    <row r="54" spans="2:6">
      <c r="C54" s="14" t="s">
        <v>44</v>
      </c>
      <c r="D54" s="13" t="s">
        <v>29</v>
      </c>
      <c r="E54" s="13" t="s">
        <v>57</v>
      </c>
      <c r="F54" s="13" t="s">
        <v>58</v>
      </c>
    </row>
    <row r="55" spans="2:6">
      <c r="C55" s="14" t="s">
        <v>44</v>
      </c>
      <c r="D55" s="13" t="s">
        <v>29</v>
      </c>
      <c r="E55" s="13" t="s">
        <v>53</v>
      </c>
      <c r="F55" s="13" t="s">
        <v>167</v>
      </c>
    </row>
    <row r="56" spans="2:6">
      <c r="C56" s="14" t="s">
        <v>44</v>
      </c>
      <c r="D56" s="13" t="s">
        <v>28</v>
      </c>
      <c r="E56" s="13" t="s">
        <v>168</v>
      </c>
      <c r="F56" s="13" t="s">
        <v>169</v>
      </c>
    </row>
    <row r="57" spans="2:6">
      <c r="C57" s="14" t="s">
        <v>44</v>
      </c>
      <c r="D57" s="13" t="s">
        <v>29</v>
      </c>
      <c r="E57" s="13" t="s">
        <v>100</v>
      </c>
      <c r="F57" s="13" t="s">
        <v>101</v>
      </c>
    </row>
    <row r="58" spans="2:6">
      <c r="C58" s="6"/>
    </row>
    <row r="59" spans="2:6">
      <c r="C59" s="6"/>
    </row>
    <row r="60" spans="2:6" ht="18.75">
      <c r="C60" s="5" t="s">
        <v>59</v>
      </c>
    </row>
    <row r="61" spans="2:6">
      <c r="B61" t="s">
        <v>60</v>
      </c>
      <c r="C61" s="1" t="s">
        <v>61</v>
      </c>
      <c r="D61" s="1" t="s">
        <v>62</v>
      </c>
      <c r="E61" s="1" t="s">
        <v>63</v>
      </c>
      <c r="F61" s="1" t="s">
        <v>64</v>
      </c>
    </row>
    <row r="62" spans="2:6">
      <c r="B62" s="63">
        <v>1</v>
      </c>
      <c r="C62" s="64">
        <v>1</v>
      </c>
      <c r="D62" s="10"/>
      <c r="E62" s="10"/>
      <c r="F62" s="10"/>
    </row>
    <row r="63" spans="2:6">
      <c r="B63" s="63">
        <v>1</v>
      </c>
      <c r="C63" s="64">
        <v>2</v>
      </c>
      <c r="D63" s="10"/>
      <c r="E63" s="10"/>
      <c r="F63" s="10"/>
    </row>
    <row r="64" spans="2:6">
      <c r="B64" s="63">
        <v>1</v>
      </c>
      <c r="C64" s="64">
        <v>3</v>
      </c>
      <c r="D64" s="10"/>
      <c r="E64" s="10"/>
      <c r="F64" s="10"/>
    </row>
    <row r="65" spans="2:6">
      <c r="B65" s="63">
        <v>1</v>
      </c>
      <c r="C65" s="64">
        <v>4</v>
      </c>
      <c r="D65" s="10"/>
      <c r="E65" s="10"/>
      <c r="F65" s="10"/>
    </row>
    <row r="66" spans="2:6">
      <c r="B66" s="63">
        <v>1</v>
      </c>
      <c r="C66" s="64">
        <v>5</v>
      </c>
      <c r="D66" s="10"/>
      <c r="E66" s="10"/>
      <c r="F66" s="10"/>
    </row>
    <row r="67" spans="2:6">
      <c r="B67" s="63">
        <v>1</v>
      </c>
      <c r="C67" s="64">
        <v>6</v>
      </c>
      <c r="D67" s="10"/>
      <c r="E67" s="10"/>
      <c r="F67" s="10"/>
    </row>
    <row r="68" spans="2:6">
      <c r="B68" s="63">
        <v>1</v>
      </c>
      <c r="C68" s="64">
        <v>7</v>
      </c>
      <c r="D68" s="10"/>
      <c r="E68" s="10"/>
      <c r="F68" s="10"/>
    </row>
    <row r="69" spans="2:6">
      <c r="B69" s="63">
        <v>1</v>
      </c>
      <c r="C69" s="64">
        <v>8</v>
      </c>
      <c r="D69" s="10"/>
      <c r="E69" s="10"/>
      <c r="F69" s="10"/>
    </row>
    <row r="70" spans="2:6">
      <c r="B70" s="63">
        <v>1</v>
      </c>
      <c r="C70" s="64">
        <v>9</v>
      </c>
      <c r="D70" s="10"/>
      <c r="E70" s="10"/>
      <c r="F70" s="10"/>
    </row>
    <row r="71" spans="2:6">
      <c r="B71" s="63">
        <v>1</v>
      </c>
      <c r="C71" s="64">
        <v>10</v>
      </c>
      <c r="D71" s="10"/>
      <c r="E71" s="10"/>
      <c r="F71" s="10"/>
    </row>
    <row r="72" spans="2:6">
      <c r="B72" s="63">
        <v>1</v>
      </c>
      <c r="C72" s="64">
        <v>11</v>
      </c>
      <c r="D72" s="10"/>
      <c r="E72" s="10"/>
      <c r="F72" s="10"/>
    </row>
    <row r="73" spans="2:6">
      <c r="B73" s="63">
        <v>1</v>
      </c>
      <c r="C73" s="64">
        <v>12</v>
      </c>
      <c r="D73" s="10"/>
      <c r="E73" s="10"/>
      <c r="F73" s="10"/>
    </row>
    <row r="74" spans="2:6">
      <c r="B74" s="63">
        <v>2</v>
      </c>
      <c r="C74" s="64">
        <v>1</v>
      </c>
      <c r="D74" s="10" t="s">
        <v>170</v>
      </c>
      <c r="E74" s="10" t="s">
        <v>171</v>
      </c>
      <c r="F74" s="10" t="s">
        <v>172</v>
      </c>
    </row>
    <row r="75" spans="2:6">
      <c r="B75" s="63">
        <v>2</v>
      </c>
      <c r="C75" s="64">
        <v>2</v>
      </c>
      <c r="D75" s="10" t="s">
        <v>173</v>
      </c>
      <c r="E75" s="10" t="s">
        <v>174</v>
      </c>
      <c r="F75" s="10"/>
    </row>
    <row r="76" spans="2:6">
      <c r="B76" s="63">
        <v>2</v>
      </c>
      <c r="C76" s="64">
        <v>3</v>
      </c>
      <c r="D76" s="10" t="s">
        <v>175</v>
      </c>
      <c r="E76" s="10" t="s">
        <v>175</v>
      </c>
      <c r="F76" s="10"/>
    </row>
    <row r="77" spans="2:6">
      <c r="B77" s="63">
        <v>2</v>
      </c>
      <c r="C77" s="64">
        <v>4</v>
      </c>
      <c r="D77" s="10" t="s">
        <v>176</v>
      </c>
      <c r="E77" s="10" t="s">
        <v>177</v>
      </c>
      <c r="F77" s="10"/>
    </row>
    <row r="78" spans="2:6">
      <c r="B78" s="63">
        <v>2</v>
      </c>
      <c r="C78" s="64">
        <v>5</v>
      </c>
      <c r="D78" s="10" t="s">
        <v>178</v>
      </c>
      <c r="E78" s="10" t="s">
        <v>179</v>
      </c>
      <c r="F78" s="10"/>
    </row>
    <row r="79" spans="2:6">
      <c r="B79" s="63">
        <v>2</v>
      </c>
      <c r="C79" s="64">
        <v>6</v>
      </c>
      <c r="D79" s="10" t="s">
        <v>180</v>
      </c>
      <c r="E79" s="10" t="s">
        <v>181</v>
      </c>
      <c r="F79" s="10"/>
    </row>
    <row r="80" spans="2:6">
      <c r="B80" s="63">
        <v>2</v>
      </c>
      <c r="C80" s="64">
        <v>7</v>
      </c>
      <c r="D80" s="10" t="s">
        <v>182</v>
      </c>
      <c r="E80" s="10"/>
      <c r="F80" s="10"/>
    </row>
    <row r="81" spans="2:6">
      <c r="B81" s="63">
        <v>2</v>
      </c>
      <c r="C81" s="64">
        <v>8</v>
      </c>
      <c r="D81" s="10" t="s">
        <v>183</v>
      </c>
      <c r="E81" s="10"/>
      <c r="F81" s="10" t="s">
        <v>184</v>
      </c>
    </row>
    <row r="82" spans="2:6">
      <c r="B82" s="63">
        <v>2</v>
      </c>
      <c r="C82" s="64">
        <v>9</v>
      </c>
      <c r="D82" s="10" t="s">
        <v>185</v>
      </c>
      <c r="E82" s="10"/>
      <c r="F82" s="10" t="s">
        <v>186</v>
      </c>
    </row>
    <row r="83" spans="2:6">
      <c r="B83" s="63">
        <v>2</v>
      </c>
      <c r="C83" s="64">
        <v>10</v>
      </c>
      <c r="D83" s="10" t="s">
        <v>187</v>
      </c>
      <c r="E83" s="10"/>
      <c r="F83" s="10" t="s">
        <v>188</v>
      </c>
    </row>
    <row r="84" spans="2:6">
      <c r="B84" s="63">
        <v>2</v>
      </c>
      <c r="C84" s="64">
        <v>11</v>
      </c>
      <c r="D84" s="10" t="s">
        <v>189</v>
      </c>
      <c r="E84" s="10"/>
      <c r="F84" s="10" t="s">
        <v>190</v>
      </c>
    </row>
    <row r="85" spans="2:6">
      <c r="B85" s="63">
        <v>2</v>
      </c>
      <c r="C85" s="64">
        <v>12</v>
      </c>
      <c r="D85" s="10" t="s">
        <v>191</v>
      </c>
      <c r="E85" s="10" t="s">
        <v>192</v>
      </c>
      <c r="F85" s="10"/>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D797E750-E182-4FD7-B87B-8BCA98B34C95}">
      <formula1>0</formula1>
      <formula2>80</formula2>
    </dataValidation>
    <dataValidation type="whole" showInputMessage="1" showErrorMessage="1" error="This is not a realistic number of contact hours please change" sqref="D19" xr:uid="{D5DB0AE1-4076-47C8-B6DE-8DD76FB65EE8}">
      <formula1>0</formula1>
      <formula2>80</formula2>
    </dataValidation>
    <dataValidation type="list" allowBlank="1" showInputMessage="1" showErrorMessage="1" sqref="E38:E41" xr:uid="{DD9CC5CE-494B-4C56-AF64-4B2426BC2656}">
      <formula1>INDIRECT("LISTAssess[Assessment Specific]")</formula1>
    </dataValidation>
    <dataValidation type="list" allowBlank="1" showInputMessage="1" showErrorMessage="1" sqref="F46:F59" xr:uid="{C9707995-2020-4DF5-93A9-9BA3C5DD0AB2}">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A60CFDE6-68E7-4DBD-90B4-553E521F6320}">
          <x14:formula1>
            <xm:f>LISTS!$C$26:$C$37</xm:f>
          </x14:formula1>
          <xm:sqref>D14</xm:sqref>
        </x14:dataValidation>
        <x14:dataValidation type="list" allowBlank="1" showInputMessage="1" showErrorMessage="1" xr:uid="{E7E27F05-4B3F-4911-B6A4-BBB5F8A9A0C3}">
          <x14:formula1>
            <xm:f>LISTS!$C$17:$C$22</xm:f>
          </x14:formula1>
          <xm:sqref>D13</xm:sqref>
        </x14:dataValidation>
        <x14:dataValidation type="list" allowBlank="1" showInputMessage="1" showErrorMessage="1" xr:uid="{49E8CF06-C4B5-4353-97B4-38579B6F15E7}">
          <x14:formula1>
            <xm:f>LISTS!$C$7:$C$9</xm:f>
          </x14:formula1>
          <xm:sqref>D10</xm:sqref>
        </x14:dataValidation>
        <x14:dataValidation type="list" allowBlank="1" showInputMessage="1" showErrorMessage="1" xr:uid="{9DE00856-E09E-49E6-A87E-5501597D07E5}">
          <x14:formula1>
            <xm:f>LISTS!$C$11:$C$15</xm:f>
          </x14:formula1>
          <xm:sqref>D11</xm:sqref>
        </x14:dataValidation>
        <x14:dataValidation type="list" allowBlank="1" showInputMessage="1" showErrorMessage="1" xr:uid="{C5598C0A-5E51-465C-B2A1-E73F321DF045}">
          <x14:formula1>
            <xm:f>LISTS!$G$7:$G$11</xm:f>
          </x14:formula1>
          <xm:sqref>D38:D42</xm:sqref>
        </x14:dataValidation>
        <x14:dataValidation type="list" allowBlank="1" showInputMessage="1" showErrorMessage="1" xr:uid="{13F225B6-6DE7-4A57-BD8D-E6C16A3E5D7A}">
          <x14:formula1>
            <xm:f>LISTS!$E$7:$E$11</xm:f>
          </x14:formula1>
          <xm:sqref>D46:D59</xm:sqref>
        </x14:dataValidation>
        <x14:dataValidation type="list" allowBlank="1" showInputMessage="1" showErrorMessage="1" xr:uid="{3B0702EA-71A6-4767-BBE4-F0BCC8D665AF}">
          <x14:formula1>
            <xm:f>LISTS!$J$7:$J$16</xm:f>
          </x14:formula1>
          <xm:sqref>E46:E59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00FC-8231-4109-A87E-EAF31E13D407}">
  <sheetPr codeName="Sheet2"/>
  <dimension ref="B2:H94"/>
  <sheetViews>
    <sheetView showGridLines="0" topLeftCell="A21" zoomScale="85" zoomScaleNormal="85" workbookViewId="0">
      <selection activeCell="H31" sqref="H31"/>
    </sheetView>
  </sheetViews>
  <sheetFormatPr defaultColWidth="8.85546875" defaultRowHeight="15"/>
  <cols>
    <col min="3" max="3" width="33.140625" customWidth="1"/>
    <col min="4" max="4" width="51.42578125" customWidth="1"/>
    <col min="5" max="5" width="82.85546875" bestFit="1" customWidth="1"/>
    <col min="6" max="6" width="126.85546875" customWidth="1"/>
    <col min="7" max="7" width="12.42578125" customWidth="1"/>
    <col min="8" max="8" width="15.42578125" customWidth="1"/>
    <col min="9" max="9" width="14.85546875" customWidth="1"/>
  </cols>
  <sheetData>
    <row r="2" spans="2:6" ht="26.25">
      <c r="C2" s="9" t="str">
        <f>D7</f>
        <v>4092SPS</v>
      </c>
      <c r="D2" s="9" t="str">
        <f>D8</f>
        <v>Fundamentals of Exercise Physiology</v>
      </c>
    </row>
    <row r="3" spans="2:6">
      <c r="B3" s="1"/>
      <c r="C3" s="1"/>
    </row>
    <row r="4" spans="2:6">
      <c r="B4" s="2"/>
      <c r="C4" s="2"/>
    </row>
    <row r="5" spans="2:6" ht="18.75">
      <c r="B5" s="2"/>
      <c r="C5" s="5" t="s">
        <v>0</v>
      </c>
    </row>
    <row r="6" spans="2:6">
      <c r="B6" s="2"/>
      <c r="C6" s="3" t="s">
        <v>1</v>
      </c>
      <c r="D6" s="4" t="s">
        <v>2</v>
      </c>
      <c r="E6" s="4"/>
      <c r="F6" t="s">
        <v>3</v>
      </c>
    </row>
    <row r="7" spans="2:6" ht="45">
      <c r="B7" s="2"/>
      <c r="C7" s="62" t="s">
        <v>4</v>
      </c>
      <c r="D7" s="10" t="s">
        <v>193</v>
      </c>
      <c r="E7" s="4"/>
      <c r="F7" s="20" t="s">
        <v>194</v>
      </c>
    </row>
    <row r="8" spans="2:6" ht="30">
      <c r="B8" s="2"/>
      <c r="C8" s="62" t="s">
        <v>6</v>
      </c>
      <c r="D8" s="10" t="s">
        <v>195</v>
      </c>
      <c r="E8" s="4"/>
      <c r="F8" s="20" t="s">
        <v>196</v>
      </c>
    </row>
    <row r="9" spans="2:6">
      <c r="C9" s="62" t="s">
        <v>7</v>
      </c>
      <c r="D9" s="10">
        <v>20</v>
      </c>
      <c r="E9" s="4"/>
    </row>
    <row r="10" spans="2:6">
      <c r="C10" s="62" t="s">
        <v>8</v>
      </c>
      <c r="D10" s="10">
        <v>1</v>
      </c>
      <c r="E10" s="4"/>
      <c r="F10" t="s">
        <v>9</v>
      </c>
    </row>
    <row r="11" spans="2:6" ht="30">
      <c r="C11" s="62" t="s">
        <v>10</v>
      </c>
      <c r="D11" s="10">
        <v>4</v>
      </c>
      <c r="E11" s="4"/>
      <c r="F11" s="31" t="s">
        <v>197</v>
      </c>
    </row>
    <row r="12" spans="2:6" ht="45">
      <c r="C12" s="62" t="s">
        <v>11</v>
      </c>
      <c r="D12" s="10" t="s">
        <v>198</v>
      </c>
      <c r="E12" s="4"/>
      <c r="F12" s="31" t="s">
        <v>199</v>
      </c>
    </row>
    <row r="13" spans="2:6" ht="75">
      <c r="C13" s="62" t="s">
        <v>12</v>
      </c>
      <c r="D13" s="10" t="s">
        <v>200</v>
      </c>
      <c r="E13" s="4"/>
      <c r="F13" s="31" t="s">
        <v>201</v>
      </c>
    </row>
    <row r="14" spans="2:6">
      <c r="C14" s="62" t="s">
        <v>13</v>
      </c>
      <c r="D14" s="10" t="s">
        <v>202</v>
      </c>
      <c r="E14" s="4"/>
    </row>
    <row r="15" spans="2:6">
      <c r="C15" s="3"/>
      <c r="D15" s="4"/>
      <c r="E15" s="4"/>
      <c r="F15" t="s">
        <v>14</v>
      </c>
    </row>
    <row r="16" spans="2:6" ht="165">
      <c r="C16" s="3"/>
      <c r="D16" s="4"/>
      <c r="E16" s="4"/>
      <c r="F16" s="41" t="s">
        <v>203</v>
      </c>
    </row>
    <row r="17" spans="3:6" ht="18.75">
      <c r="C17" s="5" t="s">
        <v>15</v>
      </c>
      <c r="D17" s="4"/>
      <c r="E17" s="4"/>
      <c r="F17" s="13"/>
    </row>
    <row r="18" spans="3:6">
      <c r="C18" s="3" t="s">
        <v>16</v>
      </c>
      <c r="D18" s="1" t="s">
        <v>15</v>
      </c>
      <c r="E18" s="4"/>
      <c r="F18" s="13"/>
    </row>
    <row r="19" spans="3:6">
      <c r="C19" s="62" t="s">
        <v>17</v>
      </c>
      <c r="D19" s="11">
        <v>33</v>
      </c>
      <c r="E19" s="4"/>
      <c r="F19" s="13"/>
    </row>
    <row r="20" spans="3:6">
      <c r="C20" s="62" t="s">
        <v>18</v>
      </c>
      <c r="D20" s="11">
        <v>1</v>
      </c>
      <c r="E20" s="4"/>
      <c r="F20" s="13"/>
    </row>
    <row r="21" spans="3:6">
      <c r="C21" s="62" t="s">
        <v>19</v>
      </c>
      <c r="D21" s="11">
        <v>6</v>
      </c>
      <c r="E21" s="4"/>
    </row>
    <row r="22" spans="3:6">
      <c r="C22" s="62" t="s">
        <v>20</v>
      </c>
      <c r="D22" s="11">
        <v>1</v>
      </c>
      <c r="E22" s="4"/>
      <c r="F22" t="s">
        <v>21</v>
      </c>
    </row>
    <row r="23" spans="3:6" ht="30">
      <c r="C23" s="62" t="s">
        <v>22</v>
      </c>
      <c r="D23" s="11">
        <v>3</v>
      </c>
      <c r="E23" s="4"/>
      <c r="F23" s="20" t="s">
        <v>204</v>
      </c>
    </row>
    <row r="24" spans="3:6" ht="30">
      <c r="C24" s="62" t="s">
        <v>23</v>
      </c>
      <c r="D24" s="1">
        <f>SUM(D19:D23)</f>
        <v>44</v>
      </c>
      <c r="E24" s="4"/>
      <c r="F24" s="20" t="s">
        <v>205</v>
      </c>
    </row>
    <row r="25" spans="3:6">
      <c r="F25" s="13"/>
    </row>
    <row r="26" spans="3:6">
      <c r="F26" s="13"/>
    </row>
    <row r="27" spans="3:6" ht="18.75">
      <c r="C27" s="5" t="s">
        <v>24</v>
      </c>
      <c r="D27" s="8" t="s">
        <v>25</v>
      </c>
      <c r="F27" s="13"/>
    </row>
    <row r="28" spans="3:6">
      <c r="C28" s="3" t="s">
        <v>26</v>
      </c>
      <c r="D28" s="3" t="s">
        <v>27</v>
      </c>
      <c r="E28" s="3"/>
      <c r="F28" s="13"/>
    </row>
    <row r="29" spans="3:6" ht="30">
      <c r="C29" s="62" t="s">
        <v>28</v>
      </c>
      <c r="D29" s="20" t="s">
        <v>206</v>
      </c>
      <c r="E29" s="4"/>
      <c r="F29" s="13"/>
    </row>
    <row r="30" spans="3:6" ht="30">
      <c r="C30" s="62" t="s">
        <v>29</v>
      </c>
      <c r="D30" s="20" t="s">
        <v>207</v>
      </c>
      <c r="E30" s="4"/>
      <c r="F30" s="13"/>
    </row>
    <row r="31" spans="3:6" ht="30">
      <c r="C31" s="62" t="s">
        <v>30</v>
      </c>
      <c r="D31" s="20" t="s">
        <v>208</v>
      </c>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c r="C38" s="62" t="s">
        <v>40</v>
      </c>
      <c r="D38" s="10" t="s">
        <v>97</v>
      </c>
      <c r="E38" s="10" t="s">
        <v>209</v>
      </c>
      <c r="F38" s="10" t="s">
        <v>210</v>
      </c>
      <c r="G38" s="12">
        <v>0.5</v>
      </c>
      <c r="H38" s="10">
        <v>12</v>
      </c>
    </row>
    <row r="39" spans="3:8">
      <c r="C39" s="62" t="s">
        <v>44</v>
      </c>
      <c r="D39" s="10" t="s">
        <v>163</v>
      </c>
      <c r="E39" s="10" t="s">
        <v>211</v>
      </c>
      <c r="F39" s="10" t="s">
        <v>212</v>
      </c>
      <c r="G39" s="12">
        <v>0.5</v>
      </c>
      <c r="H39" s="10" t="s">
        <v>213</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52</v>
      </c>
    </row>
    <row r="47" spans="3:8">
      <c r="C47" s="14" t="s">
        <v>40</v>
      </c>
      <c r="D47" s="13" t="s">
        <v>28</v>
      </c>
      <c r="E47" s="13" t="s">
        <v>50</v>
      </c>
      <c r="F47" s="13" t="s">
        <v>214</v>
      </c>
    </row>
    <row r="48" spans="3:8">
      <c r="C48" s="14" t="s">
        <v>40</v>
      </c>
      <c r="D48" s="13" t="s">
        <v>29</v>
      </c>
      <c r="E48" s="13" t="s">
        <v>57</v>
      </c>
      <c r="F48" s="13" t="s">
        <v>215</v>
      </c>
    </row>
    <row r="49" spans="3:6">
      <c r="C49" s="14" t="s">
        <v>40</v>
      </c>
      <c r="D49" s="13" t="s">
        <v>29</v>
      </c>
      <c r="E49" s="13" t="s">
        <v>168</v>
      </c>
      <c r="F49" s="13" t="s">
        <v>169</v>
      </c>
    </row>
    <row r="50" spans="3:6">
      <c r="C50" s="14" t="s">
        <v>40</v>
      </c>
      <c r="D50" s="13" t="s">
        <v>29</v>
      </c>
      <c r="E50" s="13" t="s">
        <v>55</v>
      </c>
      <c r="F50" s="13" t="s">
        <v>216</v>
      </c>
    </row>
    <row r="51" spans="3:6">
      <c r="C51" s="14" t="s">
        <v>40</v>
      </c>
      <c r="D51" s="13" t="s">
        <v>30</v>
      </c>
      <c r="E51" s="13" t="s">
        <v>100</v>
      </c>
      <c r="F51" s="13" t="s">
        <v>101</v>
      </c>
    </row>
    <row r="52" spans="3:6">
      <c r="C52" s="14" t="s">
        <v>44</v>
      </c>
      <c r="D52" s="13" t="s">
        <v>28</v>
      </c>
      <c r="E52" s="13" t="s">
        <v>50</v>
      </c>
      <c r="F52" s="13" t="s">
        <v>52</v>
      </c>
    </row>
    <row r="53" spans="3:6">
      <c r="C53" s="14" t="s">
        <v>44</v>
      </c>
      <c r="D53" s="13" t="s">
        <v>29</v>
      </c>
      <c r="E53" s="13" t="s">
        <v>50</v>
      </c>
      <c r="F53" s="13" t="s">
        <v>52</v>
      </c>
    </row>
    <row r="54" spans="3:6">
      <c r="C54" s="14" t="s">
        <v>44</v>
      </c>
      <c r="D54" s="13" t="s">
        <v>29</v>
      </c>
      <c r="E54" s="13" t="s">
        <v>50</v>
      </c>
      <c r="F54" s="13" t="s">
        <v>214</v>
      </c>
    </row>
    <row r="55" spans="3:6">
      <c r="C55" s="14" t="s">
        <v>44</v>
      </c>
      <c r="D55" s="13" t="s">
        <v>30</v>
      </c>
      <c r="E55" s="13" t="s">
        <v>53</v>
      </c>
      <c r="F55" s="13" t="s">
        <v>217</v>
      </c>
    </row>
    <row r="56" spans="3:6">
      <c r="C56" s="14"/>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ht="45">
      <c r="B71" s="63">
        <v>1</v>
      </c>
      <c r="C71" s="64">
        <v>1</v>
      </c>
      <c r="D71" s="39" t="s">
        <v>218</v>
      </c>
      <c r="E71" s="39" t="s">
        <v>219</v>
      </c>
      <c r="F71" s="41" t="s">
        <v>220</v>
      </c>
    </row>
    <row r="72" spans="2:6" ht="30">
      <c r="B72" s="63">
        <v>1</v>
      </c>
      <c r="C72" s="64">
        <v>2</v>
      </c>
      <c r="D72" s="38" t="s">
        <v>221</v>
      </c>
      <c r="E72" s="39" t="s">
        <v>222</v>
      </c>
      <c r="F72" s="40" t="s">
        <v>223</v>
      </c>
    </row>
    <row r="73" spans="2:6" ht="30">
      <c r="B73" s="63">
        <v>1</v>
      </c>
      <c r="C73" s="64">
        <v>3</v>
      </c>
      <c r="D73" s="38" t="s">
        <v>224</v>
      </c>
      <c r="E73" s="38" t="s">
        <v>225</v>
      </c>
      <c r="F73" s="42" t="s">
        <v>226</v>
      </c>
    </row>
    <row r="74" spans="2:6" ht="30">
      <c r="B74" s="63">
        <v>1</v>
      </c>
      <c r="C74" s="64">
        <v>4</v>
      </c>
      <c r="D74" s="38" t="s">
        <v>227</v>
      </c>
      <c r="E74" s="38" t="s">
        <v>228</v>
      </c>
      <c r="F74" s="10" t="s">
        <v>229</v>
      </c>
    </row>
    <row r="75" spans="2:6">
      <c r="B75" s="63">
        <v>1</v>
      </c>
      <c r="C75" s="64">
        <v>5</v>
      </c>
      <c r="D75" s="38" t="s">
        <v>230</v>
      </c>
      <c r="E75" s="38" t="s">
        <v>231</v>
      </c>
      <c r="F75" s="13" t="s">
        <v>232</v>
      </c>
    </row>
    <row r="76" spans="2:6" ht="30">
      <c r="B76" s="63">
        <v>1</v>
      </c>
      <c r="C76" s="64">
        <v>6</v>
      </c>
      <c r="D76" s="38" t="s">
        <v>233</v>
      </c>
      <c r="E76" s="38" t="s">
        <v>234</v>
      </c>
      <c r="F76" s="43" t="s">
        <v>235</v>
      </c>
    </row>
    <row r="77" spans="2:6">
      <c r="B77" s="63">
        <v>1</v>
      </c>
      <c r="C77" s="64">
        <v>7</v>
      </c>
      <c r="D77" s="38" t="s">
        <v>236</v>
      </c>
      <c r="E77" s="38" t="s">
        <v>237</v>
      </c>
      <c r="F77" s="10" t="s">
        <v>238</v>
      </c>
    </row>
    <row r="78" spans="2:6" ht="45">
      <c r="B78" s="63">
        <v>1</v>
      </c>
      <c r="C78" s="64">
        <v>8</v>
      </c>
      <c r="D78" s="38" t="s">
        <v>239</v>
      </c>
      <c r="E78" s="38" t="s">
        <v>240</v>
      </c>
      <c r="F78" s="10" t="s">
        <v>241</v>
      </c>
    </row>
    <row r="79" spans="2:6" ht="30">
      <c r="B79" s="63">
        <v>1</v>
      </c>
      <c r="C79" s="64">
        <v>9</v>
      </c>
      <c r="D79" s="38" t="s">
        <v>242</v>
      </c>
      <c r="E79" s="38" t="s">
        <v>243</v>
      </c>
      <c r="F79" s="44" t="s">
        <v>244</v>
      </c>
    </row>
    <row r="80" spans="2:6" ht="30">
      <c r="B80" s="63">
        <v>1</v>
      </c>
      <c r="C80" s="64">
        <v>10</v>
      </c>
      <c r="D80" s="38" t="s">
        <v>245</v>
      </c>
      <c r="E80" s="38" t="s">
        <v>246</v>
      </c>
      <c r="F80" s="10" t="s">
        <v>247</v>
      </c>
    </row>
    <row r="81" spans="2:6" ht="30">
      <c r="B81" s="63">
        <v>1</v>
      </c>
      <c r="C81" s="64">
        <v>11</v>
      </c>
      <c r="D81" s="38" t="s">
        <v>248</v>
      </c>
      <c r="E81" s="38" t="s">
        <v>249</v>
      </c>
      <c r="F81" s="10" t="s">
        <v>250</v>
      </c>
    </row>
    <row r="82" spans="2:6" ht="45">
      <c r="B82" s="63">
        <v>1</v>
      </c>
      <c r="C82" s="64">
        <v>12</v>
      </c>
      <c r="D82" s="20" t="s">
        <v>251</v>
      </c>
      <c r="E82" s="20" t="s">
        <v>252</v>
      </c>
      <c r="F82" s="10" t="s">
        <v>253</v>
      </c>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B7B2864D-75D1-4E60-B98B-96DFE08B851A}">
      <formula1>0</formula1>
      <formula2>80</formula2>
    </dataValidation>
    <dataValidation type="whole" showInputMessage="1" showErrorMessage="1" error="This is not a realistic number of contact hours please change" sqref="D19" xr:uid="{18353793-6C6F-4EAB-B14B-E1F7C115249C}">
      <formula1>0</formula1>
      <formula2>80</formula2>
    </dataValidation>
    <dataValidation type="list" allowBlank="1" showInputMessage="1" showErrorMessage="1" sqref="E38:E41" xr:uid="{E48AA713-552B-4105-B48D-5C23BD3FB028}">
      <formula1>INDIRECT("LISTAssess[Assessment Specific]")</formula1>
    </dataValidation>
    <dataValidation type="list" allowBlank="1" showInputMessage="1" showErrorMessage="1" sqref="F46:F66" xr:uid="{CF941901-AFF0-43A8-AC94-17835B2EA3F2}">
      <formula1>INDIRECT(VLOOKUP($E46, SkillNameMap, 2, FALSE))</formula1>
    </dataValidation>
  </dataValidations>
  <pageMargins left="0.7" right="0.7" top="0.75" bottom="0.75" header="0.3" footer="0.3"/>
  <pageSetup paperSize="9" orientation="portrait" horizontalDpi="4294967293" verticalDpi="0" r:id="rId1"/>
  <legacy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7">
        <x14:dataValidation type="list" allowBlank="1" showInputMessage="1" showErrorMessage="1" xr:uid="{78B63D05-B215-4367-BE7A-CB2C39083BC6}">
          <x14:formula1>
            <xm:f>LISTS!$C$26:$C$37</xm:f>
          </x14:formula1>
          <xm:sqref>D14</xm:sqref>
        </x14:dataValidation>
        <x14:dataValidation type="list" allowBlank="1" showInputMessage="1" showErrorMessage="1" xr:uid="{5CAEC015-0179-4647-8196-7D4CDC9EF10B}">
          <x14:formula1>
            <xm:f>LISTS!$C$17:$C$22</xm:f>
          </x14:formula1>
          <xm:sqref>D13</xm:sqref>
        </x14:dataValidation>
        <x14:dataValidation type="list" allowBlank="1" showInputMessage="1" showErrorMessage="1" xr:uid="{32CB5521-4789-4A4F-B884-47DF1E8B92DF}">
          <x14:formula1>
            <xm:f>LISTS!$C$7:$C$9</xm:f>
          </x14:formula1>
          <xm:sqref>D10</xm:sqref>
        </x14:dataValidation>
        <x14:dataValidation type="list" allowBlank="1" showInputMessage="1" showErrorMessage="1" xr:uid="{3C7D0972-AABE-4BE2-A9AF-2A9F84C36EE5}">
          <x14:formula1>
            <xm:f>LISTS!$C$11:$C$15</xm:f>
          </x14:formula1>
          <xm:sqref>D11</xm:sqref>
        </x14:dataValidation>
        <x14:dataValidation type="list" allowBlank="1" showInputMessage="1" showErrorMessage="1" xr:uid="{F651B19D-C96B-45CD-AEB2-C0A9D79F5FC9}">
          <x14:formula1>
            <xm:f>LISTS!$G$7:$G$11</xm:f>
          </x14:formula1>
          <xm:sqref>D38:D42</xm:sqref>
        </x14:dataValidation>
        <x14:dataValidation type="list" allowBlank="1" showInputMessage="1" showErrorMessage="1" xr:uid="{CD263751-D63C-4730-9CCD-6E6FCB903867}">
          <x14:formula1>
            <xm:f>LISTS!$E$7:$E$11</xm:f>
          </x14:formula1>
          <xm:sqref>D46:D66</xm:sqref>
        </x14:dataValidation>
        <x14:dataValidation type="list" allowBlank="1" showInputMessage="1" showErrorMessage="1" xr:uid="{95157A6A-B091-4F3A-8EF6-A3BE869FBEBC}">
          <x14:formula1>
            <xm:f>LISTS!$J$7:$J$16</xm:f>
          </x14:formula1>
          <xm:sqref>E46:E66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7D0FC-41A0-4C14-8EED-5C94ECF53341}">
  <sheetPr codeName="Sheet5"/>
  <dimension ref="B2:H94"/>
  <sheetViews>
    <sheetView showGridLines="0" zoomScale="85" zoomScaleNormal="85" workbookViewId="0">
      <selection activeCell="E6" sqref="E6"/>
    </sheetView>
  </sheetViews>
  <sheetFormatPr defaultColWidth="8.85546875" defaultRowHeight="15"/>
  <cols>
    <col min="3" max="3" width="33.140625" customWidth="1"/>
    <col min="4" max="4" width="55.1406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4102SPS</v>
      </c>
      <c r="D2" s="9" t="str">
        <f>D8</f>
        <v>Understanding Physical Activity &amp; Sedentary Behaviour</v>
      </c>
    </row>
    <row r="3" spans="2:6">
      <c r="B3" s="1"/>
      <c r="C3" s="1"/>
    </row>
    <row r="4" spans="2:6" ht="15.75">
      <c r="B4" s="2"/>
      <c r="C4" s="2"/>
      <c r="E4" s="101" t="s">
        <v>254</v>
      </c>
    </row>
    <row r="5" spans="2:6" ht="18.75">
      <c r="B5" s="2"/>
      <c r="C5" s="5" t="s">
        <v>0</v>
      </c>
    </row>
    <row r="6" spans="2:6">
      <c r="B6" s="2"/>
      <c r="C6" s="3" t="s">
        <v>1</v>
      </c>
      <c r="D6" s="4" t="s">
        <v>2</v>
      </c>
      <c r="E6" s="4"/>
      <c r="F6" t="s">
        <v>3</v>
      </c>
    </row>
    <row r="7" spans="2:6" ht="45">
      <c r="B7" s="2"/>
      <c r="C7" s="62" t="s">
        <v>4</v>
      </c>
      <c r="D7" s="10" t="s">
        <v>255</v>
      </c>
      <c r="E7" s="4"/>
      <c r="F7" s="20" t="s">
        <v>256</v>
      </c>
    </row>
    <row r="8" spans="2:6" ht="30">
      <c r="B8" s="2"/>
      <c r="C8" s="62" t="s">
        <v>6</v>
      </c>
      <c r="D8" s="10" t="s">
        <v>257</v>
      </c>
      <c r="E8" s="4"/>
      <c r="F8" s="20" t="s">
        <v>258</v>
      </c>
    </row>
    <row r="9" spans="2:6">
      <c r="C9" s="62" t="s">
        <v>7</v>
      </c>
      <c r="D9" s="10">
        <v>20</v>
      </c>
      <c r="E9" s="4"/>
    </row>
    <row r="10" spans="2:6">
      <c r="C10" s="62" t="s">
        <v>8</v>
      </c>
      <c r="D10" s="10">
        <v>2</v>
      </c>
      <c r="E10" s="4"/>
      <c r="F10" t="s">
        <v>9</v>
      </c>
    </row>
    <row r="11" spans="2:6" ht="90">
      <c r="C11" s="62" t="s">
        <v>10</v>
      </c>
      <c r="D11" s="10">
        <v>4</v>
      </c>
      <c r="E11" s="4"/>
      <c r="F11" s="37" t="s">
        <v>259</v>
      </c>
    </row>
    <row r="12" spans="2:6">
      <c r="C12" s="62" t="s">
        <v>11</v>
      </c>
      <c r="D12" s="10" t="s">
        <v>260</v>
      </c>
      <c r="E12" s="4"/>
      <c r="F12" s="13"/>
    </row>
    <row r="13" spans="2:6">
      <c r="C13" s="62" t="s">
        <v>12</v>
      </c>
      <c r="D13" s="10" t="s">
        <v>200</v>
      </c>
      <c r="E13" s="4"/>
      <c r="F13" s="13"/>
    </row>
    <row r="14" spans="2:6">
      <c r="C14" s="62" t="s">
        <v>13</v>
      </c>
      <c r="D14" s="10" t="s">
        <v>86</v>
      </c>
      <c r="E14" s="4"/>
    </row>
    <row r="15" spans="2:6">
      <c r="C15" s="3"/>
      <c r="D15" s="4"/>
      <c r="E15" s="4"/>
      <c r="F15" t="s">
        <v>14</v>
      </c>
    </row>
    <row r="16" spans="2:6" ht="75">
      <c r="C16" s="3"/>
      <c r="D16" s="4"/>
      <c r="E16" s="4"/>
      <c r="F16" s="37" t="s">
        <v>261</v>
      </c>
    </row>
    <row r="17" spans="3:6" ht="18.75">
      <c r="C17" s="5" t="s">
        <v>15</v>
      </c>
      <c r="D17" s="4"/>
      <c r="E17" s="4"/>
      <c r="F17" s="13"/>
    </row>
    <row r="18" spans="3:6">
      <c r="C18" s="3" t="s">
        <v>16</v>
      </c>
      <c r="D18" s="1" t="s">
        <v>15</v>
      </c>
      <c r="E18" s="4"/>
      <c r="F18" s="13"/>
    </row>
    <row r="19" spans="3:6">
      <c r="C19" s="62" t="s">
        <v>17</v>
      </c>
      <c r="D19" s="11">
        <v>23</v>
      </c>
      <c r="E19" s="4"/>
      <c r="F19" s="13"/>
    </row>
    <row r="20" spans="3:6">
      <c r="C20" s="62" t="s">
        <v>18</v>
      </c>
      <c r="D20" s="11"/>
      <c r="E20" s="4"/>
      <c r="F20" s="13"/>
    </row>
    <row r="21" spans="3:6">
      <c r="C21" s="62" t="s">
        <v>19</v>
      </c>
      <c r="D21" s="11"/>
      <c r="E21" s="4"/>
    </row>
    <row r="22" spans="3:6">
      <c r="C22" s="62" t="s">
        <v>20</v>
      </c>
      <c r="D22" s="11">
        <v>17</v>
      </c>
      <c r="E22" s="4"/>
      <c r="F22" t="s">
        <v>21</v>
      </c>
    </row>
    <row r="23" spans="3:6">
      <c r="C23" s="62" t="s">
        <v>22</v>
      </c>
      <c r="D23" s="11"/>
      <c r="E23" s="4"/>
      <c r="F23" s="20" t="s">
        <v>262</v>
      </c>
    </row>
    <row r="24" spans="3:6" ht="30">
      <c r="C24" s="62" t="s">
        <v>23</v>
      </c>
      <c r="D24" s="1">
        <f>SUM(D19:D23)</f>
        <v>40</v>
      </c>
      <c r="E24" s="4"/>
      <c r="F24" s="20" t="s">
        <v>263</v>
      </c>
    </row>
    <row r="25" spans="3:6" ht="30">
      <c r="F25" s="20" t="s">
        <v>264</v>
      </c>
    </row>
    <row r="26" spans="3:6" ht="30">
      <c r="F26" s="20" t="s">
        <v>265</v>
      </c>
    </row>
    <row r="27" spans="3:6" ht="18.75">
      <c r="C27" s="5" t="s">
        <v>24</v>
      </c>
      <c r="D27" s="8" t="s">
        <v>25</v>
      </c>
      <c r="F27" s="13" t="s">
        <v>266</v>
      </c>
    </row>
    <row r="28" spans="3:6" ht="30">
      <c r="C28" s="3" t="s">
        <v>26</v>
      </c>
      <c r="D28" s="3" t="s">
        <v>27</v>
      </c>
      <c r="E28" s="3"/>
      <c r="F28" s="20" t="s">
        <v>267</v>
      </c>
    </row>
    <row r="29" spans="3:6" ht="45">
      <c r="C29" s="62" t="s">
        <v>28</v>
      </c>
      <c r="D29" s="10" t="s">
        <v>268</v>
      </c>
      <c r="E29" s="4"/>
      <c r="F29" s="13"/>
    </row>
    <row r="30" spans="3:6" ht="30">
      <c r="C30" s="62" t="s">
        <v>29</v>
      </c>
      <c r="D30" s="10" t="s">
        <v>269</v>
      </c>
      <c r="E30" s="4"/>
      <c r="F30" s="13"/>
    </row>
    <row r="31" spans="3:6">
      <c r="C31" s="62" t="s">
        <v>30</v>
      </c>
      <c r="D31" s="10"/>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c r="C38" s="62" t="s">
        <v>40</v>
      </c>
      <c r="D38" s="10" t="s">
        <v>163</v>
      </c>
      <c r="E38" s="10" t="s">
        <v>211</v>
      </c>
      <c r="F38" s="10" t="s">
        <v>270</v>
      </c>
      <c r="G38" s="12">
        <v>0.5</v>
      </c>
      <c r="H38" s="10">
        <v>6</v>
      </c>
    </row>
    <row r="39" spans="3:8" ht="45">
      <c r="C39" s="62" t="s">
        <v>44</v>
      </c>
      <c r="D39" s="10" t="s">
        <v>41</v>
      </c>
      <c r="E39" s="10" t="s">
        <v>42</v>
      </c>
      <c r="F39" s="10" t="s">
        <v>271</v>
      </c>
      <c r="G39" s="12">
        <v>0.5</v>
      </c>
      <c r="H39" s="10">
        <v>12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50</v>
      </c>
      <c r="F47" s="13" t="s">
        <v>52</v>
      </c>
    </row>
    <row r="48" spans="3:8">
      <c r="C48" s="14" t="s">
        <v>44</v>
      </c>
      <c r="D48" s="13" t="s">
        <v>29</v>
      </c>
      <c r="E48" s="13" t="s">
        <v>50</v>
      </c>
      <c r="F48" s="13" t="s">
        <v>51</v>
      </c>
    </row>
    <row r="49" spans="3:6">
      <c r="C49" s="14" t="s">
        <v>44</v>
      </c>
      <c r="D49" s="13" t="s">
        <v>29</v>
      </c>
      <c r="E49" s="13" t="s">
        <v>55</v>
      </c>
      <c r="F49" s="13" t="s">
        <v>56</v>
      </c>
    </row>
    <row r="50" spans="3:6">
      <c r="C50" s="14" t="s">
        <v>44</v>
      </c>
      <c r="D50" s="13" t="s">
        <v>29</v>
      </c>
      <c r="E50" s="13" t="s">
        <v>57</v>
      </c>
      <c r="F50" s="13" t="s">
        <v>58</v>
      </c>
    </row>
    <row r="51" spans="3:6">
      <c r="C51" s="14" t="s">
        <v>44</v>
      </c>
      <c r="D51" s="13" t="s">
        <v>29</v>
      </c>
      <c r="E51" s="13" t="s">
        <v>53</v>
      </c>
      <c r="F51" s="13" t="s">
        <v>167</v>
      </c>
    </row>
    <row r="52" spans="3:6">
      <c r="C52" s="14" t="s">
        <v>44</v>
      </c>
      <c r="D52" s="13" t="s">
        <v>29</v>
      </c>
      <c r="E52" s="13" t="s">
        <v>168</v>
      </c>
      <c r="F52" s="13" t="s">
        <v>272</v>
      </c>
    </row>
    <row r="53" spans="3:6">
      <c r="C53" s="14" t="s">
        <v>44</v>
      </c>
      <c r="D53" s="13" t="s">
        <v>29</v>
      </c>
      <c r="E53" s="13" t="s">
        <v>168</v>
      </c>
      <c r="F53" s="13" t="s">
        <v>169</v>
      </c>
    </row>
    <row r="54" spans="3:6">
      <c r="C54" s="14" t="s">
        <v>44</v>
      </c>
      <c r="D54" s="13" t="s">
        <v>29</v>
      </c>
      <c r="E54" s="13" t="s">
        <v>106</v>
      </c>
      <c r="F54" s="13" t="s">
        <v>273</v>
      </c>
    </row>
    <row r="55" spans="3:6">
      <c r="C55" s="14" t="s">
        <v>44</v>
      </c>
      <c r="D55" s="13" t="s">
        <v>29</v>
      </c>
      <c r="E55" s="13" t="s">
        <v>100</v>
      </c>
      <c r="F55" s="13" t="s">
        <v>101</v>
      </c>
    </row>
    <row r="56" spans="3:6">
      <c r="C56" s="14"/>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63">
        <v>1</v>
      </c>
      <c r="C71" s="64">
        <v>1</v>
      </c>
      <c r="D71" s="10"/>
      <c r="E71" s="10"/>
      <c r="F71" s="10"/>
    </row>
    <row r="72" spans="2:6">
      <c r="B72" s="63">
        <v>1</v>
      </c>
      <c r="C72" s="64">
        <v>2</v>
      </c>
      <c r="D72" s="10"/>
      <c r="E72" s="10"/>
      <c r="F72" s="10"/>
    </row>
    <row r="73" spans="2:6">
      <c r="B73" s="63">
        <v>1</v>
      </c>
      <c r="C73" s="64">
        <v>3</v>
      </c>
      <c r="D73" s="10"/>
      <c r="E73" s="10"/>
      <c r="F73" s="10"/>
    </row>
    <row r="74" spans="2:6">
      <c r="B74" s="63">
        <v>1</v>
      </c>
      <c r="C74" s="64">
        <v>4</v>
      </c>
      <c r="D74" s="10"/>
      <c r="E74" s="10"/>
      <c r="F74" s="10"/>
    </row>
    <row r="75" spans="2:6">
      <c r="B75" s="63">
        <v>1</v>
      </c>
      <c r="C75" s="64">
        <v>5</v>
      </c>
      <c r="D75" s="10"/>
      <c r="E75" s="10"/>
      <c r="F75" s="10"/>
    </row>
    <row r="76" spans="2:6">
      <c r="B76" s="63">
        <v>1</v>
      </c>
      <c r="C76" s="64">
        <v>6</v>
      </c>
      <c r="D76" s="10"/>
      <c r="E76" s="10"/>
      <c r="F76" s="10"/>
    </row>
    <row r="77" spans="2:6">
      <c r="B77" s="63">
        <v>1</v>
      </c>
      <c r="C77" s="64">
        <v>7</v>
      </c>
      <c r="D77" s="10"/>
      <c r="E77" s="10"/>
      <c r="F77" s="10"/>
    </row>
    <row r="78" spans="2:6">
      <c r="B78" s="63">
        <v>1</v>
      </c>
      <c r="C78" s="64">
        <v>8</v>
      </c>
      <c r="D78" s="10"/>
      <c r="E78" s="10"/>
      <c r="F78" s="10"/>
    </row>
    <row r="79" spans="2:6">
      <c r="B79" s="63">
        <v>1</v>
      </c>
      <c r="C79" s="64">
        <v>9</v>
      </c>
      <c r="D79" s="10"/>
      <c r="E79" s="10"/>
      <c r="F79" s="10"/>
    </row>
    <row r="80" spans="2:6">
      <c r="B80" s="63">
        <v>1</v>
      </c>
      <c r="C80" s="64">
        <v>10</v>
      </c>
      <c r="D80" s="10"/>
      <c r="E80" s="10"/>
      <c r="F80" s="10"/>
    </row>
    <row r="81" spans="2:6">
      <c r="B81" s="63">
        <v>1</v>
      </c>
      <c r="C81" s="64">
        <v>11</v>
      </c>
      <c r="D81" s="10"/>
      <c r="E81" s="10"/>
      <c r="F81" s="10"/>
    </row>
    <row r="82" spans="2:6">
      <c r="B82" s="63">
        <v>1</v>
      </c>
      <c r="C82" s="64">
        <v>12</v>
      </c>
      <c r="D82" s="10"/>
      <c r="E82" s="10"/>
      <c r="F82" s="10"/>
    </row>
    <row r="83" spans="2:6" ht="30">
      <c r="B83" s="63">
        <v>2</v>
      </c>
      <c r="C83" s="64">
        <v>1</v>
      </c>
      <c r="D83" s="10" t="s">
        <v>274</v>
      </c>
      <c r="E83" s="10" t="s">
        <v>275</v>
      </c>
      <c r="F83" s="10"/>
    </row>
    <row r="84" spans="2:6" ht="30">
      <c r="B84" s="63">
        <v>2</v>
      </c>
      <c r="C84" s="64">
        <v>2</v>
      </c>
      <c r="D84" s="10" t="s">
        <v>276</v>
      </c>
      <c r="E84" s="10" t="s">
        <v>275</v>
      </c>
      <c r="F84" s="10"/>
    </row>
    <row r="85" spans="2:6" ht="30">
      <c r="B85" s="63">
        <v>2</v>
      </c>
      <c r="C85" s="64">
        <v>3</v>
      </c>
      <c r="D85" s="10" t="s">
        <v>277</v>
      </c>
      <c r="E85" s="10" t="s">
        <v>275</v>
      </c>
      <c r="F85" s="10"/>
    </row>
    <row r="86" spans="2:6" ht="30">
      <c r="B86" s="63">
        <v>2</v>
      </c>
      <c r="C86" s="64">
        <v>4</v>
      </c>
      <c r="D86" s="10" t="s">
        <v>278</v>
      </c>
      <c r="E86" s="10" t="s">
        <v>275</v>
      </c>
      <c r="F86" s="10"/>
    </row>
    <row r="87" spans="2:6">
      <c r="B87" s="63">
        <v>2</v>
      </c>
      <c r="C87" s="64">
        <v>5</v>
      </c>
      <c r="D87" s="10" t="s">
        <v>279</v>
      </c>
      <c r="E87" s="10" t="s">
        <v>275</v>
      </c>
      <c r="F87" s="10"/>
    </row>
    <row r="88" spans="2:6">
      <c r="B88" s="63">
        <v>2</v>
      </c>
      <c r="C88" s="64">
        <v>6</v>
      </c>
      <c r="D88" s="10" t="s">
        <v>280</v>
      </c>
      <c r="E88" s="10"/>
      <c r="F88" s="10"/>
    </row>
    <row r="89" spans="2:6">
      <c r="B89" s="63">
        <v>2</v>
      </c>
      <c r="C89" s="64">
        <v>7</v>
      </c>
      <c r="D89" s="10" t="s">
        <v>281</v>
      </c>
      <c r="E89" s="10"/>
      <c r="F89" s="10"/>
    </row>
    <row r="90" spans="2:6">
      <c r="B90" s="63">
        <v>2</v>
      </c>
      <c r="C90" s="64">
        <v>8</v>
      </c>
      <c r="D90" s="10" t="s">
        <v>282</v>
      </c>
      <c r="E90" s="10"/>
      <c r="F90" s="10"/>
    </row>
    <row r="91" spans="2:6">
      <c r="B91" s="63">
        <v>2</v>
      </c>
      <c r="C91" s="64">
        <v>9</v>
      </c>
      <c r="D91" s="10" t="s">
        <v>283</v>
      </c>
      <c r="E91" s="10"/>
      <c r="F91" s="10"/>
    </row>
    <row r="92" spans="2:6">
      <c r="B92" s="63">
        <v>2</v>
      </c>
      <c r="C92" s="64">
        <v>10</v>
      </c>
      <c r="D92" s="10" t="s">
        <v>284</v>
      </c>
      <c r="E92" s="10"/>
      <c r="F92" s="10"/>
    </row>
    <row r="93" spans="2:6">
      <c r="B93" s="63">
        <v>2</v>
      </c>
      <c r="C93" s="64">
        <v>11</v>
      </c>
      <c r="D93" s="10" t="s">
        <v>285</v>
      </c>
      <c r="E93" s="10"/>
      <c r="F93" s="10"/>
    </row>
    <row r="94" spans="2:6">
      <c r="B94" s="63">
        <v>2</v>
      </c>
      <c r="C94" s="64">
        <v>12</v>
      </c>
      <c r="D94" s="10" t="s">
        <v>286</v>
      </c>
      <c r="E94" s="10"/>
      <c r="F94" s="10"/>
    </row>
  </sheetData>
  <sheetProtection sheet="1" objects="1" scenarios="1" formatCells="0" formatColumns="0" formatRows="0" insertHyperlinks="0"/>
  <dataValidations count="5">
    <dataValidation type="list" allowBlank="1" showInputMessage="1" showErrorMessage="1" sqref="E38:E41" xr:uid="{669D4FF9-81C7-4434-B09D-8619FD8B981E}">
      <formula1>INDIRECT("LISTAssess[Assessment Specific]")</formula1>
    </dataValidation>
    <dataValidation type="whole" showInputMessage="1" showErrorMessage="1" error="This is not a realistic number of contact hours please change" sqref="D19" xr:uid="{6B7C92BC-72FD-4AF9-A4C2-7387BCFCD813}">
      <formula1>0</formula1>
      <formula2>80</formula2>
    </dataValidation>
    <dataValidation type="whole" showInputMessage="1" showErrorMessage="1" error="This is not a realistic number of contact hours please reduce" sqref="D20:D23" xr:uid="{27931A89-E1AA-4411-B373-B3DEF42F4FC8}">
      <formula1>0</formula1>
      <formula2>80</formula2>
    </dataValidation>
    <dataValidation type="list" allowBlank="1" showInputMessage="1" showErrorMessage="1" sqref="F46:F53 F55 F57 F59:F66" xr:uid="{1B216D85-F94E-485E-B0D7-80D022F1E6AF}">
      <formula1>INDIRECT(VLOOKUP($E46, SkillNameMap, 2, FALSE))</formula1>
    </dataValidation>
    <dataValidation type="list" allowBlank="1" showInputMessage="1" showErrorMessage="1" sqref="F54" xr:uid="{0FDB40F9-079D-4626-A8CB-F4D279E17905}">
      <formula1>INDIRECT(VLOOKUP($E58,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D4DC71AB-F82F-4EFF-AF71-16C9F6623EA3}">
          <x14:formula1>
            <xm:f>LISTS!$E$7:$E$11</xm:f>
          </x14:formula1>
          <xm:sqref>D46:D66</xm:sqref>
        </x14:dataValidation>
        <x14:dataValidation type="list" allowBlank="1" showInputMessage="1" showErrorMessage="1" xr:uid="{1402EC16-AFE5-47EE-8821-C68EBF0BC4C7}">
          <x14:formula1>
            <xm:f>LISTS!$G$7:$G$11</xm:f>
          </x14:formula1>
          <xm:sqref>D38:D42</xm:sqref>
        </x14:dataValidation>
        <x14:dataValidation type="list" allowBlank="1" showInputMessage="1" showErrorMessage="1" xr:uid="{084A131D-9461-4A81-B30F-49EA8BF4A26C}">
          <x14:formula1>
            <xm:f>LISTS!$C$11:$C$15</xm:f>
          </x14:formula1>
          <xm:sqref>D11</xm:sqref>
        </x14:dataValidation>
        <x14:dataValidation type="list" allowBlank="1" showInputMessage="1" showErrorMessage="1" xr:uid="{02136F4C-6E5D-4659-9F88-C4B6FF3177A8}">
          <x14:formula1>
            <xm:f>LISTS!$C$7:$C$9</xm:f>
          </x14:formula1>
          <xm:sqref>D10</xm:sqref>
        </x14:dataValidation>
        <x14:dataValidation type="list" allowBlank="1" showInputMessage="1" showErrorMessage="1" xr:uid="{EE33EF5D-A39E-4A3A-9942-48DF2A5F3FC3}">
          <x14:formula1>
            <xm:f>LISTS!$C$17:$C$22</xm:f>
          </x14:formula1>
          <xm:sqref>D13</xm:sqref>
        </x14:dataValidation>
        <x14:dataValidation type="list" allowBlank="1" showInputMessage="1" showErrorMessage="1" xr:uid="{D29CCCC9-B141-4806-A90F-A766F6143BEB}">
          <x14:formula1>
            <xm:f>LISTS!$C$26:$C$37</xm:f>
          </x14:formula1>
          <xm:sqref>D14</xm:sqref>
        </x14:dataValidation>
        <x14:dataValidation type="list" allowBlank="1" showInputMessage="1" showErrorMessage="1" xr:uid="{0F9F3A0E-1F5C-4CC8-AC32-FD6D70899EBF}">
          <x14:formula1>
            <xm:f>LISTS!$J$7:$J$16</xm:f>
          </x14:formula1>
          <xm:sqref>E46:E55 E57:E66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5F39-4768-4BDC-BBAF-EDA933F6EC41}">
  <sheetPr codeName="Sheet3"/>
  <dimension ref="B2:H105"/>
  <sheetViews>
    <sheetView showGridLines="0" zoomScale="74" zoomScaleNormal="55" workbookViewId="0">
      <selection activeCell="F16" sqref="F16"/>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4094SPS</v>
      </c>
      <c r="D2" s="9" t="str">
        <f>D8</f>
        <v>Human Movement</v>
      </c>
    </row>
    <row r="3" spans="2:6">
      <c r="B3" s="1"/>
      <c r="C3" s="1"/>
    </row>
    <row r="4" spans="2:6">
      <c r="B4" s="2"/>
      <c r="C4" s="2"/>
      <c r="E4" s="100" t="s">
        <v>287</v>
      </c>
    </row>
    <row r="5" spans="2:6" ht="30">
      <c r="B5" s="2"/>
      <c r="C5" s="5" t="s">
        <v>0</v>
      </c>
      <c r="E5" s="102" t="s">
        <v>288</v>
      </c>
    </row>
    <row r="6" spans="2:6">
      <c r="B6" s="2"/>
      <c r="C6" s="3" t="s">
        <v>1</v>
      </c>
      <c r="D6" s="4" t="s">
        <v>2</v>
      </c>
      <c r="E6" s="4"/>
      <c r="F6" t="s">
        <v>3</v>
      </c>
    </row>
    <row r="7" spans="2:6" ht="75">
      <c r="B7" s="2"/>
      <c r="C7" s="62" t="s">
        <v>4</v>
      </c>
      <c r="D7" s="10" t="s">
        <v>289</v>
      </c>
      <c r="E7" s="4"/>
      <c r="F7" s="22" t="s">
        <v>290</v>
      </c>
    </row>
    <row r="8" spans="2:6">
      <c r="B8" s="2"/>
      <c r="C8" s="62" t="s">
        <v>6</v>
      </c>
      <c r="D8" s="10" t="s">
        <v>291</v>
      </c>
      <c r="E8" s="4"/>
      <c r="F8" s="13"/>
    </row>
    <row r="9" spans="2:6">
      <c r="C9" s="62" t="s">
        <v>7</v>
      </c>
      <c r="D9" s="10">
        <v>20</v>
      </c>
      <c r="E9" s="4"/>
    </row>
    <row r="10" spans="2:6">
      <c r="C10" s="62" t="s">
        <v>8</v>
      </c>
      <c r="D10" s="10">
        <v>2</v>
      </c>
      <c r="E10" s="4"/>
      <c r="F10" t="s">
        <v>9</v>
      </c>
    </row>
    <row r="11" spans="2:6">
      <c r="C11" s="62" t="s">
        <v>10</v>
      </c>
      <c r="D11" s="10">
        <v>4</v>
      </c>
      <c r="E11" s="4"/>
      <c r="F11" s="13" t="s">
        <v>292</v>
      </c>
    </row>
    <row r="12" spans="2:6">
      <c r="C12" s="62" t="s">
        <v>11</v>
      </c>
      <c r="D12" s="10" t="s">
        <v>293</v>
      </c>
      <c r="E12" s="4"/>
      <c r="F12" s="13" t="s">
        <v>294</v>
      </c>
    </row>
    <row r="13" spans="2:6">
      <c r="C13" s="62" t="s">
        <v>12</v>
      </c>
      <c r="D13" s="10" t="s">
        <v>200</v>
      </c>
      <c r="E13" s="4"/>
      <c r="F13" s="13" t="s">
        <v>295</v>
      </c>
    </row>
    <row r="14" spans="2:6">
      <c r="C14" s="62" t="s">
        <v>13</v>
      </c>
      <c r="D14" s="10" t="s">
        <v>202</v>
      </c>
      <c r="E14" s="4"/>
    </row>
    <row r="15" spans="2:6">
      <c r="C15" s="3"/>
      <c r="D15" s="4"/>
      <c r="E15" s="4"/>
      <c r="F15" t="s">
        <v>14</v>
      </c>
    </row>
    <row r="16" spans="2:6" ht="180">
      <c r="C16" s="3"/>
      <c r="D16" s="4"/>
      <c r="E16" s="4"/>
      <c r="F16" s="22" t="s">
        <v>296</v>
      </c>
    </row>
    <row r="17" spans="3:6" ht="18.75">
      <c r="C17" s="5" t="s">
        <v>15</v>
      </c>
      <c r="D17" s="4"/>
      <c r="E17" s="4"/>
      <c r="F17" s="13"/>
    </row>
    <row r="18" spans="3:6">
      <c r="C18" s="3" t="s">
        <v>16</v>
      </c>
      <c r="D18" s="1" t="s">
        <v>15</v>
      </c>
      <c r="E18" s="4"/>
      <c r="F18" s="13"/>
    </row>
    <row r="19" spans="3:6">
      <c r="C19" s="62" t="s">
        <v>17</v>
      </c>
      <c r="D19" s="11">
        <v>13</v>
      </c>
      <c r="E19" s="4"/>
      <c r="F19" s="13"/>
    </row>
    <row r="20" spans="3:6">
      <c r="C20" s="62" t="s">
        <v>18</v>
      </c>
      <c r="D20" s="11">
        <v>0</v>
      </c>
      <c r="E20" s="4"/>
      <c r="F20" s="13"/>
    </row>
    <row r="21" spans="3:6">
      <c r="C21" s="62" t="s">
        <v>19</v>
      </c>
      <c r="D21" s="11">
        <v>7</v>
      </c>
      <c r="E21" s="4"/>
    </row>
    <row r="22" spans="3:6">
      <c r="C22" s="62" t="s">
        <v>20</v>
      </c>
      <c r="D22" s="11">
        <v>13</v>
      </c>
      <c r="E22" s="4"/>
      <c r="F22" t="s">
        <v>21</v>
      </c>
    </row>
    <row r="23" spans="3:6" ht="81" customHeight="1">
      <c r="C23" s="62" t="s">
        <v>22</v>
      </c>
      <c r="D23" s="11">
        <v>6</v>
      </c>
      <c r="E23" s="4"/>
      <c r="F23" s="20" t="s">
        <v>297</v>
      </c>
    </row>
    <row r="24" spans="3:6" ht="45">
      <c r="C24" s="62" t="s">
        <v>23</v>
      </c>
      <c r="D24" s="1">
        <f>SUM(D19:D23)</f>
        <v>39</v>
      </c>
      <c r="E24" s="4"/>
      <c r="F24" s="20" t="s">
        <v>298</v>
      </c>
    </row>
    <row r="25" spans="3:6" ht="30">
      <c r="F25" s="20" t="s">
        <v>299</v>
      </c>
    </row>
    <row r="26" spans="3:6" ht="60">
      <c r="F26" s="20" t="s">
        <v>300</v>
      </c>
    </row>
    <row r="27" spans="3:6" ht="30">
      <c r="C27" s="5" t="s">
        <v>24</v>
      </c>
      <c r="D27" s="8" t="s">
        <v>25</v>
      </c>
      <c r="F27" s="20" t="s">
        <v>301</v>
      </c>
    </row>
    <row r="28" spans="3:6">
      <c r="C28" s="3" t="s">
        <v>26</v>
      </c>
      <c r="D28" s="3" t="s">
        <v>27</v>
      </c>
      <c r="E28" s="3"/>
      <c r="F28" s="13" t="s">
        <v>302</v>
      </c>
    </row>
    <row r="29" spans="3:6" ht="60.75">
      <c r="C29" s="62" t="s">
        <v>28</v>
      </c>
      <c r="D29" s="21" t="s">
        <v>303</v>
      </c>
      <c r="E29" s="4"/>
      <c r="F29" s="20" t="s">
        <v>304</v>
      </c>
    </row>
    <row r="30" spans="3:6" ht="75.75">
      <c r="C30" s="62" t="s">
        <v>29</v>
      </c>
      <c r="D30" s="21" t="s">
        <v>305</v>
      </c>
      <c r="E30" s="4"/>
      <c r="F30" s="20" t="s">
        <v>306</v>
      </c>
    </row>
    <row r="31" spans="3:6" ht="33">
      <c r="C31" s="62" t="s">
        <v>30</v>
      </c>
      <c r="D31" s="21" t="s">
        <v>307</v>
      </c>
      <c r="E31" s="4"/>
      <c r="F31" s="20" t="s">
        <v>308</v>
      </c>
    </row>
    <row r="32" spans="3:6" ht="177" customHeight="1">
      <c r="C32" s="62" t="s">
        <v>31</v>
      </c>
      <c r="D32" s="10"/>
      <c r="E32" s="4"/>
      <c r="F32" s="30" t="s">
        <v>309</v>
      </c>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45">
      <c r="C38" s="62" t="s">
        <v>40</v>
      </c>
      <c r="D38" s="10" t="s">
        <v>163</v>
      </c>
      <c r="E38" s="10" t="s">
        <v>310</v>
      </c>
      <c r="F38" s="88" t="s">
        <v>311</v>
      </c>
      <c r="G38" s="12">
        <v>0.35</v>
      </c>
      <c r="H38" s="10">
        <v>6</v>
      </c>
    </row>
    <row r="39" spans="3:8" ht="105">
      <c r="C39" s="62" t="s">
        <v>44</v>
      </c>
      <c r="D39" s="10" t="s">
        <v>41</v>
      </c>
      <c r="E39" s="10" t="s">
        <v>312</v>
      </c>
      <c r="F39" s="10" t="s">
        <v>313</v>
      </c>
      <c r="G39" s="12">
        <v>0.65</v>
      </c>
      <c r="H39" s="10">
        <v>13</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53</v>
      </c>
      <c r="F47" s="13" t="s">
        <v>167</v>
      </c>
    </row>
    <row r="48" spans="3:8">
      <c r="C48" s="14"/>
      <c r="D48" s="13"/>
      <c r="E48" s="13"/>
      <c r="F48" s="13"/>
    </row>
    <row r="49" spans="3:6">
      <c r="C49" s="14" t="s">
        <v>44</v>
      </c>
      <c r="D49" s="13" t="s">
        <v>29</v>
      </c>
      <c r="E49" s="13" t="s">
        <v>55</v>
      </c>
      <c r="F49" s="13" t="s">
        <v>314</v>
      </c>
    </row>
    <row r="50" spans="3:6">
      <c r="C50" s="14" t="s">
        <v>44</v>
      </c>
      <c r="D50" s="13" t="s">
        <v>29</v>
      </c>
      <c r="E50" s="13" t="s">
        <v>57</v>
      </c>
      <c r="F50" s="13" t="s">
        <v>215</v>
      </c>
    </row>
    <row r="51" spans="3:6">
      <c r="C51" s="14" t="s">
        <v>44</v>
      </c>
      <c r="D51" s="13" t="s">
        <v>29</v>
      </c>
      <c r="E51" s="13" t="s">
        <v>53</v>
      </c>
      <c r="F51" s="13" t="s">
        <v>167</v>
      </c>
    </row>
    <row r="52" spans="3:6">
      <c r="C52" s="14" t="s">
        <v>44</v>
      </c>
      <c r="D52" s="13" t="s">
        <v>29</v>
      </c>
      <c r="E52" s="13" t="s">
        <v>315</v>
      </c>
      <c r="F52" s="13" t="s">
        <v>316</v>
      </c>
    </row>
    <row r="53" spans="3:6">
      <c r="C53" s="14"/>
      <c r="D53" s="13"/>
      <c r="E53" s="13"/>
      <c r="F53" s="13"/>
    </row>
    <row r="54" spans="3:6">
      <c r="C54" s="14" t="s">
        <v>44</v>
      </c>
      <c r="D54" s="13" t="s">
        <v>30</v>
      </c>
      <c r="E54" s="13" t="s">
        <v>50</v>
      </c>
      <c r="F54" s="13" t="s">
        <v>317</v>
      </c>
    </row>
    <row r="55" spans="3:6">
      <c r="C55" s="14" t="s">
        <v>44</v>
      </c>
      <c r="D55" s="13" t="s">
        <v>30</v>
      </c>
      <c r="E55" s="13" t="s">
        <v>106</v>
      </c>
      <c r="F55" s="13" t="s">
        <v>318</v>
      </c>
    </row>
    <row r="56" spans="3:6">
      <c r="C56" s="14" t="s">
        <v>44</v>
      </c>
      <c r="D56" s="13" t="s">
        <v>30</v>
      </c>
      <c r="E56" s="13" t="s">
        <v>106</v>
      </c>
      <c r="F56" s="13" t="s">
        <v>273</v>
      </c>
    </row>
    <row r="57" spans="3:6">
      <c r="C57" s="14" t="s">
        <v>44</v>
      </c>
      <c r="D57" s="13" t="s">
        <v>30</v>
      </c>
      <c r="E57" s="13" t="s">
        <v>106</v>
      </c>
      <c r="F57" s="13" t="s">
        <v>319</v>
      </c>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3:6">
      <c r="C65" s="14"/>
      <c r="D65" s="13"/>
      <c r="E65" s="13"/>
      <c r="F65" s="13"/>
    </row>
    <row r="66" spans="3:6">
      <c r="C66" s="14"/>
      <c r="D66" s="13"/>
      <c r="E66" s="13"/>
      <c r="F66" s="13"/>
    </row>
    <row r="67" spans="3:6">
      <c r="C67" s="14"/>
      <c r="D67" s="13"/>
      <c r="E67" s="13"/>
      <c r="F67" s="13"/>
    </row>
    <row r="68" spans="3:6">
      <c r="C68" s="14"/>
      <c r="D68" s="13"/>
      <c r="E68" s="13"/>
      <c r="F68" s="13"/>
    </row>
    <row r="69" spans="3:6">
      <c r="C69" s="14"/>
      <c r="D69" s="13"/>
      <c r="E69" s="13"/>
      <c r="F69" s="13"/>
    </row>
    <row r="70" spans="3:6">
      <c r="C70" s="14"/>
      <c r="D70" s="13"/>
      <c r="E70" s="13"/>
      <c r="F70" s="13"/>
    </row>
    <row r="71" spans="3:6">
      <c r="C71" s="14"/>
      <c r="D71" s="13"/>
      <c r="E71" s="13"/>
      <c r="F71" s="13"/>
    </row>
    <row r="72" spans="3:6">
      <c r="C72" s="14"/>
      <c r="D72" s="13"/>
      <c r="E72" s="13"/>
      <c r="F72" s="13"/>
    </row>
    <row r="73" spans="3:6">
      <c r="C73" s="14"/>
      <c r="D73" s="13"/>
      <c r="E73" s="13"/>
      <c r="F73" s="13"/>
    </row>
    <row r="74" spans="3:6">
      <c r="C74" s="14"/>
      <c r="D74" s="13"/>
      <c r="E74" s="13"/>
      <c r="F74" s="13"/>
    </row>
    <row r="75" spans="3:6">
      <c r="C75" s="14"/>
      <c r="D75" s="13"/>
      <c r="E75" s="13"/>
      <c r="F75" s="13"/>
    </row>
    <row r="76" spans="3:6">
      <c r="C76" s="6"/>
    </row>
    <row r="77" spans="3:6">
      <c r="C77" s="6"/>
    </row>
    <row r="80" spans="3:6" ht="18.75">
      <c r="C80" s="5" t="s">
        <v>59</v>
      </c>
    </row>
    <row r="81" spans="2:6">
      <c r="B81" t="s">
        <v>60</v>
      </c>
      <c r="C81" s="1" t="s">
        <v>61</v>
      </c>
      <c r="D81" s="1" t="s">
        <v>62</v>
      </c>
      <c r="E81" s="1" t="s">
        <v>63</v>
      </c>
      <c r="F81" s="1" t="s">
        <v>64</v>
      </c>
    </row>
    <row r="82" spans="2:6">
      <c r="B82" s="63">
        <v>1</v>
      </c>
      <c r="C82" s="64">
        <v>1</v>
      </c>
      <c r="D82" s="10"/>
      <c r="E82" s="10"/>
      <c r="F82" s="10"/>
    </row>
    <row r="83" spans="2:6">
      <c r="B83" s="63">
        <v>1</v>
      </c>
      <c r="C83" s="64">
        <v>2</v>
      </c>
      <c r="D83" s="10"/>
      <c r="E83" s="10"/>
      <c r="F83" s="10"/>
    </row>
    <row r="84" spans="2:6">
      <c r="B84" s="63">
        <v>1</v>
      </c>
      <c r="C84" s="64">
        <v>3</v>
      </c>
      <c r="D84" s="10"/>
      <c r="E84" s="10"/>
      <c r="F84" s="10"/>
    </row>
    <row r="85" spans="2:6">
      <c r="B85" s="63">
        <v>1</v>
      </c>
      <c r="C85" s="64">
        <v>4</v>
      </c>
      <c r="D85" s="10"/>
      <c r="E85" s="10"/>
      <c r="F85" s="10"/>
    </row>
    <row r="86" spans="2:6">
      <c r="B86" s="63">
        <v>1</v>
      </c>
      <c r="C86" s="64">
        <v>5</v>
      </c>
      <c r="D86" s="10"/>
      <c r="E86" s="10"/>
      <c r="F86" s="10"/>
    </row>
    <row r="87" spans="2:6">
      <c r="B87" s="63">
        <v>1</v>
      </c>
      <c r="C87" s="64">
        <v>6</v>
      </c>
      <c r="D87" s="10"/>
      <c r="E87" s="10"/>
      <c r="F87" s="10"/>
    </row>
    <row r="88" spans="2:6">
      <c r="B88" s="63">
        <v>1</v>
      </c>
      <c r="C88" s="64">
        <v>7</v>
      </c>
      <c r="D88" s="10"/>
      <c r="E88" s="10"/>
      <c r="F88" s="10"/>
    </row>
    <row r="89" spans="2:6">
      <c r="B89" s="63">
        <v>1</v>
      </c>
      <c r="C89" s="64">
        <v>8</v>
      </c>
      <c r="D89" s="10"/>
      <c r="E89" s="10"/>
      <c r="F89" s="10"/>
    </row>
    <row r="90" spans="2:6">
      <c r="B90" s="63">
        <v>1</v>
      </c>
      <c r="C90" s="64">
        <v>9</v>
      </c>
      <c r="D90" s="10"/>
      <c r="E90" s="10"/>
      <c r="F90" s="10"/>
    </row>
    <row r="91" spans="2:6">
      <c r="B91" s="63">
        <v>1</v>
      </c>
      <c r="C91" s="64">
        <v>10</v>
      </c>
      <c r="D91" s="10"/>
      <c r="E91" s="10"/>
      <c r="F91" s="10"/>
    </row>
    <row r="92" spans="2:6">
      <c r="B92" s="63">
        <v>1</v>
      </c>
      <c r="C92" s="64">
        <v>11</v>
      </c>
      <c r="D92" s="10"/>
      <c r="E92" s="10"/>
      <c r="F92" s="10"/>
    </row>
    <row r="93" spans="2:6">
      <c r="B93" s="63">
        <v>1</v>
      </c>
      <c r="C93" s="64">
        <v>12</v>
      </c>
      <c r="D93" s="10"/>
      <c r="E93" s="10"/>
      <c r="F93" s="10"/>
    </row>
    <row r="94" spans="2:6" ht="75">
      <c r="B94" s="63">
        <v>2</v>
      </c>
      <c r="C94" s="64">
        <v>1</v>
      </c>
      <c r="D94" s="10" t="s">
        <v>320</v>
      </c>
      <c r="E94" s="10" t="s">
        <v>321</v>
      </c>
      <c r="F94" s="10" t="s">
        <v>322</v>
      </c>
    </row>
    <row r="95" spans="2:6" ht="75">
      <c r="B95" s="63">
        <v>2</v>
      </c>
      <c r="C95" s="64">
        <v>2</v>
      </c>
      <c r="D95" s="24" t="s">
        <v>323</v>
      </c>
      <c r="E95" s="10" t="s">
        <v>324</v>
      </c>
      <c r="F95" s="10" t="s">
        <v>322</v>
      </c>
    </row>
    <row r="96" spans="2:6">
      <c r="B96" s="63">
        <v>2</v>
      </c>
      <c r="C96" s="64">
        <v>3</v>
      </c>
      <c r="D96" s="24" t="s">
        <v>325</v>
      </c>
      <c r="E96" s="44" t="s">
        <v>326</v>
      </c>
      <c r="F96" s="10" t="s">
        <v>327</v>
      </c>
    </row>
    <row r="97" spans="2:6">
      <c r="B97" s="63">
        <v>2</v>
      </c>
      <c r="C97" s="64">
        <v>4</v>
      </c>
      <c r="D97" s="10" t="s">
        <v>328</v>
      </c>
      <c r="E97" s="44" t="s">
        <v>329</v>
      </c>
      <c r="F97" s="10" t="s">
        <v>330</v>
      </c>
    </row>
    <row r="98" spans="2:6">
      <c r="B98" s="63">
        <v>2</v>
      </c>
      <c r="C98" s="64">
        <v>5</v>
      </c>
      <c r="D98" s="10" t="s">
        <v>331</v>
      </c>
      <c r="E98" s="44" t="s">
        <v>332</v>
      </c>
      <c r="F98" s="10" t="s">
        <v>333</v>
      </c>
    </row>
    <row r="99" spans="2:6" ht="30">
      <c r="B99" s="63">
        <v>2</v>
      </c>
      <c r="C99" s="64">
        <v>6</v>
      </c>
      <c r="D99" s="10" t="s">
        <v>334</v>
      </c>
      <c r="E99" s="31" t="s">
        <v>335</v>
      </c>
      <c r="F99" s="44" t="s">
        <v>330</v>
      </c>
    </row>
    <row r="100" spans="2:6">
      <c r="B100" s="63">
        <v>2</v>
      </c>
      <c r="C100" s="64">
        <v>7</v>
      </c>
      <c r="D100" s="10" t="s">
        <v>336</v>
      </c>
      <c r="E100" s="10" t="s">
        <v>337</v>
      </c>
      <c r="F100" s="10" t="s">
        <v>338</v>
      </c>
    </row>
    <row r="101" spans="2:6" ht="45">
      <c r="B101" s="63">
        <v>2</v>
      </c>
      <c r="C101" s="64">
        <v>8</v>
      </c>
      <c r="D101" s="10" t="s">
        <v>339</v>
      </c>
      <c r="E101" s="10" t="s">
        <v>340</v>
      </c>
      <c r="F101" s="10" t="s">
        <v>333</v>
      </c>
    </row>
    <row r="102" spans="2:6" ht="30">
      <c r="B102" s="63">
        <v>2</v>
      </c>
      <c r="C102" s="64">
        <v>9</v>
      </c>
      <c r="D102" s="10" t="s">
        <v>341</v>
      </c>
      <c r="E102" s="31" t="s">
        <v>342</v>
      </c>
      <c r="F102" s="10" t="s">
        <v>333</v>
      </c>
    </row>
    <row r="103" spans="2:6" ht="30">
      <c r="B103" s="63">
        <v>2</v>
      </c>
      <c r="C103" s="64">
        <v>10</v>
      </c>
      <c r="D103" s="10" t="s">
        <v>343</v>
      </c>
      <c r="E103" s="10" t="s">
        <v>337</v>
      </c>
      <c r="F103" s="10" t="s">
        <v>344</v>
      </c>
    </row>
    <row r="104" spans="2:6">
      <c r="B104" s="63">
        <v>2</v>
      </c>
      <c r="C104" s="64">
        <v>11</v>
      </c>
      <c r="D104" s="10" t="s">
        <v>345</v>
      </c>
      <c r="E104" s="10" t="s">
        <v>346</v>
      </c>
      <c r="F104" s="10" t="s">
        <v>338</v>
      </c>
    </row>
    <row r="105" spans="2:6">
      <c r="B105" s="63">
        <v>2</v>
      </c>
      <c r="C105" s="64">
        <v>12</v>
      </c>
      <c r="D105" s="10"/>
      <c r="E105" s="10"/>
      <c r="F105" s="10"/>
    </row>
  </sheetData>
  <sheetProtection sheet="1" objects="1" scenarios="1" formatCells="0" formatColumns="0" formatRows="0" insertHyperlinks="0"/>
  <dataValidations disablePrompts="1" count="4">
    <dataValidation type="whole" showInputMessage="1" showErrorMessage="1" error="This is not a realistic number of contact hours please change" sqref="D19" xr:uid="{7B949394-BE34-4CC9-A9D6-7A75315A2DBB}">
      <formula1>0</formula1>
      <formula2>80</formula2>
    </dataValidation>
    <dataValidation type="list" allowBlank="1" showInputMessage="1" showErrorMessage="1" sqref="E38:E41" xr:uid="{B9D0113D-C789-41AE-B9C8-690F6C7A67B0}">
      <formula1>INDIRECT("LISTAssess[Assessment Specific]")</formula1>
    </dataValidation>
    <dataValidation type="whole" showInputMessage="1" showErrorMessage="1" error="This is not a realistic number of contact hours please reduce" sqref="D21:D23" xr:uid="{06524273-2360-4C43-9154-4A480587EC5E}">
      <formula1>0</formula1>
      <formula2>80</formula2>
    </dataValidation>
    <dataValidation type="list" allowBlank="1" showInputMessage="1" showErrorMessage="1" sqref="F46:F47 F63 F65:F77 F54:F57 F59 F49:F52" xr:uid="{3D662EF6-94E1-4350-B3D5-9F339CA0FD80}">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D03A4CC7-9A30-452E-97E5-E03FCC9419A4}">
          <x14:formula1>
            <xm:f>LISTS!$C$26:$C$37</xm:f>
          </x14:formula1>
          <xm:sqref>D14</xm:sqref>
        </x14:dataValidation>
        <x14:dataValidation type="list" allowBlank="1" showInputMessage="1" showErrorMessage="1" xr:uid="{B7DB85EB-DFB5-437F-BA0C-32D4D2070C4D}">
          <x14:formula1>
            <xm:f>LISTS!$C$17:$C$22</xm:f>
          </x14:formula1>
          <xm:sqref>D13</xm:sqref>
        </x14:dataValidation>
        <x14:dataValidation type="list" allowBlank="1" showInputMessage="1" showErrorMessage="1" xr:uid="{82DFBB4E-D28E-4403-815A-4704BBB7702D}">
          <x14:formula1>
            <xm:f>LISTS!$C$7:$C$9</xm:f>
          </x14:formula1>
          <xm:sqref>D10</xm:sqref>
        </x14:dataValidation>
        <x14:dataValidation type="list" allowBlank="1" showInputMessage="1" showErrorMessage="1" xr:uid="{D8278727-60ED-4240-AED9-43FB98158BAE}">
          <x14:formula1>
            <xm:f>LISTS!$C$11:$C$15</xm:f>
          </x14:formula1>
          <xm:sqref>D11</xm:sqref>
        </x14:dataValidation>
        <x14:dataValidation type="list" allowBlank="1" showInputMessage="1" showErrorMessage="1" xr:uid="{7F080A95-6299-4905-8FCE-548941111CEB}">
          <x14:formula1>
            <xm:f>LISTS!$G$7:$G$11</xm:f>
          </x14:formula1>
          <xm:sqref>D38:D42</xm:sqref>
        </x14:dataValidation>
        <x14:dataValidation type="list" allowBlank="1" showInputMessage="1" showErrorMessage="1" xr:uid="{DD24076C-D431-4B83-8FB6-3800945C7C90}">
          <x14:formula1>
            <xm:f>LISTS!$E$7:$E$11</xm:f>
          </x14:formula1>
          <xm:sqref>D46:D47 D63 D65:D77 D54:D57 D59 D49:D52</xm:sqref>
        </x14:dataValidation>
        <x14:dataValidation type="list" allowBlank="1" showInputMessage="1" showErrorMessage="1" xr:uid="{C1ACB768-367A-4765-AEE3-B6D50718CC09}">
          <x14:formula1>
            <xm:f>LISTS!$J$7:$J$16</xm:f>
          </x14:formula1>
          <xm:sqref>E46:E47 E63 E65:E77 E54:E57 E59 E49:E52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9172-432E-44AC-9B75-64041E072D7A}">
  <sheetPr codeName="Sheet21"/>
  <dimension ref="B2:H94"/>
  <sheetViews>
    <sheetView showGridLines="0" topLeftCell="A45" zoomScale="85" zoomScaleNormal="85" workbookViewId="0">
      <selection activeCell="D12" sqref="D12"/>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5091SPS</v>
      </c>
      <c r="D2" s="9" t="str">
        <f>D8</f>
        <v>Research Methods 2</v>
      </c>
      <c r="E2" s="101" t="s">
        <v>347</v>
      </c>
    </row>
    <row r="3" spans="2:6" ht="15.75">
      <c r="B3" s="1"/>
      <c r="C3" s="1"/>
      <c r="E3" s="105" t="s">
        <v>348</v>
      </c>
    </row>
    <row r="4" spans="2:6" ht="15.75">
      <c r="B4" s="2"/>
      <c r="C4" s="2"/>
      <c r="E4" s="105" t="s">
        <v>349</v>
      </c>
    </row>
    <row r="5" spans="2:6" ht="18.75">
      <c r="B5" s="2"/>
      <c r="C5" s="5" t="s">
        <v>0</v>
      </c>
      <c r="E5" s="105" t="s">
        <v>350</v>
      </c>
    </row>
    <row r="6" spans="2:6">
      <c r="B6" s="2"/>
      <c r="C6" s="3" t="s">
        <v>1</v>
      </c>
      <c r="D6" s="4" t="s">
        <v>2</v>
      </c>
      <c r="E6" s="4"/>
      <c r="F6" t="s">
        <v>3</v>
      </c>
    </row>
    <row r="7" spans="2:6">
      <c r="B7" s="2"/>
      <c r="C7" s="62" t="s">
        <v>4</v>
      </c>
      <c r="D7" s="10" t="s">
        <v>351</v>
      </c>
      <c r="E7" s="4"/>
      <c r="F7" s="13" t="s">
        <v>352</v>
      </c>
    </row>
    <row r="8" spans="2:6">
      <c r="B8" s="2"/>
      <c r="C8" s="62" t="s">
        <v>6</v>
      </c>
      <c r="D8" s="10" t="s">
        <v>353</v>
      </c>
      <c r="E8" s="4"/>
      <c r="F8" s="13"/>
    </row>
    <row r="9" spans="2:6">
      <c r="C9" s="62" t="s">
        <v>7</v>
      </c>
      <c r="D9" s="10">
        <v>20</v>
      </c>
      <c r="E9" s="4"/>
    </row>
    <row r="10" spans="2:6">
      <c r="C10" s="62" t="s">
        <v>8</v>
      </c>
      <c r="D10" s="10">
        <v>2</v>
      </c>
      <c r="E10" s="4"/>
      <c r="F10" t="s">
        <v>9</v>
      </c>
    </row>
    <row r="11" spans="2:6">
      <c r="C11" s="62" t="s">
        <v>10</v>
      </c>
      <c r="D11" s="10">
        <v>5</v>
      </c>
      <c r="E11" s="4"/>
      <c r="F11" s="13" t="s">
        <v>354</v>
      </c>
    </row>
    <row r="12" spans="2:6">
      <c r="C12" s="62" t="s">
        <v>11</v>
      </c>
      <c r="D12" s="10" t="s">
        <v>355</v>
      </c>
      <c r="E12" s="4"/>
      <c r="F12" s="13" t="s">
        <v>356</v>
      </c>
    </row>
    <row r="13" spans="2:6">
      <c r="C13" s="62" t="s">
        <v>12</v>
      </c>
      <c r="D13" s="10" t="s">
        <v>149</v>
      </c>
      <c r="E13" s="4"/>
      <c r="F13" s="13" t="s">
        <v>357</v>
      </c>
    </row>
    <row r="14" spans="2:6">
      <c r="C14" s="62" t="s">
        <v>13</v>
      </c>
      <c r="D14" s="10" t="s">
        <v>151</v>
      </c>
      <c r="E14" s="4"/>
    </row>
    <row r="15" spans="2:6">
      <c r="C15" s="3"/>
      <c r="D15" s="4"/>
      <c r="E15" s="4"/>
      <c r="F15" t="s">
        <v>14</v>
      </c>
    </row>
    <row r="16" spans="2:6">
      <c r="C16" s="3"/>
      <c r="D16" s="4"/>
      <c r="E16" s="4"/>
      <c r="F16" s="13" t="s">
        <v>358</v>
      </c>
    </row>
    <row r="17" spans="3:6" ht="18.75">
      <c r="C17" s="5" t="s">
        <v>15</v>
      </c>
      <c r="D17" s="4"/>
      <c r="E17" s="4"/>
      <c r="F17" s="13"/>
    </row>
    <row r="18" spans="3:6">
      <c r="C18" s="3" t="s">
        <v>16</v>
      </c>
      <c r="D18" s="1" t="s">
        <v>15</v>
      </c>
      <c r="E18" s="4"/>
      <c r="F18" s="13"/>
    </row>
    <row r="19" spans="3:6">
      <c r="C19" s="62" t="s">
        <v>17</v>
      </c>
      <c r="D19" s="11">
        <v>34</v>
      </c>
      <c r="E19" s="4"/>
      <c r="F19" s="13"/>
    </row>
    <row r="20" spans="3:6">
      <c r="C20" s="62" t="s">
        <v>18</v>
      </c>
      <c r="D20" s="11">
        <v>12</v>
      </c>
      <c r="E20" s="4"/>
      <c r="F20" s="13"/>
    </row>
    <row r="21" spans="3:6">
      <c r="C21" s="62" t="s">
        <v>19</v>
      </c>
      <c r="D21" s="11"/>
      <c r="E21" s="4"/>
    </row>
    <row r="22" spans="3:6">
      <c r="C22" s="62" t="s">
        <v>20</v>
      </c>
      <c r="D22" s="11">
        <v>2</v>
      </c>
      <c r="E22" s="4"/>
      <c r="F22" t="s">
        <v>21</v>
      </c>
    </row>
    <row r="23" spans="3:6" ht="75">
      <c r="C23" s="62" t="s">
        <v>22</v>
      </c>
      <c r="D23" s="11"/>
      <c r="E23" s="4"/>
      <c r="F23" s="20" t="s">
        <v>359</v>
      </c>
    </row>
    <row r="24" spans="3:6" ht="105">
      <c r="C24" s="62" t="s">
        <v>23</v>
      </c>
      <c r="D24" s="1">
        <f>SUM(D19:D23)</f>
        <v>48</v>
      </c>
      <c r="E24" s="4"/>
      <c r="F24" s="20" t="s">
        <v>360</v>
      </c>
    </row>
    <row r="25" spans="3:6" ht="45">
      <c r="F25" s="106" t="s">
        <v>361</v>
      </c>
    </row>
    <row r="26" spans="3:6" ht="75">
      <c r="F26" s="20" t="s">
        <v>362</v>
      </c>
    </row>
    <row r="27" spans="3:6" ht="18.75">
      <c r="C27" s="5" t="s">
        <v>24</v>
      </c>
      <c r="D27" s="8" t="s">
        <v>25</v>
      </c>
      <c r="F27" s="13" t="s">
        <v>363</v>
      </c>
    </row>
    <row r="28" spans="3:6">
      <c r="C28" s="3" t="s">
        <v>26</v>
      </c>
      <c r="D28" s="3" t="s">
        <v>27</v>
      </c>
      <c r="E28" s="3"/>
      <c r="F28" s="13"/>
    </row>
    <row r="29" spans="3:6" ht="30">
      <c r="C29" s="62" t="s">
        <v>28</v>
      </c>
      <c r="D29" s="10" t="s">
        <v>364</v>
      </c>
      <c r="E29" s="4"/>
      <c r="F29" s="13"/>
    </row>
    <row r="30" spans="3:6" ht="30">
      <c r="C30" s="62" t="s">
        <v>29</v>
      </c>
      <c r="D30" s="10" t="s">
        <v>365</v>
      </c>
      <c r="E30" s="4"/>
      <c r="F30" s="13"/>
    </row>
    <row r="31" spans="3:6" ht="60">
      <c r="C31" s="62" t="s">
        <v>30</v>
      </c>
      <c r="D31" s="88" t="s">
        <v>366</v>
      </c>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75">
      <c r="C38" s="62" t="s">
        <v>40</v>
      </c>
      <c r="D38" s="10" t="s">
        <v>41</v>
      </c>
      <c r="E38" s="10" t="s">
        <v>42</v>
      </c>
      <c r="F38" s="10" t="s">
        <v>367</v>
      </c>
      <c r="G38" s="12">
        <v>0.6</v>
      </c>
      <c r="H38" s="10">
        <v>6</v>
      </c>
    </row>
    <row r="39" spans="3:8" ht="45">
      <c r="C39" s="62" t="s">
        <v>44</v>
      </c>
      <c r="D39" s="10" t="s">
        <v>368</v>
      </c>
      <c r="E39" s="10" t="s">
        <v>369</v>
      </c>
      <c r="F39" s="10" t="s">
        <v>370</v>
      </c>
      <c r="G39" s="12">
        <v>0.4</v>
      </c>
      <c r="H39" s="10" t="s">
        <v>371</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50</v>
      </c>
      <c r="F47" s="13" t="s">
        <v>52</v>
      </c>
    </row>
    <row r="48" spans="3:8">
      <c r="C48" s="14" t="s">
        <v>40</v>
      </c>
      <c r="D48" s="13" t="s">
        <v>28</v>
      </c>
      <c r="E48" s="13" t="s">
        <v>53</v>
      </c>
      <c r="F48" s="13" t="s">
        <v>54</v>
      </c>
    </row>
    <row r="49" spans="3:6">
      <c r="C49" s="14" t="s">
        <v>40</v>
      </c>
      <c r="D49" s="13" t="s">
        <v>29</v>
      </c>
      <c r="E49" s="13" t="s">
        <v>55</v>
      </c>
      <c r="F49" s="13" t="s">
        <v>56</v>
      </c>
    </row>
    <row r="50" spans="3:6">
      <c r="C50" s="14" t="s">
        <v>40</v>
      </c>
      <c r="D50" s="13" t="s">
        <v>29</v>
      </c>
      <c r="E50" s="13" t="s">
        <v>57</v>
      </c>
      <c r="F50" s="13" t="s">
        <v>58</v>
      </c>
    </row>
    <row r="51" spans="3:6">
      <c r="C51" s="14" t="s">
        <v>40</v>
      </c>
      <c r="D51" s="13" t="s">
        <v>30</v>
      </c>
      <c r="E51" s="13" t="s">
        <v>168</v>
      </c>
      <c r="F51" s="13" t="s">
        <v>169</v>
      </c>
    </row>
    <row r="52" spans="3:6">
      <c r="C52" s="14" t="s">
        <v>44</v>
      </c>
      <c r="D52" s="13" t="s">
        <v>29</v>
      </c>
      <c r="E52" s="13" t="s">
        <v>50</v>
      </c>
      <c r="F52" s="13" t="s">
        <v>52</v>
      </c>
    </row>
    <row r="53" spans="3:6">
      <c r="C53" s="14" t="s">
        <v>44</v>
      </c>
      <c r="D53" s="13" t="s">
        <v>29</v>
      </c>
      <c r="E53" s="13" t="s">
        <v>53</v>
      </c>
      <c r="F53" s="13" t="s">
        <v>54</v>
      </c>
    </row>
    <row r="54" spans="3:6">
      <c r="C54" s="14" t="s">
        <v>44</v>
      </c>
      <c r="D54" s="13" t="s">
        <v>30</v>
      </c>
      <c r="E54" s="13" t="s">
        <v>168</v>
      </c>
      <c r="F54" s="13" t="s">
        <v>272</v>
      </c>
    </row>
    <row r="55" spans="3:6">
      <c r="C55" s="14" t="s">
        <v>44</v>
      </c>
      <c r="D55" s="13" t="s">
        <v>30</v>
      </c>
      <c r="E55" s="13" t="s">
        <v>55</v>
      </c>
      <c r="F55" s="13" t="s">
        <v>372</v>
      </c>
    </row>
    <row r="56" spans="3:6">
      <c r="C56" s="14"/>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63">
        <v>1</v>
      </c>
      <c r="C71" s="64">
        <v>1</v>
      </c>
      <c r="D71" s="10" t="s">
        <v>373</v>
      </c>
      <c r="E71" s="10" t="s">
        <v>374</v>
      </c>
      <c r="F71" s="10"/>
    </row>
    <row r="72" spans="2:6">
      <c r="B72" s="63">
        <v>1</v>
      </c>
      <c r="C72" s="64">
        <v>2</v>
      </c>
      <c r="D72" s="10" t="s">
        <v>373</v>
      </c>
      <c r="E72" s="10"/>
      <c r="F72" s="10"/>
    </row>
    <row r="73" spans="2:6">
      <c r="B73" s="63">
        <v>1</v>
      </c>
      <c r="C73" s="64">
        <v>3</v>
      </c>
      <c r="D73" s="10" t="s">
        <v>373</v>
      </c>
      <c r="E73" s="10" t="s">
        <v>374</v>
      </c>
      <c r="F73" s="10" t="s">
        <v>375</v>
      </c>
    </row>
    <row r="74" spans="2:6">
      <c r="B74" s="63">
        <v>1</v>
      </c>
      <c r="C74" s="64">
        <v>4</v>
      </c>
      <c r="D74" s="10" t="s">
        <v>373</v>
      </c>
      <c r="E74" s="10"/>
      <c r="F74" s="10" t="s">
        <v>375</v>
      </c>
    </row>
    <row r="75" spans="2:6">
      <c r="B75" s="63">
        <v>1</v>
      </c>
      <c r="C75" s="64">
        <v>5</v>
      </c>
      <c r="D75" s="10" t="s">
        <v>373</v>
      </c>
      <c r="E75" s="10" t="s">
        <v>374</v>
      </c>
      <c r="F75" s="10"/>
    </row>
    <row r="76" spans="2:6">
      <c r="B76" s="63">
        <v>1</v>
      </c>
      <c r="C76" s="64">
        <v>6</v>
      </c>
      <c r="D76" s="10" t="s">
        <v>373</v>
      </c>
      <c r="E76" s="10"/>
      <c r="F76" s="10"/>
    </row>
    <row r="77" spans="2:6">
      <c r="B77" s="63">
        <v>1</v>
      </c>
      <c r="C77" s="64">
        <v>7</v>
      </c>
      <c r="D77" s="10"/>
      <c r="E77" s="10"/>
      <c r="F77" s="10"/>
    </row>
    <row r="78" spans="2:6">
      <c r="B78" s="63">
        <v>1</v>
      </c>
      <c r="C78" s="64">
        <v>8</v>
      </c>
      <c r="D78" s="10" t="s">
        <v>376</v>
      </c>
      <c r="E78" s="10" t="s">
        <v>374</v>
      </c>
      <c r="F78" s="10"/>
    </row>
    <row r="79" spans="2:6">
      <c r="B79" s="63">
        <v>1</v>
      </c>
      <c r="C79" s="64">
        <v>9</v>
      </c>
      <c r="D79" s="10" t="s">
        <v>377</v>
      </c>
      <c r="E79" s="10"/>
      <c r="F79" s="10"/>
    </row>
    <row r="80" spans="2:6">
      <c r="B80" s="63">
        <v>1</v>
      </c>
      <c r="C80" s="64">
        <v>10</v>
      </c>
      <c r="D80" s="10" t="s">
        <v>378</v>
      </c>
      <c r="E80" s="10" t="s">
        <v>374</v>
      </c>
      <c r="F80" s="10"/>
    </row>
    <row r="81" spans="2:6">
      <c r="B81" s="63">
        <v>1</v>
      </c>
      <c r="C81" s="64">
        <v>11</v>
      </c>
      <c r="D81" s="10" t="s">
        <v>379</v>
      </c>
      <c r="E81" s="10"/>
      <c r="F81" s="10"/>
    </row>
    <row r="82" spans="2:6">
      <c r="B82" s="63">
        <v>1</v>
      </c>
      <c r="C82" s="64">
        <v>12</v>
      </c>
      <c r="D82" s="10" t="s">
        <v>380</v>
      </c>
      <c r="E82" s="10" t="s">
        <v>374</v>
      </c>
      <c r="F82" s="10"/>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phoneticPr fontId="2" type="noConversion"/>
  <dataValidations count="4">
    <dataValidation type="list" allowBlank="1" showInputMessage="1" showErrorMessage="1" sqref="E38:E41" xr:uid="{A62A3AA1-D3B0-45A3-A998-2D56857427B0}">
      <formula1>INDIRECT("LISTAssess[Assessment Specific]")</formula1>
    </dataValidation>
    <dataValidation type="whole" showInputMessage="1" showErrorMessage="1" error="This is not a realistic number of contact hours please change" sqref="D19" xr:uid="{FBECA4FB-7A34-4FDD-80A9-474CB8B74418}">
      <formula1>0</formula1>
      <formula2>80</formula2>
    </dataValidation>
    <dataValidation type="whole" showInputMessage="1" showErrorMessage="1" error="This is not a realistic number of contact hours please reduce" sqref="D20:D23" xr:uid="{739D2576-B862-4853-8753-8DF65DD1B8E0}">
      <formula1>0</formula1>
      <formula2>80</formula2>
    </dataValidation>
    <dataValidation type="list" allowBlank="1" showInputMessage="1" showErrorMessage="1" sqref="F46:F66" xr:uid="{70ACACFF-AE30-4743-9BF8-AD88937CBFB3}">
      <formula1>INDIRECT(VLOOKUP($E46,SkillNameMap,2,FALSE))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1">
        <x14:dataValidation type="list" allowBlank="1" showInputMessage="1" showErrorMessage="1" xr:uid="{A0E54470-2C60-430D-8248-9D02AB0B56EE}">
          <x14:formula1>
            <xm:f>LISTS!$J$7:$J$16</xm:f>
          </x14:formula1>
          <xm:sqref>E46:E66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CE35-482D-49B2-A7F4-55CDB527A6FE}">
  <sheetPr codeName="Sheet23"/>
  <dimension ref="B2:H95"/>
  <sheetViews>
    <sheetView showGridLines="0" topLeftCell="A20" zoomScale="85" zoomScaleNormal="85" workbookViewId="0">
      <selection activeCell="D12" sqref="D12"/>
    </sheetView>
  </sheetViews>
  <sheetFormatPr defaultColWidth="8.85546875" defaultRowHeight="15"/>
  <cols>
    <col min="3" max="3" width="33.140625" customWidth="1"/>
    <col min="4" max="4" width="55.140625" customWidth="1"/>
    <col min="5" max="5" width="67.140625" customWidth="1"/>
    <col min="6" max="6" width="63.85546875" customWidth="1"/>
    <col min="7" max="7" width="12.42578125" customWidth="1"/>
    <col min="8" max="8" width="15.42578125" customWidth="1"/>
    <col min="9" max="9" width="14.85546875" customWidth="1"/>
  </cols>
  <sheetData>
    <row r="2" spans="2:6" ht="26.25">
      <c r="C2" s="9" t="str">
        <f>D7</f>
        <v>5101SPS</v>
      </c>
      <c r="D2" s="9" t="str">
        <f>D8</f>
        <v>Professional Practice in Sport and Exercise Science 2</v>
      </c>
    </row>
    <row r="3" spans="2:6">
      <c r="B3" s="1"/>
      <c r="C3" s="1"/>
    </row>
    <row r="4" spans="2:6">
      <c r="B4" s="2"/>
      <c r="C4" s="2"/>
      <c r="E4" s="100" t="s">
        <v>142</v>
      </c>
    </row>
    <row r="5" spans="2:6" ht="18.75">
      <c r="B5" s="2"/>
      <c r="C5" s="5" t="s">
        <v>0</v>
      </c>
      <c r="E5" s="100" t="s">
        <v>381</v>
      </c>
    </row>
    <row r="6" spans="2:6">
      <c r="B6" s="2"/>
      <c r="C6" s="3" t="s">
        <v>1</v>
      </c>
      <c r="D6" s="4" t="s">
        <v>2</v>
      </c>
      <c r="E6" s="4"/>
      <c r="F6" t="s">
        <v>3</v>
      </c>
    </row>
    <row r="7" spans="2:6" ht="105">
      <c r="B7" s="2"/>
      <c r="C7" s="62" t="s">
        <v>4</v>
      </c>
      <c r="D7" s="10" t="s">
        <v>382</v>
      </c>
      <c r="E7" s="4"/>
      <c r="F7" s="20" t="s">
        <v>383</v>
      </c>
    </row>
    <row r="8" spans="2:6">
      <c r="B8" s="2"/>
      <c r="C8" s="62" t="s">
        <v>6</v>
      </c>
      <c r="D8" s="10" t="s">
        <v>384</v>
      </c>
      <c r="E8" s="4"/>
      <c r="F8" s="13"/>
    </row>
    <row r="9" spans="2:6">
      <c r="C9" s="62" t="s">
        <v>7</v>
      </c>
      <c r="D9" s="10">
        <v>20</v>
      </c>
      <c r="E9" s="4"/>
    </row>
    <row r="10" spans="2:6">
      <c r="C10" s="62" t="s">
        <v>8</v>
      </c>
      <c r="D10" s="10">
        <v>1</v>
      </c>
      <c r="E10" s="4"/>
      <c r="F10" t="s">
        <v>9</v>
      </c>
    </row>
    <row r="11" spans="2:6">
      <c r="C11" s="62" t="s">
        <v>10</v>
      </c>
      <c r="D11" s="10">
        <v>5</v>
      </c>
      <c r="E11" s="4"/>
      <c r="F11" s="13" t="s">
        <v>385</v>
      </c>
    </row>
    <row r="12" spans="2:6">
      <c r="C12" s="62" t="s">
        <v>11</v>
      </c>
      <c r="D12" s="10" t="s">
        <v>386</v>
      </c>
      <c r="E12" s="4"/>
      <c r="F12" s="20" t="s">
        <v>387</v>
      </c>
    </row>
    <row r="13" spans="2:6">
      <c r="C13" s="62" t="s">
        <v>12</v>
      </c>
      <c r="D13" s="10" t="s">
        <v>85</v>
      </c>
      <c r="E13" s="4"/>
      <c r="F13" s="13" t="s">
        <v>388</v>
      </c>
    </row>
    <row r="14" spans="2:6">
      <c r="C14" s="62" t="s">
        <v>13</v>
      </c>
      <c r="D14" s="10" t="s">
        <v>86</v>
      </c>
      <c r="E14" s="4"/>
    </row>
    <row r="15" spans="2:6">
      <c r="C15" s="3"/>
      <c r="D15" s="4"/>
      <c r="E15" s="4"/>
      <c r="F15" t="s">
        <v>14</v>
      </c>
    </row>
    <row r="16" spans="2:6" ht="120">
      <c r="C16" s="3"/>
      <c r="D16" s="4"/>
      <c r="E16" s="4"/>
      <c r="F16" s="24" t="s">
        <v>389</v>
      </c>
    </row>
    <row r="17" spans="3:6" ht="18.75">
      <c r="C17" s="5" t="s">
        <v>15</v>
      </c>
      <c r="D17" s="4"/>
      <c r="E17" s="4"/>
      <c r="F17" s="20"/>
    </row>
    <row r="18" spans="3:6">
      <c r="C18" s="3" t="s">
        <v>16</v>
      </c>
      <c r="D18" s="1" t="s">
        <v>15</v>
      </c>
      <c r="E18" s="4"/>
      <c r="F18" s="20"/>
    </row>
    <row r="19" spans="3:6">
      <c r="C19" s="62" t="s">
        <v>17</v>
      </c>
      <c r="D19" s="11">
        <v>22</v>
      </c>
      <c r="E19" s="4"/>
      <c r="F19" s="20"/>
    </row>
    <row r="20" spans="3:6">
      <c r="C20" s="62" t="s">
        <v>18</v>
      </c>
      <c r="D20" s="11">
        <v>12</v>
      </c>
      <c r="E20" s="4"/>
      <c r="F20" s="20"/>
    </row>
    <row r="21" spans="3:6">
      <c r="C21" s="62" t="s">
        <v>19</v>
      </c>
      <c r="D21" s="11">
        <v>0</v>
      </c>
      <c r="E21" s="4"/>
    </row>
    <row r="22" spans="3:6">
      <c r="C22" s="62" t="s">
        <v>20</v>
      </c>
      <c r="D22" s="11">
        <v>0</v>
      </c>
      <c r="E22" s="4"/>
      <c r="F22" t="s">
        <v>21</v>
      </c>
    </row>
    <row r="23" spans="3:6" ht="60">
      <c r="C23" s="62" t="s">
        <v>22</v>
      </c>
      <c r="D23" s="11">
        <v>6</v>
      </c>
      <c r="E23" s="4"/>
      <c r="F23" s="20" t="s">
        <v>390</v>
      </c>
    </row>
    <row r="24" spans="3:6">
      <c r="C24" s="62" t="s">
        <v>23</v>
      </c>
      <c r="D24" s="1">
        <f>SUM(D19:D23)</f>
        <v>40</v>
      </c>
      <c r="E24" s="4"/>
      <c r="F24" s="13"/>
    </row>
    <row r="25" spans="3:6">
      <c r="F25" s="13"/>
    </row>
    <row r="26" spans="3:6">
      <c r="F26" s="13"/>
    </row>
    <row r="27" spans="3:6" ht="18.75">
      <c r="C27" s="5" t="s">
        <v>24</v>
      </c>
      <c r="D27" s="8" t="s">
        <v>25</v>
      </c>
      <c r="F27" s="13"/>
    </row>
    <row r="28" spans="3:6">
      <c r="C28" s="3" t="s">
        <v>26</v>
      </c>
      <c r="D28" s="3" t="s">
        <v>27</v>
      </c>
      <c r="E28" s="3"/>
      <c r="F28" s="13"/>
    </row>
    <row r="29" spans="3:6">
      <c r="C29" s="62" t="s">
        <v>28</v>
      </c>
      <c r="D29" s="66" t="s">
        <v>391</v>
      </c>
      <c r="E29" s="4"/>
      <c r="F29" s="13"/>
    </row>
    <row r="30" spans="3:6">
      <c r="C30" s="62" t="s">
        <v>29</v>
      </c>
      <c r="D30" s="66" t="s">
        <v>392</v>
      </c>
      <c r="E30" s="4"/>
      <c r="F30" s="13"/>
    </row>
    <row r="31" spans="3:6" ht="39">
      <c r="C31" s="62" t="s">
        <v>30</v>
      </c>
      <c r="D31" s="67" t="s">
        <v>393</v>
      </c>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30">
      <c r="C38" s="62" t="s">
        <v>40</v>
      </c>
      <c r="D38" s="10" t="s">
        <v>97</v>
      </c>
      <c r="E38" s="10"/>
      <c r="F38" s="10" t="s">
        <v>394</v>
      </c>
      <c r="G38" s="12">
        <v>0.6</v>
      </c>
      <c r="H38" s="10">
        <v>6</v>
      </c>
    </row>
    <row r="39" spans="3:8" ht="45">
      <c r="C39" s="62" t="s">
        <v>44</v>
      </c>
      <c r="D39" s="10" t="s">
        <v>41</v>
      </c>
      <c r="E39" s="10"/>
      <c r="F39" s="35" t="s">
        <v>395</v>
      </c>
      <c r="G39" s="12">
        <v>0.4</v>
      </c>
      <c r="H39" s="10">
        <v>12</v>
      </c>
    </row>
    <row r="40" spans="3:8">
      <c r="C40" s="62" t="s">
        <v>45</v>
      </c>
      <c r="D40" s="13"/>
      <c r="E40" s="13"/>
      <c r="F40" s="20"/>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214</v>
      </c>
    </row>
    <row r="47" spans="3:8">
      <c r="C47" s="14" t="s">
        <v>40</v>
      </c>
      <c r="D47" s="13" t="s">
        <v>28</v>
      </c>
      <c r="E47" s="13" t="s">
        <v>57</v>
      </c>
      <c r="F47" s="13" t="s">
        <v>78</v>
      </c>
    </row>
    <row r="48" spans="3:8">
      <c r="C48" s="14" t="s">
        <v>40</v>
      </c>
      <c r="D48" s="13" t="s">
        <v>29</v>
      </c>
      <c r="E48" s="13" t="s">
        <v>100</v>
      </c>
      <c r="F48" s="13" t="s">
        <v>101</v>
      </c>
    </row>
    <row r="49" spans="3:6">
      <c r="C49" s="14" t="s">
        <v>40</v>
      </c>
      <c r="D49" s="13" t="s">
        <v>29</v>
      </c>
      <c r="E49" s="13" t="s">
        <v>100</v>
      </c>
      <c r="F49" s="13" t="s">
        <v>396</v>
      </c>
    </row>
    <row r="50" spans="3:6">
      <c r="C50" s="14" t="s">
        <v>40</v>
      </c>
      <c r="D50" s="13" t="s">
        <v>30</v>
      </c>
      <c r="E50" s="13" t="s">
        <v>53</v>
      </c>
      <c r="F50" s="13" t="s">
        <v>54</v>
      </c>
    </row>
    <row r="51" spans="3:6">
      <c r="C51" s="14" t="s">
        <v>44</v>
      </c>
      <c r="D51" s="13" t="s">
        <v>30</v>
      </c>
      <c r="E51" s="13" t="s">
        <v>168</v>
      </c>
      <c r="F51" s="13" t="s">
        <v>397</v>
      </c>
    </row>
    <row r="52" spans="3:6">
      <c r="C52" s="14" t="s">
        <v>44</v>
      </c>
      <c r="D52" s="13" t="s">
        <v>28</v>
      </c>
      <c r="E52" s="13" t="s">
        <v>55</v>
      </c>
      <c r="F52" s="13" t="s">
        <v>56</v>
      </c>
    </row>
    <row r="53" spans="3:6">
      <c r="C53" s="14" t="s">
        <v>44</v>
      </c>
      <c r="D53" s="13" t="s">
        <v>30</v>
      </c>
      <c r="E53" s="13" t="s">
        <v>106</v>
      </c>
      <c r="F53" s="13" t="s">
        <v>318</v>
      </c>
    </row>
    <row r="54" spans="3:6">
      <c r="C54" s="14"/>
      <c r="D54" s="13"/>
      <c r="E54" s="13"/>
      <c r="F54" s="13"/>
    </row>
    <row r="55" spans="3:6">
      <c r="C55" s="14"/>
      <c r="D55" s="13"/>
      <c r="E55" s="13"/>
      <c r="F55" s="13"/>
    </row>
    <row r="56" spans="3:6">
      <c r="C56" s="14"/>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7" spans="2:6">
      <c r="C67" s="14"/>
      <c r="D67" s="13"/>
      <c r="E67" s="13"/>
      <c r="F67" s="13"/>
    </row>
    <row r="70" spans="2:6" ht="18.75">
      <c r="C70" s="5" t="s">
        <v>59</v>
      </c>
    </row>
    <row r="71" spans="2:6">
      <c r="B71" t="s">
        <v>60</v>
      </c>
      <c r="C71" s="1" t="s">
        <v>61</v>
      </c>
      <c r="D71" s="1" t="s">
        <v>62</v>
      </c>
      <c r="E71" s="1" t="s">
        <v>63</v>
      </c>
      <c r="F71" s="1" t="s">
        <v>64</v>
      </c>
    </row>
    <row r="72" spans="2:6">
      <c r="B72" s="63">
        <v>1</v>
      </c>
      <c r="C72" s="64">
        <v>1</v>
      </c>
      <c r="D72" s="10" t="s">
        <v>398</v>
      </c>
      <c r="E72" s="10" t="s">
        <v>18</v>
      </c>
      <c r="F72" s="10" t="s">
        <v>399</v>
      </c>
    </row>
    <row r="73" spans="2:6">
      <c r="B73" s="63">
        <v>1</v>
      </c>
      <c r="C73" s="64">
        <v>2</v>
      </c>
      <c r="D73" s="10" t="s">
        <v>400</v>
      </c>
      <c r="E73" s="10" t="s">
        <v>18</v>
      </c>
      <c r="F73" s="10" t="s">
        <v>399</v>
      </c>
    </row>
    <row r="74" spans="2:6">
      <c r="B74" s="63">
        <v>1</v>
      </c>
      <c r="C74" s="64">
        <v>3</v>
      </c>
      <c r="D74" s="10" t="s">
        <v>401</v>
      </c>
      <c r="E74" s="10" t="s">
        <v>18</v>
      </c>
      <c r="F74" s="10" t="s">
        <v>399</v>
      </c>
    </row>
    <row r="75" spans="2:6">
      <c r="B75" s="63">
        <v>1</v>
      </c>
      <c r="C75" s="64">
        <v>4</v>
      </c>
      <c r="D75" s="10" t="s">
        <v>402</v>
      </c>
      <c r="E75" s="10" t="s">
        <v>18</v>
      </c>
      <c r="F75" s="10" t="s">
        <v>399</v>
      </c>
    </row>
    <row r="76" spans="2:6">
      <c r="B76" s="63">
        <v>1</v>
      </c>
      <c r="C76" s="64">
        <v>5</v>
      </c>
      <c r="D76" s="10" t="s">
        <v>403</v>
      </c>
      <c r="E76" s="10" t="s">
        <v>18</v>
      </c>
      <c r="F76" s="10" t="s">
        <v>399</v>
      </c>
    </row>
    <row r="77" spans="2:6">
      <c r="B77" s="63">
        <v>1</v>
      </c>
      <c r="C77" s="64">
        <v>6</v>
      </c>
      <c r="D77" s="10" t="s">
        <v>404</v>
      </c>
      <c r="E77" s="10" t="s">
        <v>18</v>
      </c>
      <c r="F77" s="10" t="s">
        <v>399</v>
      </c>
    </row>
    <row r="78" spans="2:6">
      <c r="B78" s="63">
        <v>1</v>
      </c>
      <c r="C78" s="64">
        <v>7</v>
      </c>
      <c r="D78" s="10" t="s">
        <v>405</v>
      </c>
      <c r="E78" s="10" t="s">
        <v>18</v>
      </c>
      <c r="F78" s="10" t="s">
        <v>399</v>
      </c>
    </row>
    <row r="79" spans="2:6">
      <c r="B79" s="63">
        <v>1</v>
      </c>
      <c r="C79" s="64">
        <v>8</v>
      </c>
      <c r="D79" s="10" t="s">
        <v>406</v>
      </c>
      <c r="E79" s="10" t="s">
        <v>18</v>
      </c>
      <c r="F79" s="10" t="s">
        <v>399</v>
      </c>
    </row>
    <row r="80" spans="2:6">
      <c r="B80" s="63">
        <v>1</v>
      </c>
      <c r="C80" s="64">
        <v>9</v>
      </c>
      <c r="D80" s="10" t="s">
        <v>407</v>
      </c>
      <c r="E80" s="10" t="s">
        <v>18</v>
      </c>
      <c r="F80" s="10" t="s">
        <v>399</v>
      </c>
    </row>
    <row r="81" spans="2:6">
      <c r="B81" s="63">
        <v>1</v>
      </c>
      <c r="C81" s="64">
        <v>10</v>
      </c>
      <c r="D81" s="10" t="s">
        <v>408</v>
      </c>
      <c r="E81" s="10" t="s">
        <v>18</v>
      </c>
      <c r="F81" s="10" t="s">
        <v>399</v>
      </c>
    </row>
    <row r="82" spans="2:6">
      <c r="B82" s="63">
        <v>1</v>
      </c>
      <c r="C82" s="64">
        <v>11</v>
      </c>
      <c r="D82" s="10" t="s">
        <v>409</v>
      </c>
      <c r="E82" s="10" t="s">
        <v>18</v>
      </c>
      <c r="F82" s="10" t="s">
        <v>399</v>
      </c>
    </row>
    <row r="83" spans="2:6">
      <c r="B83" s="63">
        <v>1</v>
      </c>
      <c r="C83" s="64">
        <v>12</v>
      </c>
      <c r="D83" s="10"/>
      <c r="E83" s="10"/>
      <c r="F83" s="10"/>
    </row>
    <row r="84" spans="2:6">
      <c r="B84" s="63">
        <v>2</v>
      </c>
      <c r="C84" s="64">
        <v>1</v>
      </c>
      <c r="D84" s="10"/>
      <c r="E84" s="10"/>
      <c r="F84" s="10"/>
    </row>
    <row r="85" spans="2:6">
      <c r="B85" s="63">
        <v>2</v>
      </c>
      <c r="C85" s="64">
        <v>2</v>
      </c>
      <c r="D85" s="10"/>
      <c r="E85" s="10"/>
      <c r="F85" s="10"/>
    </row>
    <row r="86" spans="2:6">
      <c r="B86" s="63">
        <v>2</v>
      </c>
      <c r="C86" s="64">
        <v>3</v>
      </c>
      <c r="D86" s="10"/>
      <c r="E86" s="10"/>
      <c r="F86" s="10"/>
    </row>
    <row r="87" spans="2:6">
      <c r="B87" s="63">
        <v>2</v>
      </c>
      <c r="C87" s="64">
        <v>4</v>
      </c>
      <c r="D87" s="10"/>
      <c r="E87" s="10"/>
      <c r="F87" s="10"/>
    </row>
    <row r="88" spans="2:6">
      <c r="B88" s="63">
        <v>2</v>
      </c>
      <c r="C88" s="64">
        <v>5</v>
      </c>
      <c r="D88" s="10"/>
      <c r="E88" s="10"/>
      <c r="F88" s="10"/>
    </row>
    <row r="89" spans="2:6">
      <c r="B89" s="63">
        <v>2</v>
      </c>
      <c r="C89" s="64">
        <v>6</v>
      </c>
      <c r="D89" s="10"/>
      <c r="E89" s="10"/>
      <c r="F89" s="10"/>
    </row>
    <row r="90" spans="2:6">
      <c r="B90" s="63">
        <v>2</v>
      </c>
      <c r="C90" s="64">
        <v>7</v>
      </c>
      <c r="D90" s="10"/>
      <c r="E90" s="10"/>
      <c r="F90" s="10"/>
    </row>
    <row r="91" spans="2:6">
      <c r="B91" s="63">
        <v>2</v>
      </c>
      <c r="C91" s="64">
        <v>8</v>
      </c>
      <c r="D91" s="10"/>
      <c r="E91" s="10"/>
      <c r="F91" s="10"/>
    </row>
    <row r="92" spans="2:6">
      <c r="B92" s="63">
        <v>2</v>
      </c>
      <c r="C92" s="64">
        <v>9</v>
      </c>
      <c r="D92" s="10"/>
      <c r="E92" s="10"/>
      <c r="F92" s="10"/>
    </row>
    <row r="93" spans="2:6">
      <c r="B93" s="63">
        <v>2</v>
      </c>
      <c r="C93" s="64">
        <v>10</v>
      </c>
      <c r="D93" s="10"/>
      <c r="E93" s="10"/>
      <c r="F93" s="10"/>
    </row>
    <row r="94" spans="2:6">
      <c r="B94" s="63">
        <v>2</v>
      </c>
      <c r="C94" s="64">
        <v>11</v>
      </c>
      <c r="D94" s="10"/>
      <c r="E94" s="10"/>
      <c r="F94" s="10"/>
    </row>
    <row r="95" spans="2:6">
      <c r="B95" s="63">
        <v>2</v>
      </c>
      <c r="C95" s="64">
        <v>12</v>
      </c>
      <c r="D95" s="10"/>
      <c r="E95" s="10"/>
      <c r="F95" s="10"/>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4D23FC23-F098-43D4-A312-2FFADDC9A3E9}">
      <formula1>0</formula1>
      <formula2>80</formula2>
    </dataValidation>
    <dataValidation type="whole" showInputMessage="1" showErrorMessage="1" error="This is not a realistic number of contact hours please change" sqref="D19" xr:uid="{F8046F38-862C-449D-BBE8-394153A8B087}">
      <formula1>0</formula1>
      <formula2>80</formula2>
    </dataValidation>
    <dataValidation type="list" allowBlank="1" showInputMessage="1" showErrorMessage="1" sqref="E38:E41" xr:uid="{C47D745F-9DA8-4E01-9BD6-736F3AF2A926}">
      <formula1>INDIRECT("LISTAssess[Assessment Specific]")</formula1>
    </dataValidation>
    <dataValidation type="list" allowBlank="1" showInputMessage="1" showErrorMessage="1" sqref="F46:F67" xr:uid="{2A3A7258-D04B-485B-B11C-D9165BB9C050}">
      <formula1>INDIRECT(VLOOKUP($E46,SkillNameMap,2,FALSE))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B7AD50D-D83F-4FF0-8A6E-08E1458944D4}">
          <x14:formula1>
            <xm:f>LISTS!$E$7:$E$11</xm:f>
          </x14:formula1>
          <xm:sqref>D46:D53 D55:D67</xm:sqref>
        </x14:dataValidation>
        <x14:dataValidation type="list" allowBlank="1" showInputMessage="1" showErrorMessage="1" xr:uid="{6C49387A-3B2B-4A59-8085-7E9548B36300}">
          <x14:formula1>
            <xm:f>LISTS!$J$7:$J$16</xm:f>
          </x14:formula1>
          <xm:sqref>E46:E67</xm:sqref>
        </x14:dataValidation>
        <x14:dataValidation type="list" allowBlank="1" showInputMessage="1" showErrorMessage="1" xr:uid="{2000BD89-1C43-42A6-A8B2-7D7CD86956FD}">
          <x14:formula1>
            <xm:f>LISTS!$C$26:$C$37</xm:f>
          </x14:formula1>
          <xm:sqref>D14</xm:sqref>
        </x14:dataValidation>
        <x14:dataValidation type="list" allowBlank="1" showInputMessage="1" showErrorMessage="1" xr:uid="{53701699-E8C8-4683-8EAF-DF721821E5E2}">
          <x14:formula1>
            <xm:f>LISTS!$C$17:$C$22</xm:f>
          </x14:formula1>
          <xm:sqref>D13</xm:sqref>
        </x14:dataValidation>
        <x14:dataValidation type="list" allowBlank="1" showInputMessage="1" showErrorMessage="1" xr:uid="{5669D6A7-73E8-4EFD-B322-CEF76264B1E0}">
          <x14:formula1>
            <xm:f>LISTS!$C$7:$C$9</xm:f>
          </x14:formula1>
          <xm:sqref>D10</xm:sqref>
        </x14:dataValidation>
        <x14:dataValidation type="list" allowBlank="1" showInputMessage="1" showErrorMessage="1" xr:uid="{CFC4CF1F-0352-40A1-A20A-1BF81A6E67C3}">
          <x14:formula1>
            <xm:f>LISTS!$C$11:$C$15</xm:f>
          </x14:formula1>
          <xm:sqref>D11</xm:sqref>
        </x14:dataValidation>
        <x14:dataValidation type="list" allowBlank="1" showInputMessage="1" showErrorMessage="1" xr:uid="{F5484114-D0FD-491C-8A2C-ED82876F7420}">
          <x14:formula1>
            <xm:f>LISTS!$G$7:$G$11</xm:f>
          </x14:formula1>
          <xm:sqref>D38:D42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08AE-A3E7-4649-AF94-9902578E541A}">
  <sheetPr codeName="Sheet7"/>
  <dimension ref="B2:H95"/>
  <sheetViews>
    <sheetView showGridLines="0" topLeftCell="A39" zoomScale="85" zoomScaleNormal="85" workbookViewId="0">
      <selection activeCell="D12" sqref="D12"/>
    </sheetView>
  </sheetViews>
  <sheetFormatPr defaultColWidth="8.85546875" defaultRowHeight="15"/>
  <cols>
    <col min="3" max="3" width="33.140625" customWidth="1"/>
    <col min="4" max="4" width="55.140625" customWidth="1"/>
    <col min="5" max="5" width="67.140625" customWidth="1"/>
    <col min="6" max="6" width="63.85546875" customWidth="1"/>
    <col min="7" max="7" width="12.42578125" customWidth="1"/>
    <col min="8" max="8" width="15.42578125" customWidth="1"/>
    <col min="9" max="9" width="14.85546875" customWidth="1"/>
  </cols>
  <sheetData>
    <row r="2" spans="2:6" ht="26.25">
      <c r="C2" s="9" t="str">
        <f>D7</f>
        <v>5102SPS</v>
      </c>
      <c r="D2" s="9" t="str">
        <f>D8</f>
        <v>Influences and Assessment of Physical Activity and Sedentary Behaviour</v>
      </c>
    </row>
    <row r="3" spans="2:6">
      <c r="B3" s="1"/>
      <c r="C3" s="1"/>
    </row>
    <row r="4" spans="2:6">
      <c r="B4" s="2"/>
      <c r="C4" s="2"/>
    </row>
    <row r="5" spans="2:6" ht="18.75">
      <c r="B5" s="2"/>
      <c r="C5" s="5" t="s">
        <v>0</v>
      </c>
    </row>
    <row r="6" spans="2:6">
      <c r="B6" s="2"/>
      <c r="C6" s="3" t="s">
        <v>1</v>
      </c>
      <c r="D6" s="4" t="s">
        <v>2</v>
      </c>
      <c r="E6" s="4"/>
      <c r="F6" t="s">
        <v>3</v>
      </c>
    </row>
    <row r="7" spans="2:6" ht="135">
      <c r="B7" s="2"/>
      <c r="C7" s="62" t="s">
        <v>4</v>
      </c>
      <c r="D7" s="10" t="s">
        <v>410</v>
      </c>
      <c r="E7" s="4"/>
      <c r="F7" s="20" t="s">
        <v>411</v>
      </c>
    </row>
    <row r="8" spans="2:6" ht="30">
      <c r="B8" s="2"/>
      <c r="C8" s="62" t="s">
        <v>6</v>
      </c>
      <c r="D8" s="10" t="s">
        <v>412</v>
      </c>
      <c r="E8" s="4"/>
      <c r="F8" s="13"/>
    </row>
    <row r="9" spans="2:6">
      <c r="C9" s="62" t="s">
        <v>7</v>
      </c>
      <c r="D9" s="10">
        <v>20</v>
      </c>
      <c r="E9" s="4"/>
    </row>
    <row r="10" spans="2:6">
      <c r="C10" s="62" t="s">
        <v>8</v>
      </c>
      <c r="D10" s="10">
        <v>1</v>
      </c>
      <c r="E10" s="4"/>
      <c r="F10" t="s">
        <v>9</v>
      </c>
    </row>
    <row r="11" spans="2:6">
      <c r="C11" s="62" t="s">
        <v>10</v>
      </c>
      <c r="D11" s="10">
        <v>5</v>
      </c>
      <c r="E11" s="4"/>
      <c r="F11" s="13" t="s">
        <v>413</v>
      </c>
    </row>
    <row r="12" spans="2:6" ht="45">
      <c r="C12" s="62" t="s">
        <v>11</v>
      </c>
      <c r="D12" s="10" t="s">
        <v>414</v>
      </c>
      <c r="E12" s="4"/>
      <c r="F12" s="20" t="s">
        <v>415</v>
      </c>
    </row>
    <row r="13" spans="2:6">
      <c r="C13" s="62" t="s">
        <v>12</v>
      </c>
      <c r="D13" s="10" t="s">
        <v>200</v>
      </c>
      <c r="E13" s="4"/>
      <c r="F13" s="13"/>
    </row>
    <row r="14" spans="2:6">
      <c r="C14" s="62" t="s">
        <v>13</v>
      </c>
      <c r="D14" s="10" t="s">
        <v>86</v>
      </c>
      <c r="E14" s="4"/>
    </row>
    <row r="15" spans="2:6">
      <c r="C15" s="3"/>
      <c r="D15" s="4"/>
      <c r="E15" s="4"/>
      <c r="F15" t="s">
        <v>14</v>
      </c>
    </row>
    <row r="16" spans="2:6" ht="135">
      <c r="C16" s="3"/>
      <c r="D16" s="4"/>
      <c r="E16" s="4"/>
      <c r="F16" s="20" t="s">
        <v>416</v>
      </c>
    </row>
    <row r="17" spans="3:6" ht="18.75">
      <c r="C17" s="5" t="s">
        <v>15</v>
      </c>
      <c r="D17" s="4"/>
      <c r="E17" s="4"/>
      <c r="F17" s="13"/>
    </row>
    <row r="18" spans="3:6">
      <c r="C18" s="3" t="s">
        <v>16</v>
      </c>
      <c r="D18" s="1" t="s">
        <v>15</v>
      </c>
      <c r="E18" s="4"/>
      <c r="F18" s="13"/>
    </row>
    <row r="19" spans="3:6">
      <c r="C19" s="62" t="s">
        <v>17</v>
      </c>
      <c r="D19" s="11">
        <v>22</v>
      </c>
      <c r="E19" s="4"/>
      <c r="F19" s="13"/>
    </row>
    <row r="20" spans="3:6">
      <c r="C20" s="62" t="s">
        <v>18</v>
      </c>
      <c r="D20" s="11">
        <v>14</v>
      </c>
      <c r="E20" s="4"/>
      <c r="F20" s="13"/>
    </row>
    <row r="21" spans="3:6">
      <c r="C21" s="62" t="s">
        <v>19</v>
      </c>
      <c r="D21" s="11">
        <v>2</v>
      </c>
      <c r="E21" s="4"/>
    </row>
    <row r="22" spans="3:6">
      <c r="C22" s="62" t="s">
        <v>20</v>
      </c>
      <c r="D22" s="11">
        <v>0</v>
      </c>
      <c r="E22" s="4"/>
      <c r="F22" t="s">
        <v>21</v>
      </c>
    </row>
    <row r="23" spans="3:6" ht="45">
      <c r="C23" s="62" t="s">
        <v>22</v>
      </c>
      <c r="D23" s="11">
        <v>11</v>
      </c>
      <c r="E23" s="4"/>
      <c r="F23" s="20" t="s">
        <v>417</v>
      </c>
    </row>
    <row r="24" spans="3:6" ht="60">
      <c r="C24" s="62" t="s">
        <v>23</v>
      </c>
      <c r="D24" s="1">
        <f>SUM(D19:D23)</f>
        <v>49</v>
      </c>
      <c r="E24" s="4"/>
      <c r="F24" s="20" t="s">
        <v>418</v>
      </c>
    </row>
    <row r="25" spans="3:6">
      <c r="F25" s="13" t="s">
        <v>419</v>
      </c>
    </row>
    <row r="26" spans="3:6">
      <c r="F26" s="13" t="s">
        <v>420</v>
      </c>
    </row>
    <row r="27" spans="3:6" ht="18.75">
      <c r="C27" s="5" t="s">
        <v>24</v>
      </c>
      <c r="D27" s="8" t="s">
        <v>25</v>
      </c>
      <c r="F27" s="13" t="s">
        <v>421</v>
      </c>
    </row>
    <row r="28" spans="3:6">
      <c r="C28" s="3" t="s">
        <v>26</v>
      </c>
      <c r="D28" s="3" t="s">
        <v>27</v>
      </c>
      <c r="E28" s="3"/>
      <c r="F28" s="13" t="s">
        <v>422</v>
      </c>
    </row>
    <row r="29" spans="3:6" ht="30">
      <c r="C29" s="62" t="s">
        <v>28</v>
      </c>
      <c r="D29" s="10" t="s">
        <v>423</v>
      </c>
      <c r="E29" s="4"/>
      <c r="F29" s="13" t="s">
        <v>424</v>
      </c>
    </row>
    <row r="30" spans="3:6" ht="30">
      <c r="C30" s="62" t="s">
        <v>29</v>
      </c>
      <c r="D30" s="10" t="s">
        <v>425</v>
      </c>
      <c r="E30" s="4"/>
      <c r="F30" s="13" t="s">
        <v>426</v>
      </c>
    </row>
    <row r="31" spans="3:6" ht="30">
      <c r="C31" s="62" t="s">
        <v>30</v>
      </c>
      <c r="D31" s="10" t="s">
        <v>427</v>
      </c>
      <c r="E31" s="4"/>
      <c r="F31" s="13" t="s">
        <v>428</v>
      </c>
    </row>
    <row r="32" spans="3:6">
      <c r="C32" s="62" t="s">
        <v>31</v>
      </c>
      <c r="D32" s="10"/>
      <c r="E32" s="4"/>
      <c r="F32" s="44" t="s">
        <v>429</v>
      </c>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75">
      <c r="C38" s="62" t="s">
        <v>40</v>
      </c>
      <c r="D38" s="10" t="s">
        <v>41</v>
      </c>
      <c r="E38" s="10" t="s">
        <v>42</v>
      </c>
      <c r="F38" s="10" t="s">
        <v>430</v>
      </c>
      <c r="G38" s="12">
        <v>0.5</v>
      </c>
      <c r="H38" s="10">
        <v>7</v>
      </c>
    </row>
    <row r="39" spans="3:8" ht="75">
      <c r="C39" s="62" t="s">
        <v>44</v>
      </c>
      <c r="D39" s="10" t="s">
        <v>97</v>
      </c>
      <c r="E39" s="10"/>
      <c r="F39" s="35" t="s">
        <v>431</v>
      </c>
      <c r="G39" s="12">
        <v>0.5</v>
      </c>
      <c r="H39" s="10" t="s">
        <v>432</v>
      </c>
    </row>
    <row r="40" spans="3:8">
      <c r="C40" s="62" t="s">
        <v>45</v>
      </c>
      <c r="D40" s="13"/>
      <c r="E40" s="13"/>
      <c r="F40" s="20"/>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168</v>
      </c>
      <c r="F47" s="13" t="s">
        <v>169</v>
      </c>
    </row>
    <row r="48" spans="3:8">
      <c r="C48" s="14" t="s">
        <v>40</v>
      </c>
      <c r="D48" s="13" t="s">
        <v>28</v>
      </c>
      <c r="E48" s="13" t="s">
        <v>168</v>
      </c>
      <c r="F48" s="13" t="s">
        <v>272</v>
      </c>
    </row>
    <row r="49" spans="3:6">
      <c r="C49" s="14" t="s">
        <v>40</v>
      </c>
      <c r="D49" s="13" t="s">
        <v>28</v>
      </c>
      <c r="E49" s="13" t="s">
        <v>55</v>
      </c>
      <c r="F49" s="13" t="s">
        <v>56</v>
      </c>
    </row>
    <row r="50" spans="3:6">
      <c r="C50" s="14" t="s">
        <v>40</v>
      </c>
      <c r="D50" s="13" t="s">
        <v>28</v>
      </c>
      <c r="E50" s="13" t="s">
        <v>433</v>
      </c>
      <c r="F50" s="13" t="s">
        <v>434</v>
      </c>
    </row>
    <row r="51" spans="3:6">
      <c r="C51" s="14" t="s">
        <v>44</v>
      </c>
      <c r="D51" s="13" t="s">
        <v>29</v>
      </c>
      <c r="E51" s="13" t="s">
        <v>53</v>
      </c>
      <c r="F51" s="13" t="s">
        <v>167</v>
      </c>
    </row>
    <row r="52" spans="3:6">
      <c r="C52" s="14" t="s">
        <v>44</v>
      </c>
      <c r="D52" s="13" t="s">
        <v>29</v>
      </c>
      <c r="E52" s="13" t="s">
        <v>57</v>
      </c>
      <c r="F52" s="13" t="s">
        <v>58</v>
      </c>
    </row>
    <row r="53" spans="3:6">
      <c r="C53" s="14" t="s">
        <v>44</v>
      </c>
      <c r="D53" s="13" t="s">
        <v>30</v>
      </c>
      <c r="E53" s="13" t="s">
        <v>55</v>
      </c>
      <c r="F53" s="13" t="s">
        <v>104</v>
      </c>
    </row>
    <row r="54" spans="3:6">
      <c r="C54" s="14"/>
      <c r="D54" s="13"/>
      <c r="E54" s="13"/>
      <c r="F54" s="13"/>
    </row>
    <row r="55" spans="3:6">
      <c r="C55" s="14"/>
      <c r="D55" s="13"/>
      <c r="E55" s="13"/>
      <c r="F55" s="13"/>
    </row>
    <row r="56" spans="3:6">
      <c r="C56" s="14"/>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7" spans="2:6">
      <c r="C67" s="14"/>
      <c r="D67" s="13"/>
      <c r="E67" s="13"/>
      <c r="F67" s="13"/>
    </row>
    <row r="70" spans="2:6" ht="18.75">
      <c r="C70" s="5" t="s">
        <v>59</v>
      </c>
    </row>
    <row r="71" spans="2:6">
      <c r="B71" t="s">
        <v>60</v>
      </c>
      <c r="C71" s="1" t="s">
        <v>61</v>
      </c>
      <c r="D71" s="1" t="s">
        <v>62</v>
      </c>
      <c r="E71" s="1" t="s">
        <v>63</v>
      </c>
      <c r="F71" s="1" t="s">
        <v>64</v>
      </c>
    </row>
    <row r="72" spans="2:6" ht="30">
      <c r="B72" s="63">
        <v>1</v>
      </c>
      <c r="C72" s="64">
        <v>1</v>
      </c>
      <c r="D72" s="10" t="s">
        <v>435</v>
      </c>
      <c r="E72" s="10" t="s">
        <v>436</v>
      </c>
      <c r="F72" s="10"/>
    </row>
    <row r="73" spans="2:6">
      <c r="B73" s="63">
        <v>1</v>
      </c>
      <c r="C73" s="64">
        <v>2</v>
      </c>
      <c r="D73" s="10" t="s">
        <v>437</v>
      </c>
      <c r="E73" s="10" t="s">
        <v>438</v>
      </c>
      <c r="F73" s="10" t="s">
        <v>436</v>
      </c>
    </row>
    <row r="74" spans="2:6">
      <c r="B74" s="63">
        <v>1</v>
      </c>
      <c r="C74" s="64">
        <v>3</v>
      </c>
      <c r="D74" s="10" t="s">
        <v>439</v>
      </c>
      <c r="E74" s="10" t="s">
        <v>438</v>
      </c>
      <c r="F74" s="10" t="s">
        <v>436</v>
      </c>
    </row>
    <row r="75" spans="2:6">
      <c r="B75" s="63">
        <v>1</v>
      </c>
      <c r="C75" s="64">
        <v>4</v>
      </c>
      <c r="D75" s="10" t="s">
        <v>440</v>
      </c>
      <c r="E75" s="10" t="s">
        <v>438</v>
      </c>
      <c r="F75" s="10" t="s">
        <v>436</v>
      </c>
    </row>
    <row r="76" spans="2:6" ht="30">
      <c r="B76" s="63">
        <v>1</v>
      </c>
      <c r="C76" s="64">
        <v>5</v>
      </c>
      <c r="D76" s="10" t="s">
        <v>441</v>
      </c>
      <c r="E76" s="10" t="s">
        <v>442</v>
      </c>
      <c r="F76" s="10" t="s">
        <v>436</v>
      </c>
    </row>
    <row r="77" spans="2:6">
      <c r="B77" s="63">
        <v>1</v>
      </c>
      <c r="C77" s="64">
        <v>6</v>
      </c>
      <c r="D77" s="10" t="s">
        <v>443</v>
      </c>
      <c r="E77" s="10" t="s">
        <v>436</v>
      </c>
      <c r="F77" s="10"/>
    </row>
    <row r="78" spans="2:6">
      <c r="B78" s="63">
        <v>1</v>
      </c>
      <c r="C78" s="64">
        <v>7</v>
      </c>
      <c r="D78" s="10"/>
      <c r="E78" s="10"/>
      <c r="F78" s="10"/>
    </row>
    <row r="79" spans="2:6">
      <c r="B79" s="63">
        <v>1</v>
      </c>
      <c r="C79" s="64">
        <v>8</v>
      </c>
      <c r="D79" s="10" t="s">
        <v>444</v>
      </c>
      <c r="E79" s="10" t="s">
        <v>445</v>
      </c>
      <c r="F79" s="10" t="s">
        <v>436</v>
      </c>
    </row>
    <row r="80" spans="2:6">
      <c r="B80" s="63">
        <v>1</v>
      </c>
      <c r="C80" s="64">
        <v>9</v>
      </c>
      <c r="D80" s="10" t="s">
        <v>446</v>
      </c>
      <c r="E80" s="10" t="s">
        <v>447</v>
      </c>
      <c r="F80" s="10" t="s">
        <v>436</v>
      </c>
    </row>
    <row r="81" spans="2:6">
      <c r="B81" s="63">
        <v>1</v>
      </c>
      <c r="C81" s="64">
        <v>10</v>
      </c>
      <c r="D81" s="10" t="s">
        <v>448</v>
      </c>
      <c r="E81" s="10" t="s">
        <v>449</v>
      </c>
      <c r="F81" s="10" t="s">
        <v>436</v>
      </c>
    </row>
    <row r="82" spans="2:6">
      <c r="B82" s="63">
        <v>1</v>
      </c>
      <c r="C82" s="64">
        <v>11</v>
      </c>
      <c r="D82" s="10" t="s">
        <v>450</v>
      </c>
      <c r="E82" s="10" t="s">
        <v>451</v>
      </c>
      <c r="F82" s="10" t="s">
        <v>436</v>
      </c>
    </row>
    <row r="83" spans="2:6">
      <c r="B83" s="63">
        <v>1</v>
      </c>
      <c r="C83" s="64">
        <v>12</v>
      </c>
      <c r="D83" s="10" t="s">
        <v>443</v>
      </c>
      <c r="E83" s="10" t="s">
        <v>436</v>
      </c>
      <c r="F83" s="10"/>
    </row>
    <row r="84" spans="2:6">
      <c r="B84" s="63">
        <v>2</v>
      </c>
      <c r="C84" s="64">
        <v>1</v>
      </c>
      <c r="D84" s="10"/>
      <c r="E84" s="10"/>
      <c r="F84" s="10"/>
    </row>
    <row r="85" spans="2:6">
      <c r="B85" s="63">
        <v>2</v>
      </c>
      <c r="C85" s="64">
        <v>2</v>
      </c>
      <c r="D85" s="10"/>
      <c r="E85" s="10"/>
      <c r="F85" s="10"/>
    </row>
    <row r="86" spans="2:6">
      <c r="B86" s="63">
        <v>2</v>
      </c>
      <c r="C86" s="64">
        <v>3</v>
      </c>
      <c r="D86" s="10"/>
      <c r="E86" s="10"/>
      <c r="F86" s="10"/>
    </row>
    <row r="87" spans="2:6">
      <c r="B87" s="63">
        <v>2</v>
      </c>
      <c r="C87" s="64">
        <v>4</v>
      </c>
      <c r="D87" s="10"/>
      <c r="E87" s="10"/>
      <c r="F87" s="10"/>
    </row>
    <row r="88" spans="2:6">
      <c r="B88" s="63">
        <v>2</v>
      </c>
      <c r="C88" s="64">
        <v>5</v>
      </c>
      <c r="D88" s="10"/>
      <c r="E88" s="10"/>
      <c r="F88" s="10"/>
    </row>
    <row r="89" spans="2:6">
      <c r="B89" s="63">
        <v>2</v>
      </c>
      <c r="C89" s="64">
        <v>6</v>
      </c>
      <c r="D89" s="10"/>
      <c r="E89" s="10"/>
      <c r="F89" s="10"/>
    </row>
    <row r="90" spans="2:6">
      <c r="B90" s="63">
        <v>2</v>
      </c>
      <c r="C90" s="64">
        <v>7</v>
      </c>
      <c r="D90" s="10"/>
      <c r="E90" s="10"/>
      <c r="F90" s="10"/>
    </row>
    <row r="91" spans="2:6">
      <c r="B91" s="63">
        <v>2</v>
      </c>
      <c r="C91" s="64">
        <v>8</v>
      </c>
      <c r="D91" s="10"/>
      <c r="E91" s="10"/>
      <c r="F91" s="10"/>
    </row>
    <row r="92" spans="2:6">
      <c r="B92" s="63">
        <v>2</v>
      </c>
      <c r="C92" s="64">
        <v>9</v>
      </c>
      <c r="D92" s="10"/>
      <c r="E92" s="10"/>
      <c r="F92" s="10"/>
    </row>
    <row r="93" spans="2:6">
      <c r="B93" s="63">
        <v>2</v>
      </c>
      <c r="C93" s="64">
        <v>10</v>
      </c>
      <c r="D93" s="10"/>
      <c r="E93" s="10"/>
      <c r="F93" s="10"/>
    </row>
    <row r="94" spans="2:6">
      <c r="B94" s="63">
        <v>2</v>
      </c>
      <c r="C94" s="64">
        <v>11</v>
      </c>
      <c r="D94" s="10"/>
      <c r="E94" s="10"/>
      <c r="F94" s="10"/>
    </row>
    <row r="95" spans="2:6">
      <c r="B95" s="63">
        <v>2</v>
      </c>
      <c r="C95" s="64">
        <v>12</v>
      </c>
      <c r="D95" s="10"/>
      <c r="E95" s="10"/>
      <c r="F95" s="10"/>
    </row>
  </sheetData>
  <sheetProtection sheet="1" objects="1" scenarios="1" formatCells="0" formatColumns="0" formatRows="0" insertHyperlinks="0"/>
  <dataValidations count="4">
    <dataValidation type="list" allowBlank="1" showInputMessage="1" showErrorMessage="1" sqref="E38:E41" xr:uid="{7994DC66-9754-47D3-A28B-C0A83A2EAC89}">
      <formula1>INDIRECT("LISTAssess[Assessment Specific]")</formula1>
    </dataValidation>
    <dataValidation type="whole" showInputMessage="1" showErrorMessage="1" error="This is not a realistic number of contact hours please change" sqref="D19" xr:uid="{5229BE75-B0E0-4077-8EF0-412E4F64E78E}">
      <formula1>0</formula1>
      <formula2>80</formula2>
    </dataValidation>
    <dataValidation type="whole" showInputMessage="1" showErrorMessage="1" error="This is not a realistic number of contact hours please reduce" sqref="D20:D23" xr:uid="{9C89F6C0-59B0-40A4-AD9B-FF2ACAB06DA5}">
      <formula1>0</formula1>
      <formula2>80</formula2>
    </dataValidation>
    <dataValidation type="list" allowBlank="1" showInputMessage="1" showErrorMessage="1" sqref="F46:F67" xr:uid="{F85C2AC9-6449-433E-8A32-B9FD0FCF9282}">
      <formula1>INDIRECT(VLOOKUP($E46,SkillNameMap,2,FALSE))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A8E27691-70AC-4099-A10F-63879CDC28C5}">
          <x14:formula1>
            <xm:f>LISTS!$G$7:$G$11</xm:f>
          </x14:formula1>
          <xm:sqref>D38:D42</xm:sqref>
        </x14:dataValidation>
        <x14:dataValidation type="list" allowBlank="1" showInputMessage="1" showErrorMessage="1" xr:uid="{762F8CE2-7D51-4572-9F70-B773F934E29C}">
          <x14:formula1>
            <xm:f>LISTS!$C$11:$C$15</xm:f>
          </x14:formula1>
          <xm:sqref>D11</xm:sqref>
        </x14:dataValidation>
        <x14:dataValidation type="list" allowBlank="1" showInputMessage="1" showErrorMessage="1" xr:uid="{15E0481E-98A1-407D-8DFA-141CA07D0DE7}">
          <x14:formula1>
            <xm:f>LISTS!$C$7:$C$9</xm:f>
          </x14:formula1>
          <xm:sqref>D10</xm:sqref>
        </x14:dataValidation>
        <x14:dataValidation type="list" allowBlank="1" showInputMessage="1" showErrorMessage="1" xr:uid="{B3565A50-A55E-4ECA-ADB3-330480BE2D6B}">
          <x14:formula1>
            <xm:f>LISTS!$C$17:$C$22</xm:f>
          </x14:formula1>
          <xm:sqref>D13</xm:sqref>
        </x14:dataValidation>
        <x14:dataValidation type="list" allowBlank="1" showInputMessage="1" showErrorMessage="1" xr:uid="{37A004BF-BEA8-4BF2-93ED-5C37361A1B7D}">
          <x14:formula1>
            <xm:f>LISTS!$C$26:$C$37</xm:f>
          </x14:formula1>
          <xm:sqref>D14</xm:sqref>
        </x14:dataValidation>
        <x14:dataValidation type="list" allowBlank="1" showInputMessage="1" showErrorMessage="1" xr:uid="{7B9F6B16-6FF5-4E56-841A-1AD40DF95F22}">
          <x14:formula1>
            <xm:f>LISTS!$J$7:$J$16</xm:f>
          </x14:formula1>
          <xm:sqref>E46:E67</xm:sqref>
        </x14:dataValidation>
        <x14:dataValidation type="list" allowBlank="1" showInputMessage="1" showErrorMessage="1" xr:uid="{4F387FE4-F215-4DCB-AA99-F2CB3B064FA3}">
          <x14:formula1>
            <xm:f>LISTS!$E$7:$E$11</xm:f>
          </x14:formula1>
          <xm:sqref>D46:D53 D55:D67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79C83-4B63-438B-8ADB-C2BAECC10A91}">
  <sheetPr codeName="Sheet8"/>
  <dimension ref="B2:H94"/>
  <sheetViews>
    <sheetView showGridLines="0" topLeftCell="B57" zoomScaleNormal="100" workbookViewId="0">
      <selection activeCell="D12" sqref="D12"/>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5103SPS</v>
      </c>
      <c r="D2" s="9" t="str">
        <f>D8</f>
        <v xml:space="preserve">Biomechanics </v>
      </c>
      <c r="E2" s="100" t="s">
        <v>452</v>
      </c>
    </row>
    <row r="3" spans="2:6" ht="15.75">
      <c r="B3" s="1"/>
      <c r="C3" s="1"/>
      <c r="E3" s="101" t="s">
        <v>453</v>
      </c>
    </row>
    <row r="4" spans="2:6">
      <c r="B4" s="2"/>
      <c r="C4" s="2"/>
      <c r="E4" s="100" t="s">
        <v>454</v>
      </c>
    </row>
    <row r="5" spans="2:6" ht="18.75">
      <c r="B5" s="2"/>
      <c r="C5" s="5" t="s">
        <v>0</v>
      </c>
      <c r="E5" s="101" t="s">
        <v>455</v>
      </c>
    </row>
    <row r="6" spans="2:6">
      <c r="B6" s="2"/>
      <c r="C6" s="3" t="s">
        <v>1</v>
      </c>
      <c r="D6" s="4" t="s">
        <v>2</v>
      </c>
      <c r="E6" s="4"/>
      <c r="F6" t="s">
        <v>3</v>
      </c>
    </row>
    <row r="7" spans="2:6" ht="90">
      <c r="B7" s="2"/>
      <c r="C7" s="62" t="s">
        <v>4</v>
      </c>
      <c r="D7" s="10" t="s">
        <v>456</v>
      </c>
      <c r="E7" s="4"/>
      <c r="F7" s="20" t="s">
        <v>457</v>
      </c>
    </row>
    <row r="8" spans="2:6">
      <c r="B8" s="2"/>
      <c r="C8" s="62" t="s">
        <v>6</v>
      </c>
      <c r="D8" s="10" t="s">
        <v>458</v>
      </c>
      <c r="E8" s="4"/>
      <c r="F8" s="13"/>
    </row>
    <row r="9" spans="2:6">
      <c r="C9" s="62" t="s">
        <v>7</v>
      </c>
      <c r="D9" s="10">
        <v>20</v>
      </c>
      <c r="E9" s="4"/>
    </row>
    <row r="10" spans="2:6">
      <c r="C10" s="62" t="s">
        <v>8</v>
      </c>
      <c r="D10" s="10"/>
      <c r="E10" s="4"/>
      <c r="F10" t="s">
        <v>9</v>
      </c>
    </row>
    <row r="11" spans="2:6" ht="45">
      <c r="C11" s="62" t="s">
        <v>10</v>
      </c>
      <c r="D11" s="10">
        <v>5</v>
      </c>
      <c r="E11" s="4"/>
      <c r="F11" s="20" t="s">
        <v>459</v>
      </c>
    </row>
    <row r="12" spans="2:6">
      <c r="C12" s="62" t="s">
        <v>11</v>
      </c>
      <c r="D12" s="10" t="s">
        <v>460</v>
      </c>
      <c r="E12" s="4"/>
      <c r="F12" s="13"/>
    </row>
    <row r="13" spans="2:6">
      <c r="C13" s="62" t="s">
        <v>12</v>
      </c>
      <c r="D13" s="10" t="s">
        <v>200</v>
      </c>
      <c r="E13" s="4"/>
      <c r="F13" s="13"/>
    </row>
    <row r="14" spans="2:6">
      <c r="C14" s="62" t="s">
        <v>13</v>
      </c>
      <c r="D14" s="10" t="s">
        <v>461</v>
      </c>
      <c r="E14" s="4"/>
    </row>
    <row r="15" spans="2:6">
      <c r="C15" s="3"/>
      <c r="D15" s="4"/>
      <c r="E15" s="4"/>
      <c r="F15" t="s">
        <v>14</v>
      </c>
    </row>
    <row r="16" spans="2:6" ht="227.25" customHeight="1">
      <c r="C16" s="3"/>
      <c r="D16" s="4"/>
      <c r="E16" s="4"/>
      <c r="F16" s="20" t="s">
        <v>462</v>
      </c>
    </row>
    <row r="17" spans="3:6" ht="18.75">
      <c r="C17" s="5" t="s">
        <v>15</v>
      </c>
      <c r="D17" s="4"/>
      <c r="E17" s="4"/>
      <c r="F17" s="13"/>
    </row>
    <row r="18" spans="3:6">
      <c r="C18" s="3" t="s">
        <v>16</v>
      </c>
      <c r="D18" s="1" t="s">
        <v>15</v>
      </c>
      <c r="E18" s="4"/>
      <c r="F18" s="13"/>
    </row>
    <row r="19" spans="3:6">
      <c r="C19" s="62" t="s">
        <v>17</v>
      </c>
      <c r="D19" s="11">
        <v>24</v>
      </c>
      <c r="E19" s="4"/>
      <c r="F19" s="13"/>
    </row>
    <row r="20" spans="3:6">
      <c r="C20" s="62" t="s">
        <v>18</v>
      </c>
      <c r="D20" s="11">
        <v>5</v>
      </c>
      <c r="E20" s="4"/>
      <c r="F20" s="13"/>
    </row>
    <row r="21" spans="3:6">
      <c r="C21" s="62" t="s">
        <v>19</v>
      </c>
      <c r="D21" s="11">
        <v>5</v>
      </c>
      <c r="E21" s="4"/>
    </row>
    <row r="22" spans="3:6">
      <c r="C22" s="62" t="s">
        <v>20</v>
      </c>
      <c r="D22" s="11"/>
      <c r="E22" s="4"/>
      <c r="F22" t="s">
        <v>21</v>
      </c>
    </row>
    <row r="23" spans="3:6">
      <c r="C23" s="62" t="s">
        <v>22</v>
      </c>
      <c r="D23" s="11">
        <v>1</v>
      </c>
      <c r="E23" s="4"/>
      <c r="F23" s="13"/>
    </row>
    <row r="24" spans="3:6">
      <c r="C24" s="62" t="s">
        <v>23</v>
      </c>
      <c r="D24" s="1">
        <f>SUM(D19:D23)</f>
        <v>35</v>
      </c>
      <c r="E24" s="4"/>
      <c r="F24" s="13"/>
    </row>
    <row r="25" spans="3:6">
      <c r="F25" s="13"/>
    </row>
    <row r="26" spans="3:6">
      <c r="F26" s="13"/>
    </row>
    <row r="27" spans="3:6" ht="18.75">
      <c r="C27" s="5" t="s">
        <v>24</v>
      </c>
      <c r="D27" s="8" t="s">
        <v>25</v>
      </c>
      <c r="F27" s="13"/>
    </row>
    <row r="28" spans="3:6">
      <c r="C28" s="3" t="s">
        <v>26</v>
      </c>
      <c r="D28" s="3" t="s">
        <v>27</v>
      </c>
      <c r="E28" s="3"/>
      <c r="F28" s="13"/>
    </row>
    <row r="29" spans="3:6" ht="30">
      <c r="C29" s="62" t="s">
        <v>28</v>
      </c>
      <c r="D29" s="10" t="s">
        <v>463</v>
      </c>
      <c r="E29" s="4"/>
      <c r="F29" s="13"/>
    </row>
    <row r="30" spans="3:6" ht="30">
      <c r="C30" s="62" t="s">
        <v>29</v>
      </c>
      <c r="D30" s="10" t="s">
        <v>464</v>
      </c>
      <c r="E30" s="4"/>
      <c r="F30" s="13"/>
    </row>
    <row r="31" spans="3:6">
      <c r="C31" s="62" t="s">
        <v>30</v>
      </c>
      <c r="D31" s="10"/>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30">
      <c r="C38" s="62" t="s">
        <v>40</v>
      </c>
      <c r="D38" s="10" t="s">
        <v>97</v>
      </c>
      <c r="E38" s="10" t="s">
        <v>209</v>
      </c>
      <c r="F38" s="10" t="s">
        <v>465</v>
      </c>
      <c r="G38" s="12">
        <v>0.5</v>
      </c>
      <c r="H38" s="10">
        <v>9</v>
      </c>
    </row>
    <row r="39" spans="3:8" ht="30">
      <c r="C39" s="62" t="s">
        <v>44</v>
      </c>
      <c r="D39" s="10" t="s">
        <v>163</v>
      </c>
      <c r="E39" s="10" t="s">
        <v>211</v>
      </c>
      <c r="F39" s="10" t="s">
        <v>466</v>
      </c>
      <c r="G39" s="12">
        <v>0.5</v>
      </c>
      <c r="H39" s="10">
        <v>12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row>
    <row r="47" spans="3:8">
      <c r="C47" s="14" t="s">
        <v>40</v>
      </c>
      <c r="D47" s="13" t="s">
        <v>28</v>
      </c>
      <c r="E47" s="13" t="s">
        <v>57</v>
      </c>
      <c r="F47" s="13"/>
    </row>
    <row r="48" spans="3:8">
      <c r="C48" s="14" t="s">
        <v>40</v>
      </c>
      <c r="D48" s="13" t="s">
        <v>28</v>
      </c>
      <c r="E48" s="13" t="s">
        <v>53</v>
      </c>
      <c r="F48" s="13"/>
    </row>
    <row r="49" spans="3:6">
      <c r="C49" s="14" t="s">
        <v>44</v>
      </c>
      <c r="D49" s="13" t="s">
        <v>29</v>
      </c>
      <c r="E49" s="13" t="s">
        <v>50</v>
      </c>
      <c r="F49" s="13"/>
    </row>
    <row r="50" spans="3:6">
      <c r="C50" s="14" t="s">
        <v>44</v>
      </c>
      <c r="D50" s="13" t="s">
        <v>29</v>
      </c>
      <c r="E50" s="13" t="s">
        <v>53</v>
      </c>
      <c r="F50" s="13"/>
    </row>
    <row r="51" spans="3:6">
      <c r="C51" s="14" t="s">
        <v>44</v>
      </c>
      <c r="D51" s="13" t="s">
        <v>29</v>
      </c>
      <c r="E51" s="13" t="s">
        <v>168</v>
      </c>
      <c r="F51" s="13"/>
    </row>
    <row r="52" spans="3:6">
      <c r="C52" s="14" t="s">
        <v>45</v>
      </c>
      <c r="D52" s="13"/>
      <c r="E52" s="13"/>
      <c r="F52" s="13"/>
    </row>
    <row r="53" spans="3:6">
      <c r="C53" s="14" t="s">
        <v>45</v>
      </c>
      <c r="D53" s="13"/>
      <c r="E53" s="13"/>
      <c r="F53" s="13"/>
    </row>
    <row r="54" spans="3:6">
      <c r="C54" s="14" t="s">
        <v>45</v>
      </c>
      <c r="D54" s="13"/>
      <c r="E54" s="13"/>
      <c r="F54" s="13"/>
    </row>
    <row r="55" spans="3:6">
      <c r="C55" s="14" t="s">
        <v>46</v>
      </c>
      <c r="D55" s="13"/>
      <c r="E55" s="13"/>
      <c r="F55" s="13"/>
    </row>
    <row r="56" spans="3:6">
      <c r="C56" s="14" t="s">
        <v>46</v>
      </c>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63">
        <v>1</v>
      </c>
      <c r="C71" s="64">
        <v>1</v>
      </c>
      <c r="D71" s="10" t="s">
        <v>467</v>
      </c>
      <c r="E71" s="10" t="s">
        <v>468</v>
      </c>
      <c r="F71" s="10"/>
    </row>
    <row r="72" spans="2:6">
      <c r="B72" s="63">
        <v>1</v>
      </c>
      <c r="C72" s="64">
        <v>2</v>
      </c>
      <c r="D72" s="10" t="s">
        <v>469</v>
      </c>
      <c r="E72" s="10" t="s">
        <v>470</v>
      </c>
      <c r="F72" s="10" t="s">
        <v>471</v>
      </c>
    </row>
    <row r="73" spans="2:6">
      <c r="B73" s="63">
        <v>1</v>
      </c>
      <c r="C73" s="64">
        <v>3</v>
      </c>
      <c r="D73" s="10" t="s">
        <v>472</v>
      </c>
      <c r="E73" s="10" t="s">
        <v>473</v>
      </c>
      <c r="F73" s="10" t="s">
        <v>471</v>
      </c>
    </row>
    <row r="74" spans="2:6">
      <c r="B74" s="63">
        <v>1</v>
      </c>
      <c r="C74" s="64">
        <v>4</v>
      </c>
      <c r="D74" s="10" t="s">
        <v>474</v>
      </c>
      <c r="E74" s="10" t="s">
        <v>475</v>
      </c>
      <c r="F74" s="10" t="s">
        <v>471</v>
      </c>
    </row>
    <row r="75" spans="2:6">
      <c r="B75" s="63">
        <v>1</v>
      </c>
      <c r="C75" s="64">
        <v>5</v>
      </c>
      <c r="D75" s="10" t="s">
        <v>476</v>
      </c>
      <c r="E75" s="10" t="s">
        <v>477</v>
      </c>
      <c r="F75" s="10" t="s">
        <v>471</v>
      </c>
    </row>
    <row r="76" spans="2:6">
      <c r="B76" s="63">
        <v>1</v>
      </c>
      <c r="C76" s="64">
        <v>6</v>
      </c>
      <c r="D76" s="10" t="s">
        <v>478</v>
      </c>
      <c r="E76" s="10" t="s">
        <v>479</v>
      </c>
      <c r="F76" s="10" t="s">
        <v>471</v>
      </c>
    </row>
    <row r="77" spans="2:6">
      <c r="B77" s="63">
        <v>1</v>
      </c>
      <c r="C77" s="64">
        <v>7</v>
      </c>
      <c r="D77" s="10" t="s">
        <v>480</v>
      </c>
      <c r="E77" s="10" t="s">
        <v>481</v>
      </c>
      <c r="F77" s="10" t="s">
        <v>471</v>
      </c>
    </row>
    <row r="78" spans="2:6">
      <c r="B78" s="63">
        <v>1</v>
      </c>
      <c r="C78" s="64">
        <v>8</v>
      </c>
      <c r="D78" s="10"/>
      <c r="E78" s="10"/>
      <c r="F78" s="10" t="s">
        <v>471</v>
      </c>
    </row>
    <row r="79" spans="2:6">
      <c r="B79" s="63">
        <v>1</v>
      </c>
      <c r="C79" s="64">
        <v>9</v>
      </c>
      <c r="D79" s="10" t="s">
        <v>482</v>
      </c>
      <c r="E79" s="10" t="s">
        <v>483</v>
      </c>
      <c r="F79" s="10" t="s">
        <v>471</v>
      </c>
    </row>
    <row r="80" spans="2:6">
      <c r="B80" s="63">
        <v>1</v>
      </c>
      <c r="C80" s="64">
        <v>10</v>
      </c>
      <c r="D80" s="10" t="s">
        <v>484</v>
      </c>
      <c r="E80" s="10" t="s">
        <v>485</v>
      </c>
      <c r="F80" s="10" t="s">
        <v>471</v>
      </c>
    </row>
    <row r="81" spans="2:6">
      <c r="B81" s="63">
        <v>1</v>
      </c>
      <c r="C81" s="64">
        <v>11</v>
      </c>
      <c r="D81" s="10" t="s">
        <v>486</v>
      </c>
      <c r="E81" s="10" t="s">
        <v>487</v>
      </c>
      <c r="F81" s="10" t="s">
        <v>471</v>
      </c>
    </row>
    <row r="82" spans="2:6">
      <c r="B82" s="63">
        <v>1</v>
      </c>
      <c r="C82" s="64">
        <v>12</v>
      </c>
      <c r="D82" s="10" t="s">
        <v>488</v>
      </c>
      <c r="E82" s="10" t="s">
        <v>489</v>
      </c>
      <c r="F82" s="10" t="s">
        <v>490</v>
      </c>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list" allowBlank="1" showInputMessage="1" showErrorMessage="1" sqref="F46:F66" xr:uid="{E384A8D8-2515-4FB4-9A11-39224E1C065B}">
      <formula1>INDIRECT(VLOOKUP($E46, SkillNameMap, 2, FALSE))</formula1>
    </dataValidation>
    <dataValidation type="list" allowBlank="1" showInputMessage="1" showErrorMessage="1" sqref="E38:E41" xr:uid="{42DE33D6-5230-4EAD-911F-BB5BD54277F2}">
      <formula1>INDIRECT("LISTAssess[Assessment Specific]")</formula1>
    </dataValidation>
    <dataValidation type="whole" showInputMessage="1" showErrorMessage="1" error="This is not a realistic number of contact hours please change" sqref="D19" xr:uid="{10DA0BDB-6881-4DE2-8527-3C1CEEABB2A7}">
      <formula1>0</formula1>
      <formula2>80</formula2>
    </dataValidation>
    <dataValidation type="whole" showInputMessage="1" showErrorMessage="1" error="This is not a realistic number of contact hours please reduce" sqref="D20:D23" xr:uid="{E48C1905-2C10-4874-A717-610D2C32F199}">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49E86CF4-8108-4F51-B073-02276940F342}">
          <x14:formula1>
            <xm:f>LISTS!$J$7:$J$16</xm:f>
          </x14:formula1>
          <xm:sqref>E46:E66</xm:sqref>
        </x14:dataValidation>
        <x14:dataValidation type="list" allowBlank="1" showInputMessage="1" showErrorMessage="1" xr:uid="{06465257-54DA-440C-A18F-A20A74E289A8}">
          <x14:formula1>
            <xm:f>LISTS!$E$7:$E$11</xm:f>
          </x14:formula1>
          <xm:sqref>D46:D66</xm:sqref>
        </x14:dataValidation>
        <x14:dataValidation type="list" allowBlank="1" showInputMessage="1" showErrorMessage="1" xr:uid="{92190BF3-9D32-4DB4-A8BA-763515453B32}">
          <x14:formula1>
            <xm:f>LISTS!$G$7:$G$11</xm:f>
          </x14:formula1>
          <xm:sqref>D38:D42</xm:sqref>
        </x14:dataValidation>
        <x14:dataValidation type="list" allowBlank="1" showInputMessage="1" showErrorMessage="1" xr:uid="{9C410528-EEF6-42C6-92FD-9BC401213F1A}">
          <x14:formula1>
            <xm:f>LISTS!$C$11:$C$15</xm:f>
          </x14:formula1>
          <xm:sqref>D11</xm:sqref>
        </x14:dataValidation>
        <x14:dataValidation type="list" allowBlank="1" showInputMessage="1" showErrorMessage="1" xr:uid="{5F355864-A09D-4BF0-A234-3B9D71AC5817}">
          <x14:formula1>
            <xm:f>LISTS!$C$7:$C$9</xm:f>
          </x14:formula1>
          <xm:sqref>D10</xm:sqref>
        </x14:dataValidation>
        <x14:dataValidation type="list" allowBlank="1" showInputMessage="1" showErrorMessage="1" xr:uid="{3E88FD4F-65B0-4FA6-855E-DADD7E372352}">
          <x14:formula1>
            <xm:f>LISTS!$C$17:$C$22</xm:f>
          </x14:formula1>
          <xm:sqref>D13</xm:sqref>
        </x14:dataValidation>
        <x14:dataValidation type="list" allowBlank="1" showInputMessage="1" showErrorMessage="1" xr:uid="{D7C64E59-53DD-4059-A4BB-E06393A734C2}">
          <x14:formula1>
            <xm:f>LISTS!$C$26:$C$37</xm:f>
          </x14:formula1>
          <xm:sqref>D14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1524-9C3B-440D-AEC2-FAF3E738013E}">
  <sheetPr codeName="Sheet6"/>
  <dimension ref="B2:H94"/>
  <sheetViews>
    <sheetView showGridLines="0" topLeftCell="A37" zoomScale="85" zoomScaleNormal="85" workbookViewId="0">
      <selection activeCell="D12" sqref="D12"/>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5092SPS</v>
      </c>
      <c r="D2" s="9" t="str">
        <f>D8</f>
        <v>Physiological adaptations to exercise</v>
      </c>
    </row>
    <row r="3" spans="2:6">
      <c r="B3" s="1"/>
      <c r="C3" s="1"/>
    </row>
    <row r="4" spans="2:6">
      <c r="B4" s="2"/>
      <c r="C4" s="2"/>
    </row>
    <row r="5" spans="2:6" ht="18.75">
      <c r="B5" s="2"/>
      <c r="C5" s="5" t="s">
        <v>0</v>
      </c>
    </row>
    <row r="6" spans="2:6">
      <c r="B6" s="2"/>
      <c r="C6" s="3" t="s">
        <v>1</v>
      </c>
      <c r="D6" s="4" t="s">
        <v>2</v>
      </c>
      <c r="E6" s="4"/>
      <c r="F6" t="s">
        <v>3</v>
      </c>
    </row>
    <row r="7" spans="2:6">
      <c r="B7" s="2"/>
      <c r="C7" s="62" t="s">
        <v>4</v>
      </c>
      <c r="D7" s="10" t="s">
        <v>491</v>
      </c>
      <c r="E7" s="4"/>
      <c r="F7" s="13"/>
    </row>
    <row r="8" spans="2:6" ht="60">
      <c r="B8" s="2"/>
      <c r="C8" s="62" t="s">
        <v>6</v>
      </c>
      <c r="D8" s="10" t="s">
        <v>492</v>
      </c>
      <c r="E8" s="4"/>
      <c r="F8" s="31" t="s">
        <v>493</v>
      </c>
    </row>
    <row r="9" spans="2:6">
      <c r="C9" s="62" t="s">
        <v>7</v>
      </c>
      <c r="D9" s="10">
        <v>20</v>
      </c>
      <c r="E9" s="4"/>
    </row>
    <row r="10" spans="2:6">
      <c r="C10" s="62" t="s">
        <v>8</v>
      </c>
      <c r="D10" s="10">
        <v>2</v>
      </c>
      <c r="E10" s="4"/>
      <c r="F10" t="s">
        <v>9</v>
      </c>
    </row>
    <row r="11" spans="2:6" ht="45">
      <c r="C11" s="62" t="s">
        <v>10</v>
      </c>
      <c r="D11" s="10">
        <v>5</v>
      </c>
      <c r="E11" s="4"/>
      <c r="F11" s="20" t="s">
        <v>494</v>
      </c>
    </row>
    <row r="12" spans="2:6" ht="45">
      <c r="C12" s="62" t="s">
        <v>11</v>
      </c>
      <c r="D12" s="10" t="s">
        <v>495</v>
      </c>
      <c r="E12" s="4"/>
      <c r="F12" s="20" t="s">
        <v>496</v>
      </c>
    </row>
    <row r="13" spans="2:6" ht="30">
      <c r="C13" s="62" t="s">
        <v>12</v>
      </c>
      <c r="D13" s="10" t="s">
        <v>200</v>
      </c>
      <c r="E13" s="4"/>
      <c r="F13" s="20" t="s">
        <v>497</v>
      </c>
    </row>
    <row r="14" spans="2:6">
      <c r="C14" s="62" t="s">
        <v>13</v>
      </c>
      <c r="D14" s="10" t="s">
        <v>151</v>
      </c>
      <c r="E14" s="4"/>
    </row>
    <row r="15" spans="2:6">
      <c r="C15" s="3"/>
      <c r="D15" s="4"/>
      <c r="E15" s="4"/>
      <c r="F15" t="s">
        <v>14</v>
      </c>
    </row>
    <row r="16" spans="2:6" ht="170.25" customHeight="1">
      <c r="C16" s="3"/>
      <c r="D16" s="4"/>
      <c r="E16" s="4"/>
      <c r="F16" s="20" t="s">
        <v>498</v>
      </c>
    </row>
    <row r="17" spans="3:6" ht="18.75">
      <c r="C17" s="5" t="s">
        <v>15</v>
      </c>
      <c r="D17" s="4"/>
      <c r="E17" s="4"/>
      <c r="F17" s="13"/>
    </row>
    <row r="18" spans="3:6">
      <c r="C18" s="3" t="s">
        <v>16</v>
      </c>
      <c r="D18" s="1" t="s">
        <v>15</v>
      </c>
      <c r="E18" s="4"/>
      <c r="F18" s="13"/>
    </row>
    <row r="19" spans="3:6">
      <c r="C19" s="62" t="s">
        <v>17</v>
      </c>
      <c r="D19" s="11">
        <v>16</v>
      </c>
      <c r="E19" s="4"/>
      <c r="F19" s="13"/>
    </row>
    <row r="20" spans="3:6">
      <c r="C20" s="62" t="s">
        <v>18</v>
      </c>
      <c r="D20" s="11">
        <v>5</v>
      </c>
      <c r="E20" s="4"/>
      <c r="F20" s="13"/>
    </row>
    <row r="21" spans="3:6">
      <c r="C21" s="62" t="s">
        <v>19</v>
      </c>
      <c r="D21" s="11">
        <v>6</v>
      </c>
      <c r="E21" s="4"/>
    </row>
    <row r="22" spans="3:6">
      <c r="C22" s="62" t="s">
        <v>20</v>
      </c>
      <c r="D22" s="11">
        <v>7</v>
      </c>
      <c r="E22" s="4"/>
      <c r="F22" t="s">
        <v>21</v>
      </c>
    </row>
    <row r="23" spans="3:6" ht="90">
      <c r="C23" s="62" t="s">
        <v>499</v>
      </c>
      <c r="D23" s="11">
        <v>6</v>
      </c>
      <c r="E23" s="4"/>
      <c r="F23" s="20" t="s">
        <v>500</v>
      </c>
    </row>
    <row r="24" spans="3:6" ht="45">
      <c r="C24" s="62" t="s">
        <v>23</v>
      </c>
      <c r="D24" s="1">
        <f>SUM(D19:D23)</f>
        <v>40</v>
      </c>
      <c r="E24" s="4"/>
      <c r="F24" s="20" t="s">
        <v>501</v>
      </c>
    </row>
    <row r="25" spans="3:6" ht="45">
      <c r="F25" s="20" t="s">
        <v>502</v>
      </c>
    </row>
    <row r="26" spans="3:6" ht="204.75" customHeight="1">
      <c r="F26" s="20" t="s">
        <v>503</v>
      </c>
    </row>
    <row r="27" spans="3:6" ht="18.75">
      <c r="C27" s="5" t="s">
        <v>24</v>
      </c>
      <c r="D27" s="8" t="s">
        <v>25</v>
      </c>
      <c r="F27" s="84"/>
    </row>
    <row r="28" spans="3:6">
      <c r="C28" s="3" t="s">
        <v>26</v>
      </c>
      <c r="D28" s="3" t="s">
        <v>27</v>
      </c>
      <c r="E28" s="3"/>
      <c r="F28" s="83"/>
    </row>
    <row r="29" spans="3:6" ht="45">
      <c r="C29" s="62" t="s">
        <v>28</v>
      </c>
      <c r="D29" s="32" t="s">
        <v>504</v>
      </c>
      <c r="E29" s="4"/>
      <c r="F29" s="20"/>
    </row>
    <row r="30" spans="3:6" ht="60">
      <c r="C30" s="62" t="s">
        <v>29</v>
      </c>
      <c r="D30" s="31" t="s">
        <v>505</v>
      </c>
      <c r="E30" s="4"/>
      <c r="F30" s="20"/>
    </row>
    <row r="31" spans="3:6">
      <c r="C31" s="62" t="s">
        <v>30</v>
      </c>
      <c r="D31" s="10"/>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60">
      <c r="C38" s="62" t="s">
        <v>40</v>
      </c>
      <c r="D38" s="10" t="s">
        <v>368</v>
      </c>
      <c r="E38" s="10" t="s">
        <v>209</v>
      </c>
      <c r="F38" s="10" t="s">
        <v>506</v>
      </c>
      <c r="G38" s="12">
        <v>0.5</v>
      </c>
      <c r="H38" s="10">
        <v>8</v>
      </c>
    </row>
    <row r="39" spans="3:8" ht="45">
      <c r="C39" s="62" t="s">
        <v>44</v>
      </c>
      <c r="D39" s="10" t="s">
        <v>41</v>
      </c>
      <c r="E39" s="10" t="s">
        <v>42</v>
      </c>
      <c r="F39" s="10" t="s">
        <v>507</v>
      </c>
      <c r="G39" s="12">
        <v>0.5</v>
      </c>
      <c r="H39" s="10" t="s">
        <v>508</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52</v>
      </c>
    </row>
    <row r="47" spans="3:8">
      <c r="C47" s="14" t="s">
        <v>40</v>
      </c>
      <c r="D47" s="13" t="s">
        <v>28</v>
      </c>
      <c r="E47" s="13" t="s">
        <v>50</v>
      </c>
      <c r="F47" s="13" t="s">
        <v>214</v>
      </c>
    </row>
    <row r="48" spans="3:8">
      <c r="C48" s="14" t="s">
        <v>40</v>
      </c>
      <c r="D48" s="13" t="s">
        <v>28</v>
      </c>
      <c r="E48" s="13" t="s">
        <v>57</v>
      </c>
      <c r="F48" s="13" t="s">
        <v>78</v>
      </c>
    </row>
    <row r="49" spans="3:6">
      <c r="C49" s="14" t="s">
        <v>40</v>
      </c>
      <c r="D49" s="13" t="s">
        <v>28</v>
      </c>
      <c r="E49" s="13" t="s">
        <v>168</v>
      </c>
      <c r="F49" s="13" t="s">
        <v>169</v>
      </c>
    </row>
    <row r="50" spans="3:6">
      <c r="C50" s="14" t="s">
        <v>40</v>
      </c>
      <c r="D50" s="13" t="s">
        <v>28</v>
      </c>
      <c r="E50" s="13" t="s">
        <v>55</v>
      </c>
      <c r="F50" s="13" t="s">
        <v>372</v>
      </c>
    </row>
    <row r="51" spans="3:6">
      <c r="C51" s="14" t="s">
        <v>44</v>
      </c>
      <c r="D51" s="13" t="s">
        <v>29</v>
      </c>
      <c r="E51" s="13" t="s">
        <v>50</v>
      </c>
      <c r="F51" s="13" t="s">
        <v>509</v>
      </c>
    </row>
    <row r="52" spans="3:6">
      <c r="C52" s="14" t="s">
        <v>44</v>
      </c>
      <c r="D52" s="13" t="s">
        <v>29</v>
      </c>
      <c r="E52" s="13" t="s">
        <v>55</v>
      </c>
      <c r="F52" s="13" t="s">
        <v>56</v>
      </c>
    </row>
    <row r="53" spans="3:6">
      <c r="C53" s="14" t="s">
        <v>44</v>
      </c>
      <c r="D53" s="13" t="s">
        <v>29</v>
      </c>
      <c r="E53" s="13" t="s">
        <v>55</v>
      </c>
      <c r="F53" s="13" t="s">
        <v>510</v>
      </c>
    </row>
    <row r="54" spans="3:6">
      <c r="C54" s="14" t="s">
        <v>44</v>
      </c>
      <c r="D54" s="13" t="s">
        <v>29</v>
      </c>
      <c r="E54" s="13" t="s">
        <v>106</v>
      </c>
      <c r="F54" s="13" t="s">
        <v>273</v>
      </c>
    </row>
    <row r="55" spans="3:6">
      <c r="C55" s="14" t="s">
        <v>44</v>
      </c>
      <c r="D55" s="13" t="s">
        <v>29</v>
      </c>
      <c r="E55" s="13" t="s">
        <v>168</v>
      </c>
      <c r="F55" s="13" t="s">
        <v>511</v>
      </c>
    </row>
    <row r="56" spans="3:6">
      <c r="C56" s="14" t="s">
        <v>46</v>
      </c>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63">
        <v>1</v>
      </c>
      <c r="C71" s="64">
        <v>1</v>
      </c>
      <c r="D71" s="10"/>
      <c r="E71" s="10"/>
      <c r="F71" s="10"/>
    </row>
    <row r="72" spans="2:6">
      <c r="B72" s="63">
        <v>1</v>
      </c>
      <c r="C72" s="64">
        <v>2</v>
      </c>
      <c r="D72" s="10"/>
      <c r="E72" s="10"/>
      <c r="F72" s="10"/>
    </row>
    <row r="73" spans="2:6">
      <c r="B73" s="63">
        <v>1</v>
      </c>
      <c r="C73" s="64">
        <v>3</v>
      </c>
      <c r="D73" s="10"/>
      <c r="E73" s="10"/>
      <c r="F73" s="10"/>
    </row>
    <row r="74" spans="2:6">
      <c r="B74" s="63">
        <v>1</v>
      </c>
      <c r="C74" s="64">
        <v>4</v>
      </c>
      <c r="D74" s="10"/>
      <c r="E74" s="10"/>
      <c r="F74" s="10"/>
    </row>
    <row r="75" spans="2:6">
      <c r="B75" s="63">
        <v>1</v>
      </c>
      <c r="C75" s="64">
        <v>5</v>
      </c>
      <c r="D75" s="10"/>
      <c r="E75" s="10"/>
      <c r="F75" s="10"/>
    </row>
    <row r="76" spans="2:6">
      <c r="B76" s="63">
        <v>1</v>
      </c>
      <c r="C76" s="64">
        <v>6</v>
      </c>
      <c r="D76" s="10"/>
      <c r="E76" s="10"/>
      <c r="F76" s="10"/>
    </row>
    <row r="77" spans="2:6">
      <c r="B77" s="63">
        <v>1</v>
      </c>
      <c r="C77" s="64">
        <v>7</v>
      </c>
      <c r="D77" s="10"/>
      <c r="E77" s="10"/>
      <c r="F77" s="10"/>
    </row>
    <row r="78" spans="2:6">
      <c r="B78" s="63">
        <v>1</v>
      </c>
      <c r="C78" s="64">
        <v>8</v>
      </c>
      <c r="D78" s="10"/>
      <c r="E78" s="10"/>
      <c r="F78" s="10"/>
    </row>
    <row r="79" spans="2:6">
      <c r="B79" s="63">
        <v>1</v>
      </c>
      <c r="C79" s="64">
        <v>9</v>
      </c>
      <c r="D79" s="10"/>
      <c r="E79" s="10"/>
      <c r="F79" s="10"/>
    </row>
    <row r="80" spans="2:6">
      <c r="B80" s="63">
        <v>1</v>
      </c>
      <c r="C80" s="64">
        <v>10</v>
      </c>
      <c r="D80" s="10"/>
      <c r="E80" s="10"/>
      <c r="F80" s="10"/>
    </row>
    <row r="81" spans="2:6">
      <c r="B81" s="63">
        <v>1</v>
      </c>
      <c r="C81" s="64">
        <v>11</v>
      </c>
      <c r="D81" s="10"/>
      <c r="E81" s="10"/>
      <c r="F81" s="10"/>
    </row>
    <row r="82" spans="2:6">
      <c r="B82" s="63">
        <v>1</v>
      </c>
      <c r="C82" s="64">
        <v>12</v>
      </c>
      <c r="D82" s="10"/>
      <c r="E82" s="10"/>
      <c r="F82" s="10"/>
    </row>
    <row r="83" spans="2:6">
      <c r="B83" s="63">
        <v>2</v>
      </c>
      <c r="C83" s="64">
        <v>1</v>
      </c>
      <c r="D83" s="10" t="s">
        <v>512</v>
      </c>
      <c r="E83" s="10" t="s">
        <v>513</v>
      </c>
      <c r="F83" s="44" t="s">
        <v>514</v>
      </c>
    </row>
    <row r="84" spans="2:6" ht="30">
      <c r="B84" s="63">
        <v>2</v>
      </c>
      <c r="C84" s="64">
        <v>2</v>
      </c>
      <c r="D84" s="10" t="s">
        <v>515</v>
      </c>
      <c r="E84" s="10" t="s">
        <v>516</v>
      </c>
      <c r="F84" s="44" t="s">
        <v>517</v>
      </c>
    </row>
    <row r="85" spans="2:6" ht="30">
      <c r="B85" s="63">
        <v>2</v>
      </c>
      <c r="C85" s="64">
        <v>3</v>
      </c>
      <c r="D85" s="10" t="s">
        <v>518</v>
      </c>
      <c r="E85" s="10" t="s">
        <v>519</v>
      </c>
      <c r="F85" s="44" t="s">
        <v>520</v>
      </c>
    </row>
    <row r="86" spans="2:6" ht="30">
      <c r="B86" s="63">
        <v>2</v>
      </c>
      <c r="C86" s="64">
        <v>4</v>
      </c>
      <c r="D86" s="10" t="s">
        <v>521</v>
      </c>
      <c r="E86" s="10" t="s">
        <v>522</v>
      </c>
      <c r="F86" s="10" t="s">
        <v>523</v>
      </c>
    </row>
    <row r="87" spans="2:6" ht="30">
      <c r="B87" s="63">
        <v>2</v>
      </c>
      <c r="C87" s="64">
        <v>5</v>
      </c>
      <c r="D87" s="10" t="s">
        <v>524</v>
      </c>
      <c r="E87" s="10" t="s">
        <v>525</v>
      </c>
      <c r="F87" s="10" t="s">
        <v>526</v>
      </c>
    </row>
    <row r="88" spans="2:6" ht="30">
      <c r="B88" s="63">
        <v>2</v>
      </c>
      <c r="C88" s="64">
        <v>6</v>
      </c>
      <c r="D88" s="10" t="s">
        <v>527</v>
      </c>
      <c r="E88" s="10" t="s">
        <v>528</v>
      </c>
      <c r="F88" s="10" t="s">
        <v>529</v>
      </c>
    </row>
    <row r="89" spans="2:6">
      <c r="B89" s="63">
        <v>2</v>
      </c>
      <c r="C89" s="64">
        <v>7</v>
      </c>
      <c r="D89" s="10" t="s">
        <v>530</v>
      </c>
      <c r="E89" s="10"/>
      <c r="F89" s="10"/>
    </row>
    <row r="90" spans="2:6" ht="30">
      <c r="B90" s="63">
        <v>2</v>
      </c>
      <c r="C90" s="64">
        <v>8</v>
      </c>
      <c r="D90" s="10" t="s">
        <v>531</v>
      </c>
      <c r="E90" s="10" t="s">
        <v>532</v>
      </c>
      <c r="F90" s="10"/>
    </row>
    <row r="91" spans="2:6" ht="30">
      <c r="B91" s="63">
        <v>2</v>
      </c>
      <c r="C91" s="64">
        <v>9</v>
      </c>
      <c r="D91" s="10" t="s">
        <v>533</v>
      </c>
      <c r="E91" s="10" t="s">
        <v>534</v>
      </c>
      <c r="F91" s="30" t="s">
        <v>535</v>
      </c>
    </row>
    <row r="92" spans="2:6" ht="30">
      <c r="B92" s="63">
        <v>2</v>
      </c>
      <c r="C92" s="64">
        <v>10</v>
      </c>
      <c r="D92" s="10" t="s">
        <v>536</v>
      </c>
      <c r="E92" s="10" t="s">
        <v>537</v>
      </c>
      <c r="F92" s="10" t="s">
        <v>538</v>
      </c>
    </row>
    <row r="93" spans="2:6" ht="45">
      <c r="B93" s="63">
        <v>2</v>
      </c>
      <c r="C93" s="64">
        <v>11</v>
      </c>
      <c r="D93" s="10" t="s">
        <v>539</v>
      </c>
      <c r="E93" s="10" t="s">
        <v>540</v>
      </c>
      <c r="F93" s="10"/>
    </row>
    <row r="94" spans="2:6" ht="30">
      <c r="B94" s="63">
        <v>2</v>
      </c>
      <c r="C94" s="64">
        <v>12</v>
      </c>
      <c r="D94" s="10" t="s">
        <v>541</v>
      </c>
      <c r="E94" s="10" t="s">
        <v>542</v>
      </c>
      <c r="F94" s="44" t="s">
        <v>543</v>
      </c>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3229C256-ABBC-47F3-8625-F41A5BABAC1F}">
      <formula1>0</formula1>
      <formula2>80</formula2>
    </dataValidation>
    <dataValidation type="whole" showInputMessage="1" showErrorMessage="1" error="This is not a realistic number of contact hours please change" sqref="D19" xr:uid="{AD4AC72D-916F-4382-B2A7-05CD7B2226A8}">
      <formula1>0</formula1>
      <formula2>80</formula2>
    </dataValidation>
    <dataValidation type="list" allowBlank="1" showInputMessage="1" showErrorMessage="1" sqref="E38:E41" xr:uid="{FDB67476-1D11-4DC5-B446-B8E66599A2C2}">
      <formula1>INDIRECT("LISTAssess[Assessment Specific]")</formula1>
    </dataValidation>
    <dataValidation type="list" allowBlank="1" showInputMessage="1" showErrorMessage="1" sqref="F46:F66" xr:uid="{1C21621D-7473-4C52-AA89-3A2F9E5BB565}">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B022925A-1C00-4AFA-A060-FE394763B53C}">
          <x14:formula1>
            <xm:f>LISTS!$C$26:$C$37</xm:f>
          </x14:formula1>
          <xm:sqref>D14</xm:sqref>
        </x14:dataValidation>
        <x14:dataValidation type="list" allowBlank="1" showInputMessage="1" showErrorMessage="1" xr:uid="{E147FE3C-0EDB-444D-84A8-E77F42E7C5D8}">
          <x14:formula1>
            <xm:f>LISTS!$C$17:$C$22</xm:f>
          </x14:formula1>
          <xm:sqref>D13</xm:sqref>
        </x14:dataValidation>
        <x14:dataValidation type="list" allowBlank="1" showInputMessage="1" showErrorMessage="1" xr:uid="{C4EDA730-38D3-4AEC-9B1B-4808FDB3AEE6}">
          <x14:formula1>
            <xm:f>LISTS!$C$7:$C$9</xm:f>
          </x14:formula1>
          <xm:sqref>D10</xm:sqref>
        </x14:dataValidation>
        <x14:dataValidation type="list" allowBlank="1" showInputMessage="1" showErrorMessage="1" xr:uid="{71ECC980-EB9A-4145-9F8B-52F5DED821C4}">
          <x14:formula1>
            <xm:f>LISTS!$C$11:$C$15</xm:f>
          </x14:formula1>
          <xm:sqref>D11</xm:sqref>
        </x14:dataValidation>
        <x14:dataValidation type="list" allowBlank="1" showInputMessage="1" showErrorMessage="1" xr:uid="{AC1D00FA-03B3-4BC1-87FD-4FB7D7C0F51E}">
          <x14:formula1>
            <xm:f>LISTS!$G$7:$G$11</xm:f>
          </x14:formula1>
          <xm:sqref>D38:D42</xm:sqref>
        </x14:dataValidation>
        <x14:dataValidation type="list" allowBlank="1" showInputMessage="1" showErrorMessage="1" xr:uid="{96A48C9E-FB8E-44C9-885B-243CD753BD9E}">
          <x14:formula1>
            <xm:f>LISTS!$E$7:$E$11</xm:f>
          </x14:formula1>
          <xm:sqref>D46:D66</xm:sqref>
        </x14:dataValidation>
        <x14:dataValidation type="list" allowBlank="1" showInputMessage="1" showErrorMessage="1" xr:uid="{5036F22C-DC1A-45C2-ACC5-04A85C0867A2}">
          <x14:formula1>
            <xm:f>LISTS!$J$7:$J$16</xm:f>
          </x14:formula1>
          <xm:sqref>E46:E66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43E8D-F412-44DE-A325-53EE89405F38}">
  <sheetPr codeName="Sheet14"/>
  <dimension ref="B2:H94"/>
  <sheetViews>
    <sheetView showGridLines="0" topLeftCell="A20" zoomScale="70" zoomScaleNormal="70" workbookViewId="0">
      <selection activeCell="I56" sqref="I56"/>
    </sheetView>
  </sheetViews>
  <sheetFormatPr defaultColWidth="8.85546875" defaultRowHeight="15"/>
  <cols>
    <col min="3" max="3" width="33.140625" customWidth="1"/>
    <col min="4" max="4" width="51.42578125" customWidth="1"/>
    <col min="5" max="5" width="67.140625" customWidth="1"/>
    <col min="6" max="6" width="63.140625" style="91" customWidth="1"/>
    <col min="7" max="7" width="12.42578125" customWidth="1"/>
    <col min="8" max="8" width="15.42578125" customWidth="1"/>
    <col min="9" max="9" width="14.85546875" customWidth="1"/>
  </cols>
  <sheetData>
    <row r="2" spans="2:6" ht="26.25">
      <c r="C2" s="9" t="str">
        <f>D7</f>
        <v>6101SPS</v>
      </c>
      <c r="D2" s="9" t="str">
        <f>D8</f>
        <v>Sport and Performance Biomechanics</v>
      </c>
    </row>
    <row r="3" spans="2:6">
      <c r="B3" s="1"/>
      <c r="C3" s="1"/>
      <c r="E3" s="100" t="s">
        <v>544</v>
      </c>
    </row>
    <row r="4" spans="2:6">
      <c r="B4" s="2"/>
      <c r="C4" s="2"/>
    </row>
    <row r="5" spans="2:6" ht="18.75">
      <c r="B5" s="2"/>
      <c r="C5" s="5" t="s">
        <v>0</v>
      </c>
    </row>
    <row r="6" spans="2:6">
      <c r="B6" s="2"/>
      <c r="C6" s="3" t="s">
        <v>1</v>
      </c>
      <c r="D6" s="4" t="s">
        <v>2</v>
      </c>
      <c r="E6" s="4"/>
      <c r="F6" s="91" t="s">
        <v>3</v>
      </c>
    </row>
    <row r="7" spans="2:6">
      <c r="B7" s="2"/>
      <c r="C7" s="62" t="s">
        <v>4</v>
      </c>
      <c r="D7" s="10" t="s">
        <v>545</v>
      </c>
      <c r="E7" s="4"/>
      <c r="F7" s="92" t="s">
        <v>546</v>
      </c>
    </row>
    <row r="8" spans="2:6">
      <c r="B8" s="2"/>
      <c r="C8" s="62" t="s">
        <v>6</v>
      </c>
      <c r="D8" s="10" t="s">
        <v>547</v>
      </c>
      <c r="E8" s="4"/>
      <c r="F8" s="20"/>
    </row>
    <row r="9" spans="2:6">
      <c r="C9" s="62" t="s">
        <v>7</v>
      </c>
      <c r="D9" s="10">
        <v>20</v>
      </c>
      <c r="E9" s="4"/>
    </row>
    <row r="10" spans="2:6">
      <c r="C10" s="62" t="s">
        <v>8</v>
      </c>
      <c r="D10" s="10">
        <v>1</v>
      </c>
      <c r="E10" s="4"/>
      <c r="F10" s="91" t="s">
        <v>9</v>
      </c>
    </row>
    <row r="11" spans="2:6">
      <c r="C11" s="62" t="s">
        <v>10</v>
      </c>
      <c r="D11" s="10">
        <v>6</v>
      </c>
      <c r="E11" s="4"/>
      <c r="F11" s="92" t="s">
        <v>548</v>
      </c>
    </row>
    <row r="12" spans="2:6">
      <c r="C12" s="62" t="s">
        <v>11</v>
      </c>
      <c r="D12" s="10" t="s">
        <v>549</v>
      </c>
      <c r="E12" s="4"/>
      <c r="F12" s="92" t="s">
        <v>550</v>
      </c>
    </row>
    <row r="13" spans="2:6">
      <c r="C13" s="62" t="s">
        <v>12</v>
      </c>
      <c r="D13" s="10" t="s">
        <v>551</v>
      </c>
      <c r="E13" s="4"/>
      <c r="F13" s="20"/>
    </row>
    <row r="14" spans="2:6">
      <c r="C14" s="62" t="s">
        <v>13</v>
      </c>
      <c r="D14" s="10" t="s">
        <v>86</v>
      </c>
      <c r="E14" s="4"/>
    </row>
    <row r="15" spans="2:6">
      <c r="C15" s="3"/>
      <c r="D15" s="4"/>
      <c r="E15" s="4"/>
      <c r="F15" s="91" t="s">
        <v>14</v>
      </c>
    </row>
    <row r="16" spans="2:6">
      <c r="C16" s="3"/>
      <c r="D16" s="4"/>
      <c r="E16" s="4"/>
      <c r="F16" s="92" t="s">
        <v>552</v>
      </c>
    </row>
    <row r="17" spans="3:6" ht="18.75">
      <c r="C17" s="5" t="s">
        <v>15</v>
      </c>
      <c r="D17" s="4"/>
      <c r="E17" s="4"/>
      <c r="F17" s="92" t="s">
        <v>553</v>
      </c>
    </row>
    <row r="18" spans="3:6">
      <c r="C18" s="3" t="s">
        <v>16</v>
      </c>
      <c r="D18" s="1" t="s">
        <v>15</v>
      </c>
      <c r="E18" s="4"/>
      <c r="F18" s="92" t="s">
        <v>554</v>
      </c>
    </row>
    <row r="19" spans="3:6">
      <c r="C19" s="62" t="s">
        <v>17</v>
      </c>
      <c r="D19" s="11">
        <v>20</v>
      </c>
      <c r="E19" s="4"/>
      <c r="F19" s="92" t="s">
        <v>555</v>
      </c>
    </row>
    <row r="20" spans="3:6">
      <c r="C20" s="62" t="s">
        <v>18</v>
      </c>
      <c r="D20" s="11">
        <v>11</v>
      </c>
      <c r="E20" s="4"/>
      <c r="F20" s="20"/>
    </row>
    <row r="21" spans="3:6">
      <c r="C21" s="62" t="s">
        <v>19</v>
      </c>
      <c r="D21" s="11">
        <v>11</v>
      </c>
      <c r="E21" s="4"/>
    </row>
    <row r="22" spans="3:6">
      <c r="C22" s="62" t="s">
        <v>20</v>
      </c>
      <c r="D22" s="11">
        <v>0</v>
      </c>
      <c r="E22" s="4"/>
      <c r="F22" s="91" t="s">
        <v>21</v>
      </c>
    </row>
    <row r="23" spans="3:6" ht="165">
      <c r="C23" s="62" t="s">
        <v>22</v>
      </c>
      <c r="D23" s="11">
        <v>0</v>
      </c>
      <c r="E23" s="4"/>
      <c r="F23" s="20" t="s">
        <v>556</v>
      </c>
    </row>
    <row r="24" spans="3:6" ht="135">
      <c r="C24" s="62" t="s">
        <v>23</v>
      </c>
      <c r="D24" s="1">
        <f>SUM(D19:D23)</f>
        <v>42</v>
      </c>
      <c r="E24" s="4"/>
      <c r="F24" s="20" t="s">
        <v>557</v>
      </c>
    </row>
    <row r="25" spans="3:6" ht="75">
      <c r="F25" s="20" t="s">
        <v>558</v>
      </c>
    </row>
    <row r="26" spans="3:6">
      <c r="F26" s="20"/>
    </row>
    <row r="27" spans="3:6" ht="18.75">
      <c r="C27" s="5" t="s">
        <v>24</v>
      </c>
      <c r="D27" s="8" t="s">
        <v>25</v>
      </c>
      <c r="F27" s="20"/>
    </row>
    <row r="28" spans="3:6">
      <c r="C28" s="3" t="s">
        <v>26</v>
      </c>
      <c r="D28" s="3" t="s">
        <v>27</v>
      </c>
      <c r="E28" s="3"/>
      <c r="F28" s="20"/>
    </row>
    <row r="29" spans="3:6" ht="30">
      <c r="C29" s="62" t="s">
        <v>28</v>
      </c>
      <c r="D29" s="20" t="s">
        <v>559</v>
      </c>
      <c r="E29" s="4"/>
      <c r="F29" s="20"/>
    </row>
    <row r="30" spans="3:6" ht="30">
      <c r="C30" s="62" t="s">
        <v>29</v>
      </c>
      <c r="D30" s="20" t="s">
        <v>560</v>
      </c>
      <c r="E30" s="4"/>
      <c r="F30" s="20"/>
    </row>
    <row r="31" spans="3:6" ht="30">
      <c r="C31" s="62" t="s">
        <v>30</v>
      </c>
      <c r="D31" s="10" t="s">
        <v>561</v>
      </c>
      <c r="E31" s="4"/>
      <c r="F31" s="20"/>
    </row>
    <row r="32" spans="3:6" ht="48" customHeight="1">
      <c r="C32" s="62" t="s">
        <v>31</v>
      </c>
      <c r="D32" s="96" t="s">
        <v>562</v>
      </c>
      <c r="E32" s="4"/>
      <c r="F32" s="20"/>
    </row>
    <row r="33" spans="3:8">
      <c r="C33" s="62" t="s">
        <v>32</v>
      </c>
      <c r="D33" s="10"/>
      <c r="E33" s="4"/>
      <c r="F33" s="20"/>
    </row>
    <row r="36" spans="3:8" ht="18.75">
      <c r="C36" s="5" t="s">
        <v>33</v>
      </c>
    </row>
    <row r="37" spans="3:8">
      <c r="C37" s="3" t="s">
        <v>34</v>
      </c>
      <c r="D37" s="3" t="s">
        <v>35</v>
      </c>
      <c r="E37" s="3" t="s">
        <v>36</v>
      </c>
      <c r="F37" s="3" t="s">
        <v>37</v>
      </c>
      <c r="G37" s="3" t="s">
        <v>38</v>
      </c>
      <c r="H37" s="3" t="s">
        <v>39</v>
      </c>
    </row>
    <row r="38" spans="3:8">
      <c r="C38" s="62" t="s">
        <v>40</v>
      </c>
      <c r="D38" s="10" t="s">
        <v>368</v>
      </c>
      <c r="E38" s="10" t="s">
        <v>563</v>
      </c>
      <c r="F38" s="10" t="s">
        <v>564</v>
      </c>
      <c r="G38" s="12">
        <v>0.5</v>
      </c>
      <c r="H38" s="10">
        <v>6</v>
      </c>
    </row>
    <row r="39" spans="3:8" ht="30">
      <c r="C39" s="62" t="s">
        <v>44</v>
      </c>
      <c r="D39" s="10" t="s">
        <v>565</v>
      </c>
      <c r="E39" s="10"/>
      <c r="F39" s="10" t="s">
        <v>566</v>
      </c>
      <c r="G39" s="12">
        <v>0.5</v>
      </c>
      <c r="H39" s="10" t="s">
        <v>213</v>
      </c>
    </row>
    <row r="40" spans="3:8">
      <c r="C40" s="62" t="s">
        <v>45</v>
      </c>
      <c r="D40" s="13"/>
      <c r="E40" s="13"/>
      <c r="F40" s="20"/>
      <c r="G40" s="13"/>
      <c r="H40" s="13"/>
    </row>
    <row r="41" spans="3:8">
      <c r="C41" s="62" t="s">
        <v>46</v>
      </c>
      <c r="D41" s="13"/>
      <c r="E41" s="13"/>
      <c r="F41" s="20"/>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20" t="s">
        <v>214</v>
      </c>
    </row>
    <row r="47" spans="3:8">
      <c r="C47" s="14" t="s">
        <v>40</v>
      </c>
      <c r="D47" s="13" t="s">
        <v>28</v>
      </c>
      <c r="E47" s="13" t="s">
        <v>57</v>
      </c>
      <c r="F47" s="20" t="s">
        <v>215</v>
      </c>
    </row>
    <row r="48" spans="3:8">
      <c r="C48" s="14" t="s">
        <v>40</v>
      </c>
      <c r="D48" s="13" t="s">
        <v>28</v>
      </c>
      <c r="E48" s="13" t="s">
        <v>57</v>
      </c>
      <c r="F48" s="20" t="s">
        <v>78</v>
      </c>
    </row>
    <row r="49" spans="3:6">
      <c r="C49" s="14" t="s">
        <v>40</v>
      </c>
      <c r="D49" s="13" t="s">
        <v>28</v>
      </c>
      <c r="E49" s="13" t="s">
        <v>57</v>
      </c>
      <c r="F49" s="20" t="s">
        <v>58</v>
      </c>
    </row>
    <row r="50" spans="3:6">
      <c r="C50" s="14" t="s">
        <v>40</v>
      </c>
      <c r="D50" s="13" t="s">
        <v>28</v>
      </c>
      <c r="E50" s="13" t="s">
        <v>53</v>
      </c>
      <c r="F50" s="20" t="s">
        <v>567</v>
      </c>
    </row>
    <row r="51" spans="3:6">
      <c r="C51" s="14" t="s">
        <v>40</v>
      </c>
      <c r="D51" s="13" t="s">
        <v>28</v>
      </c>
      <c r="E51" s="13" t="s">
        <v>55</v>
      </c>
      <c r="F51" s="20" t="s">
        <v>216</v>
      </c>
    </row>
    <row r="52" spans="3:6">
      <c r="C52" s="14" t="s">
        <v>40</v>
      </c>
      <c r="D52" s="13" t="s">
        <v>28</v>
      </c>
      <c r="E52" s="13" t="s">
        <v>102</v>
      </c>
      <c r="F52" s="20" t="s">
        <v>568</v>
      </c>
    </row>
    <row r="53" spans="3:6">
      <c r="C53" s="14" t="s">
        <v>40</v>
      </c>
      <c r="D53" s="13" t="s">
        <v>29</v>
      </c>
      <c r="E53" s="13" t="s">
        <v>50</v>
      </c>
      <c r="F53" s="20" t="s">
        <v>214</v>
      </c>
    </row>
    <row r="54" spans="3:6">
      <c r="C54" s="14" t="s">
        <v>40</v>
      </c>
      <c r="D54" s="13" t="s">
        <v>29</v>
      </c>
      <c r="E54" s="13" t="s">
        <v>53</v>
      </c>
      <c r="F54" s="20" t="s">
        <v>167</v>
      </c>
    </row>
    <row r="55" spans="3:6">
      <c r="C55" s="14" t="s">
        <v>44</v>
      </c>
      <c r="D55" s="13" t="s">
        <v>30</v>
      </c>
      <c r="E55" s="13" t="s">
        <v>53</v>
      </c>
      <c r="F55" s="20" t="s">
        <v>167</v>
      </c>
    </row>
    <row r="56" spans="3:6">
      <c r="C56" s="14" t="s">
        <v>44</v>
      </c>
      <c r="D56" s="13" t="s">
        <v>30</v>
      </c>
      <c r="E56" s="13" t="s">
        <v>55</v>
      </c>
      <c r="F56" s="20" t="s">
        <v>56</v>
      </c>
    </row>
    <row r="57" spans="3:6">
      <c r="C57" s="14" t="s">
        <v>44</v>
      </c>
      <c r="D57" s="13" t="s">
        <v>30</v>
      </c>
      <c r="E57" s="13" t="s">
        <v>168</v>
      </c>
      <c r="F57" s="20" t="s">
        <v>511</v>
      </c>
    </row>
    <row r="58" spans="3:6">
      <c r="C58" s="14" t="s">
        <v>44</v>
      </c>
      <c r="D58" s="97" t="s">
        <v>31</v>
      </c>
      <c r="E58" s="13" t="s">
        <v>53</v>
      </c>
      <c r="F58" s="20" t="s">
        <v>567</v>
      </c>
    </row>
    <row r="59" spans="3:6">
      <c r="C59" s="14" t="s">
        <v>44</v>
      </c>
      <c r="D59" s="97" t="s">
        <v>31</v>
      </c>
      <c r="E59" s="13" t="s">
        <v>315</v>
      </c>
      <c r="F59" s="20" t="s">
        <v>569</v>
      </c>
    </row>
    <row r="60" spans="3:6">
      <c r="C60" s="14" t="s">
        <v>44</v>
      </c>
      <c r="D60" s="97" t="s">
        <v>31</v>
      </c>
      <c r="E60" s="13" t="s">
        <v>315</v>
      </c>
      <c r="F60" s="20" t="s">
        <v>316</v>
      </c>
    </row>
    <row r="61" spans="3:6">
      <c r="C61" s="14"/>
      <c r="D61" s="13"/>
      <c r="E61" s="13"/>
      <c r="F61" s="20"/>
    </row>
    <row r="62" spans="3:6">
      <c r="C62" s="14"/>
      <c r="D62" s="13"/>
      <c r="E62" s="13"/>
      <c r="F62" s="20"/>
    </row>
    <row r="63" spans="3:6">
      <c r="C63" s="14"/>
      <c r="D63" s="13"/>
      <c r="E63" s="13"/>
      <c r="F63" s="20"/>
    </row>
    <row r="64" spans="3:6">
      <c r="C64" s="14"/>
      <c r="D64" s="13"/>
      <c r="E64" s="13"/>
      <c r="F64" s="20"/>
    </row>
    <row r="65" spans="2:6">
      <c r="C65" s="14"/>
      <c r="D65" s="13"/>
      <c r="E65" s="13"/>
      <c r="F65" s="20"/>
    </row>
    <row r="66" spans="2:6">
      <c r="C66" s="14"/>
      <c r="D66" s="13"/>
      <c r="E66" s="13"/>
      <c r="F66" s="20"/>
    </row>
    <row r="69" spans="2:6" ht="18.75">
      <c r="C69" s="5" t="s">
        <v>59</v>
      </c>
    </row>
    <row r="70" spans="2:6">
      <c r="B70" t="s">
        <v>60</v>
      </c>
      <c r="C70" s="1" t="s">
        <v>61</v>
      </c>
      <c r="D70" s="1" t="s">
        <v>62</v>
      </c>
      <c r="E70" s="1" t="s">
        <v>63</v>
      </c>
      <c r="F70" s="1" t="s">
        <v>64</v>
      </c>
    </row>
    <row r="71" spans="2:6">
      <c r="B71" s="63">
        <v>1</v>
      </c>
      <c r="C71" s="64">
        <v>1</v>
      </c>
      <c r="D71" s="10" t="s">
        <v>570</v>
      </c>
      <c r="E71" s="10"/>
      <c r="F71" s="10" t="s">
        <v>18</v>
      </c>
    </row>
    <row r="72" spans="2:6">
      <c r="B72" s="63">
        <v>1</v>
      </c>
      <c r="C72" s="64">
        <v>2</v>
      </c>
      <c r="D72" s="10" t="s">
        <v>571</v>
      </c>
      <c r="E72" s="10" t="s">
        <v>572</v>
      </c>
      <c r="F72" s="10" t="s">
        <v>18</v>
      </c>
    </row>
    <row r="73" spans="2:6">
      <c r="B73" s="63">
        <v>1</v>
      </c>
      <c r="C73" s="64">
        <v>3</v>
      </c>
      <c r="D73" s="10"/>
      <c r="E73" s="10" t="s">
        <v>573</v>
      </c>
      <c r="F73" s="10" t="s">
        <v>574</v>
      </c>
    </row>
    <row r="74" spans="2:6">
      <c r="B74" s="63">
        <v>1</v>
      </c>
      <c r="C74" s="64">
        <v>4</v>
      </c>
      <c r="D74" s="10" t="s">
        <v>575</v>
      </c>
      <c r="E74" s="10" t="s">
        <v>576</v>
      </c>
      <c r="F74" s="10" t="s">
        <v>18</v>
      </c>
    </row>
    <row r="75" spans="2:6">
      <c r="B75" s="63">
        <v>1</v>
      </c>
      <c r="C75" s="64">
        <v>5</v>
      </c>
      <c r="D75" s="10" t="s">
        <v>577</v>
      </c>
      <c r="E75" s="10"/>
      <c r="F75" s="10" t="s">
        <v>18</v>
      </c>
    </row>
    <row r="76" spans="2:6">
      <c r="B76" s="63">
        <v>1</v>
      </c>
      <c r="C76" s="64">
        <v>6</v>
      </c>
      <c r="D76" s="10" t="s">
        <v>578</v>
      </c>
      <c r="E76" s="10"/>
      <c r="F76" s="10" t="s">
        <v>18</v>
      </c>
    </row>
    <row r="77" spans="2:6">
      <c r="B77" s="63">
        <v>1</v>
      </c>
      <c r="C77" s="64">
        <v>7</v>
      </c>
      <c r="D77" s="10" t="s">
        <v>579</v>
      </c>
      <c r="E77" s="10"/>
      <c r="F77" s="10"/>
    </row>
    <row r="78" spans="2:6" ht="30">
      <c r="B78" s="63">
        <v>1</v>
      </c>
      <c r="C78" s="64">
        <v>8</v>
      </c>
      <c r="D78" s="10" t="s">
        <v>580</v>
      </c>
      <c r="E78" s="10" t="s">
        <v>581</v>
      </c>
      <c r="F78" s="10" t="s">
        <v>18</v>
      </c>
    </row>
    <row r="79" spans="2:6">
      <c r="B79" s="63">
        <v>1</v>
      </c>
      <c r="C79" s="64">
        <v>9</v>
      </c>
      <c r="D79" s="10" t="s">
        <v>582</v>
      </c>
      <c r="E79" s="10" t="s">
        <v>583</v>
      </c>
      <c r="F79" s="10" t="s">
        <v>18</v>
      </c>
    </row>
    <row r="80" spans="2:6" ht="30">
      <c r="B80" s="63">
        <v>1</v>
      </c>
      <c r="C80" s="64">
        <v>10</v>
      </c>
      <c r="D80" s="10" t="s">
        <v>584</v>
      </c>
      <c r="E80" s="10" t="s">
        <v>585</v>
      </c>
      <c r="F80" s="10" t="s">
        <v>18</v>
      </c>
    </row>
    <row r="81" spans="2:6" ht="30">
      <c r="B81" s="63">
        <v>1</v>
      </c>
      <c r="C81" s="64">
        <v>11</v>
      </c>
      <c r="D81" s="10" t="s">
        <v>586</v>
      </c>
      <c r="E81" s="10" t="s">
        <v>587</v>
      </c>
      <c r="F81" s="10" t="s">
        <v>18</v>
      </c>
    </row>
    <row r="82" spans="2:6">
      <c r="B82" s="63">
        <v>1</v>
      </c>
      <c r="C82" s="64">
        <v>12</v>
      </c>
      <c r="D82" s="10" t="s">
        <v>588</v>
      </c>
      <c r="E82" s="10" t="s">
        <v>589</v>
      </c>
      <c r="F82" s="10" t="s">
        <v>590</v>
      </c>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phoneticPr fontId="2" type="noConversion"/>
  <dataValidations count="4">
    <dataValidation type="whole" showInputMessage="1" showErrorMessage="1" error="This is not a realistic number of contact hours please reduce" sqref="D20:D23" xr:uid="{FB8A7DFE-7170-44AE-A913-6B0E7E2E34F3}">
      <formula1>0</formula1>
      <formula2>80</formula2>
    </dataValidation>
    <dataValidation type="whole" showInputMessage="1" showErrorMessage="1" error="This is not a realistic number of contact hours please change" sqref="D19" xr:uid="{C9D27B5D-07F6-4E23-A315-71AFAD4C892F}">
      <formula1>0</formula1>
      <formula2>80</formula2>
    </dataValidation>
    <dataValidation type="list" allowBlank="1" showInputMessage="1" showErrorMessage="1" sqref="E38:E41" xr:uid="{A1F2A5AF-6BE1-45E0-9856-B8AF9AA4CEE3}">
      <formula1>INDIRECT("LISTAssess[Assessment Specific]")</formula1>
    </dataValidation>
    <dataValidation type="list" allowBlank="1" showInputMessage="1" showErrorMessage="1" sqref="F46:F66" xr:uid="{0564942D-FA29-4033-B12E-655C92F1D63F}">
      <formula1>INDIRECT(VLOOKUP($E46, SkillNameMap, 2, FALSE))</formula1>
    </dataValidation>
  </dataValidations>
  <pageMargins left="0.7" right="0.7" top="0.75" bottom="0.75" header="0.3" footer="0.3"/>
  <pageSetup paperSize="9" orientation="portrait" horizontalDpi="4294967293" verticalDpi="0" r:id="rId1"/>
  <legacy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1">
        <x14:dataValidation type="list" allowBlank="1" showInputMessage="1" showErrorMessage="1" xr:uid="{BEC9D08E-BE46-4C20-8D35-38B254EB0637}">
          <x14:formula1>
            <xm:f>LISTS!$J$7:$J$16</xm:f>
          </x14:formula1>
          <xm:sqref>E46:E66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E32B-C13E-43E7-B873-E387D17625D7}">
  <sheetPr codeName="Sheet24"/>
  <dimension ref="B2:H94"/>
  <sheetViews>
    <sheetView showGridLines="0" topLeftCell="B1" zoomScale="62" zoomScaleNormal="85" workbookViewId="0">
      <selection activeCell="D12" sqref="D12"/>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6103SPS</v>
      </c>
      <c r="D2" s="9" t="str">
        <f>D8</f>
        <v>Exercise Metabolism</v>
      </c>
    </row>
    <row r="3" spans="2:6">
      <c r="B3" s="1"/>
      <c r="C3" s="1"/>
    </row>
    <row r="4" spans="2:6">
      <c r="B4" s="2"/>
      <c r="C4" s="2"/>
      <c r="E4" s="100" t="s">
        <v>591</v>
      </c>
    </row>
    <row r="5" spans="2:6" ht="18.75">
      <c r="B5" s="2"/>
      <c r="C5" s="5" t="s">
        <v>0</v>
      </c>
    </row>
    <row r="6" spans="2:6">
      <c r="B6" s="2"/>
      <c r="C6" s="3" t="s">
        <v>1</v>
      </c>
      <c r="D6" s="4" t="s">
        <v>2</v>
      </c>
      <c r="E6" s="4"/>
      <c r="F6" t="s">
        <v>3</v>
      </c>
    </row>
    <row r="7" spans="2:6">
      <c r="B7" s="2"/>
      <c r="C7" s="62" t="s">
        <v>4</v>
      </c>
      <c r="D7" s="10" t="s">
        <v>592</v>
      </c>
      <c r="E7" s="4"/>
      <c r="F7" s="13" t="s">
        <v>593</v>
      </c>
    </row>
    <row r="8" spans="2:6">
      <c r="B8" s="2"/>
      <c r="C8" s="62" t="s">
        <v>6</v>
      </c>
      <c r="D8" s="10" t="s">
        <v>594</v>
      </c>
      <c r="E8" s="4"/>
      <c r="F8" s="30"/>
    </row>
    <row r="9" spans="2:6">
      <c r="C9" s="62" t="s">
        <v>7</v>
      </c>
      <c r="D9" s="10">
        <v>20</v>
      </c>
      <c r="E9" s="4"/>
    </row>
    <row r="10" spans="2:6">
      <c r="C10" s="62" t="s">
        <v>8</v>
      </c>
      <c r="D10" s="10">
        <v>1</v>
      </c>
      <c r="E10" s="4"/>
      <c r="F10" t="s">
        <v>9</v>
      </c>
    </row>
    <row r="11" spans="2:6">
      <c r="C11" s="62" t="s">
        <v>10</v>
      </c>
      <c r="D11" s="10">
        <v>6</v>
      </c>
      <c r="E11" s="4"/>
      <c r="F11" s="13" t="s">
        <v>595</v>
      </c>
    </row>
    <row r="12" spans="2:6">
      <c r="C12" s="62" t="s">
        <v>11</v>
      </c>
      <c r="D12" s="10" t="s">
        <v>596</v>
      </c>
      <c r="E12" s="4"/>
      <c r="F12" s="13" t="s">
        <v>597</v>
      </c>
    </row>
    <row r="13" spans="2:6">
      <c r="C13" s="62" t="s">
        <v>12</v>
      </c>
      <c r="D13" s="10" t="s">
        <v>551</v>
      </c>
      <c r="E13" s="4"/>
      <c r="F13" s="13" t="s">
        <v>598</v>
      </c>
    </row>
    <row r="14" spans="2:6">
      <c r="C14" s="62" t="s">
        <v>13</v>
      </c>
      <c r="D14" s="10" t="s">
        <v>86</v>
      </c>
      <c r="E14" s="4"/>
    </row>
    <row r="15" spans="2:6">
      <c r="C15" s="3"/>
      <c r="D15" s="4"/>
      <c r="E15" s="4"/>
      <c r="F15" t="s">
        <v>14</v>
      </c>
    </row>
    <row r="16" spans="2:6">
      <c r="C16" s="3"/>
      <c r="D16" s="4"/>
      <c r="E16" s="4"/>
      <c r="F16" s="13" t="s">
        <v>599</v>
      </c>
    </row>
    <row r="17" spans="3:6" ht="18.75">
      <c r="C17" s="5" t="s">
        <v>15</v>
      </c>
      <c r="D17" s="4"/>
      <c r="E17" s="4"/>
      <c r="F17" s="13"/>
    </row>
    <row r="18" spans="3:6">
      <c r="C18" s="3" t="s">
        <v>16</v>
      </c>
      <c r="D18" s="1" t="s">
        <v>15</v>
      </c>
      <c r="E18" s="4"/>
      <c r="F18" s="13"/>
    </row>
    <row r="19" spans="3:6">
      <c r="C19" s="62" t="s">
        <v>17</v>
      </c>
      <c r="D19" s="11">
        <v>22</v>
      </c>
      <c r="E19" s="4"/>
      <c r="F19" s="13"/>
    </row>
    <row r="20" spans="3:6">
      <c r="C20" s="62" t="s">
        <v>18</v>
      </c>
      <c r="D20" s="11">
        <v>18</v>
      </c>
      <c r="E20" s="4"/>
      <c r="F20" s="13"/>
    </row>
    <row r="21" spans="3:6">
      <c r="C21" s="62" t="s">
        <v>19</v>
      </c>
      <c r="D21" s="11">
        <v>4</v>
      </c>
      <c r="E21" s="4"/>
    </row>
    <row r="22" spans="3:6">
      <c r="C22" s="62" t="s">
        <v>20</v>
      </c>
      <c r="D22" s="11"/>
      <c r="E22" s="4"/>
      <c r="F22" t="s">
        <v>21</v>
      </c>
    </row>
    <row r="23" spans="3:6">
      <c r="C23" s="62" t="s">
        <v>22</v>
      </c>
      <c r="D23" s="11"/>
      <c r="E23" s="4"/>
      <c r="F23" s="13"/>
    </row>
    <row r="24" spans="3:6">
      <c r="C24" s="62" t="s">
        <v>23</v>
      </c>
      <c r="D24" s="1">
        <f>SUM(D19:D23)</f>
        <v>44</v>
      </c>
      <c r="E24" s="4"/>
      <c r="F24" s="13"/>
    </row>
    <row r="25" spans="3:6">
      <c r="F25" s="13"/>
    </row>
    <row r="26" spans="3:6">
      <c r="F26" s="13"/>
    </row>
    <row r="27" spans="3:6" ht="18.75">
      <c r="C27" s="5" t="s">
        <v>24</v>
      </c>
      <c r="D27" s="8" t="s">
        <v>25</v>
      </c>
      <c r="F27" s="13"/>
    </row>
    <row r="28" spans="3:6">
      <c r="C28" s="3" t="s">
        <v>26</v>
      </c>
      <c r="D28" s="3" t="s">
        <v>27</v>
      </c>
      <c r="E28" s="3"/>
      <c r="F28" s="13"/>
    </row>
    <row r="29" spans="3:6" ht="60">
      <c r="C29" s="62" t="s">
        <v>28</v>
      </c>
      <c r="D29" s="81" t="s">
        <v>600</v>
      </c>
      <c r="E29" s="4"/>
      <c r="F29" s="13"/>
    </row>
    <row r="30" spans="3:6" ht="45">
      <c r="C30" s="62" t="s">
        <v>29</v>
      </c>
      <c r="D30" s="10" t="s">
        <v>601</v>
      </c>
      <c r="E30" s="4"/>
      <c r="F30" s="13"/>
    </row>
    <row r="31" spans="3:6" ht="45">
      <c r="C31" s="62" t="s">
        <v>30</v>
      </c>
      <c r="D31" s="10" t="s">
        <v>602</v>
      </c>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45">
      <c r="C38" s="62" t="s">
        <v>40</v>
      </c>
      <c r="D38" s="10" t="s">
        <v>368</v>
      </c>
      <c r="E38" s="13" t="s">
        <v>603</v>
      </c>
      <c r="F38" s="10" t="s">
        <v>604</v>
      </c>
      <c r="G38" s="12">
        <v>0.5</v>
      </c>
      <c r="H38" s="10">
        <v>6</v>
      </c>
    </row>
    <row r="39" spans="3:8">
      <c r="C39" s="62" t="s">
        <v>44</v>
      </c>
      <c r="D39" s="10" t="s">
        <v>163</v>
      </c>
      <c r="E39" s="13"/>
      <c r="F39" s="10" t="s">
        <v>605</v>
      </c>
      <c r="G39" s="12">
        <v>0.5</v>
      </c>
      <c r="H39" s="10">
        <v>12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214</v>
      </c>
    </row>
    <row r="47" spans="3:8">
      <c r="C47" s="14" t="s">
        <v>40</v>
      </c>
      <c r="D47" s="13" t="s">
        <v>28</v>
      </c>
      <c r="E47" s="13" t="s">
        <v>168</v>
      </c>
      <c r="F47" s="13" t="s">
        <v>511</v>
      </c>
    </row>
    <row r="48" spans="3:8">
      <c r="C48" s="14" t="s">
        <v>40</v>
      </c>
      <c r="D48" s="13" t="s">
        <v>30</v>
      </c>
      <c r="E48" s="13" t="s">
        <v>168</v>
      </c>
      <c r="F48" s="13" t="s">
        <v>169</v>
      </c>
    </row>
    <row r="49" spans="3:6">
      <c r="C49" s="14" t="s">
        <v>40</v>
      </c>
      <c r="D49" s="13" t="s">
        <v>30</v>
      </c>
      <c r="E49" s="13" t="s">
        <v>50</v>
      </c>
      <c r="F49" s="13" t="s">
        <v>606</v>
      </c>
    </row>
    <row r="50" spans="3:6">
      <c r="C50" s="14" t="s">
        <v>44</v>
      </c>
      <c r="D50" s="13" t="s">
        <v>28</v>
      </c>
      <c r="E50" s="13" t="s">
        <v>50</v>
      </c>
      <c r="F50" s="13" t="s">
        <v>317</v>
      </c>
    </row>
    <row r="51" spans="3:6">
      <c r="C51" s="14" t="s">
        <v>44</v>
      </c>
      <c r="D51" s="13" t="s">
        <v>29</v>
      </c>
      <c r="E51" s="13" t="s">
        <v>168</v>
      </c>
      <c r="F51" s="13" t="s">
        <v>607</v>
      </c>
    </row>
    <row r="52" spans="3:6">
      <c r="C52" s="14" t="s">
        <v>44</v>
      </c>
      <c r="D52" s="13" t="s">
        <v>30</v>
      </c>
      <c r="E52" s="13" t="s">
        <v>50</v>
      </c>
      <c r="F52" s="13" t="s">
        <v>52</v>
      </c>
    </row>
    <row r="53" spans="3:6">
      <c r="C53" s="14" t="s">
        <v>45</v>
      </c>
      <c r="D53" s="13"/>
      <c r="E53" s="13"/>
      <c r="F53" s="13"/>
    </row>
    <row r="54" spans="3:6">
      <c r="C54" s="14" t="s">
        <v>45</v>
      </c>
      <c r="D54" s="13"/>
      <c r="E54" s="13"/>
      <c r="F54" s="13"/>
    </row>
    <row r="55" spans="3:6">
      <c r="C55" s="14" t="s">
        <v>46</v>
      </c>
      <c r="D55" s="13"/>
      <c r="E55" s="13"/>
      <c r="F55" s="13"/>
    </row>
    <row r="56" spans="3:6">
      <c r="C56" s="14" t="s">
        <v>46</v>
      </c>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ht="30">
      <c r="B71" s="63">
        <v>1</v>
      </c>
      <c r="C71" s="64">
        <v>1</v>
      </c>
      <c r="D71" s="10" t="s">
        <v>608</v>
      </c>
      <c r="E71" s="10"/>
      <c r="F71" s="10"/>
    </row>
    <row r="72" spans="2:6" ht="30">
      <c r="B72" s="63">
        <v>1</v>
      </c>
      <c r="C72" s="64">
        <v>2</v>
      </c>
      <c r="D72" s="10" t="s">
        <v>609</v>
      </c>
      <c r="E72" s="10" t="s">
        <v>610</v>
      </c>
      <c r="F72" s="10" t="s">
        <v>611</v>
      </c>
    </row>
    <row r="73" spans="2:6">
      <c r="B73" s="63">
        <v>1</v>
      </c>
      <c r="C73" s="64">
        <v>3</v>
      </c>
      <c r="D73" s="10" t="s">
        <v>612</v>
      </c>
      <c r="E73" s="10" t="s">
        <v>613</v>
      </c>
      <c r="F73" s="10" t="s">
        <v>611</v>
      </c>
    </row>
    <row r="74" spans="2:6">
      <c r="B74" s="63">
        <v>1</v>
      </c>
      <c r="C74" s="64">
        <v>4</v>
      </c>
      <c r="D74" s="10" t="s">
        <v>614</v>
      </c>
      <c r="E74" s="10" t="s">
        <v>615</v>
      </c>
      <c r="F74" s="10" t="s">
        <v>611</v>
      </c>
    </row>
    <row r="75" spans="2:6">
      <c r="B75" s="63">
        <v>1</v>
      </c>
      <c r="C75" s="64">
        <v>5</v>
      </c>
      <c r="D75" s="10" t="s">
        <v>616</v>
      </c>
      <c r="E75" s="10" t="s">
        <v>617</v>
      </c>
      <c r="F75" s="10" t="s">
        <v>618</v>
      </c>
    </row>
    <row r="76" spans="2:6">
      <c r="B76" s="63">
        <v>1</v>
      </c>
      <c r="C76" s="64">
        <v>6</v>
      </c>
      <c r="D76" s="10" t="s">
        <v>619</v>
      </c>
      <c r="E76" s="10" t="s">
        <v>620</v>
      </c>
      <c r="F76" s="10" t="s">
        <v>618</v>
      </c>
    </row>
    <row r="77" spans="2:6">
      <c r="B77" s="63">
        <v>1</v>
      </c>
      <c r="C77" s="64">
        <v>7</v>
      </c>
      <c r="D77" s="10"/>
      <c r="E77" s="10"/>
      <c r="F77" s="10"/>
    </row>
    <row r="78" spans="2:6">
      <c r="B78" s="63">
        <v>1</v>
      </c>
      <c r="C78" s="64">
        <v>8</v>
      </c>
      <c r="D78" s="10" t="s">
        <v>621</v>
      </c>
      <c r="E78" s="10" t="s">
        <v>622</v>
      </c>
      <c r="F78" s="10" t="s">
        <v>618</v>
      </c>
    </row>
    <row r="79" spans="2:6">
      <c r="B79" s="63">
        <v>1</v>
      </c>
      <c r="C79" s="64">
        <v>9</v>
      </c>
      <c r="D79" s="10" t="s">
        <v>623</v>
      </c>
      <c r="E79" s="10" t="s">
        <v>624</v>
      </c>
      <c r="F79" s="10" t="s">
        <v>618</v>
      </c>
    </row>
    <row r="80" spans="2:6">
      <c r="B80" s="63">
        <v>1</v>
      </c>
      <c r="C80" s="64">
        <v>10</v>
      </c>
      <c r="D80" s="10" t="s">
        <v>625</v>
      </c>
      <c r="E80" s="10" t="s">
        <v>626</v>
      </c>
      <c r="F80" s="10" t="s">
        <v>627</v>
      </c>
    </row>
    <row r="81" spans="2:6" ht="30">
      <c r="B81" s="63">
        <v>1</v>
      </c>
      <c r="C81" s="64">
        <v>11</v>
      </c>
      <c r="D81" s="10" t="s">
        <v>628</v>
      </c>
      <c r="E81" s="10" t="s">
        <v>629</v>
      </c>
      <c r="F81" s="10" t="s">
        <v>627</v>
      </c>
    </row>
    <row r="82" spans="2:6">
      <c r="B82" s="63">
        <v>1</v>
      </c>
      <c r="C82" s="64">
        <v>12</v>
      </c>
      <c r="D82" s="10" t="s">
        <v>630</v>
      </c>
      <c r="E82" s="10" t="s">
        <v>631</v>
      </c>
      <c r="F82" s="10" t="s">
        <v>632</v>
      </c>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3486FC8B-8A92-4E2B-B905-1BA3EF0508BE}">
      <formula1>0</formula1>
      <formula2>80</formula2>
    </dataValidation>
    <dataValidation type="whole" showInputMessage="1" showErrorMessage="1" error="This is not a realistic number of contact hours please change" sqref="D19" xr:uid="{BA94A3D8-CF5C-4BF1-9B00-15AD136B2A41}">
      <formula1>0</formula1>
      <formula2>80</formula2>
    </dataValidation>
    <dataValidation type="list" allowBlank="1" showInputMessage="1" showErrorMessage="1" sqref="F46:F66" xr:uid="{3C579B9B-EFA1-4369-AAE0-F4DE0D5D3082}">
      <formula1>INDIRECT(VLOOKUP($E46, SkillNameMap, 2, FALSE))</formula1>
    </dataValidation>
    <dataValidation type="list" allowBlank="1" showInputMessage="1" showErrorMessage="1" sqref="E41 E39" xr:uid="{F70CFF68-430D-4C69-8888-63611FF54652}">
      <formula1>INDIRECT("LISTAssess[Assessment Specific]")</formula1>
    </dataValidation>
  </dataValidations>
  <pageMargins left="0.7" right="0.7" top="0.75" bottom="0.75" header="0.3" footer="0.3"/>
  <pageSetup paperSize="9" orientation="portrait" horizontalDpi="4294967293" verticalDpi="0" r:id="rId1"/>
  <legacy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7">
        <x14:dataValidation type="list" allowBlank="1" showInputMessage="1" showErrorMessage="1" xr:uid="{AA28AD4F-9AC0-4331-AD9A-D2D6A4C1AF0C}">
          <x14:formula1>
            <xm:f>LISTS!$C$26:$C$37</xm:f>
          </x14:formula1>
          <xm:sqref>D14</xm:sqref>
        </x14:dataValidation>
        <x14:dataValidation type="list" allowBlank="1" showInputMessage="1" showErrorMessage="1" xr:uid="{214D7BA0-B7B9-443D-8174-C52E0B5FDCEF}">
          <x14:formula1>
            <xm:f>LISTS!$C$17:$C$22</xm:f>
          </x14:formula1>
          <xm:sqref>D13</xm:sqref>
        </x14:dataValidation>
        <x14:dataValidation type="list" allowBlank="1" showInputMessage="1" showErrorMessage="1" xr:uid="{AB8D69B5-AB75-4417-8B79-E014DDC7098A}">
          <x14:formula1>
            <xm:f>LISTS!$C$7:$C$9</xm:f>
          </x14:formula1>
          <xm:sqref>D10</xm:sqref>
        </x14:dataValidation>
        <x14:dataValidation type="list" allowBlank="1" showInputMessage="1" showErrorMessage="1" xr:uid="{F1CC1A27-0155-4269-A192-ADEC80B557D1}">
          <x14:formula1>
            <xm:f>LISTS!$C$11:$C$15</xm:f>
          </x14:formula1>
          <xm:sqref>D11</xm:sqref>
        </x14:dataValidation>
        <x14:dataValidation type="list" allowBlank="1" showInputMessage="1" showErrorMessage="1" xr:uid="{90529BE8-F495-439A-A20F-7AECE27D394E}">
          <x14:formula1>
            <xm:f>LISTS!$G$7:$G$11</xm:f>
          </x14:formula1>
          <xm:sqref>D38:D42</xm:sqref>
        </x14:dataValidation>
        <x14:dataValidation type="list" allowBlank="1" showInputMessage="1" showErrorMessage="1" xr:uid="{523B183E-E1B3-4729-8DDB-BC7550523583}">
          <x14:formula1>
            <xm:f>LISTS!$E$7:$E$11</xm:f>
          </x14:formula1>
          <xm:sqref>D46:D66</xm:sqref>
        </x14:dataValidation>
        <x14:dataValidation type="list" allowBlank="1" showInputMessage="1" showErrorMessage="1" xr:uid="{D8A55508-8652-4F73-9662-266E699057AC}">
          <x14:formula1>
            <xm:f>LISTS!$J$7:$J$16</xm:f>
          </x14:formula1>
          <xm:sqref>E46:E66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88F2-57F5-49DF-8E52-0E95DE3CFAC4}">
  <sheetPr codeName="Sheet15"/>
  <dimension ref="B2:H94"/>
  <sheetViews>
    <sheetView showGridLines="0" topLeftCell="C1" zoomScaleNormal="100" workbookViewId="0">
      <selection activeCell="E38" sqref="E38"/>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6102SPS</v>
      </c>
      <c r="D2" s="9" t="str">
        <f>D8</f>
        <v>Physical activity and sedentary behaviour across the life course</v>
      </c>
    </row>
    <row r="3" spans="2:6">
      <c r="B3" s="1"/>
      <c r="C3" s="1"/>
    </row>
    <row r="4" spans="2:6">
      <c r="B4" s="2"/>
      <c r="C4" s="2"/>
    </row>
    <row r="5" spans="2:6" ht="18.75">
      <c r="B5" s="2"/>
      <c r="C5" s="5" t="s">
        <v>0</v>
      </c>
    </row>
    <row r="6" spans="2:6">
      <c r="B6" s="2"/>
      <c r="C6" s="3" t="s">
        <v>1</v>
      </c>
      <c r="D6" s="4" t="s">
        <v>2</v>
      </c>
      <c r="E6" s="4"/>
      <c r="F6" t="s">
        <v>3</v>
      </c>
    </row>
    <row r="7" spans="2:6">
      <c r="B7" s="2"/>
      <c r="C7" s="62" t="s">
        <v>4</v>
      </c>
      <c r="D7" s="10" t="s">
        <v>633</v>
      </c>
      <c r="E7" s="4"/>
      <c r="F7" s="13"/>
    </row>
    <row r="8" spans="2:6" ht="90">
      <c r="B8" s="2"/>
      <c r="C8" s="62" t="s">
        <v>6</v>
      </c>
      <c r="D8" s="10" t="s">
        <v>634</v>
      </c>
      <c r="E8" s="4"/>
      <c r="F8" s="30" t="s">
        <v>635</v>
      </c>
    </row>
    <row r="9" spans="2:6">
      <c r="C9" s="62" t="s">
        <v>7</v>
      </c>
      <c r="D9" s="10">
        <v>20</v>
      </c>
      <c r="E9" s="4"/>
    </row>
    <row r="10" spans="2:6">
      <c r="C10" s="62" t="s">
        <v>8</v>
      </c>
      <c r="D10" s="10">
        <v>1</v>
      </c>
      <c r="E10" s="4"/>
      <c r="F10" t="s">
        <v>9</v>
      </c>
    </row>
    <row r="11" spans="2:6">
      <c r="C11" s="62" t="s">
        <v>10</v>
      </c>
      <c r="D11" s="10">
        <v>6</v>
      </c>
      <c r="E11" s="4"/>
      <c r="F11" s="13" t="s">
        <v>636</v>
      </c>
    </row>
    <row r="12" spans="2:6">
      <c r="C12" s="62" t="s">
        <v>11</v>
      </c>
      <c r="D12" s="10" t="s">
        <v>637</v>
      </c>
      <c r="E12" s="4"/>
      <c r="F12" s="13" t="s">
        <v>638</v>
      </c>
    </row>
    <row r="13" spans="2:6">
      <c r="C13" s="62" t="s">
        <v>12</v>
      </c>
      <c r="D13" s="10" t="s">
        <v>551</v>
      </c>
      <c r="E13" s="4"/>
      <c r="F13" s="13"/>
    </row>
    <row r="14" spans="2:6">
      <c r="C14" s="62" t="s">
        <v>13</v>
      </c>
      <c r="D14" s="10" t="s">
        <v>86</v>
      </c>
      <c r="E14" s="4"/>
    </row>
    <row r="15" spans="2:6">
      <c r="C15" s="3"/>
      <c r="D15" s="4"/>
      <c r="E15" s="4"/>
      <c r="F15" t="s">
        <v>14</v>
      </c>
    </row>
    <row r="16" spans="2:6">
      <c r="C16" s="3"/>
      <c r="D16" s="4"/>
      <c r="E16" s="4"/>
      <c r="F16" s="13" t="s">
        <v>639</v>
      </c>
    </row>
    <row r="17" spans="3:6" ht="18.75">
      <c r="C17" s="5" t="s">
        <v>15</v>
      </c>
      <c r="D17" s="4"/>
      <c r="E17" s="4"/>
      <c r="F17" s="13" t="s">
        <v>640</v>
      </c>
    </row>
    <row r="18" spans="3:6">
      <c r="C18" s="3" t="s">
        <v>16</v>
      </c>
      <c r="D18" s="1" t="s">
        <v>15</v>
      </c>
      <c r="E18" s="4"/>
      <c r="F18" s="13"/>
    </row>
    <row r="19" spans="3:6">
      <c r="C19" s="62" t="s">
        <v>17</v>
      </c>
      <c r="D19" s="11">
        <v>20</v>
      </c>
      <c r="E19" s="4"/>
      <c r="F19" s="13"/>
    </row>
    <row r="20" spans="3:6">
      <c r="C20" s="62" t="s">
        <v>18</v>
      </c>
      <c r="D20" s="11">
        <v>20</v>
      </c>
      <c r="E20" s="4"/>
      <c r="F20" s="13"/>
    </row>
    <row r="21" spans="3:6">
      <c r="C21" s="62" t="s">
        <v>19</v>
      </c>
      <c r="D21" s="11">
        <v>4</v>
      </c>
      <c r="E21" s="4"/>
    </row>
    <row r="22" spans="3:6">
      <c r="C22" s="62" t="s">
        <v>20</v>
      </c>
      <c r="D22" s="11"/>
      <c r="E22" s="4"/>
      <c r="F22" t="s">
        <v>21</v>
      </c>
    </row>
    <row r="23" spans="3:6" ht="75">
      <c r="C23" s="62" t="s">
        <v>22</v>
      </c>
      <c r="D23" s="11">
        <v>11</v>
      </c>
      <c r="E23" s="4"/>
      <c r="F23" s="20" t="s">
        <v>641</v>
      </c>
    </row>
    <row r="24" spans="3:6" ht="75">
      <c r="C24" s="62" t="s">
        <v>23</v>
      </c>
      <c r="D24" s="1">
        <f>SUM(D19:D23)</f>
        <v>55</v>
      </c>
      <c r="E24" s="4"/>
      <c r="F24" s="20" t="s">
        <v>642</v>
      </c>
    </row>
    <row r="25" spans="3:6" ht="45">
      <c r="F25" s="20" t="s">
        <v>643</v>
      </c>
    </row>
    <row r="26" spans="3:6">
      <c r="F26" s="20"/>
    </row>
    <row r="27" spans="3:6" ht="30">
      <c r="C27" s="5" t="s">
        <v>24</v>
      </c>
      <c r="D27" s="8" t="s">
        <v>25</v>
      </c>
      <c r="F27" s="20" t="s">
        <v>644</v>
      </c>
    </row>
    <row r="28" spans="3:6">
      <c r="C28" s="3" t="s">
        <v>26</v>
      </c>
      <c r="D28" s="3" t="s">
        <v>27</v>
      </c>
      <c r="E28" s="3"/>
      <c r="F28" s="20" t="s">
        <v>645</v>
      </c>
    </row>
    <row r="29" spans="3:6" ht="30">
      <c r="C29" s="62" t="s">
        <v>28</v>
      </c>
      <c r="D29" s="29" t="s">
        <v>646</v>
      </c>
      <c r="E29" s="4"/>
      <c r="F29" s="20" t="s">
        <v>647</v>
      </c>
    </row>
    <row r="30" spans="3:6" ht="45">
      <c r="C30" s="62" t="s">
        <v>29</v>
      </c>
      <c r="D30" s="10" t="s">
        <v>648</v>
      </c>
      <c r="E30" s="4"/>
      <c r="F30" s="20" t="s">
        <v>649</v>
      </c>
    </row>
    <row r="31" spans="3:6" ht="60">
      <c r="C31" s="62" t="s">
        <v>30</v>
      </c>
      <c r="D31" s="10" t="s">
        <v>650</v>
      </c>
      <c r="E31" s="4"/>
      <c r="F31" s="20" t="s">
        <v>651</v>
      </c>
    </row>
    <row r="32" spans="3:6" ht="45">
      <c r="C32" s="62" t="s">
        <v>31</v>
      </c>
      <c r="D32" s="10" t="s">
        <v>652</v>
      </c>
      <c r="E32" s="4"/>
      <c r="F32" s="20" t="s">
        <v>653</v>
      </c>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45">
      <c r="C38" s="62" t="s">
        <v>40</v>
      </c>
      <c r="D38" s="10" t="s">
        <v>97</v>
      </c>
      <c r="E38" s="10" t="s">
        <v>369</v>
      </c>
      <c r="F38" s="10" t="s">
        <v>654</v>
      </c>
      <c r="G38" s="12">
        <v>0.5</v>
      </c>
      <c r="H38" s="10">
        <v>7</v>
      </c>
    </row>
    <row r="39" spans="3:8" ht="30">
      <c r="C39" s="62" t="s">
        <v>44</v>
      </c>
      <c r="D39" s="10" t="s">
        <v>41</v>
      </c>
      <c r="E39" s="10" t="s">
        <v>95</v>
      </c>
      <c r="F39" s="10" t="s">
        <v>655</v>
      </c>
      <c r="G39" s="12">
        <v>0.5</v>
      </c>
      <c r="H39" s="10">
        <v>12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317</v>
      </c>
    </row>
    <row r="47" spans="3:8">
      <c r="C47" s="14" t="s">
        <v>40</v>
      </c>
      <c r="D47" s="13" t="s">
        <v>29</v>
      </c>
      <c r="E47" s="13" t="s">
        <v>168</v>
      </c>
      <c r="F47" s="13" t="s">
        <v>511</v>
      </c>
    </row>
    <row r="48" spans="3:8">
      <c r="C48" s="14" t="s">
        <v>40</v>
      </c>
      <c r="D48" s="13" t="s">
        <v>31</v>
      </c>
      <c r="E48" s="13" t="s">
        <v>50</v>
      </c>
      <c r="F48" s="13" t="s">
        <v>317</v>
      </c>
    </row>
    <row r="49" spans="3:6">
      <c r="C49" s="14" t="s">
        <v>44</v>
      </c>
      <c r="D49" s="13" t="s">
        <v>29</v>
      </c>
      <c r="E49" s="13" t="s">
        <v>168</v>
      </c>
      <c r="F49" s="13" t="s">
        <v>511</v>
      </c>
    </row>
    <row r="50" spans="3:6">
      <c r="C50" s="14" t="s">
        <v>44</v>
      </c>
      <c r="D50" s="13" t="s">
        <v>30</v>
      </c>
      <c r="E50" s="13" t="s">
        <v>50</v>
      </c>
      <c r="F50" s="13" t="s">
        <v>606</v>
      </c>
    </row>
    <row r="51" spans="3:6">
      <c r="C51" s="14" t="s">
        <v>44</v>
      </c>
      <c r="D51" s="13"/>
      <c r="E51" s="13"/>
      <c r="F51" s="13"/>
    </row>
    <row r="52" spans="3:6">
      <c r="C52" s="14" t="s">
        <v>45</v>
      </c>
      <c r="D52" s="13"/>
      <c r="E52" s="13"/>
      <c r="F52" s="13"/>
    </row>
    <row r="53" spans="3:6">
      <c r="C53" s="14" t="s">
        <v>45</v>
      </c>
      <c r="D53" s="13"/>
      <c r="E53" s="13"/>
      <c r="F53" s="13"/>
    </row>
    <row r="54" spans="3:6">
      <c r="C54" s="14" t="s">
        <v>45</v>
      </c>
      <c r="D54" s="13"/>
      <c r="E54" s="13"/>
      <c r="F54" s="13"/>
    </row>
    <row r="55" spans="3:6">
      <c r="C55" s="14" t="s">
        <v>46</v>
      </c>
      <c r="D55" s="13"/>
      <c r="E55" s="13"/>
      <c r="F55" s="13"/>
    </row>
    <row r="56" spans="3:6">
      <c r="C56" s="14" t="s">
        <v>46</v>
      </c>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ht="30">
      <c r="B71" s="63">
        <v>1</v>
      </c>
      <c r="C71" s="64">
        <v>1</v>
      </c>
      <c r="D71" s="10" t="s">
        <v>656</v>
      </c>
      <c r="E71" s="10" t="s">
        <v>657</v>
      </c>
      <c r="F71" s="10" t="s">
        <v>658</v>
      </c>
    </row>
    <row r="72" spans="2:6">
      <c r="B72" s="63">
        <v>1</v>
      </c>
      <c r="C72" s="64">
        <v>2</v>
      </c>
      <c r="D72" s="10" t="s">
        <v>659</v>
      </c>
      <c r="E72" s="10" t="s">
        <v>660</v>
      </c>
      <c r="F72" s="10" t="s">
        <v>661</v>
      </c>
    </row>
    <row r="73" spans="2:6" ht="30">
      <c r="B73" s="63">
        <v>1</v>
      </c>
      <c r="C73" s="64">
        <v>3</v>
      </c>
      <c r="D73" s="10" t="s">
        <v>662</v>
      </c>
      <c r="E73" s="10" t="s">
        <v>663</v>
      </c>
      <c r="F73" s="10" t="s">
        <v>664</v>
      </c>
    </row>
    <row r="74" spans="2:6">
      <c r="B74" s="63">
        <v>1</v>
      </c>
      <c r="C74" s="64">
        <v>4</v>
      </c>
      <c r="D74" s="10" t="s">
        <v>665</v>
      </c>
      <c r="E74" s="10" t="s">
        <v>666</v>
      </c>
      <c r="F74" s="10" t="s">
        <v>667</v>
      </c>
    </row>
    <row r="75" spans="2:6">
      <c r="B75" s="63">
        <v>1</v>
      </c>
      <c r="C75" s="64">
        <v>5</v>
      </c>
      <c r="D75" s="10" t="s">
        <v>668</v>
      </c>
      <c r="E75" s="10" t="s">
        <v>669</v>
      </c>
      <c r="F75" s="10" t="s">
        <v>670</v>
      </c>
    </row>
    <row r="76" spans="2:6">
      <c r="B76" s="63">
        <v>1</v>
      </c>
      <c r="C76" s="64">
        <v>6</v>
      </c>
      <c r="D76" s="10" t="s">
        <v>671</v>
      </c>
      <c r="E76" s="10" t="s">
        <v>672</v>
      </c>
      <c r="F76" s="10" t="s">
        <v>673</v>
      </c>
    </row>
    <row r="77" spans="2:6">
      <c r="B77" s="63">
        <v>1</v>
      </c>
      <c r="C77" s="64">
        <v>7</v>
      </c>
      <c r="D77" s="10" t="s">
        <v>281</v>
      </c>
      <c r="E77" s="10" t="s">
        <v>674</v>
      </c>
      <c r="F77" s="10"/>
    </row>
    <row r="78" spans="2:6" ht="30">
      <c r="B78" s="63">
        <v>1</v>
      </c>
      <c r="C78" s="64">
        <v>8</v>
      </c>
      <c r="D78" s="10" t="s">
        <v>675</v>
      </c>
      <c r="E78" s="10" t="s">
        <v>676</v>
      </c>
      <c r="F78" s="10" t="s">
        <v>677</v>
      </c>
    </row>
    <row r="79" spans="2:6" ht="30">
      <c r="B79" s="63">
        <v>1</v>
      </c>
      <c r="C79" s="64">
        <v>9</v>
      </c>
      <c r="D79" s="10" t="s">
        <v>678</v>
      </c>
      <c r="E79" s="10" t="s">
        <v>679</v>
      </c>
      <c r="F79" s="10" t="s">
        <v>680</v>
      </c>
    </row>
    <row r="80" spans="2:6">
      <c r="B80" s="63">
        <v>1</v>
      </c>
      <c r="C80" s="64">
        <v>10</v>
      </c>
      <c r="D80" s="10" t="s">
        <v>681</v>
      </c>
      <c r="E80" s="10" t="s">
        <v>682</v>
      </c>
      <c r="F80" s="10" t="s">
        <v>683</v>
      </c>
    </row>
    <row r="81" spans="2:6">
      <c r="B81" s="63">
        <v>1</v>
      </c>
      <c r="C81" s="64">
        <v>11</v>
      </c>
      <c r="D81" s="10" t="s">
        <v>684</v>
      </c>
      <c r="E81" s="10" t="s">
        <v>685</v>
      </c>
      <c r="F81" s="10" t="s">
        <v>686</v>
      </c>
    </row>
    <row r="82" spans="2:6">
      <c r="B82" s="63">
        <v>1</v>
      </c>
      <c r="C82" s="64">
        <v>12</v>
      </c>
      <c r="D82" s="10" t="s">
        <v>687</v>
      </c>
      <c r="E82" s="10" t="s">
        <v>688</v>
      </c>
      <c r="F82" s="10"/>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list" allowBlank="1" showInputMessage="1" showErrorMessage="1" sqref="F46:F66" xr:uid="{FBDDC197-4A14-47FE-ADCC-676A78692ED8}">
      <formula1>INDIRECT(VLOOKUP($E46, SkillNameMap, 2, FALSE))</formula1>
    </dataValidation>
    <dataValidation type="list" allowBlank="1" showInputMessage="1" showErrorMessage="1" sqref="E38:E41" xr:uid="{68DC1710-8FBD-4C96-BEFB-29EEA2B38DF9}">
      <formula1>INDIRECT("LISTAssess[Assessment Specific]")</formula1>
    </dataValidation>
    <dataValidation type="whole" showInputMessage="1" showErrorMessage="1" error="This is not a realistic number of contact hours please change" sqref="D19" xr:uid="{FF705AB8-F0B5-4944-B4DB-BA562CE03F41}">
      <formula1>0</formula1>
      <formula2>80</formula2>
    </dataValidation>
    <dataValidation type="whole" showInputMessage="1" showErrorMessage="1" error="This is not a realistic number of contact hours please reduce" sqref="D20:D23" xr:uid="{B3470EF4-EDE1-4AA2-BF4E-C5217F91B39A}">
      <formula1>0</formula1>
      <formula2>80</formula2>
    </dataValidation>
  </dataValidations>
  <pageMargins left="0.7" right="0.7" top="0.75" bottom="0.75" header="0.3" footer="0.3"/>
  <pageSetup paperSize="9" orientation="portrait" horizontalDpi="4294967293" verticalDpi="0" r:id="rId1"/>
  <legacy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count="7">
        <x14:dataValidation type="list" allowBlank="1" showInputMessage="1" showErrorMessage="1" xr:uid="{F82EBEA9-5922-4C07-934E-470BFDA49DA7}">
          <x14:formula1>
            <xm:f>LISTS!$J$7:$J$16</xm:f>
          </x14:formula1>
          <xm:sqref>E46:E66</xm:sqref>
        </x14:dataValidation>
        <x14:dataValidation type="list" allowBlank="1" showInputMessage="1" showErrorMessage="1" xr:uid="{14DAA443-23DD-4C34-A97A-3ECF7C0E8C55}">
          <x14:formula1>
            <xm:f>LISTS!$E$7:$E$11</xm:f>
          </x14:formula1>
          <xm:sqref>D46:D66</xm:sqref>
        </x14:dataValidation>
        <x14:dataValidation type="list" allowBlank="1" showInputMessage="1" showErrorMessage="1" xr:uid="{32C1AEC8-992B-4A37-AC70-FCFCDCEAE5AF}">
          <x14:formula1>
            <xm:f>LISTS!$G$7:$G$11</xm:f>
          </x14:formula1>
          <xm:sqref>D38:D42</xm:sqref>
        </x14:dataValidation>
        <x14:dataValidation type="list" allowBlank="1" showInputMessage="1" showErrorMessage="1" xr:uid="{079859AC-8D6D-42CE-8DCE-FB75C2DF13B7}">
          <x14:formula1>
            <xm:f>LISTS!$C$11:$C$15</xm:f>
          </x14:formula1>
          <xm:sqref>D11</xm:sqref>
        </x14:dataValidation>
        <x14:dataValidation type="list" allowBlank="1" showInputMessage="1" showErrorMessage="1" xr:uid="{95BE0675-0791-40D0-9E9D-AB48C0DB89D4}">
          <x14:formula1>
            <xm:f>LISTS!$C$7:$C$9</xm:f>
          </x14:formula1>
          <xm:sqref>D10</xm:sqref>
        </x14:dataValidation>
        <x14:dataValidation type="list" allowBlank="1" showInputMessage="1" showErrorMessage="1" xr:uid="{6B48D045-2AC6-4AB5-8461-E9008DA71EAB}">
          <x14:formula1>
            <xm:f>LISTS!$C$17:$C$22</xm:f>
          </x14:formula1>
          <xm:sqref>D13</xm:sqref>
        </x14:dataValidation>
        <x14:dataValidation type="list" allowBlank="1" showInputMessage="1" showErrorMessage="1" xr:uid="{A9720BD0-513F-4B9A-9AB4-400D7A5FAEF6}">
          <x14:formula1>
            <xm:f>LISTS!$C$26:$C$37</xm:f>
          </x14:formula1>
          <xm:sqref>D14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A408C-EE1F-4BE4-988C-DF001F53BEA1}">
  <sheetPr codeName="Sheet16"/>
  <dimension ref="B2:H94"/>
  <sheetViews>
    <sheetView showGridLines="0" topLeftCell="B1" zoomScale="85" zoomScaleNormal="85" workbookViewId="0">
      <selection activeCell="D12" sqref="D12"/>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6104SPS</v>
      </c>
      <c r="D2" s="9" t="str">
        <f>D8</f>
        <v>Cardiovascular Physiology</v>
      </c>
      <c r="E2" s="100" t="s">
        <v>689</v>
      </c>
    </row>
    <row r="3" spans="2:6" ht="15.75">
      <c r="B3" s="1"/>
      <c r="C3" s="1"/>
      <c r="E3" s="101" t="s">
        <v>690</v>
      </c>
    </row>
    <row r="4" spans="2:6" ht="15.75">
      <c r="B4" s="2"/>
      <c r="C4" s="2"/>
      <c r="E4" s="101" t="s">
        <v>691</v>
      </c>
    </row>
    <row r="5" spans="2:6" ht="18.75">
      <c r="B5" s="2"/>
      <c r="C5" s="5" t="s">
        <v>0</v>
      </c>
      <c r="E5" s="100" t="s">
        <v>142</v>
      </c>
    </row>
    <row r="6" spans="2:6">
      <c r="B6" s="2"/>
      <c r="C6" s="3" t="s">
        <v>1</v>
      </c>
      <c r="D6" s="4" t="s">
        <v>2</v>
      </c>
      <c r="E6" s="4"/>
      <c r="F6" t="s">
        <v>3</v>
      </c>
    </row>
    <row r="7" spans="2:6">
      <c r="B7" s="2"/>
      <c r="C7" s="62" t="s">
        <v>4</v>
      </c>
      <c r="D7" s="10" t="s">
        <v>692</v>
      </c>
      <c r="E7" s="4"/>
      <c r="F7" s="13" t="s">
        <v>693</v>
      </c>
    </row>
    <row r="8" spans="2:6">
      <c r="B8" s="2"/>
      <c r="C8" s="62" t="s">
        <v>6</v>
      </c>
      <c r="D8" s="10" t="s">
        <v>694</v>
      </c>
      <c r="E8" s="4"/>
      <c r="F8" s="13"/>
    </row>
    <row r="9" spans="2:6">
      <c r="C9" s="62" t="s">
        <v>7</v>
      </c>
      <c r="D9" s="10">
        <v>20</v>
      </c>
      <c r="E9" s="4"/>
    </row>
    <row r="10" spans="2:6">
      <c r="C10" s="62" t="s">
        <v>8</v>
      </c>
      <c r="D10" s="10">
        <v>1</v>
      </c>
      <c r="E10" s="4"/>
      <c r="F10" t="s">
        <v>9</v>
      </c>
    </row>
    <row r="11" spans="2:6">
      <c r="C11" s="62" t="s">
        <v>10</v>
      </c>
      <c r="D11" s="10">
        <v>6</v>
      </c>
      <c r="E11" s="4"/>
      <c r="F11" s="13" t="s">
        <v>695</v>
      </c>
    </row>
    <row r="12" spans="2:6">
      <c r="C12" s="62" t="s">
        <v>11</v>
      </c>
      <c r="D12" s="10" t="s">
        <v>696</v>
      </c>
      <c r="E12" s="4"/>
      <c r="F12" s="13" t="s">
        <v>697</v>
      </c>
    </row>
    <row r="13" spans="2:6">
      <c r="C13" s="62" t="s">
        <v>12</v>
      </c>
      <c r="D13" s="10" t="s">
        <v>551</v>
      </c>
      <c r="E13" s="4"/>
      <c r="F13" s="13" t="s">
        <v>698</v>
      </c>
    </row>
    <row r="14" spans="2:6">
      <c r="C14" s="62" t="s">
        <v>13</v>
      </c>
      <c r="D14" s="10" t="s">
        <v>86</v>
      </c>
      <c r="E14" s="4"/>
    </row>
    <row r="15" spans="2:6">
      <c r="C15" s="3"/>
      <c r="D15" s="4"/>
      <c r="E15" s="4"/>
      <c r="F15" t="s">
        <v>14</v>
      </c>
    </row>
    <row r="16" spans="2:6">
      <c r="C16" s="3"/>
      <c r="D16" s="4"/>
      <c r="E16" s="4"/>
      <c r="F16" s="13" t="s">
        <v>699</v>
      </c>
    </row>
    <row r="17" spans="3:6" ht="18.75">
      <c r="C17" s="5" t="s">
        <v>15</v>
      </c>
      <c r="D17" s="4"/>
      <c r="E17" s="4"/>
      <c r="F17" s="13" t="s">
        <v>700</v>
      </c>
    </row>
    <row r="18" spans="3:6">
      <c r="C18" s="3" t="s">
        <v>16</v>
      </c>
      <c r="D18" s="1" t="s">
        <v>15</v>
      </c>
      <c r="E18" s="4"/>
      <c r="F18" s="13"/>
    </row>
    <row r="19" spans="3:6">
      <c r="C19" s="62" t="s">
        <v>17</v>
      </c>
      <c r="D19" s="11">
        <v>20</v>
      </c>
      <c r="E19" s="4"/>
      <c r="F19" s="13"/>
    </row>
    <row r="20" spans="3:6">
      <c r="C20" s="62" t="s">
        <v>18</v>
      </c>
      <c r="D20" s="11">
        <v>4</v>
      </c>
      <c r="E20" s="4"/>
      <c r="F20" s="13"/>
    </row>
    <row r="21" spans="3:6">
      <c r="C21" s="62" t="s">
        <v>19</v>
      </c>
      <c r="D21" s="11">
        <v>16</v>
      </c>
      <c r="E21" s="4"/>
    </row>
    <row r="22" spans="3:6">
      <c r="C22" s="62" t="s">
        <v>20</v>
      </c>
      <c r="D22" s="11"/>
      <c r="E22" s="4"/>
      <c r="F22" t="s">
        <v>21</v>
      </c>
    </row>
    <row r="23" spans="3:6">
      <c r="C23" s="62" t="s">
        <v>22</v>
      </c>
      <c r="D23" s="11"/>
      <c r="E23" s="4"/>
      <c r="F23" s="13"/>
    </row>
    <row r="24" spans="3:6">
      <c r="C24" s="62" t="s">
        <v>23</v>
      </c>
      <c r="D24" s="1">
        <f>SUM(D19:D23)</f>
        <v>40</v>
      </c>
      <c r="E24" s="4"/>
      <c r="F24" s="13"/>
    </row>
    <row r="25" spans="3:6">
      <c r="F25" s="13"/>
    </row>
    <row r="26" spans="3:6">
      <c r="F26" s="13"/>
    </row>
    <row r="27" spans="3:6" ht="18.75">
      <c r="C27" s="5" t="s">
        <v>24</v>
      </c>
      <c r="D27" s="8" t="s">
        <v>25</v>
      </c>
      <c r="F27" s="13"/>
    </row>
    <row r="28" spans="3:6">
      <c r="C28" s="3" t="s">
        <v>26</v>
      </c>
      <c r="D28" s="3" t="s">
        <v>27</v>
      </c>
      <c r="E28" s="3"/>
      <c r="F28" s="13"/>
    </row>
    <row r="29" spans="3:6" ht="45">
      <c r="C29" s="62" t="s">
        <v>28</v>
      </c>
      <c r="D29" s="10" t="s">
        <v>701</v>
      </c>
      <c r="E29" s="4"/>
      <c r="F29" s="13"/>
    </row>
    <row r="30" spans="3:6" ht="30">
      <c r="C30" s="62" t="s">
        <v>29</v>
      </c>
      <c r="D30" s="10" t="s">
        <v>702</v>
      </c>
      <c r="E30" s="4"/>
      <c r="F30" s="13"/>
    </row>
    <row r="31" spans="3:6" ht="45">
      <c r="C31" s="62" t="s">
        <v>30</v>
      </c>
      <c r="D31" s="10" t="s">
        <v>703</v>
      </c>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c r="C38" s="62" t="s">
        <v>40</v>
      </c>
      <c r="D38" s="10" t="s">
        <v>41</v>
      </c>
      <c r="E38" s="10" t="s">
        <v>95</v>
      </c>
      <c r="F38" s="10" t="s">
        <v>704</v>
      </c>
      <c r="G38" s="12">
        <v>0.5</v>
      </c>
      <c r="H38" s="10">
        <v>8</v>
      </c>
    </row>
    <row r="39" spans="3:8">
      <c r="C39" s="62" t="s">
        <v>44</v>
      </c>
      <c r="D39" s="10" t="s">
        <v>163</v>
      </c>
      <c r="E39" s="10" t="s">
        <v>211</v>
      </c>
      <c r="F39" s="10" t="s">
        <v>705</v>
      </c>
      <c r="G39" s="12">
        <v>0.5</v>
      </c>
      <c r="H39" s="10">
        <v>18</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ht="15.75">
      <c r="C46" s="25" t="s">
        <v>40</v>
      </c>
      <c r="D46" s="25" t="s">
        <v>28</v>
      </c>
      <c r="E46" s="25" t="s">
        <v>57</v>
      </c>
      <c r="F46" s="25" t="s">
        <v>706</v>
      </c>
    </row>
    <row r="47" spans="3:8" ht="15.75">
      <c r="C47" s="25" t="s">
        <v>40</v>
      </c>
      <c r="D47" s="25" t="s">
        <v>28</v>
      </c>
      <c r="E47" s="25" t="s">
        <v>55</v>
      </c>
      <c r="F47" s="25" t="s">
        <v>56</v>
      </c>
    </row>
    <row r="48" spans="3:8" ht="15.75">
      <c r="C48" s="25" t="s">
        <v>40</v>
      </c>
      <c r="D48" s="25" t="s">
        <v>29</v>
      </c>
      <c r="E48" s="25" t="s">
        <v>50</v>
      </c>
      <c r="F48" s="25" t="s">
        <v>606</v>
      </c>
    </row>
    <row r="49" spans="3:6" ht="15.75">
      <c r="C49" s="25" t="s">
        <v>40</v>
      </c>
      <c r="D49" s="25" t="s">
        <v>29</v>
      </c>
      <c r="E49" s="25" t="s">
        <v>50</v>
      </c>
      <c r="F49" s="25" t="s">
        <v>214</v>
      </c>
    </row>
    <row r="50" spans="3:6" ht="15.75">
      <c r="C50" s="25" t="s">
        <v>40</v>
      </c>
      <c r="D50" s="25" t="s">
        <v>30</v>
      </c>
      <c r="E50" s="25" t="s">
        <v>50</v>
      </c>
      <c r="F50" s="25" t="s">
        <v>317</v>
      </c>
    </row>
    <row r="51" spans="3:6" ht="15.75">
      <c r="C51" s="25" t="s">
        <v>40</v>
      </c>
      <c r="D51" s="25" t="s">
        <v>30</v>
      </c>
      <c r="E51" s="25" t="s">
        <v>50</v>
      </c>
      <c r="F51" s="25" t="s">
        <v>606</v>
      </c>
    </row>
    <row r="52" spans="3:6" ht="15.75">
      <c r="C52" s="25" t="s">
        <v>44</v>
      </c>
      <c r="D52" s="25" t="s">
        <v>28</v>
      </c>
      <c r="E52" s="25" t="s">
        <v>50</v>
      </c>
      <c r="F52" s="25" t="s">
        <v>509</v>
      </c>
    </row>
    <row r="53" spans="3:6" ht="15.75">
      <c r="C53" s="25" t="s">
        <v>44</v>
      </c>
      <c r="D53" s="25" t="s">
        <v>28</v>
      </c>
      <c r="E53" s="25" t="s">
        <v>50</v>
      </c>
      <c r="F53" s="25" t="s">
        <v>52</v>
      </c>
    </row>
    <row r="54" spans="3:6" ht="15.75">
      <c r="C54" s="25" t="s">
        <v>44</v>
      </c>
      <c r="D54" s="25" t="s">
        <v>29</v>
      </c>
      <c r="E54" s="25" t="s">
        <v>50</v>
      </c>
      <c r="F54" s="25" t="s">
        <v>214</v>
      </c>
    </row>
    <row r="55" spans="3:6" ht="15.75">
      <c r="C55" s="25" t="s">
        <v>44</v>
      </c>
      <c r="D55" s="25" t="s">
        <v>30</v>
      </c>
      <c r="E55" s="25" t="s">
        <v>50</v>
      </c>
      <c r="F55" s="25" t="s">
        <v>317</v>
      </c>
    </row>
    <row r="56" spans="3:6" ht="15.75">
      <c r="C56" s="25" t="s">
        <v>44</v>
      </c>
      <c r="D56" s="25" t="s">
        <v>30</v>
      </c>
      <c r="E56" s="25" t="s">
        <v>50</v>
      </c>
      <c r="F56" s="25" t="s">
        <v>606</v>
      </c>
    </row>
    <row r="57" spans="3:6" ht="15.75">
      <c r="C57" s="25" t="s">
        <v>40</v>
      </c>
      <c r="D57" s="25" t="s">
        <v>29</v>
      </c>
      <c r="E57" s="25" t="s">
        <v>168</v>
      </c>
      <c r="F57" s="25" t="s">
        <v>397</v>
      </c>
    </row>
    <row r="58" spans="3:6" ht="15.75">
      <c r="C58" s="25" t="s">
        <v>40</v>
      </c>
      <c r="D58" s="25" t="s">
        <v>29</v>
      </c>
      <c r="E58" s="25" t="s">
        <v>433</v>
      </c>
      <c r="F58" s="25" t="s">
        <v>707</v>
      </c>
    </row>
    <row r="59" spans="3:6" ht="15.75">
      <c r="C59" s="25" t="s">
        <v>40</v>
      </c>
      <c r="D59" s="25" t="s">
        <v>29</v>
      </c>
      <c r="E59" s="25" t="s">
        <v>433</v>
      </c>
      <c r="F59" s="25" t="s">
        <v>434</v>
      </c>
    </row>
    <row r="60" spans="3:6" ht="15.75">
      <c r="C60" s="25"/>
      <c r="D60" s="25"/>
      <c r="E60" s="25"/>
      <c r="F60" s="25"/>
    </row>
    <row r="61" spans="3:6" ht="15.75">
      <c r="C61" s="25"/>
      <c r="D61" s="25"/>
      <c r="E61" s="25"/>
      <c r="F61" s="25"/>
    </row>
    <row r="62" spans="3:6" ht="15.75">
      <c r="C62" s="25"/>
      <c r="D62" s="25"/>
      <c r="E62" s="25"/>
      <c r="F62" s="25"/>
    </row>
    <row r="63" spans="3:6" ht="15.75">
      <c r="C63" s="25"/>
      <c r="D63" s="25"/>
      <c r="E63" s="25"/>
      <c r="F63" s="25"/>
    </row>
    <row r="64" spans="3:6" ht="15.75">
      <c r="C64" s="25"/>
      <c r="D64" s="25"/>
      <c r="E64" s="25"/>
      <c r="F64" s="25"/>
    </row>
    <row r="65" spans="2:6" ht="15.75">
      <c r="C65" s="25"/>
      <c r="D65" s="25"/>
      <c r="E65" s="25"/>
      <c r="F65" s="25"/>
    </row>
    <row r="66" spans="2:6" ht="15.75">
      <c r="C66" s="25"/>
      <c r="D66" s="25"/>
      <c r="E66" s="25"/>
      <c r="F66" s="25"/>
    </row>
    <row r="69" spans="2:6" ht="18.75">
      <c r="C69" s="5" t="s">
        <v>59</v>
      </c>
    </row>
    <row r="70" spans="2:6">
      <c r="B70" t="s">
        <v>60</v>
      </c>
      <c r="C70" s="1" t="s">
        <v>61</v>
      </c>
      <c r="D70" s="1" t="s">
        <v>62</v>
      </c>
      <c r="E70" s="1" t="s">
        <v>63</v>
      </c>
      <c r="F70" s="1" t="s">
        <v>64</v>
      </c>
    </row>
    <row r="71" spans="2:6" ht="15.75">
      <c r="B71" s="63">
        <v>1</v>
      </c>
      <c r="C71" s="64">
        <v>1</v>
      </c>
      <c r="D71" s="25" t="s">
        <v>708</v>
      </c>
      <c r="E71" s="25" t="s">
        <v>709</v>
      </c>
      <c r="F71" s="10"/>
    </row>
    <row r="72" spans="2:6" ht="15.75">
      <c r="B72" s="63">
        <v>1</v>
      </c>
      <c r="C72" s="64">
        <v>2</v>
      </c>
      <c r="D72" s="25" t="s">
        <v>710</v>
      </c>
      <c r="E72" s="25" t="s">
        <v>709</v>
      </c>
      <c r="F72" s="10"/>
    </row>
    <row r="73" spans="2:6" ht="15.75">
      <c r="B73" s="63">
        <v>1</v>
      </c>
      <c r="C73" s="64">
        <v>3</v>
      </c>
      <c r="D73" s="25" t="s">
        <v>711</v>
      </c>
      <c r="E73" s="25" t="s">
        <v>712</v>
      </c>
      <c r="F73" s="10"/>
    </row>
    <row r="74" spans="2:6" ht="15.75">
      <c r="B74" s="63">
        <v>1</v>
      </c>
      <c r="C74" s="64">
        <v>4</v>
      </c>
      <c r="D74" s="25" t="s">
        <v>713</v>
      </c>
      <c r="E74" s="25" t="s">
        <v>714</v>
      </c>
      <c r="F74" s="10"/>
    </row>
    <row r="75" spans="2:6" ht="15.75">
      <c r="B75" s="63">
        <v>1</v>
      </c>
      <c r="C75" s="64">
        <v>5</v>
      </c>
      <c r="D75" s="25" t="s">
        <v>715</v>
      </c>
      <c r="E75" s="25" t="s">
        <v>716</v>
      </c>
      <c r="F75" s="10"/>
    </row>
    <row r="76" spans="2:6" ht="15.75">
      <c r="B76" s="63">
        <v>1</v>
      </c>
      <c r="C76" s="64">
        <v>6</v>
      </c>
      <c r="D76" s="25" t="s">
        <v>717</v>
      </c>
      <c r="E76" s="25" t="s">
        <v>718</v>
      </c>
      <c r="F76" s="10"/>
    </row>
    <row r="77" spans="2:6" ht="15.75">
      <c r="B77" s="63">
        <v>1</v>
      </c>
      <c r="C77" s="64">
        <v>7</v>
      </c>
      <c r="D77" s="25" t="s">
        <v>719</v>
      </c>
      <c r="E77" s="30"/>
      <c r="F77" s="10"/>
    </row>
    <row r="78" spans="2:6" ht="15.75">
      <c r="B78" s="63">
        <v>1</v>
      </c>
      <c r="C78" s="64">
        <v>8</v>
      </c>
      <c r="D78" s="25" t="s">
        <v>720</v>
      </c>
      <c r="E78" s="30"/>
      <c r="F78" s="10"/>
    </row>
    <row r="79" spans="2:6" ht="15.75">
      <c r="B79" s="63">
        <v>1</v>
      </c>
      <c r="C79" s="64">
        <v>9</v>
      </c>
      <c r="D79" s="25" t="s">
        <v>721</v>
      </c>
      <c r="E79" s="25" t="s">
        <v>722</v>
      </c>
      <c r="F79" s="10"/>
    </row>
    <row r="80" spans="2:6" ht="15.75">
      <c r="B80" s="63">
        <v>1</v>
      </c>
      <c r="C80" s="64">
        <v>10</v>
      </c>
      <c r="D80" s="25" t="s">
        <v>723</v>
      </c>
      <c r="E80" s="25" t="s">
        <v>724</v>
      </c>
      <c r="F80" s="10"/>
    </row>
    <row r="81" spans="2:6" ht="15.75">
      <c r="B81" s="63">
        <v>1</v>
      </c>
      <c r="C81" s="64">
        <v>11</v>
      </c>
      <c r="D81" s="25" t="s">
        <v>725</v>
      </c>
      <c r="E81" s="25" t="s">
        <v>726</v>
      </c>
      <c r="F81" s="10"/>
    </row>
    <row r="82" spans="2:6" ht="15.75">
      <c r="B82" s="63">
        <v>1</v>
      </c>
      <c r="C82" s="64">
        <v>12</v>
      </c>
      <c r="D82" s="25" t="s">
        <v>727</v>
      </c>
      <c r="E82" s="25" t="s">
        <v>728</v>
      </c>
      <c r="F82" s="10"/>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228872C6-6A06-4732-B8A1-E6B94CB81102}">
      <formula1>0</formula1>
      <formula2>80</formula2>
    </dataValidation>
    <dataValidation type="whole" showInputMessage="1" showErrorMessage="1" error="This is not a realistic number of contact hours please change" sqref="D19" xr:uid="{F79CE569-989B-479F-8826-338510A79154}">
      <formula1>0</formula1>
      <formula2>80</formula2>
    </dataValidation>
    <dataValidation type="list" allowBlank="1" showInputMessage="1" showErrorMessage="1" sqref="E38:E41" xr:uid="{6E90B7E5-5035-4F89-B270-578FA2975164}">
      <formula1>INDIRECT("LISTAssess[Assessment Specific]")</formula1>
    </dataValidation>
    <dataValidation type="list" allowBlank="1" showInputMessage="1" showErrorMessage="1" sqref="F46:F66" xr:uid="{1FA19C05-E919-4562-B380-BC052F5A91A0}">
      <formula1>INDIRECT(VLOOKUP($E46,SkillNameMap,2,FALSE))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6">
        <x14:dataValidation type="list" allowBlank="1" showInputMessage="1" showErrorMessage="1" xr:uid="{261BA6EE-88F7-427A-BCD6-8C9348F9245C}">
          <x14:formula1>
            <xm:f>LISTS!$C$26:$C$37</xm:f>
          </x14:formula1>
          <xm:sqref>D14</xm:sqref>
        </x14:dataValidation>
        <x14:dataValidation type="list" allowBlank="1" showInputMessage="1" showErrorMessage="1" xr:uid="{BE38852D-057D-456A-8583-51979A3F9408}">
          <x14:formula1>
            <xm:f>LISTS!$C$17:$C$22</xm:f>
          </x14:formula1>
          <xm:sqref>D13</xm:sqref>
        </x14:dataValidation>
        <x14:dataValidation type="list" allowBlank="1" showInputMessage="1" showErrorMessage="1" xr:uid="{09331423-59E2-4171-9695-7BE4C02AFE53}">
          <x14:formula1>
            <xm:f>LISTS!$C$7:$C$9</xm:f>
          </x14:formula1>
          <xm:sqref>D10</xm:sqref>
        </x14:dataValidation>
        <x14:dataValidation type="list" allowBlank="1" showInputMessage="1" showErrorMessage="1" xr:uid="{2507034E-37B5-446A-AFCD-F99DE72488BA}">
          <x14:formula1>
            <xm:f>LISTS!$C$11:$C$15</xm:f>
          </x14:formula1>
          <xm:sqref>D11</xm:sqref>
        </x14:dataValidation>
        <x14:dataValidation type="list" allowBlank="1" showInputMessage="1" showErrorMessage="1" xr:uid="{A7BB251E-C289-4AFE-837E-75E3985C6AC4}">
          <x14:formula1>
            <xm:f>LISTS!$G$7:$G$11</xm:f>
          </x14:formula1>
          <xm:sqref>D38:D42</xm:sqref>
        </x14:dataValidation>
        <x14:dataValidation type="list" allowBlank="1" showInputMessage="1" showErrorMessage="1" xr:uid="{73C80C1B-BC69-4CE3-8E83-F99E93027D67}">
          <x14:formula1>
            <xm:f>LISTS!$J$7:$J$16</xm:f>
          </x14:formula1>
          <xm:sqref>E46:E66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D139-4EE0-4CD6-B60A-E51D5ED74DE8}">
  <sheetPr codeName="Sheet17"/>
  <dimension ref="B2:H104"/>
  <sheetViews>
    <sheetView showGridLines="0" zoomScale="80" zoomScaleNormal="80" workbookViewId="0">
      <selection activeCell="E11" sqref="E11"/>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6105SPS</v>
      </c>
      <c r="D2" s="9" t="str">
        <f>D8</f>
        <v>Clinical Biomechanics of Gait and Injury</v>
      </c>
    </row>
    <row r="3" spans="2:6">
      <c r="B3" s="1"/>
      <c r="C3" s="1"/>
    </row>
    <row r="4" spans="2:6">
      <c r="B4" s="2"/>
      <c r="C4" s="2"/>
    </row>
    <row r="5" spans="2:6" ht="18.75">
      <c r="B5" s="2"/>
      <c r="C5" s="5" t="s">
        <v>0</v>
      </c>
    </row>
    <row r="6" spans="2:6">
      <c r="B6" s="2"/>
      <c r="C6" s="3" t="s">
        <v>1</v>
      </c>
      <c r="D6" s="4" t="s">
        <v>2</v>
      </c>
      <c r="E6" s="4"/>
      <c r="F6" t="s">
        <v>3</v>
      </c>
    </row>
    <row r="7" spans="2:6" ht="60">
      <c r="B7" s="2"/>
      <c r="C7" s="62" t="s">
        <v>4</v>
      </c>
      <c r="D7" s="10" t="s">
        <v>729</v>
      </c>
      <c r="E7" s="4"/>
      <c r="F7" s="20" t="s">
        <v>730</v>
      </c>
    </row>
    <row r="8" spans="2:6">
      <c r="B8" s="2"/>
      <c r="C8" s="62" t="s">
        <v>6</v>
      </c>
      <c r="D8" s="10" t="s">
        <v>731</v>
      </c>
      <c r="E8" s="4"/>
      <c r="F8" s="20"/>
    </row>
    <row r="9" spans="2:6">
      <c r="C9" s="62" t="s">
        <v>7</v>
      </c>
      <c r="D9" s="10">
        <v>20</v>
      </c>
      <c r="E9" s="4"/>
      <c r="F9" s="91"/>
    </row>
    <row r="10" spans="2:6">
      <c r="C10" s="62" t="s">
        <v>8</v>
      </c>
      <c r="D10" s="10">
        <v>2</v>
      </c>
      <c r="E10" s="4"/>
      <c r="F10" s="91" t="s">
        <v>9</v>
      </c>
    </row>
    <row r="11" spans="2:6" ht="90">
      <c r="C11" s="62" t="s">
        <v>10</v>
      </c>
      <c r="D11" s="10">
        <v>6</v>
      </c>
      <c r="E11" s="4"/>
      <c r="F11" s="20" t="s">
        <v>732</v>
      </c>
    </row>
    <row r="12" spans="2:6">
      <c r="C12" s="62" t="s">
        <v>11</v>
      </c>
      <c r="D12" s="10" t="s">
        <v>733</v>
      </c>
      <c r="E12" s="4"/>
      <c r="F12" s="20"/>
    </row>
    <row r="13" spans="2:6">
      <c r="C13" s="62" t="s">
        <v>12</v>
      </c>
      <c r="D13" s="10" t="s">
        <v>551</v>
      </c>
      <c r="E13" s="4"/>
      <c r="F13" s="20"/>
    </row>
    <row r="14" spans="2:6">
      <c r="C14" s="62" t="s">
        <v>13</v>
      </c>
      <c r="D14" s="10" t="s">
        <v>86</v>
      </c>
      <c r="E14" s="4"/>
      <c r="F14" s="91"/>
    </row>
    <row r="15" spans="2:6">
      <c r="C15" s="3"/>
      <c r="D15" s="4"/>
      <c r="E15" s="4"/>
      <c r="F15" s="91" t="s">
        <v>14</v>
      </c>
    </row>
    <row r="16" spans="2:6" ht="180">
      <c r="C16" s="3"/>
      <c r="D16" s="4"/>
      <c r="E16" s="4"/>
      <c r="F16" s="20" t="s">
        <v>734</v>
      </c>
    </row>
    <row r="17" spans="3:6" ht="135.75">
      <c r="C17" s="82" t="s">
        <v>15</v>
      </c>
      <c r="D17" s="4"/>
      <c r="E17" s="4"/>
      <c r="F17" s="20" t="s">
        <v>735</v>
      </c>
    </row>
    <row r="18" spans="3:6" ht="105">
      <c r="C18" s="3" t="s">
        <v>16</v>
      </c>
      <c r="D18" s="1" t="s">
        <v>15</v>
      </c>
      <c r="E18" s="4"/>
      <c r="F18" s="20" t="s">
        <v>736</v>
      </c>
    </row>
    <row r="19" spans="3:6" ht="150">
      <c r="C19" s="62" t="s">
        <v>17</v>
      </c>
      <c r="D19" s="99">
        <v>22</v>
      </c>
      <c r="E19" s="4"/>
      <c r="F19" s="20" t="s">
        <v>737</v>
      </c>
    </row>
    <row r="20" spans="3:6">
      <c r="C20" s="62" t="s">
        <v>18</v>
      </c>
      <c r="D20" s="99">
        <v>11</v>
      </c>
      <c r="E20" s="4"/>
      <c r="F20" s="13"/>
    </row>
    <row r="21" spans="3:6">
      <c r="C21" s="62" t="s">
        <v>19</v>
      </c>
      <c r="D21" s="99">
        <v>6</v>
      </c>
      <c r="E21" s="4"/>
    </row>
    <row r="22" spans="3:6">
      <c r="C22" s="62" t="s">
        <v>20</v>
      </c>
      <c r="D22" s="99">
        <v>10</v>
      </c>
      <c r="E22" s="4"/>
      <c r="F22" t="s">
        <v>21</v>
      </c>
    </row>
    <row r="23" spans="3:6" ht="45">
      <c r="C23" s="62" t="s">
        <v>22</v>
      </c>
      <c r="D23" s="99">
        <v>0</v>
      </c>
      <c r="E23" s="4"/>
      <c r="F23" s="20" t="s">
        <v>738</v>
      </c>
    </row>
    <row r="24" spans="3:6" ht="45">
      <c r="C24" s="62" t="s">
        <v>23</v>
      </c>
      <c r="D24" s="98">
        <f>SUM(D19:D23)</f>
        <v>49</v>
      </c>
      <c r="E24" s="4"/>
      <c r="F24" s="20" t="s">
        <v>739</v>
      </c>
    </row>
    <row r="25" spans="3:6" ht="165">
      <c r="F25" s="20" t="s">
        <v>740</v>
      </c>
    </row>
    <row r="26" spans="3:6" ht="135">
      <c r="F26" s="20" t="s">
        <v>741</v>
      </c>
    </row>
    <row r="27" spans="3:6" ht="409.6">
      <c r="C27" s="82" t="s">
        <v>24</v>
      </c>
      <c r="D27" s="8" t="s">
        <v>25</v>
      </c>
      <c r="F27" s="20" t="s">
        <v>742</v>
      </c>
    </row>
    <row r="28" spans="3:6">
      <c r="C28" s="3" t="s">
        <v>26</v>
      </c>
      <c r="D28" s="3" t="s">
        <v>27</v>
      </c>
      <c r="E28" s="3"/>
      <c r="F28" s="20"/>
    </row>
    <row r="29" spans="3:6" ht="30">
      <c r="C29" s="62" t="s">
        <v>28</v>
      </c>
      <c r="D29" s="10" t="s">
        <v>743</v>
      </c>
      <c r="E29" s="4"/>
      <c r="F29" s="20"/>
    </row>
    <row r="30" spans="3:6" ht="45">
      <c r="C30" s="62" t="s">
        <v>29</v>
      </c>
      <c r="D30" s="10" t="s">
        <v>744</v>
      </c>
      <c r="E30" s="4"/>
      <c r="F30" s="13"/>
    </row>
    <row r="31" spans="3:6">
      <c r="C31" s="62"/>
      <c r="D31" s="10"/>
      <c r="E31" s="4"/>
      <c r="F31" s="13"/>
    </row>
    <row r="32" spans="3:6">
      <c r="C32" s="62"/>
      <c r="D32" s="10"/>
      <c r="E32" s="4"/>
      <c r="F32" s="13"/>
    </row>
    <row r="33" spans="3:8">
      <c r="C33" s="62"/>
      <c r="D33" s="10"/>
      <c r="E33" s="4"/>
      <c r="F33" s="13"/>
    </row>
    <row r="36" spans="3:8" ht="18.75">
      <c r="C36" s="5" t="s">
        <v>33</v>
      </c>
    </row>
    <row r="37" spans="3:8">
      <c r="C37" s="3" t="s">
        <v>34</v>
      </c>
      <c r="D37" s="3" t="s">
        <v>35</v>
      </c>
      <c r="E37" s="3" t="s">
        <v>36</v>
      </c>
      <c r="F37" s="3" t="s">
        <v>37</v>
      </c>
      <c r="G37" s="3" t="s">
        <v>38</v>
      </c>
      <c r="H37" s="3" t="s">
        <v>39</v>
      </c>
    </row>
    <row r="38" spans="3:8">
      <c r="C38" s="62" t="s">
        <v>40</v>
      </c>
      <c r="D38" s="10" t="s">
        <v>368</v>
      </c>
      <c r="E38" s="10" t="s">
        <v>563</v>
      </c>
      <c r="F38" s="10" t="s">
        <v>745</v>
      </c>
      <c r="G38" s="12">
        <v>0.5</v>
      </c>
      <c r="H38" s="10">
        <v>7</v>
      </c>
    </row>
    <row r="39" spans="3:8">
      <c r="C39" s="62" t="s">
        <v>44</v>
      </c>
      <c r="D39" s="10" t="s">
        <v>41</v>
      </c>
      <c r="E39" s="10"/>
      <c r="F39" s="10" t="s">
        <v>746</v>
      </c>
      <c r="G39" s="12">
        <v>0.5</v>
      </c>
      <c r="H39" s="10">
        <v>15</v>
      </c>
    </row>
    <row r="40" spans="3:8">
      <c r="C40" s="62"/>
      <c r="D40" s="10"/>
      <c r="E40" s="10"/>
      <c r="F40" s="13"/>
      <c r="G40" s="10"/>
      <c r="H40" s="10"/>
    </row>
    <row r="41" spans="3:8">
      <c r="C41" s="62"/>
      <c r="D41" s="10"/>
      <c r="E41" s="10"/>
      <c r="F41" s="10"/>
      <c r="G41" s="10"/>
      <c r="H41" s="10"/>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214</v>
      </c>
    </row>
    <row r="47" spans="3:8">
      <c r="C47" s="14" t="s">
        <v>40</v>
      </c>
      <c r="D47" s="13" t="s">
        <v>28</v>
      </c>
      <c r="E47" s="13" t="s">
        <v>57</v>
      </c>
      <c r="F47" s="13" t="s">
        <v>78</v>
      </c>
    </row>
    <row r="48" spans="3:8">
      <c r="C48" s="14" t="s">
        <v>40</v>
      </c>
      <c r="D48" s="13" t="s">
        <v>28</v>
      </c>
      <c r="E48" s="13" t="s">
        <v>53</v>
      </c>
      <c r="F48" s="13" t="s">
        <v>217</v>
      </c>
    </row>
    <row r="49" spans="3:6">
      <c r="C49" s="14" t="s">
        <v>40</v>
      </c>
      <c r="D49" s="13" t="s">
        <v>28</v>
      </c>
      <c r="E49" s="13" t="s">
        <v>168</v>
      </c>
      <c r="F49" s="13" t="s">
        <v>272</v>
      </c>
    </row>
    <row r="50" spans="3:6">
      <c r="C50" s="14" t="s">
        <v>40</v>
      </c>
      <c r="D50" s="13" t="s">
        <v>28</v>
      </c>
      <c r="E50" s="13" t="s">
        <v>55</v>
      </c>
      <c r="F50" s="13" t="s">
        <v>372</v>
      </c>
    </row>
    <row r="51" spans="3:6">
      <c r="C51" s="14" t="s">
        <v>44</v>
      </c>
      <c r="D51" s="13" t="s">
        <v>29</v>
      </c>
      <c r="E51" s="13" t="s">
        <v>50</v>
      </c>
      <c r="F51" s="13" t="s">
        <v>509</v>
      </c>
    </row>
    <row r="52" spans="3:6">
      <c r="C52" s="14" t="s">
        <v>44</v>
      </c>
      <c r="D52" s="13" t="s">
        <v>29</v>
      </c>
      <c r="E52" s="13" t="s">
        <v>50</v>
      </c>
      <c r="F52" s="13" t="s">
        <v>317</v>
      </c>
    </row>
    <row r="53" spans="3:6">
      <c r="C53" s="14" t="s">
        <v>44</v>
      </c>
      <c r="D53" s="13" t="s">
        <v>29</v>
      </c>
      <c r="E53" s="13" t="s">
        <v>57</v>
      </c>
      <c r="F53" s="13" t="s">
        <v>58</v>
      </c>
    </row>
    <row r="54" spans="3:6">
      <c r="C54" s="14" t="s">
        <v>44</v>
      </c>
      <c r="D54" s="13" t="s">
        <v>29</v>
      </c>
      <c r="E54" s="13" t="s">
        <v>53</v>
      </c>
      <c r="F54" s="13" t="s">
        <v>54</v>
      </c>
    </row>
    <row r="55" spans="3:6">
      <c r="C55" s="14" t="s">
        <v>44</v>
      </c>
      <c r="D55" s="13" t="s">
        <v>29</v>
      </c>
      <c r="E55" s="13" t="s">
        <v>55</v>
      </c>
      <c r="F55" s="13" t="s">
        <v>56</v>
      </c>
    </row>
    <row r="56" spans="3:6">
      <c r="C56" s="14" t="s">
        <v>44</v>
      </c>
      <c r="D56" s="13" t="s">
        <v>29</v>
      </c>
      <c r="E56" s="13" t="s">
        <v>315</v>
      </c>
      <c r="F56" s="13" t="s">
        <v>569</v>
      </c>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7" spans="2:6">
      <c r="C67" s="14"/>
      <c r="D67" s="13"/>
      <c r="E67" s="13"/>
      <c r="F67" s="13"/>
    </row>
    <row r="68" spans="2:6">
      <c r="C68" s="14"/>
      <c r="D68" s="13"/>
      <c r="E68" s="13"/>
      <c r="F68" s="13"/>
    </row>
    <row r="69" spans="2:6">
      <c r="C69" s="14"/>
      <c r="D69" s="13"/>
      <c r="E69" s="13"/>
      <c r="F69" s="13"/>
    </row>
    <row r="70" spans="2:6">
      <c r="C70" s="14"/>
      <c r="D70" s="13"/>
      <c r="E70" s="13"/>
      <c r="F70" s="13"/>
    </row>
    <row r="71" spans="2:6">
      <c r="C71" s="14"/>
      <c r="D71" s="13"/>
      <c r="E71" s="13"/>
      <c r="F71" s="13"/>
    </row>
    <row r="72" spans="2:6">
      <c r="C72" s="14"/>
      <c r="D72" s="13"/>
      <c r="E72" s="13"/>
      <c r="F72" s="13"/>
    </row>
    <row r="73" spans="2:6">
      <c r="C73" s="14"/>
      <c r="D73" s="13"/>
      <c r="E73" s="13"/>
      <c r="F73" s="13"/>
    </row>
    <row r="74" spans="2:6">
      <c r="C74" s="14"/>
      <c r="D74" s="13"/>
      <c r="E74" s="13"/>
      <c r="F74" s="13"/>
    </row>
    <row r="75" spans="2:6">
      <c r="C75" s="14"/>
      <c r="D75" s="13"/>
      <c r="E75" s="13"/>
      <c r="F75" s="13"/>
    </row>
    <row r="76" spans="2:6">
      <c r="C76" s="14"/>
      <c r="D76" s="13"/>
      <c r="E76" s="13"/>
      <c r="F76" s="13"/>
    </row>
    <row r="77" spans="2:6">
      <c r="C77" s="14"/>
      <c r="D77" s="13"/>
      <c r="E77" s="13"/>
      <c r="F77" s="13"/>
    </row>
    <row r="79" spans="2:6" ht="18.75">
      <c r="C79" s="5" t="s">
        <v>59</v>
      </c>
    </row>
    <row r="80" spans="2:6">
      <c r="B80" t="s">
        <v>60</v>
      </c>
      <c r="C80" s="1" t="s">
        <v>61</v>
      </c>
      <c r="D80" s="1" t="s">
        <v>62</v>
      </c>
      <c r="E80" s="1" t="s">
        <v>63</v>
      </c>
      <c r="F80" s="1" t="s">
        <v>64</v>
      </c>
    </row>
    <row r="81" spans="2:6">
      <c r="B81" s="63">
        <v>1</v>
      </c>
      <c r="C81" s="64">
        <v>1</v>
      </c>
      <c r="D81" s="10"/>
      <c r="E81" s="10"/>
      <c r="F81" s="10"/>
    </row>
    <row r="82" spans="2:6">
      <c r="B82" s="63">
        <v>1</v>
      </c>
      <c r="C82" s="64">
        <v>2</v>
      </c>
      <c r="D82" s="10"/>
      <c r="E82" s="10"/>
      <c r="F82" s="10"/>
    </row>
    <row r="83" spans="2:6">
      <c r="B83" s="63">
        <v>1</v>
      </c>
      <c r="C83" s="64">
        <v>3</v>
      </c>
      <c r="D83" s="10"/>
      <c r="E83" s="10"/>
      <c r="F83" s="10"/>
    </row>
    <row r="84" spans="2:6">
      <c r="B84" s="63">
        <v>1</v>
      </c>
      <c r="C84" s="64">
        <v>4</v>
      </c>
      <c r="D84" s="10"/>
      <c r="E84" s="10"/>
      <c r="F84" s="10"/>
    </row>
    <row r="85" spans="2:6">
      <c r="B85" s="63">
        <v>1</v>
      </c>
      <c r="C85" s="64">
        <v>5</v>
      </c>
      <c r="D85" s="10"/>
      <c r="E85" s="10"/>
      <c r="F85" s="10"/>
    </row>
    <row r="86" spans="2:6">
      <c r="B86" s="63">
        <v>1</v>
      </c>
      <c r="C86" s="64">
        <v>6</v>
      </c>
      <c r="D86" s="10"/>
      <c r="E86" s="10"/>
      <c r="F86" s="10"/>
    </row>
    <row r="87" spans="2:6">
      <c r="B87" s="63">
        <v>1</v>
      </c>
      <c r="C87" s="64">
        <v>7</v>
      </c>
      <c r="D87" s="10"/>
      <c r="E87" s="10"/>
      <c r="F87" s="10"/>
    </row>
    <row r="88" spans="2:6">
      <c r="B88" s="63">
        <v>1</v>
      </c>
      <c r="C88" s="64">
        <v>8</v>
      </c>
      <c r="D88" s="10"/>
      <c r="E88" s="10"/>
      <c r="F88" s="10"/>
    </row>
    <row r="89" spans="2:6">
      <c r="B89" s="63">
        <v>1</v>
      </c>
      <c r="C89" s="64">
        <v>9</v>
      </c>
      <c r="D89" s="10"/>
      <c r="E89" s="10"/>
      <c r="F89" s="10"/>
    </row>
    <row r="90" spans="2:6">
      <c r="B90" s="63">
        <v>1</v>
      </c>
      <c r="C90" s="64">
        <v>10</v>
      </c>
      <c r="D90" s="10"/>
      <c r="E90" s="10"/>
      <c r="F90" s="10"/>
    </row>
    <row r="91" spans="2:6">
      <c r="B91" s="63">
        <v>1</v>
      </c>
      <c r="C91" s="64">
        <v>11</v>
      </c>
      <c r="D91" s="10"/>
      <c r="E91" s="10"/>
      <c r="F91" s="10"/>
    </row>
    <row r="92" spans="2:6">
      <c r="B92" s="63">
        <v>1</v>
      </c>
      <c r="C92" s="64">
        <v>12</v>
      </c>
      <c r="D92" s="10"/>
      <c r="E92" s="10"/>
      <c r="F92" s="10"/>
    </row>
    <row r="93" spans="2:6" ht="30">
      <c r="B93" s="63">
        <v>2</v>
      </c>
      <c r="C93" s="64">
        <v>1</v>
      </c>
      <c r="D93" s="10" t="s">
        <v>747</v>
      </c>
      <c r="E93" s="10" t="s">
        <v>748</v>
      </c>
      <c r="F93" s="10"/>
    </row>
    <row r="94" spans="2:6" ht="30">
      <c r="B94" s="63">
        <v>2</v>
      </c>
      <c r="C94" s="64">
        <v>2</v>
      </c>
      <c r="D94" s="10" t="s">
        <v>749</v>
      </c>
      <c r="E94" s="10" t="s">
        <v>750</v>
      </c>
      <c r="F94" s="10"/>
    </row>
    <row r="95" spans="2:6" ht="45">
      <c r="B95" s="63">
        <v>2</v>
      </c>
      <c r="C95" s="64">
        <v>3</v>
      </c>
      <c r="D95" s="10" t="s">
        <v>751</v>
      </c>
      <c r="E95" s="10" t="s">
        <v>752</v>
      </c>
      <c r="F95" s="10"/>
    </row>
    <row r="96" spans="2:6">
      <c r="B96" s="63">
        <v>2</v>
      </c>
      <c r="C96" s="64">
        <v>4</v>
      </c>
      <c r="D96" s="10" t="s">
        <v>753</v>
      </c>
      <c r="E96" s="10" t="s">
        <v>754</v>
      </c>
      <c r="F96" s="10"/>
    </row>
    <row r="97" spans="2:6">
      <c r="B97" s="63">
        <v>2</v>
      </c>
      <c r="C97" s="64">
        <v>5</v>
      </c>
      <c r="D97" s="10" t="s">
        <v>755</v>
      </c>
      <c r="E97" s="10" t="s">
        <v>756</v>
      </c>
      <c r="F97" s="10"/>
    </row>
    <row r="98" spans="2:6" ht="30">
      <c r="B98" s="63">
        <v>2</v>
      </c>
      <c r="C98" s="64">
        <v>6</v>
      </c>
      <c r="D98" s="10" t="s">
        <v>757</v>
      </c>
      <c r="E98" s="10" t="s">
        <v>758</v>
      </c>
      <c r="F98" s="10"/>
    </row>
    <row r="99" spans="2:6" ht="27.75">
      <c r="B99" s="63">
        <v>2</v>
      </c>
      <c r="C99" s="64">
        <v>7</v>
      </c>
      <c r="D99" s="10" t="s">
        <v>579</v>
      </c>
      <c r="E99" s="10" t="s">
        <v>759</v>
      </c>
      <c r="F99" s="10"/>
    </row>
    <row r="100" spans="2:6">
      <c r="B100" s="63">
        <v>2</v>
      </c>
      <c r="C100" s="64">
        <v>8</v>
      </c>
      <c r="D100" s="10" t="s">
        <v>760</v>
      </c>
      <c r="E100" s="10"/>
      <c r="F100" s="10" t="s">
        <v>761</v>
      </c>
    </row>
    <row r="101" spans="2:6">
      <c r="B101" s="63">
        <v>2</v>
      </c>
      <c r="C101" s="64">
        <v>9</v>
      </c>
      <c r="D101" s="10" t="s">
        <v>762</v>
      </c>
      <c r="E101" s="10" t="s">
        <v>763</v>
      </c>
      <c r="F101" s="10" t="s">
        <v>761</v>
      </c>
    </row>
    <row r="102" spans="2:6">
      <c r="B102" s="63">
        <v>2</v>
      </c>
      <c r="C102" s="64">
        <v>10</v>
      </c>
      <c r="D102" s="10" t="s">
        <v>764</v>
      </c>
      <c r="E102" s="10" t="s">
        <v>765</v>
      </c>
      <c r="F102" s="10" t="s">
        <v>761</v>
      </c>
    </row>
    <row r="103" spans="2:6">
      <c r="B103" s="63">
        <v>2</v>
      </c>
      <c r="C103" s="64">
        <v>11</v>
      </c>
      <c r="D103" s="10" t="s">
        <v>766</v>
      </c>
      <c r="E103" s="10" t="s">
        <v>767</v>
      </c>
      <c r="F103" s="10" t="s">
        <v>768</v>
      </c>
    </row>
    <row r="104" spans="2:6">
      <c r="B104" s="63">
        <v>2</v>
      </c>
      <c r="C104" s="64">
        <v>12</v>
      </c>
      <c r="D104" s="10" t="s">
        <v>769</v>
      </c>
      <c r="E104" s="10"/>
      <c r="F104" s="10" t="s">
        <v>761</v>
      </c>
    </row>
  </sheetData>
  <sheetProtection sheet="1" objects="1" scenarios="1" formatCells="0" formatColumns="0" formatRows="0" insertHyperlinks="0"/>
  <phoneticPr fontId="2" type="noConversion"/>
  <dataValidations count="4">
    <dataValidation type="whole" showInputMessage="1" showErrorMessage="1" error="This is not a realistic number of contact hours please reduce" sqref="D20:D23" xr:uid="{4CD06D9F-B01B-4457-970D-A06930C54E93}">
      <formula1>0</formula1>
      <formula2>80</formula2>
    </dataValidation>
    <dataValidation type="whole" showInputMessage="1" showErrorMessage="1" error="This is not a realistic number of contact hours please change" sqref="D19" xr:uid="{63F672F2-9C2D-49E0-B21F-66A62EA27310}">
      <formula1>0</formula1>
      <formula2>80</formula2>
    </dataValidation>
    <dataValidation type="list" allowBlank="1" showInputMessage="1" showErrorMessage="1" sqref="E38:E41" xr:uid="{DFA2EEE3-AB9D-4F7C-8E30-3C3C00872C8A}">
      <formula1>INDIRECT("LISTAssess[Assessment Specific]")</formula1>
    </dataValidation>
    <dataValidation type="list" allowBlank="1" showInputMessage="1" showErrorMessage="1" sqref="F46:F77" xr:uid="{5ADC4BDE-C6F2-44AE-808B-B0FC9446A4CF}">
      <formula1>INDIRECT(VLOOKUP($E46,SkillNameMap,2,FALSE))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39735843-EE1A-45FF-B467-A90D5F8EC861}">
          <x14:formula1>
            <xm:f>LISTS!$C$26:$C$37</xm:f>
          </x14:formula1>
          <xm:sqref>D14</xm:sqref>
        </x14:dataValidation>
        <x14:dataValidation type="list" allowBlank="1" showInputMessage="1" showErrorMessage="1" xr:uid="{681495C4-F231-4E60-A408-2A29AE659913}">
          <x14:formula1>
            <xm:f>LISTS!$C$17:$C$22</xm:f>
          </x14:formula1>
          <xm:sqref>D13</xm:sqref>
        </x14:dataValidation>
        <x14:dataValidation type="list" allowBlank="1" showInputMessage="1" showErrorMessage="1" xr:uid="{F64EA1C2-314E-47D2-98EB-EB9128A71684}">
          <x14:formula1>
            <xm:f>LISTS!$C$7:$C$9</xm:f>
          </x14:formula1>
          <xm:sqref>D10</xm:sqref>
        </x14:dataValidation>
        <x14:dataValidation type="list" allowBlank="1" showInputMessage="1" showErrorMessage="1" xr:uid="{983858DF-F117-4ABC-BB76-AC82A216171D}">
          <x14:formula1>
            <xm:f>LISTS!$C$11:$C$15</xm:f>
          </x14:formula1>
          <xm:sqref>D11</xm:sqref>
        </x14:dataValidation>
        <x14:dataValidation type="list" allowBlank="1" showInputMessage="1" showErrorMessage="1" xr:uid="{20095D0C-07FE-4EE7-BFEC-317D253839B4}">
          <x14:formula1>
            <xm:f>LISTS!$G$7:$G$11</xm:f>
          </x14:formula1>
          <xm:sqref>D38:D42</xm:sqref>
        </x14:dataValidation>
        <x14:dataValidation type="list" allowBlank="1" showInputMessage="1" showErrorMessage="1" xr:uid="{1AB77DFB-5427-40D4-BAEB-24C786FA7A86}">
          <x14:formula1>
            <xm:f>LISTS!$E$7:$E$11</xm:f>
          </x14:formula1>
          <xm:sqref>D46:D66</xm:sqref>
        </x14:dataValidation>
        <x14:dataValidation type="list" allowBlank="1" showInputMessage="1" showErrorMessage="1" xr:uid="{EB948922-0A22-4BD6-8094-4C6953146F85}">
          <x14:formula1>
            <xm:f>LISTS!$J$7:$J$16</xm:f>
          </x14:formula1>
          <xm:sqref>E46:E77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7647-D39B-4FA1-BBF1-01060A665837}">
  <sheetPr codeName="Sheet18"/>
  <dimension ref="B2:H94"/>
  <sheetViews>
    <sheetView showGridLines="0" zoomScale="85" zoomScaleNormal="85" workbookViewId="0">
      <selection activeCell="D12" sqref="D12"/>
    </sheetView>
  </sheetViews>
  <sheetFormatPr defaultColWidth="8.85546875" defaultRowHeight="15"/>
  <cols>
    <col min="3" max="3" width="33.140625" customWidth="1"/>
    <col min="4" max="4" width="51.42578125" customWidth="1"/>
    <col min="5" max="5" width="42.42578125" customWidth="1"/>
    <col min="6" max="6" width="71" customWidth="1"/>
    <col min="7" max="7" width="12.42578125" customWidth="1"/>
    <col min="8" max="8" width="15.42578125" customWidth="1"/>
    <col min="9" max="9" width="14.85546875" customWidth="1"/>
  </cols>
  <sheetData>
    <row r="2" spans="2:6" ht="26.25">
      <c r="C2" s="9" t="str">
        <f>D7</f>
        <v>6106SPS</v>
      </c>
      <c r="D2" s="9" t="str">
        <f>D8</f>
        <v>Physical Activity in Healthcare</v>
      </c>
    </row>
    <row r="3" spans="2:6">
      <c r="B3" s="1"/>
      <c r="C3" s="1"/>
    </row>
    <row r="4" spans="2:6">
      <c r="B4" s="2"/>
      <c r="C4" s="2"/>
    </row>
    <row r="5" spans="2:6" ht="18.75">
      <c r="B5" s="2"/>
      <c r="C5" s="5" t="s">
        <v>0</v>
      </c>
    </row>
    <row r="6" spans="2:6">
      <c r="B6" s="2"/>
      <c r="C6" s="3" t="s">
        <v>1</v>
      </c>
      <c r="D6" s="4" t="s">
        <v>2</v>
      </c>
      <c r="E6" s="4"/>
      <c r="F6" t="s">
        <v>3</v>
      </c>
    </row>
    <row r="7" spans="2:6" ht="165">
      <c r="B7" s="2"/>
      <c r="C7" s="62" t="s">
        <v>4</v>
      </c>
      <c r="D7" s="10" t="s">
        <v>770</v>
      </c>
      <c r="E7" s="4"/>
      <c r="F7" s="20" t="s">
        <v>771</v>
      </c>
    </row>
    <row r="8" spans="2:6">
      <c r="B8" s="2"/>
      <c r="C8" s="62" t="s">
        <v>6</v>
      </c>
      <c r="D8" s="10" t="s">
        <v>772</v>
      </c>
      <c r="E8" s="4"/>
      <c r="F8" s="13"/>
    </row>
    <row r="9" spans="2:6">
      <c r="C9" s="62" t="s">
        <v>7</v>
      </c>
      <c r="D9" s="10">
        <v>20</v>
      </c>
      <c r="E9" s="4"/>
    </row>
    <row r="10" spans="2:6">
      <c r="C10" s="62" t="s">
        <v>8</v>
      </c>
      <c r="D10" s="10">
        <v>2</v>
      </c>
      <c r="E10" s="4"/>
      <c r="F10" t="s">
        <v>9</v>
      </c>
    </row>
    <row r="11" spans="2:6" ht="75">
      <c r="C11" s="62" t="s">
        <v>10</v>
      </c>
      <c r="D11" s="10">
        <v>6</v>
      </c>
      <c r="E11" s="4"/>
      <c r="F11" s="20" t="s">
        <v>773</v>
      </c>
    </row>
    <row r="12" spans="2:6" ht="60">
      <c r="C12" s="62" t="s">
        <v>11</v>
      </c>
      <c r="D12" s="10" t="s">
        <v>774</v>
      </c>
      <c r="E12" s="4"/>
      <c r="F12" s="20" t="s">
        <v>775</v>
      </c>
    </row>
    <row r="13" spans="2:6" ht="75">
      <c r="C13" s="62" t="s">
        <v>12</v>
      </c>
      <c r="D13" s="10" t="s">
        <v>551</v>
      </c>
      <c r="E13" s="4"/>
      <c r="F13" s="37" t="s">
        <v>776</v>
      </c>
    </row>
    <row r="14" spans="2:6">
      <c r="C14" s="62" t="s">
        <v>13</v>
      </c>
      <c r="D14" s="10" t="s">
        <v>86</v>
      </c>
      <c r="E14" s="4"/>
    </row>
    <row r="15" spans="2:6">
      <c r="C15" s="3"/>
      <c r="D15" s="4"/>
      <c r="E15" s="4"/>
      <c r="F15" t="s">
        <v>14</v>
      </c>
    </row>
    <row r="16" spans="2:6" ht="90">
      <c r="C16" s="3"/>
      <c r="D16" s="4"/>
      <c r="E16" s="4"/>
      <c r="F16" s="20" t="s">
        <v>777</v>
      </c>
    </row>
    <row r="17" spans="3:6" ht="90">
      <c r="C17" s="5" t="s">
        <v>15</v>
      </c>
      <c r="D17" s="4"/>
      <c r="E17" s="4"/>
      <c r="F17" s="20" t="s">
        <v>778</v>
      </c>
    </row>
    <row r="18" spans="3:6" ht="60">
      <c r="C18" s="3" t="s">
        <v>16</v>
      </c>
      <c r="D18" s="1" t="s">
        <v>15</v>
      </c>
      <c r="E18" s="4"/>
      <c r="F18" s="20" t="s">
        <v>779</v>
      </c>
    </row>
    <row r="19" spans="3:6">
      <c r="C19" s="62" t="s">
        <v>17</v>
      </c>
      <c r="D19" s="11">
        <v>22</v>
      </c>
      <c r="E19" s="4"/>
      <c r="F19" s="13"/>
    </row>
    <row r="20" spans="3:6">
      <c r="C20" s="62" t="s">
        <v>18</v>
      </c>
      <c r="D20" s="11">
        <v>16</v>
      </c>
      <c r="E20" s="4"/>
      <c r="F20" s="13"/>
    </row>
    <row r="21" spans="3:6">
      <c r="C21" s="62" t="s">
        <v>19</v>
      </c>
      <c r="D21" s="11"/>
      <c r="E21" s="4"/>
    </row>
    <row r="22" spans="3:6">
      <c r="C22" s="62" t="s">
        <v>20</v>
      </c>
      <c r="D22" s="11">
        <v>8</v>
      </c>
      <c r="E22" s="4"/>
      <c r="F22" t="s">
        <v>21</v>
      </c>
    </row>
    <row r="23" spans="3:6" ht="150">
      <c r="C23" s="62" t="s">
        <v>22</v>
      </c>
      <c r="D23" s="11"/>
      <c r="E23" s="4"/>
      <c r="F23" s="103" t="s">
        <v>780</v>
      </c>
    </row>
    <row r="24" spans="3:6" ht="45">
      <c r="C24" s="62" t="s">
        <v>23</v>
      </c>
      <c r="D24" s="1">
        <f>SUM(D19:D23)</f>
        <v>46</v>
      </c>
      <c r="E24" s="4"/>
      <c r="F24" s="85" t="s">
        <v>781</v>
      </c>
    </row>
    <row r="25" spans="3:6" ht="75">
      <c r="F25" s="30" t="s">
        <v>782</v>
      </c>
    </row>
    <row r="26" spans="3:6">
      <c r="F26" s="13"/>
    </row>
    <row r="27" spans="3:6" ht="18.75">
      <c r="C27" s="5" t="s">
        <v>24</v>
      </c>
      <c r="D27" s="8" t="s">
        <v>25</v>
      </c>
      <c r="F27" s="13"/>
    </row>
    <row r="28" spans="3:6">
      <c r="C28" s="3" t="s">
        <v>26</v>
      </c>
      <c r="D28" s="3" t="s">
        <v>27</v>
      </c>
      <c r="E28" s="3"/>
      <c r="F28" s="13"/>
    </row>
    <row r="29" spans="3:6" ht="75">
      <c r="C29" s="62" t="s">
        <v>28</v>
      </c>
      <c r="D29" s="20" t="s">
        <v>783</v>
      </c>
      <c r="E29" s="4"/>
      <c r="F29" s="13"/>
    </row>
    <row r="30" spans="3:6" ht="75">
      <c r="C30" s="62" t="s">
        <v>29</v>
      </c>
      <c r="D30" s="20" t="s">
        <v>784</v>
      </c>
      <c r="E30" s="4"/>
      <c r="F30" s="13"/>
    </row>
    <row r="31" spans="3:6" ht="60">
      <c r="C31" s="62" t="s">
        <v>30</v>
      </c>
      <c r="D31" s="20" t="s">
        <v>785</v>
      </c>
      <c r="E31" s="4"/>
      <c r="F31" s="13"/>
    </row>
    <row r="32" spans="3:6" ht="60">
      <c r="C32" s="62" t="s">
        <v>31</v>
      </c>
      <c r="D32" s="20" t="s">
        <v>786</v>
      </c>
      <c r="E32" s="4"/>
      <c r="F32" s="13"/>
    </row>
    <row r="33" spans="3:8" ht="60">
      <c r="C33" s="62" t="s">
        <v>32</v>
      </c>
      <c r="D33" s="20" t="s">
        <v>787</v>
      </c>
      <c r="E33" s="4"/>
      <c r="F33" s="13"/>
    </row>
    <row r="36" spans="3:8" ht="18.75">
      <c r="C36" s="5" t="s">
        <v>33</v>
      </c>
    </row>
    <row r="37" spans="3:8">
      <c r="C37" s="3" t="s">
        <v>34</v>
      </c>
      <c r="D37" s="3" t="s">
        <v>35</v>
      </c>
      <c r="E37" s="3" t="s">
        <v>36</v>
      </c>
      <c r="F37" s="3" t="s">
        <v>37</v>
      </c>
      <c r="G37" s="3" t="s">
        <v>38</v>
      </c>
      <c r="H37" s="3" t="s">
        <v>39</v>
      </c>
    </row>
    <row r="38" spans="3:8" ht="120">
      <c r="C38" s="62" t="s">
        <v>40</v>
      </c>
      <c r="D38" s="10" t="s">
        <v>368</v>
      </c>
      <c r="E38" s="10" t="s">
        <v>369</v>
      </c>
      <c r="F38" s="36" t="s">
        <v>788</v>
      </c>
      <c r="G38" s="12">
        <v>0.4</v>
      </c>
      <c r="H38" s="10" t="s">
        <v>789</v>
      </c>
    </row>
    <row r="39" spans="3:8" ht="165">
      <c r="C39" s="62" t="s">
        <v>44</v>
      </c>
      <c r="D39" s="10" t="s">
        <v>41</v>
      </c>
      <c r="E39" s="10" t="s">
        <v>95</v>
      </c>
      <c r="F39" s="10" t="s">
        <v>790</v>
      </c>
      <c r="G39" s="12">
        <v>0.6</v>
      </c>
      <c r="H39" s="10" t="s">
        <v>791</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317</v>
      </c>
    </row>
    <row r="47" spans="3:8">
      <c r="C47" s="14" t="s">
        <v>40</v>
      </c>
      <c r="D47" s="13" t="s">
        <v>29</v>
      </c>
      <c r="E47" s="13" t="s">
        <v>168</v>
      </c>
      <c r="F47" s="13" t="s">
        <v>511</v>
      </c>
    </row>
    <row r="48" spans="3:8">
      <c r="C48" s="14" t="s">
        <v>40</v>
      </c>
      <c r="D48" s="13" t="s">
        <v>30</v>
      </c>
      <c r="E48" s="13" t="s">
        <v>53</v>
      </c>
      <c r="F48" s="13" t="s">
        <v>167</v>
      </c>
    </row>
    <row r="49" spans="3:6">
      <c r="C49" s="14" t="s">
        <v>40</v>
      </c>
      <c r="D49" s="13" t="s">
        <v>31</v>
      </c>
      <c r="E49" s="13" t="s">
        <v>102</v>
      </c>
      <c r="F49" s="13" t="s">
        <v>568</v>
      </c>
    </row>
    <row r="50" spans="3:6">
      <c r="C50" s="14" t="s">
        <v>40</v>
      </c>
      <c r="D50" s="13" t="s">
        <v>32</v>
      </c>
      <c r="E50" s="13" t="s">
        <v>55</v>
      </c>
      <c r="F50" s="13" t="s">
        <v>216</v>
      </c>
    </row>
    <row r="51" spans="3:6">
      <c r="C51" s="14" t="s">
        <v>44</v>
      </c>
      <c r="D51" s="13" t="s">
        <v>28</v>
      </c>
      <c r="E51" s="13" t="s">
        <v>315</v>
      </c>
      <c r="F51" s="13" t="s">
        <v>569</v>
      </c>
    </row>
    <row r="52" spans="3:6">
      <c r="C52" s="14" t="s">
        <v>44</v>
      </c>
      <c r="D52" s="13" t="s">
        <v>29</v>
      </c>
      <c r="E52" s="13" t="s">
        <v>168</v>
      </c>
      <c r="F52" s="13" t="s">
        <v>272</v>
      </c>
    </row>
    <row r="53" spans="3:6">
      <c r="C53" s="14" t="s">
        <v>44</v>
      </c>
      <c r="D53" s="13" t="s">
        <v>30</v>
      </c>
      <c r="E53" s="13" t="s">
        <v>50</v>
      </c>
      <c r="F53" s="13" t="s">
        <v>214</v>
      </c>
    </row>
    <row r="54" spans="3:6">
      <c r="C54" s="14" t="s">
        <v>44</v>
      </c>
      <c r="D54" s="13" t="s">
        <v>31</v>
      </c>
      <c r="E54" s="13" t="s">
        <v>315</v>
      </c>
      <c r="F54" s="13" t="s">
        <v>569</v>
      </c>
    </row>
    <row r="55" spans="3:6">
      <c r="C55" s="14" t="s">
        <v>44</v>
      </c>
      <c r="D55" s="13" t="s">
        <v>32</v>
      </c>
      <c r="E55" s="13" t="s">
        <v>55</v>
      </c>
      <c r="F55" s="13" t="s">
        <v>56</v>
      </c>
    </row>
    <row r="56" spans="3:6">
      <c r="C56" s="14"/>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63">
        <v>1</v>
      </c>
      <c r="C71" s="64">
        <v>1</v>
      </c>
      <c r="D71" s="10"/>
      <c r="E71" s="10"/>
      <c r="F71" s="10"/>
    </row>
    <row r="72" spans="2:6">
      <c r="B72" s="63">
        <v>1</v>
      </c>
      <c r="C72" s="64">
        <v>2</v>
      </c>
      <c r="D72" s="10"/>
      <c r="E72" s="10"/>
      <c r="F72" s="10"/>
    </row>
    <row r="73" spans="2:6">
      <c r="B73" s="63">
        <v>1</v>
      </c>
      <c r="C73" s="64">
        <v>3</v>
      </c>
      <c r="D73" s="10"/>
      <c r="E73" s="10"/>
      <c r="F73" s="10"/>
    </row>
    <row r="74" spans="2:6">
      <c r="B74" s="63">
        <v>1</v>
      </c>
      <c r="C74" s="64">
        <v>4</v>
      </c>
      <c r="D74" s="10"/>
      <c r="E74" s="10"/>
      <c r="F74" s="10"/>
    </row>
    <row r="75" spans="2:6">
      <c r="B75" s="63">
        <v>1</v>
      </c>
      <c r="C75" s="64">
        <v>5</v>
      </c>
      <c r="D75" s="10"/>
      <c r="E75" s="10"/>
      <c r="F75" s="10"/>
    </row>
    <row r="76" spans="2:6">
      <c r="B76" s="63">
        <v>1</v>
      </c>
      <c r="C76" s="64">
        <v>6</v>
      </c>
      <c r="D76" s="10"/>
      <c r="E76" s="10"/>
      <c r="F76" s="10"/>
    </row>
    <row r="77" spans="2:6">
      <c r="B77" s="63">
        <v>1</v>
      </c>
      <c r="C77" s="64">
        <v>7</v>
      </c>
      <c r="D77" s="10"/>
      <c r="E77" s="10"/>
      <c r="F77" s="10"/>
    </row>
    <row r="78" spans="2:6">
      <c r="B78" s="63">
        <v>1</v>
      </c>
      <c r="C78" s="64">
        <v>8</v>
      </c>
      <c r="D78" s="10"/>
      <c r="E78" s="10"/>
      <c r="F78" s="10"/>
    </row>
    <row r="79" spans="2:6">
      <c r="B79" s="63">
        <v>1</v>
      </c>
      <c r="C79" s="64">
        <v>9</v>
      </c>
      <c r="D79" s="10"/>
      <c r="E79" s="10"/>
      <c r="F79" s="10"/>
    </row>
    <row r="80" spans="2:6">
      <c r="B80" s="63">
        <v>1</v>
      </c>
      <c r="C80" s="64">
        <v>10</v>
      </c>
      <c r="D80" s="10"/>
      <c r="E80" s="10"/>
      <c r="F80" s="10"/>
    </row>
    <row r="81" spans="2:6">
      <c r="B81" s="63">
        <v>1</v>
      </c>
      <c r="C81" s="64">
        <v>11</v>
      </c>
      <c r="D81" s="10"/>
      <c r="E81" s="10"/>
      <c r="F81" s="10"/>
    </row>
    <row r="82" spans="2:6">
      <c r="B82" s="63">
        <v>1</v>
      </c>
      <c r="C82" s="64">
        <v>12</v>
      </c>
      <c r="D82" s="10"/>
      <c r="E82" s="10"/>
      <c r="F82" s="10"/>
    </row>
    <row r="83" spans="2:6">
      <c r="B83" s="63">
        <v>2</v>
      </c>
      <c r="C83" s="64">
        <v>1</v>
      </c>
      <c r="D83" s="10" t="s">
        <v>792</v>
      </c>
      <c r="E83" s="10" t="s">
        <v>18</v>
      </c>
      <c r="F83" s="10" t="s">
        <v>793</v>
      </c>
    </row>
    <row r="84" spans="2:6">
      <c r="B84" s="63">
        <v>2</v>
      </c>
      <c r="C84" s="64">
        <v>2</v>
      </c>
      <c r="D84" s="10" t="s">
        <v>794</v>
      </c>
      <c r="E84" s="10" t="s">
        <v>18</v>
      </c>
      <c r="F84" s="10" t="s">
        <v>793</v>
      </c>
    </row>
    <row r="85" spans="2:6">
      <c r="B85" s="63">
        <v>2</v>
      </c>
      <c r="C85" s="64">
        <v>3</v>
      </c>
      <c r="D85" s="10" t="s">
        <v>795</v>
      </c>
      <c r="E85" s="10" t="s">
        <v>18</v>
      </c>
      <c r="F85" s="10" t="s">
        <v>793</v>
      </c>
    </row>
    <row r="86" spans="2:6">
      <c r="B86" s="63">
        <v>2</v>
      </c>
      <c r="C86" s="64">
        <v>4</v>
      </c>
      <c r="D86" s="10" t="s">
        <v>796</v>
      </c>
      <c r="E86" s="10" t="s">
        <v>18</v>
      </c>
      <c r="F86" s="10" t="s">
        <v>793</v>
      </c>
    </row>
    <row r="87" spans="2:6" ht="45">
      <c r="B87" s="63">
        <v>2</v>
      </c>
      <c r="C87" s="64">
        <v>5</v>
      </c>
      <c r="D87" s="10" t="s">
        <v>797</v>
      </c>
      <c r="E87" s="10" t="s">
        <v>798</v>
      </c>
      <c r="F87" s="10" t="s">
        <v>793</v>
      </c>
    </row>
    <row r="88" spans="2:6">
      <c r="B88" s="63">
        <v>2</v>
      </c>
      <c r="C88" s="64">
        <v>6</v>
      </c>
      <c r="D88" s="10" t="s">
        <v>799</v>
      </c>
      <c r="E88" s="10" t="s">
        <v>20</v>
      </c>
      <c r="F88" s="10" t="s">
        <v>793</v>
      </c>
    </row>
    <row r="89" spans="2:6">
      <c r="B89" s="63">
        <v>2</v>
      </c>
      <c r="C89" s="64">
        <v>7</v>
      </c>
      <c r="D89" s="10" t="s">
        <v>579</v>
      </c>
      <c r="E89" s="10" t="s">
        <v>579</v>
      </c>
      <c r="F89" s="10" t="s">
        <v>793</v>
      </c>
    </row>
    <row r="90" spans="2:6">
      <c r="B90" s="63">
        <v>2</v>
      </c>
      <c r="C90" s="64">
        <v>8</v>
      </c>
      <c r="D90" s="10" t="s">
        <v>800</v>
      </c>
      <c r="E90" s="10" t="s">
        <v>20</v>
      </c>
      <c r="F90" s="10" t="s">
        <v>793</v>
      </c>
    </row>
    <row r="91" spans="2:6">
      <c r="B91" s="63">
        <v>2</v>
      </c>
      <c r="C91" s="64">
        <v>9</v>
      </c>
      <c r="D91" s="10" t="s">
        <v>801</v>
      </c>
      <c r="E91" s="10" t="s">
        <v>20</v>
      </c>
      <c r="F91" s="10" t="s">
        <v>793</v>
      </c>
    </row>
    <row r="92" spans="2:6">
      <c r="B92" s="63">
        <v>2</v>
      </c>
      <c r="C92" s="64">
        <v>10</v>
      </c>
      <c r="D92" s="10" t="s">
        <v>802</v>
      </c>
      <c r="E92" s="10" t="s">
        <v>20</v>
      </c>
      <c r="F92" s="10" t="s">
        <v>793</v>
      </c>
    </row>
    <row r="93" spans="2:6" ht="30">
      <c r="B93" s="63">
        <v>2</v>
      </c>
      <c r="C93" s="64">
        <v>11</v>
      </c>
      <c r="D93" s="10" t="s">
        <v>803</v>
      </c>
      <c r="E93" s="10" t="s">
        <v>18</v>
      </c>
      <c r="F93" s="10" t="s">
        <v>793</v>
      </c>
    </row>
    <row r="94" spans="2:6">
      <c r="B94" s="63">
        <v>2</v>
      </c>
      <c r="C94" s="64">
        <v>12</v>
      </c>
      <c r="D94" s="10" t="s">
        <v>804</v>
      </c>
      <c r="E94" s="10" t="s">
        <v>345</v>
      </c>
      <c r="F94" s="10" t="s">
        <v>793</v>
      </c>
    </row>
  </sheetData>
  <sheetProtection sheet="1" objects="1" scenarios="1" formatCells="0" formatColumns="0" formatRows="0" insertHyperlinks="0"/>
  <dataValidations count="4">
    <dataValidation type="list" allowBlank="1" showInputMessage="1" showErrorMessage="1" sqref="E38:E41" xr:uid="{3A3BB13C-33CA-4FDF-AFDA-21C067AA1C2C}">
      <formula1>INDIRECT("LISTAssess[Assessment Specific]")</formula1>
    </dataValidation>
    <dataValidation type="whole" showInputMessage="1" showErrorMessage="1" error="This is not a realistic number of contact hours please change" sqref="D19" xr:uid="{8DD9164E-4944-4422-B73A-1E982B14D5ED}">
      <formula1>0</formula1>
      <formula2>80</formula2>
    </dataValidation>
    <dataValidation type="whole" showInputMessage="1" showErrorMessage="1" error="This is not a realistic number of contact hours please reduce" sqref="D20:D23" xr:uid="{2D807B47-828D-40A3-BD25-D4E34139312B}">
      <formula1>0</formula1>
      <formula2>80</formula2>
    </dataValidation>
    <dataValidation type="list" allowBlank="1" showInputMessage="1" showErrorMessage="1" sqref="F46:F66" xr:uid="{F851468A-A232-4EA0-8AA1-1DB09135E9DF}">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6A760D08-1FE6-4536-BC55-50DF74383963}">
          <x14:formula1>
            <xm:f>LISTS!$G$7:$G$11</xm:f>
          </x14:formula1>
          <xm:sqref>D38:D42</xm:sqref>
        </x14:dataValidation>
        <x14:dataValidation type="list" allowBlank="1" showInputMessage="1" showErrorMessage="1" xr:uid="{BD4A7E24-7719-4870-9D23-485B003104FA}">
          <x14:formula1>
            <xm:f>LISTS!$C$11:$C$15</xm:f>
          </x14:formula1>
          <xm:sqref>D11</xm:sqref>
        </x14:dataValidation>
        <x14:dataValidation type="list" allowBlank="1" showInputMessage="1" showErrorMessage="1" xr:uid="{014F209D-3187-4BEE-A1EE-6FD201707525}">
          <x14:formula1>
            <xm:f>LISTS!$C$7:$C$9</xm:f>
          </x14:formula1>
          <xm:sqref>D10</xm:sqref>
        </x14:dataValidation>
        <x14:dataValidation type="list" allowBlank="1" showInputMessage="1" showErrorMessage="1" xr:uid="{F418B5C6-E390-4D2D-9358-C74647B207CD}">
          <x14:formula1>
            <xm:f>LISTS!$C$17:$C$22</xm:f>
          </x14:formula1>
          <xm:sqref>D13</xm:sqref>
        </x14:dataValidation>
        <x14:dataValidation type="list" allowBlank="1" showInputMessage="1" showErrorMessage="1" xr:uid="{67E56D7D-3EB0-4D72-B2B8-6E0FCDA6552E}">
          <x14:formula1>
            <xm:f>LISTS!$C$26:$C$37</xm:f>
          </x14:formula1>
          <xm:sqref>D14</xm:sqref>
        </x14:dataValidation>
        <x14:dataValidation type="list" allowBlank="1" showInputMessage="1" showErrorMessage="1" xr:uid="{40299E6B-7C5E-48BD-B2FC-80FA2D744B62}">
          <x14:formula1>
            <xm:f>LISTS!$J$7:$J$16</xm:f>
          </x14:formula1>
          <xm:sqref>E46:E66</xm:sqref>
        </x14:dataValidation>
        <x14:dataValidation type="list" allowBlank="1" showInputMessage="1" showErrorMessage="1" xr:uid="{D5185C3B-86B1-46E5-8604-328E877B51BB}">
          <x14:formula1>
            <xm:f>LISTS!$E$7:$E$11</xm:f>
          </x14:formula1>
          <xm:sqref>D46:D66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70A0-B8B6-4B8B-82DB-2AB9DA826B6D}">
  <sheetPr codeName="Sheet25"/>
  <dimension ref="B2:H94"/>
  <sheetViews>
    <sheetView showGridLines="0" zoomScale="85" zoomScaleNormal="85" workbookViewId="0">
      <selection activeCell="D12" sqref="D12"/>
    </sheetView>
  </sheetViews>
  <sheetFormatPr defaultColWidth="8.85546875" defaultRowHeight="15"/>
  <cols>
    <col min="3" max="3" width="33.140625" customWidth="1"/>
    <col min="4" max="4" width="51.42578125" customWidth="1"/>
    <col min="5" max="5" width="42.42578125" customWidth="1"/>
    <col min="6" max="6" width="71" customWidth="1"/>
    <col min="7" max="7" width="12.42578125" customWidth="1"/>
    <col min="8" max="8" width="15.42578125" customWidth="1"/>
    <col min="9" max="9" width="14.85546875" customWidth="1"/>
  </cols>
  <sheetData>
    <row r="2" spans="2:6" ht="26.25">
      <c r="C2" s="9" t="str">
        <f>D7</f>
        <v>6107SPS</v>
      </c>
      <c r="D2" s="9" t="str">
        <f>D8</f>
        <v>Environmental Physiology</v>
      </c>
    </row>
    <row r="3" spans="2:6">
      <c r="B3" s="1"/>
      <c r="C3" s="1"/>
      <c r="E3" s="100" t="s">
        <v>805</v>
      </c>
    </row>
    <row r="4" spans="2:6" ht="15.75">
      <c r="B4" s="2"/>
      <c r="C4" s="2"/>
      <c r="E4" s="101" t="s">
        <v>806</v>
      </c>
    </row>
    <row r="5" spans="2:6" ht="18.75">
      <c r="B5" s="2"/>
      <c r="C5" s="5" t="s">
        <v>0</v>
      </c>
    </row>
    <row r="6" spans="2:6">
      <c r="B6" s="2"/>
      <c r="C6" s="3" t="s">
        <v>1</v>
      </c>
      <c r="D6" s="4" t="s">
        <v>2</v>
      </c>
      <c r="E6" s="4"/>
      <c r="F6" t="s">
        <v>3</v>
      </c>
    </row>
    <row r="7" spans="2:6">
      <c r="B7" s="2"/>
      <c r="C7" s="62" t="s">
        <v>4</v>
      </c>
      <c r="D7" s="10" t="s">
        <v>807</v>
      </c>
      <c r="E7" s="4"/>
      <c r="F7" s="20"/>
    </row>
    <row r="8" spans="2:6" ht="105">
      <c r="B8" s="2"/>
      <c r="C8" s="62" t="s">
        <v>6</v>
      </c>
      <c r="D8" s="10" t="s">
        <v>808</v>
      </c>
      <c r="E8" s="4"/>
      <c r="F8" s="20" t="s">
        <v>809</v>
      </c>
    </row>
    <row r="9" spans="2:6">
      <c r="C9" s="62" t="s">
        <v>7</v>
      </c>
      <c r="D9" s="10">
        <v>20</v>
      </c>
      <c r="E9" s="4"/>
    </row>
    <row r="10" spans="2:6">
      <c r="C10" s="62" t="s">
        <v>8</v>
      </c>
      <c r="D10" s="10">
        <v>2</v>
      </c>
      <c r="E10" s="4"/>
      <c r="F10" t="s">
        <v>9</v>
      </c>
    </row>
    <row r="11" spans="2:6" ht="135">
      <c r="C11" s="62" t="s">
        <v>10</v>
      </c>
      <c r="D11" s="10">
        <v>6</v>
      </c>
      <c r="E11" s="4"/>
      <c r="F11" s="20" t="s">
        <v>810</v>
      </c>
    </row>
    <row r="12" spans="2:6">
      <c r="C12" s="62" t="s">
        <v>11</v>
      </c>
      <c r="D12" s="10" t="s">
        <v>811</v>
      </c>
      <c r="E12" s="4"/>
      <c r="F12" s="20"/>
    </row>
    <row r="13" spans="2:6">
      <c r="C13" s="62" t="s">
        <v>12</v>
      </c>
      <c r="D13" s="10" t="s">
        <v>551</v>
      </c>
      <c r="E13" s="4"/>
      <c r="F13" s="20"/>
    </row>
    <row r="14" spans="2:6">
      <c r="C14" s="62" t="s">
        <v>13</v>
      </c>
      <c r="D14" s="10" t="s">
        <v>86</v>
      </c>
      <c r="E14" s="4"/>
    </row>
    <row r="15" spans="2:6">
      <c r="C15" s="3"/>
      <c r="D15" s="4"/>
      <c r="E15" s="4"/>
      <c r="F15" t="s">
        <v>14</v>
      </c>
    </row>
    <row r="16" spans="2:6" ht="300">
      <c r="C16" s="3"/>
      <c r="D16" s="4"/>
      <c r="E16" s="4"/>
      <c r="F16" s="20" t="s">
        <v>812</v>
      </c>
    </row>
    <row r="17" spans="3:6" ht="18.75">
      <c r="C17" s="5" t="s">
        <v>15</v>
      </c>
      <c r="D17" s="4"/>
      <c r="E17" s="4"/>
      <c r="F17" s="20"/>
    </row>
    <row r="18" spans="3:6">
      <c r="C18" s="3" t="s">
        <v>16</v>
      </c>
      <c r="D18" s="1" t="s">
        <v>15</v>
      </c>
      <c r="E18" s="4"/>
      <c r="F18" s="20"/>
    </row>
    <row r="19" spans="3:6">
      <c r="C19" s="62" t="s">
        <v>17</v>
      </c>
      <c r="D19" s="11">
        <v>31</v>
      </c>
      <c r="E19" s="4"/>
      <c r="F19" s="13"/>
    </row>
    <row r="20" spans="3:6">
      <c r="C20" s="62" t="s">
        <v>18</v>
      </c>
      <c r="D20" s="11">
        <v>5</v>
      </c>
      <c r="E20" s="4"/>
      <c r="F20" s="13"/>
    </row>
    <row r="21" spans="3:6">
      <c r="C21" s="62" t="s">
        <v>19</v>
      </c>
      <c r="D21" s="11">
        <v>4</v>
      </c>
      <c r="E21" s="4"/>
    </row>
    <row r="22" spans="3:6">
      <c r="C22" s="62" t="s">
        <v>20</v>
      </c>
      <c r="D22" s="11"/>
      <c r="E22" s="4"/>
      <c r="F22" t="s">
        <v>21</v>
      </c>
    </row>
    <row r="23" spans="3:6" ht="15.75">
      <c r="C23" s="62" t="s">
        <v>22</v>
      </c>
      <c r="D23" s="11"/>
      <c r="E23" s="4"/>
      <c r="F23" s="54" t="s">
        <v>813</v>
      </c>
    </row>
    <row r="24" spans="3:6" ht="30.75">
      <c r="C24" s="62" t="s">
        <v>23</v>
      </c>
      <c r="D24" s="1">
        <f>SUM(D19:D23)</f>
        <v>40</v>
      </c>
      <c r="E24" s="4"/>
      <c r="F24" s="95" t="s">
        <v>814</v>
      </c>
    </row>
    <row r="25" spans="3:6" ht="30.75">
      <c r="F25" s="95" t="s">
        <v>815</v>
      </c>
    </row>
    <row r="26" spans="3:6" ht="30.75">
      <c r="F26" s="95" t="s">
        <v>816</v>
      </c>
    </row>
    <row r="27" spans="3:6" ht="30.75">
      <c r="C27" s="5" t="s">
        <v>24</v>
      </c>
      <c r="D27" s="8" t="s">
        <v>25</v>
      </c>
      <c r="F27" s="95" t="s">
        <v>817</v>
      </c>
    </row>
    <row r="28" spans="3:6" ht="30.75">
      <c r="C28" s="3" t="s">
        <v>26</v>
      </c>
      <c r="D28" s="3" t="s">
        <v>27</v>
      </c>
      <c r="E28" s="3"/>
      <c r="F28" s="95" t="s">
        <v>818</v>
      </c>
    </row>
    <row r="29" spans="3:6" ht="31.5">
      <c r="C29" s="62" t="s">
        <v>28</v>
      </c>
      <c r="D29" s="51" t="s">
        <v>819</v>
      </c>
      <c r="E29" s="4"/>
      <c r="F29" s="95" t="s">
        <v>820</v>
      </c>
    </row>
    <row r="30" spans="3:6" ht="63">
      <c r="C30" s="62" t="s">
        <v>29</v>
      </c>
      <c r="D30" s="51" t="s">
        <v>821</v>
      </c>
      <c r="E30" s="4"/>
      <c r="F30" s="95" t="s">
        <v>822</v>
      </c>
    </row>
    <row r="31" spans="3:6" ht="30.75">
      <c r="C31" s="62" t="s">
        <v>30</v>
      </c>
      <c r="D31" s="20"/>
      <c r="E31" s="4"/>
      <c r="F31" s="95" t="s">
        <v>823</v>
      </c>
    </row>
    <row r="32" spans="3:6" ht="30.75">
      <c r="C32" s="62" t="s">
        <v>31</v>
      </c>
      <c r="D32" s="20"/>
      <c r="E32" s="4"/>
      <c r="F32" s="95" t="s">
        <v>824</v>
      </c>
    </row>
    <row r="33" spans="3:8" ht="30.75">
      <c r="C33" s="62" t="s">
        <v>32</v>
      </c>
      <c r="D33" s="20"/>
      <c r="E33" s="4"/>
      <c r="F33" s="95" t="s">
        <v>825</v>
      </c>
    </row>
    <row r="36" spans="3:8" ht="18.75">
      <c r="C36" s="5" t="s">
        <v>33</v>
      </c>
    </row>
    <row r="37" spans="3:8">
      <c r="C37" s="3" t="s">
        <v>34</v>
      </c>
      <c r="D37" s="3" t="s">
        <v>35</v>
      </c>
      <c r="E37" s="3" t="s">
        <v>36</v>
      </c>
      <c r="F37" s="3" t="s">
        <v>37</v>
      </c>
      <c r="G37" s="3" t="s">
        <v>38</v>
      </c>
      <c r="H37" s="3" t="s">
        <v>39</v>
      </c>
    </row>
    <row r="38" spans="3:8" ht="31.5">
      <c r="C38" s="62" t="s">
        <v>40</v>
      </c>
      <c r="D38" s="13" t="s">
        <v>41</v>
      </c>
      <c r="E38" s="53" t="s">
        <v>826</v>
      </c>
      <c r="F38" s="36" t="s">
        <v>827</v>
      </c>
      <c r="G38" s="12">
        <v>0.5</v>
      </c>
      <c r="H38" s="93" t="s">
        <v>828</v>
      </c>
    </row>
    <row r="39" spans="3:8">
      <c r="C39" s="62" t="s">
        <v>44</v>
      </c>
      <c r="D39" s="13" t="s">
        <v>163</v>
      </c>
      <c r="E39" s="52" t="s">
        <v>829</v>
      </c>
      <c r="F39" s="52" t="s">
        <v>830</v>
      </c>
      <c r="G39" s="12">
        <v>0.5</v>
      </c>
      <c r="H39" s="94" t="s">
        <v>831</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c r="E46" s="13" t="s">
        <v>50</v>
      </c>
      <c r="F46" s="13" t="s">
        <v>52</v>
      </c>
    </row>
    <row r="47" spans="3:8">
      <c r="C47" s="14" t="s">
        <v>40</v>
      </c>
      <c r="D47" s="13"/>
      <c r="E47" s="13" t="s">
        <v>57</v>
      </c>
      <c r="F47" s="13" t="s">
        <v>832</v>
      </c>
    </row>
    <row r="48" spans="3:8">
      <c r="C48" s="14" t="s">
        <v>40</v>
      </c>
      <c r="D48" s="13"/>
      <c r="E48" s="13" t="s">
        <v>53</v>
      </c>
      <c r="F48" s="13" t="s">
        <v>167</v>
      </c>
    </row>
    <row r="49" spans="3:6">
      <c r="C49" s="14" t="s">
        <v>40</v>
      </c>
      <c r="D49" s="13"/>
      <c r="E49" s="13" t="s">
        <v>168</v>
      </c>
      <c r="F49" s="13" t="s">
        <v>607</v>
      </c>
    </row>
    <row r="50" spans="3:6">
      <c r="C50" s="14" t="s">
        <v>40</v>
      </c>
      <c r="D50" s="13"/>
      <c r="E50" s="13" t="s">
        <v>55</v>
      </c>
      <c r="F50" s="13" t="s">
        <v>372</v>
      </c>
    </row>
    <row r="51" spans="3:6">
      <c r="C51" s="14" t="s">
        <v>40</v>
      </c>
      <c r="D51" s="13"/>
      <c r="E51" s="13" t="s">
        <v>106</v>
      </c>
      <c r="F51" s="13" t="s">
        <v>107</v>
      </c>
    </row>
    <row r="52" spans="3:6">
      <c r="C52" s="14" t="s">
        <v>40</v>
      </c>
      <c r="D52" s="13"/>
      <c r="E52" s="13" t="s">
        <v>315</v>
      </c>
      <c r="F52" s="13" t="s">
        <v>569</v>
      </c>
    </row>
    <row r="53" spans="3:6">
      <c r="C53" s="14" t="s">
        <v>40</v>
      </c>
      <c r="D53" s="13"/>
      <c r="E53" s="13" t="s">
        <v>433</v>
      </c>
      <c r="F53" s="13" t="s">
        <v>434</v>
      </c>
    </row>
    <row r="54" spans="3:6">
      <c r="C54" s="14" t="s">
        <v>40</v>
      </c>
      <c r="D54" s="13"/>
      <c r="E54" s="13" t="s">
        <v>102</v>
      </c>
      <c r="F54" s="13" t="s">
        <v>103</v>
      </c>
    </row>
    <row r="55" spans="3:6">
      <c r="C55" s="14" t="s">
        <v>44</v>
      </c>
      <c r="D55" s="13"/>
      <c r="E55" s="13" t="s">
        <v>50</v>
      </c>
      <c r="F55" s="13" t="s">
        <v>214</v>
      </c>
    </row>
    <row r="56" spans="3:6">
      <c r="C56" s="14" t="s">
        <v>44</v>
      </c>
      <c r="D56" s="13"/>
      <c r="E56" s="13" t="s">
        <v>53</v>
      </c>
      <c r="F56" s="13" t="s">
        <v>167</v>
      </c>
    </row>
    <row r="57" spans="3:6">
      <c r="C57" s="14" t="s">
        <v>44</v>
      </c>
      <c r="D57" s="13"/>
      <c r="E57" s="13" t="s">
        <v>168</v>
      </c>
      <c r="F57" s="13" t="s">
        <v>833</v>
      </c>
    </row>
    <row r="58" spans="3:6">
      <c r="C58" s="14" t="s">
        <v>44</v>
      </c>
      <c r="D58" s="13"/>
      <c r="E58" s="13" t="s">
        <v>55</v>
      </c>
      <c r="F58" s="13" t="s">
        <v>216</v>
      </c>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63">
        <v>1</v>
      </c>
      <c r="C71" s="64">
        <v>1</v>
      </c>
      <c r="D71" s="10"/>
      <c r="E71" s="10"/>
      <c r="F71" s="10"/>
    </row>
    <row r="72" spans="2:6">
      <c r="B72" s="63">
        <v>1</v>
      </c>
      <c r="C72" s="64">
        <v>2</v>
      </c>
      <c r="D72" s="10"/>
      <c r="E72" s="10"/>
      <c r="F72" s="10"/>
    </row>
    <row r="73" spans="2:6">
      <c r="B73" s="63">
        <v>1</v>
      </c>
      <c r="C73" s="64">
        <v>3</v>
      </c>
      <c r="D73" s="10"/>
      <c r="E73" s="10"/>
      <c r="F73" s="10"/>
    </row>
    <row r="74" spans="2:6">
      <c r="B74" s="63">
        <v>1</v>
      </c>
      <c r="C74" s="64">
        <v>4</v>
      </c>
      <c r="D74" s="10"/>
      <c r="E74" s="10"/>
      <c r="F74" s="10"/>
    </row>
    <row r="75" spans="2:6">
      <c r="B75" s="63">
        <v>1</v>
      </c>
      <c r="C75" s="64">
        <v>5</v>
      </c>
      <c r="D75" s="10"/>
      <c r="E75" s="10"/>
      <c r="F75" s="10"/>
    </row>
    <row r="76" spans="2:6">
      <c r="B76" s="63">
        <v>1</v>
      </c>
      <c r="C76" s="64">
        <v>6</v>
      </c>
      <c r="D76" s="10"/>
      <c r="E76" s="10"/>
      <c r="F76" s="10"/>
    </row>
    <row r="77" spans="2:6">
      <c r="B77" s="63">
        <v>1</v>
      </c>
      <c r="C77" s="64">
        <v>7</v>
      </c>
      <c r="D77" s="10"/>
      <c r="E77" s="10"/>
      <c r="F77" s="10"/>
    </row>
    <row r="78" spans="2:6">
      <c r="B78" s="63">
        <v>1</v>
      </c>
      <c r="C78" s="64">
        <v>8</v>
      </c>
      <c r="D78" s="10"/>
      <c r="E78" s="10"/>
      <c r="F78" s="10"/>
    </row>
    <row r="79" spans="2:6">
      <c r="B79" s="63">
        <v>1</v>
      </c>
      <c r="C79" s="64">
        <v>9</v>
      </c>
      <c r="D79" s="10"/>
      <c r="E79" s="10"/>
      <c r="F79" s="10"/>
    </row>
    <row r="80" spans="2:6">
      <c r="B80" s="63">
        <v>1</v>
      </c>
      <c r="C80" s="64">
        <v>10</v>
      </c>
      <c r="D80" s="10"/>
      <c r="E80" s="10"/>
      <c r="F80" s="10"/>
    </row>
    <row r="81" spans="2:6">
      <c r="B81" s="63">
        <v>1</v>
      </c>
      <c r="C81" s="64">
        <v>11</v>
      </c>
      <c r="D81" s="10"/>
      <c r="E81" s="10"/>
      <c r="F81" s="10"/>
    </row>
    <row r="82" spans="2:6">
      <c r="B82" s="63">
        <v>1</v>
      </c>
      <c r="C82" s="64">
        <v>12</v>
      </c>
      <c r="D82" s="10"/>
      <c r="E82" s="10"/>
      <c r="F82" s="10"/>
    </row>
    <row r="83" spans="2:6" ht="30">
      <c r="B83" s="63">
        <v>2</v>
      </c>
      <c r="C83" s="64">
        <v>19</v>
      </c>
      <c r="D83" s="10" t="s">
        <v>834</v>
      </c>
      <c r="E83" s="10" t="s">
        <v>835</v>
      </c>
      <c r="F83" s="10"/>
    </row>
    <row r="84" spans="2:6">
      <c r="B84" s="63">
        <v>2</v>
      </c>
      <c r="C84" s="64">
        <v>20</v>
      </c>
      <c r="D84" s="10" t="s">
        <v>836</v>
      </c>
      <c r="E84" s="10" t="s">
        <v>837</v>
      </c>
      <c r="F84" s="10"/>
    </row>
    <row r="85" spans="2:6">
      <c r="B85" s="63">
        <v>2</v>
      </c>
      <c r="C85" s="64">
        <v>21</v>
      </c>
      <c r="D85" s="10" t="s">
        <v>838</v>
      </c>
      <c r="E85" s="10" t="s">
        <v>837</v>
      </c>
      <c r="F85" s="10"/>
    </row>
    <row r="86" spans="2:6">
      <c r="B86" s="63">
        <v>2</v>
      </c>
      <c r="C86" s="64">
        <v>22</v>
      </c>
      <c r="D86" s="10" t="s">
        <v>839</v>
      </c>
      <c r="E86" s="10" t="s">
        <v>840</v>
      </c>
      <c r="F86" s="10"/>
    </row>
    <row r="87" spans="2:6">
      <c r="B87" s="63">
        <v>2</v>
      </c>
      <c r="C87" s="64">
        <v>23</v>
      </c>
      <c r="D87" s="10" t="s">
        <v>841</v>
      </c>
      <c r="E87" s="10" t="s">
        <v>842</v>
      </c>
      <c r="F87" s="10"/>
    </row>
    <row r="88" spans="2:6">
      <c r="B88" s="63">
        <v>2</v>
      </c>
      <c r="C88" s="64">
        <v>24</v>
      </c>
      <c r="D88" s="104" t="s">
        <v>843</v>
      </c>
      <c r="E88" s="10"/>
      <c r="F88" s="10"/>
    </row>
    <row r="89" spans="2:6">
      <c r="B89" s="63">
        <v>2</v>
      </c>
      <c r="C89" s="64">
        <v>25</v>
      </c>
      <c r="D89" s="10" t="s">
        <v>844</v>
      </c>
      <c r="E89" s="10" t="s">
        <v>842</v>
      </c>
      <c r="F89" s="10" t="s">
        <v>845</v>
      </c>
    </row>
    <row r="90" spans="2:6">
      <c r="B90" s="63">
        <v>2</v>
      </c>
      <c r="C90" s="64">
        <v>26</v>
      </c>
      <c r="D90" s="10" t="s">
        <v>846</v>
      </c>
      <c r="E90" s="10" t="s">
        <v>847</v>
      </c>
      <c r="F90" s="10"/>
    </row>
    <row r="91" spans="2:6">
      <c r="B91" s="63">
        <v>2</v>
      </c>
      <c r="C91" s="64">
        <v>29</v>
      </c>
      <c r="D91" s="10" t="s">
        <v>848</v>
      </c>
      <c r="E91" s="10" t="s">
        <v>849</v>
      </c>
      <c r="F91" s="10"/>
    </row>
    <row r="92" spans="2:6">
      <c r="B92" s="63">
        <v>2</v>
      </c>
      <c r="C92" s="64">
        <v>30</v>
      </c>
      <c r="D92" s="10" t="s">
        <v>850</v>
      </c>
      <c r="E92" s="10" t="s">
        <v>851</v>
      </c>
      <c r="F92" s="10"/>
    </row>
    <row r="93" spans="2:6" ht="30">
      <c r="B93" s="63">
        <v>2</v>
      </c>
      <c r="C93" s="64">
        <v>31</v>
      </c>
      <c r="D93" s="10" t="s">
        <v>852</v>
      </c>
      <c r="E93" s="10" t="s">
        <v>853</v>
      </c>
      <c r="F93" s="10"/>
    </row>
    <row r="94" spans="2:6">
      <c r="B94" s="63">
        <v>2</v>
      </c>
      <c r="C94" s="64">
        <v>32</v>
      </c>
      <c r="D94" s="10" t="s">
        <v>854</v>
      </c>
      <c r="E94" s="10" t="s">
        <v>849</v>
      </c>
      <c r="F94" s="10" t="s">
        <v>490</v>
      </c>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8CBCDEC8-6F68-45B0-93C5-4B30DFD3059E}">
      <formula1>0</formula1>
      <formula2>80</formula2>
    </dataValidation>
    <dataValidation type="whole" showInputMessage="1" showErrorMessage="1" error="This is not a realistic number of contact hours please change" sqref="D19" xr:uid="{A3E3042D-C6D6-4659-9EB6-3A0A4CCE562C}">
      <formula1>0</formula1>
      <formula2>80</formula2>
    </dataValidation>
    <dataValidation type="list" allowBlank="1" showInputMessage="1" showErrorMessage="1" sqref="E38:E39" xr:uid="{27ED70AE-0BE6-4926-B89E-CAE1153E545F}">
      <formula1>INDIRECT("LISTAssess[Assessment Specific]")</formula1>
    </dataValidation>
    <dataValidation type="list" allowBlank="1" showInputMessage="1" showErrorMessage="1" sqref="F46:F66" xr:uid="{20FD852B-56EB-41E9-B5E0-D11475773C95}">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01E0B599-7CBE-42B9-BBAB-34400D753FCD}">
          <x14:formula1>
            <xm:f>LISTS!$C$26:$C$37</xm:f>
          </x14:formula1>
          <xm:sqref>D14</xm:sqref>
        </x14:dataValidation>
        <x14:dataValidation type="list" allowBlank="1" showInputMessage="1" showErrorMessage="1" xr:uid="{4ABF9485-26C6-494E-A1FC-338076509AF5}">
          <x14:formula1>
            <xm:f>LISTS!$C$17:$C$22</xm:f>
          </x14:formula1>
          <xm:sqref>D13</xm:sqref>
        </x14:dataValidation>
        <x14:dataValidation type="list" allowBlank="1" showInputMessage="1" showErrorMessage="1" xr:uid="{5B7033AE-F406-4703-A36A-8F82A754CD98}">
          <x14:formula1>
            <xm:f>LISTS!$C$7:$C$9</xm:f>
          </x14:formula1>
          <xm:sqref>D10</xm:sqref>
        </x14:dataValidation>
        <x14:dataValidation type="list" allowBlank="1" showInputMessage="1" showErrorMessage="1" xr:uid="{94490993-6F1E-4EC4-B660-EDD238DD7DF0}">
          <x14:formula1>
            <xm:f>LISTS!$C$11:$C$15</xm:f>
          </x14:formula1>
          <xm:sqref>D11</xm:sqref>
        </x14:dataValidation>
        <x14:dataValidation type="list" allowBlank="1" showInputMessage="1" showErrorMessage="1" xr:uid="{8CF8A831-3DC0-40E1-B8B5-362E5214EA0F}">
          <x14:formula1>
            <xm:f>LISTS!$E$7:$E$11</xm:f>
          </x14:formula1>
          <xm:sqref>D46:D66</xm:sqref>
        </x14:dataValidation>
        <x14:dataValidation type="list" allowBlank="1" showInputMessage="1" showErrorMessage="1" xr:uid="{DFCAE399-00E2-4B92-9C9E-43D9858796CB}">
          <x14:formula1>
            <xm:f>LISTS!$J$7:$J$16</xm:f>
          </x14:formula1>
          <xm:sqref>E46:E66</xm:sqref>
        </x14:dataValidation>
        <x14:dataValidation type="list" allowBlank="1" showInputMessage="1" showErrorMessage="1" xr:uid="{957CB1A9-C852-440B-BBDE-8D1E3D09EDF7}">
          <x14:formula1>
            <xm:f>LISTS!$G$7:$G$11</xm:f>
          </x14:formula1>
          <xm:sqref>D42 D38:D39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4455-5C9F-407B-9192-42F597732675}">
  <sheetPr codeName="Sheet19"/>
  <dimension ref="B2:H94"/>
  <sheetViews>
    <sheetView showGridLines="0" topLeftCell="A12" zoomScale="85" zoomScaleNormal="85" workbookViewId="0">
      <selection activeCell="E38" sqref="E38"/>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6108SPS</v>
      </c>
      <c r="D2" s="9" t="str">
        <f>D8</f>
        <v>Health and Performance Nutrition</v>
      </c>
    </row>
    <row r="3" spans="2:6">
      <c r="B3" s="1"/>
      <c r="C3" s="1"/>
    </row>
    <row r="4" spans="2:6">
      <c r="B4" s="2"/>
      <c r="C4" s="2"/>
      <c r="E4" s="100" t="s">
        <v>855</v>
      </c>
    </row>
    <row r="5" spans="2:6" ht="18.75">
      <c r="B5" s="2"/>
      <c r="C5" s="5" t="s">
        <v>0</v>
      </c>
    </row>
    <row r="6" spans="2:6">
      <c r="B6" s="2"/>
      <c r="C6" s="3" t="s">
        <v>1</v>
      </c>
      <c r="D6" s="4" t="s">
        <v>2</v>
      </c>
      <c r="E6" s="4"/>
      <c r="F6" t="s">
        <v>3</v>
      </c>
    </row>
    <row r="7" spans="2:6">
      <c r="B7" s="2"/>
      <c r="C7" s="62" t="s">
        <v>4</v>
      </c>
      <c r="D7" s="10" t="s">
        <v>856</v>
      </c>
      <c r="E7" s="4"/>
      <c r="F7" s="13" t="s">
        <v>857</v>
      </c>
    </row>
    <row r="8" spans="2:6">
      <c r="B8" s="2"/>
      <c r="C8" s="62" t="s">
        <v>6</v>
      </c>
      <c r="D8" s="10" t="s">
        <v>858</v>
      </c>
      <c r="E8" s="4"/>
      <c r="F8" s="13" t="s">
        <v>859</v>
      </c>
    </row>
    <row r="9" spans="2:6">
      <c r="C9" s="62" t="s">
        <v>7</v>
      </c>
      <c r="D9" s="10">
        <v>20</v>
      </c>
      <c r="E9" s="4"/>
    </row>
    <row r="10" spans="2:6">
      <c r="C10" s="62" t="s">
        <v>8</v>
      </c>
      <c r="D10" s="10">
        <v>1</v>
      </c>
      <c r="E10" s="4"/>
      <c r="F10" t="s">
        <v>9</v>
      </c>
    </row>
    <row r="11" spans="2:6">
      <c r="C11" s="62" t="s">
        <v>10</v>
      </c>
      <c r="D11" s="10">
        <v>6</v>
      </c>
      <c r="E11" s="4"/>
      <c r="F11" s="13" t="s">
        <v>860</v>
      </c>
    </row>
    <row r="12" spans="2:6" ht="60">
      <c r="C12" s="62" t="s">
        <v>11</v>
      </c>
      <c r="D12" s="10" t="s">
        <v>861</v>
      </c>
      <c r="E12" s="4"/>
      <c r="F12" s="20" t="s">
        <v>862</v>
      </c>
    </row>
    <row r="13" spans="2:6" ht="60">
      <c r="C13" s="62" t="s">
        <v>12</v>
      </c>
      <c r="D13" s="10" t="s">
        <v>551</v>
      </c>
      <c r="E13" s="4"/>
      <c r="F13" s="20" t="s">
        <v>863</v>
      </c>
    </row>
    <row r="14" spans="2:6">
      <c r="C14" s="62" t="s">
        <v>13</v>
      </c>
      <c r="D14" s="10" t="s">
        <v>86</v>
      </c>
      <c r="E14" s="4"/>
    </row>
    <row r="15" spans="2:6">
      <c r="C15" s="3"/>
      <c r="D15" s="4"/>
      <c r="E15" s="4"/>
      <c r="F15" t="s">
        <v>14</v>
      </c>
    </row>
    <row r="16" spans="2:6">
      <c r="C16" s="3"/>
      <c r="D16" s="4"/>
      <c r="E16" s="4"/>
      <c r="F16" s="13" t="s">
        <v>864</v>
      </c>
    </row>
    <row r="17" spans="3:6" ht="18.75">
      <c r="C17" s="5" t="s">
        <v>15</v>
      </c>
      <c r="D17" s="4"/>
      <c r="E17" s="4"/>
      <c r="F17" s="13"/>
    </row>
    <row r="18" spans="3:6">
      <c r="C18" s="3" t="s">
        <v>16</v>
      </c>
      <c r="D18" s="1" t="s">
        <v>15</v>
      </c>
      <c r="E18" s="4"/>
      <c r="F18" s="13"/>
    </row>
    <row r="19" spans="3:6">
      <c r="C19" s="62" t="s">
        <v>17</v>
      </c>
      <c r="D19" s="11">
        <v>20</v>
      </c>
      <c r="E19" s="4"/>
      <c r="F19" s="13"/>
    </row>
    <row r="20" spans="3:6">
      <c r="C20" s="62" t="s">
        <v>18</v>
      </c>
      <c r="D20" s="11">
        <v>14</v>
      </c>
      <c r="E20" s="4"/>
      <c r="F20" s="13"/>
    </row>
    <row r="21" spans="3:6">
      <c r="C21" s="62" t="s">
        <v>19</v>
      </c>
      <c r="D21" s="11">
        <v>2</v>
      </c>
      <c r="E21" s="4"/>
    </row>
    <row r="22" spans="3:6">
      <c r="C22" s="62" t="s">
        <v>20</v>
      </c>
      <c r="D22" s="11">
        <v>6</v>
      </c>
      <c r="E22" s="4"/>
      <c r="F22" t="s">
        <v>21</v>
      </c>
    </row>
    <row r="23" spans="3:6">
      <c r="C23" s="62" t="s">
        <v>22</v>
      </c>
      <c r="D23" s="11"/>
      <c r="E23" s="4"/>
      <c r="F23" s="13" t="s">
        <v>865</v>
      </c>
    </row>
    <row r="24" spans="3:6">
      <c r="C24" s="62" t="s">
        <v>23</v>
      </c>
      <c r="D24" s="1">
        <f>SUM(D19:D23)</f>
        <v>42</v>
      </c>
      <c r="E24" s="4"/>
      <c r="F24" s="13" t="s">
        <v>866</v>
      </c>
    </row>
    <row r="25" spans="3:6">
      <c r="F25" s="13"/>
    </row>
    <row r="26" spans="3:6">
      <c r="F26" s="13"/>
    </row>
    <row r="27" spans="3:6" ht="18.75">
      <c r="C27" s="5" t="s">
        <v>24</v>
      </c>
      <c r="D27" s="8" t="s">
        <v>25</v>
      </c>
      <c r="F27" s="13"/>
    </row>
    <row r="28" spans="3:6">
      <c r="C28" s="3" t="s">
        <v>26</v>
      </c>
      <c r="D28" s="3" t="s">
        <v>27</v>
      </c>
      <c r="E28" s="3"/>
      <c r="F28" s="13"/>
    </row>
    <row r="29" spans="3:6" ht="30">
      <c r="C29" s="62" t="s">
        <v>28</v>
      </c>
      <c r="D29" s="10" t="s">
        <v>867</v>
      </c>
      <c r="E29" s="4"/>
      <c r="F29" s="13"/>
    </row>
    <row r="30" spans="3:6" ht="45">
      <c r="C30" s="62" t="s">
        <v>29</v>
      </c>
      <c r="D30" s="10" t="s">
        <v>868</v>
      </c>
      <c r="E30" s="4"/>
      <c r="F30" s="13"/>
    </row>
    <row r="31" spans="3:6" ht="30">
      <c r="C31" s="62" t="s">
        <v>30</v>
      </c>
      <c r="D31" s="10" t="s">
        <v>869</v>
      </c>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30">
      <c r="C38" s="62" t="s">
        <v>40</v>
      </c>
      <c r="D38" s="10" t="s">
        <v>41</v>
      </c>
      <c r="E38" s="10" t="s">
        <v>42</v>
      </c>
      <c r="F38" s="10" t="s">
        <v>870</v>
      </c>
      <c r="G38" s="12">
        <v>0.3</v>
      </c>
      <c r="H38" s="10">
        <v>9</v>
      </c>
    </row>
    <row r="39" spans="3:8">
      <c r="C39" s="62" t="s">
        <v>44</v>
      </c>
      <c r="D39" s="10" t="s">
        <v>97</v>
      </c>
      <c r="E39" s="10" t="s">
        <v>871</v>
      </c>
      <c r="F39" s="10" t="s">
        <v>872</v>
      </c>
      <c r="G39" s="12">
        <v>0.7</v>
      </c>
      <c r="H39" s="10">
        <v>12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ht="15.75">
      <c r="C46" s="26" t="s">
        <v>40</v>
      </c>
      <c r="D46" s="25" t="s">
        <v>28</v>
      </c>
      <c r="E46" s="25" t="s">
        <v>57</v>
      </c>
      <c r="F46" s="25" t="s">
        <v>706</v>
      </c>
    </row>
    <row r="47" spans="3:8" ht="15.75">
      <c r="C47" s="27" t="s">
        <v>40</v>
      </c>
      <c r="D47" s="25" t="s">
        <v>28</v>
      </c>
      <c r="E47" s="25" t="s">
        <v>55</v>
      </c>
      <c r="F47" s="25" t="s">
        <v>56</v>
      </c>
    </row>
    <row r="48" spans="3:8" ht="15.75">
      <c r="C48" s="26" t="s">
        <v>40</v>
      </c>
      <c r="D48" s="25" t="s">
        <v>29</v>
      </c>
      <c r="E48" s="25" t="s">
        <v>50</v>
      </c>
      <c r="F48" s="25" t="s">
        <v>606</v>
      </c>
    </row>
    <row r="49" spans="3:6" ht="15.75">
      <c r="C49" s="27" t="s">
        <v>40</v>
      </c>
      <c r="D49" s="25" t="s">
        <v>29</v>
      </c>
      <c r="E49" s="25" t="s">
        <v>50</v>
      </c>
      <c r="F49" s="25" t="s">
        <v>214</v>
      </c>
    </row>
    <row r="50" spans="3:6" ht="15.75">
      <c r="C50" s="26" t="s">
        <v>40</v>
      </c>
      <c r="D50" s="25" t="s">
        <v>30</v>
      </c>
      <c r="E50" s="25" t="s">
        <v>50</v>
      </c>
      <c r="F50" s="25" t="s">
        <v>317</v>
      </c>
    </row>
    <row r="51" spans="3:6" ht="15.75">
      <c r="C51" s="27" t="s">
        <v>44</v>
      </c>
      <c r="D51" s="25" t="s">
        <v>30</v>
      </c>
      <c r="E51" s="25" t="s">
        <v>50</v>
      </c>
      <c r="F51" s="25" t="s">
        <v>606</v>
      </c>
    </row>
    <row r="52" spans="3:6" ht="15.75">
      <c r="C52" s="26" t="s">
        <v>44</v>
      </c>
      <c r="D52" s="25" t="s">
        <v>28</v>
      </c>
      <c r="E52" s="25" t="s">
        <v>50</v>
      </c>
      <c r="F52" s="25" t="s">
        <v>509</v>
      </c>
    </row>
    <row r="53" spans="3:6" ht="15.75">
      <c r="C53" s="27" t="s">
        <v>44</v>
      </c>
      <c r="D53" s="25" t="s">
        <v>28</v>
      </c>
      <c r="E53" s="25" t="s">
        <v>50</v>
      </c>
      <c r="F53" s="25" t="s">
        <v>52</v>
      </c>
    </row>
    <row r="54" spans="3:6" ht="15.75">
      <c r="C54" s="26" t="s">
        <v>44</v>
      </c>
      <c r="D54" s="25" t="s">
        <v>29</v>
      </c>
      <c r="E54" s="25" t="s">
        <v>50</v>
      </c>
      <c r="F54" s="25" t="s">
        <v>214</v>
      </c>
    </row>
    <row r="55" spans="3:6" ht="15.75">
      <c r="C55" s="14" t="s">
        <v>44</v>
      </c>
      <c r="D55" s="25" t="s">
        <v>30</v>
      </c>
      <c r="E55" s="25" t="s">
        <v>50</v>
      </c>
      <c r="F55" s="25" t="s">
        <v>317</v>
      </c>
    </row>
    <row r="56" spans="3:6" ht="15.75">
      <c r="C56" s="14" t="s">
        <v>44</v>
      </c>
      <c r="D56" s="25" t="s">
        <v>30</v>
      </c>
      <c r="E56" s="25" t="s">
        <v>50</v>
      </c>
      <c r="F56" s="25" t="s">
        <v>606</v>
      </c>
    </row>
    <row r="57" spans="3:6" ht="15.75">
      <c r="C57" s="14"/>
      <c r="D57" s="25"/>
      <c r="E57" s="25"/>
      <c r="F57" s="25"/>
    </row>
    <row r="58" spans="3:6" ht="15.75">
      <c r="C58" s="14"/>
      <c r="D58" s="25"/>
      <c r="E58" s="25"/>
      <c r="F58" s="25"/>
    </row>
    <row r="59" spans="3:6" ht="15.75">
      <c r="C59" s="14"/>
      <c r="D59" s="25"/>
      <c r="E59" s="25"/>
      <c r="F59" s="25"/>
    </row>
    <row r="60" spans="3:6" ht="15.75">
      <c r="C60" s="14"/>
      <c r="D60" s="25"/>
      <c r="E60" s="25"/>
      <c r="F60" s="25"/>
    </row>
    <row r="61" spans="3:6" ht="15.75">
      <c r="C61" s="14"/>
      <c r="D61" s="25"/>
      <c r="E61" s="25"/>
      <c r="F61" s="25"/>
    </row>
    <row r="62" spans="3:6" ht="15.75">
      <c r="C62" s="14"/>
      <c r="D62" s="25"/>
      <c r="E62" s="25"/>
      <c r="F62" s="25"/>
    </row>
    <row r="63" spans="3:6" ht="15.75">
      <c r="C63" s="14"/>
      <c r="D63" s="25"/>
      <c r="E63" s="25"/>
      <c r="F63" s="25"/>
    </row>
    <row r="64" spans="3:6" ht="15.75">
      <c r="C64" s="14"/>
      <c r="D64" s="25"/>
      <c r="E64" s="25"/>
      <c r="F64" s="25"/>
    </row>
    <row r="65" spans="2:6" ht="15.75">
      <c r="C65" s="14"/>
      <c r="D65" s="25"/>
      <c r="E65" s="25"/>
      <c r="F65" s="25"/>
    </row>
    <row r="66" spans="2:6" ht="15.75">
      <c r="C66" s="14"/>
      <c r="D66" s="25"/>
      <c r="E66" s="25"/>
      <c r="F66" s="25"/>
    </row>
    <row r="69" spans="2:6" ht="18.75">
      <c r="C69" s="5" t="s">
        <v>59</v>
      </c>
    </row>
    <row r="70" spans="2:6">
      <c r="B70" t="s">
        <v>60</v>
      </c>
      <c r="C70" s="1" t="s">
        <v>61</v>
      </c>
      <c r="D70" s="1" t="s">
        <v>62</v>
      </c>
      <c r="E70" s="1" t="s">
        <v>63</v>
      </c>
      <c r="F70" s="1" t="s">
        <v>64</v>
      </c>
    </row>
    <row r="71" spans="2:6" ht="30">
      <c r="B71" s="63">
        <v>1</v>
      </c>
      <c r="C71" s="64">
        <v>1</v>
      </c>
      <c r="D71" s="10" t="s">
        <v>873</v>
      </c>
      <c r="E71" s="10"/>
      <c r="F71" s="10"/>
    </row>
    <row r="72" spans="2:6">
      <c r="B72" s="63">
        <v>1</v>
      </c>
      <c r="C72" s="64">
        <v>2</v>
      </c>
      <c r="D72" s="10" t="s">
        <v>874</v>
      </c>
      <c r="E72" s="10" t="s">
        <v>875</v>
      </c>
      <c r="F72" s="10"/>
    </row>
    <row r="73" spans="2:6">
      <c r="B73" s="63">
        <v>1</v>
      </c>
      <c r="C73" s="64">
        <v>3</v>
      </c>
      <c r="D73" s="10" t="s">
        <v>876</v>
      </c>
      <c r="E73" s="10" t="s">
        <v>877</v>
      </c>
      <c r="F73" s="10"/>
    </row>
    <row r="74" spans="2:6">
      <c r="B74" s="63">
        <v>1</v>
      </c>
      <c r="C74" s="64">
        <v>4</v>
      </c>
      <c r="D74" s="10" t="s">
        <v>878</v>
      </c>
      <c r="E74" s="10" t="s">
        <v>879</v>
      </c>
      <c r="F74" s="10" t="s">
        <v>880</v>
      </c>
    </row>
    <row r="75" spans="2:6">
      <c r="B75" s="63">
        <v>1</v>
      </c>
      <c r="C75" s="64">
        <v>5</v>
      </c>
      <c r="D75" s="10" t="s">
        <v>881</v>
      </c>
      <c r="E75" s="10" t="s">
        <v>882</v>
      </c>
      <c r="F75" s="10" t="s">
        <v>883</v>
      </c>
    </row>
    <row r="76" spans="2:6">
      <c r="B76" s="63">
        <v>1</v>
      </c>
      <c r="C76" s="64">
        <v>6</v>
      </c>
      <c r="D76" s="10" t="s">
        <v>884</v>
      </c>
      <c r="E76" s="10" t="s">
        <v>885</v>
      </c>
      <c r="F76" s="10" t="s">
        <v>886</v>
      </c>
    </row>
    <row r="77" spans="2:6" ht="18">
      <c r="B77" s="63">
        <v>1</v>
      </c>
      <c r="C77" s="64">
        <v>7</v>
      </c>
      <c r="D77" s="28" t="s">
        <v>719</v>
      </c>
      <c r="E77" s="10"/>
      <c r="F77" s="10"/>
    </row>
    <row r="78" spans="2:6">
      <c r="B78" s="63">
        <v>1</v>
      </c>
      <c r="C78" s="64">
        <v>8</v>
      </c>
      <c r="D78" s="10" t="s">
        <v>887</v>
      </c>
      <c r="E78" s="10" t="s">
        <v>888</v>
      </c>
      <c r="F78" s="10" t="s">
        <v>889</v>
      </c>
    </row>
    <row r="79" spans="2:6">
      <c r="B79" s="63">
        <v>1</v>
      </c>
      <c r="C79" s="64">
        <v>9</v>
      </c>
      <c r="D79" s="10" t="s">
        <v>890</v>
      </c>
      <c r="E79" s="10" t="s">
        <v>891</v>
      </c>
      <c r="F79" s="10"/>
    </row>
    <row r="80" spans="2:6">
      <c r="B80" s="63">
        <v>1</v>
      </c>
      <c r="C80" s="64">
        <v>10</v>
      </c>
      <c r="D80" s="10" t="s">
        <v>892</v>
      </c>
      <c r="E80" s="10"/>
      <c r="F80" s="10"/>
    </row>
    <row r="81" spans="2:6">
      <c r="B81" s="63">
        <v>1</v>
      </c>
      <c r="C81" s="64">
        <v>11</v>
      </c>
      <c r="D81" s="10" t="s">
        <v>893</v>
      </c>
      <c r="E81" s="10"/>
      <c r="F81" s="10"/>
    </row>
    <row r="82" spans="2:6">
      <c r="B82" s="63">
        <v>1</v>
      </c>
      <c r="C82" s="64">
        <v>12</v>
      </c>
      <c r="D82" s="10"/>
      <c r="E82" s="10"/>
      <c r="F82" s="10"/>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list" allowBlank="1" showInputMessage="1" showErrorMessage="1" sqref="F46:F66" xr:uid="{6DEBE8EC-2B57-4380-910E-0A2154580682}">
      <formula1>INDIRECT(VLOOKUP($E46, SkillNameMap, 2, FALSE))</formula1>
    </dataValidation>
    <dataValidation type="list" allowBlank="1" showInputMessage="1" showErrorMessage="1" sqref="E38:E41" xr:uid="{6274686E-0972-4BC0-8A91-115628F0C35E}">
      <formula1>INDIRECT("LISTAssess[Assessment Specific]")</formula1>
    </dataValidation>
    <dataValidation type="whole" showInputMessage="1" showErrorMessage="1" error="This is not a realistic number of contact hours please change" sqref="D19" xr:uid="{D71B7080-AED5-4BD2-BC61-46D1FB03F689}">
      <formula1>0</formula1>
      <formula2>80</formula2>
    </dataValidation>
    <dataValidation type="whole" showInputMessage="1" showErrorMessage="1" error="This is not a realistic number of contact hours please reduce" sqref="D20:D23" xr:uid="{50629AB0-717B-48FC-8FF1-8B4D77B3991E}">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96DA8F40-9192-4741-B2FE-57A9C46482DF}">
          <x14:formula1>
            <xm:f>LISTS!$J$7:$J$16</xm:f>
          </x14:formula1>
          <xm:sqref>E46:E66</xm:sqref>
        </x14:dataValidation>
        <x14:dataValidation type="list" allowBlank="1" showInputMessage="1" showErrorMessage="1" xr:uid="{A4EF2000-8BB6-4BFE-B91D-91E943534494}">
          <x14:formula1>
            <xm:f>LISTS!$E$7:$E$11</xm:f>
          </x14:formula1>
          <xm:sqref>D46:D66</xm:sqref>
        </x14:dataValidation>
        <x14:dataValidation type="list" allowBlank="1" showInputMessage="1" showErrorMessage="1" xr:uid="{C6D73155-D6B3-465B-BEF7-0FA25E168DED}">
          <x14:formula1>
            <xm:f>LISTS!$G$7:$G$11</xm:f>
          </x14:formula1>
          <xm:sqref>D38:D42</xm:sqref>
        </x14:dataValidation>
        <x14:dataValidation type="list" allowBlank="1" showInputMessage="1" showErrorMessage="1" xr:uid="{B0028DB5-73A5-49CC-9F11-A5A6090C114A}">
          <x14:formula1>
            <xm:f>LISTS!$C$11:$C$15</xm:f>
          </x14:formula1>
          <xm:sqref>D11</xm:sqref>
        </x14:dataValidation>
        <x14:dataValidation type="list" allowBlank="1" showInputMessage="1" showErrorMessage="1" xr:uid="{B42E3CF9-1ABB-4684-872B-EC2BAFBA300F}">
          <x14:formula1>
            <xm:f>LISTS!$C$7:$C$9</xm:f>
          </x14:formula1>
          <xm:sqref>D10</xm:sqref>
        </x14:dataValidation>
        <x14:dataValidation type="list" allowBlank="1" showInputMessage="1" showErrorMessage="1" xr:uid="{A8C95E66-AD61-4BFC-ABB4-381106E7EE30}">
          <x14:formula1>
            <xm:f>LISTS!$C$17:$C$22</xm:f>
          </x14:formula1>
          <xm:sqref>D13</xm:sqref>
        </x14:dataValidation>
        <x14:dataValidation type="list" allowBlank="1" showInputMessage="1" showErrorMessage="1" xr:uid="{6D716C63-5AE4-4FD1-B40D-675960865ED5}">
          <x14:formula1>
            <xm:f>LISTS!$C$26:$C$37</xm:f>
          </x14:formula1>
          <xm:sqref>D14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DFE9-F6DD-4E3D-9B0A-EE0E4450ED7C}">
  <sheetPr codeName="Sheet20"/>
  <dimension ref="B2:H100"/>
  <sheetViews>
    <sheetView showGridLines="0" topLeftCell="A14" zoomScale="85" zoomScaleNormal="85" workbookViewId="0">
      <selection activeCell="F28" sqref="F28"/>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6109SPS</v>
      </c>
      <c r="D2" s="9" t="str">
        <f>D8</f>
        <v>Applied Professional Practice </v>
      </c>
    </row>
    <row r="3" spans="2:6">
      <c r="B3" s="1"/>
      <c r="C3" s="1"/>
      <c r="E3" s="100" t="s">
        <v>894</v>
      </c>
    </row>
    <row r="4" spans="2:6">
      <c r="B4" s="2"/>
      <c r="C4" s="2"/>
      <c r="E4" s="100" t="s">
        <v>895</v>
      </c>
    </row>
    <row r="5" spans="2:6" ht="18.75">
      <c r="B5" s="2"/>
      <c r="C5" s="5" t="s">
        <v>0</v>
      </c>
    </row>
    <row r="6" spans="2:6">
      <c r="B6" s="2"/>
      <c r="C6" s="3" t="s">
        <v>1</v>
      </c>
      <c r="D6" s="4" t="s">
        <v>2</v>
      </c>
      <c r="E6" s="4"/>
      <c r="F6" t="s">
        <v>3</v>
      </c>
    </row>
    <row r="7" spans="2:6" ht="60">
      <c r="B7" s="2"/>
      <c r="C7" s="62" t="s">
        <v>4</v>
      </c>
      <c r="D7" s="10" t="s">
        <v>896</v>
      </c>
      <c r="E7" s="4"/>
      <c r="F7" s="20" t="s">
        <v>897</v>
      </c>
    </row>
    <row r="8" spans="2:6" ht="15.75">
      <c r="B8" s="2"/>
      <c r="C8" s="62" t="s">
        <v>6</v>
      </c>
      <c r="D8" s="15" t="s">
        <v>898</v>
      </c>
      <c r="E8" s="4"/>
      <c r="F8" s="13"/>
    </row>
    <row r="9" spans="2:6">
      <c r="C9" s="62" t="s">
        <v>7</v>
      </c>
      <c r="D9" s="10">
        <v>20</v>
      </c>
      <c r="E9" s="4"/>
    </row>
    <row r="10" spans="2:6">
      <c r="C10" s="62" t="s">
        <v>8</v>
      </c>
      <c r="D10" s="10" t="s">
        <v>899</v>
      </c>
      <c r="E10" s="4"/>
      <c r="F10" t="s">
        <v>9</v>
      </c>
    </row>
    <row r="11" spans="2:6" ht="30">
      <c r="C11" s="62" t="s">
        <v>10</v>
      </c>
      <c r="D11" s="10">
        <v>6</v>
      </c>
      <c r="E11" s="4"/>
      <c r="F11" s="20" t="s">
        <v>900</v>
      </c>
    </row>
    <row r="12" spans="2:6">
      <c r="C12" s="62" t="s">
        <v>11</v>
      </c>
      <c r="D12" s="10" t="s">
        <v>901</v>
      </c>
      <c r="E12" s="4"/>
      <c r="F12" s="13"/>
    </row>
    <row r="13" spans="2:6">
      <c r="C13" s="62" t="s">
        <v>12</v>
      </c>
      <c r="D13" s="10" t="s">
        <v>85</v>
      </c>
      <c r="E13" s="4"/>
      <c r="F13" s="13"/>
    </row>
    <row r="14" spans="2:6">
      <c r="C14" s="62" t="s">
        <v>13</v>
      </c>
      <c r="D14" s="10" t="s">
        <v>86</v>
      </c>
      <c r="E14" s="4"/>
    </row>
    <row r="15" spans="2:6">
      <c r="C15" s="3"/>
      <c r="D15" s="4"/>
      <c r="E15" s="4"/>
      <c r="F15" t="s">
        <v>14</v>
      </c>
    </row>
    <row r="16" spans="2:6" ht="135">
      <c r="C16" s="3"/>
      <c r="D16" s="4"/>
      <c r="E16" s="4"/>
      <c r="F16" s="20" t="s">
        <v>902</v>
      </c>
    </row>
    <row r="17" spans="3:6" ht="18.75">
      <c r="C17" s="5" t="s">
        <v>15</v>
      </c>
      <c r="D17" s="4"/>
      <c r="E17" s="4"/>
      <c r="F17" s="13"/>
    </row>
    <row r="18" spans="3:6">
      <c r="C18" s="3" t="s">
        <v>16</v>
      </c>
      <c r="D18" s="1" t="s">
        <v>15</v>
      </c>
      <c r="E18" s="4"/>
      <c r="F18" s="13"/>
    </row>
    <row r="19" spans="3:6">
      <c r="C19" s="62" t="s">
        <v>17</v>
      </c>
      <c r="D19" s="11">
        <v>10</v>
      </c>
      <c r="E19" s="4"/>
      <c r="F19" s="13"/>
    </row>
    <row r="20" spans="3:6">
      <c r="C20" s="62" t="s">
        <v>18</v>
      </c>
      <c r="D20" s="11"/>
      <c r="E20" s="4"/>
      <c r="F20" s="13"/>
    </row>
    <row r="21" spans="3:6">
      <c r="C21" s="62" t="s">
        <v>19</v>
      </c>
      <c r="D21" s="11">
        <v>40</v>
      </c>
      <c r="E21" s="4"/>
    </row>
    <row r="22" spans="3:6">
      <c r="C22" s="62" t="s">
        <v>20</v>
      </c>
      <c r="D22" s="11"/>
      <c r="E22" s="4"/>
      <c r="F22" t="s">
        <v>21</v>
      </c>
    </row>
    <row r="23" spans="3:6" ht="75">
      <c r="C23" s="62" t="s">
        <v>22</v>
      </c>
      <c r="D23" s="11"/>
      <c r="E23" s="4"/>
      <c r="F23" s="20" t="s">
        <v>903</v>
      </c>
    </row>
    <row r="24" spans="3:6" ht="45">
      <c r="C24" s="62" t="s">
        <v>23</v>
      </c>
      <c r="D24" s="1">
        <f>SUM(D19:D23)</f>
        <v>50</v>
      </c>
      <c r="E24" s="4"/>
      <c r="F24" s="20" t="s">
        <v>904</v>
      </c>
    </row>
    <row r="25" spans="3:6" ht="75">
      <c r="F25" s="85" t="s">
        <v>905</v>
      </c>
    </row>
    <row r="26" spans="3:6" ht="45">
      <c r="F26" s="20" t="s">
        <v>906</v>
      </c>
    </row>
    <row r="27" spans="3:6" ht="60">
      <c r="C27" s="5" t="s">
        <v>24</v>
      </c>
      <c r="D27" s="8" t="s">
        <v>25</v>
      </c>
      <c r="F27" s="20" t="s">
        <v>907</v>
      </c>
    </row>
    <row r="28" spans="3:6" ht="75">
      <c r="C28" s="3" t="s">
        <v>26</v>
      </c>
      <c r="D28" s="3" t="s">
        <v>27</v>
      </c>
      <c r="E28" s="3"/>
      <c r="F28" s="20" t="s">
        <v>908</v>
      </c>
    </row>
    <row r="29" spans="3:6" ht="47.25">
      <c r="C29" s="62" t="s">
        <v>28</v>
      </c>
      <c r="D29" s="16" t="s">
        <v>909</v>
      </c>
      <c r="E29" s="4"/>
      <c r="F29" s="13"/>
    </row>
    <row r="30" spans="3:6" ht="31.5">
      <c r="C30" s="62" t="s">
        <v>29</v>
      </c>
      <c r="D30" s="16" t="s">
        <v>910</v>
      </c>
      <c r="E30" s="4"/>
      <c r="F30" s="13"/>
    </row>
    <row r="31" spans="3:6" ht="31.5">
      <c r="C31" s="62" t="s">
        <v>30</v>
      </c>
      <c r="D31" s="17" t="s">
        <v>911</v>
      </c>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30">
      <c r="C38" s="62" t="s">
        <v>40</v>
      </c>
      <c r="D38" s="18" t="s">
        <v>97</v>
      </c>
      <c r="E38" s="10" t="s">
        <v>871</v>
      </c>
      <c r="F38" s="10" t="s">
        <v>912</v>
      </c>
      <c r="G38" s="12">
        <v>0.5</v>
      </c>
      <c r="H38" s="10">
        <v>26</v>
      </c>
    </row>
    <row r="39" spans="3:8" ht="90.75">
      <c r="C39" s="62" t="s">
        <v>44</v>
      </c>
      <c r="D39" s="10" t="s">
        <v>41</v>
      </c>
      <c r="E39" s="10" t="s">
        <v>95</v>
      </c>
      <c r="F39" s="19" t="s">
        <v>913</v>
      </c>
      <c r="G39" s="12">
        <v>0.5</v>
      </c>
      <c r="H39" s="10">
        <v>26</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214</v>
      </c>
    </row>
    <row r="47" spans="3:8">
      <c r="C47" s="14" t="s">
        <v>44</v>
      </c>
      <c r="D47" s="13" t="s">
        <v>28</v>
      </c>
      <c r="E47" s="13" t="s">
        <v>50</v>
      </c>
      <c r="F47" s="13" t="s">
        <v>606</v>
      </c>
    </row>
    <row r="48" spans="3:8">
      <c r="C48" s="14" t="s">
        <v>40</v>
      </c>
      <c r="D48" s="13" t="s">
        <v>30</v>
      </c>
      <c r="E48" s="13" t="s">
        <v>57</v>
      </c>
      <c r="F48" s="13" t="s">
        <v>78</v>
      </c>
    </row>
    <row r="49" spans="3:6">
      <c r="C49" s="14" t="s">
        <v>40</v>
      </c>
      <c r="D49" s="13" t="s">
        <v>30</v>
      </c>
      <c r="E49" s="13" t="s">
        <v>53</v>
      </c>
      <c r="F49" s="13" t="s">
        <v>217</v>
      </c>
    </row>
    <row r="50" spans="3:6">
      <c r="C50" s="14" t="s">
        <v>40</v>
      </c>
      <c r="D50" s="13" t="s">
        <v>30</v>
      </c>
      <c r="E50" s="13" t="s">
        <v>168</v>
      </c>
      <c r="F50" s="13" t="s">
        <v>169</v>
      </c>
    </row>
    <row r="51" spans="3:6">
      <c r="C51" s="14" t="s">
        <v>44</v>
      </c>
      <c r="D51" s="13" t="s">
        <v>30</v>
      </c>
      <c r="E51" s="13" t="s">
        <v>100</v>
      </c>
      <c r="F51" s="13" t="s">
        <v>101</v>
      </c>
    </row>
    <row r="52" spans="3:6">
      <c r="C52" s="14" t="s">
        <v>44</v>
      </c>
      <c r="D52" s="13" t="s">
        <v>29</v>
      </c>
      <c r="E52" s="13" t="s">
        <v>55</v>
      </c>
      <c r="F52" s="13" t="s">
        <v>56</v>
      </c>
    </row>
    <row r="53" spans="3:6">
      <c r="C53" s="14" t="s">
        <v>44</v>
      </c>
      <c r="D53" s="13" t="s">
        <v>29</v>
      </c>
      <c r="E53" s="13" t="s">
        <v>315</v>
      </c>
      <c r="F53" s="13" t="s">
        <v>569</v>
      </c>
    </row>
    <row r="54" spans="3:6">
      <c r="C54" s="14" t="s">
        <v>44</v>
      </c>
      <c r="D54" s="13" t="s">
        <v>30</v>
      </c>
      <c r="E54" s="13" t="s">
        <v>106</v>
      </c>
      <c r="F54" s="13" t="s">
        <v>107</v>
      </c>
    </row>
    <row r="55" spans="3:6">
      <c r="C55" s="14" t="s">
        <v>44</v>
      </c>
      <c r="D55" s="13" t="s">
        <v>30</v>
      </c>
      <c r="E55" s="13" t="s">
        <v>106</v>
      </c>
      <c r="F55" s="13" t="s">
        <v>273</v>
      </c>
    </row>
    <row r="56" spans="3:6">
      <c r="C56" s="14" t="s">
        <v>44</v>
      </c>
      <c r="D56" s="13" t="s">
        <v>30</v>
      </c>
      <c r="E56" s="13" t="s">
        <v>102</v>
      </c>
      <c r="F56" s="13" t="s">
        <v>914</v>
      </c>
    </row>
    <row r="57" spans="3:6">
      <c r="C57" s="14" t="s">
        <v>44</v>
      </c>
      <c r="D57" s="13" t="s">
        <v>28</v>
      </c>
      <c r="E57" s="13" t="s">
        <v>102</v>
      </c>
      <c r="F57" s="13" t="s">
        <v>103</v>
      </c>
    </row>
    <row r="58" spans="3:6">
      <c r="C58" s="14" t="s">
        <v>44</v>
      </c>
      <c r="D58" s="13" t="s">
        <v>29</v>
      </c>
      <c r="E58" s="13" t="s">
        <v>433</v>
      </c>
      <c r="F58" s="13" t="s">
        <v>434</v>
      </c>
    </row>
    <row r="59" spans="3:6">
      <c r="C59" s="14" t="s">
        <v>44</v>
      </c>
      <c r="D59" s="13" t="s">
        <v>29</v>
      </c>
      <c r="E59" s="13" t="s">
        <v>433</v>
      </c>
      <c r="F59" s="13" t="s">
        <v>915</v>
      </c>
    </row>
    <row r="60" spans="3:6">
      <c r="C60" s="14" t="s">
        <v>44</v>
      </c>
      <c r="D60" s="13" t="s">
        <v>29</v>
      </c>
      <c r="E60" s="13" t="s">
        <v>433</v>
      </c>
      <c r="F60" s="13" t="s">
        <v>916</v>
      </c>
    </row>
    <row r="61" spans="3:6">
      <c r="C61" s="14" t="s">
        <v>44</v>
      </c>
      <c r="D61" s="13" t="s">
        <v>29</v>
      </c>
      <c r="E61" s="13" t="s">
        <v>433</v>
      </c>
      <c r="F61" s="13" t="s">
        <v>917</v>
      </c>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7" spans="2:6">
      <c r="C67" s="14"/>
      <c r="D67" s="13"/>
      <c r="E67" s="13"/>
      <c r="F67" s="13"/>
    </row>
    <row r="68" spans="2:6">
      <c r="C68" s="14"/>
      <c r="D68" s="13"/>
      <c r="E68" s="13"/>
      <c r="F68" s="13"/>
    </row>
    <row r="69" spans="2:6">
      <c r="C69" s="14"/>
      <c r="D69" s="13"/>
      <c r="E69" s="13"/>
      <c r="F69" s="13"/>
    </row>
    <row r="70" spans="2:6">
      <c r="C70" s="14"/>
      <c r="D70" s="13"/>
      <c r="E70" s="13"/>
      <c r="F70" s="13"/>
    </row>
    <row r="71" spans="2:6">
      <c r="C71" s="14"/>
      <c r="D71" s="13"/>
      <c r="E71" s="13"/>
      <c r="F71" s="13"/>
    </row>
    <row r="72" spans="2:6">
      <c r="C72" s="14"/>
      <c r="D72" s="13"/>
      <c r="E72" s="13"/>
      <c r="F72" s="13"/>
    </row>
    <row r="75" spans="2:6" ht="18.75">
      <c r="C75" s="5" t="s">
        <v>59</v>
      </c>
    </row>
    <row r="76" spans="2:6">
      <c r="B76" t="s">
        <v>60</v>
      </c>
      <c r="C76" s="1" t="s">
        <v>61</v>
      </c>
      <c r="D76" s="1" t="s">
        <v>62</v>
      </c>
      <c r="E76" s="1" t="s">
        <v>63</v>
      </c>
      <c r="F76" s="1" t="s">
        <v>64</v>
      </c>
    </row>
    <row r="77" spans="2:6" ht="31.5">
      <c r="B77" s="63">
        <v>1</v>
      </c>
      <c r="C77" s="64">
        <v>1</v>
      </c>
      <c r="D77" s="89" t="s">
        <v>918</v>
      </c>
      <c r="E77" s="90" t="s">
        <v>919</v>
      </c>
      <c r="F77" s="88"/>
    </row>
    <row r="78" spans="2:6" ht="47.25">
      <c r="B78" s="63">
        <v>1</v>
      </c>
      <c r="C78" s="64">
        <v>2</v>
      </c>
      <c r="D78" s="89" t="s">
        <v>920</v>
      </c>
      <c r="E78" s="87" t="s">
        <v>921</v>
      </c>
      <c r="F78" s="88" t="s">
        <v>922</v>
      </c>
    </row>
    <row r="79" spans="2:6" ht="47.25">
      <c r="B79" s="63">
        <v>1</v>
      </c>
      <c r="C79" s="64">
        <v>3</v>
      </c>
      <c r="D79" s="89" t="s">
        <v>923</v>
      </c>
      <c r="E79" s="87" t="s">
        <v>924</v>
      </c>
      <c r="F79" s="88" t="s">
        <v>925</v>
      </c>
    </row>
    <row r="80" spans="2:6" ht="31.5">
      <c r="B80" s="63">
        <v>1</v>
      </c>
      <c r="C80" s="64">
        <v>4</v>
      </c>
      <c r="D80" s="89" t="s">
        <v>926</v>
      </c>
      <c r="E80" s="87" t="s">
        <v>927</v>
      </c>
      <c r="F80" s="88"/>
    </row>
    <row r="81" spans="2:6" ht="47.25">
      <c r="B81" s="63">
        <v>1</v>
      </c>
      <c r="C81" s="64">
        <v>5</v>
      </c>
      <c r="D81" s="89" t="s">
        <v>928</v>
      </c>
      <c r="E81" s="87" t="s">
        <v>929</v>
      </c>
      <c r="F81" s="88"/>
    </row>
    <row r="82" spans="2:6" ht="47.25">
      <c r="B82" s="63">
        <v>1</v>
      </c>
      <c r="C82" s="64">
        <v>6</v>
      </c>
      <c r="D82" s="89" t="s">
        <v>930</v>
      </c>
      <c r="E82" s="87" t="s">
        <v>931</v>
      </c>
      <c r="F82" s="88"/>
    </row>
    <row r="83" spans="2:6" ht="45">
      <c r="B83" s="63">
        <v>1</v>
      </c>
      <c r="C83" s="64">
        <v>7</v>
      </c>
      <c r="D83" s="10" t="s">
        <v>932</v>
      </c>
      <c r="E83" s="20" t="s">
        <v>933</v>
      </c>
      <c r="F83" s="10"/>
    </row>
    <row r="84" spans="2:6">
      <c r="B84" s="63">
        <v>1</v>
      </c>
      <c r="C84" s="64">
        <v>8</v>
      </c>
      <c r="D84" s="10"/>
      <c r="E84" s="10"/>
      <c r="F84" s="10"/>
    </row>
    <row r="85" spans="2:6">
      <c r="B85" s="63">
        <v>1</v>
      </c>
      <c r="C85" s="64">
        <v>9</v>
      </c>
      <c r="D85" s="10"/>
      <c r="E85" s="10"/>
      <c r="F85" s="10"/>
    </row>
    <row r="86" spans="2:6">
      <c r="B86" s="63">
        <v>1</v>
      </c>
      <c r="C86" s="64">
        <v>10</v>
      </c>
      <c r="D86" s="10"/>
      <c r="E86" s="10"/>
      <c r="F86" s="88"/>
    </row>
    <row r="87" spans="2:6">
      <c r="B87" s="63">
        <v>1</v>
      </c>
      <c r="C87" s="64">
        <v>11</v>
      </c>
      <c r="D87" s="10"/>
      <c r="E87" s="10"/>
      <c r="F87" s="10"/>
    </row>
    <row r="88" spans="2:6">
      <c r="B88" s="63">
        <v>1</v>
      </c>
      <c r="C88" s="64">
        <v>12</v>
      </c>
      <c r="D88" s="10"/>
      <c r="E88" s="10"/>
      <c r="F88" s="10"/>
    </row>
    <row r="89" spans="2:6">
      <c r="B89" s="63">
        <v>2</v>
      </c>
      <c r="C89" s="64">
        <v>1</v>
      </c>
      <c r="D89" s="10"/>
      <c r="E89" s="10"/>
      <c r="F89" s="10"/>
    </row>
    <row r="90" spans="2:6">
      <c r="B90" s="63">
        <v>2</v>
      </c>
      <c r="C90" s="64">
        <v>2</v>
      </c>
      <c r="D90" s="10"/>
      <c r="E90" s="10"/>
      <c r="F90" s="10"/>
    </row>
    <row r="91" spans="2:6">
      <c r="B91" s="63">
        <v>2</v>
      </c>
      <c r="C91" s="64">
        <v>3</v>
      </c>
      <c r="D91" s="10"/>
      <c r="E91" s="10"/>
      <c r="F91" s="10"/>
    </row>
    <row r="92" spans="2:6">
      <c r="B92" s="63">
        <v>2</v>
      </c>
      <c r="C92" s="64">
        <v>4</v>
      </c>
      <c r="D92" s="10"/>
      <c r="E92" s="10"/>
      <c r="F92" s="10"/>
    </row>
    <row r="93" spans="2:6" ht="30">
      <c r="B93" s="63">
        <v>2</v>
      </c>
      <c r="C93" s="64">
        <v>5</v>
      </c>
      <c r="D93" s="10" t="s">
        <v>934</v>
      </c>
      <c r="E93" s="10" t="s">
        <v>935</v>
      </c>
      <c r="F93" s="10" t="s">
        <v>936</v>
      </c>
    </row>
    <row r="94" spans="2:6">
      <c r="B94" s="63">
        <v>2</v>
      </c>
      <c r="C94" s="64">
        <v>6</v>
      </c>
      <c r="D94" s="10"/>
      <c r="E94" s="10"/>
      <c r="F94" s="10"/>
    </row>
    <row r="95" spans="2:6">
      <c r="B95" s="63">
        <v>2</v>
      </c>
      <c r="C95" s="64">
        <v>7</v>
      </c>
      <c r="D95" s="10"/>
      <c r="E95" s="10"/>
      <c r="F95" s="10"/>
    </row>
    <row r="96" spans="2:6">
      <c r="B96" s="63">
        <v>2</v>
      </c>
      <c r="C96" s="64">
        <v>8</v>
      </c>
      <c r="D96" s="10"/>
      <c r="E96" s="10"/>
      <c r="F96" s="10"/>
    </row>
    <row r="97" spans="2:6">
      <c r="B97" s="63">
        <v>2</v>
      </c>
      <c r="C97" s="64">
        <v>9</v>
      </c>
      <c r="D97" s="10"/>
      <c r="E97" s="10"/>
      <c r="F97" s="10"/>
    </row>
    <row r="98" spans="2:6">
      <c r="B98" s="63">
        <v>2</v>
      </c>
      <c r="C98" s="64">
        <v>10</v>
      </c>
      <c r="D98" s="10"/>
      <c r="E98" s="10"/>
      <c r="F98" s="10"/>
    </row>
    <row r="99" spans="2:6">
      <c r="B99" s="63">
        <v>2</v>
      </c>
      <c r="C99" s="64">
        <v>11</v>
      </c>
      <c r="D99" s="10"/>
      <c r="E99" s="10"/>
      <c r="F99" s="10"/>
    </row>
    <row r="100" spans="2:6">
      <c r="B100" s="63">
        <v>2</v>
      </c>
      <c r="C100" s="64">
        <v>12</v>
      </c>
      <c r="D100" s="10"/>
      <c r="E100" s="10"/>
      <c r="F100" s="10"/>
    </row>
  </sheetData>
  <sheetProtection sheet="1" objects="1" scenarios="1" formatCells="0" formatColumns="0" formatRows="0" insertHyperlinks="0"/>
  <dataValidations count="4">
    <dataValidation type="list" allowBlank="1" showInputMessage="1" showErrorMessage="1" sqref="F46:F72" xr:uid="{8CD18753-D5D5-47C9-AE29-C832814F9869}">
      <formula1>INDIRECT(VLOOKUP($E46, SkillNameMap, 2, FALSE))</formula1>
    </dataValidation>
    <dataValidation type="list" allowBlank="1" showInputMessage="1" showErrorMessage="1" sqref="E38:E41" xr:uid="{30ED3A3D-A6E5-45DA-A072-4863AA8C1558}">
      <formula1>INDIRECT("LISTAssess[Assessment Specific]")</formula1>
    </dataValidation>
    <dataValidation type="whole" showInputMessage="1" showErrorMessage="1" error="This is not a realistic number of contact hours please change" sqref="D19" xr:uid="{ED7F7914-6C28-4D8E-B268-3CD5BA4E3144}">
      <formula1>0</formula1>
      <formula2>80</formula2>
    </dataValidation>
    <dataValidation type="whole" showInputMessage="1" showErrorMessage="1" error="This is not a realistic number of contact hours please reduce" sqref="D20:D23" xr:uid="{7D2F483B-63CE-4110-AF1C-80CF6D50C7FA}">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8A1593AF-AF33-44A4-BD5D-F2DC41EAA86E}">
          <x14:formula1>
            <xm:f>LISTS!$J$7:$J$16</xm:f>
          </x14:formula1>
          <xm:sqref>E46:E72</xm:sqref>
        </x14:dataValidation>
        <x14:dataValidation type="list" allowBlank="1" showInputMessage="1" showErrorMessage="1" xr:uid="{13524674-6569-4444-A927-B70E751D7616}">
          <x14:formula1>
            <xm:f>LISTS!$E$7:$E$11</xm:f>
          </x14:formula1>
          <xm:sqref>D46:D72</xm:sqref>
        </x14:dataValidation>
        <x14:dataValidation type="list" allowBlank="1" showInputMessage="1" showErrorMessage="1" xr:uid="{BD1D28E8-E44D-43D6-AB31-6906AFB76CC7}">
          <x14:formula1>
            <xm:f>LISTS!$G$7:$G$11</xm:f>
          </x14:formula1>
          <xm:sqref>D39:D42</xm:sqref>
        </x14:dataValidation>
        <x14:dataValidation type="list" allowBlank="1" showInputMessage="1" showErrorMessage="1" xr:uid="{4307F0DB-5179-49DE-9F56-B0D376451B8E}">
          <x14:formula1>
            <xm:f>LISTS!$C$11:$C$15</xm:f>
          </x14:formula1>
          <xm:sqref>D11</xm:sqref>
        </x14:dataValidation>
        <x14:dataValidation type="list" allowBlank="1" showInputMessage="1" showErrorMessage="1" xr:uid="{881415EC-E12E-4E20-BF7A-6A7CDB9E721E}">
          <x14:formula1>
            <xm:f>LISTS!$C$7:$C$9</xm:f>
          </x14:formula1>
          <xm:sqref>D10</xm:sqref>
        </x14:dataValidation>
        <x14:dataValidation type="list" allowBlank="1" showInputMessage="1" showErrorMessage="1" xr:uid="{264E4697-DBBE-457A-A30D-C8272EF12344}">
          <x14:formula1>
            <xm:f>LISTS!$C$17:$C$22</xm:f>
          </x14:formula1>
          <xm:sqref>D13</xm:sqref>
        </x14:dataValidation>
        <x14:dataValidation type="list" allowBlank="1" showInputMessage="1" showErrorMessage="1" xr:uid="{849644AB-3E82-4044-91E7-7C031EBB1D3B}">
          <x14:formula1>
            <xm:f>LISTS!$C$26:$C$37</xm:f>
          </x14:formula1>
          <xm:sqref>D14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3CBE-AC61-4382-834C-8132B542CACA}">
  <sheetPr codeName="Sheet9"/>
  <dimension ref="B2:H94"/>
  <sheetViews>
    <sheetView showGridLines="0" topLeftCell="A16" zoomScale="85" zoomScaleNormal="85" workbookViewId="0">
      <selection activeCell="D12" sqref="D12"/>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6091SPS</v>
      </c>
      <c r="D2" s="9" t="str">
        <f>D8</f>
        <v>Major Project</v>
      </c>
    </row>
    <row r="3" spans="2:6">
      <c r="B3" s="1"/>
      <c r="C3" s="1"/>
    </row>
    <row r="4" spans="2:6">
      <c r="B4" s="2"/>
      <c r="C4" s="2"/>
    </row>
    <row r="5" spans="2:6" ht="18.75">
      <c r="B5" s="2"/>
      <c r="C5" s="5" t="s">
        <v>0</v>
      </c>
    </row>
    <row r="6" spans="2:6">
      <c r="B6" s="2"/>
      <c r="C6" s="3" t="s">
        <v>1</v>
      </c>
      <c r="D6" s="4" t="s">
        <v>2</v>
      </c>
      <c r="E6" s="4"/>
      <c r="F6" t="s">
        <v>3</v>
      </c>
    </row>
    <row r="7" spans="2:6" ht="60">
      <c r="B7" s="2"/>
      <c r="C7" s="62" t="s">
        <v>4</v>
      </c>
      <c r="D7" s="10" t="s">
        <v>937</v>
      </c>
      <c r="E7" s="4"/>
      <c r="F7" s="20" t="s">
        <v>938</v>
      </c>
    </row>
    <row r="8" spans="2:6">
      <c r="B8" s="2"/>
      <c r="C8" s="62" t="s">
        <v>6</v>
      </c>
      <c r="D8" s="10" t="s">
        <v>939</v>
      </c>
      <c r="E8" s="4"/>
      <c r="F8" s="20"/>
    </row>
    <row r="9" spans="2:6">
      <c r="C9" s="62" t="s">
        <v>7</v>
      </c>
      <c r="D9" s="10">
        <v>40</v>
      </c>
      <c r="E9" s="4"/>
      <c r="F9" s="91"/>
    </row>
    <row r="10" spans="2:6">
      <c r="C10" s="62" t="s">
        <v>8</v>
      </c>
      <c r="D10" s="10" t="s">
        <v>899</v>
      </c>
      <c r="E10" s="4"/>
      <c r="F10" s="91" t="s">
        <v>9</v>
      </c>
    </row>
    <row r="11" spans="2:6" ht="30">
      <c r="C11" s="62" t="s">
        <v>10</v>
      </c>
      <c r="D11" s="10">
        <v>6</v>
      </c>
      <c r="E11" s="4"/>
      <c r="F11" s="20" t="s">
        <v>940</v>
      </c>
    </row>
    <row r="12" spans="2:6" ht="30">
      <c r="C12" s="62" t="s">
        <v>11</v>
      </c>
      <c r="D12" s="10" t="s">
        <v>941</v>
      </c>
      <c r="E12" s="4"/>
      <c r="F12" s="20" t="s">
        <v>942</v>
      </c>
    </row>
    <row r="13" spans="2:6">
      <c r="C13" s="62" t="s">
        <v>12</v>
      </c>
      <c r="D13" s="10" t="s">
        <v>943</v>
      </c>
      <c r="E13" s="4"/>
      <c r="F13" s="20" t="s">
        <v>944</v>
      </c>
    </row>
    <row r="14" spans="2:6">
      <c r="C14" s="62" t="s">
        <v>13</v>
      </c>
      <c r="D14" s="10" t="s">
        <v>151</v>
      </c>
      <c r="E14" s="4"/>
      <c r="F14" s="91"/>
    </row>
    <row r="15" spans="2:6">
      <c r="C15" s="3"/>
      <c r="D15" s="4"/>
      <c r="E15" s="4"/>
      <c r="F15" s="91" t="s">
        <v>14</v>
      </c>
    </row>
    <row r="16" spans="2:6">
      <c r="C16" s="3"/>
      <c r="D16" s="4"/>
      <c r="E16" s="4"/>
      <c r="F16" s="20" t="s">
        <v>945</v>
      </c>
    </row>
    <row r="17" spans="3:6" ht="30">
      <c r="C17" s="5" t="s">
        <v>15</v>
      </c>
      <c r="D17" s="4"/>
      <c r="E17" s="4"/>
      <c r="F17" s="20" t="s">
        <v>946</v>
      </c>
    </row>
    <row r="18" spans="3:6" ht="30">
      <c r="C18" s="3" t="s">
        <v>16</v>
      </c>
      <c r="D18" s="1" t="s">
        <v>15</v>
      </c>
      <c r="E18" s="4"/>
      <c r="F18" s="20" t="s">
        <v>947</v>
      </c>
    </row>
    <row r="19" spans="3:6" ht="30">
      <c r="C19" s="62" t="s">
        <v>17</v>
      </c>
      <c r="D19" s="11">
        <v>12</v>
      </c>
      <c r="E19" s="4"/>
      <c r="F19" s="20" t="s">
        <v>948</v>
      </c>
    </row>
    <row r="20" spans="3:6">
      <c r="C20" s="62" t="s">
        <v>18</v>
      </c>
      <c r="D20" s="11">
        <v>10</v>
      </c>
      <c r="E20" s="4"/>
      <c r="F20" s="20" t="s">
        <v>949</v>
      </c>
    </row>
    <row r="21" spans="3:6">
      <c r="C21" s="62" t="s">
        <v>19</v>
      </c>
      <c r="D21" s="11"/>
      <c r="E21" s="4"/>
      <c r="F21" s="91"/>
    </row>
    <row r="22" spans="3:6">
      <c r="C22" s="62" t="s">
        <v>20</v>
      </c>
      <c r="D22" s="11"/>
      <c r="E22" s="4"/>
      <c r="F22" s="91" t="s">
        <v>21</v>
      </c>
    </row>
    <row r="23" spans="3:6" ht="90">
      <c r="C23" s="62" t="s">
        <v>22</v>
      </c>
      <c r="D23" s="11"/>
      <c r="E23" s="4"/>
      <c r="F23" s="20" t="s">
        <v>950</v>
      </c>
    </row>
    <row r="24" spans="3:6" ht="30">
      <c r="C24" s="62" t="s">
        <v>23</v>
      </c>
      <c r="D24" s="1">
        <f>SUM(D19:D23)</f>
        <v>22</v>
      </c>
      <c r="E24" s="4"/>
      <c r="F24" s="86" t="s">
        <v>951</v>
      </c>
    </row>
    <row r="25" spans="3:6">
      <c r="F25" s="86" t="s">
        <v>952</v>
      </c>
    </row>
    <row r="26" spans="3:6" ht="30">
      <c r="F26" s="86" t="s">
        <v>953</v>
      </c>
    </row>
    <row r="27" spans="3:6" ht="30">
      <c r="C27" s="5" t="s">
        <v>24</v>
      </c>
      <c r="D27" s="8" t="s">
        <v>25</v>
      </c>
      <c r="F27" s="86" t="s">
        <v>954</v>
      </c>
    </row>
    <row r="28" spans="3:6">
      <c r="C28" s="3" t="s">
        <v>26</v>
      </c>
      <c r="D28" s="3" t="s">
        <v>27</v>
      </c>
      <c r="E28" s="3"/>
      <c r="F28" s="86" t="s">
        <v>955</v>
      </c>
    </row>
    <row r="29" spans="3:6" ht="30">
      <c r="C29" s="62" t="s">
        <v>28</v>
      </c>
      <c r="D29" s="10" t="s">
        <v>956</v>
      </c>
      <c r="E29" s="4"/>
      <c r="F29" s="86" t="s">
        <v>957</v>
      </c>
    </row>
    <row r="30" spans="3:6" ht="30">
      <c r="C30" s="62" t="s">
        <v>29</v>
      </c>
      <c r="D30" s="10" t="s">
        <v>958</v>
      </c>
      <c r="E30" s="4"/>
      <c r="F30" s="86" t="s">
        <v>959</v>
      </c>
    </row>
    <row r="31" spans="3:6" ht="30">
      <c r="C31" s="62" t="s">
        <v>30</v>
      </c>
      <c r="D31" s="10" t="s">
        <v>960</v>
      </c>
      <c r="E31" s="4"/>
      <c r="F31" s="86" t="s">
        <v>961</v>
      </c>
    </row>
    <row r="32" spans="3:6">
      <c r="C32" s="62" t="s">
        <v>31</v>
      </c>
      <c r="D32" s="10"/>
      <c r="E32" s="4"/>
      <c r="F32" s="86" t="s">
        <v>962</v>
      </c>
    </row>
    <row r="33" spans="3:8">
      <c r="C33" s="62" t="s">
        <v>32</v>
      </c>
      <c r="D33" s="10"/>
      <c r="E33" s="4"/>
      <c r="F33" s="86" t="s">
        <v>963</v>
      </c>
    </row>
    <row r="36" spans="3:8" ht="18.75">
      <c r="C36" s="5" t="s">
        <v>33</v>
      </c>
    </row>
    <row r="37" spans="3:8">
      <c r="C37" s="3" t="s">
        <v>34</v>
      </c>
      <c r="D37" s="3" t="s">
        <v>35</v>
      </c>
      <c r="E37" s="3" t="s">
        <v>36</v>
      </c>
      <c r="F37" s="3" t="s">
        <v>37</v>
      </c>
      <c r="G37" s="3" t="s">
        <v>38</v>
      </c>
      <c r="H37" s="3" t="s">
        <v>39</v>
      </c>
    </row>
    <row r="38" spans="3:8" ht="75">
      <c r="C38" s="62" t="s">
        <v>40</v>
      </c>
      <c r="D38" s="10" t="s">
        <v>368</v>
      </c>
      <c r="E38" s="10" t="s">
        <v>964</v>
      </c>
      <c r="F38" s="10" t="s">
        <v>965</v>
      </c>
      <c r="G38" s="12">
        <v>0.6</v>
      </c>
      <c r="H38" s="10">
        <v>28</v>
      </c>
    </row>
    <row r="39" spans="3:8" ht="30">
      <c r="C39" s="62" t="s">
        <v>44</v>
      </c>
      <c r="D39" s="10" t="s">
        <v>41</v>
      </c>
      <c r="E39" s="10" t="s">
        <v>95</v>
      </c>
      <c r="F39" s="10" t="s">
        <v>966</v>
      </c>
      <c r="G39" s="12">
        <v>0.4</v>
      </c>
      <c r="H39" s="10">
        <v>28</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57</v>
      </c>
      <c r="F46" s="13" t="s">
        <v>215</v>
      </c>
    </row>
    <row r="47" spans="3:8">
      <c r="C47" s="14" t="s">
        <v>40</v>
      </c>
      <c r="D47" s="13" t="s">
        <v>28</v>
      </c>
      <c r="E47" s="13" t="s">
        <v>57</v>
      </c>
      <c r="F47" s="13" t="s">
        <v>967</v>
      </c>
    </row>
    <row r="48" spans="3:8">
      <c r="C48" s="14" t="s">
        <v>40</v>
      </c>
      <c r="D48" s="13" t="s">
        <v>28</v>
      </c>
      <c r="E48" s="13" t="s">
        <v>53</v>
      </c>
      <c r="F48" s="13" t="s">
        <v>968</v>
      </c>
    </row>
    <row r="49" spans="3:6">
      <c r="C49" s="14" t="s">
        <v>44</v>
      </c>
      <c r="D49" s="13" t="s">
        <v>28</v>
      </c>
      <c r="E49" s="13" t="s">
        <v>53</v>
      </c>
      <c r="F49" s="13" t="s">
        <v>217</v>
      </c>
    </row>
    <row r="50" spans="3:6">
      <c r="C50" s="14" t="s">
        <v>44</v>
      </c>
      <c r="D50" s="13" t="s">
        <v>29</v>
      </c>
      <c r="E50" s="13" t="s">
        <v>50</v>
      </c>
      <c r="F50" s="13" t="s">
        <v>52</v>
      </c>
    </row>
    <row r="51" spans="3:6">
      <c r="C51" s="14" t="s">
        <v>44</v>
      </c>
      <c r="D51" s="13" t="s">
        <v>29</v>
      </c>
      <c r="E51" s="13" t="s">
        <v>50</v>
      </c>
      <c r="F51" s="13" t="s">
        <v>214</v>
      </c>
    </row>
    <row r="52" spans="3:6">
      <c r="C52" s="14" t="s">
        <v>40</v>
      </c>
      <c r="D52" s="13" t="s">
        <v>29</v>
      </c>
      <c r="E52" s="13" t="s">
        <v>50</v>
      </c>
      <c r="F52" s="13" t="s">
        <v>317</v>
      </c>
    </row>
    <row r="53" spans="3:6">
      <c r="C53" s="14" t="s">
        <v>44</v>
      </c>
      <c r="D53" s="13" t="s">
        <v>29</v>
      </c>
      <c r="E53" s="13" t="s">
        <v>55</v>
      </c>
      <c r="F53" s="13" t="s">
        <v>372</v>
      </c>
    </row>
    <row r="54" spans="3:6">
      <c r="C54" s="14" t="s">
        <v>44</v>
      </c>
      <c r="D54" s="13" t="s">
        <v>30</v>
      </c>
      <c r="E54" s="13" t="s">
        <v>168</v>
      </c>
      <c r="F54" s="13" t="s">
        <v>169</v>
      </c>
    </row>
    <row r="55" spans="3:6">
      <c r="C55" s="14" t="s">
        <v>44</v>
      </c>
      <c r="D55" s="13" t="s">
        <v>30</v>
      </c>
      <c r="E55" s="13" t="s">
        <v>55</v>
      </c>
      <c r="F55" s="13" t="s">
        <v>56</v>
      </c>
    </row>
    <row r="56" spans="3:6">
      <c r="C56" s="14" t="s">
        <v>44</v>
      </c>
      <c r="D56" s="13" t="s">
        <v>30</v>
      </c>
      <c r="E56" s="13" t="s">
        <v>106</v>
      </c>
      <c r="F56" s="13" t="s">
        <v>273</v>
      </c>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68" t="s">
        <v>64</v>
      </c>
    </row>
    <row r="71" spans="2:6">
      <c r="B71" s="63">
        <v>1</v>
      </c>
      <c r="C71" s="64">
        <v>1</v>
      </c>
      <c r="D71" s="69" t="s">
        <v>969</v>
      </c>
      <c r="E71" s="69" t="s">
        <v>970</v>
      </c>
      <c r="F71" s="41" t="s">
        <v>971</v>
      </c>
    </row>
    <row r="72" spans="2:6">
      <c r="B72" s="63">
        <v>1</v>
      </c>
      <c r="C72" s="64">
        <v>2</v>
      </c>
      <c r="D72" s="10" t="s">
        <v>972</v>
      </c>
      <c r="E72" s="69" t="s">
        <v>973</v>
      </c>
      <c r="F72" s="41" t="s">
        <v>971</v>
      </c>
    </row>
    <row r="73" spans="2:6">
      <c r="B73" s="63">
        <v>1</v>
      </c>
      <c r="C73" s="64">
        <v>3</v>
      </c>
      <c r="D73" s="10" t="s">
        <v>974</v>
      </c>
      <c r="E73" s="10" t="s">
        <v>272</v>
      </c>
      <c r="F73" s="41" t="s">
        <v>971</v>
      </c>
    </row>
    <row r="74" spans="2:6">
      <c r="B74" s="63">
        <v>1</v>
      </c>
      <c r="C74" s="64">
        <v>4</v>
      </c>
      <c r="D74" s="10" t="s">
        <v>975</v>
      </c>
      <c r="E74" s="10" t="s">
        <v>976</v>
      </c>
      <c r="F74" s="41" t="s">
        <v>971</v>
      </c>
    </row>
    <row r="75" spans="2:6">
      <c r="B75" s="63">
        <v>1</v>
      </c>
      <c r="C75" s="64">
        <v>5</v>
      </c>
      <c r="D75" s="10" t="s">
        <v>977</v>
      </c>
      <c r="E75" s="10" t="s">
        <v>978</v>
      </c>
      <c r="F75" s="41" t="s">
        <v>971</v>
      </c>
    </row>
    <row r="76" spans="2:6">
      <c r="B76" s="63">
        <v>1</v>
      </c>
      <c r="C76" s="64">
        <v>6</v>
      </c>
      <c r="D76" s="10" t="s">
        <v>979</v>
      </c>
      <c r="E76" s="10" t="s">
        <v>980</v>
      </c>
      <c r="F76" s="41" t="s">
        <v>971</v>
      </c>
    </row>
    <row r="77" spans="2:6">
      <c r="B77" s="63">
        <v>1</v>
      </c>
      <c r="C77" s="64">
        <v>7</v>
      </c>
      <c r="D77" s="10"/>
      <c r="E77" s="10"/>
      <c r="F77" s="41"/>
    </row>
    <row r="78" spans="2:6">
      <c r="B78" s="63">
        <v>1</v>
      </c>
      <c r="C78" s="64">
        <v>8</v>
      </c>
      <c r="D78" s="10" t="s">
        <v>981</v>
      </c>
      <c r="E78" s="10" t="s">
        <v>981</v>
      </c>
      <c r="F78" s="41"/>
    </row>
    <row r="79" spans="2:6">
      <c r="B79" s="63">
        <v>1</v>
      </c>
      <c r="C79" s="64">
        <v>9</v>
      </c>
      <c r="D79" s="10" t="s">
        <v>981</v>
      </c>
      <c r="E79" s="10" t="s">
        <v>981</v>
      </c>
      <c r="F79" s="41"/>
    </row>
    <row r="80" spans="2:6">
      <c r="B80" s="63">
        <v>1</v>
      </c>
      <c r="C80" s="64">
        <v>10</v>
      </c>
      <c r="D80" s="10" t="s">
        <v>981</v>
      </c>
      <c r="E80" s="10" t="s">
        <v>981</v>
      </c>
      <c r="F80" s="41"/>
    </row>
    <row r="81" spans="2:6">
      <c r="B81" s="63">
        <v>1</v>
      </c>
      <c r="C81" s="64">
        <v>11</v>
      </c>
      <c r="D81" s="10" t="s">
        <v>981</v>
      </c>
      <c r="E81" s="10" t="s">
        <v>981</v>
      </c>
      <c r="F81" s="41"/>
    </row>
    <row r="82" spans="2:6">
      <c r="B82" s="63">
        <v>1</v>
      </c>
      <c r="C82" s="64">
        <v>12</v>
      </c>
      <c r="D82" s="10" t="s">
        <v>981</v>
      </c>
      <c r="E82" s="10" t="s">
        <v>981</v>
      </c>
      <c r="F82" s="41"/>
    </row>
    <row r="83" spans="2:6">
      <c r="B83" s="63">
        <v>2</v>
      </c>
      <c r="C83" s="64">
        <v>1</v>
      </c>
      <c r="D83" s="10" t="s">
        <v>982</v>
      </c>
      <c r="E83" s="10" t="s">
        <v>982</v>
      </c>
      <c r="F83" s="41"/>
    </row>
    <row r="84" spans="2:6">
      <c r="B84" s="63">
        <v>2</v>
      </c>
      <c r="C84" s="64">
        <v>2</v>
      </c>
      <c r="D84" s="10" t="s">
        <v>983</v>
      </c>
      <c r="E84" s="10" t="s">
        <v>984</v>
      </c>
      <c r="F84" s="41"/>
    </row>
    <row r="85" spans="2:6">
      <c r="B85" s="63">
        <v>2</v>
      </c>
      <c r="C85" s="64">
        <v>3</v>
      </c>
      <c r="D85" s="10" t="s">
        <v>985</v>
      </c>
      <c r="E85" s="10" t="s">
        <v>986</v>
      </c>
      <c r="F85" s="41"/>
    </row>
    <row r="86" spans="2:6">
      <c r="B86" s="63">
        <v>2</v>
      </c>
      <c r="C86" s="64">
        <v>4</v>
      </c>
      <c r="D86" s="10" t="s">
        <v>987</v>
      </c>
      <c r="E86" s="10" t="s">
        <v>981</v>
      </c>
      <c r="F86" s="41"/>
    </row>
    <row r="87" spans="2:6">
      <c r="B87" s="63">
        <v>2</v>
      </c>
      <c r="C87" s="64">
        <v>5</v>
      </c>
      <c r="D87" s="10" t="s">
        <v>988</v>
      </c>
      <c r="E87" s="10" t="s">
        <v>981</v>
      </c>
      <c r="F87" s="41"/>
    </row>
    <row r="88" spans="2:6">
      <c r="B88" s="63">
        <v>2</v>
      </c>
      <c r="C88" s="64">
        <v>6</v>
      </c>
      <c r="D88" s="10" t="s">
        <v>981</v>
      </c>
      <c r="E88" s="10" t="s">
        <v>981</v>
      </c>
      <c r="F88" s="41"/>
    </row>
    <row r="89" spans="2:6">
      <c r="B89" s="63">
        <v>2</v>
      </c>
      <c r="C89" s="64">
        <v>7</v>
      </c>
      <c r="D89" s="10"/>
      <c r="E89" s="10"/>
      <c r="F89" s="41"/>
    </row>
    <row r="90" spans="2:6">
      <c r="B90" s="63">
        <v>2</v>
      </c>
      <c r="C90" s="64">
        <v>8</v>
      </c>
      <c r="D90" s="10" t="s">
        <v>989</v>
      </c>
      <c r="E90" s="10" t="s">
        <v>989</v>
      </c>
      <c r="F90" s="41"/>
    </row>
    <row r="91" spans="2:6">
      <c r="B91" s="63">
        <v>2</v>
      </c>
      <c r="C91" s="64">
        <v>9</v>
      </c>
      <c r="D91" s="10" t="s">
        <v>981</v>
      </c>
      <c r="E91" s="10" t="s">
        <v>981</v>
      </c>
      <c r="F91" s="41"/>
    </row>
    <row r="92" spans="2:6">
      <c r="B92" s="63">
        <v>2</v>
      </c>
      <c r="C92" s="64">
        <v>10</v>
      </c>
      <c r="D92" s="10" t="s">
        <v>981</v>
      </c>
      <c r="E92" s="10" t="s">
        <v>981</v>
      </c>
      <c r="F92" s="41"/>
    </row>
    <row r="93" spans="2:6">
      <c r="B93" s="63">
        <v>2</v>
      </c>
      <c r="C93" s="64">
        <v>11</v>
      </c>
      <c r="D93" s="10" t="s">
        <v>981</v>
      </c>
      <c r="E93" s="10" t="s">
        <v>981</v>
      </c>
      <c r="F93" s="41"/>
    </row>
    <row r="94" spans="2:6">
      <c r="B94" s="63">
        <v>2</v>
      </c>
      <c r="C94" s="64">
        <v>12</v>
      </c>
      <c r="D94" s="10" t="s">
        <v>981</v>
      </c>
      <c r="E94" s="10" t="s">
        <v>981</v>
      </c>
      <c r="F94" s="41"/>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739D2576-B862-4853-8753-8DF65DD1B8E0}">
      <formula1>0</formula1>
      <formula2>80</formula2>
    </dataValidation>
    <dataValidation type="whole" showInputMessage="1" showErrorMessage="1" error="This is not a realistic number of contact hours please change" sqref="D19" xr:uid="{FBECA4FB-7A34-4FDD-80A9-474CB8B74418}">
      <formula1>0</formula1>
      <formula2>80</formula2>
    </dataValidation>
    <dataValidation type="list" allowBlank="1" showInputMessage="1" showErrorMessage="1" sqref="E38:E41" xr:uid="{A62A3AA1-D3B0-45A3-A998-2D56857427B0}">
      <formula1>INDIRECT("LISTAssess[Assessment Specific]")</formula1>
    </dataValidation>
    <dataValidation type="list" allowBlank="1" showInputMessage="1" showErrorMessage="1" sqref="F46:F66" xr:uid="{18E884D7-F12C-48DC-A53D-24BA4F0CF85C}">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A52E779B-E821-4CC1-9128-54996FA802EC}">
          <x14:formula1>
            <xm:f>LISTS!$C$26:$C$37</xm:f>
          </x14:formula1>
          <xm:sqref>D14</xm:sqref>
        </x14:dataValidation>
        <x14:dataValidation type="list" allowBlank="1" showInputMessage="1" showErrorMessage="1" xr:uid="{A5CAE7BB-8764-4881-8FF8-F1033AED8BE0}">
          <x14:formula1>
            <xm:f>LISTS!$C$17:$C$22</xm:f>
          </x14:formula1>
          <xm:sqref>D13</xm:sqref>
        </x14:dataValidation>
        <x14:dataValidation type="list" allowBlank="1" showInputMessage="1" showErrorMessage="1" xr:uid="{07FDBC41-34BD-47AA-9E59-E456FC441771}">
          <x14:formula1>
            <xm:f>LISTS!$C$7:$C$9</xm:f>
          </x14:formula1>
          <xm:sqref>D10</xm:sqref>
        </x14:dataValidation>
        <x14:dataValidation type="list" allowBlank="1" showInputMessage="1" showErrorMessage="1" xr:uid="{35EAF739-973D-4E61-84C4-4B4FF2170971}">
          <x14:formula1>
            <xm:f>LISTS!$C$11:$C$15</xm:f>
          </x14:formula1>
          <xm:sqref>D11</xm:sqref>
        </x14:dataValidation>
        <x14:dataValidation type="list" allowBlank="1" showInputMessage="1" showErrorMessage="1" xr:uid="{90A7C72D-3610-4C02-9AF7-59AF8571FA64}">
          <x14:formula1>
            <xm:f>LISTS!$G$7:$G$11</xm:f>
          </x14:formula1>
          <xm:sqref>D38:D42</xm:sqref>
        </x14:dataValidation>
        <x14:dataValidation type="list" allowBlank="1" showInputMessage="1" showErrorMessage="1" xr:uid="{1DC85910-ED19-4EA2-94B1-66EC223ACFC1}">
          <x14:formula1>
            <xm:f>LISTS!$E$7:$E$11</xm:f>
          </x14:formula1>
          <xm:sqref>D46:D66</xm:sqref>
        </x14:dataValidation>
        <x14:dataValidation type="list" allowBlank="1" showInputMessage="1" showErrorMessage="1" xr:uid="{2751552D-9CB1-43E7-81A0-A1705BDEC705}">
          <x14:formula1>
            <xm:f>LISTS!$J$7:$J$16</xm:f>
          </x14:formula1>
          <xm:sqref>E46:E66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7D3E-176C-4A98-919A-BC8974D66F1E}">
  <sheetPr codeName="Sheet10"/>
  <dimension ref="B2:H94"/>
  <sheetViews>
    <sheetView showGridLines="0" zoomScale="85" zoomScaleNormal="85" workbookViewId="0">
      <selection activeCell="E11" sqref="E11"/>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6093SPS</v>
      </c>
      <c r="D2" s="9" t="str">
        <f>D8</f>
        <v>Strength and Conditioning</v>
      </c>
    </row>
    <row r="3" spans="2:6">
      <c r="B3" s="1"/>
      <c r="C3" s="1"/>
    </row>
    <row r="4" spans="2:6">
      <c r="B4" s="2"/>
      <c r="C4" s="2"/>
      <c r="E4" s="100" t="s">
        <v>990</v>
      </c>
    </row>
    <row r="5" spans="2:6" ht="18.75">
      <c r="B5" s="2"/>
      <c r="C5" s="5" t="s">
        <v>0</v>
      </c>
    </row>
    <row r="6" spans="2:6">
      <c r="B6" s="2"/>
      <c r="C6" s="3" t="s">
        <v>1</v>
      </c>
      <c r="D6" s="4" t="s">
        <v>2</v>
      </c>
      <c r="E6" s="4"/>
      <c r="F6" t="s">
        <v>3</v>
      </c>
    </row>
    <row r="7" spans="2:6" ht="100.5">
      <c r="B7" s="2"/>
      <c r="C7" s="62" t="s">
        <v>4</v>
      </c>
      <c r="D7" s="10" t="s">
        <v>991</v>
      </c>
      <c r="E7" s="4"/>
      <c r="F7" s="23" t="s">
        <v>992</v>
      </c>
    </row>
    <row r="8" spans="2:6">
      <c r="B8" s="2"/>
      <c r="C8" s="62" t="s">
        <v>6</v>
      </c>
      <c r="D8" s="10" t="s">
        <v>993</v>
      </c>
      <c r="E8" s="4"/>
      <c r="F8" s="20"/>
    </row>
    <row r="9" spans="2:6">
      <c r="C9" s="62" t="s">
        <v>7</v>
      </c>
      <c r="D9" s="10">
        <v>20</v>
      </c>
      <c r="E9" s="4"/>
    </row>
    <row r="10" spans="2:6">
      <c r="C10" s="62" t="s">
        <v>8</v>
      </c>
      <c r="D10" s="10">
        <v>1</v>
      </c>
      <c r="E10" s="4"/>
      <c r="F10" t="s">
        <v>9</v>
      </c>
    </row>
    <row r="11" spans="2:6" ht="72">
      <c r="C11" s="62" t="s">
        <v>10</v>
      </c>
      <c r="D11" s="10">
        <v>6</v>
      </c>
      <c r="E11" s="4"/>
      <c r="F11" s="23" t="s">
        <v>994</v>
      </c>
    </row>
    <row r="12" spans="2:6">
      <c r="C12" s="62" t="s">
        <v>11</v>
      </c>
      <c r="D12" s="10" t="s">
        <v>995</v>
      </c>
      <c r="E12" s="4"/>
      <c r="F12" s="13"/>
    </row>
    <row r="13" spans="2:6">
      <c r="C13" s="62" t="s">
        <v>12</v>
      </c>
      <c r="D13" s="10" t="s">
        <v>551</v>
      </c>
      <c r="E13" s="4"/>
      <c r="F13" s="13"/>
    </row>
    <row r="14" spans="2:6">
      <c r="C14" s="62" t="s">
        <v>13</v>
      </c>
      <c r="D14" s="10" t="s">
        <v>996</v>
      </c>
      <c r="E14" s="4"/>
    </row>
    <row r="15" spans="2:6">
      <c r="C15" s="3"/>
      <c r="D15" s="4"/>
      <c r="E15" s="4"/>
      <c r="F15" t="s">
        <v>14</v>
      </c>
    </row>
    <row r="16" spans="2:6" ht="129">
      <c r="C16" s="3"/>
      <c r="D16" s="4"/>
      <c r="E16" s="4"/>
      <c r="F16" s="23" t="s">
        <v>997</v>
      </c>
    </row>
    <row r="17" spans="3:6" ht="18.75">
      <c r="C17" s="5" t="s">
        <v>15</v>
      </c>
      <c r="D17" s="4"/>
      <c r="E17" s="4"/>
      <c r="F17" s="13"/>
    </row>
    <row r="18" spans="3:6">
      <c r="C18" s="3" t="s">
        <v>16</v>
      </c>
      <c r="D18" s="1" t="s">
        <v>15</v>
      </c>
      <c r="E18" s="4"/>
      <c r="F18" s="13"/>
    </row>
    <row r="19" spans="3:6">
      <c r="C19" s="62" t="s">
        <v>17</v>
      </c>
      <c r="D19" s="11">
        <v>22</v>
      </c>
      <c r="E19" s="4"/>
      <c r="F19" s="13"/>
    </row>
    <row r="20" spans="3:6">
      <c r="C20" s="62" t="s">
        <v>18</v>
      </c>
      <c r="D20" s="11">
        <v>6</v>
      </c>
      <c r="E20" s="4"/>
      <c r="F20" s="13"/>
    </row>
    <row r="21" spans="3:6">
      <c r="C21" s="62" t="s">
        <v>19</v>
      </c>
      <c r="D21" s="11">
        <v>12</v>
      </c>
      <c r="E21" s="4"/>
    </row>
    <row r="22" spans="3:6">
      <c r="C22" s="62" t="s">
        <v>20</v>
      </c>
      <c r="D22" s="11"/>
      <c r="E22" s="4"/>
      <c r="F22" t="s">
        <v>21</v>
      </c>
    </row>
    <row r="23" spans="3:6" ht="45">
      <c r="C23" s="62" t="s">
        <v>22</v>
      </c>
      <c r="D23" s="11"/>
      <c r="E23" s="4"/>
      <c r="F23" s="20" t="s">
        <v>998</v>
      </c>
    </row>
    <row r="24" spans="3:6" ht="30">
      <c r="C24" s="62" t="s">
        <v>23</v>
      </c>
      <c r="D24" s="1">
        <f>SUM(D19:D23)</f>
        <v>40</v>
      </c>
      <c r="E24" s="4"/>
      <c r="F24" s="20" t="s">
        <v>999</v>
      </c>
    </row>
    <row r="25" spans="3:6">
      <c r="F25" s="20" t="s">
        <v>1000</v>
      </c>
    </row>
    <row r="26" spans="3:6">
      <c r="F26" s="20" t="s">
        <v>1001</v>
      </c>
    </row>
    <row r="27" spans="3:6" ht="18.75">
      <c r="C27" s="5" t="s">
        <v>24</v>
      </c>
      <c r="D27" s="8" t="s">
        <v>25</v>
      </c>
      <c r="F27" s="20" t="s">
        <v>1002</v>
      </c>
    </row>
    <row r="28" spans="3:6" ht="30">
      <c r="C28" s="3" t="s">
        <v>26</v>
      </c>
      <c r="D28" s="3" t="s">
        <v>27</v>
      </c>
      <c r="E28" s="3"/>
      <c r="F28" s="20" t="s">
        <v>1003</v>
      </c>
    </row>
    <row r="29" spans="3:6" ht="29.25">
      <c r="C29" s="62" t="s">
        <v>28</v>
      </c>
      <c r="D29" s="23" t="s">
        <v>1004</v>
      </c>
      <c r="E29" s="4"/>
      <c r="F29" s="20" t="s">
        <v>1005</v>
      </c>
    </row>
    <row r="30" spans="3:6" ht="43.5">
      <c r="C30" s="62" t="s">
        <v>29</v>
      </c>
      <c r="D30" s="23" t="s">
        <v>1006</v>
      </c>
      <c r="E30" s="4"/>
      <c r="F30" s="20" t="s">
        <v>1007</v>
      </c>
    </row>
    <row r="31" spans="3:6" ht="29.25">
      <c r="C31" s="62" t="s">
        <v>30</v>
      </c>
      <c r="D31" s="23" t="s">
        <v>1008</v>
      </c>
      <c r="E31" s="4"/>
      <c r="F31" s="20" t="s">
        <v>1009</v>
      </c>
    </row>
    <row r="32" spans="3:6" ht="30">
      <c r="C32" s="62" t="s">
        <v>31</v>
      </c>
      <c r="D32" s="10"/>
      <c r="E32" s="4"/>
      <c r="F32" s="20" t="s">
        <v>1010</v>
      </c>
    </row>
    <row r="33" spans="3:8" ht="45">
      <c r="C33" s="62" t="s">
        <v>32</v>
      </c>
      <c r="D33" s="10"/>
      <c r="E33" s="4"/>
      <c r="F33" s="20" t="s">
        <v>1011</v>
      </c>
    </row>
    <row r="36" spans="3:8" ht="18.75">
      <c r="C36" s="5" t="s">
        <v>33</v>
      </c>
    </row>
    <row r="37" spans="3:8">
      <c r="C37" s="3" t="s">
        <v>34</v>
      </c>
      <c r="D37" s="3" t="s">
        <v>35</v>
      </c>
      <c r="E37" s="3" t="s">
        <v>36</v>
      </c>
      <c r="F37" s="3" t="s">
        <v>37</v>
      </c>
      <c r="G37" s="3" t="s">
        <v>38</v>
      </c>
      <c r="H37" s="3" t="s">
        <v>39</v>
      </c>
    </row>
    <row r="38" spans="3:8" ht="30">
      <c r="C38" s="62" t="s">
        <v>40</v>
      </c>
      <c r="D38" s="10" t="s">
        <v>41</v>
      </c>
      <c r="E38" s="10" t="s">
        <v>95</v>
      </c>
      <c r="F38" s="10" t="s">
        <v>1012</v>
      </c>
      <c r="G38" s="12">
        <v>0.5</v>
      </c>
      <c r="H38" s="10">
        <v>6</v>
      </c>
    </row>
    <row r="39" spans="3:8" ht="45">
      <c r="C39" s="62" t="s">
        <v>44</v>
      </c>
      <c r="D39" s="10" t="s">
        <v>97</v>
      </c>
      <c r="E39" s="10" t="s">
        <v>1013</v>
      </c>
      <c r="F39" s="10" t="s">
        <v>1014</v>
      </c>
      <c r="G39" s="12">
        <v>0.5</v>
      </c>
      <c r="H39" s="10">
        <v>12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50</v>
      </c>
      <c r="F47" s="13" t="s">
        <v>52</v>
      </c>
    </row>
    <row r="48" spans="3:8">
      <c r="C48" s="14" t="s">
        <v>40</v>
      </c>
      <c r="D48" s="13" t="s">
        <v>28</v>
      </c>
      <c r="E48" s="13" t="s">
        <v>168</v>
      </c>
      <c r="F48" s="13" t="s">
        <v>169</v>
      </c>
    </row>
    <row r="49" spans="3:6">
      <c r="C49" s="14" t="s">
        <v>40</v>
      </c>
      <c r="D49" s="13" t="s">
        <v>28</v>
      </c>
      <c r="E49" s="13" t="s">
        <v>55</v>
      </c>
      <c r="F49" s="13" t="s">
        <v>56</v>
      </c>
    </row>
    <row r="50" spans="3:6">
      <c r="C50" s="14" t="s">
        <v>44</v>
      </c>
      <c r="D50" s="13" t="s">
        <v>29</v>
      </c>
      <c r="E50" s="13" t="s">
        <v>50</v>
      </c>
      <c r="F50" s="13" t="s">
        <v>606</v>
      </c>
    </row>
    <row r="51" spans="3:6">
      <c r="C51" s="14" t="s">
        <v>44</v>
      </c>
      <c r="D51" s="13" t="s">
        <v>29</v>
      </c>
      <c r="E51" s="13" t="s">
        <v>53</v>
      </c>
      <c r="F51" s="13" t="s">
        <v>54</v>
      </c>
    </row>
    <row r="52" spans="3:6">
      <c r="C52" s="14" t="s">
        <v>44</v>
      </c>
      <c r="D52" s="13" t="s">
        <v>29</v>
      </c>
      <c r="E52" s="13" t="s">
        <v>50</v>
      </c>
      <c r="F52" s="13" t="s">
        <v>214</v>
      </c>
    </row>
    <row r="53" spans="3:6">
      <c r="C53" s="14" t="s">
        <v>44</v>
      </c>
      <c r="D53" s="13" t="s">
        <v>30</v>
      </c>
      <c r="E53" s="13" t="s">
        <v>50</v>
      </c>
      <c r="F53" s="13" t="s">
        <v>606</v>
      </c>
    </row>
    <row r="54" spans="3:6">
      <c r="C54" s="14" t="s">
        <v>44</v>
      </c>
      <c r="D54" s="13" t="s">
        <v>30</v>
      </c>
      <c r="E54" s="13" t="s">
        <v>53</v>
      </c>
      <c r="F54" s="13" t="s">
        <v>167</v>
      </c>
    </row>
    <row r="55" spans="3:6">
      <c r="C55" s="14" t="s">
        <v>44</v>
      </c>
      <c r="D55" s="13" t="s">
        <v>30</v>
      </c>
      <c r="E55" s="13" t="s">
        <v>53</v>
      </c>
      <c r="F55" s="13" t="s">
        <v>1015</v>
      </c>
    </row>
    <row r="56" spans="3:6">
      <c r="C56" s="14" t="s">
        <v>44</v>
      </c>
      <c r="D56" s="13" t="s">
        <v>30</v>
      </c>
      <c r="E56" s="13" t="s">
        <v>315</v>
      </c>
      <c r="F56" s="13" t="s">
        <v>569</v>
      </c>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ht="30">
      <c r="B71" s="63">
        <v>1</v>
      </c>
      <c r="C71" s="64">
        <v>1</v>
      </c>
      <c r="D71" s="10" t="s">
        <v>1016</v>
      </c>
      <c r="E71" s="92" t="s">
        <v>1017</v>
      </c>
      <c r="F71" s="10"/>
    </row>
    <row r="72" spans="2:6">
      <c r="B72" s="63">
        <v>1</v>
      </c>
      <c r="C72" s="64">
        <v>2</v>
      </c>
      <c r="D72" s="10" t="s">
        <v>1018</v>
      </c>
      <c r="E72" s="92" t="s">
        <v>1019</v>
      </c>
      <c r="F72" s="10"/>
    </row>
    <row r="73" spans="2:6">
      <c r="B73" s="63">
        <v>1</v>
      </c>
      <c r="C73" s="64">
        <v>3</v>
      </c>
      <c r="D73" s="10" t="s">
        <v>1020</v>
      </c>
      <c r="E73" s="92" t="s">
        <v>1021</v>
      </c>
      <c r="F73" s="10"/>
    </row>
    <row r="74" spans="2:6">
      <c r="B74" s="63">
        <v>1</v>
      </c>
      <c r="C74" s="64">
        <v>4</v>
      </c>
      <c r="D74" s="10" t="s">
        <v>1022</v>
      </c>
      <c r="E74" s="92" t="s">
        <v>1023</v>
      </c>
      <c r="F74" s="10"/>
    </row>
    <row r="75" spans="2:6">
      <c r="B75" s="63">
        <v>1</v>
      </c>
      <c r="C75" s="64">
        <v>5</v>
      </c>
      <c r="D75" s="10" t="s">
        <v>1024</v>
      </c>
      <c r="E75" s="92" t="s">
        <v>1025</v>
      </c>
      <c r="F75" s="10"/>
    </row>
    <row r="76" spans="2:6">
      <c r="B76" s="63">
        <v>1</v>
      </c>
      <c r="C76" s="64">
        <v>6</v>
      </c>
      <c r="D76" s="10" t="s">
        <v>1026</v>
      </c>
      <c r="E76" s="92" t="s">
        <v>1027</v>
      </c>
      <c r="F76" s="10"/>
    </row>
    <row r="77" spans="2:6">
      <c r="B77" s="63">
        <v>1</v>
      </c>
      <c r="C77" s="64">
        <v>7</v>
      </c>
      <c r="D77" s="10"/>
      <c r="E77" s="92"/>
      <c r="F77" s="10"/>
    </row>
    <row r="78" spans="2:6">
      <c r="B78" s="63">
        <v>1</v>
      </c>
      <c r="C78" s="64">
        <v>8</v>
      </c>
      <c r="D78" s="10" t="s">
        <v>1028</v>
      </c>
      <c r="E78" s="92" t="s">
        <v>1029</v>
      </c>
      <c r="F78" s="10"/>
    </row>
    <row r="79" spans="2:6">
      <c r="B79" s="63">
        <v>1</v>
      </c>
      <c r="C79" s="64">
        <v>9</v>
      </c>
      <c r="D79" s="10" t="s">
        <v>1030</v>
      </c>
      <c r="E79" s="92" t="s">
        <v>1031</v>
      </c>
      <c r="F79" s="10"/>
    </row>
    <row r="80" spans="2:6" ht="30">
      <c r="B80" s="63">
        <v>1</v>
      </c>
      <c r="C80" s="64">
        <v>10</v>
      </c>
      <c r="D80" s="10" t="s">
        <v>1032</v>
      </c>
      <c r="E80" s="92" t="s">
        <v>1033</v>
      </c>
      <c r="F80" s="10"/>
    </row>
    <row r="81" spans="2:6">
      <c r="B81" s="63">
        <v>1</v>
      </c>
      <c r="C81" s="64">
        <v>11</v>
      </c>
      <c r="D81" s="10" t="s">
        <v>1034</v>
      </c>
      <c r="E81" s="92" t="s">
        <v>1035</v>
      </c>
      <c r="F81" s="10"/>
    </row>
    <row r="82" spans="2:6">
      <c r="B82" s="63">
        <v>1</v>
      </c>
      <c r="C82" s="64">
        <v>12</v>
      </c>
      <c r="D82" s="10" t="s">
        <v>1036</v>
      </c>
      <c r="E82" s="92"/>
      <c r="F82" s="10"/>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list" allowBlank="1" showInputMessage="1" showErrorMessage="1" sqref="F46:F66" xr:uid="{A6F5F47F-6866-478E-9880-CF9E3CF9BFDA}">
      <formula1>INDIRECT(VLOOKUP($E46, SkillNameMap, 2, FALSE))</formula1>
    </dataValidation>
    <dataValidation type="list" allowBlank="1" showInputMessage="1" showErrorMessage="1" sqref="E38:E41" xr:uid="{6B033663-DA4C-4E1E-ACA3-197C23B3DA27}">
      <formula1>INDIRECT("LISTAssess[Assessment Specific]")</formula1>
    </dataValidation>
    <dataValidation type="whole" showInputMessage="1" showErrorMessage="1" error="This is not a realistic number of contact hours please change" sqref="D19" xr:uid="{002B1BD8-24F6-46FD-A0E4-8333C78B8357}">
      <formula1>0</formula1>
      <formula2>80</formula2>
    </dataValidation>
    <dataValidation type="whole" showInputMessage="1" showErrorMessage="1" error="This is not a realistic number of contact hours please reduce" sqref="D20:D23" xr:uid="{E4839EC2-0B62-4F96-A8C1-2B68B106BEF1}">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F8A31BEF-5E3B-417C-9E73-D27481A5C886}">
          <x14:formula1>
            <xm:f>LISTS!$J$7:$J$16</xm:f>
          </x14:formula1>
          <xm:sqref>E46:E66</xm:sqref>
        </x14:dataValidation>
        <x14:dataValidation type="list" allowBlank="1" showInputMessage="1" showErrorMessage="1" xr:uid="{4A234C3A-C5D8-4DCE-A391-988FDC67A9B9}">
          <x14:formula1>
            <xm:f>LISTS!$E$7:$E$11</xm:f>
          </x14:formula1>
          <xm:sqref>D46:D66</xm:sqref>
        </x14:dataValidation>
        <x14:dataValidation type="list" allowBlank="1" showInputMessage="1" showErrorMessage="1" xr:uid="{3192E7A5-766C-4AB3-9259-83B852E400AB}">
          <x14:formula1>
            <xm:f>LISTS!$G$7:$G$11</xm:f>
          </x14:formula1>
          <xm:sqref>D38:D42</xm:sqref>
        </x14:dataValidation>
        <x14:dataValidation type="list" allowBlank="1" showInputMessage="1" showErrorMessage="1" xr:uid="{71464BA5-EA7B-4280-8E21-FEA97DF76E39}">
          <x14:formula1>
            <xm:f>LISTS!$C$11:$C$15</xm:f>
          </x14:formula1>
          <xm:sqref>D11</xm:sqref>
        </x14:dataValidation>
        <x14:dataValidation type="list" allowBlank="1" showInputMessage="1" showErrorMessage="1" xr:uid="{ED74EE7F-E73A-4E7D-BB1B-77B834D943C7}">
          <x14:formula1>
            <xm:f>LISTS!$C$7:$C$9</xm:f>
          </x14:formula1>
          <xm:sqref>D10</xm:sqref>
        </x14:dataValidation>
        <x14:dataValidation type="list" allowBlank="1" showInputMessage="1" showErrorMessage="1" xr:uid="{F88D41F7-E6D7-4EA0-ABD2-42A925615DAA}">
          <x14:formula1>
            <xm:f>LISTS!$C$17:$C$22</xm:f>
          </x14:formula1>
          <xm:sqref>D13</xm:sqref>
        </x14:dataValidation>
        <x14:dataValidation type="list" allowBlank="1" showInputMessage="1" showErrorMessage="1" xr:uid="{799447E1-E0B9-422D-8078-3D88555E8F5B}">
          <x14:formula1>
            <xm:f>LISTS!$C$26:$C$37</xm:f>
          </x14:formula1>
          <xm:sqref>D14</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85C3-B744-432B-B564-EC74E74BB62B}">
  <sheetPr codeName="Sheet11"/>
  <dimension ref="B2:H94"/>
  <sheetViews>
    <sheetView showGridLines="0" zoomScale="85" zoomScaleNormal="85" workbookViewId="0">
      <selection activeCell="D12" sqref="D12"/>
    </sheetView>
  </sheetViews>
  <sheetFormatPr defaultColWidth="8.85546875" defaultRowHeight="15"/>
  <cols>
    <col min="3" max="3" width="33.140625" customWidth="1"/>
    <col min="4" max="4" width="55.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6094SPS</v>
      </c>
      <c r="D2" s="9" t="str">
        <f>D8</f>
        <v>Behaviour Change</v>
      </c>
    </row>
    <row r="3" spans="2:6">
      <c r="B3" s="1"/>
      <c r="C3" s="1"/>
      <c r="E3" s="100" t="s">
        <v>1037</v>
      </c>
    </row>
    <row r="4" spans="2:6">
      <c r="B4" s="2"/>
      <c r="C4" s="2"/>
    </row>
    <row r="5" spans="2:6" ht="18.75">
      <c r="B5" s="2"/>
      <c r="C5" s="5" t="s">
        <v>0</v>
      </c>
    </row>
    <row r="6" spans="2:6">
      <c r="B6" s="2"/>
      <c r="C6" s="3" t="s">
        <v>1</v>
      </c>
      <c r="D6" s="4" t="s">
        <v>2</v>
      </c>
      <c r="E6" s="4"/>
      <c r="F6" t="s">
        <v>3</v>
      </c>
    </row>
    <row r="7" spans="2:6" ht="75">
      <c r="B7" s="2"/>
      <c r="C7" s="62" t="s">
        <v>4</v>
      </c>
      <c r="D7" s="10" t="s">
        <v>1038</v>
      </c>
      <c r="E7" s="4"/>
      <c r="F7" s="20" t="s">
        <v>1039</v>
      </c>
    </row>
    <row r="8" spans="2:6">
      <c r="B8" s="2"/>
      <c r="C8" s="62" t="s">
        <v>6</v>
      </c>
      <c r="D8" s="10" t="s">
        <v>1040</v>
      </c>
      <c r="E8" s="4"/>
      <c r="F8" s="13"/>
    </row>
    <row r="9" spans="2:6">
      <c r="C9" s="62" t="s">
        <v>7</v>
      </c>
      <c r="D9" s="10">
        <v>20</v>
      </c>
      <c r="E9" s="4"/>
    </row>
    <row r="10" spans="2:6">
      <c r="C10" s="62" t="s">
        <v>8</v>
      </c>
      <c r="D10" s="10">
        <v>1</v>
      </c>
      <c r="E10" s="4"/>
      <c r="F10" t="s">
        <v>9</v>
      </c>
    </row>
    <row r="11" spans="2:6" ht="135">
      <c r="C11" s="62" t="s">
        <v>10</v>
      </c>
      <c r="D11" s="10">
        <v>6</v>
      </c>
      <c r="E11" s="4"/>
      <c r="F11" s="20" t="s">
        <v>1041</v>
      </c>
    </row>
    <row r="12" spans="2:6">
      <c r="C12" s="62" t="s">
        <v>11</v>
      </c>
      <c r="D12" s="10" t="s">
        <v>1042</v>
      </c>
      <c r="E12" s="4"/>
      <c r="F12" s="13"/>
    </row>
    <row r="13" spans="2:6">
      <c r="C13" s="62" t="s">
        <v>12</v>
      </c>
      <c r="D13" s="10" t="s">
        <v>551</v>
      </c>
      <c r="E13" s="4"/>
      <c r="F13" s="13"/>
    </row>
    <row r="14" spans="2:6">
      <c r="C14" s="62" t="s">
        <v>13</v>
      </c>
      <c r="D14" s="10" t="s">
        <v>996</v>
      </c>
      <c r="E14" s="4"/>
    </row>
    <row r="15" spans="2:6">
      <c r="C15" s="3"/>
      <c r="D15" s="4"/>
      <c r="E15" s="4"/>
      <c r="F15" t="s">
        <v>14</v>
      </c>
    </row>
    <row r="16" spans="2:6" ht="90">
      <c r="C16" s="3"/>
      <c r="D16" s="4"/>
      <c r="E16" s="4"/>
      <c r="F16" s="20" t="s">
        <v>1043</v>
      </c>
    </row>
    <row r="17" spans="3:6" ht="18.75">
      <c r="C17" s="5" t="s">
        <v>15</v>
      </c>
      <c r="D17" s="4"/>
      <c r="E17" s="4"/>
      <c r="F17" s="13"/>
    </row>
    <row r="18" spans="3:6">
      <c r="C18" s="3" t="s">
        <v>16</v>
      </c>
      <c r="D18" s="1" t="s">
        <v>15</v>
      </c>
      <c r="E18" s="4"/>
      <c r="F18" s="13"/>
    </row>
    <row r="19" spans="3:6">
      <c r="C19" s="62" t="s">
        <v>17</v>
      </c>
      <c r="D19" s="11"/>
      <c r="E19" s="4"/>
      <c r="F19" s="13"/>
    </row>
    <row r="20" spans="3:6">
      <c r="C20" s="62" t="s">
        <v>18</v>
      </c>
      <c r="D20" s="11">
        <v>6</v>
      </c>
      <c r="E20" s="4"/>
      <c r="F20" s="13"/>
    </row>
    <row r="21" spans="3:6">
      <c r="C21" s="62" t="s">
        <v>19</v>
      </c>
      <c r="D21" s="11"/>
      <c r="E21" s="4"/>
    </row>
    <row r="22" spans="3:6">
      <c r="C22" s="62" t="s">
        <v>20</v>
      </c>
      <c r="D22" s="11">
        <v>27</v>
      </c>
      <c r="E22" s="4"/>
      <c r="F22" t="s">
        <v>21</v>
      </c>
    </row>
    <row r="23" spans="3:6">
      <c r="C23" s="62" t="s">
        <v>22</v>
      </c>
      <c r="D23" s="11">
        <v>12</v>
      </c>
      <c r="E23" s="4"/>
      <c r="F23" s="13" t="s">
        <v>1044</v>
      </c>
    </row>
    <row r="24" spans="3:6">
      <c r="C24" s="62" t="s">
        <v>23</v>
      </c>
      <c r="D24" s="1">
        <f>SUM(D19:D23)</f>
        <v>45</v>
      </c>
      <c r="E24" s="4"/>
      <c r="F24" s="13" t="s">
        <v>1045</v>
      </c>
    </row>
    <row r="25" spans="3:6" ht="30">
      <c r="F25" s="20" t="s">
        <v>1046</v>
      </c>
    </row>
    <row r="26" spans="3:6">
      <c r="F26" s="13" t="s">
        <v>1047</v>
      </c>
    </row>
    <row r="27" spans="3:6" ht="18.75">
      <c r="C27" s="5" t="s">
        <v>24</v>
      </c>
      <c r="D27" s="8" t="s">
        <v>25</v>
      </c>
      <c r="F27" s="13" t="s">
        <v>1048</v>
      </c>
    </row>
    <row r="28" spans="3:6" ht="45">
      <c r="C28" s="3" t="s">
        <v>26</v>
      </c>
      <c r="D28" s="3" t="s">
        <v>27</v>
      </c>
      <c r="E28" s="3"/>
      <c r="F28" s="20" t="s">
        <v>1049</v>
      </c>
    </row>
    <row r="29" spans="3:6">
      <c r="C29" s="62" t="s">
        <v>28</v>
      </c>
      <c r="D29" s="10" t="s">
        <v>1050</v>
      </c>
      <c r="E29" s="4"/>
      <c r="F29" s="13" t="s">
        <v>1051</v>
      </c>
    </row>
    <row r="30" spans="3:6" ht="30">
      <c r="C30" s="62" t="s">
        <v>29</v>
      </c>
      <c r="D30" s="10" t="s">
        <v>1052</v>
      </c>
      <c r="E30" s="4"/>
      <c r="F30" s="20" t="s">
        <v>1053</v>
      </c>
    </row>
    <row r="31" spans="3:6" ht="30">
      <c r="C31" s="62" t="s">
        <v>30</v>
      </c>
      <c r="D31" s="10" t="s">
        <v>1054</v>
      </c>
      <c r="E31" s="4"/>
      <c r="F31" s="20" t="s">
        <v>1055</v>
      </c>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30">
      <c r="C38" s="62" t="s">
        <v>40</v>
      </c>
      <c r="D38" s="10" t="s">
        <v>41</v>
      </c>
      <c r="E38" s="10" t="s">
        <v>95</v>
      </c>
      <c r="F38" s="10" t="s">
        <v>1056</v>
      </c>
      <c r="G38" s="12">
        <v>0.5</v>
      </c>
      <c r="H38" s="10">
        <v>8</v>
      </c>
    </row>
    <row r="39" spans="3:8" ht="60">
      <c r="C39" s="62" t="s">
        <v>44</v>
      </c>
      <c r="D39" s="10" t="s">
        <v>19</v>
      </c>
      <c r="E39" s="10"/>
      <c r="F39" s="10" t="s">
        <v>1057</v>
      </c>
      <c r="G39" s="12">
        <v>0.5</v>
      </c>
      <c r="H39" s="10">
        <v>12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214</v>
      </c>
    </row>
    <row r="47" spans="3:8">
      <c r="C47" s="14" t="s">
        <v>40</v>
      </c>
      <c r="D47" s="13" t="s">
        <v>28</v>
      </c>
      <c r="E47" s="13" t="s">
        <v>50</v>
      </c>
      <c r="F47" s="13" t="s">
        <v>606</v>
      </c>
    </row>
    <row r="48" spans="3:8">
      <c r="C48" s="14" t="s">
        <v>40</v>
      </c>
      <c r="D48" s="13" t="s">
        <v>28</v>
      </c>
      <c r="E48" s="13" t="s">
        <v>53</v>
      </c>
      <c r="F48" s="13" t="s">
        <v>167</v>
      </c>
    </row>
    <row r="49" spans="3:6">
      <c r="C49" s="14" t="s">
        <v>44</v>
      </c>
      <c r="D49" s="13" t="s">
        <v>28</v>
      </c>
      <c r="E49" s="13" t="s">
        <v>55</v>
      </c>
      <c r="F49" s="13" t="s">
        <v>56</v>
      </c>
    </row>
    <row r="50" spans="3:6">
      <c r="C50" s="14" t="s">
        <v>44</v>
      </c>
      <c r="D50" s="13" t="s">
        <v>29</v>
      </c>
      <c r="E50" s="13" t="s">
        <v>57</v>
      </c>
      <c r="F50" s="13" t="s">
        <v>967</v>
      </c>
    </row>
    <row r="51" spans="3:6">
      <c r="C51" s="14" t="s">
        <v>44</v>
      </c>
      <c r="D51" s="13" t="s">
        <v>29</v>
      </c>
      <c r="E51" s="13" t="s">
        <v>433</v>
      </c>
      <c r="F51" s="13" t="s">
        <v>916</v>
      </c>
    </row>
    <row r="52" spans="3:6">
      <c r="C52" s="14" t="s">
        <v>44</v>
      </c>
      <c r="D52" s="13" t="s">
        <v>29</v>
      </c>
      <c r="E52" s="13" t="s">
        <v>53</v>
      </c>
      <c r="F52" s="13" t="s">
        <v>167</v>
      </c>
    </row>
    <row r="53" spans="3:6">
      <c r="C53" s="14" t="s">
        <v>44</v>
      </c>
      <c r="D53" s="13" t="s">
        <v>29</v>
      </c>
      <c r="E53" s="13" t="s">
        <v>106</v>
      </c>
      <c r="F53" s="13" t="s">
        <v>1058</v>
      </c>
    </row>
    <row r="54" spans="3:6">
      <c r="C54" s="14" t="s">
        <v>44</v>
      </c>
      <c r="D54" s="13" t="s">
        <v>29</v>
      </c>
      <c r="E54" s="13" t="s">
        <v>55</v>
      </c>
      <c r="F54" s="13" t="s">
        <v>104</v>
      </c>
    </row>
    <row r="55" spans="3:6">
      <c r="C55" s="14" t="s">
        <v>44</v>
      </c>
      <c r="D55" s="13" t="s">
        <v>30</v>
      </c>
      <c r="E55" s="13" t="s">
        <v>100</v>
      </c>
      <c r="F55" s="13" t="s">
        <v>101</v>
      </c>
    </row>
    <row r="56" spans="3:6">
      <c r="C56" s="14" t="s">
        <v>44</v>
      </c>
      <c r="D56" s="13" t="s">
        <v>30</v>
      </c>
      <c r="E56" s="13" t="s">
        <v>100</v>
      </c>
      <c r="F56" s="13" t="s">
        <v>396</v>
      </c>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ht="30">
      <c r="B71" s="63">
        <v>1</v>
      </c>
      <c r="C71" s="64">
        <v>1</v>
      </c>
      <c r="D71" s="10" t="s">
        <v>1059</v>
      </c>
      <c r="E71" s="10"/>
      <c r="F71" s="10"/>
    </row>
    <row r="72" spans="2:6">
      <c r="B72" s="63">
        <v>1</v>
      </c>
      <c r="C72" s="64">
        <v>2</v>
      </c>
      <c r="D72" s="10" t="s">
        <v>1060</v>
      </c>
      <c r="E72" s="10"/>
      <c r="F72" s="10"/>
    </row>
    <row r="73" spans="2:6" ht="30">
      <c r="B73" s="63">
        <v>1</v>
      </c>
      <c r="C73" s="64">
        <v>3</v>
      </c>
      <c r="D73" s="10" t="s">
        <v>1061</v>
      </c>
      <c r="E73" s="10"/>
      <c r="F73" s="10"/>
    </row>
    <row r="74" spans="2:6">
      <c r="B74" s="63">
        <v>1</v>
      </c>
      <c r="C74" s="64">
        <v>4</v>
      </c>
      <c r="D74" s="10" t="s">
        <v>1062</v>
      </c>
      <c r="E74" s="10"/>
      <c r="F74" s="10"/>
    </row>
    <row r="75" spans="2:6">
      <c r="B75" s="63">
        <v>1</v>
      </c>
      <c r="C75" s="64">
        <v>5</v>
      </c>
      <c r="D75" s="10" t="s">
        <v>1062</v>
      </c>
      <c r="E75" s="10"/>
      <c r="F75" s="10"/>
    </row>
    <row r="76" spans="2:6">
      <c r="B76" s="63">
        <v>1</v>
      </c>
      <c r="C76" s="64">
        <v>6</v>
      </c>
      <c r="D76" s="10" t="s">
        <v>1063</v>
      </c>
      <c r="E76" s="10"/>
      <c r="F76" s="10"/>
    </row>
    <row r="77" spans="2:6">
      <c r="B77" s="63">
        <v>1</v>
      </c>
      <c r="C77" s="64">
        <v>7</v>
      </c>
      <c r="D77" s="10" t="s">
        <v>1064</v>
      </c>
      <c r="E77" s="10"/>
      <c r="F77" s="10"/>
    </row>
    <row r="78" spans="2:6">
      <c r="B78" s="63">
        <v>1</v>
      </c>
      <c r="C78" s="64">
        <v>8</v>
      </c>
      <c r="D78" s="10" t="s">
        <v>1065</v>
      </c>
      <c r="E78" s="10"/>
      <c r="F78" s="10"/>
    </row>
    <row r="79" spans="2:6">
      <c r="B79" s="63">
        <v>1</v>
      </c>
      <c r="C79" s="64">
        <v>9</v>
      </c>
      <c r="D79" s="10" t="s">
        <v>1066</v>
      </c>
      <c r="E79" s="10"/>
      <c r="F79" s="10"/>
    </row>
    <row r="80" spans="2:6">
      <c r="B80" s="63">
        <v>1</v>
      </c>
      <c r="C80" s="64">
        <v>10</v>
      </c>
      <c r="D80" s="10" t="s">
        <v>1067</v>
      </c>
      <c r="E80" s="10"/>
      <c r="F80" s="10"/>
    </row>
    <row r="81" spans="2:6">
      <c r="B81" s="63">
        <v>1</v>
      </c>
      <c r="C81" s="64">
        <v>11</v>
      </c>
      <c r="D81" s="10" t="s">
        <v>1068</v>
      </c>
      <c r="E81" s="10"/>
      <c r="F81" s="10"/>
    </row>
    <row r="82" spans="2:6">
      <c r="B82" s="63">
        <v>1</v>
      </c>
      <c r="C82" s="64">
        <v>12</v>
      </c>
      <c r="D82" s="10" t="s">
        <v>1063</v>
      </c>
      <c r="E82" s="10"/>
      <c r="F82" s="10"/>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271CB6C7-3BC1-4C43-998B-89827B6CCA80}">
      <formula1>0</formula1>
      <formula2>80</formula2>
    </dataValidation>
    <dataValidation type="whole" showInputMessage="1" showErrorMessage="1" error="This is not a realistic number of contact hours please change" sqref="D19" xr:uid="{83BED4DB-E4D5-4DC8-A0D3-EEE30236838D}">
      <formula1>0</formula1>
      <formula2>80</formula2>
    </dataValidation>
    <dataValidation type="list" allowBlank="1" showInputMessage="1" showErrorMessage="1" sqref="E38:E41" xr:uid="{4E54F737-1477-4A68-A59C-5BD83F55B175}">
      <formula1>INDIRECT("LISTAssess[Assessment Specific]")</formula1>
    </dataValidation>
    <dataValidation type="list" allowBlank="1" showInputMessage="1" showErrorMessage="1" sqref="F46:F66" xr:uid="{0145079F-818B-4E11-9C3A-6778BDBDFDA6}">
      <formula1>INDIRECT(VLOOKUP($E46, SkillNameMap, 2, FALSE))</formula1>
    </dataValidation>
  </dataValidations>
  <pageMargins left="0.7" right="0.7" top="0.75" bottom="0.75" header="0.3" footer="0.3"/>
  <pageSetup paperSize="9" orientation="portrait" horizontalDpi="4294967293"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2461D027-7487-48F6-8B00-E640F8FE42FD}">
          <x14:formula1>
            <xm:f>LISTS!$C$26:$C$37</xm:f>
          </x14:formula1>
          <xm:sqref>D14</xm:sqref>
        </x14:dataValidation>
        <x14:dataValidation type="list" allowBlank="1" showInputMessage="1" showErrorMessage="1" xr:uid="{F4875CEE-FA0F-4861-8783-00A30C23B8D3}">
          <x14:formula1>
            <xm:f>LISTS!$C$17:$C$22</xm:f>
          </x14:formula1>
          <xm:sqref>D13</xm:sqref>
        </x14:dataValidation>
        <x14:dataValidation type="list" allowBlank="1" showInputMessage="1" showErrorMessage="1" xr:uid="{6E84C81F-3636-47A8-8220-9DC2552C253B}">
          <x14:formula1>
            <xm:f>LISTS!$C$7:$C$9</xm:f>
          </x14:formula1>
          <xm:sqref>D10</xm:sqref>
        </x14:dataValidation>
        <x14:dataValidation type="list" allowBlank="1" showInputMessage="1" showErrorMessage="1" xr:uid="{5E7CC4F1-8F54-4138-A0B7-3871480AD3CD}">
          <x14:formula1>
            <xm:f>LISTS!$C$11:$C$15</xm:f>
          </x14:formula1>
          <xm:sqref>D11</xm:sqref>
        </x14:dataValidation>
        <x14:dataValidation type="list" allowBlank="1" showInputMessage="1" showErrorMessage="1" xr:uid="{F260A89A-6987-4528-B979-080766746BEA}">
          <x14:formula1>
            <xm:f>LISTS!$G$7:$G$11</xm:f>
          </x14:formula1>
          <xm:sqref>D38:D42</xm:sqref>
        </x14:dataValidation>
        <x14:dataValidation type="list" allowBlank="1" showInputMessage="1" showErrorMessage="1" xr:uid="{93789AA2-C81E-4C5B-A625-B60720450EA6}">
          <x14:formula1>
            <xm:f>LISTS!$E$7:$E$11</xm:f>
          </x14:formula1>
          <xm:sqref>D46:D66</xm:sqref>
        </x14:dataValidation>
        <x14:dataValidation type="list" allowBlank="1" showInputMessage="1" showErrorMessage="1" xr:uid="{DECD246D-AAE1-4FC3-93DF-E0C783C29528}">
          <x14:formula1>
            <xm:f>LISTS!$J$7:$J$16</xm:f>
          </x14:formula1>
          <xm:sqref>E46:E66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8CC3-E0AD-4B9C-847A-037A12A399CE}">
  <sheetPr codeName="Sheet12"/>
  <dimension ref="B2:H94"/>
  <sheetViews>
    <sheetView showGridLines="0" zoomScale="85" zoomScaleNormal="85" workbookViewId="0">
      <selection activeCell="D12" sqref="D12"/>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6095SPS</v>
      </c>
      <c r="D2" s="9" t="str">
        <f>D8</f>
        <v>Performance Analysis in Sport</v>
      </c>
    </row>
    <row r="3" spans="2:6">
      <c r="B3" s="1"/>
      <c r="C3" s="1"/>
      <c r="E3" s="100" t="s">
        <v>1069</v>
      </c>
    </row>
    <row r="4" spans="2:6">
      <c r="B4" s="2"/>
      <c r="C4" s="2"/>
      <c r="E4" s="100" t="s">
        <v>142</v>
      </c>
    </row>
    <row r="5" spans="2:6" ht="18.75">
      <c r="B5" s="2"/>
      <c r="C5" s="5" t="s">
        <v>0</v>
      </c>
    </row>
    <row r="6" spans="2:6">
      <c r="B6" s="2"/>
      <c r="C6" s="3" t="s">
        <v>1</v>
      </c>
      <c r="D6" s="4" t="s">
        <v>2</v>
      </c>
      <c r="E6" s="4"/>
      <c r="F6" t="s">
        <v>3</v>
      </c>
    </row>
    <row r="7" spans="2:6" ht="135">
      <c r="B7" s="2"/>
      <c r="C7" s="62" t="s">
        <v>4</v>
      </c>
      <c r="D7" s="10" t="s">
        <v>1070</v>
      </c>
      <c r="E7" s="4"/>
      <c r="F7" s="30" t="s">
        <v>1071</v>
      </c>
    </row>
    <row r="8" spans="2:6">
      <c r="B8" s="2"/>
      <c r="C8" s="62" t="s">
        <v>6</v>
      </c>
      <c r="D8" s="10" t="s">
        <v>1072</v>
      </c>
      <c r="E8" s="4"/>
      <c r="F8" s="13"/>
    </row>
    <row r="9" spans="2:6">
      <c r="C9" s="62" t="s">
        <v>7</v>
      </c>
      <c r="D9" s="10">
        <v>20</v>
      </c>
      <c r="E9" s="4"/>
    </row>
    <row r="10" spans="2:6">
      <c r="C10" s="62" t="s">
        <v>8</v>
      </c>
      <c r="D10" s="10">
        <v>1</v>
      </c>
      <c r="E10" s="4"/>
      <c r="F10" t="s">
        <v>9</v>
      </c>
    </row>
    <row r="11" spans="2:6" ht="60">
      <c r="C11" s="62" t="s">
        <v>10</v>
      </c>
      <c r="D11" s="10">
        <v>6</v>
      </c>
      <c r="E11" s="4"/>
      <c r="F11" s="34" t="s">
        <v>1073</v>
      </c>
    </row>
    <row r="12" spans="2:6">
      <c r="C12" s="62" t="s">
        <v>11</v>
      </c>
      <c r="D12" s="10" t="s">
        <v>1074</v>
      </c>
      <c r="E12" s="4"/>
      <c r="F12" s="13"/>
    </row>
    <row r="13" spans="2:6">
      <c r="C13" s="62" t="s">
        <v>12</v>
      </c>
      <c r="D13" s="10" t="s">
        <v>551</v>
      </c>
      <c r="E13" s="4"/>
      <c r="F13" s="13"/>
    </row>
    <row r="14" spans="2:6">
      <c r="C14" s="62" t="s">
        <v>13</v>
      </c>
      <c r="D14" s="10" t="s">
        <v>996</v>
      </c>
      <c r="E14" s="4"/>
    </row>
    <row r="15" spans="2:6">
      <c r="C15" s="3"/>
      <c r="D15" s="4"/>
      <c r="E15" s="4"/>
      <c r="F15" t="s">
        <v>14</v>
      </c>
    </row>
    <row r="16" spans="2:6" ht="60">
      <c r="C16" s="3"/>
      <c r="D16" s="4"/>
      <c r="E16" s="4"/>
      <c r="F16" s="34" t="s">
        <v>1075</v>
      </c>
    </row>
    <row r="17" spans="3:6" ht="75">
      <c r="C17" s="5" t="s">
        <v>15</v>
      </c>
      <c r="D17" s="4"/>
      <c r="E17" s="4"/>
      <c r="F17" s="34" t="s">
        <v>1076</v>
      </c>
    </row>
    <row r="18" spans="3:6">
      <c r="C18" s="3" t="s">
        <v>16</v>
      </c>
      <c r="D18" s="1" t="s">
        <v>15</v>
      </c>
      <c r="E18" s="4"/>
      <c r="F18" s="13"/>
    </row>
    <row r="19" spans="3:6">
      <c r="C19" s="62" t="s">
        <v>17</v>
      </c>
      <c r="D19" s="11">
        <v>22</v>
      </c>
      <c r="E19" s="4"/>
      <c r="F19" s="13"/>
    </row>
    <row r="20" spans="3:6">
      <c r="C20" s="62" t="s">
        <v>18</v>
      </c>
      <c r="D20" s="11"/>
      <c r="E20" s="4"/>
      <c r="F20" s="13"/>
    </row>
    <row r="21" spans="3:6">
      <c r="C21" s="62" t="s">
        <v>19</v>
      </c>
      <c r="D21" s="11">
        <v>16</v>
      </c>
      <c r="E21" s="4"/>
    </row>
    <row r="22" spans="3:6">
      <c r="C22" s="62" t="s">
        <v>20</v>
      </c>
      <c r="D22" s="11">
        <v>6</v>
      </c>
      <c r="E22" s="4"/>
      <c r="F22" t="s">
        <v>21</v>
      </c>
    </row>
    <row r="23" spans="3:6">
      <c r="C23" s="62" t="s">
        <v>22</v>
      </c>
      <c r="D23" s="11"/>
      <c r="E23" s="4"/>
      <c r="F23" s="33" t="s">
        <v>1077</v>
      </c>
    </row>
    <row r="24" spans="3:6">
      <c r="C24" s="62" t="s">
        <v>23</v>
      </c>
      <c r="D24" s="1">
        <f>SUM(D19:D23)</f>
        <v>44</v>
      </c>
      <c r="E24" s="4"/>
      <c r="F24" s="13"/>
    </row>
    <row r="25" spans="3:6">
      <c r="F25" s="13"/>
    </row>
    <row r="26" spans="3:6">
      <c r="F26" s="13"/>
    </row>
    <row r="27" spans="3:6" ht="18.75">
      <c r="C27" s="5" t="s">
        <v>24</v>
      </c>
      <c r="D27" s="8" t="s">
        <v>25</v>
      </c>
      <c r="F27" s="13"/>
    </row>
    <row r="28" spans="3:6">
      <c r="C28" s="3" t="s">
        <v>26</v>
      </c>
      <c r="D28" s="3" t="s">
        <v>27</v>
      </c>
      <c r="E28" s="3"/>
      <c r="F28" s="13"/>
    </row>
    <row r="29" spans="3:6" ht="45">
      <c r="C29" s="62" t="s">
        <v>28</v>
      </c>
      <c r="D29" s="34" t="s">
        <v>1078</v>
      </c>
      <c r="E29" s="4"/>
      <c r="F29" s="13"/>
    </row>
    <row r="30" spans="3:6" ht="60">
      <c r="C30" s="62" t="s">
        <v>29</v>
      </c>
      <c r="D30" s="34" t="s">
        <v>1079</v>
      </c>
      <c r="E30" s="4"/>
      <c r="F30" s="13"/>
    </row>
    <row r="31" spans="3:6">
      <c r="C31" s="62" t="s">
        <v>30</v>
      </c>
      <c r="D31" s="10"/>
      <c r="E31" s="4"/>
      <c r="F31" s="13"/>
    </row>
    <row r="32" spans="3:6">
      <c r="C32" s="62" t="s">
        <v>31</v>
      </c>
      <c r="D32" s="10"/>
      <c r="E32" s="4"/>
      <c r="F32" s="13"/>
    </row>
    <row r="33" spans="3:8">
      <c r="C33" s="62" t="s">
        <v>32</v>
      </c>
      <c r="D33" s="10"/>
      <c r="E33" s="4"/>
      <c r="F33" s="13"/>
    </row>
    <row r="36" spans="3:8" ht="18.75">
      <c r="C36" s="5" t="s">
        <v>33</v>
      </c>
    </row>
    <row r="37" spans="3:8">
      <c r="C37" s="3" t="s">
        <v>34</v>
      </c>
      <c r="D37" s="3" t="s">
        <v>35</v>
      </c>
      <c r="E37" s="3" t="s">
        <v>36</v>
      </c>
      <c r="F37" s="3" t="s">
        <v>37</v>
      </c>
      <c r="G37" s="3" t="s">
        <v>38</v>
      </c>
      <c r="H37" s="3" t="s">
        <v>39</v>
      </c>
    </row>
    <row r="38" spans="3:8" ht="60">
      <c r="C38" s="62" t="s">
        <v>40</v>
      </c>
      <c r="D38" s="10" t="s">
        <v>97</v>
      </c>
      <c r="E38" s="10" t="s">
        <v>563</v>
      </c>
      <c r="F38" s="10" t="s">
        <v>1080</v>
      </c>
      <c r="G38" s="12">
        <v>0.6</v>
      </c>
      <c r="H38" s="10">
        <v>12</v>
      </c>
    </row>
    <row r="39" spans="3:8">
      <c r="C39" s="62" t="s">
        <v>44</v>
      </c>
      <c r="D39" s="10" t="s">
        <v>41</v>
      </c>
      <c r="E39" s="10" t="s">
        <v>42</v>
      </c>
      <c r="F39" s="33" t="s">
        <v>1081</v>
      </c>
      <c r="G39" s="12">
        <v>0.4</v>
      </c>
      <c r="H39" s="10" t="s">
        <v>1082</v>
      </c>
    </row>
    <row r="40" spans="3:8">
      <c r="C40" s="62" t="s">
        <v>45</v>
      </c>
      <c r="D40" s="13"/>
      <c r="E40" s="13"/>
      <c r="F40" s="13"/>
      <c r="G40" s="13"/>
      <c r="H40" s="13"/>
    </row>
    <row r="41" spans="3:8">
      <c r="C41" s="62"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606</v>
      </c>
    </row>
    <row r="47" spans="3:8">
      <c r="C47" s="14" t="s">
        <v>40</v>
      </c>
      <c r="D47" s="13" t="s">
        <v>28</v>
      </c>
      <c r="E47" s="13" t="s">
        <v>57</v>
      </c>
      <c r="F47" s="13" t="s">
        <v>78</v>
      </c>
    </row>
    <row r="48" spans="3:8">
      <c r="C48" s="14" t="s">
        <v>40</v>
      </c>
      <c r="D48" s="13" t="s">
        <v>28</v>
      </c>
      <c r="E48" s="13" t="s">
        <v>168</v>
      </c>
      <c r="F48" s="13" t="s">
        <v>169</v>
      </c>
    </row>
    <row r="49" spans="3:6">
      <c r="C49" s="14" t="s">
        <v>40</v>
      </c>
      <c r="D49" s="13" t="s">
        <v>28</v>
      </c>
      <c r="E49" s="13" t="s">
        <v>315</v>
      </c>
      <c r="F49" s="13" t="s">
        <v>316</v>
      </c>
    </row>
    <row r="50" spans="3:6">
      <c r="C50" s="14" t="s">
        <v>40</v>
      </c>
      <c r="D50" s="13" t="s">
        <v>29</v>
      </c>
      <c r="E50" s="13" t="s">
        <v>57</v>
      </c>
      <c r="F50" s="13" t="s">
        <v>58</v>
      </c>
    </row>
    <row r="51" spans="3:6">
      <c r="C51" s="14" t="s">
        <v>44</v>
      </c>
      <c r="D51" s="13" t="s">
        <v>28</v>
      </c>
      <c r="E51" s="13" t="s">
        <v>53</v>
      </c>
      <c r="F51" s="13" t="s">
        <v>54</v>
      </c>
    </row>
    <row r="52" spans="3:6">
      <c r="C52" s="14" t="s">
        <v>44</v>
      </c>
      <c r="D52" s="13" t="s">
        <v>29</v>
      </c>
      <c r="E52" s="13" t="s">
        <v>55</v>
      </c>
      <c r="F52" s="13" t="s">
        <v>56</v>
      </c>
    </row>
    <row r="53" spans="3:6">
      <c r="C53" s="14" t="s">
        <v>44</v>
      </c>
      <c r="D53" s="13" t="s">
        <v>29</v>
      </c>
      <c r="E53" s="13" t="s">
        <v>106</v>
      </c>
      <c r="F53" s="13" t="s">
        <v>273</v>
      </c>
    </row>
    <row r="54" spans="3:6">
      <c r="C54" s="14"/>
      <c r="D54" s="13"/>
      <c r="E54" s="13"/>
      <c r="F54" s="13"/>
    </row>
    <row r="55" spans="3:6">
      <c r="C55" s="14"/>
      <c r="D55" s="13"/>
      <c r="E55" s="13"/>
      <c r="F55" s="13"/>
    </row>
    <row r="56" spans="3:6">
      <c r="C56" s="14"/>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63">
        <v>1</v>
      </c>
      <c r="C71" s="64">
        <v>1</v>
      </c>
      <c r="D71" s="30" t="s">
        <v>1083</v>
      </c>
      <c r="E71" s="30" t="s">
        <v>1084</v>
      </c>
      <c r="F71" s="10"/>
    </row>
    <row r="72" spans="2:6">
      <c r="B72" s="63">
        <v>1</v>
      </c>
      <c r="C72" s="64">
        <v>2</v>
      </c>
      <c r="D72" s="30" t="s">
        <v>1085</v>
      </c>
      <c r="E72" s="30" t="s">
        <v>1086</v>
      </c>
      <c r="F72" s="10"/>
    </row>
    <row r="73" spans="2:6">
      <c r="B73" s="63">
        <v>1</v>
      </c>
      <c r="C73" s="64">
        <v>3</v>
      </c>
      <c r="D73" s="30" t="s">
        <v>1087</v>
      </c>
      <c r="E73" s="30" t="s">
        <v>1088</v>
      </c>
      <c r="F73" s="10"/>
    </row>
    <row r="74" spans="2:6" ht="30">
      <c r="B74" s="63">
        <v>1</v>
      </c>
      <c r="C74" s="64">
        <v>4</v>
      </c>
      <c r="D74" s="30" t="s">
        <v>1089</v>
      </c>
      <c r="E74" s="30" t="s">
        <v>1088</v>
      </c>
      <c r="F74" s="10" t="s">
        <v>1090</v>
      </c>
    </row>
    <row r="75" spans="2:6">
      <c r="B75" s="63">
        <v>1</v>
      </c>
      <c r="C75" s="64">
        <v>5</v>
      </c>
      <c r="D75" s="30" t="s">
        <v>1091</v>
      </c>
      <c r="E75" s="30" t="s">
        <v>1092</v>
      </c>
      <c r="F75" s="10"/>
    </row>
    <row r="76" spans="2:6" ht="30">
      <c r="B76" s="63">
        <v>1</v>
      </c>
      <c r="C76" s="64">
        <v>6</v>
      </c>
      <c r="D76" s="30" t="s">
        <v>1093</v>
      </c>
      <c r="E76" s="30" t="s">
        <v>1094</v>
      </c>
      <c r="F76" s="10"/>
    </row>
    <row r="77" spans="2:6">
      <c r="B77" s="63">
        <v>1</v>
      </c>
      <c r="C77" s="64">
        <v>7</v>
      </c>
      <c r="D77" s="33" t="s">
        <v>1095</v>
      </c>
      <c r="E77" s="35"/>
      <c r="F77" s="10"/>
    </row>
    <row r="78" spans="2:6">
      <c r="B78" s="63">
        <v>1</v>
      </c>
      <c r="C78" s="64">
        <v>8</v>
      </c>
      <c r="D78" s="30" t="s">
        <v>1096</v>
      </c>
      <c r="E78" s="30" t="s">
        <v>1097</v>
      </c>
      <c r="F78" s="10" t="s">
        <v>1098</v>
      </c>
    </row>
    <row r="79" spans="2:6">
      <c r="B79" s="63">
        <v>1</v>
      </c>
      <c r="C79" s="64">
        <v>9</v>
      </c>
      <c r="D79" s="30" t="s">
        <v>1099</v>
      </c>
      <c r="E79" s="30" t="s">
        <v>1100</v>
      </c>
      <c r="F79" s="10"/>
    </row>
    <row r="80" spans="2:6">
      <c r="B80" s="63">
        <v>1</v>
      </c>
      <c r="C80" s="64">
        <v>10</v>
      </c>
      <c r="D80" s="30" t="s">
        <v>1101</v>
      </c>
      <c r="E80" s="30" t="s">
        <v>1102</v>
      </c>
      <c r="F80" s="10"/>
    </row>
    <row r="81" spans="2:6">
      <c r="B81" s="63">
        <v>1</v>
      </c>
      <c r="C81" s="64">
        <v>11</v>
      </c>
      <c r="D81" s="30" t="s">
        <v>1103</v>
      </c>
      <c r="E81" s="30" t="s">
        <v>1102</v>
      </c>
      <c r="F81" s="10"/>
    </row>
    <row r="82" spans="2:6">
      <c r="B82" s="63">
        <v>1</v>
      </c>
      <c r="C82" s="64">
        <v>12</v>
      </c>
      <c r="D82" s="30" t="s">
        <v>1104</v>
      </c>
      <c r="E82" s="30" t="s">
        <v>1105</v>
      </c>
      <c r="F82" s="10" t="s">
        <v>1106</v>
      </c>
    </row>
    <row r="83" spans="2:6">
      <c r="B83" s="63">
        <v>2</v>
      </c>
      <c r="C83" s="64">
        <v>1</v>
      </c>
      <c r="D83" s="10"/>
      <c r="E83" s="10"/>
      <c r="F83" s="10"/>
    </row>
    <row r="84" spans="2:6">
      <c r="B84" s="63">
        <v>2</v>
      </c>
      <c r="C84" s="64">
        <v>2</v>
      </c>
      <c r="D84" s="10"/>
      <c r="E84" s="10"/>
      <c r="F84" s="10"/>
    </row>
    <row r="85" spans="2:6">
      <c r="B85" s="63">
        <v>2</v>
      </c>
      <c r="C85" s="64">
        <v>3</v>
      </c>
      <c r="D85" s="10"/>
      <c r="E85" s="10"/>
      <c r="F85" s="10"/>
    </row>
    <row r="86" spans="2:6">
      <c r="B86" s="63">
        <v>2</v>
      </c>
      <c r="C86" s="64">
        <v>4</v>
      </c>
      <c r="D86" s="10"/>
      <c r="E86" s="10"/>
      <c r="F86" s="10"/>
    </row>
    <row r="87" spans="2:6">
      <c r="B87" s="63">
        <v>2</v>
      </c>
      <c r="C87" s="64">
        <v>5</v>
      </c>
      <c r="D87" s="10"/>
      <c r="E87" s="10"/>
      <c r="F87" s="10"/>
    </row>
    <row r="88" spans="2:6">
      <c r="B88" s="63">
        <v>2</v>
      </c>
      <c r="C88" s="64">
        <v>6</v>
      </c>
      <c r="D88" s="10"/>
      <c r="E88" s="10"/>
      <c r="F88" s="10"/>
    </row>
    <row r="89" spans="2:6">
      <c r="B89" s="63">
        <v>2</v>
      </c>
      <c r="C89" s="64">
        <v>7</v>
      </c>
      <c r="D89" s="10"/>
      <c r="E89" s="10"/>
      <c r="F89" s="10"/>
    </row>
    <row r="90" spans="2:6">
      <c r="B90" s="63">
        <v>2</v>
      </c>
      <c r="C90" s="64">
        <v>8</v>
      </c>
      <c r="D90" s="10"/>
      <c r="E90" s="10"/>
      <c r="F90" s="10"/>
    </row>
    <row r="91" spans="2:6">
      <c r="B91" s="63">
        <v>2</v>
      </c>
      <c r="C91" s="64">
        <v>9</v>
      </c>
      <c r="D91" s="10"/>
      <c r="E91" s="10"/>
      <c r="F91" s="10"/>
    </row>
    <row r="92" spans="2:6">
      <c r="B92" s="63">
        <v>2</v>
      </c>
      <c r="C92" s="64">
        <v>10</v>
      </c>
      <c r="D92" s="10"/>
      <c r="E92" s="10"/>
      <c r="F92" s="10"/>
    </row>
    <row r="93" spans="2:6">
      <c r="B93" s="63">
        <v>2</v>
      </c>
      <c r="C93" s="64">
        <v>11</v>
      </c>
      <c r="D93" s="10"/>
      <c r="E93" s="10"/>
      <c r="F93" s="10"/>
    </row>
    <row r="94" spans="2:6">
      <c r="B94" s="63">
        <v>2</v>
      </c>
      <c r="C94" s="64">
        <v>12</v>
      </c>
      <c r="D94" s="10"/>
      <c r="E94" s="10"/>
      <c r="F94" s="10"/>
    </row>
  </sheetData>
  <sheetProtection sheet="1" objects="1" scenarios="1" formatCells="0" formatColumns="0" formatRows="0" insertHyperlinks="0"/>
  <dataValidations count="4">
    <dataValidation type="whole" showInputMessage="1" showErrorMessage="1" error="This is not a realistic number of contact hours please reduce" sqref="D20:D23" xr:uid="{6EF0EC3B-28AE-4534-9A35-879F96167220}">
      <formula1>0</formula1>
      <formula2>80</formula2>
    </dataValidation>
    <dataValidation type="whole" showInputMessage="1" showErrorMessage="1" error="This is not a realistic number of contact hours please change" sqref="D19" xr:uid="{65E4390B-23DC-4D62-A7D3-00C723B0591C}">
      <formula1>0</formula1>
      <formula2>80</formula2>
    </dataValidation>
    <dataValidation type="list" allowBlank="1" showInputMessage="1" showErrorMessage="1" sqref="E38:E41" xr:uid="{E69AB558-57D4-46FA-8609-281D1D5403C7}">
      <formula1>INDIRECT("LISTAssess[Assessment Specific]")</formula1>
    </dataValidation>
    <dataValidation type="list" allowBlank="1" showInputMessage="1" showErrorMessage="1" sqref="F46:F66" xr:uid="{E493D753-C949-4BDB-8D86-C2941DF12145}">
      <formula1>INDIRECT(VLOOKUP($E46, SkillNameMap, 2, FALSE))</formula1>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899DF008-F95A-4A19-881C-013B9E2B7EC1}">
          <x14:formula1>
            <xm:f>LISTS!$C$26:$C$37</xm:f>
          </x14:formula1>
          <xm:sqref>D14</xm:sqref>
        </x14:dataValidation>
        <x14:dataValidation type="list" allowBlank="1" showInputMessage="1" showErrorMessage="1" xr:uid="{15F37E27-11F5-4CBC-8332-F6146564318B}">
          <x14:formula1>
            <xm:f>LISTS!$C$17:$C$22</xm:f>
          </x14:formula1>
          <xm:sqref>D13</xm:sqref>
        </x14:dataValidation>
        <x14:dataValidation type="list" allowBlank="1" showInputMessage="1" showErrorMessage="1" xr:uid="{CA23FE9C-6308-4AC9-9D45-A70C0905DB1C}">
          <x14:formula1>
            <xm:f>LISTS!$C$7:$C$9</xm:f>
          </x14:formula1>
          <xm:sqref>D10</xm:sqref>
        </x14:dataValidation>
        <x14:dataValidation type="list" allowBlank="1" showInputMessage="1" showErrorMessage="1" xr:uid="{2445B6AF-04B2-48A0-8CBD-9D738AC74DE7}">
          <x14:formula1>
            <xm:f>LISTS!$C$11:$C$15</xm:f>
          </x14:formula1>
          <xm:sqref>D11</xm:sqref>
        </x14:dataValidation>
        <x14:dataValidation type="list" allowBlank="1" showInputMessage="1" showErrorMessage="1" xr:uid="{2C06CD6F-F95B-44DD-BDF5-78C501E275C0}">
          <x14:formula1>
            <xm:f>LISTS!$G$7:$G$11</xm:f>
          </x14:formula1>
          <xm:sqref>D38:D42</xm:sqref>
        </x14:dataValidation>
        <x14:dataValidation type="list" allowBlank="1" showInputMessage="1" showErrorMessage="1" xr:uid="{0D10DC0D-3FC5-4448-A56D-EEB8234A4C0B}">
          <x14:formula1>
            <xm:f>LISTS!$E$7:$E$11</xm:f>
          </x14:formula1>
          <xm:sqref>D46:D66</xm:sqref>
        </x14:dataValidation>
        <x14:dataValidation type="list" allowBlank="1" showInputMessage="1" showErrorMessage="1" xr:uid="{3FF3E335-6CDA-4C7D-A2EC-D67506BB8937}">
          <x14:formula1>
            <xm:f>LISTS!$J$7:$J$16</xm:f>
          </x14:formula1>
          <xm:sqref>E46:E66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E31D0-C386-4748-BCCD-2C13C929FDA0}">
  <sheetPr codeName="Sheet22"/>
  <dimension ref="B2:H94"/>
  <sheetViews>
    <sheetView showGridLines="0" topLeftCell="B1" zoomScale="85" zoomScaleNormal="85" workbookViewId="0">
      <selection activeCell="E6" sqref="E6"/>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SEM401</v>
      </c>
      <c r="D2" s="9" t="str">
        <f>D8</f>
        <v>Module Title</v>
      </c>
    </row>
    <row r="3" spans="2:6">
      <c r="B3" s="1"/>
      <c r="C3" s="1"/>
    </row>
    <row r="4" spans="2:6">
      <c r="B4" s="2"/>
      <c r="C4" s="2"/>
    </row>
    <row r="5" spans="2:6" ht="18.75">
      <c r="B5" s="2"/>
      <c r="C5" s="5" t="s">
        <v>0</v>
      </c>
    </row>
    <row r="6" spans="2:6">
      <c r="B6" s="2"/>
      <c r="C6" s="3" t="s">
        <v>1</v>
      </c>
      <c r="D6" s="4" t="s">
        <v>2</v>
      </c>
      <c r="E6" s="4"/>
      <c r="F6" t="s">
        <v>3</v>
      </c>
    </row>
    <row r="7" spans="2:6">
      <c r="B7" s="2"/>
      <c r="C7" s="3" t="s">
        <v>4</v>
      </c>
      <c r="D7" s="10" t="s">
        <v>5</v>
      </c>
      <c r="E7" s="4"/>
      <c r="F7" s="13"/>
    </row>
    <row r="8" spans="2:6">
      <c r="B8" s="2"/>
      <c r="C8" s="3" t="s">
        <v>6</v>
      </c>
      <c r="D8" s="10" t="s">
        <v>6</v>
      </c>
      <c r="E8" s="4"/>
      <c r="F8" s="13"/>
    </row>
    <row r="9" spans="2:6">
      <c r="C9" s="3" t="s">
        <v>7</v>
      </c>
      <c r="D9" s="10"/>
      <c r="E9" s="4"/>
    </row>
    <row r="10" spans="2:6">
      <c r="C10" s="3" t="s">
        <v>8</v>
      </c>
      <c r="D10" s="10"/>
      <c r="E10" s="4"/>
      <c r="F10" t="s">
        <v>9</v>
      </c>
    </row>
    <row r="11" spans="2:6">
      <c r="C11" s="3" t="s">
        <v>10</v>
      </c>
      <c r="D11" s="10"/>
      <c r="E11" s="4"/>
      <c r="F11" s="13"/>
    </row>
    <row r="12" spans="2:6">
      <c r="C12" s="3" t="s">
        <v>11</v>
      </c>
      <c r="D12" s="10"/>
      <c r="E12" s="4"/>
      <c r="F12" s="13"/>
    </row>
    <row r="13" spans="2:6">
      <c r="C13" s="3" t="s">
        <v>12</v>
      </c>
      <c r="D13" s="10"/>
      <c r="E13" s="4"/>
      <c r="F13" s="13"/>
    </row>
    <row r="14" spans="2:6">
      <c r="C14" s="3" t="s">
        <v>13</v>
      </c>
      <c r="D14" s="10"/>
      <c r="E14" s="4"/>
    </row>
    <row r="15" spans="2:6">
      <c r="C15" s="3"/>
      <c r="D15" s="4"/>
      <c r="E15" s="4"/>
      <c r="F15" t="s">
        <v>14</v>
      </c>
    </row>
    <row r="16" spans="2:6">
      <c r="C16" s="3"/>
      <c r="D16" s="4"/>
      <c r="E16" s="4"/>
      <c r="F16" s="13"/>
    </row>
    <row r="17" spans="3:6" ht="18.75">
      <c r="C17" s="5" t="s">
        <v>15</v>
      </c>
      <c r="D17" s="4"/>
      <c r="E17" s="4"/>
      <c r="F17" s="13"/>
    </row>
    <row r="18" spans="3:6">
      <c r="C18" s="3" t="s">
        <v>16</v>
      </c>
      <c r="D18" s="1" t="s">
        <v>15</v>
      </c>
      <c r="E18" s="4"/>
      <c r="F18" s="13"/>
    </row>
    <row r="19" spans="3:6">
      <c r="C19" s="3" t="s">
        <v>17</v>
      </c>
      <c r="D19" s="11"/>
      <c r="E19" s="4"/>
      <c r="F19" s="13"/>
    </row>
    <row r="20" spans="3:6">
      <c r="C20" s="3" t="s">
        <v>18</v>
      </c>
      <c r="D20" s="11"/>
      <c r="E20" s="4"/>
      <c r="F20" s="13"/>
    </row>
    <row r="21" spans="3:6">
      <c r="C21" s="3" t="s">
        <v>19</v>
      </c>
      <c r="D21" s="11"/>
      <c r="E21" s="4"/>
    </row>
    <row r="22" spans="3:6">
      <c r="C22" s="3" t="s">
        <v>20</v>
      </c>
      <c r="D22" s="11"/>
      <c r="E22" s="4"/>
      <c r="F22" t="s">
        <v>21</v>
      </c>
    </row>
    <row r="23" spans="3:6">
      <c r="C23" s="3" t="s">
        <v>22</v>
      </c>
      <c r="D23" s="11"/>
      <c r="E23" s="4"/>
      <c r="F23" s="13"/>
    </row>
    <row r="24" spans="3:6">
      <c r="C24" s="3" t="s">
        <v>23</v>
      </c>
      <c r="D24" s="1">
        <f>SUM(D19:D23)</f>
        <v>0</v>
      </c>
      <c r="E24" s="4"/>
      <c r="F24" s="13"/>
    </row>
    <row r="25" spans="3:6">
      <c r="F25" s="13"/>
    </row>
    <row r="26" spans="3:6">
      <c r="F26" s="13"/>
    </row>
    <row r="27" spans="3:6" ht="18.75">
      <c r="C27" s="5" t="s">
        <v>24</v>
      </c>
      <c r="D27" s="8" t="s">
        <v>25</v>
      </c>
      <c r="F27" s="13"/>
    </row>
    <row r="28" spans="3:6">
      <c r="C28" s="3" t="s">
        <v>26</v>
      </c>
      <c r="D28" s="3" t="s">
        <v>27</v>
      </c>
      <c r="E28" s="3"/>
      <c r="F28" s="13"/>
    </row>
    <row r="29" spans="3:6">
      <c r="C29" s="3" t="s">
        <v>28</v>
      </c>
      <c r="D29" s="10"/>
      <c r="E29" s="4"/>
      <c r="F29" s="13"/>
    </row>
    <row r="30" spans="3:6">
      <c r="C30" s="3" t="s">
        <v>29</v>
      </c>
      <c r="D30" s="10"/>
      <c r="E30" s="4"/>
      <c r="F30" s="13"/>
    </row>
    <row r="31" spans="3:6">
      <c r="C31" s="3" t="s">
        <v>30</v>
      </c>
      <c r="D31" s="10"/>
      <c r="E31" s="4"/>
      <c r="F31" s="13"/>
    </row>
    <row r="32" spans="3:6">
      <c r="C32" s="3" t="s">
        <v>31</v>
      </c>
      <c r="D32" s="10"/>
      <c r="E32" s="4"/>
      <c r="F32" s="13"/>
    </row>
    <row r="33" spans="3:8">
      <c r="C33" s="3" t="s">
        <v>32</v>
      </c>
      <c r="D33" s="10"/>
      <c r="E33" s="4"/>
      <c r="F33" s="13"/>
    </row>
    <row r="36" spans="3:8" ht="18.75">
      <c r="C36" s="5" t="s">
        <v>33</v>
      </c>
    </row>
    <row r="37" spans="3:8">
      <c r="C37" s="3" t="s">
        <v>34</v>
      </c>
      <c r="D37" s="3" t="s">
        <v>35</v>
      </c>
      <c r="E37" s="3" t="s">
        <v>36</v>
      </c>
      <c r="F37" s="3" t="s">
        <v>37</v>
      </c>
      <c r="G37" s="3" t="s">
        <v>38</v>
      </c>
      <c r="H37" s="3" t="s">
        <v>39</v>
      </c>
    </row>
    <row r="38" spans="3:8">
      <c r="C38" s="3" t="s">
        <v>40</v>
      </c>
      <c r="D38" s="10" t="s">
        <v>41</v>
      </c>
      <c r="E38" s="10" t="s">
        <v>42</v>
      </c>
      <c r="F38" s="10" t="s">
        <v>43</v>
      </c>
      <c r="G38" s="12">
        <v>0.5</v>
      </c>
      <c r="H38" s="10">
        <v>6</v>
      </c>
    </row>
    <row r="39" spans="3:8">
      <c r="C39" s="3" t="s">
        <v>44</v>
      </c>
      <c r="D39" s="10"/>
      <c r="E39" s="10"/>
      <c r="F39" s="10"/>
      <c r="G39" s="12">
        <v>0.5</v>
      </c>
      <c r="H39" s="10">
        <v>12</v>
      </c>
    </row>
    <row r="40" spans="3:8">
      <c r="C40" s="3" t="s">
        <v>45</v>
      </c>
      <c r="D40" s="13"/>
      <c r="E40" s="13"/>
      <c r="F40" s="13"/>
      <c r="G40" s="13"/>
      <c r="H40" s="13"/>
    </row>
    <row r="41" spans="3:8">
      <c r="C41" s="3"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50</v>
      </c>
      <c r="F47" s="13" t="s">
        <v>52</v>
      </c>
    </row>
    <row r="48" spans="3:8">
      <c r="C48" s="14" t="s">
        <v>40</v>
      </c>
      <c r="D48" s="13" t="s">
        <v>28</v>
      </c>
      <c r="E48" s="13" t="s">
        <v>53</v>
      </c>
      <c r="F48" s="13" t="s">
        <v>54</v>
      </c>
    </row>
    <row r="49" spans="3:6">
      <c r="C49" s="14" t="s">
        <v>44</v>
      </c>
      <c r="D49" s="13" t="s">
        <v>29</v>
      </c>
      <c r="E49" s="13" t="s">
        <v>55</v>
      </c>
      <c r="F49" s="13" t="s">
        <v>56</v>
      </c>
    </row>
    <row r="50" spans="3:6">
      <c r="C50" s="14" t="s">
        <v>44</v>
      </c>
      <c r="D50" s="13" t="s">
        <v>29</v>
      </c>
      <c r="E50" s="13" t="s">
        <v>57</v>
      </c>
      <c r="F50" s="13" t="s">
        <v>58</v>
      </c>
    </row>
    <row r="51" spans="3:6">
      <c r="C51" s="14" t="s">
        <v>44</v>
      </c>
      <c r="D51" s="13"/>
      <c r="E51" s="13"/>
      <c r="F51" s="13"/>
    </row>
    <row r="52" spans="3:6">
      <c r="C52" s="14" t="s">
        <v>45</v>
      </c>
      <c r="D52" s="13"/>
      <c r="E52" s="13"/>
      <c r="F52" s="13"/>
    </row>
    <row r="53" spans="3:6">
      <c r="C53" s="14" t="s">
        <v>45</v>
      </c>
      <c r="D53" s="13"/>
      <c r="E53" s="13"/>
      <c r="F53" s="13"/>
    </row>
    <row r="54" spans="3:6">
      <c r="C54" s="14" t="s">
        <v>45</v>
      </c>
      <c r="D54" s="13"/>
      <c r="E54" s="13"/>
      <c r="F54" s="13"/>
    </row>
    <row r="55" spans="3:6">
      <c r="C55" s="14" t="s">
        <v>46</v>
      </c>
      <c r="D55" s="13"/>
      <c r="E55" s="13"/>
      <c r="F55" s="13"/>
    </row>
    <row r="56" spans="3:6">
      <c r="C56" s="14" t="s">
        <v>46</v>
      </c>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7">
        <v>1</v>
      </c>
      <c r="C71" s="1">
        <v>1</v>
      </c>
      <c r="D71" s="10" t="s">
        <v>65</v>
      </c>
      <c r="E71" s="10"/>
      <c r="F71" s="10"/>
    </row>
    <row r="72" spans="2:6">
      <c r="B72" s="7">
        <v>1</v>
      </c>
      <c r="C72" s="1">
        <v>2</v>
      </c>
      <c r="D72" s="10" t="s">
        <v>66</v>
      </c>
      <c r="E72" s="10" t="s">
        <v>67</v>
      </c>
      <c r="F72" s="10" t="s">
        <v>18</v>
      </c>
    </row>
    <row r="73" spans="2:6">
      <c r="B73" s="7">
        <v>1</v>
      </c>
      <c r="C73" s="1">
        <v>3</v>
      </c>
      <c r="D73" s="10" t="s">
        <v>68</v>
      </c>
      <c r="E73" s="10"/>
      <c r="F73" s="10"/>
    </row>
    <row r="74" spans="2:6">
      <c r="B74" s="7">
        <v>1</v>
      </c>
      <c r="C74" s="1">
        <v>4</v>
      </c>
      <c r="D74" s="10" t="s">
        <v>69</v>
      </c>
      <c r="E74" s="10" t="s">
        <v>70</v>
      </c>
      <c r="F74" s="10" t="s">
        <v>18</v>
      </c>
    </row>
    <row r="75" spans="2:6">
      <c r="B75" s="7">
        <v>1</v>
      </c>
      <c r="C75" s="1">
        <v>5</v>
      </c>
      <c r="D75" s="10" t="s">
        <v>71</v>
      </c>
      <c r="E75" s="10"/>
      <c r="F75" s="10"/>
    </row>
    <row r="76" spans="2:6">
      <c r="B76" s="7">
        <v>1</v>
      </c>
      <c r="C76" s="1">
        <v>6</v>
      </c>
      <c r="D76" s="10" t="s">
        <v>72</v>
      </c>
      <c r="E76" s="10"/>
      <c r="F76" s="10" t="s">
        <v>18</v>
      </c>
    </row>
    <row r="77" spans="2:6">
      <c r="B77" s="7">
        <v>1</v>
      </c>
      <c r="C77" s="1">
        <v>7</v>
      </c>
      <c r="D77" s="10" t="s">
        <v>73</v>
      </c>
      <c r="E77" s="10"/>
      <c r="F77" s="10"/>
    </row>
    <row r="78" spans="2:6">
      <c r="B78" s="7">
        <v>1</v>
      </c>
      <c r="C78" s="1">
        <v>8</v>
      </c>
      <c r="D78" s="10" t="s">
        <v>74</v>
      </c>
      <c r="E78" s="10"/>
      <c r="F78" s="10" t="s">
        <v>18</v>
      </c>
    </row>
    <row r="79" spans="2:6">
      <c r="B79" s="7">
        <v>1</v>
      </c>
      <c r="C79" s="1">
        <v>9</v>
      </c>
      <c r="D79" s="10" t="s">
        <v>75</v>
      </c>
      <c r="E79" s="10"/>
      <c r="F79" s="10"/>
    </row>
    <row r="80" spans="2:6">
      <c r="B80" s="7">
        <v>1</v>
      </c>
      <c r="C80" s="1">
        <v>10</v>
      </c>
      <c r="D80" s="10" t="s">
        <v>76</v>
      </c>
      <c r="E80" s="10" t="s">
        <v>77</v>
      </c>
      <c r="F80" s="10" t="s">
        <v>18</v>
      </c>
    </row>
    <row r="81" spans="2:6">
      <c r="B81" s="7">
        <v>1</v>
      </c>
      <c r="C81" s="1">
        <v>11</v>
      </c>
      <c r="D81" s="10" t="s">
        <v>78</v>
      </c>
      <c r="E81" s="10"/>
      <c r="F81" s="10"/>
    </row>
    <row r="82" spans="2:6">
      <c r="B82" s="7">
        <v>1</v>
      </c>
      <c r="C82" s="1">
        <v>12</v>
      </c>
      <c r="D82" s="10" t="s">
        <v>79</v>
      </c>
      <c r="E82" s="10"/>
      <c r="F82" s="10" t="s">
        <v>18</v>
      </c>
    </row>
    <row r="83" spans="2:6">
      <c r="B83" s="7">
        <v>2</v>
      </c>
      <c r="C83" s="1">
        <v>1</v>
      </c>
      <c r="D83" s="10"/>
      <c r="E83" s="10"/>
      <c r="F83" s="10"/>
    </row>
    <row r="84" spans="2:6">
      <c r="B84" s="7">
        <v>2</v>
      </c>
      <c r="C84" s="1">
        <v>2</v>
      </c>
      <c r="D84" s="10"/>
      <c r="E84" s="10"/>
      <c r="F84" s="10"/>
    </row>
    <row r="85" spans="2:6">
      <c r="B85" s="7">
        <v>2</v>
      </c>
      <c r="C85" s="1">
        <v>3</v>
      </c>
      <c r="D85" s="10"/>
      <c r="E85" s="10"/>
      <c r="F85" s="10"/>
    </row>
    <row r="86" spans="2:6">
      <c r="B86" s="7">
        <v>2</v>
      </c>
      <c r="C86" s="1">
        <v>4</v>
      </c>
      <c r="D86" s="10"/>
      <c r="E86" s="10"/>
      <c r="F86" s="10"/>
    </row>
    <row r="87" spans="2:6">
      <c r="B87" s="7">
        <v>2</v>
      </c>
      <c r="C87" s="1">
        <v>5</v>
      </c>
      <c r="D87" s="10"/>
      <c r="E87" s="10"/>
      <c r="F87" s="10"/>
    </row>
    <row r="88" spans="2:6">
      <c r="B88" s="7">
        <v>2</v>
      </c>
      <c r="C88" s="1">
        <v>6</v>
      </c>
      <c r="D88" s="10"/>
      <c r="E88" s="10"/>
      <c r="F88" s="10"/>
    </row>
    <row r="89" spans="2:6">
      <c r="B89" s="7">
        <v>2</v>
      </c>
      <c r="C89" s="1">
        <v>7</v>
      </c>
      <c r="D89" s="10"/>
      <c r="E89" s="10"/>
      <c r="F89" s="10"/>
    </row>
    <row r="90" spans="2:6">
      <c r="B90" s="7">
        <v>2</v>
      </c>
      <c r="C90" s="1">
        <v>8</v>
      </c>
      <c r="D90" s="10"/>
      <c r="E90" s="10"/>
      <c r="F90" s="10"/>
    </row>
    <row r="91" spans="2:6">
      <c r="B91" s="7">
        <v>2</v>
      </c>
      <c r="C91" s="1">
        <v>9</v>
      </c>
      <c r="D91" s="10"/>
      <c r="E91" s="10"/>
      <c r="F91" s="10"/>
    </row>
    <row r="92" spans="2:6">
      <c r="B92" s="7">
        <v>2</v>
      </c>
      <c r="C92" s="1">
        <v>10</v>
      </c>
      <c r="D92" s="10"/>
      <c r="E92" s="10"/>
      <c r="F92" s="10"/>
    </row>
    <row r="93" spans="2:6">
      <c r="B93" s="7">
        <v>2</v>
      </c>
      <c r="C93" s="1">
        <v>11</v>
      </c>
      <c r="D93" s="10"/>
      <c r="E93" s="10"/>
      <c r="F93" s="10"/>
    </row>
    <row r="94" spans="2:6">
      <c r="B94" s="7">
        <v>2</v>
      </c>
      <c r="C94" s="1">
        <v>12</v>
      </c>
      <c r="D94" s="10"/>
      <c r="E94" s="10"/>
      <c r="F94" s="10"/>
    </row>
  </sheetData>
  <sheetProtection selectLockedCells="1" sort="0" autoFilter="0" pivotTables="0"/>
  <dataValidations count="4">
    <dataValidation type="list" allowBlank="1" showInputMessage="1" showErrorMessage="1" sqref="F46:F66" xr:uid="{27C92115-5C5E-4A13-987E-0B79D13A7A15}">
      <formula1>INDIRECT(VLOOKUP($E46, SkillNameMap, 2, FALSE))</formula1>
    </dataValidation>
    <dataValidation type="list" allowBlank="1" showInputMessage="1" showErrorMessage="1" sqref="E38:E41" xr:uid="{0F0ED128-C084-4F9B-B814-E87A44C6EF2E}">
      <formula1>INDIRECT("LISTAssess[Assessment Specific]")</formula1>
    </dataValidation>
    <dataValidation type="whole" showInputMessage="1" showErrorMessage="1" error="This is not a realistic number of contact hours please change" sqref="D19" xr:uid="{18B8F1E6-C2EA-43E5-89E8-62BD3CAFC164}">
      <formula1>0</formula1>
      <formula2>80</formula2>
    </dataValidation>
    <dataValidation type="whole" showInputMessage="1" showErrorMessage="1" error="This is not a realistic number of contact hours please reduce" sqref="D20:D23" xr:uid="{CD6390B9-7DFA-4244-AF23-E74F3EC0D04C}">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85F4B8C4-9CE3-4071-9F6E-D86A779DBEE9}">
          <x14:formula1>
            <xm:f>LISTS!$J$7:$J$16</xm:f>
          </x14:formula1>
          <xm:sqref>E46:E66</xm:sqref>
        </x14:dataValidation>
        <x14:dataValidation type="list" allowBlank="1" showInputMessage="1" showErrorMessage="1" xr:uid="{EF051E7F-6115-4109-B4BA-E4BFB9CEC040}">
          <x14:formula1>
            <xm:f>LISTS!$E$7:$E$11</xm:f>
          </x14:formula1>
          <xm:sqref>D46:D66</xm:sqref>
        </x14:dataValidation>
        <x14:dataValidation type="list" allowBlank="1" showInputMessage="1" showErrorMessage="1" xr:uid="{9DC372BB-FD67-4EC8-BA4F-E34B292E01FF}">
          <x14:formula1>
            <xm:f>LISTS!$G$7:$G$11</xm:f>
          </x14:formula1>
          <xm:sqref>D38:D42</xm:sqref>
        </x14:dataValidation>
        <x14:dataValidation type="list" allowBlank="1" showInputMessage="1" showErrorMessage="1" xr:uid="{0C70FCBD-CEC8-4B9E-A70B-5949F9158F6A}">
          <x14:formula1>
            <xm:f>LISTS!$C$11:$C$15</xm:f>
          </x14:formula1>
          <xm:sqref>D11</xm:sqref>
        </x14:dataValidation>
        <x14:dataValidation type="list" allowBlank="1" showInputMessage="1" showErrorMessage="1" xr:uid="{15E63B33-6515-4A83-BE33-70F4A2DD0907}">
          <x14:formula1>
            <xm:f>LISTS!$C$7:$C$9</xm:f>
          </x14:formula1>
          <xm:sqref>D10</xm:sqref>
        </x14:dataValidation>
        <x14:dataValidation type="list" allowBlank="1" showInputMessage="1" showErrorMessage="1" xr:uid="{39E1EB85-CB1D-499F-A46C-553BE1538AB8}">
          <x14:formula1>
            <xm:f>LISTS!$C$17:$C$22</xm:f>
          </x14:formula1>
          <xm:sqref>D13</xm:sqref>
        </x14:dataValidation>
        <x14:dataValidation type="list" allowBlank="1" showInputMessage="1" showErrorMessage="1" xr:uid="{ED1E3A44-90C3-40D7-AC53-9CC22783DC80}">
          <x14:formula1>
            <xm:f>LISTS!$C$26:$C$37</xm:f>
          </x14:formula1>
          <xm:sqref>D14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09C9-9296-42AF-BDD1-C02EB207C905}">
  <sheetPr codeName="Sheet31"/>
  <dimension ref="B2:H94"/>
  <sheetViews>
    <sheetView showGridLines="0" topLeftCell="B1" zoomScale="85" zoomScaleNormal="85" workbookViewId="0">
      <selection activeCell="E83" sqref="E83"/>
    </sheetView>
  </sheetViews>
  <sheetFormatPr defaultColWidth="8.85546875" defaultRowHeight="15"/>
  <cols>
    <col min="3" max="3" width="33.140625" customWidth="1"/>
    <col min="4" max="4" width="51.42578125" customWidth="1"/>
    <col min="5" max="5" width="67.140625" customWidth="1"/>
    <col min="6" max="6" width="63.140625" customWidth="1"/>
    <col min="7" max="7" width="12.42578125" customWidth="1"/>
    <col min="8" max="8" width="15.42578125" customWidth="1"/>
    <col min="9" max="9" width="14.85546875" customWidth="1"/>
  </cols>
  <sheetData>
    <row r="2" spans="2:6" ht="26.25">
      <c r="C2" s="9" t="str">
        <f>D7</f>
        <v>SEM401</v>
      </c>
      <c r="D2" s="9" t="str">
        <f>D8</f>
        <v>Applied Biomechanics</v>
      </c>
    </row>
    <row r="3" spans="2:6">
      <c r="B3" s="1"/>
      <c r="C3" s="1"/>
    </row>
    <row r="4" spans="2:6">
      <c r="B4" s="2"/>
      <c r="C4" s="2"/>
    </row>
    <row r="5" spans="2:6" ht="18.75">
      <c r="B5" s="2"/>
      <c r="C5" s="5" t="s">
        <v>0</v>
      </c>
    </row>
    <row r="6" spans="2:6">
      <c r="B6" s="2"/>
      <c r="C6" s="3" t="s">
        <v>1</v>
      </c>
      <c r="D6" s="4" t="s">
        <v>2</v>
      </c>
      <c r="E6" s="4"/>
      <c r="F6" t="s">
        <v>3</v>
      </c>
    </row>
    <row r="7" spans="2:6">
      <c r="B7" s="2"/>
      <c r="C7" s="3" t="s">
        <v>4</v>
      </c>
      <c r="D7" s="10" t="s">
        <v>5</v>
      </c>
      <c r="E7" s="4"/>
      <c r="F7" s="13"/>
    </row>
    <row r="8" spans="2:6">
      <c r="B8" s="2"/>
      <c r="C8" s="3" t="s">
        <v>6</v>
      </c>
      <c r="D8" s="10" t="s">
        <v>1107</v>
      </c>
      <c r="E8" s="4"/>
      <c r="F8" s="13"/>
    </row>
    <row r="9" spans="2:6">
      <c r="C9" s="3" t="s">
        <v>7</v>
      </c>
      <c r="D9" s="10">
        <v>20</v>
      </c>
      <c r="E9" s="4"/>
    </row>
    <row r="10" spans="2:6">
      <c r="C10" s="3" t="s">
        <v>8</v>
      </c>
      <c r="D10" s="10">
        <v>1</v>
      </c>
      <c r="E10" s="4"/>
      <c r="F10" t="s">
        <v>9</v>
      </c>
    </row>
    <row r="11" spans="2:6">
      <c r="C11" s="3" t="s">
        <v>10</v>
      </c>
      <c r="D11" s="10">
        <v>4</v>
      </c>
      <c r="E11" s="4"/>
      <c r="F11" s="13"/>
    </row>
    <row r="12" spans="2:6">
      <c r="C12" s="3" t="s">
        <v>11</v>
      </c>
      <c r="D12" s="10" t="s">
        <v>1108</v>
      </c>
      <c r="E12" s="4"/>
      <c r="F12" s="13"/>
    </row>
    <row r="13" spans="2:6">
      <c r="C13" s="3" t="s">
        <v>12</v>
      </c>
      <c r="D13" s="10" t="s">
        <v>200</v>
      </c>
      <c r="E13" s="4"/>
      <c r="F13" s="13"/>
    </row>
    <row r="14" spans="2:6">
      <c r="C14" s="3" t="s">
        <v>13</v>
      </c>
      <c r="D14" s="10"/>
      <c r="E14" s="4"/>
    </row>
    <row r="15" spans="2:6">
      <c r="C15" s="3"/>
      <c r="D15" s="4"/>
      <c r="E15" s="4"/>
      <c r="F15" t="s">
        <v>14</v>
      </c>
    </row>
    <row r="16" spans="2:6">
      <c r="C16" s="3"/>
      <c r="D16" s="4"/>
      <c r="E16" s="4"/>
      <c r="F16" s="13"/>
    </row>
    <row r="17" spans="3:6" ht="18.75">
      <c r="C17" s="5" t="s">
        <v>15</v>
      </c>
      <c r="D17" s="4"/>
      <c r="E17" s="4"/>
      <c r="F17" s="13"/>
    </row>
    <row r="18" spans="3:6">
      <c r="C18" s="3" t="s">
        <v>16</v>
      </c>
      <c r="D18" s="1" t="s">
        <v>15</v>
      </c>
      <c r="E18" s="4"/>
      <c r="F18" s="13"/>
    </row>
    <row r="19" spans="3:6">
      <c r="C19" s="3" t="s">
        <v>17</v>
      </c>
      <c r="D19" s="11">
        <v>22</v>
      </c>
      <c r="E19" s="4"/>
      <c r="F19" s="13"/>
    </row>
    <row r="20" spans="3:6">
      <c r="C20" s="3" t="s">
        <v>18</v>
      </c>
      <c r="D20" s="11">
        <v>12</v>
      </c>
      <c r="E20" s="4"/>
      <c r="F20" s="13"/>
    </row>
    <row r="21" spans="3:6">
      <c r="C21" s="3" t="s">
        <v>19</v>
      </c>
      <c r="D21" s="11">
        <v>6</v>
      </c>
      <c r="E21" s="4"/>
    </row>
    <row r="22" spans="3:6">
      <c r="C22" s="3" t="s">
        <v>20</v>
      </c>
      <c r="D22" s="11">
        <v>6</v>
      </c>
      <c r="E22" s="4"/>
      <c r="F22" t="s">
        <v>21</v>
      </c>
    </row>
    <row r="23" spans="3:6">
      <c r="C23" s="3" t="s">
        <v>22</v>
      </c>
      <c r="D23" s="11">
        <v>0</v>
      </c>
      <c r="E23" s="4"/>
      <c r="F23" s="13"/>
    </row>
    <row r="24" spans="3:6">
      <c r="C24" s="3" t="s">
        <v>23</v>
      </c>
      <c r="D24" s="1">
        <f>SUM(D19:D23)</f>
        <v>46</v>
      </c>
      <c r="E24" s="4"/>
      <c r="F24" s="13"/>
    </row>
    <row r="25" spans="3:6">
      <c r="F25" s="13"/>
    </row>
    <row r="26" spans="3:6">
      <c r="F26" s="13"/>
    </row>
    <row r="27" spans="3:6" ht="18.75">
      <c r="C27" s="5" t="s">
        <v>24</v>
      </c>
      <c r="D27" s="8" t="s">
        <v>25</v>
      </c>
      <c r="F27" s="13"/>
    </row>
    <row r="28" spans="3:6">
      <c r="C28" s="3" t="s">
        <v>26</v>
      </c>
      <c r="D28" s="3" t="s">
        <v>27</v>
      </c>
      <c r="E28" s="3"/>
      <c r="F28" s="13"/>
    </row>
    <row r="29" spans="3:6">
      <c r="C29" s="3" t="s">
        <v>28</v>
      </c>
      <c r="D29" s="10" t="s">
        <v>1109</v>
      </c>
      <c r="E29" s="4"/>
      <c r="F29" s="13"/>
    </row>
    <row r="30" spans="3:6">
      <c r="C30" s="3" t="s">
        <v>29</v>
      </c>
      <c r="D30" s="10" t="s">
        <v>1110</v>
      </c>
      <c r="E30" s="4"/>
      <c r="F30" s="13"/>
    </row>
    <row r="31" spans="3:6">
      <c r="C31" s="3" t="s">
        <v>30</v>
      </c>
      <c r="D31" s="10" t="s">
        <v>1111</v>
      </c>
      <c r="E31" s="4"/>
      <c r="F31" s="13"/>
    </row>
    <row r="32" spans="3:6">
      <c r="C32" s="3" t="s">
        <v>31</v>
      </c>
      <c r="D32" s="10"/>
      <c r="E32" s="4"/>
      <c r="F32" s="13"/>
    </row>
    <row r="33" spans="3:8">
      <c r="C33" s="3" t="s">
        <v>32</v>
      </c>
      <c r="D33" s="10"/>
      <c r="E33" s="4"/>
      <c r="F33" s="13"/>
    </row>
    <row r="36" spans="3:8" ht="18.75">
      <c r="C36" s="5" t="s">
        <v>33</v>
      </c>
    </row>
    <row r="37" spans="3:8">
      <c r="C37" s="3" t="s">
        <v>34</v>
      </c>
      <c r="D37" s="3" t="s">
        <v>35</v>
      </c>
      <c r="E37" s="3" t="s">
        <v>36</v>
      </c>
      <c r="F37" s="3" t="s">
        <v>37</v>
      </c>
      <c r="G37" s="3" t="s">
        <v>38</v>
      </c>
      <c r="H37" s="3" t="s">
        <v>39</v>
      </c>
    </row>
    <row r="38" spans="3:8">
      <c r="C38" s="3" t="s">
        <v>40</v>
      </c>
      <c r="D38" s="10" t="s">
        <v>41</v>
      </c>
      <c r="E38" s="10" t="s">
        <v>42</v>
      </c>
      <c r="F38" s="10" t="s">
        <v>43</v>
      </c>
      <c r="G38" s="12">
        <v>0.5</v>
      </c>
      <c r="H38" s="10">
        <v>6</v>
      </c>
    </row>
    <row r="39" spans="3:8">
      <c r="C39" s="3" t="s">
        <v>44</v>
      </c>
      <c r="D39" s="10" t="s">
        <v>163</v>
      </c>
      <c r="E39" s="10" t="s">
        <v>211</v>
      </c>
      <c r="F39" s="10"/>
      <c r="G39" s="12">
        <v>0.5</v>
      </c>
      <c r="H39" s="10">
        <v>12</v>
      </c>
    </row>
    <row r="40" spans="3:8">
      <c r="C40" s="3" t="s">
        <v>45</v>
      </c>
      <c r="D40" s="13"/>
      <c r="E40" s="13"/>
      <c r="F40" s="13"/>
      <c r="G40" s="13"/>
      <c r="H40" s="13"/>
    </row>
    <row r="41" spans="3:8">
      <c r="C41" s="3" t="s">
        <v>46</v>
      </c>
      <c r="D41" s="13"/>
      <c r="E41" s="13"/>
      <c r="F41" s="13"/>
      <c r="G41" s="13"/>
      <c r="H41" s="13"/>
    </row>
    <row r="42" spans="3:8">
      <c r="C42" s="3"/>
    </row>
    <row r="44" spans="3:8" ht="18.75">
      <c r="C44" s="5" t="s">
        <v>47</v>
      </c>
      <c r="D44" s="8"/>
    </row>
    <row r="45" spans="3:8">
      <c r="C45" s="1" t="s">
        <v>34</v>
      </c>
      <c r="D45" s="1" t="s">
        <v>26</v>
      </c>
      <c r="E45" s="1" t="s">
        <v>48</v>
      </c>
      <c r="F45" s="1" t="s">
        <v>49</v>
      </c>
    </row>
    <row r="46" spans="3:8">
      <c r="C46" s="14" t="s">
        <v>40</v>
      </c>
      <c r="D46" s="13" t="s">
        <v>28</v>
      </c>
      <c r="E46" s="13" t="s">
        <v>50</v>
      </c>
      <c r="F46" s="13" t="s">
        <v>51</v>
      </c>
    </row>
    <row r="47" spans="3:8">
      <c r="C47" s="14" t="s">
        <v>40</v>
      </c>
      <c r="D47" s="13" t="s">
        <v>28</v>
      </c>
      <c r="E47" s="13" t="s">
        <v>50</v>
      </c>
      <c r="F47" s="13" t="s">
        <v>52</v>
      </c>
    </row>
    <row r="48" spans="3:8">
      <c r="C48" s="14" t="s">
        <v>40</v>
      </c>
      <c r="D48" s="13" t="s">
        <v>28</v>
      </c>
      <c r="E48" s="13" t="s">
        <v>53</v>
      </c>
      <c r="F48" s="13" t="s">
        <v>54</v>
      </c>
    </row>
    <row r="49" spans="3:6">
      <c r="C49" s="14" t="s">
        <v>44</v>
      </c>
      <c r="D49" s="13" t="s">
        <v>29</v>
      </c>
      <c r="E49" s="13" t="s">
        <v>55</v>
      </c>
      <c r="F49" s="13" t="s">
        <v>56</v>
      </c>
    </row>
    <row r="50" spans="3:6">
      <c r="C50" s="14" t="s">
        <v>44</v>
      </c>
      <c r="D50" s="13" t="s">
        <v>29</v>
      </c>
      <c r="E50" s="13" t="s">
        <v>57</v>
      </c>
      <c r="F50" s="13" t="s">
        <v>58</v>
      </c>
    </row>
    <row r="51" spans="3:6">
      <c r="C51" s="14" t="s">
        <v>44</v>
      </c>
      <c r="D51" s="13"/>
      <c r="E51" s="13" t="s">
        <v>55</v>
      </c>
      <c r="F51" s="13"/>
    </row>
    <row r="52" spans="3:6">
      <c r="C52" s="14" t="s">
        <v>45</v>
      </c>
      <c r="D52" s="13"/>
      <c r="E52" s="13"/>
      <c r="F52" s="13"/>
    </row>
    <row r="53" spans="3:6">
      <c r="C53" s="14" t="s">
        <v>45</v>
      </c>
      <c r="D53" s="13"/>
      <c r="E53" s="13"/>
      <c r="F53" s="13"/>
    </row>
    <row r="54" spans="3:6">
      <c r="C54" s="14" t="s">
        <v>45</v>
      </c>
      <c r="D54" s="13"/>
      <c r="E54" s="13"/>
      <c r="F54" s="13"/>
    </row>
    <row r="55" spans="3:6">
      <c r="C55" s="14" t="s">
        <v>46</v>
      </c>
      <c r="D55" s="13"/>
      <c r="E55" s="13"/>
      <c r="F55" s="13"/>
    </row>
    <row r="56" spans="3:6">
      <c r="C56" s="14" t="s">
        <v>46</v>
      </c>
      <c r="D56" s="13"/>
      <c r="E56" s="13"/>
      <c r="F56" s="13"/>
    </row>
    <row r="57" spans="3:6">
      <c r="C57" s="14"/>
      <c r="D57" s="13"/>
      <c r="E57" s="13"/>
      <c r="F57" s="13"/>
    </row>
    <row r="58" spans="3:6">
      <c r="C58" s="14"/>
      <c r="D58" s="13"/>
      <c r="E58" s="13"/>
      <c r="F58" s="13"/>
    </row>
    <row r="59" spans="3:6">
      <c r="C59" s="14"/>
      <c r="D59" s="13"/>
      <c r="E59" s="13"/>
      <c r="F59" s="13"/>
    </row>
    <row r="60" spans="3:6">
      <c r="C60" s="14"/>
      <c r="D60" s="13"/>
      <c r="E60" s="13"/>
      <c r="F60" s="13"/>
    </row>
    <row r="61" spans="3:6">
      <c r="C61" s="14"/>
      <c r="D61" s="13"/>
      <c r="E61" s="13"/>
      <c r="F61" s="13"/>
    </row>
    <row r="62" spans="3:6">
      <c r="C62" s="14"/>
      <c r="D62" s="13"/>
      <c r="E62" s="13"/>
      <c r="F62" s="13"/>
    </row>
    <row r="63" spans="3:6">
      <c r="C63" s="14"/>
      <c r="D63" s="13"/>
      <c r="E63" s="13"/>
      <c r="F63" s="13"/>
    </row>
    <row r="64" spans="3:6">
      <c r="C64" s="14"/>
      <c r="D64" s="13"/>
      <c r="E64" s="13"/>
      <c r="F64" s="13"/>
    </row>
    <row r="65" spans="2:6">
      <c r="C65" s="14"/>
      <c r="D65" s="13"/>
      <c r="E65" s="13"/>
      <c r="F65" s="13"/>
    </row>
    <row r="66" spans="2:6">
      <c r="C66" s="14"/>
      <c r="D66" s="13"/>
      <c r="E66" s="13"/>
      <c r="F66" s="13"/>
    </row>
    <row r="69" spans="2:6" ht="18.75">
      <c r="C69" s="5" t="s">
        <v>59</v>
      </c>
    </row>
    <row r="70" spans="2:6">
      <c r="B70" t="s">
        <v>60</v>
      </c>
      <c r="C70" s="1" t="s">
        <v>61</v>
      </c>
      <c r="D70" s="1" t="s">
        <v>62</v>
      </c>
      <c r="E70" s="1" t="s">
        <v>63</v>
      </c>
      <c r="F70" s="1" t="s">
        <v>64</v>
      </c>
    </row>
    <row r="71" spans="2:6">
      <c r="B71" s="7">
        <v>1</v>
      </c>
      <c r="C71" s="1">
        <v>1</v>
      </c>
      <c r="D71" s="10" t="s">
        <v>65</v>
      </c>
      <c r="E71" s="10"/>
      <c r="F71" s="10"/>
    </row>
    <row r="72" spans="2:6">
      <c r="B72" s="7">
        <v>1</v>
      </c>
      <c r="C72" s="1">
        <v>2</v>
      </c>
      <c r="D72" s="10" t="s">
        <v>66</v>
      </c>
      <c r="E72" s="10" t="s">
        <v>67</v>
      </c>
      <c r="F72" s="10" t="s">
        <v>18</v>
      </c>
    </row>
    <row r="73" spans="2:6">
      <c r="B73" s="7">
        <v>1</v>
      </c>
      <c r="C73" s="1">
        <v>3</v>
      </c>
      <c r="D73" s="10" t="s">
        <v>68</v>
      </c>
      <c r="E73" s="10"/>
      <c r="F73" s="10"/>
    </row>
    <row r="74" spans="2:6">
      <c r="B74" s="7">
        <v>1</v>
      </c>
      <c r="C74" s="1">
        <v>4</v>
      </c>
      <c r="D74" s="10" t="s">
        <v>69</v>
      </c>
      <c r="E74" s="10" t="s">
        <v>70</v>
      </c>
      <c r="F74" s="10" t="s">
        <v>18</v>
      </c>
    </row>
    <row r="75" spans="2:6">
      <c r="B75" s="7">
        <v>1</v>
      </c>
      <c r="C75" s="1">
        <v>5</v>
      </c>
      <c r="D75" s="10" t="s">
        <v>71</v>
      </c>
      <c r="E75" s="10"/>
      <c r="F75" s="10"/>
    </row>
    <row r="76" spans="2:6">
      <c r="B76" s="7">
        <v>1</v>
      </c>
      <c r="C76" s="1">
        <v>6</v>
      </c>
      <c r="D76" s="10" t="s">
        <v>72</v>
      </c>
      <c r="E76" s="10"/>
      <c r="F76" s="10" t="s">
        <v>18</v>
      </c>
    </row>
    <row r="77" spans="2:6">
      <c r="B77" s="7">
        <v>1</v>
      </c>
      <c r="C77" s="1">
        <v>7</v>
      </c>
      <c r="D77" s="10" t="s">
        <v>73</v>
      </c>
      <c r="E77" s="10"/>
      <c r="F77" s="10"/>
    </row>
    <row r="78" spans="2:6">
      <c r="B78" s="7">
        <v>1</v>
      </c>
      <c r="C78" s="1">
        <v>8</v>
      </c>
      <c r="D78" s="10" t="s">
        <v>74</v>
      </c>
      <c r="E78" s="10"/>
      <c r="F78" s="10" t="s">
        <v>18</v>
      </c>
    </row>
    <row r="79" spans="2:6">
      <c r="B79" s="7">
        <v>1</v>
      </c>
      <c r="C79" s="1">
        <v>9</v>
      </c>
      <c r="D79" s="10" t="s">
        <v>75</v>
      </c>
      <c r="E79" s="10"/>
      <c r="F79" s="10"/>
    </row>
    <row r="80" spans="2:6">
      <c r="B80" s="7">
        <v>1</v>
      </c>
      <c r="C80" s="1">
        <v>10</v>
      </c>
      <c r="D80" s="10" t="s">
        <v>76</v>
      </c>
      <c r="E80" s="10" t="s">
        <v>77</v>
      </c>
      <c r="F80" s="10" t="s">
        <v>18</v>
      </c>
    </row>
    <row r="81" spans="2:6">
      <c r="B81" s="7">
        <v>1</v>
      </c>
      <c r="C81" s="1">
        <v>11</v>
      </c>
      <c r="D81" s="10" t="s">
        <v>78</v>
      </c>
      <c r="E81" s="10"/>
      <c r="F81" s="10"/>
    </row>
    <row r="82" spans="2:6">
      <c r="B82" s="7">
        <v>1</v>
      </c>
      <c r="C82" s="1">
        <v>12</v>
      </c>
      <c r="D82" s="10" t="s">
        <v>79</v>
      </c>
      <c r="E82" s="10"/>
      <c r="F82" s="10" t="s">
        <v>18</v>
      </c>
    </row>
    <row r="83" spans="2:6">
      <c r="B83" s="7">
        <v>2</v>
      </c>
      <c r="C83" s="1">
        <v>1</v>
      </c>
      <c r="D83" s="10"/>
      <c r="E83" s="10"/>
      <c r="F83" s="10"/>
    </row>
    <row r="84" spans="2:6">
      <c r="B84" s="7">
        <v>2</v>
      </c>
      <c r="C84" s="1">
        <v>2</v>
      </c>
      <c r="D84" s="10"/>
      <c r="E84" s="10"/>
      <c r="F84" s="10"/>
    </row>
    <row r="85" spans="2:6">
      <c r="B85" s="7">
        <v>2</v>
      </c>
      <c r="C85" s="1">
        <v>3</v>
      </c>
      <c r="D85" s="10"/>
      <c r="E85" s="10"/>
      <c r="F85" s="10"/>
    </row>
    <row r="86" spans="2:6">
      <c r="B86" s="7">
        <v>2</v>
      </c>
      <c r="C86" s="1">
        <v>4</v>
      </c>
      <c r="D86" s="10"/>
      <c r="E86" s="10"/>
      <c r="F86" s="10"/>
    </row>
    <row r="87" spans="2:6">
      <c r="B87" s="7">
        <v>2</v>
      </c>
      <c r="C87" s="1">
        <v>5</v>
      </c>
      <c r="D87" s="10"/>
      <c r="E87" s="10"/>
      <c r="F87" s="10"/>
    </row>
    <row r="88" spans="2:6">
      <c r="B88" s="7">
        <v>2</v>
      </c>
      <c r="C88" s="1">
        <v>6</v>
      </c>
      <c r="D88" s="10"/>
      <c r="E88" s="10"/>
      <c r="F88" s="10"/>
    </row>
    <row r="89" spans="2:6">
      <c r="B89" s="7">
        <v>2</v>
      </c>
      <c r="C89" s="1">
        <v>7</v>
      </c>
      <c r="D89" s="10"/>
      <c r="E89" s="10"/>
      <c r="F89" s="10"/>
    </row>
    <row r="90" spans="2:6">
      <c r="B90" s="7">
        <v>2</v>
      </c>
      <c r="C90" s="1">
        <v>8</v>
      </c>
      <c r="D90" s="10"/>
      <c r="E90" s="10"/>
      <c r="F90" s="10"/>
    </row>
    <row r="91" spans="2:6">
      <c r="B91" s="7">
        <v>2</v>
      </c>
      <c r="C91" s="1">
        <v>9</v>
      </c>
      <c r="D91" s="10"/>
      <c r="E91" s="10"/>
      <c r="F91" s="10"/>
    </row>
    <row r="92" spans="2:6">
      <c r="B92" s="7">
        <v>2</v>
      </c>
      <c r="C92" s="1">
        <v>10</v>
      </c>
      <c r="D92" s="10"/>
      <c r="E92" s="10"/>
      <c r="F92" s="10"/>
    </row>
    <row r="93" spans="2:6">
      <c r="B93" s="7">
        <v>2</v>
      </c>
      <c r="C93" s="1">
        <v>11</v>
      </c>
      <c r="D93" s="10"/>
      <c r="E93" s="10"/>
      <c r="F93" s="10"/>
    </row>
    <row r="94" spans="2:6">
      <c r="B94" s="7">
        <v>2</v>
      </c>
      <c r="C94" s="1">
        <v>12</v>
      </c>
      <c r="D94" s="10"/>
      <c r="E94" s="10"/>
      <c r="F94" s="10"/>
    </row>
  </sheetData>
  <sheetProtection selectLockedCells="1" sort="0" autoFilter="0" pivotTables="0"/>
  <phoneticPr fontId="2" type="noConversion"/>
  <dataValidations count="4">
    <dataValidation type="list" allowBlank="1" showInputMessage="1" showErrorMessage="1" sqref="F46:F66" xr:uid="{01FEA6C9-D04E-44C1-A327-802564B6B9F3}">
      <formula1>INDIRECT(VLOOKUP($E46, SkillNameMap, 2, FALSE))</formula1>
    </dataValidation>
    <dataValidation type="list" allowBlank="1" showInputMessage="1" showErrorMessage="1" sqref="E38:E41" xr:uid="{07247691-DC98-413E-B3EA-3489C3BA249B}">
      <formula1>INDIRECT("LISTAssess[Assessment Specific]")</formula1>
    </dataValidation>
    <dataValidation type="whole" showInputMessage="1" showErrorMessage="1" error="This is not a realistic number of contact hours please change" sqref="D19" xr:uid="{FC8290A5-A7DE-4C89-B56E-6D6FE33EBF36}">
      <formula1>0</formula1>
      <formula2>80</formula2>
    </dataValidation>
    <dataValidation type="whole" showInputMessage="1" showErrorMessage="1" error="This is not a realistic number of contact hours please reduce" sqref="D20:D23" xr:uid="{DE393F00-EC5E-4F3E-AE14-72CDEBB8295C}">
      <formula1>0</formula1>
      <formula2>80</formula2>
    </dataValidation>
  </dataValidations>
  <pageMargins left="0.7" right="0.7" top="0.75" bottom="0.75" header="0.3" footer="0.3"/>
  <pageSetup paperSize="9" orientation="portrait" horizontalDpi="4294967293" verticalDpi="0" r:id="rId1"/>
  <tableParts count="10">
    <tablePart r:id="rId2"/>
    <tablePart r:id="rId3"/>
    <tablePart r:id="rId4"/>
    <tablePart r:id="rId5"/>
    <tablePart r:id="rId6"/>
    <tablePart r:id="rId7"/>
    <tablePart r:id="rId8"/>
    <tablePart r:id="rId9"/>
    <tablePart r:id="rId10"/>
    <tablePart r:id="rId11"/>
  </tableParts>
  <extLst>
    <ext xmlns:x14="http://schemas.microsoft.com/office/spreadsheetml/2009/9/main" uri="{CCE6A557-97BC-4b89-ADB6-D9C93CAAB3DF}">
      <x14:dataValidations xmlns:xm="http://schemas.microsoft.com/office/excel/2006/main" count="7">
        <x14:dataValidation type="list" allowBlank="1" showInputMessage="1" showErrorMessage="1" xr:uid="{8247F662-842E-4EE3-805A-AA5953BF083A}">
          <x14:formula1>
            <xm:f>LISTS!$J$7:$J$16</xm:f>
          </x14:formula1>
          <xm:sqref>E46:E66</xm:sqref>
        </x14:dataValidation>
        <x14:dataValidation type="list" allowBlank="1" showInputMessage="1" showErrorMessage="1" xr:uid="{44D1F96B-AB6E-4E58-B489-7D973FD9CD46}">
          <x14:formula1>
            <xm:f>LISTS!$E$7:$E$11</xm:f>
          </x14:formula1>
          <xm:sqref>D46:D66</xm:sqref>
        </x14:dataValidation>
        <x14:dataValidation type="list" allowBlank="1" showInputMessage="1" showErrorMessage="1" xr:uid="{26E9181F-EF38-45D0-9152-FBF6EC0BEB00}">
          <x14:formula1>
            <xm:f>LISTS!$G$7:$G$11</xm:f>
          </x14:formula1>
          <xm:sqref>D38:D42</xm:sqref>
        </x14:dataValidation>
        <x14:dataValidation type="list" allowBlank="1" showInputMessage="1" showErrorMessage="1" xr:uid="{E5E57D1C-21AE-4566-8E6D-957C12AE18CE}">
          <x14:formula1>
            <xm:f>LISTS!$C$11:$C$15</xm:f>
          </x14:formula1>
          <xm:sqref>D11</xm:sqref>
        </x14:dataValidation>
        <x14:dataValidation type="list" allowBlank="1" showInputMessage="1" showErrorMessage="1" xr:uid="{63FB959C-463B-47BC-9C99-DFA102385F42}">
          <x14:formula1>
            <xm:f>LISTS!$C$7:$C$9</xm:f>
          </x14:formula1>
          <xm:sqref>D10</xm:sqref>
        </x14:dataValidation>
        <x14:dataValidation type="list" allowBlank="1" showInputMessage="1" showErrorMessage="1" xr:uid="{F2631761-3E1D-4998-9158-850FB5708328}">
          <x14:formula1>
            <xm:f>LISTS!$C$17:$C$22</xm:f>
          </x14:formula1>
          <xm:sqref>D13</xm:sqref>
        </x14:dataValidation>
        <x14:dataValidation type="list" allowBlank="1" showInputMessage="1" showErrorMessage="1" xr:uid="{0FF40044-1DF8-4C09-97A1-BC6111D3174A}">
          <x14:formula1>
            <xm:f>LISTS!$C$26:$C$37</xm:f>
          </x14:formula1>
          <xm:sqref>D14</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B1DD-F469-4B0C-8EE9-FF16EC784179}">
  <sheetPr codeName="Sheet32"/>
  <dimension ref="C4:T102"/>
  <sheetViews>
    <sheetView topLeftCell="A31" workbookViewId="0">
      <selection activeCell="G66" sqref="G66"/>
    </sheetView>
  </sheetViews>
  <sheetFormatPr defaultColWidth="8.85546875" defaultRowHeight="15"/>
  <cols>
    <col min="7" max="7" width="11.140625" customWidth="1"/>
    <col min="10" max="10" width="19.140625" bestFit="1" customWidth="1"/>
    <col min="19" max="19" width="28.140625" customWidth="1"/>
    <col min="20" max="20" width="16.140625" customWidth="1"/>
  </cols>
  <sheetData>
    <row r="4" spans="3:10">
      <c r="C4" t="s">
        <v>1112</v>
      </c>
      <c r="E4" t="s">
        <v>1113</v>
      </c>
      <c r="G4" t="s">
        <v>1113</v>
      </c>
      <c r="J4" t="s">
        <v>1114</v>
      </c>
    </row>
    <row r="7" spans="3:10" ht="15.75" customHeight="1">
      <c r="C7" s="7">
        <v>1</v>
      </c>
      <c r="E7" t="s">
        <v>28</v>
      </c>
      <c r="G7" t="s">
        <v>368</v>
      </c>
      <c r="J7" t="s">
        <v>50</v>
      </c>
    </row>
    <row r="8" spans="3:10">
      <c r="C8" s="7">
        <v>2</v>
      </c>
      <c r="E8" t="s">
        <v>29</v>
      </c>
      <c r="G8" t="s">
        <v>163</v>
      </c>
      <c r="J8" t="s">
        <v>57</v>
      </c>
    </row>
    <row r="9" spans="3:10">
      <c r="C9" s="7" t="s">
        <v>899</v>
      </c>
      <c r="E9" t="s">
        <v>30</v>
      </c>
      <c r="G9" t="s">
        <v>41</v>
      </c>
      <c r="J9" t="s">
        <v>53</v>
      </c>
    </row>
    <row r="10" spans="3:10">
      <c r="E10" t="s">
        <v>31</v>
      </c>
      <c r="G10" t="s">
        <v>19</v>
      </c>
      <c r="J10" t="s">
        <v>168</v>
      </c>
    </row>
    <row r="11" spans="3:10">
      <c r="C11" s="7">
        <v>3</v>
      </c>
      <c r="E11" t="s">
        <v>32</v>
      </c>
      <c r="G11" t="s">
        <v>97</v>
      </c>
      <c r="J11" t="s">
        <v>100</v>
      </c>
    </row>
    <row r="12" spans="3:10">
      <c r="C12" s="7">
        <v>4</v>
      </c>
      <c r="J12" t="s">
        <v>55</v>
      </c>
    </row>
    <row r="13" spans="3:10">
      <c r="C13" s="7">
        <v>5</v>
      </c>
      <c r="J13" t="s">
        <v>315</v>
      </c>
    </row>
    <row r="14" spans="3:10">
      <c r="C14" s="7">
        <v>6</v>
      </c>
      <c r="G14" t="s">
        <v>36</v>
      </c>
      <c r="J14" t="s">
        <v>106</v>
      </c>
    </row>
    <row r="15" spans="3:10">
      <c r="C15" s="7">
        <v>7</v>
      </c>
      <c r="G15" t="s">
        <v>209</v>
      </c>
      <c r="J15" t="s">
        <v>102</v>
      </c>
    </row>
    <row r="16" spans="3:10">
      <c r="G16" t="s">
        <v>1013</v>
      </c>
      <c r="J16" t="s">
        <v>433</v>
      </c>
    </row>
    <row r="17" spans="3:20">
      <c r="C17" t="s">
        <v>85</v>
      </c>
      <c r="G17" t="s">
        <v>964</v>
      </c>
    </row>
    <row r="18" spans="3:20">
      <c r="C18" t="s">
        <v>149</v>
      </c>
      <c r="G18" t="s">
        <v>369</v>
      </c>
    </row>
    <row r="19" spans="3:20">
      <c r="C19" t="s">
        <v>943</v>
      </c>
      <c r="G19" t="s">
        <v>42</v>
      </c>
      <c r="J19" t="s">
        <v>1115</v>
      </c>
      <c r="K19" t="s">
        <v>1116</v>
      </c>
    </row>
    <row r="20" spans="3:20">
      <c r="C20" t="s">
        <v>1117</v>
      </c>
      <c r="G20" t="s">
        <v>95</v>
      </c>
      <c r="J20" t="s">
        <v>50</v>
      </c>
      <c r="K20" t="s">
        <v>214</v>
      </c>
      <c r="O20" s="70" t="s">
        <v>1118</v>
      </c>
      <c r="S20" s="71" t="s">
        <v>1119</v>
      </c>
      <c r="T20" s="72" t="s">
        <v>1120</v>
      </c>
    </row>
    <row r="21" spans="3:20">
      <c r="C21" t="s">
        <v>551</v>
      </c>
      <c r="G21" t="s">
        <v>871</v>
      </c>
      <c r="J21" t="s">
        <v>50</v>
      </c>
      <c r="K21" t="s">
        <v>52</v>
      </c>
      <c r="O21" t="str" cm="1">
        <f t="array" ref="O21:O26">_xlfn._xlws.FILTER(LISTS_Table[Skill],LISTS_Table[Category]="Scientific Knowledge")</f>
        <v>Critical thinking</v>
      </c>
      <c r="S21" s="73" t="s">
        <v>50</v>
      </c>
      <c r="T21" s="74" t="s">
        <v>1121</v>
      </c>
    </row>
    <row r="22" spans="3:20">
      <c r="C22" t="s">
        <v>200</v>
      </c>
      <c r="G22" t="s">
        <v>563</v>
      </c>
      <c r="J22" t="s">
        <v>50</v>
      </c>
      <c r="K22" t="s">
        <v>51</v>
      </c>
      <c r="O22" t="str">
        <v>Scientific literacy</v>
      </c>
      <c r="S22" s="75" t="s">
        <v>57</v>
      </c>
      <c r="T22" s="76" t="s">
        <v>1122</v>
      </c>
    </row>
    <row r="23" spans="3:20">
      <c r="G23" t="s">
        <v>312</v>
      </c>
      <c r="J23" t="s">
        <v>50</v>
      </c>
      <c r="K23" t="s">
        <v>317</v>
      </c>
      <c r="O23" t="str">
        <v>Information retrieval</v>
      </c>
      <c r="S23" s="73" t="s">
        <v>53</v>
      </c>
      <c r="T23" s="74" t="s">
        <v>1123</v>
      </c>
    </row>
    <row r="24" spans="3:20">
      <c r="G24" t="s">
        <v>1124</v>
      </c>
      <c r="J24" t="s">
        <v>50</v>
      </c>
      <c r="K24" t="s">
        <v>606</v>
      </c>
      <c r="O24" t="str">
        <v>Knowledge synthesis</v>
      </c>
      <c r="S24" s="75" t="s">
        <v>168</v>
      </c>
      <c r="T24" s="76" t="s">
        <v>1125</v>
      </c>
    </row>
    <row r="25" spans="3:20">
      <c r="G25" t="s">
        <v>98</v>
      </c>
      <c r="J25" t="s">
        <v>50</v>
      </c>
      <c r="K25" t="s">
        <v>509</v>
      </c>
      <c r="O25" t="str">
        <v>Domain-specific analytical skills</v>
      </c>
      <c r="S25" s="73" t="s">
        <v>100</v>
      </c>
      <c r="T25" s="74" t="s">
        <v>1126</v>
      </c>
    </row>
    <row r="26" spans="3:20">
      <c r="C26" t="s">
        <v>1127</v>
      </c>
      <c r="G26" t="s">
        <v>1128</v>
      </c>
      <c r="J26" t="s">
        <v>57</v>
      </c>
      <c r="K26" t="s">
        <v>706</v>
      </c>
      <c r="O26" t="str">
        <v>Evidence evaluation</v>
      </c>
      <c r="S26" s="75" t="s">
        <v>55</v>
      </c>
      <c r="T26" s="76" t="s">
        <v>55</v>
      </c>
    </row>
    <row r="27" spans="3:20">
      <c r="C27" t="s">
        <v>1129</v>
      </c>
      <c r="G27" t="s">
        <v>310</v>
      </c>
      <c r="J27" t="s">
        <v>57</v>
      </c>
      <c r="K27" t="s">
        <v>215</v>
      </c>
      <c r="S27" s="73" t="s">
        <v>315</v>
      </c>
      <c r="T27" s="74" t="s">
        <v>1130</v>
      </c>
    </row>
    <row r="28" spans="3:20">
      <c r="C28" t="s">
        <v>86</v>
      </c>
      <c r="G28" t="s">
        <v>211</v>
      </c>
      <c r="J28" t="s">
        <v>57</v>
      </c>
      <c r="K28" t="s">
        <v>78</v>
      </c>
      <c r="O28" s="6" t="s">
        <v>1131</v>
      </c>
      <c r="S28" s="75" t="s">
        <v>106</v>
      </c>
      <c r="T28" s="76" t="s">
        <v>1132</v>
      </c>
    </row>
    <row r="29" spans="3:20">
      <c r="C29" t="s">
        <v>1133</v>
      </c>
      <c r="J29" t="s">
        <v>57</v>
      </c>
      <c r="K29" t="s">
        <v>832</v>
      </c>
      <c r="O29" t="str" cm="1">
        <f t="array" ref="O29:O34">_xlfn._xlws.FILTER(LISTS_Table[Skill],LISTS_Table[Category]="Technical Skills")</f>
        <v>Laboratory/clinical techniques</v>
      </c>
      <c r="S29" s="73" t="s">
        <v>102</v>
      </c>
      <c r="T29" s="74" t="s">
        <v>1134</v>
      </c>
    </row>
    <row r="30" spans="3:20">
      <c r="C30" t="s">
        <v>1135</v>
      </c>
      <c r="J30" t="s">
        <v>57</v>
      </c>
      <c r="K30" t="s">
        <v>58</v>
      </c>
      <c r="O30" t="str">
        <v>Data collection</v>
      </c>
      <c r="S30" s="77" t="s">
        <v>433</v>
      </c>
      <c r="T30" s="78" t="s">
        <v>1136</v>
      </c>
    </row>
    <row r="31" spans="3:20">
      <c r="C31" t="s">
        <v>1137</v>
      </c>
      <c r="J31" t="s">
        <v>57</v>
      </c>
      <c r="K31" t="s">
        <v>967</v>
      </c>
      <c r="O31" t="str">
        <v>Data analysis</v>
      </c>
    </row>
    <row r="32" spans="3:20">
      <c r="C32" t="s">
        <v>151</v>
      </c>
      <c r="J32" t="s">
        <v>53</v>
      </c>
      <c r="K32" t="s">
        <v>54</v>
      </c>
      <c r="O32" t="str">
        <v>Digital literacy</v>
      </c>
    </row>
    <row r="33" spans="3:15">
      <c r="C33" t="s">
        <v>461</v>
      </c>
      <c r="J33" t="s">
        <v>53</v>
      </c>
      <c r="K33" t="s">
        <v>567</v>
      </c>
      <c r="O33" t="str">
        <v>Equipment and technology utilisation</v>
      </c>
    </row>
    <row r="34" spans="3:15">
      <c r="C34" t="s">
        <v>996</v>
      </c>
      <c r="J34" t="s">
        <v>53</v>
      </c>
      <c r="K34" t="s">
        <v>167</v>
      </c>
      <c r="O34" t="str">
        <v>Technical proficiency</v>
      </c>
    </row>
    <row r="35" spans="3:15">
      <c r="C35" t="s">
        <v>1138</v>
      </c>
      <c r="J35" t="s">
        <v>53</v>
      </c>
      <c r="K35" t="s">
        <v>217</v>
      </c>
    </row>
    <row r="36" spans="3:15">
      <c r="C36" t="s">
        <v>1139</v>
      </c>
      <c r="J36" t="s">
        <v>53</v>
      </c>
      <c r="K36" t="s">
        <v>1015</v>
      </c>
      <c r="O36" s="70" t="s">
        <v>1140</v>
      </c>
    </row>
    <row r="37" spans="3:15">
      <c r="C37" t="s">
        <v>202</v>
      </c>
      <c r="J37" t="s">
        <v>53</v>
      </c>
      <c r="K37" t="s">
        <v>968</v>
      </c>
      <c r="O37" t="str" cm="1">
        <f t="array" ref="O37:O42">_xlfn._xlws.FILTER(LISTS_Table[Skill],LISTS_Table[Category]="Application of Knowledge and skills")</f>
        <v>Decision-making</v>
      </c>
    </row>
    <row r="38" spans="3:15">
      <c r="J38" t="s">
        <v>168</v>
      </c>
      <c r="K38" t="s">
        <v>607</v>
      </c>
      <c r="O38" t="str">
        <v>Translational practice</v>
      </c>
    </row>
    <row r="39" spans="3:15">
      <c r="J39" t="s">
        <v>168</v>
      </c>
      <c r="K39" t="s">
        <v>272</v>
      </c>
      <c r="O39" t="str">
        <v>Contextual application</v>
      </c>
    </row>
    <row r="40" spans="3:15">
      <c r="J40" t="s">
        <v>168</v>
      </c>
      <c r="K40" t="s">
        <v>511</v>
      </c>
      <c r="O40" t="str">
        <v>Professional judgement</v>
      </c>
    </row>
    <row r="41" spans="3:15">
      <c r="J41" t="s">
        <v>168</v>
      </c>
      <c r="K41" t="s">
        <v>169</v>
      </c>
      <c r="O41" t="str">
        <v>Adaptability</v>
      </c>
    </row>
    <row r="42" spans="3:15">
      <c r="J42" t="s">
        <v>168</v>
      </c>
      <c r="K42" t="s">
        <v>397</v>
      </c>
      <c r="O42" t="str">
        <v>Risk assessment</v>
      </c>
    </row>
    <row r="43" spans="3:15">
      <c r="J43" t="s">
        <v>168</v>
      </c>
      <c r="K43" t="s">
        <v>833</v>
      </c>
    </row>
    <row r="44" spans="3:15">
      <c r="J44" t="s">
        <v>100</v>
      </c>
      <c r="K44" t="s">
        <v>101</v>
      </c>
      <c r="O44" s="79" t="s">
        <v>168</v>
      </c>
    </row>
    <row r="45" spans="3:15">
      <c r="J45" t="s">
        <v>100</v>
      </c>
      <c r="K45" t="s">
        <v>396</v>
      </c>
      <c r="O45" t="str" cm="1">
        <f t="array" ref="O45:O50">_xlfn._xlws.FILTER(LISTS_Table[Skill],LISTS_Table[Category]="Understanding and use of research")</f>
        <v>Research literacy</v>
      </c>
    </row>
    <row r="46" spans="3:15">
      <c r="J46" t="s">
        <v>100</v>
      </c>
      <c r="K46" t="s">
        <v>1141</v>
      </c>
      <c r="O46" t="str">
        <v>Literature searching</v>
      </c>
    </row>
    <row r="47" spans="3:15">
      <c r="J47" t="s">
        <v>100</v>
      </c>
      <c r="K47" t="s">
        <v>105</v>
      </c>
      <c r="O47" t="str">
        <v>Critical appraisal</v>
      </c>
    </row>
    <row r="48" spans="3:15">
      <c r="J48" t="s">
        <v>100</v>
      </c>
      <c r="K48" t="s">
        <v>1142</v>
      </c>
      <c r="O48" t="str">
        <v>Data interpretation</v>
      </c>
    </row>
    <row r="49" spans="10:15">
      <c r="J49" t="s">
        <v>100</v>
      </c>
      <c r="K49" t="s">
        <v>1143</v>
      </c>
      <c r="O49" t="str">
        <v>Evidence-based practice</v>
      </c>
    </row>
    <row r="50" spans="10:15">
      <c r="J50" t="s">
        <v>100</v>
      </c>
      <c r="K50" t="s">
        <v>1144</v>
      </c>
      <c r="O50" t="str">
        <v>Research communication</v>
      </c>
    </row>
    <row r="51" spans="10:15">
      <c r="J51" t="s">
        <v>55</v>
      </c>
      <c r="K51" t="s">
        <v>216</v>
      </c>
    </row>
    <row r="52" spans="10:15">
      <c r="J52" t="s">
        <v>55</v>
      </c>
      <c r="K52" t="s">
        <v>56</v>
      </c>
      <c r="O52" s="79" t="s">
        <v>100</v>
      </c>
    </row>
    <row r="53" spans="10:15">
      <c r="J53" t="s">
        <v>55</v>
      </c>
      <c r="K53" t="s">
        <v>510</v>
      </c>
      <c r="O53" t="str" cm="1">
        <f t="array" ref="O53:O59">_xlfn._xlws.FILTER(LISTS_Table[Skill],LISTS_Table[Category]="Self-evaluation and professional development")</f>
        <v>Reflective practice</v>
      </c>
    </row>
    <row r="54" spans="10:15">
      <c r="J54" t="s">
        <v>55</v>
      </c>
      <c r="K54" t="s">
        <v>372</v>
      </c>
      <c r="O54" t="str">
        <v>Self-awareness</v>
      </c>
    </row>
    <row r="55" spans="10:15">
      <c r="J55" t="s">
        <v>55</v>
      </c>
      <c r="K55" t="s">
        <v>104</v>
      </c>
      <c r="O55" t="str">
        <v>Lifelong learning</v>
      </c>
    </row>
    <row r="56" spans="10:15">
      <c r="J56" t="s">
        <v>55</v>
      </c>
      <c r="K56" t="s">
        <v>314</v>
      </c>
      <c r="O56" t="str">
        <v>Personal development planning</v>
      </c>
    </row>
    <row r="57" spans="10:15">
      <c r="J57" t="s">
        <v>315</v>
      </c>
      <c r="K57" t="s">
        <v>1145</v>
      </c>
      <c r="O57" t="str">
        <v>Resilience</v>
      </c>
    </row>
    <row r="58" spans="10:15">
      <c r="J58" t="s">
        <v>315</v>
      </c>
      <c r="K58" t="s">
        <v>1146</v>
      </c>
      <c r="O58" t="str">
        <v>Initiative</v>
      </c>
    </row>
    <row r="59" spans="10:15">
      <c r="J59" t="s">
        <v>315</v>
      </c>
      <c r="K59" t="s">
        <v>1147</v>
      </c>
      <c r="O59" t="str">
        <v>Accountability</v>
      </c>
    </row>
    <row r="60" spans="10:15">
      <c r="J60" t="s">
        <v>315</v>
      </c>
      <c r="K60" t="s">
        <v>569</v>
      </c>
    </row>
    <row r="61" spans="10:15">
      <c r="J61" t="s">
        <v>315</v>
      </c>
      <c r="K61" t="s">
        <v>1148</v>
      </c>
      <c r="O61" s="80" t="s">
        <v>55</v>
      </c>
    </row>
    <row r="62" spans="10:15">
      <c r="J62" t="s">
        <v>315</v>
      </c>
      <c r="K62" t="s">
        <v>316</v>
      </c>
      <c r="O62" t="str" cm="1">
        <f t="array" ref="O62:O67">_xlfn._xlws.FILTER(LISTS_Table[Skill],LISTS_Table[Category]="Communication")</f>
        <v>Written communication</v>
      </c>
    </row>
    <row r="63" spans="10:15">
      <c r="J63" t="s">
        <v>106</v>
      </c>
      <c r="K63" t="s">
        <v>319</v>
      </c>
      <c r="O63" t="str">
        <v>Oral presentation</v>
      </c>
    </row>
    <row r="64" spans="10:15">
      <c r="J64" t="s">
        <v>106</v>
      </c>
      <c r="K64" t="s">
        <v>1058</v>
      </c>
      <c r="O64" t="str">
        <v>Active listening</v>
      </c>
    </row>
    <row r="65" spans="10:15">
      <c r="J65" t="s">
        <v>106</v>
      </c>
      <c r="K65" t="s">
        <v>107</v>
      </c>
      <c r="O65" t="str">
        <v>Scientific writing</v>
      </c>
    </row>
    <row r="66" spans="10:15">
      <c r="J66" t="s">
        <v>106</v>
      </c>
      <c r="K66" t="s">
        <v>273</v>
      </c>
      <c r="O66" t="str">
        <v>Interpersonal communication</v>
      </c>
    </row>
    <row r="67" spans="10:15">
      <c r="J67" t="s">
        <v>106</v>
      </c>
      <c r="K67" t="s">
        <v>1149</v>
      </c>
      <c r="O67" t="str">
        <v>Digital communication</v>
      </c>
    </row>
    <row r="68" spans="10:15">
      <c r="J68" t="s">
        <v>106</v>
      </c>
      <c r="K68" t="s">
        <v>318</v>
      </c>
    </row>
    <row r="69" spans="10:15">
      <c r="J69" t="s">
        <v>106</v>
      </c>
      <c r="K69" t="s">
        <v>1150</v>
      </c>
      <c r="O69" s="80" t="s">
        <v>315</v>
      </c>
    </row>
    <row r="70" spans="10:15">
      <c r="J70" t="s">
        <v>106</v>
      </c>
      <c r="K70" t="s">
        <v>1151</v>
      </c>
      <c r="O70" t="str" cm="1">
        <f t="array" ref="O70:O75">_xlfn._xlws.FILTER(LISTS_Table[Skill],LISTS_Table[Category]="Problem solving and impact")</f>
        <v>Analytical thinking</v>
      </c>
    </row>
    <row r="71" spans="10:15">
      <c r="J71" t="s">
        <v>106</v>
      </c>
      <c r="K71" t="s">
        <v>1152</v>
      </c>
      <c r="O71" t="str">
        <v>problem identification</v>
      </c>
    </row>
    <row r="72" spans="10:15">
      <c r="J72" t="s">
        <v>102</v>
      </c>
      <c r="K72" t="s">
        <v>1153</v>
      </c>
      <c r="O72" t="str">
        <v>Creative thinking</v>
      </c>
    </row>
    <row r="73" spans="10:15">
      <c r="J73" t="s">
        <v>102</v>
      </c>
      <c r="K73" t="s">
        <v>1154</v>
      </c>
      <c r="O73" t="str">
        <v>Evidence-based decision making</v>
      </c>
    </row>
    <row r="74" spans="10:15">
      <c r="J74" t="s">
        <v>102</v>
      </c>
      <c r="K74" t="s">
        <v>914</v>
      </c>
      <c r="O74" t="str">
        <v>Innovation</v>
      </c>
    </row>
    <row r="75" spans="10:15">
      <c r="J75" t="s">
        <v>102</v>
      </c>
      <c r="K75" t="s">
        <v>568</v>
      </c>
      <c r="O75" t="str">
        <v>Evaluation of outcomes</v>
      </c>
    </row>
    <row r="76" spans="10:15">
      <c r="J76" t="s">
        <v>102</v>
      </c>
      <c r="K76" t="s">
        <v>103</v>
      </c>
    </row>
    <row r="77" spans="10:15">
      <c r="J77" t="s">
        <v>433</v>
      </c>
      <c r="K77" t="s">
        <v>707</v>
      </c>
      <c r="O77" s="80" t="s">
        <v>106</v>
      </c>
    </row>
    <row r="78" spans="10:15">
      <c r="J78" t="s">
        <v>433</v>
      </c>
      <c r="K78" t="s">
        <v>434</v>
      </c>
      <c r="O78" t="str" cm="1">
        <f t="array" ref="O78:O86">_xlfn._xlws.FILTER(LISTS_Table[Skill],LISTS_Table[Category]="Management of self and others")</f>
        <v>Leadership</v>
      </c>
    </row>
    <row r="79" spans="10:15">
      <c r="J79" t="s">
        <v>433</v>
      </c>
      <c r="K79" t="s">
        <v>915</v>
      </c>
      <c r="O79" t="str">
        <v>Coaching and mentoring</v>
      </c>
    </row>
    <row r="80" spans="10:15">
      <c r="J80" t="s">
        <v>433</v>
      </c>
      <c r="K80" t="s">
        <v>916</v>
      </c>
      <c r="O80" t="str">
        <v>Time management</v>
      </c>
    </row>
    <row r="81" spans="10:15">
      <c r="J81" t="s">
        <v>433</v>
      </c>
      <c r="K81" t="s">
        <v>917</v>
      </c>
      <c r="O81" t="str">
        <v>Organisation</v>
      </c>
    </row>
    <row r="82" spans="10:15">
      <c r="J82" t="s">
        <v>433</v>
      </c>
      <c r="K82" t="s">
        <v>1155</v>
      </c>
      <c r="O82" t="str">
        <v>Delegation</v>
      </c>
    </row>
    <row r="83" spans="10:15">
      <c r="J83" t="s">
        <v>433</v>
      </c>
      <c r="K83" t="s">
        <v>1156</v>
      </c>
      <c r="O83" t="str">
        <v>Conflict resolution</v>
      </c>
    </row>
    <row r="84" spans="10:15">
      <c r="O84" t="str">
        <v>Empathy</v>
      </c>
    </row>
    <row r="85" spans="10:15">
      <c r="O85" t="str">
        <v>Multi-tasking</v>
      </c>
    </row>
    <row r="86" spans="10:15">
      <c r="O86" t="str">
        <v>Resource management</v>
      </c>
    </row>
    <row r="88" spans="10:15">
      <c r="O88" s="79" t="s">
        <v>102</v>
      </c>
    </row>
    <row r="89" spans="10:15">
      <c r="O89" t="str" cm="1">
        <f t="array" ref="O89:O93">_xlfn._xlws.FILTER(LISTS_Table[Skill],LISTS_Table[Category]="Understanding the delivery environment")</f>
        <v>Organisational awareness</v>
      </c>
    </row>
    <row r="90" spans="10:15">
      <c r="O90" t="str">
        <v>Policy interpretation</v>
      </c>
    </row>
    <row r="91" spans="10:15">
      <c r="O91" t="str">
        <v>Stakeholder awareness</v>
      </c>
    </row>
    <row r="92" spans="10:15">
      <c r="O92" t="str">
        <v>Service delivery</v>
      </c>
    </row>
    <row r="93" spans="10:15">
      <c r="O93" t="str">
        <v>Professional awareness</v>
      </c>
    </row>
    <row r="95" spans="10:15">
      <c r="O95" s="80" t="s">
        <v>1157</v>
      </c>
    </row>
    <row r="96" spans="10:15">
      <c r="O96" t="str" cm="1">
        <f t="array" ref="O96:O102">_xlfn._xlws.FILTER(LISTS_Table[Skill],LISTS_Table[Category]="Professional relationships and behaviours")</f>
        <v>Teamwork</v>
      </c>
    </row>
    <row r="97" spans="15:15">
      <c r="O97" t="str">
        <v>Collaboration/multi-disciplinary working</v>
      </c>
    </row>
    <row r="98" spans="15:15">
      <c r="O98" t="str">
        <v>Ethical practice</v>
      </c>
    </row>
    <row r="99" spans="15:15">
      <c r="O99" t="str">
        <v>Professionalism</v>
      </c>
    </row>
    <row r="100" spans="15:15">
      <c r="O100" t="str">
        <v>Cultural awareness and competence</v>
      </c>
    </row>
    <row r="101" spans="15:15">
      <c r="O101" t="str">
        <v>Integrity</v>
      </c>
    </row>
    <row r="102" spans="15:15">
      <c r="O102" t="str">
        <v>Respect</v>
      </c>
    </row>
  </sheetData>
  <sheetProtection sheet="1" objects="1" scenarios="1" formatCells="0" formatColumns="0" formatRows="0" insertHyperlinks="0"/>
  <sortState xmlns:xlrd2="http://schemas.microsoft.com/office/spreadsheetml/2017/richdata2" ref="C26:C31">
    <sortCondition ref="C31"/>
  </sortState>
  <phoneticPr fontId="2" type="noConversion"/>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5232-2496-E546-9604-2F97282EED57}">
  <sheetPr codeName="Sheet26"/>
  <dimension ref="A2:R42"/>
  <sheetViews>
    <sheetView topLeftCell="A29" workbookViewId="0">
      <selection activeCell="C40" sqref="C40"/>
    </sheetView>
  </sheetViews>
  <sheetFormatPr defaultColWidth="11.42578125" defaultRowHeight="15"/>
  <cols>
    <col min="1" max="1" width="13.42578125" bestFit="1" customWidth="1"/>
    <col min="2" max="2" width="23.7109375" bestFit="1" customWidth="1"/>
    <col min="3" max="3" width="32" bestFit="1" customWidth="1"/>
    <col min="4" max="4" width="27.85546875" bestFit="1" customWidth="1"/>
    <col min="5" max="5" width="21.140625" customWidth="1"/>
    <col min="6" max="6" width="24.85546875" bestFit="1" customWidth="1"/>
    <col min="7" max="7" width="32" bestFit="1" customWidth="1"/>
    <col min="11" max="11" width="21" bestFit="1" customWidth="1"/>
    <col min="12" max="12" width="16.85546875" bestFit="1" customWidth="1"/>
    <col min="13" max="13" width="7" bestFit="1" customWidth="1"/>
    <col min="14" max="14" width="8.7109375" bestFit="1" customWidth="1"/>
    <col min="15" max="15" width="8.42578125" bestFit="1" customWidth="1"/>
    <col min="16" max="16" width="5.42578125" bestFit="1" customWidth="1"/>
    <col min="17" max="17" width="10.140625" bestFit="1" customWidth="1"/>
    <col min="18" max="18" width="11.28515625" bestFit="1" customWidth="1"/>
  </cols>
  <sheetData>
    <row r="2" spans="1:18">
      <c r="A2" s="6" t="s">
        <v>1158</v>
      </c>
    </row>
    <row r="3" spans="1:18">
      <c r="A3" s="45" t="s">
        <v>1159</v>
      </c>
      <c r="B3" s="46" t="s">
        <v>1160</v>
      </c>
      <c r="C3" s="46" t="s">
        <v>10</v>
      </c>
      <c r="D3" s="46" t="s">
        <v>8</v>
      </c>
      <c r="E3" s="46" t="s">
        <v>7</v>
      </c>
      <c r="F3" s="46" t="s">
        <v>11</v>
      </c>
      <c r="G3" s="46" t="s">
        <v>12</v>
      </c>
      <c r="H3" s="46" t="s">
        <v>1161</v>
      </c>
      <c r="I3" s="47" t="s">
        <v>1162</v>
      </c>
      <c r="K3" s="48" t="s">
        <v>1163</v>
      </c>
      <c r="L3" s="48" t="s">
        <v>1164</v>
      </c>
    </row>
    <row r="4" spans="1:18">
      <c r="A4" s="56" t="s">
        <v>1165</v>
      </c>
      <c r="B4" s="57" t="s">
        <v>1166</v>
      </c>
      <c r="C4" s="57">
        <v>4</v>
      </c>
      <c r="D4" s="57">
        <v>1</v>
      </c>
      <c r="E4" s="57">
        <v>20</v>
      </c>
      <c r="F4" s="57" t="s">
        <v>1167</v>
      </c>
      <c r="G4" s="57" t="s">
        <v>200</v>
      </c>
      <c r="H4" s="57">
        <v>44</v>
      </c>
      <c r="I4" s="58">
        <v>2.2000000000000002</v>
      </c>
      <c r="K4" s="48" t="s">
        <v>1168</v>
      </c>
      <c r="L4" t="s">
        <v>17</v>
      </c>
      <c r="M4" t="s">
        <v>22</v>
      </c>
      <c r="N4" t="s">
        <v>19</v>
      </c>
      <c r="O4" t="s">
        <v>18</v>
      </c>
      <c r="P4" t="s">
        <v>23</v>
      </c>
      <c r="Q4" t="s">
        <v>20</v>
      </c>
      <c r="R4" t="s">
        <v>1169</v>
      </c>
    </row>
    <row r="5" spans="1:18">
      <c r="A5" s="56" t="s">
        <v>193</v>
      </c>
      <c r="B5" s="57" t="s">
        <v>195</v>
      </c>
      <c r="C5" s="57">
        <v>4</v>
      </c>
      <c r="D5" s="57">
        <v>1</v>
      </c>
      <c r="E5" s="57">
        <v>20</v>
      </c>
      <c r="F5" s="57" t="s">
        <v>1170</v>
      </c>
      <c r="G5" s="57" t="s">
        <v>200</v>
      </c>
      <c r="H5" s="57">
        <v>44</v>
      </c>
      <c r="I5" s="58">
        <v>2.2000000000000002</v>
      </c>
      <c r="K5" s="49" t="s">
        <v>143</v>
      </c>
      <c r="L5" s="108">
        <v>34</v>
      </c>
      <c r="M5" s="108"/>
      <c r="N5" s="108"/>
      <c r="O5" s="108">
        <v>6</v>
      </c>
      <c r="P5" s="108">
        <v>44</v>
      </c>
      <c r="Q5" s="108">
        <v>4</v>
      </c>
      <c r="R5" s="108">
        <v>88</v>
      </c>
    </row>
    <row r="6" spans="1:18">
      <c r="A6" s="59" t="s">
        <v>289</v>
      </c>
      <c r="B6" s="60" t="s">
        <v>291</v>
      </c>
      <c r="C6" s="60">
        <v>4</v>
      </c>
      <c r="D6" s="60">
        <v>2</v>
      </c>
      <c r="E6" s="60">
        <v>20</v>
      </c>
      <c r="F6" s="60" t="s">
        <v>293</v>
      </c>
      <c r="G6" s="60" t="s">
        <v>200</v>
      </c>
      <c r="H6" s="60">
        <v>39</v>
      </c>
      <c r="I6" s="61">
        <v>1.95</v>
      </c>
      <c r="K6" s="49" t="s">
        <v>193</v>
      </c>
      <c r="L6" s="108">
        <v>33</v>
      </c>
      <c r="M6" s="108">
        <v>3</v>
      </c>
      <c r="N6" s="108">
        <v>6</v>
      </c>
      <c r="O6" s="108">
        <v>1</v>
      </c>
      <c r="P6" s="108">
        <v>44</v>
      </c>
      <c r="Q6" s="108">
        <v>1</v>
      </c>
      <c r="R6" s="108">
        <v>88</v>
      </c>
    </row>
    <row r="7" spans="1:18">
      <c r="A7" s="56" t="s">
        <v>80</v>
      </c>
      <c r="B7" s="57" t="s">
        <v>82</v>
      </c>
      <c r="C7" s="57">
        <v>4</v>
      </c>
      <c r="D7" s="57">
        <v>1</v>
      </c>
      <c r="E7" s="57">
        <v>20</v>
      </c>
      <c r="F7" s="57" t="s">
        <v>84</v>
      </c>
      <c r="G7" s="57" t="s">
        <v>85</v>
      </c>
      <c r="H7" s="57">
        <v>44</v>
      </c>
      <c r="I7" s="58">
        <v>2.2000000000000002</v>
      </c>
      <c r="K7" s="49" t="s">
        <v>1165</v>
      </c>
      <c r="L7" s="108">
        <v>42</v>
      </c>
      <c r="M7" s="108"/>
      <c r="N7" s="108"/>
      <c r="O7" s="108"/>
      <c r="P7" s="108">
        <v>42</v>
      </c>
      <c r="Q7" s="108"/>
      <c r="R7" s="108">
        <v>84</v>
      </c>
    </row>
    <row r="8" spans="1:18">
      <c r="A8" s="59" t="s">
        <v>255</v>
      </c>
      <c r="B8" s="60" t="s">
        <v>1171</v>
      </c>
      <c r="C8" s="60">
        <v>4</v>
      </c>
      <c r="D8" s="60">
        <v>2</v>
      </c>
      <c r="E8" s="60">
        <v>20</v>
      </c>
      <c r="F8" s="60" t="s">
        <v>260</v>
      </c>
      <c r="G8" s="60" t="s">
        <v>200</v>
      </c>
      <c r="H8" s="60">
        <v>40</v>
      </c>
      <c r="I8" s="61">
        <v>2</v>
      </c>
      <c r="K8" s="49" t="s">
        <v>289</v>
      </c>
      <c r="L8" s="108">
        <v>11</v>
      </c>
      <c r="M8" s="108">
        <v>11</v>
      </c>
      <c r="N8" s="108">
        <v>6</v>
      </c>
      <c r="O8" s="108"/>
      <c r="P8" s="108">
        <v>39</v>
      </c>
      <c r="Q8" s="108">
        <v>11</v>
      </c>
      <c r="R8" s="108">
        <v>78</v>
      </c>
    </row>
    <row r="9" spans="1:18">
      <c r="A9" s="59" t="s">
        <v>1172</v>
      </c>
      <c r="B9" s="60" t="s">
        <v>1173</v>
      </c>
      <c r="C9" s="60">
        <v>5</v>
      </c>
      <c r="D9" s="60">
        <v>2</v>
      </c>
      <c r="E9" s="60">
        <v>20</v>
      </c>
      <c r="F9" s="60" t="s">
        <v>1174</v>
      </c>
      <c r="G9" s="60" t="s">
        <v>200</v>
      </c>
      <c r="H9" s="60">
        <v>44</v>
      </c>
      <c r="I9" s="61">
        <v>2.2000000000000002</v>
      </c>
      <c r="K9" s="49" t="s">
        <v>80</v>
      </c>
      <c r="L9" s="108">
        <v>22</v>
      </c>
      <c r="M9" s="108">
        <v>4</v>
      </c>
      <c r="N9" s="108">
        <v>3</v>
      </c>
      <c r="O9" s="108">
        <v>5</v>
      </c>
      <c r="P9" s="108">
        <v>44</v>
      </c>
      <c r="Q9" s="108">
        <v>10</v>
      </c>
      <c r="R9" s="108">
        <v>88</v>
      </c>
    </row>
    <row r="10" spans="1:18">
      <c r="A10" s="56" t="s">
        <v>351</v>
      </c>
      <c r="B10" s="57" t="s">
        <v>353</v>
      </c>
      <c r="C10" s="57">
        <v>5</v>
      </c>
      <c r="D10" s="57">
        <v>2</v>
      </c>
      <c r="E10" s="57">
        <v>20</v>
      </c>
      <c r="F10" s="57" t="s">
        <v>355</v>
      </c>
      <c r="G10" s="57" t="s">
        <v>149</v>
      </c>
      <c r="H10" s="57">
        <v>42</v>
      </c>
      <c r="I10" s="58">
        <v>2.1</v>
      </c>
      <c r="K10" s="49" t="s">
        <v>255</v>
      </c>
      <c r="L10" s="108">
        <v>23</v>
      </c>
      <c r="M10" s="108"/>
      <c r="N10" s="108"/>
      <c r="O10" s="108"/>
      <c r="P10" s="108">
        <v>40</v>
      </c>
      <c r="Q10" s="108">
        <v>17</v>
      </c>
      <c r="R10" s="108">
        <v>80</v>
      </c>
    </row>
    <row r="11" spans="1:18">
      <c r="A11" s="59" t="s">
        <v>491</v>
      </c>
      <c r="B11" s="60" t="s">
        <v>492</v>
      </c>
      <c r="C11" s="60">
        <v>5</v>
      </c>
      <c r="D11" s="60">
        <v>2</v>
      </c>
      <c r="E11" s="60">
        <v>20</v>
      </c>
      <c r="F11" s="60" t="s">
        <v>495</v>
      </c>
      <c r="G11" s="60" t="s">
        <v>200</v>
      </c>
      <c r="H11" s="60">
        <v>40</v>
      </c>
      <c r="I11" s="61">
        <v>2</v>
      </c>
      <c r="K11" s="49" t="s">
        <v>351</v>
      </c>
      <c r="L11" s="108">
        <v>34</v>
      </c>
      <c r="M11" s="108"/>
      <c r="N11" s="108"/>
      <c r="O11" s="108">
        <v>6</v>
      </c>
      <c r="P11" s="108">
        <v>42</v>
      </c>
      <c r="Q11" s="108">
        <v>2</v>
      </c>
      <c r="R11" s="108">
        <v>84</v>
      </c>
    </row>
    <row r="12" spans="1:18">
      <c r="A12" s="56" t="s">
        <v>382</v>
      </c>
      <c r="B12" s="57" t="s">
        <v>384</v>
      </c>
      <c r="C12" s="57">
        <v>5</v>
      </c>
      <c r="D12" s="57">
        <v>1</v>
      </c>
      <c r="E12" s="57">
        <v>20</v>
      </c>
      <c r="F12" s="57"/>
      <c r="G12" s="57" t="s">
        <v>85</v>
      </c>
      <c r="H12" s="57">
        <v>0</v>
      </c>
      <c r="I12" s="58">
        <v>0</v>
      </c>
      <c r="K12" s="49" t="s">
        <v>491</v>
      </c>
      <c r="L12" s="108">
        <v>16</v>
      </c>
      <c r="M12" s="108">
        <v>6</v>
      </c>
      <c r="N12" s="108">
        <v>6</v>
      </c>
      <c r="O12" s="108">
        <v>5</v>
      </c>
      <c r="P12" s="108">
        <v>40</v>
      </c>
      <c r="Q12" s="108">
        <v>7</v>
      </c>
      <c r="R12" s="108">
        <v>80</v>
      </c>
    </row>
    <row r="13" spans="1:18">
      <c r="A13" s="59" t="s">
        <v>410</v>
      </c>
      <c r="B13" s="60" t="s">
        <v>412</v>
      </c>
      <c r="C13" s="60">
        <v>5</v>
      </c>
      <c r="D13" s="60">
        <v>1</v>
      </c>
      <c r="E13" s="60">
        <v>20</v>
      </c>
      <c r="F13" s="60" t="s">
        <v>414</v>
      </c>
      <c r="G13" s="60" t="s">
        <v>200</v>
      </c>
      <c r="H13" s="60">
        <v>49</v>
      </c>
      <c r="I13" s="61">
        <v>2.4500000000000002</v>
      </c>
      <c r="K13" s="49" t="s">
        <v>1172</v>
      </c>
      <c r="L13" s="108">
        <v>38</v>
      </c>
      <c r="M13" s="108">
        <v>0</v>
      </c>
      <c r="N13" s="108">
        <v>0</v>
      </c>
      <c r="O13" s="108">
        <v>6</v>
      </c>
      <c r="P13" s="108">
        <v>44</v>
      </c>
      <c r="Q13" s="108">
        <v>0</v>
      </c>
      <c r="R13" s="108">
        <v>88</v>
      </c>
    </row>
    <row r="14" spans="1:18">
      <c r="A14" s="56" t="s">
        <v>456</v>
      </c>
      <c r="B14" s="57" t="s">
        <v>1175</v>
      </c>
      <c r="C14" s="57">
        <v>5</v>
      </c>
      <c r="D14" s="57"/>
      <c r="E14" s="57"/>
      <c r="F14" s="57" t="s">
        <v>460</v>
      </c>
      <c r="G14" s="57" t="s">
        <v>200</v>
      </c>
      <c r="H14" s="57">
        <v>0</v>
      </c>
      <c r="I14" s="58"/>
      <c r="K14" s="49" t="s">
        <v>382</v>
      </c>
      <c r="L14" s="108">
        <v>22</v>
      </c>
      <c r="M14" s="108">
        <v>0</v>
      </c>
      <c r="N14" s="108">
        <v>0</v>
      </c>
      <c r="O14" s="108">
        <v>12</v>
      </c>
      <c r="P14" s="108">
        <v>34</v>
      </c>
      <c r="Q14" s="108">
        <v>0</v>
      </c>
      <c r="R14" s="108">
        <v>68</v>
      </c>
    </row>
    <row r="15" spans="1:18">
      <c r="A15" s="56" t="s">
        <v>1176</v>
      </c>
      <c r="B15" s="57" t="s">
        <v>1177</v>
      </c>
      <c r="C15" s="57">
        <v>6</v>
      </c>
      <c r="D15" s="57">
        <v>1</v>
      </c>
      <c r="E15" s="57">
        <v>20</v>
      </c>
      <c r="F15" s="57" t="s">
        <v>1178</v>
      </c>
      <c r="G15" s="57" t="s">
        <v>551</v>
      </c>
      <c r="H15" s="57">
        <v>40</v>
      </c>
      <c r="I15" s="58">
        <v>2</v>
      </c>
      <c r="K15" s="49" t="s">
        <v>410</v>
      </c>
      <c r="L15" s="108">
        <v>22</v>
      </c>
      <c r="M15" s="108">
        <v>11</v>
      </c>
      <c r="N15" s="108">
        <v>2</v>
      </c>
      <c r="O15" s="108">
        <v>14</v>
      </c>
      <c r="P15" s="108">
        <v>49</v>
      </c>
      <c r="Q15" s="108">
        <v>0</v>
      </c>
      <c r="R15" s="108">
        <v>98</v>
      </c>
    </row>
    <row r="16" spans="1:18">
      <c r="A16" s="56" t="s">
        <v>1179</v>
      </c>
      <c r="B16" s="57" t="s">
        <v>1180</v>
      </c>
      <c r="C16" s="57">
        <v>6</v>
      </c>
      <c r="D16" s="57">
        <v>1</v>
      </c>
      <c r="E16" s="57">
        <v>20</v>
      </c>
      <c r="F16" s="57" t="s">
        <v>1181</v>
      </c>
      <c r="G16" s="57" t="s">
        <v>200</v>
      </c>
      <c r="H16" s="57">
        <v>44</v>
      </c>
      <c r="I16" s="58">
        <v>2.2000000000000002</v>
      </c>
      <c r="K16" s="49" t="s">
        <v>456</v>
      </c>
      <c r="L16" s="108"/>
      <c r="M16" s="108"/>
      <c r="N16" s="108"/>
      <c r="O16" s="108"/>
      <c r="P16" s="108">
        <v>0</v>
      </c>
      <c r="Q16" s="108"/>
      <c r="R16" s="108">
        <v>0</v>
      </c>
    </row>
    <row r="17" spans="1:18">
      <c r="A17" s="59" t="s">
        <v>937</v>
      </c>
      <c r="B17" s="60" t="s">
        <v>939</v>
      </c>
      <c r="C17" s="60">
        <v>6</v>
      </c>
      <c r="D17" s="60"/>
      <c r="E17" s="60">
        <v>40</v>
      </c>
      <c r="F17" s="60"/>
      <c r="G17" s="60" t="s">
        <v>943</v>
      </c>
      <c r="H17" s="60">
        <v>36</v>
      </c>
      <c r="I17" s="61">
        <v>0.9</v>
      </c>
      <c r="K17" s="49" t="s">
        <v>1179</v>
      </c>
      <c r="L17" s="108">
        <v>22</v>
      </c>
      <c r="M17" s="108"/>
      <c r="N17" s="108">
        <v>8</v>
      </c>
      <c r="O17" s="108"/>
      <c r="P17" s="108">
        <v>44</v>
      </c>
      <c r="Q17" s="108">
        <v>14</v>
      </c>
      <c r="R17" s="108">
        <v>88</v>
      </c>
    </row>
    <row r="18" spans="1:18">
      <c r="A18" s="56" t="s">
        <v>991</v>
      </c>
      <c r="B18" s="57" t="s">
        <v>993</v>
      </c>
      <c r="C18" s="57">
        <v>6</v>
      </c>
      <c r="D18" s="57">
        <v>1</v>
      </c>
      <c r="E18" s="57">
        <v>20</v>
      </c>
      <c r="F18" s="57" t="s">
        <v>995</v>
      </c>
      <c r="G18" s="57" t="s">
        <v>551</v>
      </c>
      <c r="H18" s="57">
        <v>40</v>
      </c>
      <c r="I18" s="58">
        <v>2</v>
      </c>
      <c r="K18" s="49" t="s">
        <v>937</v>
      </c>
      <c r="L18" s="108">
        <v>10</v>
      </c>
      <c r="M18" s="108"/>
      <c r="N18" s="108"/>
      <c r="O18" s="108">
        <v>26</v>
      </c>
      <c r="P18" s="108">
        <v>36</v>
      </c>
      <c r="Q18" s="108"/>
      <c r="R18" s="108">
        <v>72</v>
      </c>
    </row>
    <row r="19" spans="1:18">
      <c r="A19" s="59" t="s">
        <v>1038</v>
      </c>
      <c r="B19" s="60" t="s">
        <v>1040</v>
      </c>
      <c r="C19" s="60">
        <v>6</v>
      </c>
      <c r="D19" s="60">
        <v>1</v>
      </c>
      <c r="E19" s="60">
        <v>20</v>
      </c>
      <c r="F19" s="60" t="s">
        <v>1042</v>
      </c>
      <c r="G19" s="60" t="s">
        <v>551</v>
      </c>
      <c r="H19" s="60">
        <v>37</v>
      </c>
      <c r="I19" s="61">
        <v>1.85</v>
      </c>
      <c r="K19" s="49" t="s">
        <v>991</v>
      </c>
      <c r="L19" s="108">
        <v>22</v>
      </c>
      <c r="M19" s="108"/>
      <c r="N19" s="108">
        <v>12</v>
      </c>
      <c r="O19" s="108">
        <v>6</v>
      </c>
      <c r="P19" s="108">
        <v>40</v>
      </c>
      <c r="Q19" s="108"/>
      <c r="R19" s="108">
        <v>80</v>
      </c>
    </row>
    <row r="20" spans="1:18">
      <c r="A20" s="56" t="s">
        <v>1070</v>
      </c>
      <c r="B20" s="57" t="s">
        <v>1072</v>
      </c>
      <c r="C20" s="57">
        <v>6</v>
      </c>
      <c r="D20" s="57">
        <v>1</v>
      </c>
      <c r="E20" s="57">
        <v>20</v>
      </c>
      <c r="F20" s="57" t="s">
        <v>1074</v>
      </c>
      <c r="G20" s="57" t="s">
        <v>551</v>
      </c>
      <c r="H20" s="57">
        <v>44</v>
      </c>
      <c r="I20" s="58">
        <v>2.2000000000000002</v>
      </c>
      <c r="K20" s="49" t="s">
        <v>1038</v>
      </c>
      <c r="L20" s="108"/>
      <c r="M20" s="108">
        <v>4</v>
      </c>
      <c r="N20" s="108"/>
      <c r="O20" s="108">
        <v>6</v>
      </c>
      <c r="P20" s="108">
        <v>37</v>
      </c>
      <c r="Q20" s="108">
        <v>27</v>
      </c>
      <c r="R20" s="108">
        <v>74</v>
      </c>
    </row>
    <row r="21" spans="1:18">
      <c r="A21" s="59" t="s">
        <v>545</v>
      </c>
      <c r="B21" s="60" t="s">
        <v>1182</v>
      </c>
      <c r="C21" s="60">
        <v>6</v>
      </c>
      <c r="D21" s="60">
        <v>1</v>
      </c>
      <c r="E21" s="60">
        <v>20</v>
      </c>
      <c r="F21" s="60" t="s">
        <v>549</v>
      </c>
      <c r="G21" s="60" t="s">
        <v>551</v>
      </c>
      <c r="H21" s="60">
        <v>42</v>
      </c>
      <c r="I21" s="61">
        <v>2.1</v>
      </c>
      <c r="K21" s="49" t="s">
        <v>1070</v>
      </c>
      <c r="L21" s="108">
        <v>22</v>
      </c>
      <c r="M21" s="108"/>
      <c r="N21" s="108">
        <v>16</v>
      </c>
      <c r="O21" s="108"/>
      <c r="P21" s="108">
        <v>44</v>
      </c>
      <c r="Q21" s="108">
        <v>6</v>
      </c>
      <c r="R21" s="108">
        <v>88</v>
      </c>
    </row>
    <row r="22" spans="1:18">
      <c r="A22" s="56" t="s">
        <v>633</v>
      </c>
      <c r="B22" s="57" t="s">
        <v>634</v>
      </c>
      <c r="C22" s="57">
        <v>6</v>
      </c>
      <c r="D22" s="57">
        <v>1</v>
      </c>
      <c r="E22" s="57">
        <v>20</v>
      </c>
      <c r="F22" s="57" t="s">
        <v>637</v>
      </c>
      <c r="G22" s="57" t="s">
        <v>551</v>
      </c>
      <c r="H22" s="57">
        <v>40</v>
      </c>
      <c r="I22" s="58">
        <v>2</v>
      </c>
      <c r="K22" s="49" t="s">
        <v>1176</v>
      </c>
      <c r="L22" s="108">
        <v>9</v>
      </c>
      <c r="M22" s="108">
        <v>6</v>
      </c>
      <c r="N22" s="108">
        <v>16</v>
      </c>
      <c r="O22" s="108">
        <v>3</v>
      </c>
      <c r="P22" s="108">
        <v>40</v>
      </c>
      <c r="Q22" s="108">
        <v>6</v>
      </c>
      <c r="R22" s="108">
        <v>80</v>
      </c>
    </row>
    <row r="23" spans="1:18">
      <c r="A23" s="56" t="s">
        <v>692</v>
      </c>
      <c r="B23" s="57" t="s">
        <v>694</v>
      </c>
      <c r="C23" s="57">
        <v>6</v>
      </c>
      <c r="D23" s="57">
        <v>1</v>
      </c>
      <c r="E23" s="57">
        <v>20</v>
      </c>
      <c r="F23" s="57" t="s">
        <v>696</v>
      </c>
      <c r="G23" s="57" t="s">
        <v>551</v>
      </c>
      <c r="H23" s="57">
        <v>38</v>
      </c>
      <c r="I23" s="58">
        <v>1.9</v>
      </c>
      <c r="K23" s="49" t="s">
        <v>1183</v>
      </c>
      <c r="L23" s="108">
        <v>20</v>
      </c>
      <c r="M23" s="108"/>
      <c r="N23" s="108">
        <v>8</v>
      </c>
      <c r="O23" s="108">
        <v>2</v>
      </c>
      <c r="P23" s="108">
        <v>40</v>
      </c>
      <c r="Q23" s="108">
        <v>10</v>
      </c>
      <c r="R23" s="108">
        <v>80</v>
      </c>
    </row>
    <row r="24" spans="1:18">
      <c r="A24" s="59" t="s">
        <v>729</v>
      </c>
      <c r="B24" s="60" t="s">
        <v>1184</v>
      </c>
      <c r="C24" s="60">
        <v>6</v>
      </c>
      <c r="D24" s="60">
        <v>2</v>
      </c>
      <c r="E24" s="60">
        <v>20</v>
      </c>
      <c r="F24" s="60" t="s">
        <v>733</v>
      </c>
      <c r="G24" s="60" t="s">
        <v>551</v>
      </c>
      <c r="H24" s="60">
        <v>38</v>
      </c>
      <c r="I24" s="61">
        <v>1.9</v>
      </c>
      <c r="K24" s="49" t="s">
        <v>545</v>
      </c>
      <c r="L24" s="108">
        <v>20</v>
      </c>
      <c r="M24" s="108">
        <v>0</v>
      </c>
      <c r="N24" s="108">
        <v>13</v>
      </c>
      <c r="O24" s="108">
        <v>9</v>
      </c>
      <c r="P24" s="108">
        <v>42</v>
      </c>
      <c r="Q24" s="108">
        <v>0</v>
      </c>
      <c r="R24" s="108">
        <v>84</v>
      </c>
    </row>
    <row r="25" spans="1:18">
      <c r="A25" s="56" t="s">
        <v>770</v>
      </c>
      <c r="B25" s="57" t="s">
        <v>6</v>
      </c>
      <c r="C25" s="57">
        <v>6</v>
      </c>
      <c r="D25" s="57">
        <v>2</v>
      </c>
      <c r="E25" s="57">
        <v>20</v>
      </c>
      <c r="F25" s="57" t="s">
        <v>774</v>
      </c>
      <c r="G25" s="57" t="s">
        <v>551</v>
      </c>
      <c r="H25" s="57">
        <v>46</v>
      </c>
      <c r="I25" s="58">
        <v>2.2999999999999998</v>
      </c>
      <c r="K25" s="49" t="s">
        <v>633</v>
      </c>
      <c r="L25" s="108">
        <v>20</v>
      </c>
      <c r="M25" s="108"/>
      <c r="N25" s="108">
        <v>4</v>
      </c>
      <c r="O25" s="108">
        <v>16</v>
      </c>
      <c r="P25" s="108">
        <v>40</v>
      </c>
      <c r="Q25" s="108"/>
      <c r="R25" s="108">
        <v>80</v>
      </c>
    </row>
    <row r="26" spans="1:18">
      <c r="A26" s="59" t="s">
        <v>896</v>
      </c>
      <c r="B26" s="60" t="s">
        <v>1185</v>
      </c>
      <c r="C26" s="60">
        <v>6</v>
      </c>
      <c r="D26" s="60"/>
      <c r="E26" s="60">
        <v>20</v>
      </c>
      <c r="F26" s="60" t="s">
        <v>901</v>
      </c>
      <c r="G26" s="60" t="s">
        <v>85</v>
      </c>
      <c r="H26" s="60">
        <v>50</v>
      </c>
      <c r="I26" s="61">
        <v>2.5</v>
      </c>
      <c r="K26" s="49" t="s">
        <v>592</v>
      </c>
      <c r="L26" s="108">
        <v>22</v>
      </c>
      <c r="M26" s="108"/>
      <c r="N26" s="108">
        <v>4</v>
      </c>
      <c r="O26" s="108">
        <v>18</v>
      </c>
      <c r="P26" s="108">
        <v>44</v>
      </c>
      <c r="Q26" s="108"/>
      <c r="R26" s="108">
        <v>88</v>
      </c>
    </row>
    <row r="27" spans="1:18">
      <c r="A27" s="59" t="s">
        <v>1183</v>
      </c>
      <c r="B27" s="60" t="s">
        <v>1186</v>
      </c>
      <c r="C27" s="60"/>
      <c r="D27" s="60"/>
      <c r="E27" s="60"/>
      <c r="F27" s="60"/>
      <c r="G27" s="60"/>
      <c r="H27" s="60">
        <v>0</v>
      </c>
      <c r="I27" s="61"/>
      <c r="K27" s="49" t="s">
        <v>692</v>
      </c>
      <c r="L27" s="108">
        <v>18</v>
      </c>
      <c r="M27" s="108"/>
      <c r="N27" s="108">
        <v>16</v>
      </c>
      <c r="O27" s="108">
        <v>4</v>
      </c>
      <c r="P27" s="108">
        <v>38</v>
      </c>
      <c r="Q27" s="108"/>
      <c r="R27" s="108">
        <v>76</v>
      </c>
    </row>
    <row r="28" spans="1:18">
      <c r="A28" s="59" t="s">
        <v>143</v>
      </c>
      <c r="B28" s="60" t="s">
        <v>144</v>
      </c>
      <c r="C28" s="60"/>
      <c r="D28" s="60"/>
      <c r="E28" s="60"/>
      <c r="F28" s="60"/>
      <c r="G28" s="60" t="s">
        <v>149</v>
      </c>
      <c r="H28" s="60">
        <v>0</v>
      </c>
      <c r="I28" s="61"/>
      <c r="K28" s="49" t="s">
        <v>729</v>
      </c>
      <c r="L28" s="108">
        <v>18</v>
      </c>
      <c r="M28" s="108">
        <v>4</v>
      </c>
      <c r="N28" s="108">
        <v>8</v>
      </c>
      <c r="O28" s="108">
        <v>4</v>
      </c>
      <c r="P28" s="108">
        <v>38</v>
      </c>
      <c r="Q28" s="108">
        <v>4</v>
      </c>
      <c r="R28" s="108">
        <v>76</v>
      </c>
    </row>
    <row r="29" spans="1:18">
      <c r="A29" s="59" t="s">
        <v>592</v>
      </c>
      <c r="B29" s="60" t="s">
        <v>594</v>
      </c>
      <c r="C29" s="60"/>
      <c r="D29" s="60"/>
      <c r="E29" s="60"/>
      <c r="F29" s="60"/>
      <c r="G29" s="60"/>
      <c r="H29" s="60">
        <v>0</v>
      </c>
      <c r="I29" s="61"/>
      <c r="K29" s="49" t="s">
        <v>770</v>
      </c>
      <c r="L29" s="108">
        <v>22</v>
      </c>
      <c r="M29" s="108"/>
      <c r="N29" s="108"/>
      <c r="O29" s="108">
        <v>16</v>
      </c>
      <c r="P29" s="108">
        <v>46</v>
      </c>
      <c r="Q29" s="108">
        <v>8</v>
      </c>
      <c r="R29" s="108">
        <v>92</v>
      </c>
    </row>
    <row r="30" spans="1:18">
      <c r="A30" s="59" t="s">
        <v>807</v>
      </c>
      <c r="B30" s="60" t="s">
        <v>808</v>
      </c>
      <c r="C30" s="60"/>
      <c r="D30" s="60"/>
      <c r="E30" s="60"/>
      <c r="F30" s="60"/>
      <c r="G30" s="60"/>
      <c r="H30" s="60">
        <v>0</v>
      </c>
      <c r="I30" s="61"/>
      <c r="K30" s="49" t="s">
        <v>807</v>
      </c>
      <c r="L30" s="108">
        <v>34</v>
      </c>
      <c r="M30" s="108"/>
      <c r="N30" s="108">
        <v>4</v>
      </c>
      <c r="O30" s="108">
        <v>2</v>
      </c>
      <c r="P30" s="108">
        <v>40</v>
      </c>
      <c r="Q30" s="108"/>
      <c r="R30" s="108">
        <v>80</v>
      </c>
    </row>
    <row r="31" spans="1:18">
      <c r="A31" s="56" t="s">
        <v>856</v>
      </c>
      <c r="B31" s="57" t="s">
        <v>858</v>
      </c>
      <c r="C31" s="57"/>
      <c r="D31" s="57"/>
      <c r="E31" s="57"/>
      <c r="F31" s="57"/>
      <c r="G31" s="57" t="s">
        <v>551</v>
      </c>
      <c r="H31" s="57">
        <v>36</v>
      </c>
      <c r="I31" s="58"/>
      <c r="K31" s="49" t="s">
        <v>856</v>
      </c>
      <c r="L31" s="108">
        <v>18</v>
      </c>
      <c r="M31" s="108"/>
      <c r="N31" s="108">
        <v>2</v>
      </c>
      <c r="O31" s="108">
        <v>14</v>
      </c>
      <c r="P31" s="108">
        <v>36</v>
      </c>
      <c r="Q31" s="108">
        <v>2</v>
      </c>
      <c r="R31" s="108">
        <v>72</v>
      </c>
    </row>
    <row r="32" spans="1:18">
      <c r="K32" s="49" t="s">
        <v>896</v>
      </c>
      <c r="L32" s="108">
        <v>10</v>
      </c>
      <c r="M32" s="108"/>
      <c r="N32" s="108">
        <v>40</v>
      </c>
      <c r="O32" s="108"/>
      <c r="P32" s="108">
        <v>50</v>
      </c>
      <c r="Q32" s="108"/>
      <c r="R32" s="108">
        <v>100</v>
      </c>
    </row>
    <row r="33" spans="1:18">
      <c r="K33" s="49" t="s">
        <v>1169</v>
      </c>
      <c r="L33" s="108">
        <v>584</v>
      </c>
      <c r="M33" s="108">
        <v>49</v>
      </c>
      <c r="N33" s="108">
        <v>174</v>
      </c>
      <c r="O33" s="108">
        <v>181</v>
      </c>
      <c r="P33" s="108">
        <v>1117</v>
      </c>
      <c r="Q33" s="108">
        <v>129</v>
      </c>
      <c r="R33" s="108">
        <v>2234</v>
      </c>
    </row>
    <row r="38" spans="1:18">
      <c r="A38" s="48" t="s">
        <v>1168</v>
      </c>
      <c r="B38" t="s">
        <v>1187</v>
      </c>
      <c r="C38" t="s">
        <v>1188</v>
      </c>
    </row>
    <row r="39" spans="1:18">
      <c r="A39" s="49" t="s">
        <v>193</v>
      </c>
      <c r="B39" s="108">
        <v>2</v>
      </c>
      <c r="C39" s="108">
        <v>2</v>
      </c>
    </row>
    <row r="40" spans="1:18">
      <c r="A40" s="50" t="s">
        <v>163</v>
      </c>
      <c r="B40" s="108">
        <v>1</v>
      </c>
      <c r="C40" s="108">
        <v>1</v>
      </c>
    </row>
    <row r="41" spans="1:18">
      <c r="A41" s="50" t="s">
        <v>97</v>
      </c>
      <c r="B41" s="108">
        <v>1</v>
      </c>
      <c r="C41" s="108">
        <v>1</v>
      </c>
    </row>
    <row r="42" spans="1:18">
      <c r="A42" s="49" t="s">
        <v>1169</v>
      </c>
      <c r="B42" s="108">
        <v>2</v>
      </c>
      <c r="C42" s="108">
        <v>2</v>
      </c>
    </row>
  </sheetData>
  <autoFilter ref="A3:I31" xr:uid="{8F325232-2496-E546-9604-2F97282EED57}"/>
  <sortState xmlns:xlrd2="http://schemas.microsoft.com/office/spreadsheetml/2017/richdata2" ref="A4:I31">
    <sortCondition ref="C3:C31"/>
  </sortState>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2E9F-D97F-4514-B957-FB4B23932CC5}">
  <sheetPr codeName="Sheet27"/>
  <dimension ref="A1:M29"/>
  <sheetViews>
    <sheetView workbookViewId="0">
      <selection activeCell="C34" sqref="C34"/>
    </sheetView>
  </sheetViews>
  <sheetFormatPr defaultColWidth="8.85546875" defaultRowHeight="15"/>
  <cols>
    <col min="1" max="1" width="49" bestFit="1" customWidth="1"/>
    <col min="2" max="2" width="14.85546875" bestFit="1" customWidth="1"/>
    <col min="3" max="3" width="65.5703125" bestFit="1" customWidth="1"/>
    <col min="4" max="4" width="24.5703125" bestFit="1" customWidth="1"/>
    <col min="5" max="5" width="14.42578125" bestFit="1" customWidth="1"/>
    <col min="6" max="6" width="12.140625" bestFit="1" customWidth="1"/>
    <col min="7" max="7" width="10.140625" bestFit="1" customWidth="1"/>
    <col min="8" max="8" width="10.7109375" bestFit="1" customWidth="1"/>
    <col min="9" max="9" width="11" bestFit="1" customWidth="1"/>
    <col min="10" max="10" width="12.42578125" bestFit="1" customWidth="1"/>
    <col min="11" max="11" width="9.28515625" bestFit="1" customWidth="1"/>
    <col min="12" max="12" width="7.7109375" bestFit="1" customWidth="1"/>
    <col min="13" max="13" width="22.7109375" bestFit="1" customWidth="1"/>
  </cols>
  <sheetData>
    <row r="1" spans="1:13">
      <c r="A1" t="s">
        <v>1189</v>
      </c>
      <c r="B1" t="s">
        <v>1159</v>
      </c>
      <c r="C1" t="s">
        <v>1160</v>
      </c>
      <c r="D1" t="s">
        <v>1190</v>
      </c>
      <c r="E1" t="s">
        <v>1191</v>
      </c>
      <c r="F1" t="s">
        <v>1192</v>
      </c>
      <c r="G1" t="s">
        <v>17</v>
      </c>
      <c r="H1" t="s">
        <v>18</v>
      </c>
      <c r="I1" t="s">
        <v>19</v>
      </c>
      <c r="J1" t="s">
        <v>20</v>
      </c>
      <c r="K1" t="s">
        <v>22</v>
      </c>
      <c r="L1" t="s">
        <v>23</v>
      </c>
      <c r="M1" t="s">
        <v>499</v>
      </c>
    </row>
    <row r="2" spans="1:13">
      <c r="A2" t="s">
        <v>1193</v>
      </c>
      <c r="B2" t="s">
        <v>1176</v>
      </c>
      <c r="C2" t="s">
        <v>1177</v>
      </c>
      <c r="D2" t="s">
        <v>86</v>
      </c>
      <c r="E2" t="s">
        <v>1194</v>
      </c>
      <c r="F2" t="s">
        <v>1195</v>
      </c>
      <c r="G2">
        <v>9</v>
      </c>
      <c r="H2">
        <v>3</v>
      </c>
      <c r="I2">
        <v>16</v>
      </c>
      <c r="J2">
        <v>6</v>
      </c>
      <c r="K2">
        <v>6</v>
      </c>
      <c r="L2">
        <v>40</v>
      </c>
    </row>
    <row r="3" spans="1:13">
      <c r="A3" t="s">
        <v>1196</v>
      </c>
      <c r="B3" t="s">
        <v>1183</v>
      </c>
      <c r="C3" t="s">
        <v>1186</v>
      </c>
      <c r="D3" t="s">
        <v>86</v>
      </c>
      <c r="E3" t="s">
        <v>1197</v>
      </c>
      <c r="F3" t="s">
        <v>1195</v>
      </c>
      <c r="G3">
        <v>20</v>
      </c>
      <c r="H3">
        <v>2</v>
      </c>
      <c r="I3">
        <v>8</v>
      </c>
      <c r="J3">
        <v>10</v>
      </c>
      <c r="L3">
        <v>40</v>
      </c>
    </row>
    <row r="4" spans="1:13">
      <c r="A4" t="s">
        <v>1198</v>
      </c>
      <c r="B4" t="s">
        <v>1165</v>
      </c>
      <c r="C4" t="s">
        <v>1166</v>
      </c>
      <c r="D4" t="s">
        <v>86</v>
      </c>
      <c r="E4" t="s">
        <v>1199</v>
      </c>
      <c r="F4" t="s">
        <v>1195</v>
      </c>
      <c r="G4">
        <v>42</v>
      </c>
      <c r="L4">
        <v>42</v>
      </c>
    </row>
    <row r="5" spans="1:13">
      <c r="A5" t="s">
        <v>1198</v>
      </c>
      <c r="B5" t="s">
        <v>1172</v>
      </c>
      <c r="C5" t="s">
        <v>1200</v>
      </c>
      <c r="D5" t="s">
        <v>86</v>
      </c>
      <c r="E5" t="s">
        <v>1201</v>
      </c>
      <c r="F5" t="s">
        <v>1195</v>
      </c>
      <c r="G5">
        <v>38</v>
      </c>
      <c r="H5">
        <v>6</v>
      </c>
      <c r="I5">
        <v>0</v>
      </c>
      <c r="J5">
        <v>0</v>
      </c>
      <c r="K5">
        <v>0</v>
      </c>
      <c r="L5">
        <v>44</v>
      </c>
    </row>
    <row r="6" spans="1:13">
      <c r="A6" t="s">
        <v>1198</v>
      </c>
      <c r="B6" t="s">
        <v>1179</v>
      </c>
      <c r="C6" t="s">
        <v>1180</v>
      </c>
      <c r="D6" t="s">
        <v>86</v>
      </c>
      <c r="E6" t="s">
        <v>1202</v>
      </c>
      <c r="F6" t="s">
        <v>1195</v>
      </c>
      <c r="G6">
        <v>22</v>
      </c>
      <c r="I6">
        <v>8</v>
      </c>
      <c r="J6">
        <v>14</v>
      </c>
      <c r="L6">
        <v>44</v>
      </c>
    </row>
    <row r="7" spans="1:13">
      <c r="A7" t="s">
        <v>1203</v>
      </c>
      <c r="B7" t="s">
        <v>143</v>
      </c>
      <c r="C7" t="s">
        <v>144</v>
      </c>
      <c r="D7" t="s">
        <v>86</v>
      </c>
      <c r="E7" t="s">
        <v>1204</v>
      </c>
      <c r="F7" t="s">
        <v>1195</v>
      </c>
      <c r="G7">
        <v>34</v>
      </c>
      <c r="H7">
        <v>6</v>
      </c>
      <c r="J7">
        <v>4</v>
      </c>
      <c r="L7">
        <v>44</v>
      </c>
    </row>
    <row r="8" spans="1:13">
      <c r="A8" t="s">
        <v>1203</v>
      </c>
      <c r="B8" t="s">
        <v>193</v>
      </c>
      <c r="C8" t="s">
        <v>1283</v>
      </c>
      <c r="D8" t="s">
        <v>86</v>
      </c>
      <c r="E8" t="s">
        <v>1205</v>
      </c>
      <c r="F8" t="s">
        <v>1195</v>
      </c>
      <c r="G8">
        <v>33</v>
      </c>
      <c r="H8">
        <v>1</v>
      </c>
      <c r="I8">
        <v>6</v>
      </c>
      <c r="J8">
        <v>1</v>
      </c>
      <c r="K8">
        <v>3</v>
      </c>
      <c r="L8">
        <v>44</v>
      </c>
    </row>
    <row r="9" spans="1:13">
      <c r="A9" t="s">
        <v>1203</v>
      </c>
      <c r="B9" t="s">
        <v>289</v>
      </c>
      <c r="C9" t="s">
        <v>291</v>
      </c>
      <c r="D9" t="s">
        <v>86</v>
      </c>
      <c r="E9" t="s">
        <v>1206</v>
      </c>
      <c r="F9" t="s">
        <v>1195</v>
      </c>
      <c r="G9">
        <v>13</v>
      </c>
      <c r="H9">
        <v>0</v>
      </c>
      <c r="I9">
        <v>7</v>
      </c>
      <c r="J9">
        <v>13</v>
      </c>
      <c r="K9">
        <v>6</v>
      </c>
      <c r="L9">
        <v>39</v>
      </c>
    </row>
    <row r="10" spans="1:13">
      <c r="A10" t="s">
        <v>1203</v>
      </c>
      <c r="B10" t="s">
        <v>80</v>
      </c>
      <c r="C10" t="s">
        <v>1243</v>
      </c>
      <c r="D10" t="s">
        <v>86</v>
      </c>
      <c r="E10" t="s">
        <v>1207</v>
      </c>
      <c r="F10" t="s">
        <v>1195</v>
      </c>
      <c r="G10">
        <v>22</v>
      </c>
      <c r="H10">
        <v>5</v>
      </c>
      <c r="I10">
        <v>3</v>
      </c>
      <c r="J10">
        <v>10</v>
      </c>
      <c r="K10">
        <v>4</v>
      </c>
      <c r="L10">
        <v>44</v>
      </c>
    </row>
    <row r="11" spans="1:13">
      <c r="A11" t="s">
        <v>1203</v>
      </c>
      <c r="B11" t="s">
        <v>255</v>
      </c>
      <c r="C11" t="s">
        <v>1171</v>
      </c>
      <c r="D11" t="s">
        <v>86</v>
      </c>
      <c r="E11" t="s">
        <v>1208</v>
      </c>
      <c r="F11" t="s">
        <v>1195</v>
      </c>
      <c r="G11">
        <v>23</v>
      </c>
      <c r="J11">
        <v>17</v>
      </c>
      <c r="L11">
        <v>40</v>
      </c>
    </row>
    <row r="12" spans="1:13">
      <c r="A12" t="s">
        <v>1203</v>
      </c>
      <c r="B12" t="s">
        <v>351</v>
      </c>
      <c r="C12" t="s">
        <v>353</v>
      </c>
      <c r="D12" t="s">
        <v>86</v>
      </c>
      <c r="E12" t="s">
        <v>1209</v>
      </c>
      <c r="F12" t="s">
        <v>1195</v>
      </c>
      <c r="G12">
        <v>34</v>
      </c>
      <c r="H12">
        <v>12</v>
      </c>
      <c r="J12">
        <v>2</v>
      </c>
      <c r="L12">
        <v>48</v>
      </c>
    </row>
    <row r="13" spans="1:13">
      <c r="A13" t="s">
        <v>1203</v>
      </c>
      <c r="B13" t="s">
        <v>491</v>
      </c>
      <c r="C13" t="s">
        <v>492</v>
      </c>
      <c r="D13" t="s">
        <v>86</v>
      </c>
      <c r="E13" t="s">
        <v>1210</v>
      </c>
      <c r="F13" t="s">
        <v>1195</v>
      </c>
      <c r="G13">
        <v>16</v>
      </c>
      <c r="H13">
        <v>5</v>
      </c>
      <c r="I13">
        <v>6</v>
      </c>
      <c r="J13">
        <v>7</v>
      </c>
      <c r="L13">
        <v>40</v>
      </c>
      <c r="M13">
        <v>6</v>
      </c>
    </row>
    <row r="14" spans="1:13">
      <c r="A14" t="s">
        <v>1203</v>
      </c>
      <c r="B14" t="s">
        <v>382</v>
      </c>
      <c r="C14" t="s">
        <v>384</v>
      </c>
      <c r="D14" t="s">
        <v>86</v>
      </c>
      <c r="E14" t="s">
        <v>1211</v>
      </c>
      <c r="F14" t="s">
        <v>1195</v>
      </c>
      <c r="G14">
        <v>22</v>
      </c>
      <c r="H14">
        <v>12</v>
      </c>
      <c r="I14">
        <v>0</v>
      </c>
      <c r="J14">
        <v>0</v>
      </c>
      <c r="K14">
        <v>6</v>
      </c>
      <c r="L14">
        <v>40</v>
      </c>
    </row>
    <row r="15" spans="1:13">
      <c r="A15" t="s">
        <v>1203</v>
      </c>
      <c r="B15" t="s">
        <v>410</v>
      </c>
      <c r="C15" t="s">
        <v>412</v>
      </c>
      <c r="D15" t="s">
        <v>86</v>
      </c>
      <c r="E15" t="s">
        <v>1212</v>
      </c>
      <c r="F15" t="s">
        <v>1195</v>
      </c>
      <c r="G15">
        <v>22</v>
      </c>
      <c r="H15">
        <v>14</v>
      </c>
      <c r="I15">
        <v>2</v>
      </c>
      <c r="J15">
        <v>0</v>
      </c>
      <c r="K15">
        <v>11</v>
      </c>
      <c r="L15">
        <v>49</v>
      </c>
    </row>
    <row r="16" spans="1:13">
      <c r="A16" t="s">
        <v>1203</v>
      </c>
      <c r="B16" t="s">
        <v>456</v>
      </c>
      <c r="C16" t="s">
        <v>1175</v>
      </c>
      <c r="D16" t="s">
        <v>86</v>
      </c>
      <c r="E16" t="s">
        <v>1213</v>
      </c>
      <c r="F16" t="s">
        <v>1195</v>
      </c>
      <c r="G16">
        <v>24</v>
      </c>
      <c r="H16">
        <v>5</v>
      </c>
      <c r="I16">
        <v>5</v>
      </c>
      <c r="K16">
        <v>1</v>
      </c>
      <c r="L16">
        <v>35</v>
      </c>
    </row>
    <row r="17" spans="1:12">
      <c r="A17" t="s">
        <v>1203</v>
      </c>
      <c r="B17" t="s">
        <v>937</v>
      </c>
      <c r="C17" t="s">
        <v>939</v>
      </c>
      <c r="D17" t="s">
        <v>86</v>
      </c>
      <c r="E17" t="s">
        <v>1214</v>
      </c>
      <c r="F17" t="s">
        <v>1195</v>
      </c>
      <c r="G17">
        <v>12</v>
      </c>
      <c r="H17">
        <v>10</v>
      </c>
      <c r="L17">
        <v>22</v>
      </c>
    </row>
    <row r="18" spans="1:12">
      <c r="A18" t="s">
        <v>1203</v>
      </c>
      <c r="B18" t="s">
        <v>991</v>
      </c>
      <c r="C18" t="s">
        <v>993</v>
      </c>
      <c r="D18" t="s">
        <v>86</v>
      </c>
      <c r="E18" t="s">
        <v>1215</v>
      </c>
      <c r="F18" t="s">
        <v>1195</v>
      </c>
      <c r="G18">
        <v>22</v>
      </c>
      <c r="H18">
        <v>6</v>
      </c>
      <c r="I18">
        <v>12</v>
      </c>
      <c r="L18">
        <v>40</v>
      </c>
    </row>
    <row r="19" spans="1:12">
      <c r="A19" t="s">
        <v>1203</v>
      </c>
      <c r="B19" t="s">
        <v>1038</v>
      </c>
      <c r="C19" t="s">
        <v>1040</v>
      </c>
      <c r="D19" t="s">
        <v>86</v>
      </c>
      <c r="E19" t="s">
        <v>1216</v>
      </c>
      <c r="F19" t="s">
        <v>1195</v>
      </c>
      <c r="H19">
        <v>6</v>
      </c>
      <c r="J19">
        <v>27</v>
      </c>
      <c r="K19">
        <v>12</v>
      </c>
      <c r="L19">
        <v>45</v>
      </c>
    </row>
    <row r="20" spans="1:12">
      <c r="A20" t="s">
        <v>1203</v>
      </c>
      <c r="B20" t="s">
        <v>1070</v>
      </c>
      <c r="C20" t="s">
        <v>1072</v>
      </c>
      <c r="D20" t="s">
        <v>86</v>
      </c>
      <c r="E20" t="s">
        <v>1217</v>
      </c>
      <c r="F20" t="s">
        <v>1195</v>
      </c>
      <c r="G20">
        <v>22</v>
      </c>
      <c r="I20">
        <v>16</v>
      </c>
      <c r="J20">
        <v>6</v>
      </c>
      <c r="L20">
        <v>44</v>
      </c>
    </row>
    <row r="21" spans="1:12">
      <c r="A21" t="s">
        <v>1203</v>
      </c>
      <c r="B21" t="s">
        <v>545</v>
      </c>
      <c r="C21" t="s">
        <v>1182</v>
      </c>
      <c r="D21" t="s">
        <v>86</v>
      </c>
      <c r="E21" t="s">
        <v>1218</v>
      </c>
      <c r="F21" t="s">
        <v>1195</v>
      </c>
      <c r="G21">
        <v>20</v>
      </c>
      <c r="H21">
        <v>11</v>
      </c>
      <c r="I21">
        <v>11</v>
      </c>
      <c r="J21">
        <v>0</v>
      </c>
      <c r="K21">
        <v>0</v>
      </c>
      <c r="L21">
        <v>42</v>
      </c>
    </row>
    <row r="22" spans="1:12">
      <c r="A22" t="s">
        <v>1203</v>
      </c>
      <c r="B22" t="s">
        <v>633</v>
      </c>
      <c r="C22" t="s">
        <v>634</v>
      </c>
      <c r="D22" t="s">
        <v>86</v>
      </c>
      <c r="E22" t="s">
        <v>1219</v>
      </c>
      <c r="F22" t="s">
        <v>1195</v>
      </c>
      <c r="G22">
        <v>20</v>
      </c>
      <c r="H22">
        <v>20</v>
      </c>
      <c r="I22">
        <v>4</v>
      </c>
      <c r="K22">
        <v>11</v>
      </c>
      <c r="L22">
        <v>55</v>
      </c>
    </row>
    <row r="23" spans="1:12">
      <c r="A23" t="s">
        <v>1203</v>
      </c>
      <c r="B23" t="s">
        <v>592</v>
      </c>
      <c r="C23" t="s">
        <v>594</v>
      </c>
      <c r="D23" t="s">
        <v>86</v>
      </c>
      <c r="E23" t="s">
        <v>1220</v>
      </c>
      <c r="F23" t="s">
        <v>1195</v>
      </c>
      <c r="G23">
        <v>22</v>
      </c>
      <c r="H23">
        <v>18</v>
      </c>
      <c r="I23">
        <v>4</v>
      </c>
      <c r="L23">
        <v>44</v>
      </c>
    </row>
    <row r="24" spans="1:12">
      <c r="A24" t="s">
        <v>1203</v>
      </c>
      <c r="B24" t="s">
        <v>692</v>
      </c>
      <c r="C24" t="s">
        <v>694</v>
      </c>
      <c r="D24" t="s">
        <v>86</v>
      </c>
      <c r="E24" t="s">
        <v>1221</v>
      </c>
      <c r="F24" t="s">
        <v>1195</v>
      </c>
      <c r="G24">
        <v>20</v>
      </c>
      <c r="H24">
        <v>4</v>
      </c>
      <c r="I24">
        <v>16</v>
      </c>
      <c r="L24">
        <v>40</v>
      </c>
    </row>
    <row r="25" spans="1:12">
      <c r="A25" t="s">
        <v>1203</v>
      </c>
      <c r="B25" t="s">
        <v>729</v>
      </c>
      <c r="C25" t="s">
        <v>1184</v>
      </c>
      <c r="D25" t="s">
        <v>86</v>
      </c>
      <c r="E25" t="s">
        <v>1222</v>
      </c>
      <c r="F25" t="s">
        <v>1195</v>
      </c>
      <c r="G25">
        <v>22</v>
      </c>
      <c r="H25">
        <v>11</v>
      </c>
      <c r="I25">
        <v>6</v>
      </c>
      <c r="J25">
        <v>10</v>
      </c>
      <c r="K25">
        <v>0</v>
      </c>
      <c r="L25">
        <v>49</v>
      </c>
    </row>
    <row r="26" spans="1:12">
      <c r="A26" t="s">
        <v>1203</v>
      </c>
      <c r="B26" t="s">
        <v>770</v>
      </c>
      <c r="C26" t="s">
        <v>1387</v>
      </c>
      <c r="D26" t="s">
        <v>86</v>
      </c>
      <c r="E26" t="s">
        <v>1223</v>
      </c>
      <c r="F26" t="s">
        <v>1195</v>
      </c>
      <c r="G26">
        <v>22</v>
      </c>
      <c r="H26">
        <v>16</v>
      </c>
      <c r="J26">
        <v>8</v>
      </c>
      <c r="L26">
        <v>46</v>
      </c>
    </row>
    <row r="27" spans="1:12">
      <c r="A27" t="s">
        <v>1203</v>
      </c>
      <c r="B27" t="s">
        <v>807</v>
      </c>
      <c r="C27" t="s">
        <v>808</v>
      </c>
      <c r="D27" t="s">
        <v>86</v>
      </c>
      <c r="E27" t="s">
        <v>1224</v>
      </c>
      <c r="F27" t="s">
        <v>1195</v>
      </c>
      <c r="G27">
        <v>31</v>
      </c>
      <c r="H27">
        <v>5</v>
      </c>
      <c r="I27">
        <v>4</v>
      </c>
      <c r="L27">
        <v>40</v>
      </c>
    </row>
    <row r="28" spans="1:12">
      <c r="A28" t="s">
        <v>1203</v>
      </c>
      <c r="B28" t="s">
        <v>856</v>
      </c>
      <c r="C28" t="s">
        <v>858</v>
      </c>
      <c r="D28" t="s">
        <v>86</v>
      </c>
      <c r="E28" t="s">
        <v>1225</v>
      </c>
      <c r="F28" t="s">
        <v>1195</v>
      </c>
      <c r="G28">
        <v>20</v>
      </c>
      <c r="H28">
        <v>14</v>
      </c>
      <c r="I28">
        <v>2</v>
      </c>
      <c r="J28">
        <v>6</v>
      </c>
      <c r="L28">
        <v>42</v>
      </c>
    </row>
    <row r="29" spans="1:12">
      <c r="A29" t="s">
        <v>1203</v>
      </c>
      <c r="B29" t="s">
        <v>896</v>
      </c>
      <c r="C29" t="s">
        <v>1185</v>
      </c>
      <c r="D29" t="s">
        <v>86</v>
      </c>
      <c r="E29" t="s">
        <v>1226</v>
      </c>
      <c r="F29" t="s">
        <v>1195</v>
      </c>
      <c r="G29">
        <v>10</v>
      </c>
      <c r="I29">
        <v>40</v>
      </c>
      <c r="L29">
        <v>50</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C1B7-5EA4-44E1-97D5-BF4961B7B7F4}">
  <sheetPr codeName="Sheet28"/>
  <dimension ref="A1:E65"/>
  <sheetViews>
    <sheetView workbookViewId="0">
      <selection activeCell="B23" sqref="B23"/>
    </sheetView>
  </sheetViews>
  <sheetFormatPr defaultColWidth="8.85546875" defaultRowHeight="15"/>
  <cols>
    <col min="1" max="1" width="42.42578125" bestFit="1" customWidth="1"/>
    <col min="2" max="2" width="38" bestFit="1" customWidth="1"/>
    <col min="3" max="3" width="81.140625" bestFit="1" customWidth="1"/>
    <col min="4" max="4" width="16.140625" bestFit="1" customWidth="1"/>
    <col min="5" max="5" width="11" bestFit="1" customWidth="1"/>
  </cols>
  <sheetData>
    <row r="1" spans="1:5">
      <c r="A1" t="s">
        <v>1115</v>
      </c>
      <c r="B1" t="s">
        <v>1116</v>
      </c>
      <c r="C1" t="s">
        <v>1227</v>
      </c>
      <c r="D1" t="s">
        <v>1228</v>
      </c>
      <c r="E1" t="s">
        <v>1229</v>
      </c>
    </row>
    <row r="2" spans="1:5">
      <c r="A2" t="s">
        <v>53</v>
      </c>
      <c r="B2" t="s">
        <v>167</v>
      </c>
      <c r="C2" t="s">
        <v>1397</v>
      </c>
      <c r="D2">
        <v>12</v>
      </c>
      <c r="E2" t="b">
        <v>1</v>
      </c>
    </row>
    <row r="3" spans="1:5">
      <c r="A3" t="s">
        <v>53</v>
      </c>
      <c r="B3" t="s">
        <v>54</v>
      </c>
      <c r="C3" t="s">
        <v>1230</v>
      </c>
      <c r="D3">
        <v>6</v>
      </c>
      <c r="E3" t="b">
        <v>1</v>
      </c>
    </row>
    <row r="4" spans="1:5">
      <c r="A4" t="s">
        <v>53</v>
      </c>
      <c r="B4" t="s">
        <v>567</v>
      </c>
      <c r="C4" t="s">
        <v>1402</v>
      </c>
      <c r="D4">
        <v>2</v>
      </c>
      <c r="E4" t="b">
        <v>1</v>
      </c>
    </row>
    <row r="5" spans="1:5">
      <c r="A5" t="s">
        <v>53</v>
      </c>
      <c r="B5" t="s">
        <v>217</v>
      </c>
      <c r="C5" t="s">
        <v>1403</v>
      </c>
      <c r="D5">
        <v>6</v>
      </c>
      <c r="E5" t="b">
        <v>1</v>
      </c>
    </row>
    <row r="6" spans="1:5">
      <c r="A6" t="s">
        <v>53</v>
      </c>
      <c r="B6" t="s">
        <v>1015</v>
      </c>
      <c r="C6" t="s">
        <v>1231</v>
      </c>
      <c r="D6">
        <v>2</v>
      </c>
      <c r="E6" t="b">
        <v>1</v>
      </c>
    </row>
    <row r="7" spans="1:5">
      <c r="A7" t="s">
        <v>53</v>
      </c>
      <c r="B7" t="s">
        <v>968</v>
      </c>
      <c r="C7" t="s">
        <v>1232</v>
      </c>
      <c r="D7">
        <v>2</v>
      </c>
      <c r="E7" t="b">
        <v>1</v>
      </c>
    </row>
    <row r="8" spans="1:5">
      <c r="A8" t="s">
        <v>55</v>
      </c>
      <c r="B8" t="s">
        <v>56</v>
      </c>
      <c r="C8" t="s">
        <v>1391</v>
      </c>
      <c r="D8">
        <v>18</v>
      </c>
      <c r="E8" t="b">
        <v>1</v>
      </c>
    </row>
    <row r="9" spans="1:5">
      <c r="A9" t="s">
        <v>55</v>
      </c>
      <c r="B9" t="s">
        <v>104</v>
      </c>
      <c r="C9" t="s">
        <v>1235</v>
      </c>
      <c r="D9">
        <v>5</v>
      </c>
      <c r="E9" t="b">
        <v>1</v>
      </c>
    </row>
    <row r="10" spans="1:5">
      <c r="A10" t="s">
        <v>55</v>
      </c>
      <c r="B10" t="s">
        <v>216</v>
      </c>
      <c r="C10" t="s">
        <v>1404</v>
      </c>
      <c r="D10">
        <v>3</v>
      </c>
      <c r="E10" t="b">
        <v>1</v>
      </c>
    </row>
    <row r="11" spans="1:5">
      <c r="A11" t="s">
        <v>55</v>
      </c>
      <c r="B11" t="s">
        <v>314</v>
      </c>
      <c r="C11" t="s">
        <v>1405</v>
      </c>
      <c r="D11">
        <v>2</v>
      </c>
      <c r="E11" t="b">
        <v>1</v>
      </c>
    </row>
    <row r="12" spans="1:5">
      <c r="A12" t="s">
        <v>55</v>
      </c>
      <c r="B12" t="s">
        <v>372</v>
      </c>
      <c r="C12" t="s">
        <v>1233</v>
      </c>
      <c r="D12">
        <v>5</v>
      </c>
      <c r="E12" t="b">
        <v>1</v>
      </c>
    </row>
    <row r="13" spans="1:5">
      <c r="A13" t="s">
        <v>55</v>
      </c>
      <c r="B13" t="s">
        <v>510</v>
      </c>
      <c r="C13" t="s">
        <v>1234</v>
      </c>
      <c r="D13">
        <v>2</v>
      </c>
      <c r="E13" t="b">
        <v>1</v>
      </c>
    </row>
    <row r="14" spans="1:5">
      <c r="A14" t="s">
        <v>106</v>
      </c>
      <c r="B14" t="s">
        <v>107</v>
      </c>
      <c r="C14" t="s">
        <v>1236</v>
      </c>
      <c r="D14">
        <v>3</v>
      </c>
      <c r="E14" t="b">
        <v>1</v>
      </c>
    </row>
    <row r="15" spans="1:5">
      <c r="A15" t="s">
        <v>106</v>
      </c>
      <c r="B15" t="s">
        <v>273</v>
      </c>
      <c r="C15" t="s">
        <v>1401</v>
      </c>
      <c r="D15">
        <v>7</v>
      </c>
      <c r="E15" t="b">
        <v>1</v>
      </c>
    </row>
    <row r="16" spans="1:5">
      <c r="A16" t="s">
        <v>106</v>
      </c>
      <c r="B16" t="s">
        <v>318</v>
      </c>
      <c r="C16" t="s">
        <v>1238</v>
      </c>
      <c r="D16">
        <v>3</v>
      </c>
      <c r="E16" t="b">
        <v>1</v>
      </c>
    </row>
    <row r="17" spans="1:5">
      <c r="A17" t="s">
        <v>106</v>
      </c>
      <c r="B17" t="s">
        <v>319</v>
      </c>
      <c r="C17" t="s">
        <v>1237</v>
      </c>
      <c r="D17">
        <v>2</v>
      </c>
      <c r="E17" t="b">
        <v>1</v>
      </c>
    </row>
    <row r="18" spans="1:5">
      <c r="A18" t="s">
        <v>106</v>
      </c>
      <c r="B18" t="s">
        <v>1150</v>
      </c>
      <c r="C18" t="s">
        <v>1177</v>
      </c>
      <c r="D18">
        <v>1</v>
      </c>
      <c r="E18" t="b">
        <v>1</v>
      </c>
    </row>
    <row r="19" spans="1:5">
      <c r="A19" t="s">
        <v>106</v>
      </c>
      <c r="B19" t="s">
        <v>1151</v>
      </c>
      <c r="C19" t="s">
        <v>1177</v>
      </c>
      <c r="D19">
        <v>1</v>
      </c>
      <c r="E19" t="b">
        <v>1</v>
      </c>
    </row>
    <row r="20" spans="1:5">
      <c r="A20" t="s">
        <v>106</v>
      </c>
      <c r="B20" t="s">
        <v>1058</v>
      </c>
      <c r="C20" t="s">
        <v>1040</v>
      </c>
      <c r="D20">
        <v>1</v>
      </c>
      <c r="E20" t="b">
        <v>1</v>
      </c>
    </row>
    <row r="21" spans="1:5">
      <c r="A21" t="s">
        <v>106</v>
      </c>
      <c r="B21" t="s">
        <v>1152</v>
      </c>
      <c r="C21" t="s">
        <v>1177</v>
      </c>
      <c r="D21">
        <v>1</v>
      </c>
      <c r="E21" t="b">
        <v>1</v>
      </c>
    </row>
    <row r="22" spans="1:5">
      <c r="A22" t="s">
        <v>106</v>
      </c>
      <c r="B22" t="s">
        <v>1149</v>
      </c>
      <c r="D22">
        <v>0</v>
      </c>
      <c r="E22" t="b">
        <v>0</v>
      </c>
    </row>
    <row r="23" spans="1:5">
      <c r="A23" t="s">
        <v>315</v>
      </c>
      <c r="B23" t="s">
        <v>316</v>
      </c>
      <c r="C23" t="s">
        <v>1406</v>
      </c>
      <c r="D23">
        <v>3</v>
      </c>
      <c r="E23" t="b">
        <v>1</v>
      </c>
    </row>
    <row r="24" spans="1:5">
      <c r="A24" t="s">
        <v>315</v>
      </c>
      <c r="B24" t="s">
        <v>1145</v>
      </c>
      <c r="C24" t="s">
        <v>1200</v>
      </c>
      <c r="D24">
        <v>1</v>
      </c>
      <c r="E24" t="b">
        <v>1</v>
      </c>
    </row>
    <row r="25" spans="1:5">
      <c r="A25" t="s">
        <v>315</v>
      </c>
      <c r="B25" t="s">
        <v>569</v>
      </c>
      <c r="C25" t="s">
        <v>1411</v>
      </c>
      <c r="D25">
        <v>9</v>
      </c>
      <c r="E25" t="b">
        <v>1</v>
      </c>
    </row>
    <row r="26" spans="1:5">
      <c r="A26" t="s">
        <v>315</v>
      </c>
      <c r="B26" t="s">
        <v>1146</v>
      </c>
      <c r="C26" t="s">
        <v>1239</v>
      </c>
      <c r="D26">
        <v>3</v>
      </c>
      <c r="E26" t="b">
        <v>1</v>
      </c>
    </row>
    <row r="27" spans="1:5">
      <c r="A27" t="s">
        <v>315</v>
      </c>
      <c r="B27" t="s">
        <v>1147</v>
      </c>
      <c r="C27" t="s">
        <v>1412</v>
      </c>
      <c r="D27">
        <v>2</v>
      </c>
      <c r="E27" t="b">
        <v>1</v>
      </c>
    </row>
    <row r="28" spans="1:5">
      <c r="A28" t="s">
        <v>315</v>
      </c>
      <c r="B28" t="s">
        <v>1148</v>
      </c>
      <c r="C28" t="s">
        <v>1200</v>
      </c>
      <c r="D28">
        <v>1</v>
      </c>
      <c r="E28" t="b">
        <v>1</v>
      </c>
    </row>
    <row r="29" spans="1:5">
      <c r="A29" t="s">
        <v>433</v>
      </c>
      <c r="B29" t="s">
        <v>434</v>
      </c>
      <c r="C29" t="s">
        <v>1409</v>
      </c>
      <c r="D29">
        <v>3</v>
      </c>
      <c r="E29" t="b">
        <v>1</v>
      </c>
    </row>
    <row r="30" spans="1:5">
      <c r="A30" t="s">
        <v>433</v>
      </c>
      <c r="B30" t="s">
        <v>707</v>
      </c>
      <c r="C30" t="s">
        <v>1413</v>
      </c>
      <c r="D30">
        <v>3</v>
      </c>
      <c r="E30" t="b">
        <v>1</v>
      </c>
    </row>
    <row r="31" spans="1:5">
      <c r="A31" t="s">
        <v>433</v>
      </c>
      <c r="B31" t="s">
        <v>915</v>
      </c>
      <c r="C31" t="s">
        <v>1240</v>
      </c>
      <c r="D31">
        <v>2</v>
      </c>
      <c r="E31" t="b">
        <v>1</v>
      </c>
    </row>
    <row r="32" spans="1:5">
      <c r="A32" t="s">
        <v>433</v>
      </c>
      <c r="B32" t="s">
        <v>916</v>
      </c>
      <c r="C32" t="s">
        <v>1241</v>
      </c>
      <c r="D32">
        <v>3</v>
      </c>
      <c r="E32" t="b">
        <v>1</v>
      </c>
    </row>
    <row r="33" spans="1:5">
      <c r="A33" t="s">
        <v>433</v>
      </c>
      <c r="B33" t="s">
        <v>917</v>
      </c>
      <c r="C33" t="s">
        <v>1240</v>
      </c>
      <c r="D33">
        <v>2</v>
      </c>
      <c r="E33" t="b">
        <v>1</v>
      </c>
    </row>
    <row r="34" spans="1:5">
      <c r="A34" t="s">
        <v>433</v>
      </c>
      <c r="B34" t="s">
        <v>1155</v>
      </c>
      <c r="D34">
        <v>0</v>
      </c>
      <c r="E34" t="b">
        <v>0</v>
      </c>
    </row>
    <row r="35" spans="1:5">
      <c r="A35" t="s">
        <v>433</v>
      </c>
      <c r="B35" t="s">
        <v>1156</v>
      </c>
      <c r="C35" t="s">
        <v>1177</v>
      </c>
      <c r="D35">
        <v>1</v>
      </c>
      <c r="E35" t="b">
        <v>1</v>
      </c>
    </row>
    <row r="36" spans="1:5">
      <c r="A36" t="s">
        <v>50</v>
      </c>
      <c r="B36" t="s">
        <v>214</v>
      </c>
      <c r="C36" t="s">
        <v>1388</v>
      </c>
      <c r="D36">
        <v>15</v>
      </c>
      <c r="E36" t="b">
        <v>1</v>
      </c>
    </row>
    <row r="37" spans="1:5">
      <c r="A37" t="s">
        <v>50</v>
      </c>
      <c r="B37" t="s">
        <v>52</v>
      </c>
      <c r="C37" t="s">
        <v>1389</v>
      </c>
      <c r="D37">
        <v>11</v>
      </c>
      <c r="E37" t="b">
        <v>1</v>
      </c>
    </row>
    <row r="38" spans="1:5">
      <c r="A38" t="s">
        <v>50</v>
      </c>
      <c r="B38" t="s">
        <v>51</v>
      </c>
      <c r="C38" t="s">
        <v>1390</v>
      </c>
      <c r="D38">
        <v>8</v>
      </c>
      <c r="E38" t="b">
        <v>1</v>
      </c>
    </row>
    <row r="39" spans="1:5">
      <c r="A39" t="s">
        <v>50</v>
      </c>
      <c r="B39" t="s">
        <v>317</v>
      </c>
      <c r="C39" t="s">
        <v>1392</v>
      </c>
      <c r="D39">
        <v>9</v>
      </c>
      <c r="E39" t="b">
        <v>1</v>
      </c>
    </row>
    <row r="40" spans="1:5">
      <c r="A40" t="s">
        <v>50</v>
      </c>
      <c r="B40" t="s">
        <v>606</v>
      </c>
      <c r="C40" t="s">
        <v>1393</v>
      </c>
      <c r="D40">
        <v>8</v>
      </c>
      <c r="E40" t="b">
        <v>1</v>
      </c>
    </row>
    <row r="41" spans="1:5">
      <c r="A41" t="s">
        <v>50</v>
      </c>
      <c r="B41" t="s">
        <v>509</v>
      </c>
      <c r="C41" t="s">
        <v>1394</v>
      </c>
      <c r="D41">
        <v>6</v>
      </c>
      <c r="E41" t="b">
        <v>1</v>
      </c>
    </row>
    <row r="42" spans="1:5">
      <c r="A42" t="s">
        <v>100</v>
      </c>
      <c r="B42" t="s">
        <v>101</v>
      </c>
      <c r="C42" t="s">
        <v>1242</v>
      </c>
      <c r="D42">
        <v>7</v>
      </c>
      <c r="E42" t="b">
        <v>1</v>
      </c>
    </row>
    <row r="43" spans="1:5">
      <c r="A43" t="s">
        <v>100</v>
      </c>
      <c r="B43" t="s">
        <v>105</v>
      </c>
      <c r="C43" t="s">
        <v>1243</v>
      </c>
      <c r="D43">
        <v>1</v>
      </c>
      <c r="E43" t="b">
        <v>1</v>
      </c>
    </row>
    <row r="44" spans="1:5">
      <c r="A44" t="s">
        <v>100</v>
      </c>
      <c r="B44" t="s">
        <v>396</v>
      </c>
      <c r="C44" t="s">
        <v>1244</v>
      </c>
      <c r="D44">
        <v>2</v>
      </c>
      <c r="E44" t="b">
        <v>1</v>
      </c>
    </row>
    <row r="45" spans="1:5">
      <c r="A45" t="s">
        <v>100</v>
      </c>
      <c r="B45" t="s">
        <v>1141</v>
      </c>
      <c r="D45">
        <v>0</v>
      </c>
      <c r="E45" t="b">
        <v>0</v>
      </c>
    </row>
    <row r="46" spans="1:5">
      <c r="A46" t="s">
        <v>100</v>
      </c>
      <c r="B46" t="s">
        <v>1142</v>
      </c>
      <c r="D46">
        <v>0</v>
      </c>
      <c r="E46" t="b">
        <v>0</v>
      </c>
    </row>
    <row r="47" spans="1:5">
      <c r="A47" t="s">
        <v>100</v>
      </c>
      <c r="B47" t="s">
        <v>1143</v>
      </c>
      <c r="D47">
        <v>0</v>
      </c>
      <c r="E47" t="b">
        <v>0</v>
      </c>
    </row>
    <row r="48" spans="1:5">
      <c r="A48" t="s">
        <v>100</v>
      </c>
      <c r="B48" t="s">
        <v>1144</v>
      </c>
      <c r="D48">
        <v>0</v>
      </c>
      <c r="E48" t="b">
        <v>0</v>
      </c>
    </row>
    <row r="49" spans="1:5">
      <c r="A49" t="s">
        <v>57</v>
      </c>
      <c r="B49" t="s">
        <v>706</v>
      </c>
      <c r="C49" t="s">
        <v>1395</v>
      </c>
      <c r="D49">
        <v>3</v>
      </c>
      <c r="E49" t="b">
        <v>1</v>
      </c>
    </row>
    <row r="50" spans="1:5">
      <c r="A50" t="s">
        <v>57</v>
      </c>
      <c r="B50" t="s">
        <v>215</v>
      </c>
      <c r="C50" t="s">
        <v>1396</v>
      </c>
      <c r="D50">
        <v>4</v>
      </c>
      <c r="E50" t="b">
        <v>1</v>
      </c>
    </row>
    <row r="51" spans="1:5">
      <c r="A51" t="s">
        <v>57</v>
      </c>
      <c r="B51" t="s">
        <v>78</v>
      </c>
      <c r="C51" t="s">
        <v>1245</v>
      </c>
      <c r="D51">
        <v>6</v>
      </c>
      <c r="E51" t="b">
        <v>1</v>
      </c>
    </row>
    <row r="52" spans="1:5">
      <c r="A52" t="s">
        <v>57</v>
      </c>
      <c r="B52" t="s">
        <v>58</v>
      </c>
      <c r="C52" t="s">
        <v>1246</v>
      </c>
      <c r="D52">
        <v>7</v>
      </c>
      <c r="E52" t="b">
        <v>1</v>
      </c>
    </row>
    <row r="53" spans="1:5">
      <c r="A53" t="s">
        <v>57</v>
      </c>
      <c r="B53" t="s">
        <v>832</v>
      </c>
      <c r="C53" t="s">
        <v>1200</v>
      </c>
      <c r="D53">
        <v>1</v>
      </c>
      <c r="E53" t="b">
        <v>1</v>
      </c>
    </row>
    <row r="54" spans="1:5">
      <c r="A54" t="s">
        <v>57</v>
      </c>
      <c r="B54" t="s">
        <v>967</v>
      </c>
      <c r="C54" t="s">
        <v>1399</v>
      </c>
      <c r="D54">
        <v>2</v>
      </c>
      <c r="E54" t="b">
        <v>1</v>
      </c>
    </row>
    <row r="55" spans="1:5">
      <c r="A55" t="s">
        <v>168</v>
      </c>
      <c r="B55" t="s">
        <v>272</v>
      </c>
      <c r="C55" t="s">
        <v>1398</v>
      </c>
      <c r="D55">
        <v>6</v>
      </c>
      <c r="E55" t="b">
        <v>1</v>
      </c>
    </row>
    <row r="56" spans="1:5">
      <c r="A56" t="s">
        <v>168</v>
      </c>
      <c r="B56" t="s">
        <v>169</v>
      </c>
      <c r="C56" t="s">
        <v>1400</v>
      </c>
      <c r="D56">
        <v>13</v>
      </c>
      <c r="E56" t="b">
        <v>1</v>
      </c>
    </row>
    <row r="57" spans="1:5">
      <c r="A57" t="s">
        <v>168</v>
      </c>
      <c r="B57" t="s">
        <v>607</v>
      </c>
      <c r="C57" t="s">
        <v>594</v>
      </c>
      <c r="D57">
        <v>1</v>
      </c>
      <c r="E57" t="b">
        <v>1</v>
      </c>
    </row>
    <row r="58" spans="1:5">
      <c r="A58" t="s">
        <v>168</v>
      </c>
      <c r="B58" t="s">
        <v>511</v>
      </c>
      <c r="C58" t="s">
        <v>1407</v>
      </c>
      <c r="D58">
        <v>8</v>
      </c>
      <c r="E58" t="b">
        <v>1</v>
      </c>
    </row>
    <row r="59" spans="1:5">
      <c r="A59" t="s">
        <v>168</v>
      </c>
      <c r="B59" t="s">
        <v>397</v>
      </c>
      <c r="C59" t="s">
        <v>1408</v>
      </c>
      <c r="D59">
        <v>4</v>
      </c>
      <c r="E59" t="b">
        <v>1</v>
      </c>
    </row>
    <row r="60" spans="1:5">
      <c r="A60" t="s">
        <v>168</v>
      </c>
      <c r="B60" t="s">
        <v>833</v>
      </c>
      <c r="D60">
        <v>0</v>
      </c>
      <c r="E60" t="b">
        <v>0</v>
      </c>
    </row>
    <row r="61" spans="1:5">
      <c r="A61" t="s">
        <v>102</v>
      </c>
      <c r="B61" t="s">
        <v>103</v>
      </c>
      <c r="C61" t="s">
        <v>1236</v>
      </c>
      <c r="D61">
        <v>3</v>
      </c>
      <c r="E61" t="b">
        <v>1</v>
      </c>
    </row>
    <row r="62" spans="1:5">
      <c r="A62" t="s">
        <v>102</v>
      </c>
      <c r="B62" t="s">
        <v>568</v>
      </c>
      <c r="C62" t="s">
        <v>1410</v>
      </c>
      <c r="D62">
        <v>3</v>
      </c>
      <c r="E62" t="b">
        <v>1</v>
      </c>
    </row>
    <row r="63" spans="1:5">
      <c r="A63" t="s">
        <v>102</v>
      </c>
      <c r="B63" t="s">
        <v>1153</v>
      </c>
      <c r="C63" t="s">
        <v>1177</v>
      </c>
      <c r="D63">
        <v>1</v>
      </c>
      <c r="E63" t="b">
        <v>1</v>
      </c>
    </row>
    <row r="64" spans="1:5">
      <c r="A64" t="s">
        <v>102</v>
      </c>
      <c r="B64" t="s">
        <v>1154</v>
      </c>
      <c r="C64" t="s">
        <v>1177</v>
      </c>
      <c r="D64">
        <v>1</v>
      </c>
      <c r="E64" t="b">
        <v>1</v>
      </c>
    </row>
    <row r="65" spans="1:5">
      <c r="A65" t="s">
        <v>102</v>
      </c>
      <c r="B65" t="s">
        <v>914</v>
      </c>
      <c r="C65" t="s">
        <v>1240</v>
      </c>
      <c r="D65">
        <v>2</v>
      </c>
      <c r="E65" t="b">
        <v>1</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CCD64-499A-485A-94F7-F3D87C41451B}">
  <sheetPr codeName="Sheet29"/>
  <dimension ref="A1:I29"/>
  <sheetViews>
    <sheetView workbookViewId="0">
      <selection sqref="A1:I29"/>
    </sheetView>
  </sheetViews>
  <sheetFormatPr defaultColWidth="8.85546875" defaultRowHeight="15"/>
  <cols>
    <col min="1" max="1" width="14.85546875" bestFit="1" customWidth="1"/>
    <col min="2" max="2" width="65.5703125" bestFit="1" customWidth="1"/>
    <col min="3" max="3" width="8.140625" bestFit="1" customWidth="1"/>
    <col min="4" max="4" width="12" bestFit="1" customWidth="1"/>
    <col min="5" max="5" width="10" bestFit="1" customWidth="1"/>
    <col min="6" max="6" width="21.5703125" bestFit="1" customWidth="1"/>
    <col min="7" max="7" width="18.5703125" bestFit="1" customWidth="1"/>
    <col min="8" max="8" width="21.42578125" bestFit="1" customWidth="1"/>
    <col min="9" max="9" width="18.42578125" bestFit="1" customWidth="1"/>
  </cols>
  <sheetData>
    <row r="1" spans="1:9">
      <c r="A1" t="s">
        <v>1159</v>
      </c>
      <c r="B1" t="s">
        <v>1160</v>
      </c>
      <c r="C1" t="s">
        <v>10</v>
      </c>
      <c r="D1" t="s">
        <v>8</v>
      </c>
      <c r="E1" t="s">
        <v>7</v>
      </c>
      <c r="F1" t="s">
        <v>11</v>
      </c>
      <c r="G1" t="s">
        <v>12</v>
      </c>
      <c r="H1" t="s">
        <v>1161</v>
      </c>
      <c r="I1" t="s">
        <v>1162</v>
      </c>
    </row>
    <row r="2" spans="1:9">
      <c r="A2" t="s">
        <v>143</v>
      </c>
      <c r="B2" t="s">
        <v>144</v>
      </c>
      <c r="C2">
        <v>4</v>
      </c>
      <c r="D2">
        <v>2</v>
      </c>
      <c r="E2">
        <v>20</v>
      </c>
      <c r="F2" t="s">
        <v>147</v>
      </c>
      <c r="G2" t="s">
        <v>149</v>
      </c>
      <c r="H2">
        <v>44</v>
      </c>
      <c r="I2">
        <v>2.2000000000000002</v>
      </c>
    </row>
    <row r="3" spans="1:9">
      <c r="A3" t="s">
        <v>193</v>
      </c>
      <c r="B3" t="s">
        <v>1283</v>
      </c>
      <c r="C3">
        <v>4</v>
      </c>
      <c r="D3">
        <v>1</v>
      </c>
      <c r="E3">
        <v>20</v>
      </c>
      <c r="F3" t="s">
        <v>198</v>
      </c>
      <c r="G3" t="s">
        <v>200</v>
      </c>
      <c r="H3">
        <v>44</v>
      </c>
      <c r="I3">
        <v>2.2000000000000002</v>
      </c>
    </row>
    <row r="4" spans="1:9">
      <c r="A4" t="s">
        <v>1165</v>
      </c>
      <c r="B4" t="s">
        <v>1166</v>
      </c>
      <c r="C4">
        <v>4</v>
      </c>
      <c r="D4">
        <v>1</v>
      </c>
      <c r="E4">
        <v>20</v>
      </c>
      <c r="F4" t="s">
        <v>1167</v>
      </c>
      <c r="G4" t="s">
        <v>200</v>
      </c>
      <c r="H4">
        <v>42</v>
      </c>
      <c r="I4">
        <v>2.1</v>
      </c>
    </row>
    <row r="5" spans="1:9">
      <c r="A5" t="s">
        <v>289</v>
      </c>
      <c r="B5" t="s">
        <v>291</v>
      </c>
      <c r="C5">
        <v>4</v>
      </c>
      <c r="D5">
        <v>2</v>
      </c>
      <c r="E5">
        <v>20</v>
      </c>
      <c r="F5" t="s">
        <v>293</v>
      </c>
      <c r="G5" t="s">
        <v>200</v>
      </c>
      <c r="H5">
        <v>39</v>
      </c>
      <c r="I5">
        <v>1.95</v>
      </c>
    </row>
    <row r="6" spans="1:9">
      <c r="A6" t="s">
        <v>80</v>
      </c>
      <c r="B6" t="s">
        <v>1243</v>
      </c>
      <c r="C6">
        <v>4</v>
      </c>
      <c r="D6">
        <v>1</v>
      </c>
      <c r="E6">
        <v>20</v>
      </c>
      <c r="F6" t="s">
        <v>84</v>
      </c>
      <c r="G6" t="s">
        <v>85</v>
      </c>
      <c r="H6">
        <v>44</v>
      </c>
      <c r="I6">
        <v>2.2000000000000002</v>
      </c>
    </row>
    <row r="7" spans="1:9">
      <c r="A7" t="s">
        <v>255</v>
      </c>
      <c r="B7" t="s">
        <v>1171</v>
      </c>
      <c r="C7">
        <v>4</v>
      </c>
      <c r="D7">
        <v>2</v>
      </c>
      <c r="E7">
        <v>20</v>
      </c>
      <c r="F7" t="s">
        <v>260</v>
      </c>
      <c r="G7" t="s">
        <v>200</v>
      </c>
      <c r="H7">
        <v>40</v>
      </c>
      <c r="I7">
        <v>2</v>
      </c>
    </row>
    <row r="8" spans="1:9">
      <c r="A8" t="s">
        <v>351</v>
      </c>
      <c r="B8" t="s">
        <v>353</v>
      </c>
      <c r="C8">
        <v>5</v>
      </c>
      <c r="D8">
        <v>2</v>
      </c>
      <c r="E8">
        <v>20</v>
      </c>
      <c r="F8" t="s">
        <v>355</v>
      </c>
      <c r="G8" t="s">
        <v>149</v>
      </c>
      <c r="H8">
        <v>48</v>
      </c>
      <c r="I8">
        <v>2.4</v>
      </c>
    </row>
    <row r="9" spans="1:9">
      <c r="A9" t="s">
        <v>491</v>
      </c>
      <c r="B9" t="s">
        <v>492</v>
      </c>
      <c r="C9">
        <v>5</v>
      </c>
      <c r="D9">
        <v>2</v>
      </c>
      <c r="E9">
        <v>20</v>
      </c>
      <c r="F9" t="s">
        <v>495</v>
      </c>
      <c r="G9" t="s">
        <v>200</v>
      </c>
      <c r="H9">
        <v>40</v>
      </c>
      <c r="I9">
        <v>2</v>
      </c>
    </row>
    <row r="10" spans="1:9">
      <c r="A10" t="s">
        <v>1172</v>
      </c>
      <c r="B10" t="s">
        <v>1200</v>
      </c>
      <c r="C10">
        <v>5</v>
      </c>
      <c r="D10">
        <v>2</v>
      </c>
      <c r="E10">
        <v>20</v>
      </c>
      <c r="F10" t="s">
        <v>1174</v>
      </c>
      <c r="G10" t="s">
        <v>200</v>
      </c>
      <c r="H10">
        <v>44</v>
      </c>
      <c r="I10">
        <v>2.2000000000000002</v>
      </c>
    </row>
    <row r="11" spans="1:9">
      <c r="A11" t="s">
        <v>382</v>
      </c>
      <c r="B11" t="s">
        <v>384</v>
      </c>
      <c r="C11">
        <v>5</v>
      </c>
      <c r="D11">
        <v>1</v>
      </c>
      <c r="E11">
        <v>20</v>
      </c>
      <c r="F11" t="s">
        <v>386</v>
      </c>
      <c r="G11" t="s">
        <v>85</v>
      </c>
      <c r="H11">
        <v>40</v>
      </c>
      <c r="I11">
        <v>2</v>
      </c>
    </row>
    <row r="12" spans="1:9">
      <c r="A12" t="s">
        <v>410</v>
      </c>
      <c r="B12" t="s">
        <v>412</v>
      </c>
      <c r="C12">
        <v>5</v>
      </c>
      <c r="D12">
        <v>1</v>
      </c>
      <c r="E12">
        <v>20</v>
      </c>
      <c r="F12" t="s">
        <v>414</v>
      </c>
      <c r="G12" t="s">
        <v>200</v>
      </c>
      <c r="H12">
        <v>49</v>
      </c>
      <c r="I12">
        <v>2.4500000000000002</v>
      </c>
    </row>
    <row r="13" spans="1:9">
      <c r="A13" t="s">
        <v>456</v>
      </c>
      <c r="B13" t="s">
        <v>1175</v>
      </c>
      <c r="C13">
        <v>5</v>
      </c>
      <c r="E13">
        <v>20</v>
      </c>
      <c r="F13" t="s">
        <v>460</v>
      </c>
      <c r="G13" t="s">
        <v>200</v>
      </c>
      <c r="H13">
        <v>35</v>
      </c>
      <c r="I13">
        <v>1.75</v>
      </c>
    </row>
    <row r="14" spans="1:9">
      <c r="A14" t="s">
        <v>1179</v>
      </c>
      <c r="B14" t="s">
        <v>1180</v>
      </c>
      <c r="C14">
        <v>6</v>
      </c>
      <c r="D14">
        <v>1</v>
      </c>
      <c r="E14">
        <v>20</v>
      </c>
      <c r="F14" t="s">
        <v>1181</v>
      </c>
      <c r="G14" t="s">
        <v>200</v>
      </c>
      <c r="H14">
        <v>44</v>
      </c>
      <c r="I14">
        <v>2.2000000000000002</v>
      </c>
    </row>
    <row r="15" spans="1:9">
      <c r="A15" t="s">
        <v>937</v>
      </c>
      <c r="B15" t="s">
        <v>939</v>
      </c>
      <c r="C15">
        <v>6</v>
      </c>
      <c r="E15">
        <v>40</v>
      </c>
      <c r="F15" t="s">
        <v>941</v>
      </c>
      <c r="G15" t="s">
        <v>943</v>
      </c>
      <c r="H15">
        <v>22</v>
      </c>
      <c r="I15">
        <v>0.55000000000000004</v>
      </c>
    </row>
    <row r="16" spans="1:9">
      <c r="A16" t="s">
        <v>991</v>
      </c>
      <c r="B16" t="s">
        <v>993</v>
      </c>
      <c r="C16">
        <v>6</v>
      </c>
      <c r="D16">
        <v>1</v>
      </c>
      <c r="E16">
        <v>20</v>
      </c>
      <c r="F16" t="s">
        <v>995</v>
      </c>
      <c r="G16" t="s">
        <v>551</v>
      </c>
      <c r="H16">
        <v>40</v>
      </c>
      <c r="I16">
        <v>2</v>
      </c>
    </row>
    <row r="17" spans="1:9">
      <c r="A17" t="s">
        <v>1038</v>
      </c>
      <c r="B17" t="s">
        <v>1040</v>
      </c>
      <c r="C17">
        <v>6</v>
      </c>
      <c r="D17">
        <v>1</v>
      </c>
      <c r="E17">
        <v>20</v>
      </c>
      <c r="F17" t="s">
        <v>1042</v>
      </c>
      <c r="G17" t="s">
        <v>551</v>
      </c>
      <c r="H17">
        <v>45</v>
      </c>
      <c r="I17">
        <v>2.25</v>
      </c>
    </row>
    <row r="18" spans="1:9">
      <c r="A18" t="s">
        <v>1070</v>
      </c>
      <c r="B18" t="s">
        <v>1072</v>
      </c>
      <c r="C18">
        <v>6</v>
      </c>
      <c r="D18">
        <v>1</v>
      </c>
      <c r="E18">
        <v>20</v>
      </c>
      <c r="F18" t="s">
        <v>1074</v>
      </c>
      <c r="G18" t="s">
        <v>551</v>
      </c>
      <c r="H18">
        <v>44</v>
      </c>
      <c r="I18">
        <v>2.2000000000000002</v>
      </c>
    </row>
    <row r="19" spans="1:9">
      <c r="A19" t="s">
        <v>1176</v>
      </c>
      <c r="B19" t="s">
        <v>1177</v>
      </c>
      <c r="C19">
        <v>6</v>
      </c>
      <c r="D19">
        <v>1</v>
      </c>
      <c r="E19">
        <v>20</v>
      </c>
      <c r="F19" t="s">
        <v>1178</v>
      </c>
      <c r="G19" t="s">
        <v>551</v>
      </c>
      <c r="H19">
        <v>40</v>
      </c>
      <c r="I19">
        <v>2</v>
      </c>
    </row>
    <row r="20" spans="1:9">
      <c r="A20" t="s">
        <v>1183</v>
      </c>
      <c r="B20" t="s">
        <v>1186</v>
      </c>
      <c r="C20">
        <v>6</v>
      </c>
      <c r="D20">
        <v>1</v>
      </c>
      <c r="E20">
        <v>20</v>
      </c>
      <c r="F20" t="s">
        <v>1247</v>
      </c>
      <c r="G20" t="s">
        <v>551</v>
      </c>
      <c r="H20">
        <v>40</v>
      </c>
      <c r="I20">
        <v>2</v>
      </c>
    </row>
    <row r="21" spans="1:9">
      <c r="A21" t="s">
        <v>545</v>
      </c>
      <c r="B21" t="s">
        <v>1182</v>
      </c>
      <c r="C21">
        <v>6</v>
      </c>
      <c r="D21">
        <v>1</v>
      </c>
      <c r="E21">
        <v>20</v>
      </c>
      <c r="F21" t="s">
        <v>549</v>
      </c>
      <c r="G21" t="s">
        <v>551</v>
      </c>
      <c r="H21">
        <v>42</v>
      </c>
      <c r="I21">
        <v>2.1</v>
      </c>
    </row>
    <row r="22" spans="1:9">
      <c r="A22" t="s">
        <v>633</v>
      </c>
      <c r="B22" t="s">
        <v>634</v>
      </c>
      <c r="C22">
        <v>6</v>
      </c>
      <c r="D22">
        <v>1</v>
      </c>
      <c r="E22">
        <v>20</v>
      </c>
      <c r="F22" t="s">
        <v>637</v>
      </c>
      <c r="G22" t="s">
        <v>551</v>
      </c>
      <c r="H22">
        <v>55</v>
      </c>
      <c r="I22">
        <v>2.75</v>
      </c>
    </row>
    <row r="23" spans="1:9">
      <c r="A23" t="s">
        <v>592</v>
      </c>
      <c r="B23" t="s">
        <v>594</v>
      </c>
      <c r="C23">
        <v>6</v>
      </c>
      <c r="D23">
        <v>1</v>
      </c>
      <c r="E23">
        <v>20</v>
      </c>
      <c r="F23" t="s">
        <v>596</v>
      </c>
      <c r="G23" t="s">
        <v>551</v>
      </c>
      <c r="H23">
        <v>44</v>
      </c>
      <c r="I23">
        <v>2.2000000000000002</v>
      </c>
    </row>
    <row r="24" spans="1:9">
      <c r="A24" t="s">
        <v>692</v>
      </c>
      <c r="B24" t="s">
        <v>694</v>
      </c>
      <c r="C24">
        <v>6</v>
      </c>
      <c r="D24">
        <v>1</v>
      </c>
      <c r="E24">
        <v>20</v>
      </c>
      <c r="F24" t="s">
        <v>696</v>
      </c>
      <c r="G24" t="s">
        <v>551</v>
      </c>
      <c r="H24">
        <v>40</v>
      </c>
      <c r="I24">
        <v>2</v>
      </c>
    </row>
    <row r="25" spans="1:9">
      <c r="A25" t="s">
        <v>729</v>
      </c>
      <c r="B25" t="s">
        <v>1184</v>
      </c>
      <c r="C25">
        <v>6</v>
      </c>
      <c r="D25">
        <v>2</v>
      </c>
      <c r="E25">
        <v>20</v>
      </c>
      <c r="F25" t="s">
        <v>733</v>
      </c>
      <c r="G25" t="s">
        <v>551</v>
      </c>
      <c r="H25">
        <v>49</v>
      </c>
      <c r="I25">
        <v>2.4500000000000002</v>
      </c>
    </row>
    <row r="26" spans="1:9">
      <c r="A26" t="s">
        <v>770</v>
      </c>
      <c r="B26" t="s">
        <v>1387</v>
      </c>
      <c r="C26">
        <v>6</v>
      </c>
      <c r="D26">
        <v>2</v>
      </c>
      <c r="E26">
        <v>20</v>
      </c>
      <c r="F26" t="s">
        <v>774</v>
      </c>
      <c r="G26" t="s">
        <v>551</v>
      </c>
      <c r="H26">
        <v>46</v>
      </c>
      <c r="I26">
        <v>2.2999999999999998</v>
      </c>
    </row>
    <row r="27" spans="1:9">
      <c r="A27" t="s">
        <v>807</v>
      </c>
      <c r="B27" t="s">
        <v>808</v>
      </c>
      <c r="C27">
        <v>6</v>
      </c>
      <c r="D27">
        <v>2</v>
      </c>
      <c r="E27">
        <v>20</v>
      </c>
      <c r="F27" t="s">
        <v>811</v>
      </c>
      <c r="G27" t="s">
        <v>551</v>
      </c>
      <c r="H27">
        <v>40</v>
      </c>
      <c r="I27">
        <v>2</v>
      </c>
    </row>
    <row r="28" spans="1:9">
      <c r="A28" t="s">
        <v>856</v>
      </c>
      <c r="B28" t="s">
        <v>858</v>
      </c>
      <c r="C28">
        <v>6</v>
      </c>
      <c r="D28">
        <v>1</v>
      </c>
      <c r="E28">
        <v>20</v>
      </c>
      <c r="F28" t="s">
        <v>861</v>
      </c>
      <c r="G28" t="s">
        <v>551</v>
      </c>
      <c r="H28">
        <v>42</v>
      </c>
      <c r="I28">
        <v>2.1</v>
      </c>
    </row>
    <row r="29" spans="1:9">
      <c r="A29" t="s">
        <v>896</v>
      </c>
      <c r="B29" t="s">
        <v>1185</v>
      </c>
      <c r="C29">
        <v>6</v>
      </c>
      <c r="E29">
        <v>20</v>
      </c>
      <c r="F29" t="s">
        <v>901</v>
      </c>
      <c r="G29" t="s">
        <v>85</v>
      </c>
      <c r="H29">
        <v>50</v>
      </c>
      <c r="I29">
        <v>2.5</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9A730-01D0-478C-8727-CC964BB498E7}">
  <sheetPr codeName="Sheet30"/>
  <dimension ref="A1:N29"/>
  <sheetViews>
    <sheetView workbookViewId="0">
      <selection sqref="A1:N29"/>
    </sheetView>
  </sheetViews>
  <sheetFormatPr defaultColWidth="8.85546875" defaultRowHeight="15"/>
  <cols>
    <col min="1" max="1" width="49" bestFit="1" customWidth="1"/>
    <col min="2" max="2" width="14.85546875" bestFit="1" customWidth="1"/>
    <col min="3" max="4" width="65.5703125" bestFit="1" customWidth="1"/>
    <col min="5" max="5" width="10" bestFit="1" customWidth="1"/>
    <col min="6" max="6" width="12" bestFit="1" customWidth="1"/>
    <col min="7" max="7" width="8.140625" bestFit="1" customWidth="1"/>
    <col min="8" max="8" width="21.5703125" bestFit="1" customWidth="1"/>
    <col min="9" max="9" width="18.5703125" bestFit="1" customWidth="1"/>
    <col min="10" max="10" width="24.5703125" bestFit="1" customWidth="1"/>
    <col min="11" max="11" width="13.42578125" bestFit="1" customWidth="1"/>
    <col min="12" max="12" width="12.7109375" bestFit="1" customWidth="1"/>
    <col min="13" max="13" width="24.5703125" bestFit="1" customWidth="1"/>
    <col min="14" max="14" width="12.140625" bestFit="1" customWidth="1"/>
  </cols>
  <sheetData>
    <row r="1" spans="1:14">
      <c r="A1" t="s">
        <v>1189</v>
      </c>
      <c r="B1" t="s">
        <v>1159</v>
      </c>
      <c r="C1" t="s">
        <v>1160</v>
      </c>
      <c r="D1" t="s">
        <v>6</v>
      </c>
      <c r="E1" t="s">
        <v>7</v>
      </c>
      <c r="F1" t="s">
        <v>8</v>
      </c>
      <c r="G1" t="s">
        <v>10</v>
      </c>
      <c r="H1" t="s">
        <v>11</v>
      </c>
      <c r="I1" t="s">
        <v>12</v>
      </c>
      <c r="J1" t="s">
        <v>13</v>
      </c>
      <c r="K1" t="s">
        <v>1191</v>
      </c>
      <c r="L1" t="s">
        <v>1248</v>
      </c>
      <c r="M1" t="s">
        <v>1190</v>
      </c>
      <c r="N1" t="s">
        <v>1192</v>
      </c>
    </row>
    <row r="2" spans="1:14">
      <c r="A2" t="s">
        <v>1193</v>
      </c>
      <c r="B2" t="s">
        <v>1176</v>
      </c>
      <c r="C2" t="s">
        <v>1177</v>
      </c>
      <c r="D2" t="s">
        <v>1177</v>
      </c>
      <c r="E2">
        <v>20</v>
      </c>
      <c r="F2">
        <v>1</v>
      </c>
      <c r="G2">
        <v>6</v>
      </c>
      <c r="H2" t="s">
        <v>1178</v>
      </c>
      <c r="I2" t="s">
        <v>551</v>
      </c>
      <c r="J2" t="s">
        <v>996</v>
      </c>
      <c r="K2" t="s">
        <v>1249</v>
      </c>
      <c r="L2" t="s">
        <v>1250</v>
      </c>
      <c r="M2" t="s">
        <v>86</v>
      </c>
      <c r="N2" t="s">
        <v>1195</v>
      </c>
    </row>
    <row r="3" spans="1:14">
      <c r="A3" t="s">
        <v>1196</v>
      </c>
      <c r="B3" t="s">
        <v>1183</v>
      </c>
      <c r="C3" t="s">
        <v>1186</v>
      </c>
      <c r="D3" t="s">
        <v>1186</v>
      </c>
      <c r="E3">
        <v>20</v>
      </c>
      <c r="F3">
        <v>1</v>
      </c>
      <c r="G3">
        <v>6</v>
      </c>
      <c r="H3" t="s">
        <v>1247</v>
      </c>
      <c r="I3" t="s">
        <v>551</v>
      </c>
      <c r="J3" t="s">
        <v>151</v>
      </c>
      <c r="K3" t="s">
        <v>1251</v>
      </c>
      <c r="L3" t="s">
        <v>1250</v>
      </c>
      <c r="M3" t="s">
        <v>86</v>
      </c>
      <c r="N3" t="s">
        <v>1195</v>
      </c>
    </row>
    <row r="4" spans="1:14">
      <c r="A4" t="s">
        <v>1198</v>
      </c>
      <c r="B4" t="s">
        <v>1165</v>
      </c>
      <c r="C4" t="s">
        <v>1166</v>
      </c>
      <c r="D4" t="s">
        <v>1166</v>
      </c>
      <c r="E4">
        <v>20</v>
      </c>
      <c r="F4">
        <v>1</v>
      </c>
      <c r="G4">
        <v>4</v>
      </c>
      <c r="H4" t="s">
        <v>1167</v>
      </c>
      <c r="I4" t="s">
        <v>200</v>
      </c>
      <c r="J4" t="s">
        <v>202</v>
      </c>
      <c r="K4" t="s">
        <v>1252</v>
      </c>
      <c r="L4" t="s">
        <v>1250</v>
      </c>
      <c r="M4" t="s">
        <v>86</v>
      </c>
      <c r="N4" t="s">
        <v>1195</v>
      </c>
    </row>
    <row r="5" spans="1:14">
      <c r="A5" t="s">
        <v>1198</v>
      </c>
      <c r="B5" t="s">
        <v>1172</v>
      </c>
      <c r="C5" t="s">
        <v>1200</v>
      </c>
      <c r="D5" t="s">
        <v>1200</v>
      </c>
      <c r="E5">
        <v>20</v>
      </c>
      <c r="F5">
        <v>2</v>
      </c>
      <c r="G5">
        <v>5</v>
      </c>
      <c r="H5" t="s">
        <v>1174</v>
      </c>
      <c r="I5" t="s">
        <v>200</v>
      </c>
      <c r="J5" t="s">
        <v>151</v>
      </c>
      <c r="K5" t="s">
        <v>1253</v>
      </c>
      <c r="L5" t="s">
        <v>1250</v>
      </c>
      <c r="M5" t="s">
        <v>86</v>
      </c>
      <c r="N5" t="s">
        <v>1195</v>
      </c>
    </row>
    <row r="6" spans="1:14">
      <c r="A6" t="s">
        <v>1198</v>
      </c>
      <c r="B6" t="s">
        <v>1179</v>
      </c>
      <c r="C6" t="s">
        <v>1180</v>
      </c>
      <c r="D6" t="s">
        <v>1180</v>
      </c>
      <c r="E6">
        <v>20</v>
      </c>
      <c r="F6">
        <v>1</v>
      </c>
      <c r="G6">
        <v>6</v>
      </c>
      <c r="H6" t="s">
        <v>1181</v>
      </c>
      <c r="I6" t="s">
        <v>200</v>
      </c>
      <c r="J6" t="s">
        <v>202</v>
      </c>
      <c r="K6" t="s">
        <v>1254</v>
      </c>
      <c r="L6" t="s">
        <v>1250</v>
      </c>
      <c r="M6" t="s">
        <v>86</v>
      </c>
      <c r="N6" t="s">
        <v>1195</v>
      </c>
    </row>
    <row r="7" spans="1:14">
      <c r="A7" t="s">
        <v>1203</v>
      </c>
      <c r="B7" t="s">
        <v>143</v>
      </c>
      <c r="C7" t="s">
        <v>144</v>
      </c>
      <c r="D7" t="s">
        <v>144</v>
      </c>
      <c r="E7">
        <v>20</v>
      </c>
      <c r="F7">
        <v>2</v>
      </c>
      <c r="G7">
        <v>4</v>
      </c>
      <c r="H7" t="s">
        <v>147</v>
      </c>
      <c r="I7" t="s">
        <v>149</v>
      </c>
      <c r="J7" t="s">
        <v>151</v>
      </c>
      <c r="K7" t="s">
        <v>1255</v>
      </c>
      <c r="L7" t="s">
        <v>1250</v>
      </c>
      <c r="M7" t="s">
        <v>86</v>
      </c>
      <c r="N7" t="s">
        <v>1195</v>
      </c>
    </row>
    <row r="8" spans="1:14">
      <c r="A8" t="s">
        <v>1203</v>
      </c>
      <c r="B8" t="s">
        <v>193</v>
      </c>
      <c r="C8" t="s">
        <v>1283</v>
      </c>
      <c r="D8" t="s">
        <v>195</v>
      </c>
      <c r="E8">
        <v>20</v>
      </c>
      <c r="F8">
        <v>1</v>
      </c>
      <c r="G8">
        <v>4</v>
      </c>
      <c r="H8" t="s">
        <v>198</v>
      </c>
      <c r="I8" t="s">
        <v>200</v>
      </c>
      <c r="J8" t="s">
        <v>202</v>
      </c>
      <c r="K8" t="s">
        <v>1256</v>
      </c>
      <c r="L8" t="s">
        <v>1250</v>
      </c>
      <c r="M8" t="s">
        <v>86</v>
      </c>
      <c r="N8" t="s">
        <v>1195</v>
      </c>
    </row>
    <row r="9" spans="1:14">
      <c r="A9" t="s">
        <v>1203</v>
      </c>
      <c r="B9" t="s">
        <v>289</v>
      </c>
      <c r="C9" t="s">
        <v>291</v>
      </c>
      <c r="D9" t="s">
        <v>291</v>
      </c>
      <c r="E9">
        <v>20</v>
      </c>
      <c r="F9">
        <v>2</v>
      </c>
      <c r="G9">
        <v>4</v>
      </c>
      <c r="H9" t="s">
        <v>293</v>
      </c>
      <c r="I9" t="s">
        <v>200</v>
      </c>
      <c r="J9" t="s">
        <v>202</v>
      </c>
      <c r="K9" t="s">
        <v>1257</v>
      </c>
      <c r="L9" t="s">
        <v>1250</v>
      </c>
      <c r="M9" t="s">
        <v>86</v>
      </c>
      <c r="N9" t="s">
        <v>1195</v>
      </c>
    </row>
    <row r="10" spans="1:14">
      <c r="A10" t="s">
        <v>1203</v>
      </c>
      <c r="B10" t="s">
        <v>80</v>
      </c>
      <c r="C10" t="s">
        <v>1243</v>
      </c>
      <c r="D10" t="s">
        <v>82</v>
      </c>
      <c r="E10">
        <v>20</v>
      </c>
      <c r="F10">
        <v>1</v>
      </c>
      <c r="G10">
        <v>4</v>
      </c>
      <c r="H10" t="s">
        <v>84</v>
      </c>
      <c r="I10" t="s">
        <v>85</v>
      </c>
      <c r="J10" t="s">
        <v>86</v>
      </c>
      <c r="K10" t="s">
        <v>1258</v>
      </c>
      <c r="L10" t="s">
        <v>1250</v>
      </c>
      <c r="M10" t="s">
        <v>86</v>
      </c>
      <c r="N10" t="s">
        <v>1195</v>
      </c>
    </row>
    <row r="11" spans="1:14">
      <c r="A11" t="s">
        <v>1203</v>
      </c>
      <c r="B11" t="s">
        <v>255</v>
      </c>
      <c r="C11" t="s">
        <v>1171</v>
      </c>
      <c r="D11" t="s">
        <v>257</v>
      </c>
      <c r="E11">
        <v>20</v>
      </c>
      <c r="F11">
        <v>2</v>
      </c>
      <c r="G11">
        <v>4</v>
      </c>
      <c r="H11" t="s">
        <v>260</v>
      </c>
      <c r="I11" t="s">
        <v>200</v>
      </c>
      <c r="J11" t="s">
        <v>86</v>
      </c>
      <c r="K11" t="s">
        <v>1259</v>
      </c>
      <c r="L11" t="s">
        <v>1250</v>
      </c>
      <c r="M11" t="s">
        <v>86</v>
      </c>
      <c r="N11" t="s">
        <v>1195</v>
      </c>
    </row>
    <row r="12" spans="1:14">
      <c r="A12" t="s">
        <v>1203</v>
      </c>
      <c r="B12" t="s">
        <v>351</v>
      </c>
      <c r="C12" t="s">
        <v>353</v>
      </c>
      <c r="D12" t="s">
        <v>353</v>
      </c>
      <c r="E12">
        <v>20</v>
      </c>
      <c r="F12">
        <v>2</v>
      </c>
      <c r="G12">
        <v>5</v>
      </c>
      <c r="H12" t="s">
        <v>355</v>
      </c>
      <c r="I12" t="s">
        <v>149</v>
      </c>
      <c r="J12" t="s">
        <v>151</v>
      </c>
      <c r="K12" t="s">
        <v>1260</v>
      </c>
      <c r="L12" t="s">
        <v>1250</v>
      </c>
      <c r="M12" t="s">
        <v>86</v>
      </c>
      <c r="N12" t="s">
        <v>1195</v>
      </c>
    </row>
    <row r="13" spans="1:14">
      <c r="A13" t="s">
        <v>1203</v>
      </c>
      <c r="B13" t="s">
        <v>491</v>
      </c>
      <c r="C13" t="s">
        <v>492</v>
      </c>
      <c r="D13" t="s">
        <v>492</v>
      </c>
      <c r="E13">
        <v>20</v>
      </c>
      <c r="F13">
        <v>2</v>
      </c>
      <c r="G13">
        <v>5</v>
      </c>
      <c r="H13" t="s">
        <v>495</v>
      </c>
      <c r="I13" t="s">
        <v>200</v>
      </c>
      <c r="J13" t="s">
        <v>151</v>
      </c>
      <c r="K13" t="s">
        <v>1261</v>
      </c>
      <c r="L13" t="s">
        <v>1250</v>
      </c>
      <c r="M13" t="s">
        <v>86</v>
      </c>
      <c r="N13" t="s">
        <v>1195</v>
      </c>
    </row>
    <row r="14" spans="1:14">
      <c r="A14" t="s">
        <v>1203</v>
      </c>
      <c r="B14" t="s">
        <v>382</v>
      </c>
      <c r="C14" t="s">
        <v>384</v>
      </c>
      <c r="D14" t="s">
        <v>384</v>
      </c>
      <c r="E14">
        <v>20</v>
      </c>
      <c r="F14">
        <v>1</v>
      </c>
      <c r="G14">
        <v>5</v>
      </c>
      <c r="H14" t="s">
        <v>386</v>
      </c>
      <c r="I14" t="s">
        <v>85</v>
      </c>
      <c r="J14" t="s">
        <v>86</v>
      </c>
      <c r="K14" t="s">
        <v>1262</v>
      </c>
      <c r="L14" t="s">
        <v>1250</v>
      </c>
      <c r="M14" t="s">
        <v>86</v>
      </c>
      <c r="N14" t="s">
        <v>1195</v>
      </c>
    </row>
    <row r="15" spans="1:14">
      <c r="A15" t="s">
        <v>1203</v>
      </c>
      <c r="B15" t="s">
        <v>410</v>
      </c>
      <c r="C15" t="s">
        <v>412</v>
      </c>
      <c r="D15" t="s">
        <v>412</v>
      </c>
      <c r="E15">
        <v>20</v>
      </c>
      <c r="F15">
        <v>1</v>
      </c>
      <c r="G15">
        <v>5</v>
      </c>
      <c r="H15" t="s">
        <v>414</v>
      </c>
      <c r="I15" t="s">
        <v>200</v>
      </c>
      <c r="J15" t="s">
        <v>86</v>
      </c>
      <c r="K15" t="s">
        <v>1263</v>
      </c>
      <c r="L15" t="s">
        <v>1250</v>
      </c>
      <c r="M15" t="s">
        <v>86</v>
      </c>
      <c r="N15" t="s">
        <v>1195</v>
      </c>
    </row>
    <row r="16" spans="1:14">
      <c r="A16" t="s">
        <v>1203</v>
      </c>
      <c r="B16" t="s">
        <v>456</v>
      </c>
      <c r="C16" t="s">
        <v>1175</v>
      </c>
      <c r="D16" t="s">
        <v>458</v>
      </c>
      <c r="E16">
        <v>20</v>
      </c>
      <c r="G16">
        <v>5</v>
      </c>
      <c r="H16" t="s">
        <v>460</v>
      </c>
      <c r="I16" t="s">
        <v>200</v>
      </c>
      <c r="J16" t="s">
        <v>461</v>
      </c>
      <c r="K16" t="s">
        <v>1264</v>
      </c>
      <c r="L16" t="s">
        <v>1250</v>
      </c>
      <c r="M16" t="s">
        <v>86</v>
      </c>
      <c r="N16" t="s">
        <v>1195</v>
      </c>
    </row>
    <row r="17" spans="1:14">
      <c r="A17" t="s">
        <v>1203</v>
      </c>
      <c r="B17" t="s">
        <v>937</v>
      </c>
      <c r="C17" t="s">
        <v>939</v>
      </c>
      <c r="D17" t="s">
        <v>939</v>
      </c>
      <c r="E17">
        <v>40</v>
      </c>
      <c r="F17" t="s">
        <v>899</v>
      </c>
      <c r="G17">
        <v>6</v>
      </c>
      <c r="H17" t="s">
        <v>941</v>
      </c>
      <c r="I17" t="s">
        <v>943</v>
      </c>
      <c r="J17" t="s">
        <v>151</v>
      </c>
      <c r="K17" t="s">
        <v>1265</v>
      </c>
      <c r="L17" t="s">
        <v>1250</v>
      </c>
      <c r="M17" t="s">
        <v>86</v>
      </c>
      <c r="N17" t="s">
        <v>1195</v>
      </c>
    </row>
    <row r="18" spans="1:14">
      <c r="A18" t="s">
        <v>1203</v>
      </c>
      <c r="B18" t="s">
        <v>991</v>
      </c>
      <c r="C18" t="s">
        <v>993</v>
      </c>
      <c r="D18" t="s">
        <v>993</v>
      </c>
      <c r="E18">
        <v>20</v>
      </c>
      <c r="F18">
        <v>1</v>
      </c>
      <c r="G18">
        <v>6</v>
      </c>
      <c r="H18" t="s">
        <v>995</v>
      </c>
      <c r="I18" t="s">
        <v>551</v>
      </c>
      <c r="J18" t="s">
        <v>996</v>
      </c>
      <c r="K18" t="s">
        <v>1266</v>
      </c>
      <c r="L18" t="s">
        <v>1250</v>
      </c>
      <c r="M18" t="s">
        <v>86</v>
      </c>
      <c r="N18" t="s">
        <v>1195</v>
      </c>
    </row>
    <row r="19" spans="1:14">
      <c r="A19" t="s">
        <v>1203</v>
      </c>
      <c r="B19" t="s">
        <v>1038</v>
      </c>
      <c r="C19" t="s">
        <v>1040</v>
      </c>
      <c r="D19" t="s">
        <v>1040</v>
      </c>
      <c r="E19">
        <v>20</v>
      </c>
      <c r="F19">
        <v>1</v>
      </c>
      <c r="G19">
        <v>6</v>
      </c>
      <c r="H19" t="s">
        <v>1042</v>
      </c>
      <c r="I19" t="s">
        <v>551</v>
      </c>
      <c r="J19" t="s">
        <v>996</v>
      </c>
      <c r="K19" t="s">
        <v>1267</v>
      </c>
      <c r="L19" t="s">
        <v>1250</v>
      </c>
      <c r="M19" t="s">
        <v>86</v>
      </c>
      <c r="N19" t="s">
        <v>1195</v>
      </c>
    </row>
    <row r="20" spans="1:14">
      <c r="A20" t="s">
        <v>1203</v>
      </c>
      <c r="B20" t="s">
        <v>1070</v>
      </c>
      <c r="C20" t="s">
        <v>1072</v>
      </c>
      <c r="D20" t="s">
        <v>1072</v>
      </c>
      <c r="E20">
        <v>20</v>
      </c>
      <c r="F20">
        <v>1</v>
      </c>
      <c r="G20">
        <v>6</v>
      </c>
      <c r="H20" t="s">
        <v>1074</v>
      </c>
      <c r="I20" t="s">
        <v>551</v>
      </c>
      <c r="J20" t="s">
        <v>996</v>
      </c>
      <c r="K20" t="s">
        <v>1268</v>
      </c>
      <c r="L20" t="s">
        <v>1250</v>
      </c>
      <c r="M20" t="s">
        <v>86</v>
      </c>
      <c r="N20" t="s">
        <v>1195</v>
      </c>
    </row>
    <row r="21" spans="1:14">
      <c r="A21" t="s">
        <v>1203</v>
      </c>
      <c r="B21" t="s">
        <v>545</v>
      </c>
      <c r="C21" t="s">
        <v>1182</v>
      </c>
      <c r="D21" t="s">
        <v>547</v>
      </c>
      <c r="E21">
        <v>20</v>
      </c>
      <c r="F21">
        <v>1</v>
      </c>
      <c r="G21">
        <v>6</v>
      </c>
      <c r="H21" t="s">
        <v>549</v>
      </c>
      <c r="I21" t="s">
        <v>551</v>
      </c>
      <c r="J21" t="s">
        <v>86</v>
      </c>
      <c r="K21" t="s">
        <v>1269</v>
      </c>
      <c r="L21" t="s">
        <v>1250</v>
      </c>
      <c r="M21" t="s">
        <v>86</v>
      </c>
      <c r="N21" t="s">
        <v>1195</v>
      </c>
    </row>
    <row r="22" spans="1:14">
      <c r="A22" t="s">
        <v>1203</v>
      </c>
      <c r="B22" t="s">
        <v>633</v>
      </c>
      <c r="C22" t="s">
        <v>634</v>
      </c>
      <c r="D22" t="s">
        <v>634</v>
      </c>
      <c r="E22">
        <v>20</v>
      </c>
      <c r="F22">
        <v>1</v>
      </c>
      <c r="G22">
        <v>6</v>
      </c>
      <c r="H22" t="s">
        <v>637</v>
      </c>
      <c r="I22" t="s">
        <v>551</v>
      </c>
      <c r="J22" t="s">
        <v>86</v>
      </c>
      <c r="K22" t="s">
        <v>1270</v>
      </c>
      <c r="L22" t="s">
        <v>1250</v>
      </c>
      <c r="M22" t="s">
        <v>86</v>
      </c>
      <c r="N22" t="s">
        <v>1195</v>
      </c>
    </row>
    <row r="23" spans="1:14">
      <c r="A23" t="s">
        <v>1203</v>
      </c>
      <c r="B23" t="s">
        <v>592</v>
      </c>
      <c r="C23" t="s">
        <v>594</v>
      </c>
      <c r="D23" t="s">
        <v>594</v>
      </c>
      <c r="E23">
        <v>20</v>
      </c>
      <c r="F23">
        <v>1</v>
      </c>
      <c r="G23">
        <v>6</v>
      </c>
      <c r="H23" t="s">
        <v>596</v>
      </c>
      <c r="I23" t="s">
        <v>551</v>
      </c>
      <c r="J23" t="s">
        <v>86</v>
      </c>
      <c r="K23" t="s">
        <v>1271</v>
      </c>
      <c r="L23" t="s">
        <v>1250</v>
      </c>
      <c r="M23" t="s">
        <v>86</v>
      </c>
      <c r="N23" t="s">
        <v>1195</v>
      </c>
    </row>
    <row r="24" spans="1:14">
      <c r="A24" t="s">
        <v>1203</v>
      </c>
      <c r="B24" t="s">
        <v>692</v>
      </c>
      <c r="C24" t="s">
        <v>694</v>
      </c>
      <c r="D24" t="s">
        <v>694</v>
      </c>
      <c r="E24">
        <v>20</v>
      </c>
      <c r="F24">
        <v>1</v>
      </c>
      <c r="G24">
        <v>6</v>
      </c>
      <c r="H24" t="s">
        <v>696</v>
      </c>
      <c r="I24" t="s">
        <v>551</v>
      </c>
      <c r="J24" t="s">
        <v>86</v>
      </c>
      <c r="K24" t="s">
        <v>1272</v>
      </c>
      <c r="L24" t="s">
        <v>1250</v>
      </c>
      <c r="M24" t="s">
        <v>86</v>
      </c>
      <c r="N24" t="s">
        <v>1195</v>
      </c>
    </row>
    <row r="25" spans="1:14">
      <c r="A25" t="s">
        <v>1203</v>
      </c>
      <c r="B25" t="s">
        <v>729</v>
      </c>
      <c r="C25" t="s">
        <v>1184</v>
      </c>
      <c r="D25" t="s">
        <v>731</v>
      </c>
      <c r="E25">
        <v>20</v>
      </c>
      <c r="F25">
        <v>2</v>
      </c>
      <c r="G25">
        <v>6</v>
      </c>
      <c r="H25" t="s">
        <v>733</v>
      </c>
      <c r="I25" t="s">
        <v>551</v>
      </c>
      <c r="J25" t="s">
        <v>86</v>
      </c>
      <c r="K25" t="s">
        <v>1273</v>
      </c>
      <c r="L25" t="s">
        <v>1250</v>
      </c>
      <c r="M25" t="s">
        <v>86</v>
      </c>
      <c r="N25" t="s">
        <v>1195</v>
      </c>
    </row>
    <row r="26" spans="1:14">
      <c r="A26" t="s">
        <v>1203</v>
      </c>
      <c r="B26" t="s">
        <v>770</v>
      </c>
      <c r="C26" t="s">
        <v>1387</v>
      </c>
      <c r="D26" t="s">
        <v>772</v>
      </c>
      <c r="E26">
        <v>20</v>
      </c>
      <c r="F26">
        <v>2</v>
      </c>
      <c r="G26">
        <v>6</v>
      </c>
      <c r="H26" t="s">
        <v>774</v>
      </c>
      <c r="I26" t="s">
        <v>551</v>
      </c>
      <c r="J26" t="s">
        <v>86</v>
      </c>
      <c r="K26" t="s">
        <v>1274</v>
      </c>
      <c r="L26" t="s">
        <v>1250</v>
      </c>
      <c r="M26" t="s">
        <v>86</v>
      </c>
      <c r="N26" t="s">
        <v>1195</v>
      </c>
    </row>
    <row r="27" spans="1:14">
      <c r="A27" t="s">
        <v>1203</v>
      </c>
      <c r="B27" t="s">
        <v>807</v>
      </c>
      <c r="C27" t="s">
        <v>808</v>
      </c>
      <c r="D27" t="s">
        <v>808</v>
      </c>
      <c r="E27">
        <v>20</v>
      </c>
      <c r="F27">
        <v>2</v>
      </c>
      <c r="G27">
        <v>6</v>
      </c>
      <c r="H27" t="s">
        <v>811</v>
      </c>
      <c r="I27" t="s">
        <v>551</v>
      </c>
      <c r="J27" t="s">
        <v>86</v>
      </c>
      <c r="K27" t="s">
        <v>1275</v>
      </c>
      <c r="L27" t="s">
        <v>1250</v>
      </c>
      <c r="M27" t="s">
        <v>86</v>
      </c>
      <c r="N27" t="s">
        <v>1195</v>
      </c>
    </row>
    <row r="28" spans="1:14">
      <c r="A28" t="s">
        <v>1203</v>
      </c>
      <c r="B28" t="s">
        <v>856</v>
      </c>
      <c r="C28" t="s">
        <v>858</v>
      </c>
      <c r="D28" t="s">
        <v>858</v>
      </c>
      <c r="E28">
        <v>20</v>
      </c>
      <c r="F28">
        <v>1</v>
      </c>
      <c r="G28">
        <v>6</v>
      </c>
      <c r="H28" t="s">
        <v>861</v>
      </c>
      <c r="I28" t="s">
        <v>551</v>
      </c>
      <c r="J28" t="s">
        <v>86</v>
      </c>
      <c r="K28" t="s">
        <v>1276</v>
      </c>
      <c r="L28" t="s">
        <v>1250</v>
      </c>
      <c r="M28" t="s">
        <v>86</v>
      </c>
      <c r="N28" t="s">
        <v>1195</v>
      </c>
    </row>
    <row r="29" spans="1:14">
      <c r="A29" t="s">
        <v>1203</v>
      </c>
      <c r="B29" t="s">
        <v>896</v>
      </c>
      <c r="C29" t="s">
        <v>1185</v>
      </c>
      <c r="D29" t="s">
        <v>898</v>
      </c>
      <c r="E29">
        <v>20</v>
      </c>
      <c r="F29" t="s">
        <v>899</v>
      </c>
      <c r="G29">
        <v>6</v>
      </c>
      <c r="H29" t="s">
        <v>901</v>
      </c>
      <c r="I29" t="s">
        <v>85</v>
      </c>
      <c r="J29" t="s">
        <v>86</v>
      </c>
      <c r="K29" t="s">
        <v>1277</v>
      </c>
      <c r="L29" t="s">
        <v>1250</v>
      </c>
      <c r="M29" t="s">
        <v>86</v>
      </c>
      <c r="N29" t="s">
        <v>1195</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1138-D14A-45A0-8E10-7F4B452464FD}">
  <sheetPr codeName="Sheet33"/>
  <dimension ref="A1:K312"/>
  <sheetViews>
    <sheetView workbookViewId="0">
      <selection sqref="A1:K286"/>
    </sheetView>
  </sheetViews>
  <sheetFormatPr defaultColWidth="8.85546875" defaultRowHeight="15"/>
  <cols>
    <col min="1" max="1" width="49" bestFit="1" customWidth="1"/>
    <col min="2" max="2" width="16.85546875" bestFit="1" customWidth="1"/>
    <col min="3" max="3" width="17.42578125" bestFit="1" customWidth="1"/>
    <col min="4" max="4" width="13.42578125" bestFit="1" customWidth="1"/>
    <col min="5" max="5" width="42.42578125" bestFit="1" customWidth="1"/>
    <col min="6" max="6" width="38" bestFit="1" customWidth="1"/>
    <col min="7" max="7" width="14.85546875" bestFit="1" customWidth="1"/>
    <col min="8" max="8" width="12.7109375" bestFit="1" customWidth="1"/>
    <col min="9" max="9" width="24.5703125" bestFit="1" customWidth="1"/>
    <col min="10" max="10" width="12.140625" bestFit="1" customWidth="1"/>
    <col min="11" max="11" width="65.5703125" bestFit="1" customWidth="1"/>
  </cols>
  <sheetData>
    <row r="1" spans="1:11">
      <c r="A1" t="s">
        <v>1189</v>
      </c>
      <c r="B1" t="s">
        <v>1191</v>
      </c>
      <c r="C1" t="s">
        <v>34</v>
      </c>
      <c r="D1" t="s">
        <v>26</v>
      </c>
      <c r="E1" t="s">
        <v>48</v>
      </c>
      <c r="F1" t="s">
        <v>49</v>
      </c>
      <c r="G1" t="s">
        <v>1159</v>
      </c>
      <c r="H1" t="s">
        <v>1248</v>
      </c>
      <c r="I1" t="s">
        <v>1190</v>
      </c>
      <c r="J1" t="s">
        <v>1192</v>
      </c>
      <c r="K1" t="s">
        <v>1160</v>
      </c>
    </row>
    <row r="2" spans="1:11">
      <c r="A2" t="s">
        <v>1203</v>
      </c>
      <c r="B2" t="s">
        <v>1278</v>
      </c>
      <c r="C2" t="s">
        <v>40</v>
      </c>
      <c r="D2" t="s">
        <v>28</v>
      </c>
      <c r="E2" t="s">
        <v>100</v>
      </c>
      <c r="F2" t="s">
        <v>101</v>
      </c>
      <c r="G2" t="s">
        <v>80</v>
      </c>
      <c r="H2" t="s">
        <v>1279</v>
      </c>
      <c r="I2" t="s">
        <v>86</v>
      </c>
      <c r="J2" t="s">
        <v>1195</v>
      </c>
      <c r="K2" t="s">
        <v>1243</v>
      </c>
    </row>
    <row r="3" spans="1:11">
      <c r="A3" t="s">
        <v>1203</v>
      </c>
      <c r="B3" t="s">
        <v>1278</v>
      </c>
      <c r="C3" t="s">
        <v>40</v>
      </c>
      <c r="D3" t="s">
        <v>28</v>
      </c>
      <c r="E3" t="s">
        <v>102</v>
      </c>
      <c r="F3" t="s">
        <v>103</v>
      </c>
      <c r="G3" t="s">
        <v>80</v>
      </c>
      <c r="H3" t="s">
        <v>1279</v>
      </c>
      <c r="I3" t="s">
        <v>86</v>
      </c>
      <c r="J3" t="s">
        <v>1195</v>
      </c>
      <c r="K3" t="s">
        <v>1243</v>
      </c>
    </row>
    <row r="4" spans="1:11">
      <c r="A4" t="s">
        <v>1203</v>
      </c>
      <c r="B4" t="s">
        <v>1278</v>
      </c>
      <c r="C4" t="s">
        <v>40</v>
      </c>
      <c r="D4" t="s">
        <v>28</v>
      </c>
      <c r="E4" t="s">
        <v>55</v>
      </c>
      <c r="F4" t="s">
        <v>56</v>
      </c>
      <c r="G4" t="s">
        <v>80</v>
      </c>
      <c r="H4" t="s">
        <v>1279</v>
      </c>
      <c r="I4" t="s">
        <v>86</v>
      </c>
      <c r="J4" t="s">
        <v>1195</v>
      </c>
      <c r="K4" t="s">
        <v>1243</v>
      </c>
    </row>
    <row r="5" spans="1:11">
      <c r="A5" t="s">
        <v>1203</v>
      </c>
      <c r="B5" t="s">
        <v>1278</v>
      </c>
      <c r="C5" t="s">
        <v>44</v>
      </c>
      <c r="D5" t="s">
        <v>29</v>
      </c>
      <c r="E5" t="s">
        <v>55</v>
      </c>
      <c r="F5" t="s">
        <v>104</v>
      </c>
      <c r="G5" t="s">
        <v>80</v>
      </c>
      <c r="H5" t="s">
        <v>1279</v>
      </c>
      <c r="I5" t="s">
        <v>86</v>
      </c>
      <c r="J5" t="s">
        <v>1195</v>
      </c>
      <c r="K5" t="s">
        <v>1243</v>
      </c>
    </row>
    <row r="6" spans="1:11">
      <c r="A6" t="s">
        <v>1203</v>
      </c>
      <c r="B6" t="s">
        <v>1278</v>
      </c>
      <c r="C6" t="s">
        <v>44</v>
      </c>
      <c r="D6" t="s">
        <v>30</v>
      </c>
      <c r="E6" t="s">
        <v>100</v>
      </c>
      <c r="F6" t="s">
        <v>105</v>
      </c>
      <c r="G6" t="s">
        <v>80</v>
      </c>
      <c r="H6" t="s">
        <v>1279</v>
      </c>
      <c r="I6" t="s">
        <v>86</v>
      </c>
      <c r="J6" t="s">
        <v>1195</v>
      </c>
      <c r="K6" t="s">
        <v>1243</v>
      </c>
    </row>
    <row r="7" spans="1:11">
      <c r="A7" t="s">
        <v>1203</v>
      </c>
      <c r="B7" t="s">
        <v>1278</v>
      </c>
      <c r="C7" t="s">
        <v>44</v>
      </c>
      <c r="D7" t="s">
        <v>30</v>
      </c>
      <c r="E7" t="s">
        <v>106</v>
      </c>
      <c r="F7" t="s">
        <v>107</v>
      </c>
      <c r="G7" t="s">
        <v>80</v>
      </c>
      <c r="H7" t="s">
        <v>1279</v>
      </c>
      <c r="I7" t="s">
        <v>86</v>
      </c>
      <c r="J7" t="s">
        <v>1195</v>
      </c>
      <c r="K7" t="s">
        <v>1243</v>
      </c>
    </row>
    <row r="8" spans="1:11">
      <c r="A8" t="s">
        <v>1203</v>
      </c>
      <c r="B8" t="s">
        <v>1280</v>
      </c>
      <c r="C8" t="s">
        <v>40</v>
      </c>
      <c r="D8" t="s">
        <v>28</v>
      </c>
      <c r="E8" t="s">
        <v>50</v>
      </c>
      <c r="F8" t="s">
        <v>51</v>
      </c>
      <c r="G8" t="s">
        <v>255</v>
      </c>
      <c r="H8" t="s">
        <v>1279</v>
      </c>
      <c r="I8" t="s">
        <v>86</v>
      </c>
      <c r="J8" t="s">
        <v>1195</v>
      </c>
      <c r="K8" t="s">
        <v>1171</v>
      </c>
    </row>
    <row r="9" spans="1:11">
      <c r="A9" t="s">
        <v>1203</v>
      </c>
      <c r="B9" t="s">
        <v>1280</v>
      </c>
      <c r="C9" t="s">
        <v>40</v>
      </c>
      <c r="D9" t="s">
        <v>28</v>
      </c>
      <c r="E9" t="s">
        <v>50</v>
      </c>
      <c r="F9" t="s">
        <v>52</v>
      </c>
      <c r="G9" t="s">
        <v>255</v>
      </c>
      <c r="H9" t="s">
        <v>1279</v>
      </c>
      <c r="I9" t="s">
        <v>86</v>
      </c>
      <c r="J9" t="s">
        <v>1195</v>
      </c>
      <c r="K9" t="s">
        <v>1171</v>
      </c>
    </row>
    <row r="10" spans="1:11">
      <c r="A10" t="s">
        <v>1203</v>
      </c>
      <c r="B10" t="s">
        <v>1280</v>
      </c>
      <c r="C10" t="s">
        <v>44</v>
      </c>
      <c r="D10" t="s">
        <v>29</v>
      </c>
      <c r="E10" t="s">
        <v>50</v>
      </c>
      <c r="F10" t="s">
        <v>51</v>
      </c>
      <c r="G10" t="s">
        <v>255</v>
      </c>
      <c r="H10" t="s">
        <v>1279</v>
      </c>
      <c r="I10" t="s">
        <v>86</v>
      </c>
      <c r="J10" t="s">
        <v>1195</v>
      </c>
      <c r="K10" t="s">
        <v>1171</v>
      </c>
    </row>
    <row r="11" spans="1:11">
      <c r="A11" t="s">
        <v>1203</v>
      </c>
      <c r="B11" t="s">
        <v>1280</v>
      </c>
      <c r="C11" t="s">
        <v>44</v>
      </c>
      <c r="D11" t="s">
        <v>29</v>
      </c>
      <c r="E11" t="s">
        <v>55</v>
      </c>
      <c r="F11" t="s">
        <v>56</v>
      </c>
      <c r="G11" t="s">
        <v>255</v>
      </c>
      <c r="H11" t="s">
        <v>1279</v>
      </c>
      <c r="I11" t="s">
        <v>86</v>
      </c>
      <c r="J11" t="s">
        <v>1195</v>
      </c>
      <c r="K11" t="s">
        <v>1171</v>
      </c>
    </row>
    <row r="12" spans="1:11">
      <c r="A12" t="s">
        <v>1203</v>
      </c>
      <c r="B12" t="s">
        <v>1280</v>
      </c>
      <c r="C12" t="s">
        <v>44</v>
      </c>
      <c r="D12" t="s">
        <v>29</v>
      </c>
      <c r="E12" t="s">
        <v>57</v>
      </c>
      <c r="F12" t="s">
        <v>58</v>
      </c>
      <c r="G12" t="s">
        <v>255</v>
      </c>
      <c r="H12" t="s">
        <v>1279</v>
      </c>
      <c r="I12" t="s">
        <v>86</v>
      </c>
      <c r="J12" t="s">
        <v>1195</v>
      </c>
      <c r="K12" t="s">
        <v>1171</v>
      </c>
    </row>
    <row r="13" spans="1:11">
      <c r="A13" t="s">
        <v>1203</v>
      </c>
      <c r="B13" t="s">
        <v>1280</v>
      </c>
      <c r="C13" t="s">
        <v>44</v>
      </c>
      <c r="D13" t="s">
        <v>29</v>
      </c>
      <c r="E13" t="s">
        <v>53</v>
      </c>
      <c r="F13" t="s">
        <v>167</v>
      </c>
      <c r="G13" t="s">
        <v>255</v>
      </c>
      <c r="H13" t="s">
        <v>1279</v>
      </c>
      <c r="I13" t="s">
        <v>86</v>
      </c>
      <c r="J13" t="s">
        <v>1195</v>
      </c>
      <c r="K13" t="s">
        <v>1171</v>
      </c>
    </row>
    <row r="14" spans="1:11">
      <c r="A14" t="s">
        <v>1203</v>
      </c>
      <c r="B14" t="s">
        <v>1280</v>
      </c>
      <c r="C14" t="s">
        <v>44</v>
      </c>
      <c r="D14" t="s">
        <v>29</v>
      </c>
      <c r="E14" t="s">
        <v>168</v>
      </c>
      <c r="F14" t="s">
        <v>272</v>
      </c>
      <c r="G14" t="s">
        <v>255</v>
      </c>
      <c r="H14" t="s">
        <v>1279</v>
      </c>
      <c r="I14" t="s">
        <v>86</v>
      </c>
      <c r="J14" t="s">
        <v>1195</v>
      </c>
      <c r="K14" t="s">
        <v>1171</v>
      </c>
    </row>
    <row r="15" spans="1:11">
      <c r="A15" t="s">
        <v>1203</v>
      </c>
      <c r="B15" t="s">
        <v>1280</v>
      </c>
      <c r="C15" t="s">
        <v>44</v>
      </c>
      <c r="D15" t="s">
        <v>29</v>
      </c>
      <c r="E15" t="s">
        <v>168</v>
      </c>
      <c r="F15" t="s">
        <v>169</v>
      </c>
      <c r="G15" t="s">
        <v>255</v>
      </c>
      <c r="H15" t="s">
        <v>1279</v>
      </c>
      <c r="I15" t="s">
        <v>86</v>
      </c>
      <c r="J15" t="s">
        <v>1195</v>
      </c>
      <c r="K15" t="s">
        <v>1171</v>
      </c>
    </row>
    <row r="16" spans="1:11">
      <c r="A16" t="s">
        <v>1203</v>
      </c>
      <c r="B16" t="s">
        <v>1280</v>
      </c>
      <c r="C16" t="s">
        <v>44</v>
      </c>
      <c r="D16" t="s">
        <v>29</v>
      </c>
      <c r="E16" t="s">
        <v>106</v>
      </c>
      <c r="F16" t="s">
        <v>273</v>
      </c>
      <c r="G16" t="s">
        <v>255</v>
      </c>
      <c r="H16" t="s">
        <v>1279</v>
      </c>
      <c r="I16" t="s">
        <v>86</v>
      </c>
      <c r="J16" t="s">
        <v>1195</v>
      </c>
      <c r="K16" t="s">
        <v>1171</v>
      </c>
    </row>
    <row r="17" spans="1:11">
      <c r="A17" t="s">
        <v>1203</v>
      </c>
      <c r="B17" t="s">
        <v>1280</v>
      </c>
      <c r="C17" t="s">
        <v>44</v>
      </c>
      <c r="D17" t="s">
        <v>29</v>
      </c>
      <c r="E17" t="s">
        <v>100</v>
      </c>
      <c r="F17" t="s">
        <v>101</v>
      </c>
      <c r="G17" t="s">
        <v>255</v>
      </c>
      <c r="H17" t="s">
        <v>1279</v>
      </c>
      <c r="I17" t="s">
        <v>86</v>
      </c>
      <c r="J17" t="s">
        <v>1195</v>
      </c>
      <c r="K17" t="s">
        <v>1171</v>
      </c>
    </row>
    <row r="18" spans="1:11">
      <c r="A18" t="s">
        <v>1203</v>
      </c>
      <c r="B18" t="s">
        <v>1281</v>
      </c>
      <c r="C18" t="s">
        <v>40</v>
      </c>
      <c r="D18" t="s">
        <v>28</v>
      </c>
      <c r="E18" t="s">
        <v>50</v>
      </c>
      <c r="F18" t="s">
        <v>51</v>
      </c>
      <c r="G18" t="s">
        <v>143</v>
      </c>
      <c r="H18" t="s">
        <v>1279</v>
      </c>
      <c r="I18" t="s">
        <v>86</v>
      </c>
      <c r="J18" t="s">
        <v>1195</v>
      </c>
      <c r="K18" t="s">
        <v>144</v>
      </c>
    </row>
    <row r="19" spans="1:11">
      <c r="A19" t="s">
        <v>1203</v>
      </c>
      <c r="B19" t="s">
        <v>1281</v>
      </c>
      <c r="C19" t="s">
        <v>40</v>
      </c>
      <c r="D19" t="s">
        <v>28</v>
      </c>
      <c r="E19" t="s">
        <v>50</v>
      </c>
      <c r="F19" t="s">
        <v>52</v>
      </c>
      <c r="G19" t="s">
        <v>143</v>
      </c>
      <c r="H19" t="s">
        <v>1279</v>
      </c>
      <c r="I19" t="s">
        <v>86</v>
      </c>
      <c r="J19" t="s">
        <v>1195</v>
      </c>
      <c r="K19" t="s">
        <v>144</v>
      </c>
    </row>
    <row r="20" spans="1:11">
      <c r="A20" t="s">
        <v>1203</v>
      </c>
      <c r="B20" t="s">
        <v>1281</v>
      </c>
      <c r="C20" t="s">
        <v>40</v>
      </c>
      <c r="D20" t="s">
        <v>29</v>
      </c>
      <c r="E20" t="s">
        <v>57</v>
      </c>
      <c r="F20" t="s">
        <v>58</v>
      </c>
      <c r="G20" t="s">
        <v>143</v>
      </c>
      <c r="H20" t="s">
        <v>1279</v>
      </c>
      <c r="I20" t="s">
        <v>86</v>
      </c>
      <c r="J20" t="s">
        <v>1195</v>
      </c>
      <c r="K20" t="s">
        <v>144</v>
      </c>
    </row>
    <row r="21" spans="1:11">
      <c r="A21" t="s">
        <v>1203</v>
      </c>
      <c r="B21" t="s">
        <v>1281</v>
      </c>
      <c r="C21" t="s">
        <v>40</v>
      </c>
      <c r="D21" t="s">
        <v>29</v>
      </c>
      <c r="E21" t="s">
        <v>53</v>
      </c>
      <c r="F21" t="s">
        <v>167</v>
      </c>
      <c r="G21" t="s">
        <v>143</v>
      </c>
      <c r="H21" t="s">
        <v>1279</v>
      </c>
      <c r="I21" t="s">
        <v>86</v>
      </c>
      <c r="J21" t="s">
        <v>1195</v>
      </c>
      <c r="K21" t="s">
        <v>144</v>
      </c>
    </row>
    <row r="22" spans="1:11">
      <c r="A22" t="s">
        <v>1203</v>
      </c>
      <c r="B22" t="s">
        <v>1281</v>
      </c>
      <c r="C22" t="s">
        <v>40</v>
      </c>
      <c r="D22" t="s">
        <v>28</v>
      </c>
      <c r="E22" t="s">
        <v>168</v>
      </c>
      <c r="F22" t="s">
        <v>169</v>
      </c>
      <c r="G22" t="s">
        <v>143</v>
      </c>
      <c r="H22" t="s">
        <v>1279</v>
      </c>
      <c r="I22" t="s">
        <v>86</v>
      </c>
      <c r="J22" t="s">
        <v>1195</v>
      </c>
      <c r="K22" t="s">
        <v>144</v>
      </c>
    </row>
    <row r="23" spans="1:11">
      <c r="A23" t="s">
        <v>1203</v>
      </c>
      <c r="B23" t="s">
        <v>1281</v>
      </c>
      <c r="C23" t="s">
        <v>40</v>
      </c>
      <c r="D23" t="s">
        <v>29</v>
      </c>
      <c r="E23" t="s">
        <v>100</v>
      </c>
      <c r="F23" t="s">
        <v>101</v>
      </c>
      <c r="G23" t="s">
        <v>143</v>
      </c>
      <c r="H23" t="s">
        <v>1279</v>
      </c>
      <c r="I23" t="s">
        <v>86</v>
      </c>
      <c r="J23" t="s">
        <v>1195</v>
      </c>
      <c r="K23" t="s">
        <v>144</v>
      </c>
    </row>
    <row r="24" spans="1:11">
      <c r="A24" t="s">
        <v>1203</v>
      </c>
      <c r="B24" t="s">
        <v>1281</v>
      </c>
      <c r="C24" t="s">
        <v>44</v>
      </c>
      <c r="D24" t="s">
        <v>28</v>
      </c>
      <c r="E24" t="s">
        <v>50</v>
      </c>
      <c r="F24" t="s">
        <v>51</v>
      </c>
      <c r="G24" t="s">
        <v>143</v>
      </c>
      <c r="H24" t="s">
        <v>1279</v>
      </c>
      <c r="I24" t="s">
        <v>86</v>
      </c>
      <c r="J24" t="s">
        <v>1195</v>
      </c>
      <c r="K24" t="s">
        <v>144</v>
      </c>
    </row>
    <row r="25" spans="1:11">
      <c r="A25" t="s">
        <v>1203</v>
      </c>
      <c r="B25" t="s">
        <v>1281</v>
      </c>
      <c r="C25" t="s">
        <v>44</v>
      </c>
      <c r="D25" t="s">
        <v>28</v>
      </c>
      <c r="E25" t="s">
        <v>50</v>
      </c>
      <c r="F25" t="s">
        <v>52</v>
      </c>
      <c r="G25" t="s">
        <v>143</v>
      </c>
      <c r="H25" t="s">
        <v>1279</v>
      </c>
      <c r="I25" t="s">
        <v>86</v>
      </c>
      <c r="J25" t="s">
        <v>1195</v>
      </c>
      <c r="K25" t="s">
        <v>144</v>
      </c>
    </row>
    <row r="26" spans="1:11">
      <c r="A26" t="s">
        <v>1203</v>
      </c>
      <c r="B26" t="s">
        <v>1281</v>
      </c>
      <c r="C26" t="s">
        <v>44</v>
      </c>
      <c r="D26" t="s">
        <v>29</v>
      </c>
      <c r="E26" t="s">
        <v>57</v>
      </c>
      <c r="F26" t="s">
        <v>58</v>
      </c>
      <c r="G26" t="s">
        <v>143</v>
      </c>
      <c r="H26" t="s">
        <v>1279</v>
      </c>
      <c r="I26" t="s">
        <v>86</v>
      </c>
      <c r="J26" t="s">
        <v>1195</v>
      </c>
      <c r="K26" t="s">
        <v>144</v>
      </c>
    </row>
    <row r="27" spans="1:11">
      <c r="A27" t="s">
        <v>1203</v>
      </c>
      <c r="B27" t="s">
        <v>1281</v>
      </c>
      <c r="C27" t="s">
        <v>44</v>
      </c>
      <c r="D27" t="s">
        <v>29</v>
      </c>
      <c r="E27" t="s">
        <v>53</v>
      </c>
      <c r="F27" t="s">
        <v>167</v>
      </c>
      <c r="G27" t="s">
        <v>143</v>
      </c>
      <c r="H27" t="s">
        <v>1279</v>
      </c>
      <c r="I27" t="s">
        <v>86</v>
      </c>
      <c r="J27" t="s">
        <v>1195</v>
      </c>
      <c r="K27" t="s">
        <v>144</v>
      </c>
    </row>
    <row r="28" spans="1:11">
      <c r="A28" t="s">
        <v>1203</v>
      </c>
      <c r="B28" t="s">
        <v>1281</v>
      </c>
      <c r="C28" t="s">
        <v>44</v>
      </c>
      <c r="D28" t="s">
        <v>28</v>
      </c>
      <c r="E28" t="s">
        <v>168</v>
      </c>
      <c r="F28" t="s">
        <v>169</v>
      </c>
      <c r="G28" t="s">
        <v>143</v>
      </c>
      <c r="H28" t="s">
        <v>1279</v>
      </c>
      <c r="I28" t="s">
        <v>86</v>
      </c>
      <c r="J28" t="s">
        <v>1195</v>
      </c>
      <c r="K28" t="s">
        <v>144</v>
      </c>
    </row>
    <row r="29" spans="1:11">
      <c r="A29" t="s">
        <v>1203</v>
      </c>
      <c r="B29" t="s">
        <v>1281</v>
      </c>
      <c r="C29" t="s">
        <v>44</v>
      </c>
      <c r="D29" t="s">
        <v>29</v>
      </c>
      <c r="E29" t="s">
        <v>100</v>
      </c>
      <c r="F29" t="s">
        <v>101</v>
      </c>
      <c r="G29" t="s">
        <v>143</v>
      </c>
      <c r="H29" t="s">
        <v>1279</v>
      </c>
      <c r="I29" t="s">
        <v>86</v>
      </c>
      <c r="J29" t="s">
        <v>1195</v>
      </c>
      <c r="K29" t="s">
        <v>144</v>
      </c>
    </row>
    <row r="30" spans="1:11">
      <c r="A30" t="s">
        <v>1203</v>
      </c>
      <c r="B30" t="s">
        <v>1282</v>
      </c>
      <c r="C30" t="s">
        <v>40</v>
      </c>
      <c r="D30" t="s">
        <v>28</v>
      </c>
      <c r="E30" t="s">
        <v>50</v>
      </c>
      <c r="F30" t="s">
        <v>52</v>
      </c>
      <c r="G30" t="s">
        <v>193</v>
      </c>
      <c r="H30" t="s">
        <v>1279</v>
      </c>
      <c r="I30" t="s">
        <v>86</v>
      </c>
      <c r="J30" t="s">
        <v>1195</v>
      </c>
      <c r="K30" t="s">
        <v>1283</v>
      </c>
    </row>
    <row r="31" spans="1:11">
      <c r="A31" t="s">
        <v>1203</v>
      </c>
      <c r="B31" t="s">
        <v>1282</v>
      </c>
      <c r="C31" t="s">
        <v>40</v>
      </c>
      <c r="D31" t="s">
        <v>28</v>
      </c>
      <c r="E31" t="s">
        <v>50</v>
      </c>
      <c r="F31" t="s">
        <v>214</v>
      </c>
      <c r="G31" t="s">
        <v>193</v>
      </c>
      <c r="H31" t="s">
        <v>1279</v>
      </c>
      <c r="I31" t="s">
        <v>86</v>
      </c>
      <c r="J31" t="s">
        <v>1195</v>
      </c>
      <c r="K31" t="s">
        <v>1283</v>
      </c>
    </row>
    <row r="32" spans="1:11">
      <c r="A32" t="s">
        <v>1203</v>
      </c>
      <c r="B32" t="s">
        <v>1282</v>
      </c>
      <c r="C32" t="s">
        <v>40</v>
      </c>
      <c r="D32" t="s">
        <v>29</v>
      </c>
      <c r="E32" t="s">
        <v>57</v>
      </c>
      <c r="F32" t="s">
        <v>215</v>
      </c>
      <c r="G32" t="s">
        <v>193</v>
      </c>
      <c r="H32" t="s">
        <v>1279</v>
      </c>
      <c r="I32" t="s">
        <v>86</v>
      </c>
      <c r="J32" t="s">
        <v>1195</v>
      </c>
      <c r="K32" t="s">
        <v>1283</v>
      </c>
    </row>
    <row r="33" spans="1:11">
      <c r="A33" t="s">
        <v>1203</v>
      </c>
      <c r="B33" t="s">
        <v>1282</v>
      </c>
      <c r="C33" t="s">
        <v>40</v>
      </c>
      <c r="D33" t="s">
        <v>29</v>
      </c>
      <c r="E33" t="s">
        <v>168</v>
      </c>
      <c r="F33" t="s">
        <v>169</v>
      </c>
      <c r="G33" t="s">
        <v>193</v>
      </c>
      <c r="H33" t="s">
        <v>1279</v>
      </c>
      <c r="I33" t="s">
        <v>86</v>
      </c>
      <c r="J33" t="s">
        <v>1195</v>
      </c>
      <c r="K33" t="s">
        <v>1283</v>
      </c>
    </row>
    <row r="34" spans="1:11">
      <c r="A34" t="s">
        <v>1203</v>
      </c>
      <c r="B34" t="s">
        <v>1282</v>
      </c>
      <c r="C34" t="s">
        <v>40</v>
      </c>
      <c r="D34" t="s">
        <v>29</v>
      </c>
      <c r="E34" t="s">
        <v>55</v>
      </c>
      <c r="F34" t="s">
        <v>216</v>
      </c>
      <c r="G34" t="s">
        <v>193</v>
      </c>
      <c r="H34" t="s">
        <v>1279</v>
      </c>
      <c r="I34" t="s">
        <v>86</v>
      </c>
      <c r="J34" t="s">
        <v>1195</v>
      </c>
      <c r="K34" t="s">
        <v>1283</v>
      </c>
    </row>
    <row r="35" spans="1:11">
      <c r="A35" t="s">
        <v>1203</v>
      </c>
      <c r="B35" t="s">
        <v>1282</v>
      </c>
      <c r="C35" t="s">
        <v>40</v>
      </c>
      <c r="D35" t="s">
        <v>30</v>
      </c>
      <c r="E35" t="s">
        <v>100</v>
      </c>
      <c r="F35" t="s">
        <v>101</v>
      </c>
      <c r="G35" t="s">
        <v>193</v>
      </c>
      <c r="H35" t="s">
        <v>1279</v>
      </c>
      <c r="I35" t="s">
        <v>86</v>
      </c>
      <c r="J35" t="s">
        <v>1195</v>
      </c>
      <c r="K35" t="s">
        <v>1283</v>
      </c>
    </row>
    <row r="36" spans="1:11">
      <c r="A36" t="s">
        <v>1203</v>
      </c>
      <c r="B36" t="s">
        <v>1282</v>
      </c>
      <c r="C36" t="s">
        <v>44</v>
      </c>
      <c r="D36" t="s">
        <v>28</v>
      </c>
      <c r="E36" t="s">
        <v>50</v>
      </c>
      <c r="F36" t="s">
        <v>52</v>
      </c>
      <c r="G36" t="s">
        <v>193</v>
      </c>
      <c r="H36" t="s">
        <v>1279</v>
      </c>
      <c r="I36" t="s">
        <v>86</v>
      </c>
      <c r="J36" t="s">
        <v>1195</v>
      </c>
      <c r="K36" t="s">
        <v>1283</v>
      </c>
    </row>
    <row r="37" spans="1:11">
      <c r="A37" t="s">
        <v>1203</v>
      </c>
      <c r="B37" t="s">
        <v>1282</v>
      </c>
      <c r="C37" t="s">
        <v>44</v>
      </c>
      <c r="D37" t="s">
        <v>29</v>
      </c>
      <c r="E37" t="s">
        <v>50</v>
      </c>
      <c r="F37" t="s">
        <v>52</v>
      </c>
      <c r="G37" t="s">
        <v>193</v>
      </c>
      <c r="H37" t="s">
        <v>1279</v>
      </c>
      <c r="I37" t="s">
        <v>86</v>
      </c>
      <c r="J37" t="s">
        <v>1195</v>
      </c>
      <c r="K37" t="s">
        <v>1283</v>
      </c>
    </row>
    <row r="38" spans="1:11">
      <c r="A38" t="s">
        <v>1203</v>
      </c>
      <c r="B38" t="s">
        <v>1282</v>
      </c>
      <c r="C38" t="s">
        <v>44</v>
      </c>
      <c r="D38" t="s">
        <v>29</v>
      </c>
      <c r="E38" t="s">
        <v>50</v>
      </c>
      <c r="F38" t="s">
        <v>214</v>
      </c>
      <c r="G38" t="s">
        <v>193</v>
      </c>
      <c r="H38" t="s">
        <v>1279</v>
      </c>
      <c r="I38" t="s">
        <v>86</v>
      </c>
      <c r="J38" t="s">
        <v>1195</v>
      </c>
      <c r="K38" t="s">
        <v>1283</v>
      </c>
    </row>
    <row r="39" spans="1:11">
      <c r="A39" t="s">
        <v>1203</v>
      </c>
      <c r="B39" t="s">
        <v>1282</v>
      </c>
      <c r="C39" t="s">
        <v>44</v>
      </c>
      <c r="D39" t="s">
        <v>30</v>
      </c>
      <c r="E39" t="s">
        <v>53</v>
      </c>
      <c r="F39" t="s">
        <v>217</v>
      </c>
      <c r="G39" t="s">
        <v>193</v>
      </c>
      <c r="H39" t="s">
        <v>1279</v>
      </c>
      <c r="I39" t="s">
        <v>86</v>
      </c>
      <c r="J39" t="s">
        <v>1195</v>
      </c>
      <c r="K39" t="s">
        <v>1283</v>
      </c>
    </row>
    <row r="40" spans="1:11">
      <c r="A40" t="s">
        <v>1203</v>
      </c>
      <c r="B40" t="s">
        <v>1284</v>
      </c>
      <c r="C40" t="s">
        <v>40</v>
      </c>
      <c r="D40" t="s">
        <v>28</v>
      </c>
      <c r="E40" t="s">
        <v>50</v>
      </c>
      <c r="F40" t="s">
        <v>51</v>
      </c>
      <c r="G40" t="s">
        <v>289</v>
      </c>
      <c r="H40" t="s">
        <v>1279</v>
      </c>
      <c r="I40" t="s">
        <v>86</v>
      </c>
      <c r="J40" t="s">
        <v>1195</v>
      </c>
      <c r="K40" t="s">
        <v>291</v>
      </c>
    </row>
    <row r="41" spans="1:11">
      <c r="A41" t="s">
        <v>1203</v>
      </c>
      <c r="B41" t="s">
        <v>1284</v>
      </c>
      <c r="C41" t="s">
        <v>40</v>
      </c>
      <c r="D41" t="s">
        <v>28</v>
      </c>
      <c r="E41" t="s">
        <v>53</v>
      </c>
      <c r="F41" t="s">
        <v>167</v>
      </c>
      <c r="G41" t="s">
        <v>289</v>
      </c>
      <c r="H41" t="s">
        <v>1279</v>
      </c>
      <c r="I41" t="s">
        <v>86</v>
      </c>
      <c r="J41" t="s">
        <v>1195</v>
      </c>
      <c r="K41" t="s">
        <v>291</v>
      </c>
    </row>
    <row r="42" spans="1:11">
      <c r="A42" t="s">
        <v>1203</v>
      </c>
      <c r="B42" t="s">
        <v>1284</v>
      </c>
      <c r="C42" t="s">
        <v>44</v>
      </c>
      <c r="D42" t="s">
        <v>29</v>
      </c>
      <c r="E42" t="s">
        <v>55</v>
      </c>
      <c r="F42" t="s">
        <v>314</v>
      </c>
      <c r="G42" t="s">
        <v>289</v>
      </c>
      <c r="H42" t="s">
        <v>1279</v>
      </c>
      <c r="I42" t="s">
        <v>86</v>
      </c>
      <c r="J42" t="s">
        <v>1195</v>
      </c>
      <c r="K42" t="s">
        <v>291</v>
      </c>
    </row>
    <row r="43" spans="1:11">
      <c r="A43" t="s">
        <v>1203</v>
      </c>
      <c r="B43" t="s">
        <v>1284</v>
      </c>
      <c r="C43" t="s">
        <v>44</v>
      </c>
      <c r="D43" t="s">
        <v>29</v>
      </c>
      <c r="E43" t="s">
        <v>57</v>
      </c>
      <c r="F43" t="s">
        <v>215</v>
      </c>
      <c r="G43" t="s">
        <v>289</v>
      </c>
      <c r="H43" t="s">
        <v>1279</v>
      </c>
      <c r="I43" t="s">
        <v>86</v>
      </c>
      <c r="J43" t="s">
        <v>1195</v>
      </c>
      <c r="K43" t="s">
        <v>291</v>
      </c>
    </row>
    <row r="44" spans="1:11">
      <c r="A44" t="s">
        <v>1203</v>
      </c>
      <c r="B44" t="s">
        <v>1284</v>
      </c>
      <c r="C44" t="s">
        <v>44</v>
      </c>
      <c r="D44" t="s">
        <v>29</v>
      </c>
      <c r="E44" t="s">
        <v>53</v>
      </c>
      <c r="F44" t="s">
        <v>167</v>
      </c>
      <c r="G44" t="s">
        <v>289</v>
      </c>
      <c r="H44" t="s">
        <v>1279</v>
      </c>
      <c r="I44" t="s">
        <v>86</v>
      </c>
      <c r="J44" t="s">
        <v>1195</v>
      </c>
      <c r="K44" t="s">
        <v>291</v>
      </c>
    </row>
    <row r="45" spans="1:11">
      <c r="A45" t="s">
        <v>1203</v>
      </c>
      <c r="B45" t="s">
        <v>1284</v>
      </c>
      <c r="C45" t="s">
        <v>44</v>
      </c>
      <c r="D45" t="s">
        <v>29</v>
      </c>
      <c r="E45" t="s">
        <v>315</v>
      </c>
      <c r="F45" t="s">
        <v>316</v>
      </c>
      <c r="G45" t="s">
        <v>289</v>
      </c>
      <c r="H45" t="s">
        <v>1279</v>
      </c>
      <c r="I45" t="s">
        <v>86</v>
      </c>
      <c r="J45" t="s">
        <v>1195</v>
      </c>
      <c r="K45" t="s">
        <v>291</v>
      </c>
    </row>
    <row r="46" spans="1:11">
      <c r="A46" t="s">
        <v>1203</v>
      </c>
      <c r="B46" t="s">
        <v>1284</v>
      </c>
      <c r="C46" t="s">
        <v>44</v>
      </c>
      <c r="D46" t="s">
        <v>30</v>
      </c>
      <c r="E46" t="s">
        <v>50</v>
      </c>
      <c r="F46" t="s">
        <v>317</v>
      </c>
      <c r="G46" t="s">
        <v>289</v>
      </c>
      <c r="H46" t="s">
        <v>1279</v>
      </c>
      <c r="I46" t="s">
        <v>86</v>
      </c>
      <c r="J46" t="s">
        <v>1195</v>
      </c>
      <c r="K46" t="s">
        <v>291</v>
      </c>
    </row>
    <row r="47" spans="1:11">
      <c r="A47" t="s">
        <v>1203</v>
      </c>
      <c r="B47" t="s">
        <v>1284</v>
      </c>
      <c r="C47" t="s">
        <v>44</v>
      </c>
      <c r="D47" t="s">
        <v>30</v>
      </c>
      <c r="E47" t="s">
        <v>106</v>
      </c>
      <c r="F47" t="s">
        <v>318</v>
      </c>
      <c r="G47" t="s">
        <v>289</v>
      </c>
      <c r="H47" t="s">
        <v>1279</v>
      </c>
      <c r="I47" t="s">
        <v>86</v>
      </c>
      <c r="J47" t="s">
        <v>1195</v>
      </c>
      <c r="K47" t="s">
        <v>291</v>
      </c>
    </row>
    <row r="48" spans="1:11">
      <c r="A48" t="s">
        <v>1203</v>
      </c>
      <c r="B48" t="s">
        <v>1284</v>
      </c>
      <c r="C48" t="s">
        <v>44</v>
      </c>
      <c r="D48" t="s">
        <v>30</v>
      </c>
      <c r="E48" t="s">
        <v>106</v>
      </c>
      <c r="F48" t="s">
        <v>273</v>
      </c>
      <c r="G48" t="s">
        <v>289</v>
      </c>
      <c r="H48" t="s">
        <v>1279</v>
      </c>
      <c r="I48" t="s">
        <v>86</v>
      </c>
      <c r="J48" t="s">
        <v>1195</v>
      </c>
      <c r="K48" t="s">
        <v>291</v>
      </c>
    </row>
    <row r="49" spans="1:11">
      <c r="A49" t="s">
        <v>1203</v>
      </c>
      <c r="B49" t="s">
        <v>1284</v>
      </c>
      <c r="C49" t="s">
        <v>44</v>
      </c>
      <c r="D49" t="s">
        <v>30</v>
      </c>
      <c r="E49" t="s">
        <v>106</v>
      </c>
      <c r="F49" t="s">
        <v>319</v>
      </c>
      <c r="G49" t="s">
        <v>289</v>
      </c>
      <c r="H49" t="s">
        <v>1279</v>
      </c>
      <c r="I49" t="s">
        <v>86</v>
      </c>
      <c r="J49" t="s">
        <v>1195</v>
      </c>
      <c r="K49" t="s">
        <v>291</v>
      </c>
    </row>
    <row r="50" spans="1:11">
      <c r="A50" t="s">
        <v>1203</v>
      </c>
      <c r="B50" t="s">
        <v>1285</v>
      </c>
      <c r="C50" t="s">
        <v>40</v>
      </c>
      <c r="D50" t="s">
        <v>28</v>
      </c>
      <c r="E50" t="s">
        <v>50</v>
      </c>
      <c r="F50" t="s">
        <v>51</v>
      </c>
      <c r="G50" t="s">
        <v>351</v>
      </c>
      <c r="H50" t="s">
        <v>1279</v>
      </c>
      <c r="I50" t="s">
        <v>86</v>
      </c>
      <c r="J50" t="s">
        <v>1195</v>
      </c>
      <c r="K50" t="s">
        <v>353</v>
      </c>
    </row>
    <row r="51" spans="1:11">
      <c r="A51" t="s">
        <v>1203</v>
      </c>
      <c r="B51" t="s">
        <v>1285</v>
      </c>
      <c r="C51" t="s">
        <v>40</v>
      </c>
      <c r="D51" t="s">
        <v>28</v>
      </c>
      <c r="E51" t="s">
        <v>50</v>
      </c>
      <c r="F51" t="s">
        <v>52</v>
      </c>
      <c r="G51" t="s">
        <v>351</v>
      </c>
      <c r="H51" t="s">
        <v>1279</v>
      </c>
      <c r="I51" t="s">
        <v>86</v>
      </c>
      <c r="J51" t="s">
        <v>1195</v>
      </c>
      <c r="K51" t="s">
        <v>353</v>
      </c>
    </row>
    <row r="52" spans="1:11">
      <c r="A52" t="s">
        <v>1203</v>
      </c>
      <c r="B52" t="s">
        <v>1285</v>
      </c>
      <c r="C52" t="s">
        <v>40</v>
      </c>
      <c r="D52" t="s">
        <v>28</v>
      </c>
      <c r="E52" t="s">
        <v>53</v>
      </c>
      <c r="F52" t="s">
        <v>54</v>
      </c>
      <c r="G52" t="s">
        <v>351</v>
      </c>
      <c r="H52" t="s">
        <v>1279</v>
      </c>
      <c r="I52" t="s">
        <v>86</v>
      </c>
      <c r="J52" t="s">
        <v>1195</v>
      </c>
      <c r="K52" t="s">
        <v>353</v>
      </c>
    </row>
    <row r="53" spans="1:11">
      <c r="A53" t="s">
        <v>1203</v>
      </c>
      <c r="B53" t="s">
        <v>1285</v>
      </c>
      <c r="C53" t="s">
        <v>40</v>
      </c>
      <c r="D53" t="s">
        <v>29</v>
      </c>
      <c r="E53" t="s">
        <v>55</v>
      </c>
      <c r="F53" t="s">
        <v>56</v>
      </c>
      <c r="G53" t="s">
        <v>351</v>
      </c>
      <c r="H53" t="s">
        <v>1279</v>
      </c>
      <c r="I53" t="s">
        <v>86</v>
      </c>
      <c r="J53" t="s">
        <v>1195</v>
      </c>
      <c r="K53" t="s">
        <v>353</v>
      </c>
    </row>
    <row r="54" spans="1:11">
      <c r="A54" t="s">
        <v>1203</v>
      </c>
      <c r="B54" t="s">
        <v>1285</v>
      </c>
      <c r="C54" t="s">
        <v>40</v>
      </c>
      <c r="D54" t="s">
        <v>29</v>
      </c>
      <c r="E54" t="s">
        <v>57</v>
      </c>
      <c r="F54" t="s">
        <v>58</v>
      </c>
      <c r="G54" t="s">
        <v>351</v>
      </c>
      <c r="H54" t="s">
        <v>1279</v>
      </c>
      <c r="I54" t="s">
        <v>86</v>
      </c>
      <c r="J54" t="s">
        <v>1195</v>
      </c>
      <c r="K54" t="s">
        <v>353</v>
      </c>
    </row>
    <row r="55" spans="1:11">
      <c r="A55" t="s">
        <v>1203</v>
      </c>
      <c r="B55" t="s">
        <v>1285</v>
      </c>
      <c r="C55" t="s">
        <v>40</v>
      </c>
      <c r="D55" t="s">
        <v>30</v>
      </c>
      <c r="E55" t="s">
        <v>168</v>
      </c>
      <c r="F55" t="s">
        <v>169</v>
      </c>
      <c r="G55" t="s">
        <v>351</v>
      </c>
      <c r="H55" t="s">
        <v>1279</v>
      </c>
      <c r="I55" t="s">
        <v>86</v>
      </c>
      <c r="J55" t="s">
        <v>1195</v>
      </c>
      <c r="K55" t="s">
        <v>353</v>
      </c>
    </row>
    <row r="56" spans="1:11">
      <c r="A56" t="s">
        <v>1203</v>
      </c>
      <c r="B56" t="s">
        <v>1285</v>
      </c>
      <c r="C56" t="s">
        <v>44</v>
      </c>
      <c r="D56" t="s">
        <v>29</v>
      </c>
      <c r="E56" t="s">
        <v>50</v>
      </c>
      <c r="F56" t="s">
        <v>52</v>
      </c>
      <c r="G56" t="s">
        <v>351</v>
      </c>
      <c r="H56" t="s">
        <v>1279</v>
      </c>
      <c r="I56" t="s">
        <v>86</v>
      </c>
      <c r="J56" t="s">
        <v>1195</v>
      </c>
      <c r="K56" t="s">
        <v>353</v>
      </c>
    </row>
    <row r="57" spans="1:11">
      <c r="A57" t="s">
        <v>1203</v>
      </c>
      <c r="B57" t="s">
        <v>1285</v>
      </c>
      <c r="C57" t="s">
        <v>44</v>
      </c>
      <c r="D57" t="s">
        <v>29</v>
      </c>
      <c r="E57" t="s">
        <v>53</v>
      </c>
      <c r="F57" t="s">
        <v>54</v>
      </c>
      <c r="G57" t="s">
        <v>351</v>
      </c>
      <c r="H57" t="s">
        <v>1279</v>
      </c>
      <c r="I57" t="s">
        <v>86</v>
      </c>
      <c r="J57" t="s">
        <v>1195</v>
      </c>
      <c r="K57" t="s">
        <v>353</v>
      </c>
    </row>
    <row r="58" spans="1:11">
      <c r="A58" t="s">
        <v>1203</v>
      </c>
      <c r="B58" t="s">
        <v>1285</v>
      </c>
      <c r="C58" t="s">
        <v>44</v>
      </c>
      <c r="D58" t="s">
        <v>30</v>
      </c>
      <c r="E58" t="s">
        <v>168</v>
      </c>
      <c r="F58" t="s">
        <v>272</v>
      </c>
      <c r="G58" t="s">
        <v>351</v>
      </c>
      <c r="H58" t="s">
        <v>1279</v>
      </c>
      <c r="I58" t="s">
        <v>86</v>
      </c>
      <c r="J58" t="s">
        <v>1195</v>
      </c>
      <c r="K58" t="s">
        <v>353</v>
      </c>
    </row>
    <row r="59" spans="1:11">
      <c r="A59" t="s">
        <v>1203</v>
      </c>
      <c r="B59" t="s">
        <v>1285</v>
      </c>
      <c r="C59" t="s">
        <v>44</v>
      </c>
      <c r="D59" t="s">
        <v>30</v>
      </c>
      <c r="E59" t="s">
        <v>55</v>
      </c>
      <c r="F59" t="s">
        <v>372</v>
      </c>
      <c r="G59" t="s">
        <v>351</v>
      </c>
      <c r="H59" t="s">
        <v>1279</v>
      </c>
      <c r="I59" t="s">
        <v>86</v>
      </c>
      <c r="J59" t="s">
        <v>1195</v>
      </c>
      <c r="K59" t="s">
        <v>353</v>
      </c>
    </row>
    <row r="60" spans="1:11">
      <c r="A60" t="s">
        <v>1203</v>
      </c>
      <c r="B60" t="s">
        <v>1286</v>
      </c>
      <c r="C60" t="s">
        <v>40</v>
      </c>
      <c r="D60" t="s">
        <v>28</v>
      </c>
      <c r="E60" t="s">
        <v>50</v>
      </c>
      <c r="F60" t="s">
        <v>52</v>
      </c>
      <c r="G60" t="s">
        <v>491</v>
      </c>
      <c r="H60" t="s">
        <v>1279</v>
      </c>
      <c r="I60" t="s">
        <v>86</v>
      </c>
      <c r="J60" t="s">
        <v>1195</v>
      </c>
      <c r="K60" t="s">
        <v>492</v>
      </c>
    </row>
    <row r="61" spans="1:11">
      <c r="A61" t="s">
        <v>1203</v>
      </c>
      <c r="B61" t="s">
        <v>1286</v>
      </c>
      <c r="C61" t="s">
        <v>40</v>
      </c>
      <c r="D61" t="s">
        <v>28</v>
      </c>
      <c r="E61" t="s">
        <v>50</v>
      </c>
      <c r="F61" t="s">
        <v>214</v>
      </c>
      <c r="G61" t="s">
        <v>491</v>
      </c>
      <c r="H61" t="s">
        <v>1279</v>
      </c>
      <c r="I61" t="s">
        <v>86</v>
      </c>
      <c r="J61" t="s">
        <v>1195</v>
      </c>
      <c r="K61" t="s">
        <v>492</v>
      </c>
    </row>
    <row r="62" spans="1:11">
      <c r="A62" t="s">
        <v>1203</v>
      </c>
      <c r="B62" t="s">
        <v>1286</v>
      </c>
      <c r="C62" t="s">
        <v>40</v>
      </c>
      <c r="D62" t="s">
        <v>28</v>
      </c>
      <c r="E62" t="s">
        <v>57</v>
      </c>
      <c r="F62" t="s">
        <v>78</v>
      </c>
      <c r="G62" t="s">
        <v>491</v>
      </c>
      <c r="H62" t="s">
        <v>1279</v>
      </c>
      <c r="I62" t="s">
        <v>86</v>
      </c>
      <c r="J62" t="s">
        <v>1195</v>
      </c>
      <c r="K62" t="s">
        <v>492</v>
      </c>
    </row>
    <row r="63" spans="1:11">
      <c r="A63" t="s">
        <v>1203</v>
      </c>
      <c r="B63" t="s">
        <v>1286</v>
      </c>
      <c r="C63" t="s">
        <v>40</v>
      </c>
      <c r="D63" t="s">
        <v>28</v>
      </c>
      <c r="E63" t="s">
        <v>168</v>
      </c>
      <c r="F63" t="s">
        <v>169</v>
      </c>
      <c r="G63" t="s">
        <v>491</v>
      </c>
      <c r="H63" t="s">
        <v>1279</v>
      </c>
      <c r="I63" t="s">
        <v>86</v>
      </c>
      <c r="J63" t="s">
        <v>1195</v>
      </c>
      <c r="K63" t="s">
        <v>492</v>
      </c>
    </row>
    <row r="64" spans="1:11">
      <c r="A64" t="s">
        <v>1203</v>
      </c>
      <c r="B64" t="s">
        <v>1286</v>
      </c>
      <c r="C64" t="s">
        <v>40</v>
      </c>
      <c r="D64" t="s">
        <v>28</v>
      </c>
      <c r="E64" t="s">
        <v>55</v>
      </c>
      <c r="F64" t="s">
        <v>372</v>
      </c>
      <c r="G64" t="s">
        <v>491</v>
      </c>
      <c r="H64" t="s">
        <v>1279</v>
      </c>
      <c r="I64" t="s">
        <v>86</v>
      </c>
      <c r="J64" t="s">
        <v>1195</v>
      </c>
      <c r="K64" t="s">
        <v>492</v>
      </c>
    </row>
    <row r="65" spans="1:11">
      <c r="A65" t="s">
        <v>1203</v>
      </c>
      <c r="B65" t="s">
        <v>1286</v>
      </c>
      <c r="C65" t="s">
        <v>44</v>
      </c>
      <c r="D65" t="s">
        <v>29</v>
      </c>
      <c r="E65" t="s">
        <v>50</v>
      </c>
      <c r="F65" t="s">
        <v>509</v>
      </c>
      <c r="G65" t="s">
        <v>491</v>
      </c>
      <c r="H65" t="s">
        <v>1279</v>
      </c>
      <c r="I65" t="s">
        <v>86</v>
      </c>
      <c r="J65" t="s">
        <v>1195</v>
      </c>
      <c r="K65" t="s">
        <v>492</v>
      </c>
    </row>
    <row r="66" spans="1:11">
      <c r="A66" t="s">
        <v>1203</v>
      </c>
      <c r="B66" t="s">
        <v>1286</v>
      </c>
      <c r="C66" t="s">
        <v>44</v>
      </c>
      <c r="D66" t="s">
        <v>29</v>
      </c>
      <c r="E66" t="s">
        <v>55</v>
      </c>
      <c r="F66" t="s">
        <v>56</v>
      </c>
      <c r="G66" t="s">
        <v>491</v>
      </c>
      <c r="H66" t="s">
        <v>1279</v>
      </c>
      <c r="I66" t="s">
        <v>86</v>
      </c>
      <c r="J66" t="s">
        <v>1195</v>
      </c>
      <c r="K66" t="s">
        <v>492</v>
      </c>
    </row>
    <row r="67" spans="1:11">
      <c r="A67" t="s">
        <v>1203</v>
      </c>
      <c r="B67" t="s">
        <v>1286</v>
      </c>
      <c r="C67" t="s">
        <v>44</v>
      </c>
      <c r="D67" t="s">
        <v>29</v>
      </c>
      <c r="E67" t="s">
        <v>55</v>
      </c>
      <c r="F67" t="s">
        <v>510</v>
      </c>
      <c r="G67" t="s">
        <v>491</v>
      </c>
      <c r="H67" t="s">
        <v>1279</v>
      </c>
      <c r="I67" t="s">
        <v>86</v>
      </c>
      <c r="J67" t="s">
        <v>1195</v>
      </c>
      <c r="K67" t="s">
        <v>492</v>
      </c>
    </row>
    <row r="68" spans="1:11">
      <c r="A68" t="s">
        <v>1203</v>
      </c>
      <c r="B68" t="s">
        <v>1286</v>
      </c>
      <c r="C68" t="s">
        <v>44</v>
      </c>
      <c r="D68" t="s">
        <v>29</v>
      </c>
      <c r="E68" t="s">
        <v>106</v>
      </c>
      <c r="F68" t="s">
        <v>273</v>
      </c>
      <c r="G68" t="s">
        <v>491</v>
      </c>
      <c r="H68" t="s">
        <v>1279</v>
      </c>
      <c r="I68" t="s">
        <v>86</v>
      </c>
      <c r="J68" t="s">
        <v>1195</v>
      </c>
      <c r="K68" t="s">
        <v>492</v>
      </c>
    </row>
    <row r="69" spans="1:11">
      <c r="A69" t="s">
        <v>1203</v>
      </c>
      <c r="B69" t="s">
        <v>1286</v>
      </c>
      <c r="C69" t="s">
        <v>44</v>
      </c>
      <c r="D69" t="s">
        <v>29</v>
      </c>
      <c r="E69" t="s">
        <v>168</v>
      </c>
      <c r="F69" t="s">
        <v>511</v>
      </c>
      <c r="G69" t="s">
        <v>491</v>
      </c>
      <c r="H69" t="s">
        <v>1279</v>
      </c>
      <c r="I69" t="s">
        <v>86</v>
      </c>
      <c r="J69" t="s">
        <v>1195</v>
      </c>
      <c r="K69" t="s">
        <v>492</v>
      </c>
    </row>
    <row r="70" spans="1:11">
      <c r="A70" t="s">
        <v>1203</v>
      </c>
      <c r="B70" t="s">
        <v>1287</v>
      </c>
      <c r="C70" t="s">
        <v>40</v>
      </c>
      <c r="D70" t="s">
        <v>28</v>
      </c>
      <c r="E70" t="s">
        <v>50</v>
      </c>
      <c r="F70" t="s">
        <v>214</v>
      </c>
      <c r="G70" t="s">
        <v>382</v>
      </c>
      <c r="H70" t="s">
        <v>1279</v>
      </c>
      <c r="I70" t="s">
        <v>86</v>
      </c>
      <c r="J70" t="s">
        <v>1195</v>
      </c>
      <c r="K70" t="s">
        <v>384</v>
      </c>
    </row>
    <row r="71" spans="1:11">
      <c r="A71" t="s">
        <v>1203</v>
      </c>
      <c r="B71" t="s">
        <v>1287</v>
      </c>
      <c r="C71" t="s">
        <v>40</v>
      </c>
      <c r="D71" t="s">
        <v>28</v>
      </c>
      <c r="E71" t="s">
        <v>57</v>
      </c>
      <c r="F71" t="s">
        <v>78</v>
      </c>
      <c r="G71" t="s">
        <v>382</v>
      </c>
      <c r="H71" t="s">
        <v>1279</v>
      </c>
      <c r="I71" t="s">
        <v>86</v>
      </c>
      <c r="J71" t="s">
        <v>1195</v>
      </c>
      <c r="K71" t="s">
        <v>384</v>
      </c>
    </row>
    <row r="72" spans="1:11">
      <c r="A72" t="s">
        <v>1203</v>
      </c>
      <c r="B72" t="s">
        <v>1287</v>
      </c>
      <c r="C72" t="s">
        <v>40</v>
      </c>
      <c r="D72" t="s">
        <v>29</v>
      </c>
      <c r="E72" t="s">
        <v>100</v>
      </c>
      <c r="F72" t="s">
        <v>101</v>
      </c>
      <c r="G72" t="s">
        <v>382</v>
      </c>
      <c r="H72" t="s">
        <v>1279</v>
      </c>
      <c r="I72" t="s">
        <v>86</v>
      </c>
      <c r="J72" t="s">
        <v>1195</v>
      </c>
      <c r="K72" t="s">
        <v>384</v>
      </c>
    </row>
    <row r="73" spans="1:11">
      <c r="A73" t="s">
        <v>1203</v>
      </c>
      <c r="B73" t="s">
        <v>1287</v>
      </c>
      <c r="C73" t="s">
        <v>40</v>
      </c>
      <c r="D73" t="s">
        <v>29</v>
      </c>
      <c r="E73" t="s">
        <v>100</v>
      </c>
      <c r="F73" t="s">
        <v>396</v>
      </c>
      <c r="G73" t="s">
        <v>382</v>
      </c>
      <c r="H73" t="s">
        <v>1279</v>
      </c>
      <c r="I73" t="s">
        <v>86</v>
      </c>
      <c r="J73" t="s">
        <v>1195</v>
      </c>
      <c r="K73" t="s">
        <v>384</v>
      </c>
    </row>
    <row r="74" spans="1:11">
      <c r="A74" t="s">
        <v>1203</v>
      </c>
      <c r="B74" t="s">
        <v>1287</v>
      </c>
      <c r="C74" t="s">
        <v>40</v>
      </c>
      <c r="D74" t="s">
        <v>30</v>
      </c>
      <c r="E74" t="s">
        <v>53</v>
      </c>
      <c r="F74" t="s">
        <v>54</v>
      </c>
      <c r="G74" t="s">
        <v>382</v>
      </c>
      <c r="H74" t="s">
        <v>1279</v>
      </c>
      <c r="I74" t="s">
        <v>86</v>
      </c>
      <c r="J74" t="s">
        <v>1195</v>
      </c>
      <c r="K74" t="s">
        <v>384</v>
      </c>
    </row>
    <row r="75" spans="1:11">
      <c r="A75" t="s">
        <v>1203</v>
      </c>
      <c r="B75" t="s">
        <v>1287</v>
      </c>
      <c r="C75" t="s">
        <v>44</v>
      </c>
      <c r="D75" t="s">
        <v>30</v>
      </c>
      <c r="E75" t="s">
        <v>168</v>
      </c>
      <c r="F75" t="s">
        <v>397</v>
      </c>
      <c r="G75" t="s">
        <v>382</v>
      </c>
      <c r="H75" t="s">
        <v>1279</v>
      </c>
      <c r="I75" t="s">
        <v>86</v>
      </c>
      <c r="J75" t="s">
        <v>1195</v>
      </c>
      <c r="K75" t="s">
        <v>384</v>
      </c>
    </row>
    <row r="76" spans="1:11">
      <c r="A76" t="s">
        <v>1203</v>
      </c>
      <c r="B76" t="s">
        <v>1287</v>
      </c>
      <c r="C76" t="s">
        <v>44</v>
      </c>
      <c r="D76" t="s">
        <v>28</v>
      </c>
      <c r="E76" t="s">
        <v>55</v>
      </c>
      <c r="F76" t="s">
        <v>56</v>
      </c>
      <c r="G76" t="s">
        <v>382</v>
      </c>
      <c r="H76" t="s">
        <v>1279</v>
      </c>
      <c r="I76" t="s">
        <v>86</v>
      </c>
      <c r="J76" t="s">
        <v>1195</v>
      </c>
      <c r="K76" t="s">
        <v>384</v>
      </c>
    </row>
    <row r="77" spans="1:11">
      <c r="A77" t="s">
        <v>1203</v>
      </c>
      <c r="B77" t="s">
        <v>1287</v>
      </c>
      <c r="C77" t="s">
        <v>44</v>
      </c>
      <c r="D77" t="s">
        <v>30</v>
      </c>
      <c r="E77" t="s">
        <v>106</v>
      </c>
      <c r="F77" t="s">
        <v>318</v>
      </c>
      <c r="G77" t="s">
        <v>382</v>
      </c>
      <c r="H77" t="s">
        <v>1279</v>
      </c>
      <c r="I77" t="s">
        <v>86</v>
      </c>
      <c r="J77" t="s">
        <v>1195</v>
      </c>
      <c r="K77" t="s">
        <v>384</v>
      </c>
    </row>
    <row r="78" spans="1:11">
      <c r="A78" t="s">
        <v>1203</v>
      </c>
      <c r="B78" t="s">
        <v>1288</v>
      </c>
      <c r="C78" t="s">
        <v>40</v>
      </c>
      <c r="D78" t="s">
        <v>28</v>
      </c>
      <c r="E78" t="s">
        <v>50</v>
      </c>
      <c r="F78" t="s">
        <v>51</v>
      </c>
      <c r="G78" t="s">
        <v>410</v>
      </c>
      <c r="H78" t="s">
        <v>1279</v>
      </c>
      <c r="I78" t="s">
        <v>86</v>
      </c>
      <c r="J78" t="s">
        <v>1195</v>
      </c>
      <c r="K78" t="s">
        <v>412</v>
      </c>
    </row>
    <row r="79" spans="1:11">
      <c r="A79" t="s">
        <v>1203</v>
      </c>
      <c r="B79" t="s">
        <v>1288</v>
      </c>
      <c r="C79" t="s">
        <v>40</v>
      </c>
      <c r="D79" t="s">
        <v>28</v>
      </c>
      <c r="E79" t="s">
        <v>168</v>
      </c>
      <c r="F79" t="s">
        <v>169</v>
      </c>
      <c r="G79" t="s">
        <v>410</v>
      </c>
      <c r="H79" t="s">
        <v>1279</v>
      </c>
      <c r="I79" t="s">
        <v>86</v>
      </c>
      <c r="J79" t="s">
        <v>1195</v>
      </c>
      <c r="K79" t="s">
        <v>412</v>
      </c>
    </row>
    <row r="80" spans="1:11">
      <c r="A80" t="s">
        <v>1203</v>
      </c>
      <c r="B80" t="s">
        <v>1288</v>
      </c>
      <c r="C80" t="s">
        <v>40</v>
      </c>
      <c r="D80" t="s">
        <v>28</v>
      </c>
      <c r="E80" t="s">
        <v>168</v>
      </c>
      <c r="F80" t="s">
        <v>272</v>
      </c>
      <c r="G80" t="s">
        <v>410</v>
      </c>
      <c r="H80" t="s">
        <v>1279</v>
      </c>
      <c r="I80" t="s">
        <v>86</v>
      </c>
      <c r="J80" t="s">
        <v>1195</v>
      </c>
      <c r="K80" t="s">
        <v>412</v>
      </c>
    </row>
    <row r="81" spans="1:11">
      <c r="A81" t="s">
        <v>1203</v>
      </c>
      <c r="B81" t="s">
        <v>1288</v>
      </c>
      <c r="C81" t="s">
        <v>40</v>
      </c>
      <c r="D81" t="s">
        <v>28</v>
      </c>
      <c r="E81" t="s">
        <v>55</v>
      </c>
      <c r="F81" t="s">
        <v>56</v>
      </c>
      <c r="G81" t="s">
        <v>410</v>
      </c>
      <c r="H81" t="s">
        <v>1279</v>
      </c>
      <c r="I81" t="s">
        <v>86</v>
      </c>
      <c r="J81" t="s">
        <v>1195</v>
      </c>
      <c r="K81" t="s">
        <v>412</v>
      </c>
    </row>
    <row r="82" spans="1:11">
      <c r="A82" t="s">
        <v>1203</v>
      </c>
      <c r="B82" t="s">
        <v>1288</v>
      </c>
      <c r="C82" t="s">
        <v>40</v>
      </c>
      <c r="D82" t="s">
        <v>28</v>
      </c>
      <c r="E82" t="s">
        <v>433</v>
      </c>
      <c r="F82" t="s">
        <v>434</v>
      </c>
      <c r="G82" t="s">
        <v>410</v>
      </c>
      <c r="H82" t="s">
        <v>1279</v>
      </c>
      <c r="I82" t="s">
        <v>86</v>
      </c>
      <c r="J82" t="s">
        <v>1195</v>
      </c>
      <c r="K82" t="s">
        <v>412</v>
      </c>
    </row>
    <row r="83" spans="1:11">
      <c r="A83" t="s">
        <v>1203</v>
      </c>
      <c r="B83" t="s">
        <v>1288</v>
      </c>
      <c r="C83" t="s">
        <v>44</v>
      </c>
      <c r="D83" t="s">
        <v>29</v>
      </c>
      <c r="E83" t="s">
        <v>53</v>
      </c>
      <c r="F83" t="s">
        <v>167</v>
      </c>
      <c r="G83" t="s">
        <v>410</v>
      </c>
      <c r="H83" t="s">
        <v>1279</v>
      </c>
      <c r="I83" t="s">
        <v>86</v>
      </c>
      <c r="J83" t="s">
        <v>1195</v>
      </c>
      <c r="K83" t="s">
        <v>412</v>
      </c>
    </row>
    <row r="84" spans="1:11">
      <c r="A84" t="s">
        <v>1203</v>
      </c>
      <c r="B84" t="s">
        <v>1288</v>
      </c>
      <c r="C84" t="s">
        <v>44</v>
      </c>
      <c r="D84" t="s">
        <v>29</v>
      </c>
      <c r="E84" t="s">
        <v>57</v>
      </c>
      <c r="F84" t="s">
        <v>58</v>
      </c>
      <c r="G84" t="s">
        <v>410</v>
      </c>
      <c r="H84" t="s">
        <v>1279</v>
      </c>
      <c r="I84" t="s">
        <v>86</v>
      </c>
      <c r="J84" t="s">
        <v>1195</v>
      </c>
      <c r="K84" t="s">
        <v>412</v>
      </c>
    </row>
    <row r="85" spans="1:11">
      <c r="A85" t="s">
        <v>1203</v>
      </c>
      <c r="B85" t="s">
        <v>1288</v>
      </c>
      <c r="C85" t="s">
        <v>44</v>
      </c>
      <c r="D85" t="s">
        <v>30</v>
      </c>
      <c r="E85" t="s">
        <v>55</v>
      </c>
      <c r="F85" t="s">
        <v>104</v>
      </c>
      <c r="G85" t="s">
        <v>410</v>
      </c>
      <c r="H85" t="s">
        <v>1279</v>
      </c>
      <c r="I85" t="s">
        <v>86</v>
      </c>
      <c r="J85" t="s">
        <v>1195</v>
      </c>
      <c r="K85" t="s">
        <v>412</v>
      </c>
    </row>
    <row r="86" spans="1:11">
      <c r="A86" t="s">
        <v>1203</v>
      </c>
      <c r="B86" t="s">
        <v>1289</v>
      </c>
      <c r="C86" t="s">
        <v>40</v>
      </c>
      <c r="D86" t="s">
        <v>28</v>
      </c>
      <c r="E86" t="s">
        <v>50</v>
      </c>
      <c r="G86" t="s">
        <v>456</v>
      </c>
      <c r="H86" t="s">
        <v>1279</v>
      </c>
      <c r="I86" t="s">
        <v>86</v>
      </c>
      <c r="J86" t="s">
        <v>1195</v>
      </c>
      <c r="K86" t="s">
        <v>1175</v>
      </c>
    </row>
    <row r="87" spans="1:11">
      <c r="A87" t="s">
        <v>1203</v>
      </c>
      <c r="B87" t="s">
        <v>1289</v>
      </c>
      <c r="C87" t="s">
        <v>40</v>
      </c>
      <c r="D87" t="s">
        <v>28</v>
      </c>
      <c r="E87" t="s">
        <v>57</v>
      </c>
      <c r="G87" t="s">
        <v>456</v>
      </c>
      <c r="H87" t="s">
        <v>1279</v>
      </c>
      <c r="I87" t="s">
        <v>86</v>
      </c>
      <c r="J87" t="s">
        <v>1195</v>
      </c>
      <c r="K87" t="s">
        <v>1175</v>
      </c>
    </row>
    <row r="88" spans="1:11">
      <c r="A88" t="s">
        <v>1203</v>
      </c>
      <c r="B88" t="s">
        <v>1289</v>
      </c>
      <c r="C88" t="s">
        <v>40</v>
      </c>
      <c r="D88" t="s">
        <v>28</v>
      </c>
      <c r="E88" t="s">
        <v>53</v>
      </c>
      <c r="G88" t="s">
        <v>456</v>
      </c>
      <c r="H88" t="s">
        <v>1279</v>
      </c>
      <c r="I88" t="s">
        <v>86</v>
      </c>
      <c r="J88" t="s">
        <v>1195</v>
      </c>
      <c r="K88" t="s">
        <v>1175</v>
      </c>
    </row>
    <row r="89" spans="1:11">
      <c r="A89" t="s">
        <v>1203</v>
      </c>
      <c r="B89" t="s">
        <v>1289</v>
      </c>
      <c r="C89" t="s">
        <v>44</v>
      </c>
      <c r="D89" t="s">
        <v>29</v>
      </c>
      <c r="E89" t="s">
        <v>50</v>
      </c>
      <c r="G89" t="s">
        <v>456</v>
      </c>
      <c r="H89" t="s">
        <v>1279</v>
      </c>
      <c r="I89" t="s">
        <v>86</v>
      </c>
      <c r="J89" t="s">
        <v>1195</v>
      </c>
      <c r="K89" t="s">
        <v>1175</v>
      </c>
    </row>
    <row r="90" spans="1:11">
      <c r="A90" t="s">
        <v>1203</v>
      </c>
      <c r="B90" t="s">
        <v>1289</v>
      </c>
      <c r="C90" t="s">
        <v>44</v>
      </c>
      <c r="D90" t="s">
        <v>29</v>
      </c>
      <c r="E90" t="s">
        <v>53</v>
      </c>
      <c r="G90" t="s">
        <v>456</v>
      </c>
      <c r="H90" t="s">
        <v>1279</v>
      </c>
      <c r="I90" t="s">
        <v>86</v>
      </c>
      <c r="J90" t="s">
        <v>1195</v>
      </c>
      <c r="K90" t="s">
        <v>1175</v>
      </c>
    </row>
    <row r="91" spans="1:11">
      <c r="A91" t="s">
        <v>1203</v>
      </c>
      <c r="B91" t="s">
        <v>1289</v>
      </c>
      <c r="C91" t="s">
        <v>44</v>
      </c>
      <c r="D91" t="s">
        <v>29</v>
      </c>
      <c r="E91" t="s">
        <v>168</v>
      </c>
      <c r="G91" t="s">
        <v>456</v>
      </c>
      <c r="H91" t="s">
        <v>1279</v>
      </c>
      <c r="I91" t="s">
        <v>86</v>
      </c>
      <c r="J91" t="s">
        <v>1195</v>
      </c>
      <c r="K91" t="s">
        <v>1175</v>
      </c>
    </row>
    <row r="92" spans="1:11">
      <c r="A92" t="s">
        <v>1203</v>
      </c>
      <c r="B92" t="s">
        <v>1290</v>
      </c>
      <c r="C92" t="s">
        <v>40</v>
      </c>
      <c r="D92" t="s">
        <v>28</v>
      </c>
      <c r="E92" t="s">
        <v>50</v>
      </c>
      <c r="F92" t="s">
        <v>214</v>
      </c>
      <c r="G92" t="s">
        <v>545</v>
      </c>
      <c r="H92" t="s">
        <v>1279</v>
      </c>
      <c r="I92" t="s">
        <v>86</v>
      </c>
      <c r="J92" t="s">
        <v>1195</v>
      </c>
      <c r="K92" t="s">
        <v>1182</v>
      </c>
    </row>
    <row r="93" spans="1:11">
      <c r="A93" t="s">
        <v>1203</v>
      </c>
      <c r="B93" t="s">
        <v>1290</v>
      </c>
      <c r="C93" t="s">
        <v>40</v>
      </c>
      <c r="D93" t="s">
        <v>28</v>
      </c>
      <c r="E93" t="s">
        <v>57</v>
      </c>
      <c r="F93" t="s">
        <v>215</v>
      </c>
      <c r="G93" t="s">
        <v>545</v>
      </c>
      <c r="H93" t="s">
        <v>1279</v>
      </c>
      <c r="I93" t="s">
        <v>86</v>
      </c>
      <c r="J93" t="s">
        <v>1195</v>
      </c>
      <c r="K93" t="s">
        <v>1182</v>
      </c>
    </row>
    <row r="94" spans="1:11">
      <c r="A94" t="s">
        <v>1203</v>
      </c>
      <c r="B94" t="s">
        <v>1290</v>
      </c>
      <c r="C94" t="s">
        <v>40</v>
      </c>
      <c r="D94" t="s">
        <v>28</v>
      </c>
      <c r="E94" t="s">
        <v>57</v>
      </c>
      <c r="F94" t="s">
        <v>78</v>
      </c>
      <c r="G94" t="s">
        <v>545</v>
      </c>
      <c r="H94" t="s">
        <v>1279</v>
      </c>
      <c r="I94" t="s">
        <v>86</v>
      </c>
      <c r="J94" t="s">
        <v>1195</v>
      </c>
      <c r="K94" t="s">
        <v>1182</v>
      </c>
    </row>
    <row r="95" spans="1:11">
      <c r="A95" t="s">
        <v>1203</v>
      </c>
      <c r="B95" t="s">
        <v>1290</v>
      </c>
      <c r="C95" t="s">
        <v>40</v>
      </c>
      <c r="D95" t="s">
        <v>28</v>
      </c>
      <c r="E95" t="s">
        <v>57</v>
      </c>
      <c r="F95" t="s">
        <v>58</v>
      </c>
      <c r="G95" t="s">
        <v>545</v>
      </c>
      <c r="H95" t="s">
        <v>1279</v>
      </c>
      <c r="I95" t="s">
        <v>86</v>
      </c>
      <c r="J95" t="s">
        <v>1195</v>
      </c>
      <c r="K95" t="s">
        <v>1182</v>
      </c>
    </row>
    <row r="96" spans="1:11">
      <c r="A96" t="s">
        <v>1203</v>
      </c>
      <c r="B96" t="s">
        <v>1290</v>
      </c>
      <c r="C96" t="s">
        <v>40</v>
      </c>
      <c r="D96" t="s">
        <v>28</v>
      </c>
      <c r="E96" t="s">
        <v>53</v>
      </c>
      <c r="F96" t="s">
        <v>567</v>
      </c>
      <c r="G96" t="s">
        <v>545</v>
      </c>
      <c r="H96" t="s">
        <v>1279</v>
      </c>
      <c r="I96" t="s">
        <v>86</v>
      </c>
      <c r="J96" t="s">
        <v>1195</v>
      </c>
      <c r="K96" t="s">
        <v>1182</v>
      </c>
    </row>
    <row r="97" spans="1:11">
      <c r="A97" t="s">
        <v>1203</v>
      </c>
      <c r="B97" t="s">
        <v>1290</v>
      </c>
      <c r="C97" t="s">
        <v>40</v>
      </c>
      <c r="D97" t="s">
        <v>28</v>
      </c>
      <c r="E97" t="s">
        <v>55</v>
      </c>
      <c r="F97" t="s">
        <v>216</v>
      </c>
      <c r="G97" t="s">
        <v>545</v>
      </c>
      <c r="H97" t="s">
        <v>1279</v>
      </c>
      <c r="I97" t="s">
        <v>86</v>
      </c>
      <c r="J97" t="s">
        <v>1195</v>
      </c>
      <c r="K97" t="s">
        <v>1182</v>
      </c>
    </row>
    <row r="98" spans="1:11">
      <c r="A98" t="s">
        <v>1203</v>
      </c>
      <c r="B98" t="s">
        <v>1290</v>
      </c>
      <c r="C98" t="s">
        <v>40</v>
      </c>
      <c r="D98" t="s">
        <v>28</v>
      </c>
      <c r="E98" t="s">
        <v>102</v>
      </c>
      <c r="F98" t="s">
        <v>568</v>
      </c>
      <c r="G98" t="s">
        <v>545</v>
      </c>
      <c r="H98" t="s">
        <v>1279</v>
      </c>
      <c r="I98" t="s">
        <v>86</v>
      </c>
      <c r="J98" t="s">
        <v>1195</v>
      </c>
      <c r="K98" t="s">
        <v>1182</v>
      </c>
    </row>
    <row r="99" spans="1:11">
      <c r="A99" t="s">
        <v>1203</v>
      </c>
      <c r="B99" t="s">
        <v>1290</v>
      </c>
      <c r="C99" t="s">
        <v>40</v>
      </c>
      <c r="D99" t="s">
        <v>29</v>
      </c>
      <c r="E99" t="s">
        <v>50</v>
      </c>
      <c r="F99" t="s">
        <v>214</v>
      </c>
      <c r="G99" t="s">
        <v>545</v>
      </c>
      <c r="H99" t="s">
        <v>1279</v>
      </c>
      <c r="I99" t="s">
        <v>86</v>
      </c>
      <c r="J99" t="s">
        <v>1195</v>
      </c>
      <c r="K99" t="s">
        <v>1182</v>
      </c>
    </row>
    <row r="100" spans="1:11">
      <c r="A100" t="s">
        <v>1203</v>
      </c>
      <c r="B100" t="s">
        <v>1290</v>
      </c>
      <c r="C100" t="s">
        <v>40</v>
      </c>
      <c r="D100" t="s">
        <v>29</v>
      </c>
      <c r="E100" t="s">
        <v>53</v>
      </c>
      <c r="F100" t="s">
        <v>167</v>
      </c>
      <c r="G100" t="s">
        <v>545</v>
      </c>
      <c r="H100" t="s">
        <v>1279</v>
      </c>
      <c r="I100" t="s">
        <v>86</v>
      </c>
      <c r="J100" t="s">
        <v>1195</v>
      </c>
      <c r="K100" t="s">
        <v>1182</v>
      </c>
    </row>
    <row r="101" spans="1:11">
      <c r="A101" t="s">
        <v>1203</v>
      </c>
      <c r="B101" t="s">
        <v>1290</v>
      </c>
      <c r="C101" t="s">
        <v>44</v>
      </c>
      <c r="D101" t="s">
        <v>30</v>
      </c>
      <c r="E101" t="s">
        <v>53</v>
      </c>
      <c r="F101" t="s">
        <v>167</v>
      </c>
      <c r="G101" t="s">
        <v>545</v>
      </c>
      <c r="H101" t="s">
        <v>1279</v>
      </c>
      <c r="I101" t="s">
        <v>86</v>
      </c>
      <c r="J101" t="s">
        <v>1195</v>
      </c>
      <c r="K101" t="s">
        <v>1182</v>
      </c>
    </row>
    <row r="102" spans="1:11">
      <c r="A102" t="s">
        <v>1203</v>
      </c>
      <c r="B102" t="s">
        <v>1290</v>
      </c>
      <c r="C102" t="s">
        <v>44</v>
      </c>
      <c r="D102" t="s">
        <v>30</v>
      </c>
      <c r="E102" t="s">
        <v>55</v>
      </c>
      <c r="F102" t="s">
        <v>56</v>
      </c>
      <c r="G102" t="s">
        <v>545</v>
      </c>
      <c r="H102" t="s">
        <v>1279</v>
      </c>
      <c r="I102" t="s">
        <v>86</v>
      </c>
      <c r="J102" t="s">
        <v>1195</v>
      </c>
      <c r="K102" t="s">
        <v>1182</v>
      </c>
    </row>
    <row r="103" spans="1:11">
      <c r="A103" t="s">
        <v>1203</v>
      </c>
      <c r="B103" t="s">
        <v>1290</v>
      </c>
      <c r="C103" t="s">
        <v>44</v>
      </c>
      <c r="D103" t="s">
        <v>30</v>
      </c>
      <c r="E103" t="s">
        <v>168</v>
      </c>
      <c r="F103" t="s">
        <v>511</v>
      </c>
      <c r="G103" t="s">
        <v>545</v>
      </c>
      <c r="H103" t="s">
        <v>1279</v>
      </c>
      <c r="I103" t="s">
        <v>86</v>
      </c>
      <c r="J103" t="s">
        <v>1195</v>
      </c>
      <c r="K103" t="s">
        <v>1182</v>
      </c>
    </row>
    <row r="104" spans="1:11">
      <c r="A104" t="s">
        <v>1203</v>
      </c>
      <c r="B104" t="s">
        <v>1290</v>
      </c>
      <c r="C104" t="s">
        <v>44</v>
      </c>
      <c r="D104" t="s">
        <v>31</v>
      </c>
      <c r="E104" t="s">
        <v>53</v>
      </c>
      <c r="F104" t="s">
        <v>567</v>
      </c>
      <c r="G104" t="s">
        <v>545</v>
      </c>
      <c r="H104" t="s">
        <v>1279</v>
      </c>
      <c r="I104" t="s">
        <v>86</v>
      </c>
      <c r="J104" t="s">
        <v>1195</v>
      </c>
      <c r="K104" t="s">
        <v>1182</v>
      </c>
    </row>
    <row r="105" spans="1:11">
      <c r="A105" t="s">
        <v>1203</v>
      </c>
      <c r="B105" t="s">
        <v>1290</v>
      </c>
      <c r="C105" t="s">
        <v>44</v>
      </c>
      <c r="D105" t="s">
        <v>31</v>
      </c>
      <c r="E105" t="s">
        <v>315</v>
      </c>
      <c r="F105" t="s">
        <v>569</v>
      </c>
      <c r="G105" t="s">
        <v>545</v>
      </c>
      <c r="H105" t="s">
        <v>1279</v>
      </c>
      <c r="I105" t="s">
        <v>86</v>
      </c>
      <c r="J105" t="s">
        <v>1195</v>
      </c>
      <c r="K105" t="s">
        <v>1182</v>
      </c>
    </row>
    <row r="106" spans="1:11">
      <c r="A106" t="s">
        <v>1203</v>
      </c>
      <c r="B106" t="s">
        <v>1290</v>
      </c>
      <c r="C106" t="s">
        <v>44</v>
      </c>
      <c r="D106" t="s">
        <v>31</v>
      </c>
      <c r="E106" t="s">
        <v>315</v>
      </c>
      <c r="F106" t="s">
        <v>316</v>
      </c>
      <c r="G106" t="s">
        <v>545</v>
      </c>
      <c r="H106" t="s">
        <v>1279</v>
      </c>
      <c r="I106" t="s">
        <v>86</v>
      </c>
      <c r="J106" t="s">
        <v>1195</v>
      </c>
      <c r="K106" t="s">
        <v>1182</v>
      </c>
    </row>
    <row r="107" spans="1:11">
      <c r="A107" t="s">
        <v>1203</v>
      </c>
      <c r="B107" t="s">
        <v>1293</v>
      </c>
      <c r="C107" t="s">
        <v>40</v>
      </c>
      <c r="D107" t="s">
        <v>28</v>
      </c>
      <c r="E107" t="s">
        <v>50</v>
      </c>
      <c r="F107" t="s">
        <v>214</v>
      </c>
      <c r="G107" t="s">
        <v>592</v>
      </c>
      <c r="H107" t="s">
        <v>1279</v>
      </c>
      <c r="I107" t="s">
        <v>86</v>
      </c>
      <c r="J107" t="s">
        <v>1195</v>
      </c>
      <c r="K107" t="s">
        <v>594</v>
      </c>
    </row>
    <row r="108" spans="1:11">
      <c r="A108" t="s">
        <v>1203</v>
      </c>
      <c r="B108" t="s">
        <v>1293</v>
      </c>
      <c r="C108" t="s">
        <v>40</v>
      </c>
      <c r="D108" t="s">
        <v>28</v>
      </c>
      <c r="E108" t="s">
        <v>168</v>
      </c>
      <c r="F108" t="s">
        <v>511</v>
      </c>
      <c r="G108" t="s">
        <v>592</v>
      </c>
      <c r="H108" t="s">
        <v>1279</v>
      </c>
      <c r="I108" t="s">
        <v>86</v>
      </c>
      <c r="J108" t="s">
        <v>1195</v>
      </c>
      <c r="K108" t="s">
        <v>594</v>
      </c>
    </row>
    <row r="109" spans="1:11">
      <c r="A109" t="s">
        <v>1203</v>
      </c>
      <c r="B109" t="s">
        <v>1293</v>
      </c>
      <c r="C109" t="s">
        <v>40</v>
      </c>
      <c r="D109" t="s">
        <v>30</v>
      </c>
      <c r="E109" t="s">
        <v>168</v>
      </c>
      <c r="F109" t="s">
        <v>169</v>
      </c>
      <c r="G109" t="s">
        <v>592</v>
      </c>
      <c r="H109" t="s">
        <v>1279</v>
      </c>
      <c r="I109" t="s">
        <v>86</v>
      </c>
      <c r="J109" t="s">
        <v>1195</v>
      </c>
      <c r="K109" t="s">
        <v>594</v>
      </c>
    </row>
    <row r="110" spans="1:11">
      <c r="A110" t="s">
        <v>1203</v>
      </c>
      <c r="B110" t="s">
        <v>1293</v>
      </c>
      <c r="C110" t="s">
        <v>40</v>
      </c>
      <c r="D110" t="s">
        <v>30</v>
      </c>
      <c r="E110" t="s">
        <v>50</v>
      </c>
      <c r="F110" t="s">
        <v>606</v>
      </c>
      <c r="G110" t="s">
        <v>592</v>
      </c>
      <c r="H110" t="s">
        <v>1279</v>
      </c>
      <c r="I110" t="s">
        <v>86</v>
      </c>
      <c r="J110" t="s">
        <v>1195</v>
      </c>
      <c r="K110" t="s">
        <v>594</v>
      </c>
    </row>
    <row r="111" spans="1:11">
      <c r="A111" t="s">
        <v>1203</v>
      </c>
      <c r="B111" t="s">
        <v>1293</v>
      </c>
      <c r="C111" t="s">
        <v>44</v>
      </c>
      <c r="D111" t="s">
        <v>28</v>
      </c>
      <c r="E111" t="s">
        <v>50</v>
      </c>
      <c r="F111" t="s">
        <v>317</v>
      </c>
      <c r="G111" t="s">
        <v>592</v>
      </c>
      <c r="H111" t="s">
        <v>1279</v>
      </c>
      <c r="I111" t="s">
        <v>86</v>
      </c>
      <c r="J111" t="s">
        <v>1195</v>
      </c>
      <c r="K111" t="s">
        <v>594</v>
      </c>
    </row>
    <row r="112" spans="1:11">
      <c r="A112" t="s">
        <v>1203</v>
      </c>
      <c r="B112" t="s">
        <v>1293</v>
      </c>
      <c r="C112" t="s">
        <v>44</v>
      </c>
      <c r="D112" t="s">
        <v>29</v>
      </c>
      <c r="E112" t="s">
        <v>168</v>
      </c>
      <c r="F112" t="s">
        <v>607</v>
      </c>
      <c r="G112" t="s">
        <v>592</v>
      </c>
      <c r="H112" t="s">
        <v>1279</v>
      </c>
      <c r="I112" t="s">
        <v>86</v>
      </c>
      <c r="J112" t="s">
        <v>1195</v>
      </c>
      <c r="K112" t="s">
        <v>594</v>
      </c>
    </row>
    <row r="113" spans="1:11">
      <c r="A113" t="s">
        <v>1203</v>
      </c>
      <c r="B113" t="s">
        <v>1293</v>
      </c>
      <c r="C113" t="s">
        <v>44</v>
      </c>
      <c r="D113" t="s">
        <v>30</v>
      </c>
      <c r="E113" t="s">
        <v>50</v>
      </c>
      <c r="F113" t="s">
        <v>52</v>
      </c>
      <c r="G113" t="s">
        <v>592</v>
      </c>
      <c r="H113" t="s">
        <v>1279</v>
      </c>
      <c r="I113" t="s">
        <v>86</v>
      </c>
      <c r="J113" t="s">
        <v>1195</v>
      </c>
      <c r="K113" t="s">
        <v>594</v>
      </c>
    </row>
    <row r="114" spans="1:11">
      <c r="A114" t="s">
        <v>1193</v>
      </c>
      <c r="B114" t="s">
        <v>1292</v>
      </c>
      <c r="C114" t="s">
        <v>40</v>
      </c>
      <c r="D114" t="s">
        <v>28</v>
      </c>
      <c r="E114" t="s">
        <v>168</v>
      </c>
      <c r="F114" t="s">
        <v>272</v>
      </c>
      <c r="G114" t="s">
        <v>1176</v>
      </c>
      <c r="H114" t="s">
        <v>1279</v>
      </c>
      <c r="I114" t="s">
        <v>86</v>
      </c>
      <c r="J114" t="s">
        <v>1195</v>
      </c>
      <c r="K114" t="s">
        <v>1177</v>
      </c>
    </row>
    <row r="115" spans="1:11">
      <c r="A115" t="s">
        <v>1193</v>
      </c>
      <c r="B115" t="s">
        <v>1292</v>
      </c>
      <c r="C115" t="s">
        <v>40</v>
      </c>
      <c r="D115" t="s">
        <v>28</v>
      </c>
      <c r="E115" t="s">
        <v>168</v>
      </c>
      <c r="F115" t="s">
        <v>397</v>
      </c>
      <c r="G115" t="s">
        <v>1176</v>
      </c>
      <c r="H115" t="s">
        <v>1279</v>
      </c>
      <c r="I115" t="s">
        <v>86</v>
      </c>
      <c r="J115" t="s">
        <v>1195</v>
      </c>
      <c r="K115" t="s">
        <v>1177</v>
      </c>
    </row>
    <row r="116" spans="1:11">
      <c r="A116" t="s">
        <v>1193</v>
      </c>
      <c r="B116" t="s">
        <v>1292</v>
      </c>
      <c r="C116" t="s">
        <v>40</v>
      </c>
      <c r="D116" t="s">
        <v>29</v>
      </c>
      <c r="E116" t="s">
        <v>53</v>
      </c>
      <c r="F116" t="s">
        <v>54</v>
      </c>
      <c r="G116" t="s">
        <v>1176</v>
      </c>
      <c r="H116" t="s">
        <v>1279</v>
      </c>
      <c r="I116" t="s">
        <v>86</v>
      </c>
      <c r="J116" t="s">
        <v>1195</v>
      </c>
      <c r="K116" t="s">
        <v>1177</v>
      </c>
    </row>
    <row r="117" spans="1:11">
      <c r="A117" t="s">
        <v>1193</v>
      </c>
      <c r="B117" t="s">
        <v>1292</v>
      </c>
      <c r="C117" t="s">
        <v>40</v>
      </c>
      <c r="D117" t="s">
        <v>29</v>
      </c>
      <c r="E117" t="s">
        <v>53</v>
      </c>
      <c r="F117" t="s">
        <v>167</v>
      </c>
      <c r="G117" t="s">
        <v>1176</v>
      </c>
      <c r="H117" t="s">
        <v>1279</v>
      </c>
      <c r="I117" t="s">
        <v>86</v>
      </c>
      <c r="J117" t="s">
        <v>1195</v>
      </c>
      <c r="K117" t="s">
        <v>1177</v>
      </c>
    </row>
    <row r="118" spans="1:11">
      <c r="A118" t="s">
        <v>1193</v>
      </c>
      <c r="B118" t="s">
        <v>1292</v>
      </c>
      <c r="C118" t="s">
        <v>40</v>
      </c>
      <c r="D118" t="s">
        <v>29</v>
      </c>
      <c r="E118" t="s">
        <v>53</v>
      </c>
      <c r="F118" t="s">
        <v>217</v>
      </c>
      <c r="G118" t="s">
        <v>1176</v>
      </c>
      <c r="H118" t="s">
        <v>1279</v>
      </c>
      <c r="I118" t="s">
        <v>86</v>
      </c>
      <c r="J118" t="s">
        <v>1195</v>
      </c>
      <c r="K118" t="s">
        <v>1177</v>
      </c>
    </row>
    <row r="119" spans="1:11">
      <c r="A119" t="s">
        <v>1193</v>
      </c>
      <c r="B119" t="s">
        <v>1292</v>
      </c>
      <c r="C119" t="s">
        <v>40</v>
      </c>
      <c r="D119" t="s">
        <v>29</v>
      </c>
      <c r="E119" t="s">
        <v>53</v>
      </c>
      <c r="F119" t="s">
        <v>968</v>
      </c>
      <c r="G119" t="s">
        <v>1176</v>
      </c>
      <c r="H119" t="s">
        <v>1279</v>
      </c>
      <c r="I119" t="s">
        <v>86</v>
      </c>
      <c r="J119" t="s">
        <v>1195</v>
      </c>
      <c r="K119" t="s">
        <v>1177</v>
      </c>
    </row>
    <row r="120" spans="1:11">
      <c r="A120" t="s">
        <v>1193</v>
      </c>
      <c r="B120" t="s">
        <v>1292</v>
      </c>
      <c r="C120" t="s">
        <v>40</v>
      </c>
      <c r="D120" t="s">
        <v>29</v>
      </c>
      <c r="E120" t="s">
        <v>53</v>
      </c>
      <c r="F120" t="s">
        <v>54</v>
      </c>
      <c r="G120" t="s">
        <v>1176</v>
      </c>
      <c r="H120" t="s">
        <v>1279</v>
      </c>
      <c r="I120" t="s">
        <v>86</v>
      </c>
      <c r="J120" t="s">
        <v>1195</v>
      </c>
      <c r="K120" t="s">
        <v>1177</v>
      </c>
    </row>
    <row r="121" spans="1:11">
      <c r="A121" t="s">
        <v>1193</v>
      </c>
      <c r="B121" t="s">
        <v>1292</v>
      </c>
      <c r="C121" t="s">
        <v>40</v>
      </c>
      <c r="D121" t="s">
        <v>29</v>
      </c>
      <c r="E121" t="s">
        <v>53</v>
      </c>
      <c r="F121" t="s">
        <v>167</v>
      </c>
      <c r="G121" t="s">
        <v>1176</v>
      </c>
      <c r="H121" t="s">
        <v>1279</v>
      </c>
      <c r="I121" t="s">
        <v>86</v>
      </c>
      <c r="J121" t="s">
        <v>1195</v>
      </c>
      <c r="K121" t="s">
        <v>1177</v>
      </c>
    </row>
    <row r="122" spans="1:11">
      <c r="A122" t="s">
        <v>1193</v>
      </c>
      <c r="B122" t="s">
        <v>1292</v>
      </c>
      <c r="C122" t="s">
        <v>40</v>
      </c>
      <c r="D122" t="s">
        <v>29</v>
      </c>
      <c r="E122" t="s">
        <v>53</v>
      </c>
      <c r="F122" t="s">
        <v>217</v>
      </c>
      <c r="G122" t="s">
        <v>1176</v>
      </c>
      <c r="H122" t="s">
        <v>1279</v>
      </c>
      <c r="I122" t="s">
        <v>86</v>
      </c>
      <c r="J122" t="s">
        <v>1195</v>
      </c>
      <c r="K122" t="s">
        <v>1177</v>
      </c>
    </row>
    <row r="123" spans="1:11">
      <c r="A123" t="s">
        <v>1193</v>
      </c>
      <c r="B123" t="s">
        <v>1292</v>
      </c>
      <c r="C123" t="s">
        <v>40</v>
      </c>
      <c r="D123" t="s">
        <v>29</v>
      </c>
      <c r="E123" t="s">
        <v>53</v>
      </c>
      <c r="F123" t="s">
        <v>1015</v>
      </c>
      <c r="G123" t="s">
        <v>1176</v>
      </c>
      <c r="H123" t="s">
        <v>1279</v>
      </c>
      <c r="I123" t="s">
        <v>86</v>
      </c>
      <c r="J123" t="s">
        <v>1195</v>
      </c>
      <c r="K123" t="s">
        <v>1177</v>
      </c>
    </row>
    <row r="124" spans="1:11">
      <c r="A124" t="s">
        <v>1193</v>
      </c>
      <c r="B124" t="s">
        <v>1292</v>
      </c>
      <c r="C124" t="s">
        <v>40</v>
      </c>
      <c r="D124" t="s">
        <v>29</v>
      </c>
      <c r="E124" t="s">
        <v>53</v>
      </c>
      <c r="F124" t="s">
        <v>968</v>
      </c>
      <c r="G124" t="s">
        <v>1176</v>
      </c>
      <c r="H124" t="s">
        <v>1279</v>
      </c>
      <c r="I124" t="s">
        <v>86</v>
      </c>
      <c r="J124" t="s">
        <v>1195</v>
      </c>
      <c r="K124" t="s">
        <v>1177</v>
      </c>
    </row>
    <row r="125" spans="1:11">
      <c r="A125" t="s">
        <v>1193</v>
      </c>
      <c r="B125" t="s">
        <v>1292</v>
      </c>
      <c r="C125" t="s">
        <v>40</v>
      </c>
      <c r="D125" t="s">
        <v>29</v>
      </c>
      <c r="E125" t="s">
        <v>55</v>
      </c>
      <c r="F125" t="s">
        <v>56</v>
      </c>
      <c r="G125" t="s">
        <v>1176</v>
      </c>
      <c r="H125" t="s">
        <v>1279</v>
      </c>
      <c r="I125" t="s">
        <v>86</v>
      </c>
      <c r="J125" t="s">
        <v>1195</v>
      </c>
      <c r="K125" t="s">
        <v>1177</v>
      </c>
    </row>
    <row r="126" spans="1:11">
      <c r="A126" t="s">
        <v>1193</v>
      </c>
      <c r="B126" t="s">
        <v>1292</v>
      </c>
      <c r="C126" t="s">
        <v>40</v>
      </c>
      <c r="D126" t="s">
        <v>29</v>
      </c>
      <c r="E126" t="s">
        <v>55</v>
      </c>
      <c r="F126" t="s">
        <v>510</v>
      </c>
      <c r="G126" t="s">
        <v>1176</v>
      </c>
      <c r="H126" t="s">
        <v>1279</v>
      </c>
      <c r="I126" t="s">
        <v>86</v>
      </c>
      <c r="J126" t="s">
        <v>1195</v>
      </c>
      <c r="K126" t="s">
        <v>1177</v>
      </c>
    </row>
    <row r="127" spans="1:11">
      <c r="A127" t="s">
        <v>1193</v>
      </c>
      <c r="B127" t="s">
        <v>1292</v>
      </c>
      <c r="C127" t="s">
        <v>40</v>
      </c>
      <c r="D127" t="s">
        <v>29</v>
      </c>
      <c r="E127" t="s">
        <v>55</v>
      </c>
      <c r="F127" t="s">
        <v>104</v>
      </c>
      <c r="G127" t="s">
        <v>1176</v>
      </c>
      <c r="H127" t="s">
        <v>1279</v>
      </c>
      <c r="I127" t="s">
        <v>86</v>
      </c>
      <c r="J127" t="s">
        <v>1195</v>
      </c>
      <c r="K127" t="s">
        <v>1177</v>
      </c>
    </row>
    <row r="128" spans="1:11">
      <c r="A128" t="s">
        <v>1193</v>
      </c>
      <c r="B128" t="s">
        <v>1292</v>
      </c>
      <c r="C128" t="s">
        <v>40</v>
      </c>
      <c r="D128" t="s">
        <v>29</v>
      </c>
      <c r="E128" t="s">
        <v>106</v>
      </c>
      <c r="F128" t="s">
        <v>319</v>
      </c>
      <c r="G128" t="s">
        <v>1176</v>
      </c>
      <c r="H128" t="s">
        <v>1279</v>
      </c>
      <c r="I128" t="s">
        <v>86</v>
      </c>
      <c r="J128" t="s">
        <v>1195</v>
      </c>
      <c r="K128" t="s">
        <v>1177</v>
      </c>
    </row>
    <row r="129" spans="1:11">
      <c r="A129" t="s">
        <v>1193</v>
      </c>
      <c r="B129" t="s">
        <v>1292</v>
      </c>
      <c r="C129" t="s">
        <v>40</v>
      </c>
      <c r="D129" t="s">
        <v>29</v>
      </c>
      <c r="E129" t="s">
        <v>106</v>
      </c>
      <c r="F129" t="s">
        <v>107</v>
      </c>
      <c r="G129" t="s">
        <v>1176</v>
      </c>
      <c r="H129" t="s">
        <v>1279</v>
      </c>
      <c r="I129" t="s">
        <v>86</v>
      </c>
      <c r="J129" t="s">
        <v>1195</v>
      </c>
      <c r="K129" t="s">
        <v>1177</v>
      </c>
    </row>
    <row r="130" spans="1:11">
      <c r="A130" t="s">
        <v>1193</v>
      </c>
      <c r="B130" t="s">
        <v>1292</v>
      </c>
      <c r="C130" t="s">
        <v>40</v>
      </c>
      <c r="D130" t="s">
        <v>29</v>
      </c>
      <c r="E130" t="s">
        <v>106</v>
      </c>
      <c r="F130" t="s">
        <v>273</v>
      </c>
      <c r="G130" t="s">
        <v>1176</v>
      </c>
      <c r="H130" t="s">
        <v>1279</v>
      </c>
      <c r="I130" t="s">
        <v>86</v>
      </c>
      <c r="J130" t="s">
        <v>1195</v>
      </c>
      <c r="K130" t="s">
        <v>1177</v>
      </c>
    </row>
    <row r="131" spans="1:11">
      <c r="A131" t="s">
        <v>1193</v>
      </c>
      <c r="B131" t="s">
        <v>1292</v>
      </c>
      <c r="C131" t="s">
        <v>40</v>
      </c>
      <c r="D131" t="s">
        <v>29</v>
      </c>
      <c r="E131" t="s">
        <v>106</v>
      </c>
      <c r="F131" t="s">
        <v>318</v>
      </c>
      <c r="G131" t="s">
        <v>1176</v>
      </c>
      <c r="H131" t="s">
        <v>1279</v>
      </c>
      <c r="I131" t="s">
        <v>86</v>
      </c>
      <c r="J131" t="s">
        <v>1195</v>
      </c>
      <c r="K131" t="s">
        <v>1177</v>
      </c>
    </row>
    <row r="132" spans="1:11">
      <c r="A132" t="s">
        <v>1193</v>
      </c>
      <c r="B132" t="s">
        <v>1292</v>
      </c>
      <c r="C132" t="s">
        <v>40</v>
      </c>
      <c r="D132" t="s">
        <v>29</v>
      </c>
      <c r="E132" t="s">
        <v>106</v>
      </c>
      <c r="F132" t="s">
        <v>1150</v>
      </c>
      <c r="G132" t="s">
        <v>1176</v>
      </c>
      <c r="H132" t="s">
        <v>1279</v>
      </c>
      <c r="I132" t="s">
        <v>86</v>
      </c>
      <c r="J132" t="s">
        <v>1195</v>
      </c>
      <c r="K132" t="s">
        <v>1177</v>
      </c>
    </row>
    <row r="133" spans="1:11">
      <c r="A133" t="s">
        <v>1193</v>
      </c>
      <c r="B133" t="s">
        <v>1292</v>
      </c>
      <c r="C133" t="s">
        <v>40</v>
      </c>
      <c r="D133" t="s">
        <v>29</v>
      </c>
      <c r="E133" t="s">
        <v>106</v>
      </c>
      <c r="F133" t="s">
        <v>1151</v>
      </c>
      <c r="G133" t="s">
        <v>1176</v>
      </c>
      <c r="H133" t="s">
        <v>1279</v>
      </c>
      <c r="I133" t="s">
        <v>86</v>
      </c>
      <c r="J133" t="s">
        <v>1195</v>
      </c>
      <c r="K133" t="s">
        <v>1177</v>
      </c>
    </row>
    <row r="134" spans="1:11">
      <c r="A134" t="s">
        <v>1193</v>
      </c>
      <c r="B134" t="s">
        <v>1292</v>
      </c>
      <c r="C134" t="s">
        <v>40</v>
      </c>
      <c r="D134" t="s">
        <v>29</v>
      </c>
      <c r="E134" t="s">
        <v>106</v>
      </c>
      <c r="F134" t="s">
        <v>1152</v>
      </c>
      <c r="G134" t="s">
        <v>1176</v>
      </c>
      <c r="H134" t="s">
        <v>1279</v>
      </c>
      <c r="I134" t="s">
        <v>86</v>
      </c>
      <c r="J134" t="s">
        <v>1195</v>
      </c>
      <c r="K134" t="s">
        <v>1177</v>
      </c>
    </row>
    <row r="135" spans="1:11">
      <c r="A135" t="s">
        <v>1193</v>
      </c>
      <c r="B135" t="s">
        <v>1292</v>
      </c>
      <c r="C135" t="s">
        <v>40</v>
      </c>
      <c r="D135" t="s">
        <v>29</v>
      </c>
      <c r="E135" t="s">
        <v>102</v>
      </c>
      <c r="F135" t="s">
        <v>568</v>
      </c>
      <c r="G135" t="s">
        <v>1176</v>
      </c>
      <c r="H135" t="s">
        <v>1279</v>
      </c>
      <c r="I135" t="s">
        <v>86</v>
      </c>
      <c r="J135" t="s">
        <v>1195</v>
      </c>
      <c r="K135" t="s">
        <v>1177</v>
      </c>
    </row>
    <row r="136" spans="1:11">
      <c r="A136" t="s">
        <v>1193</v>
      </c>
      <c r="B136" t="s">
        <v>1292</v>
      </c>
      <c r="C136" t="s">
        <v>40</v>
      </c>
      <c r="D136" t="s">
        <v>29</v>
      </c>
      <c r="E136" t="s">
        <v>102</v>
      </c>
      <c r="F136" t="s">
        <v>103</v>
      </c>
      <c r="G136" t="s">
        <v>1176</v>
      </c>
      <c r="H136" t="s">
        <v>1279</v>
      </c>
      <c r="I136" t="s">
        <v>86</v>
      </c>
      <c r="J136" t="s">
        <v>1195</v>
      </c>
      <c r="K136" t="s">
        <v>1177</v>
      </c>
    </row>
    <row r="137" spans="1:11">
      <c r="A137" t="s">
        <v>1193</v>
      </c>
      <c r="B137" t="s">
        <v>1292</v>
      </c>
      <c r="C137" t="s">
        <v>40</v>
      </c>
      <c r="D137" t="s">
        <v>29</v>
      </c>
      <c r="E137" t="s">
        <v>433</v>
      </c>
      <c r="F137" t="s">
        <v>707</v>
      </c>
      <c r="G137" t="s">
        <v>1176</v>
      </c>
      <c r="H137" t="s">
        <v>1279</v>
      </c>
      <c r="I137" t="s">
        <v>86</v>
      </c>
      <c r="J137" t="s">
        <v>1195</v>
      </c>
      <c r="K137" t="s">
        <v>1177</v>
      </c>
    </row>
    <row r="138" spans="1:11">
      <c r="A138" t="s">
        <v>1193</v>
      </c>
      <c r="B138" t="s">
        <v>1292</v>
      </c>
      <c r="C138" t="s">
        <v>40</v>
      </c>
      <c r="D138" t="s">
        <v>29</v>
      </c>
      <c r="E138" t="s">
        <v>433</v>
      </c>
      <c r="F138" t="s">
        <v>915</v>
      </c>
      <c r="G138" t="s">
        <v>1176</v>
      </c>
      <c r="H138" t="s">
        <v>1279</v>
      </c>
      <c r="I138" t="s">
        <v>86</v>
      </c>
      <c r="J138" t="s">
        <v>1195</v>
      </c>
      <c r="K138" t="s">
        <v>1177</v>
      </c>
    </row>
    <row r="139" spans="1:11">
      <c r="A139" t="s">
        <v>1193</v>
      </c>
      <c r="B139" t="s">
        <v>1292</v>
      </c>
      <c r="C139" t="s">
        <v>40</v>
      </c>
      <c r="D139" t="s">
        <v>29</v>
      </c>
      <c r="E139" t="s">
        <v>433</v>
      </c>
      <c r="F139" t="s">
        <v>916</v>
      </c>
      <c r="G139" t="s">
        <v>1176</v>
      </c>
      <c r="H139" t="s">
        <v>1279</v>
      </c>
      <c r="I139" t="s">
        <v>86</v>
      </c>
      <c r="J139" t="s">
        <v>1195</v>
      </c>
      <c r="K139" t="s">
        <v>1177</v>
      </c>
    </row>
    <row r="140" spans="1:11">
      <c r="A140" t="s">
        <v>1193</v>
      </c>
      <c r="B140" t="s">
        <v>1292</v>
      </c>
      <c r="C140" t="s">
        <v>40</v>
      </c>
      <c r="D140" t="s">
        <v>29</v>
      </c>
      <c r="E140" t="s">
        <v>433</v>
      </c>
      <c r="F140" t="s">
        <v>917</v>
      </c>
      <c r="G140" t="s">
        <v>1176</v>
      </c>
      <c r="H140" t="s">
        <v>1279</v>
      </c>
      <c r="I140" t="s">
        <v>86</v>
      </c>
      <c r="J140" t="s">
        <v>1195</v>
      </c>
      <c r="K140" t="s">
        <v>1177</v>
      </c>
    </row>
    <row r="141" spans="1:11">
      <c r="A141" t="s">
        <v>1193</v>
      </c>
      <c r="B141" t="s">
        <v>1292</v>
      </c>
      <c r="C141" t="s">
        <v>40</v>
      </c>
      <c r="D141" t="s">
        <v>29</v>
      </c>
      <c r="E141" t="s">
        <v>433</v>
      </c>
      <c r="F141" t="s">
        <v>1156</v>
      </c>
      <c r="G141" t="s">
        <v>1176</v>
      </c>
      <c r="H141" t="s">
        <v>1279</v>
      </c>
      <c r="I141" t="s">
        <v>86</v>
      </c>
      <c r="J141" t="s">
        <v>1195</v>
      </c>
      <c r="K141" t="s">
        <v>1177</v>
      </c>
    </row>
    <row r="142" spans="1:11">
      <c r="A142" t="s">
        <v>1193</v>
      </c>
      <c r="B142" t="s">
        <v>1292</v>
      </c>
      <c r="C142" t="s">
        <v>40</v>
      </c>
      <c r="D142" t="s">
        <v>29</v>
      </c>
      <c r="E142" t="s">
        <v>315</v>
      </c>
      <c r="F142" t="s">
        <v>1146</v>
      </c>
      <c r="G142" t="s">
        <v>1176</v>
      </c>
      <c r="H142" t="s">
        <v>1279</v>
      </c>
      <c r="I142" t="s">
        <v>86</v>
      </c>
      <c r="J142" t="s">
        <v>1195</v>
      </c>
      <c r="K142" t="s">
        <v>1177</v>
      </c>
    </row>
    <row r="143" spans="1:11">
      <c r="A143" t="s">
        <v>1193</v>
      </c>
      <c r="B143" t="s">
        <v>1292</v>
      </c>
      <c r="C143" t="s">
        <v>40</v>
      </c>
      <c r="D143" t="s">
        <v>29</v>
      </c>
      <c r="E143" t="s">
        <v>315</v>
      </c>
      <c r="F143" t="s">
        <v>1147</v>
      </c>
      <c r="G143" t="s">
        <v>1176</v>
      </c>
      <c r="H143" t="s">
        <v>1279</v>
      </c>
      <c r="I143" t="s">
        <v>86</v>
      </c>
      <c r="J143" t="s">
        <v>1195</v>
      </c>
      <c r="K143" t="s">
        <v>1177</v>
      </c>
    </row>
    <row r="144" spans="1:11">
      <c r="A144" t="s">
        <v>1193</v>
      </c>
      <c r="B144" t="s">
        <v>1292</v>
      </c>
      <c r="C144" t="s">
        <v>40</v>
      </c>
      <c r="D144" t="s">
        <v>29</v>
      </c>
      <c r="E144" t="s">
        <v>315</v>
      </c>
      <c r="F144" t="s">
        <v>569</v>
      </c>
      <c r="G144" t="s">
        <v>1176</v>
      </c>
      <c r="H144" t="s">
        <v>1279</v>
      </c>
      <c r="I144" t="s">
        <v>86</v>
      </c>
      <c r="J144" t="s">
        <v>1195</v>
      </c>
      <c r="K144" t="s">
        <v>1177</v>
      </c>
    </row>
    <row r="145" spans="1:11">
      <c r="A145" t="s">
        <v>1193</v>
      </c>
      <c r="B145" t="s">
        <v>1292</v>
      </c>
      <c r="C145" t="s">
        <v>44</v>
      </c>
      <c r="D145" t="s">
        <v>28</v>
      </c>
      <c r="E145" t="s">
        <v>168</v>
      </c>
      <c r="F145" t="s">
        <v>272</v>
      </c>
      <c r="G145" t="s">
        <v>1176</v>
      </c>
      <c r="H145" t="s">
        <v>1279</v>
      </c>
      <c r="I145" t="s">
        <v>86</v>
      </c>
      <c r="J145" t="s">
        <v>1195</v>
      </c>
      <c r="K145" t="s">
        <v>1177</v>
      </c>
    </row>
    <row r="146" spans="1:11">
      <c r="A146" t="s">
        <v>1193</v>
      </c>
      <c r="B146" t="s">
        <v>1292</v>
      </c>
      <c r="C146" t="s">
        <v>44</v>
      </c>
      <c r="D146" t="s">
        <v>28</v>
      </c>
      <c r="E146" t="s">
        <v>168</v>
      </c>
      <c r="F146" t="s">
        <v>511</v>
      </c>
      <c r="G146" t="s">
        <v>1176</v>
      </c>
      <c r="H146" t="s">
        <v>1279</v>
      </c>
      <c r="I146" t="s">
        <v>86</v>
      </c>
      <c r="J146" t="s">
        <v>1195</v>
      </c>
      <c r="K146" t="s">
        <v>1177</v>
      </c>
    </row>
    <row r="147" spans="1:11">
      <c r="A147" t="s">
        <v>1193</v>
      </c>
      <c r="B147" t="s">
        <v>1292</v>
      </c>
      <c r="C147" t="s">
        <v>44</v>
      </c>
      <c r="D147" t="s">
        <v>28</v>
      </c>
      <c r="E147" t="s">
        <v>168</v>
      </c>
      <c r="F147" t="s">
        <v>169</v>
      </c>
      <c r="G147" t="s">
        <v>1176</v>
      </c>
      <c r="H147" t="s">
        <v>1279</v>
      </c>
      <c r="I147" t="s">
        <v>86</v>
      </c>
      <c r="J147" t="s">
        <v>1195</v>
      </c>
      <c r="K147" t="s">
        <v>1177</v>
      </c>
    </row>
    <row r="148" spans="1:11">
      <c r="A148" t="s">
        <v>1193</v>
      </c>
      <c r="B148" t="s">
        <v>1292</v>
      </c>
      <c r="C148" t="s">
        <v>44</v>
      </c>
      <c r="D148" t="s">
        <v>28</v>
      </c>
      <c r="E148" t="s">
        <v>168</v>
      </c>
      <c r="F148" t="s">
        <v>397</v>
      </c>
      <c r="G148" t="s">
        <v>1176</v>
      </c>
      <c r="H148" t="s">
        <v>1279</v>
      </c>
      <c r="I148" t="s">
        <v>86</v>
      </c>
      <c r="J148" t="s">
        <v>1195</v>
      </c>
      <c r="K148" t="s">
        <v>1177</v>
      </c>
    </row>
    <row r="149" spans="1:11">
      <c r="A149" t="s">
        <v>1193</v>
      </c>
      <c r="B149" t="s">
        <v>1292</v>
      </c>
      <c r="C149" t="s">
        <v>44</v>
      </c>
      <c r="D149" t="s">
        <v>30</v>
      </c>
      <c r="E149" t="s">
        <v>315</v>
      </c>
      <c r="F149" t="s">
        <v>1146</v>
      </c>
      <c r="G149" t="s">
        <v>1176</v>
      </c>
      <c r="H149" t="s">
        <v>1279</v>
      </c>
      <c r="I149" t="s">
        <v>86</v>
      </c>
      <c r="J149" t="s">
        <v>1195</v>
      </c>
      <c r="K149" t="s">
        <v>1177</v>
      </c>
    </row>
    <row r="150" spans="1:11">
      <c r="A150" t="s">
        <v>1193</v>
      </c>
      <c r="B150" t="s">
        <v>1292</v>
      </c>
      <c r="C150" t="s">
        <v>44</v>
      </c>
      <c r="D150" t="s">
        <v>30</v>
      </c>
      <c r="E150" t="s">
        <v>315</v>
      </c>
      <c r="F150" t="s">
        <v>569</v>
      </c>
      <c r="G150" t="s">
        <v>1176</v>
      </c>
      <c r="H150" t="s">
        <v>1279</v>
      </c>
      <c r="I150" t="s">
        <v>86</v>
      </c>
      <c r="J150" t="s">
        <v>1195</v>
      </c>
      <c r="K150" t="s">
        <v>1177</v>
      </c>
    </row>
    <row r="151" spans="1:11">
      <c r="A151" t="s">
        <v>1193</v>
      </c>
      <c r="B151" t="s">
        <v>1292</v>
      </c>
      <c r="C151" t="s">
        <v>44</v>
      </c>
      <c r="D151" t="s">
        <v>30</v>
      </c>
      <c r="E151" t="s">
        <v>102</v>
      </c>
      <c r="F151" t="s">
        <v>1153</v>
      </c>
      <c r="G151" t="s">
        <v>1176</v>
      </c>
      <c r="H151" t="s">
        <v>1279</v>
      </c>
      <c r="I151" t="s">
        <v>86</v>
      </c>
      <c r="J151" t="s">
        <v>1195</v>
      </c>
      <c r="K151" t="s">
        <v>1177</v>
      </c>
    </row>
    <row r="152" spans="1:11">
      <c r="A152" t="s">
        <v>1193</v>
      </c>
      <c r="B152" t="s">
        <v>1292</v>
      </c>
      <c r="C152" t="s">
        <v>44</v>
      </c>
      <c r="D152" t="s">
        <v>30</v>
      </c>
      <c r="E152" t="s">
        <v>102</v>
      </c>
      <c r="F152" t="s">
        <v>1154</v>
      </c>
      <c r="G152" t="s">
        <v>1176</v>
      </c>
      <c r="H152" t="s">
        <v>1279</v>
      </c>
      <c r="I152" t="s">
        <v>86</v>
      </c>
      <c r="J152" t="s">
        <v>1195</v>
      </c>
      <c r="K152" t="s">
        <v>1177</v>
      </c>
    </row>
    <row r="153" spans="1:11">
      <c r="A153" t="s">
        <v>1193</v>
      </c>
      <c r="B153" t="s">
        <v>1292</v>
      </c>
      <c r="C153" t="s">
        <v>44</v>
      </c>
      <c r="D153" t="s">
        <v>30</v>
      </c>
      <c r="E153" t="s">
        <v>102</v>
      </c>
      <c r="F153" t="s">
        <v>914</v>
      </c>
      <c r="G153" t="s">
        <v>1176</v>
      </c>
      <c r="H153" t="s">
        <v>1279</v>
      </c>
      <c r="I153" t="s">
        <v>86</v>
      </c>
      <c r="J153" t="s">
        <v>1195</v>
      </c>
      <c r="K153" t="s">
        <v>1177</v>
      </c>
    </row>
    <row r="154" spans="1:11">
      <c r="A154" t="s">
        <v>1203</v>
      </c>
      <c r="B154" t="s">
        <v>1291</v>
      </c>
      <c r="C154" t="s">
        <v>40</v>
      </c>
      <c r="D154" t="s">
        <v>28</v>
      </c>
      <c r="E154" t="s">
        <v>50</v>
      </c>
      <c r="F154" t="s">
        <v>317</v>
      </c>
      <c r="G154" t="s">
        <v>633</v>
      </c>
      <c r="H154" t="s">
        <v>1279</v>
      </c>
      <c r="I154" t="s">
        <v>86</v>
      </c>
      <c r="J154" t="s">
        <v>1195</v>
      </c>
      <c r="K154" t="s">
        <v>634</v>
      </c>
    </row>
    <row r="155" spans="1:11">
      <c r="A155" t="s">
        <v>1203</v>
      </c>
      <c r="B155" t="s">
        <v>1291</v>
      </c>
      <c r="C155" t="s">
        <v>40</v>
      </c>
      <c r="D155" t="s">
        <v>29</v>
      </c>
      <c r="E155" t="s">
        <v>168</v>
      </c>
      <c r="F155" t="s">
        <v>511</v>
      </c>
      <c r="G155" t="s">
        <v>633</v>
      </c>
      <c r="H155" t="s">
        <v>1279</v>
      </c>
      <c r="I155" t="s">
        <v>86</v>
      </c>
      <c r="J155" t="s">
        <v>1195</v>
      </c>
      <c r="K155" t="s">
        <v>634</v>
      </c>
    </row>
    <row r="156" spans="1:11">
      <c r="A156" t="s">
        <v>1203</v>
      </c>
      <c r="B156" t="s">
        <v>1291</v>
      </c>
      <c r="C156" t="s">
        <v>40</v>
      </c>
      <c r="D156" t="s">
        <v>31</v>
      </c>
      <c r="E156" t="s">
        <v>50</v>
      </c>
      <c r="F156" t="s">
        <v>317</v>
      </c>
      <c r="G156" t="s">
        <v>633</v>
      </c>
      <c r="H156" t="s">
        <v>1279</v>
      </c>
      <c r="I156" t="s">
        <v>86</v>
      </c>
      <c r="J156" t="s">
        <v>1195</v>
      </c>
      <c r="K156" t="s">
        <v>634</v>
      </c>
    </row>
    <row r="157" spans="1:11">
      <c r="A157" t="s">
        <v>1203</v>
      </c>
      <c r="B157" t="s">
        <v>1291</v>
      </c>
      <c r="C157" t="s">
        <v>44</v>
      </c>
      <c r="D157" t="s">
        <v>29</v>
      </c>
      <c r="E157" t="s">
        <v>168</v>
      </c>
      <c r="F157" t="s">
        <v>511</v>
      </c>
      <c r="G157" t="s">
        <v>633</v>
      </c>
      <c r="H157" t="s">
        <v>1279</v>
      </c>
      <c r="I157" t="s">
        <v>86</v>
      </c>
      <c r="J157" t="s">
        <v>1195</v>
      </c>
      <c r="K157" t="s">
        <v>634</v>
      </c>
    </row>
    <row r="158" spans="1:11">
      <c r="A158" t="s">
        <v>1203</v>
      </c>
      <c r="B158" t="s">
        <v>1291</v>
      </c>
      <c r="C158" t="s">
        <v>44</v>
      </c>
      <c r="D158" t="s">
        <v>30</v>
      </c>
      <c r="E158" t="s">
        <v>50</v>
      </c>
      <c r="F158" t="s">
        <v>606</v>
      </c>
      <c r="G158" t="s">
        <v>633</v>
      </c>
      <c r="H158" t="s">
        <v>1279</v>
      </c>
      <c r="I158" t="s">
        <v>86</v>
      </c>
      <c r="J158" t="s">
        <v>1195</v>
      </c>
      <c r="K158" t="s">
        <v>634</v>
      </c>
    </row>
    <row r="159" spans="1:11">
      <c r="A159" t="s">
        <v>1203</v>
      </c>
      <c r="B159" t="s">
        <v>1294</v>
      </c>
      <c r="C159" t="s">
        <v>40</v>
      </c>
      <c r="D159" t="s">
        <v>28</v>
      </c>
      <c r="E159" t="s">
        <v>57</v>
      </c>
      <c r="F159" t="s">
        <v>706</v>
      </c>
      <c r="G159" t="s">
        <v>692</v>
      </c>
      <c r="H159" t="s">
        <v>1279</v>
      </c>
      <c r="I159" t="s">
        <v>86</v>
      </c>
      <c r="J159" t="s">
        <v>1195</v>
      </c>
      <c r="K159" t="s">
        <v>694</v>
      </c>
    </row>
    <row r="160" spans="1:11">
      <c r="A160" t="s">
        <v>1203</v>
      </c>
      <c r="B160" t="s">
        <v>1294</v>
      </c>
      <c r="C160" t="s">
        <v>40</v>
      </c>
      <c r="D160" t="s">
        <v>28</v>
      </c>
      <c r="E160" t="s">
        <v>55</v>
      </c>
      <c r="F160" t="s">
        <v>56</v>
      </c>
      <c r="G160" t="s">
        <v>692</v>
      </c>
      <c r="H160" t="s">
        <v>1279</v>
      </c>
      <c r="I160" t="s">
        <v>86</v>
      </c>
      <c r="J160" t="s">
        <v>1195</v>
      </c>
      <c r="K160" t="s">
        <v>694</v>
      </c>
    </row>
    <row r="161" spans="1:11">
      <c r="A161" t="s">
        <v>1203</v>
      </c>
      <c r="B161" t="s">
        <v>1294</v>
      </c>
      <c r="C161" t="s">
        <v>40</v>
      </c>
      <c r="D161" t="s">
        <v>29</v>
      </c>
      <c r="E161" t="s">
        <v>50</v>
      </c>
      <c r="F161" t="s">
        <v>606</v>
      </c>
      <c r="G161" t="s">
        <v>692</v>
      </c>
      <c r="H161" t="s">
        <v>1279</v>
      </c>
      <c r="I161" t="s">
        <v>86</v>
      </c>
      <c r="J161" t="s">
        <v>1195</v>
      </c>
      <c r="K161" t="s">
        <v>694</v>
      </c>
    </row>
    <row r="162" spans="1:11">
      <c r="A162" t="s">
        <v>1203</v>
      </c>
      <c r="B162" t="s">
        <v>1294</v>
      </c>
      <c r="C162" t="s">
        <v>40</v>
      </c>
      <c r="D162" t="s">
        <v>29</v>
      </c>
      <c r="E162" t="s">
        <v>50</v>
      </c>
      <c r="F162" t="s">
        <v>214</v>
      </c>
      <c r="G162" t="s">
        <v>692</v>
      </c>
      <c r="H162" t="s">
        <v>1279</v>
      </c>
      <c r="I162" t="s">
        <v>86</v>
      </c>
      <c r="J162" t="s">
        <v>1195</v>
      </c>
      <c r="K162" t="s">
        <v>694</v>
      </c>
    </row>
    <row r="163" spans="1:11">
      <c r="A163" t="s">
        <v>1203</v>
      </c>
      <c r="B163" t="s">
        <v>1294</v>
      </c>
      <c r="C163" t="s">
        <v>40</v>
      </c>
      <c r="D163" t="s">
        <v>30</v>
      </c>
      <c r="E163" t="s">
        <v>50</v>
      </c>
      <c r="F163" t="s">
        <v>317</v>
      </c>
      <c r="G163" t="s">
        <v>692</v>
      </c>
      <c r="H163" t="s">
        <v>1279</v>
      </c>
      <c r="I163" t="s">
        <v>86</v>
      </c>
      <c r="J163" t="s">
        <v>1195</v>
      </c>
      <c r="K163" t="s">
        <v>694</v>
      </c>
    </row>
    <row r="164" spans="1:11">
      <c r="A164" t="s">
        <v>1203</v>
      </c>
      <c r="B164" t="s">
        <v>1294</v>
      </c>
      <c r="C164" t="s">
        <v>40</v>
      </c>
      <c r="D164" t="s">
        <v>30</v>
      </c>
      <c r="E164" t="s">
        <v>50</v>
      </c>
      <c r="F164" t="s">
        <v>606</v>
      </c>
      <c r="G164" t="s">
        <v>692</v>
      </c>
      <c r="H164" t="s">
        <v>1279</v>
      </c>
      <c r="I164" t="s">
        <v>86</v>
      </c>
      <c r="J164" t="s">
        <v>1195</v>
      </c>
      <c r="K164" t="s">
        <v>694</v>
      </c>
    </row>
    <row r="165" spans="1:11">
      <c r="A165" t="s">
        <v>1203</v>
      </c>
      <c r="B165" t="s">
        <v>1294</v>
      </c>
      <c r="C165" t="s">
        <v>44</v>
      </c>
      <c r="D165" t="s">
        <v>28</v>
      </c>
      <c r="E165" t="s">
        <v>50</v>
      </c>
      <c r="F165" t="s">
        <v>509</v>
      </c>
      <c r="G165" t="s">
        <v>692</v>
      </c>
      <c r="H165" t="s">
        <v>1279</v>
      </c>
      <c r="I165" t="s">
        <v>86</v>
      </c>
      <c r="J165" t="s">
        <v>1195</v>
      </c>
      <c r="K165" t="s">
        <v>694</v>
      </c>
    </row>
    <row r="166" spans="1:11">
      <c r="A166" t="s">
        <v>1203</v>
      </c>
      <c r="B166" t="s">
        <v>1294</v>
      </c>
      <c r="C166" t="s">
        <v>44</v>
      </c>
      <c r="D166" t="s">
        <v>28</v>
      </c>
      <c r="E166" t="s">
        <v>50</v>
      </c>
      <c r="F166" t="s">
        <v>52</v>
      </c>
      <c r="G166" t="s">
        <v>692</v>
      </c>
      <c r="H166" t="s">
        <v>1279</v>
      </c>
      <c r="I166" t="s">
        <v>86</v>
      </c>
      <c r="J166" t="s">
        <v>1195</v>
      </c>
      <c r="K166" t="s">
        <v>694</v>
      </c>
    </row>
    <row r="167" spans="1:11">
      <c r="A167" t="s">
        <v>1203</v>
      </c>
      <c r="B167" t="s">
        <v>1294</v>
      </c>
      <c r="C167" t="s">
        <v>44</v>
      </c>
      <c r="D167" t="s">
        <v>29</v>
      </c>
      <c r="E167" t="s">
        <v>50</v>
      </c>
      <c r="F167" t="s">
        <v>214</v>
      </c>
      <c r="G167" t="s">
        <v>692</v>
      </c>
      <c r="H167" t="s">
        <v>1279</v>
      </c>
      <c r="I167" t="s">
        <v>86</v>
      </c>
      <c r="J167" t="s">
        <v>1195</v>
      </c>
      <c r="K167" t="s">
        <v>694</v>
      </c>
    </row>
    <row r="168" spans="1:11">
      <c r="A168" t="s">
        <v>1203</v>
      </c>
      <c r="B168" t="s">
        <v>1294</v>
      </c>
      <c r="C168" t="s">
        <v>44</v>
      </c>
      <c r="D168" t="s">
        <v>30</v>
      </c>
      <c r="E168" t="s">
        <v>50</v>
      </c>
      <c r="F168" t="s">
        <v>317</v>
      </c>
      <c r="G168" t="s">
        <v>692</v>
      </c>
      <c r="H168" t="s">
        <v>1279</v>
      </c>
      <c r="I168" t="s">
        <v>86</v>
      </c>
      <c r="J168" t="s">
        <v>1195</v>
      </c>
      <c r="K168" t="s">
        <v>694</v>
      </c>
    </row>
    <row r="169" spans="1:11">
      <c r="A169" t="s">
        <v>1203</v>
      </c>
      <c r="B169" t="s">
        <v>1294</v>
      </c>
      <c r="C169" t="s">
        <v>44</v>
      </c>
      <c r="D169" t="s">
        <v>30</v>
      </c>
      <c r="E169" t="s">
        <v>50</v>
      </c>
      <c r="F169" t="s">
        <v>606</v>
      </c>
      <c r="G169" t="s">
        <v>692</v>
      </c>
      <c r="H169" t="s">
        <v>1279</v>
      </c>
      <c r="I169" t="s">
        <v>86</v>
      </c>
      <c r="J169" t="s">
        <v>1195</v>
      </c>
      <c r="K169" t="s">
        <v>694</v>
      </c>
    </row>
    <row r="170" spans="1:11">
      <c r="A170" t="s">
        <v>1203</v>
      </c>
      <c r="B170" t="s">
        <v>1294</v>
      </c>
      <c r="C170" t="s">
        <v>40</v>
      </c>
      <c r="D170" t="s">
        <v>29</v>
      </c>
      <c r="E170" t="s">
        <v>168</v>
      </c>
      <c r="F170" t="s">
        <v>397</v>
      </c>
      <c r="G170" t="s">
        <v>692</v>
      </c>
      <c r="H170" t="s">
        <v>1279</v>
      </c>
      <c r="I170" t="s">
        <v>86</v>
      </c>
      <c r="J170" t="s">
        <v>1195</v>
      </c>
      <c r="K170" t="s">
        <v>694</v>
      </c>
    </row>
    <row r="171" spans="1:11">
      <c r="A171" t="s">
        <v>1203</v>
      </c>
      <c r="B171" t="s">
        <v>1294</v>
      </c>
      <c r="C171" t="s">
        <v>40</v>
      </c>
      <c r="D171" t="s">
        <v>29</v>
      </c>
      <c r="E171" t="s">
        <v>433</v>
      </c>
      <c r="F171" t="s">
        <v>707</v>
      </c>
      <c r="G171" t="s">
        <v>692</v>
      </c>
      <c r="H171" t="s">
        <v>1279</v>
      </c>
      <c r="I171" t="s">
        <v>86</v>
      </c>
      <c r="J171" t="s">
        <v>1195</v>
      </c>
      <c r="K171" t="s">
        <v>694</v>
      </c>
    </row>
    <row r="172" spans="1:11">
      <c r="A172" t="s">
        <v>1203</v>
      </c>
      <c r="B172" t="s">
        <v>1294</v>
      </c>
      <c r="C172" t="s">
        <v>40</v>
      </c>
      <c r="D172" t="s">
        <v>29</v>
      </c>
      <c r="E172" t="s">
        <v>433</v>
      </c>
      <c r="F172" t="s">
        <v>434</v>
      </c>
      <c r="G172" t="s">
        <v>692</v>
      </c>
      <c r="H172" t="s">
        <v>1279</v>
      </c>
      <c r="I172" t="s">
        <v>86</v>
      </c>
      <c r="J172" t="s">
        <v>1195</v>
      </c>
      <c r="K172" t="s">
        <v>694</v>
      </c>
    </row>
    <row r="173" spans="1:11">
      <c r="A173" t="s">
        <v>1203</v>
      </c>
      <c r="B173" t="s">
        <v>1295</v>
      </c>
      <c r="C173" t="s">
        <v>40</v>
      </c>
      <c r="D173" t="s">
        <v>28</v>
      </c>
      <c r="E173" t="s">
        <v>50</v>
      </c>
      <c r="F173" t="s">
        <v>214</v>
      </c>
      <c r="G173" t="s">
        <v>729</v>
      </c>
      <c r="H173" t="s">
        <v>1279</v>
      </c>
      <c r="I173" t="s">
        <v>86</v>
      </c>
      <c r="J173" t="s">
        <v>1195</v>
      </c>
      <c r="K173" t="s">
        <v>1184</v>
      </c>
    </row>
    <row r="174" spans="1:11">
      <c r="A174" t="s">
        <v>1203</v>
      </c>
      <c r="B174" t="s">
        <v>1295</v>
      </c>
      <c r="C174" t="s">
        <v>40</v>
      </c>
      <c r="D174" t="s">
        <v>28</v>
      </c>
      <c r="E174" t="s">
        <v>57</v>
      </c>
      <c r="F174" t="s">
        <v>78</v>
      </c>
      <c r="G174" t="s">
        <v>729</v>
      </c>
      <c r="H174" t="s">
        <v>1279</v>
      </c>
      <c r="I174" t="s">
        <v>86</v>
      </c>
      <c r="J174" t="s">
        <v>1195</v>
      </c>
      <c r="K174" t="s">
        <v>1184</v>
      </c>
    </row>
    <row r="175" spans="1:11">
      <c r="A175" t="s">
        <v>1203</v>
      </c>
      <c r="B175" t="s">
        <v>1295</v>
      </c>
      <c r="C175" t="s">
        <v>40</v>
      </c>
      <c r="D175" t="s">
        <v>28</v>
      </c>
      <c r="E175" t="s">
        <v>53</v>
      </c>
      <c r="F175" t="s">
        <v>217</v>
      </c>
      <c r="G175" t="s">
        <v>729</v>
      </c>
      <c r="H175" t="s">
        <v>1279</v>
      </c>
      <c r="I175" t="s">
        <v>86</v>
      </c>
      <c r="J175" t="s">
        <v>1195</v>
      </c>
      <c r="K175" t="s">
        <v>1184</v>
      </c>
    </row>
    <row r="176" spans="1:11">
      <c r="A176" t="s">
        <v>1203</v>
      </c>
      <c r="B176" t="s">
        <v>1295</v>
      </c>
      <c r="C176" t="s">
        <v>40</v>
      </c>
      <c r="D176" t="s">
        <v>28</v>
      </c>
      <c r="E176" t="s">
        <v>168</v>
      </c>
      <c r="F176" t="s">
        <v>272</v>
      </c>
      <c r="G176" t="s">
        <v>729</v>
      </c>
      <c r="H176" t="s">
        <v>1279</v>
      </c>
      <c r="I176" t="s">
        <v>86</v>
      </c>
      <c r="J176" t="s">
        <v>1195</v>
      </c>
      <c r="K176" t="s">
        <v>1184</v>
      </c>
    </row>
    <row r="177" spans="1:11">
      <c r="A177" t="s">
        <v>1203</v>
      </c>
      <c r="B177" t="s">
        <v>1295</v>
      </c>
      <c r="C177" t="s">
        <v>40</v>
      </c>
      <c r="D177" t="s">
        <v>28</v>
      </c>
      <c r="E177" t="s">
        <v>55</v>
      </c>
      <c r="F177" t="s">
        <v>372</v>
      </c>
      <c r="G177" t="s">
        <v>729</v>
      </c>
      <c r="H177" t="s">
        <v>1279</v>
      </c>
      <c r="I177" t="s">
        <v>86</v>
      </c>
      <c r="J177" t="s">
        <v>1195</v>
      </c>
      <c r="K177" t="s">
        <v>1184</v>
      </c>
    </row>
    <row r="178" spans="1:11">
      <c r="A178" t="s">
        <v>1203</v>
      </c>
      <c r="B178" t="s">
        <v>1295</v>
      </c>
      <c r="C178" t="s">
        <v>44</v>
      </c>
      <c r="D178" t="s">
        <v>29</v>
      </c>
      <c r="E178" t="s">
        <v>50</v>
      </c>
      <c r="F178" t="s">
        <v>509</v>
      </c>
      <c r="G178" t="s">
        <v>729</v>
      </c>
      <c r="H178" t="s">
        <v>1279</v>
      </c>
      <c r="I178" t="s">
        <v>86</v>
      </c>
      <c r="J178" t="s">
        <v>1195</v>
      </c>
      <c r="K178" t="s">
        <v>1184</v>
      </c>
    </row>
    <row r="179" spans="1:11">
      <c r="A179" t="s">
        <v>1203</v>
      </c>
      <c r="B179" t="s">
        <v>1295</v>
      </c>
      <c r="C179" t="s">
        <v>44</v>
      </c>
      <c r="D179" t="s">
        <v>29</v>
      </c>
      <c r="E179" t="s">
        <v>50</v>
      </c>
      <c r="F179" t="s">
        <v>317</v>
      </c>
      <c r="G179" t="s">
        <v>729</v>
      </c>
      <c r="H179" t="s">
        <v>1279</v>
      </c>
      <c r="I179" t="s">
        <v>86</v>
      </c>
      <c r="J179" t="s">
        <v>1195</v>
      </c>
      <c r="K179" t="s">
        <v>1184</v>
      </c>
    </row>
    <row r="180" spans="1:11">
      <c r="A180" t="s">
        <v>1203</v>
      </c>
      <c r="B180" t="s">
        <v>1295</v>
      </c>
      <c r="C180" t="s">
        <v>44</v>
      </c>
      <c r="D180" t="s">
        <v>29</v>
      </c>
      <c r="E180" t="s">
        <v>57</v>
      </c>
      <c r="F180" t="s">
        <v>58</v>
      </c>
      <c r="G180" t="s">
        <v>729</v>
      </c>
      <c r="H180" t="s">
        <v>1279</v>
      </c>
      <c r="I180" t="s">
        <v>86</v>
      </c>
      <c r="J180" t="s">
        <v>1195</v>
      </c>
      <c r="K180" t="s">
        <v>1184</v>
      </c>
    </row>
    <row r="181" spans="1:11">
      <c r="A181" t="s">
        <v>1203</v>
      </c>
      <c r="B181" t="s">
        <v>1295</v>
      </c>
      <c r="C181" t="s">
        <v>44</v>
      </c>
      <c r="D181" t="s">
        <v>29</v>
      </c>
      <c r="E181" t="s">
        <v>53</v>
      </c>
      <c r="F181" t="s">
        <v>54</v>
      </c>
      <c r="G181" t="s">
        <v>729</v>
      </c>
      <c r="H181" t="s">
        <v>1279</v>
      </c>
      <c r="I181" t="s">
        <v>86</v>
      </c>
      <c r="J181" t="s">
        <v>1195</v>
      </c>
      <c r="K181" t="s">
        <v>1184</v>
      </c>
    </row>
    <row r="182" spans="1:11">
      <c r="A182" t="s">
        <v>1203</v>
      </c>
      <c r="B182" t="s">
        <v>1295</v>
      </c>
      <c r="C182" t="s">
        <v>44</v>
      </c>
      <c r="D182" t="s">
        <v>29</v>
      </c>
      <c r="E182" t="s">
        <v>55</v>
      </c>
      <c r="F182" t="s">
        <v>56</v>
      </c>
      <c r="G182" t="s">
        <v>729</v>
      </c>
      <c r="H182" t="s">
        <v>1279</v>
      </c>
      <c r="I182" t="s">
        <v>86</v>
      </c>
      <c r="J182" t="s">
        <v>1195</v>
      </c>
      <c r="K182" t="s">
        <v>1184</v>
      </c>
    </row>
    <row r="183" spans="1:11">
      <c r="A183" t="s">
        <v>1203</v>
      </c>
      <c r="B183" t="s">
        <v>1295</v>
      </c>
      <c r="C183" t="s">
        <v>44</v>
      </c>
      <c r="D183" t="s">
        <v>29</v>
      </c>
      <c r="E183" t="s">
        <v>315</v>
      </c>
      <c r="F183" t="s">
        <v>569</v>
      </c>
      <c r="G183" t="s">
        <v>729</v>
      </c>
      <c r="H183" t="s">
        <v>1279</v>
      </c>
      <c r="I183" t="s">
        <v>86</v>
      </c>
      <c r="J183" t="s">
        <v>1195</v>
      </c>
      <c r="K183" t="s">
        <v>1184</v>
      </c>
    </row>
    <row r="184" spans="1:11">
      <c r="A184" t="s">
        <v>1203</v>
      </c>
      <c r="B184" t="s">
        <v>1296</v>
      </c>
      <c r="C184" t="s">
        <v>40</v>
      </c>
      <c r="D184" t="s">
        <v>28</v>
      </c>
      <c r="E184" t="s">
        <v>50</v>
      </c>
      <c r="F184" t="s">
        <v>317</v>
      </c>
      <c r="G184" t="s">
        <v>770</v>
      </c>
      <c r="H184" t="s">
        <v>1279</v>
      </c>
      <c r="I184" t="s">
        <v>86</v>
      </c>
      <c r="J184" t="s">
        <v>1195</v>
      </c>
      <c r="K184" t="s">
        <v>1387</v>
      </c>
    </row>
    <row r="185" spans="1:11">
      <c r="A185" t="s">
        <v>1203</v>
      </c>
      <c r="B185" t="s">
        <v>1296</v>
      </c>
      <c r="C185" t="s">
        <v>40</v>
      </c>
      <c r="D185" t="s">
        <v>29</v>
      </c>
      <c r="E185" t="s">
        <v>168</v>
      </c>
      <c r="F185" t="s">
        <v>511</v>
      </c>
      <c r="G185" t="s">
        <v>770</v>
      </c>
      <c r="H185" t="s">
        <v>1279</v>
      </c>
      <c r="I185" t="s">
        <v>86</v>
      </c>
      <c r="J185" t="s">
        <v>1195</v>
      </c>
      <c r="K185" t="s">
        <v>1387</v>
      </c>
    </row>
    <row r="186" spans="1:11">
      <c r="A186" t="s">
        <v>1203</v>
      </c>
      <c r="B186" t="s">
        <v>1296</v>
      </c>
      <c r="C186" t="s">
        <v>40</v>
      </c>
      <c r="D186" t="s">
        <v>30</v>
      </c>
      <c r="E186" t="s">
        <v>53</v>
      </c>
      <c r="F186" t="s">
        <v>167</v>
      </c>
      <c r="G186" t="s">
        <v>770</v>
      </c>
      <c r="H186" t="s">
        <v>1279</v>
      </c>
      <c r="I186" t="s">
        <v>86</v>
      </c>
      <c r="J186" t="s">
        <v>1195</v>
      </c>
      <c r="K186" t="s">
        <v>1387</v>
      </c>
    </row>
    <row r="187" spans="1:11">
      <c r="A187" t="s">
        <v>1203</v>
      </c>
      <c r="B187" t="s">
        <v>1296</v>
      </c>
      <c r="C187" t="s">
        <v>40</v>
      </c>
      <c r="D187" t="s">
        <v>31</v>
      </c>
      <c r="E187" t="s">
        <v>102</v>
      </c>
      <c r="F187" t="s">
        <v>568</v>
      </c>
      <c r="G187" t="s">
        <v>770</v>
      </c>
      <c r="H187" t="s">
        <v>1279</v>
      </c>
      <c r="I187" t="s">
        <v>86</v>
      </c>
      <c r="J187" t="s">
        <v>1195</v>
      </c>
      <c r="K187" t="s">
        <v>1387</v>
      </c>
    </row>
    <row r="188" spans="1:11">
      <c r="A188" t="s">
        <v>1203</v>
      </c>
      <c r="B188" t="s">
        <v>1296</v>
      </c>
      <c r="C188" t="s">
        <v>40</v>
      </c>
      <c r="D188" t="s">
        <v>32</v>
      </c>
      <c r="E188" t="s">
        <v>55</v>
      </c>
      <c r="F188" t="s">
        <v>216</v>
      </c>
      <c r="G188" t="s">
        <v>770</v>
      </c>
      <c r="H188" t="s">
        <v>1279</v>
      </c>
      <c r="I188" t="s">
        <v>86</v>
      </c>
      <c r="J188" t="s">
        <v>1195</v>
      </c>
      <c r="K188" t="s">
        <v>1387</v>
      </c>
    </row>
    <row r="189" spans="1:11">
      <c r="A189" t="s">
        <v>1203</v>
      </c>
      <c r="B189" t="s">
        <v>1296</v>
      </c>
      <c r="C189" t="s">
        <v>44</v>
      </c>
      <c r="D189" t="s">
        <v>28</v>
      </c>
      <c r="E189" t="s">
        <v>315</v>
      </c>
      <c r="F189" t="s">
        <v>569</v>
      </c>
      <c r="G189" t="s">
        <v>770</v>
      </c>
      <c r="H189" t="s">
        <v>1279</v>
      </c>
      <c r="I189" t="s">
        <v>86</v>
      </c>
      <c r="J189" t="s">
        <v>1195</v>
      </c>
      <c r="K189" t="s">
        <v>1387</v>
      </c>
    </row>
    <row r="190" spans="1:11">
      <c r="A190" t="s">
        <v>1203</v>
      </c>
      <c r="B190" t="s">
        <v>1296</v>
      </c>
      <c r="C190" t="s">
        <v>44</v>
      </c>
      <c r="D190" t="s">
        <v>29</v>
      </c>
      <c r="E190" t="s">
        <v>168</v>
      </c>
      <c r="F190" t="s">
        <v>272</v>
      </c>
      <c r="G190" t="s">
        <v>770</v>
      </c>
      <c r="H190" t="s">
        <v>1279</v>
      </c>
      <c r="I190" t="s">
        <v>86</v>
      </c>
      <c r="J190" t="s">
        <v>1195</v>
      </c>
      <c r="K190" t="s">
        <v>1387</v>
      </c>
    </row>
    <row r="191" spans="1:11">
      <c r="A191" t="s">
        <v>1203</v>
      </c>
      <c r="B191" t="s">
        <v>1296</v>
      </c>
      <c r="C191" t="s">
        <v>44</v>
      </c>
      <c r="D191" t="s">
        <v>30</v>
      </c>
      <c r="E191" t="s">
        <v>50</v>
      </c>
      <c r="F191" t="s">
        <v>214</v>
      </c>
      <c r="G191" t="s">
        <v>770</v>
      </c>
      <c r="H191" t="s">
        <v>1279</v>
      </c>
      <c r="I191" t="s">
        <v>86</v>
      </c>
      <c r="J191" t="s">
        <v>1195</v>
      </c>
      <c r="K191" t="s">
        <v>1387</v>
      </c>
    </row>
    <row r="192" spans="1:11">
      <c r="A192" t="s">
        <v>1203</v>
      </c>
      <c r="B192" t="s">
        <v>1296</v>
      </c>
      <c r="C192" t="s">
        <v>44</v>
      </c>
      <c r="D192" t="s">
        <v>31</v>
      </c>
      <c r="E192" t="s">
        <v>315</v>
      </c>
      <c r="F192" t="s">
        <v>569</v>
      </c>
      <c r="G192" t="s">
        <v>770</v>
      </c>
      <c r="H192" t="s">
        <v>1279</v>
      </c>
      <c r="I192" t="s">
        <v>86</v>
      </c>
      <c r="J192" t="s">
        <v>1195</v>
      </c>
      <c r="K192" t="s">
        <v>1387</v>
      </c>
    </row>
    <row r="193" spans="1:11">
      <c r="A193" t="s">
        <v>1203</v>
      </c>
      <c r="B193" t="s">
        <v>1296</v>
      </c>
      <c r="C193" t="s">
        <v>44</v>
      </c>
      <c r="D193" t="s">
        <v>32</v>
      </c>
      <c r="E193" t="s">
        <v>55</v>
      </c>
      <c r="F193" t="s">
        <v>56</v>
      </c>
      <c r="G193" t="s">
        <v>770</v>
      </c>
      <c r="H193" t="s">
        <v>1279</v>
      </c>
      <c r="I193" t="s">
        <v>86</v>
      </c>
      <c r="J193" t="s">
        <v>1195</v>
      </c>
      <c r="K193" t="s">
        <v>1387</v>
      </c>
    </row>
    <row r="194" spans="1:11">
      <c r="A194" t="s">
        <v>1203</v>
      </c>
      <c r="B194" t="s">
        <v>1297</v>
      </c>
      <c r="C194" t="s">
        <v>40</v>
      </c>
      <c r="D194" t="s">
        <v>28</v>
      </c>
      <c r="E194" t="s">
        <v>57</v>
      </c>
      <c r="F194" t="s">
        <v>706</v>
      </c>
      <c r="G194" t="s">
        <v>856</v>
      </c>
      <c r="H194" t="s">
        <v>1279</v>
      </c>
      <c r="I194" t="s">
        <v>86</v>
      </c>
      <c r="J194" t="s">
        <v>1195</v>
      </c>
      <c r="K194" t="s">
        <v>858</v>
      </c>
    </row>
    <row r="195" spans="1:11">
      <c r="A195" t="s">
        <v>1203</v>
      </c>
      <c r="B195" t="s">
        <v>1297</v>
      </c>
      <c r="C195" t="s">
        <v>40</v>
      </c>
      <c r="D195" t="s">
        <v>28</v>
      </c>
      <c r="E195" t="s">
        <v>55</v>
      </c>
      <c r="F195" t="s">
        <v>56</v>
      </c>
      <c r="G195" t="s">
        <v>856</v>
      </c>
      <c r="H195" t="s">
        <v>1279</v>
      </c>
      <c r="I195" t="s">
        <v>86</v>
      </c>
      <c r="J195" t="s">
        <v>1195</v>
      </c>
      <c r="K195" t="s">
        <v>858</v>
      </c>
    </row>
    <row r="196" spans="1:11">
      <c r="A196" t="s">
        <v>1203</v>
      </c>
      <c r="B196" t="s">
        <v>1297</v>
      </c>
      <c r="C196" t="s">
        <v>40</v>
      </c>
      <c r="D196" t="s">
        <v>29</v>
      </c>
      <c r="E196" t="s">
        <v>50</v>
      </c>
      <c r="F196" t="s">
        <v>606</v>
      </c>
      <c r="G196" t="s">
        <v>856</v>
      </c>
      <c r="H196" t="s">
        <v>1279</v>
      </c>
      <c r="I196" t="s">
        <v>86</v>
      </c>
      <c r="J196" t="s">
        <v>1195</v>
      </c>
      <c r="K196" t="s">
        <v>858</v>
      </c>
    </row>
    <row r="197" spans="1:11">
      <c r="A197" t="s">
        <v>1203</v>
      </c>
      <c r="B197" t="s">
        <v>1297</v>
      </c>
      <c r="C197" t="s">
        <v>40</v>
      </c>
      <c r="D197" t="s">
        <v>29</v>
      </c>
      <c r="E197" t="s">
        <v>50</v>
      </c>
      <c r="F197" t="s">
        <v>214</v>
      </c>
      <c r="G197" t="s">
        <v>856</v>
      </c>
      <c r="H197" t="s">
        <v>1279</v>
      </c>
      <c r="I197" t="s">
        <v>86</v>
      </c>
      <c r="J197" t="s">
        <v>1195</v>
      </c>
      <c r="K197" t="s">
        <v>858</v>
      </c>
    </row>
    <row r="198" spans="1:11">
      <c r="A198" t="s">
        <v>1203</v>
      </c>
      <c r="B198" t="s">
        <v>1297</v>
      </c>
      <c r="C198" t="s">
        <v>40</v>
      </c>
      <c r="D198" t="s">
        <v>30</v>
      </c>
      <c r="E198" t="s">
        <v>50</v>
      </c>
      <c r="F198" t="s">
        <v>317</v>
      </c>
      <c r="G198" t="s">
        <v>856</v>
      </c>
      <c r="H198" t="s">
        <v>1279</v>
      </c>
      <c r="I198" t="s">
        <v>86</v>
      </c>
      <c r="J198" t="s">
        <v>1195</v>
      </c>
      <c r="K198" t="s">
        <v>858</v>
      </c>
    </row>
    <row r="199" spans="1:11">
      <c r="A199" t="s">
        <v>1203</v>
      </c>
      <c r="B199" t="s">
        <v>1297</v>
      </c>
      <c r="C199" t="s">
        <v>44</v>
      </c>
      <c r="D199" t="s">
        <v>30</v>
      </c>
      <c r="E199" t="s">
        <v>50</v>
      </c>
      <c r="F199" t="s">
        <v>606</v>
      </c>
      <c r="G199" t="s">
        <v>856</v>
      </c>
      <c r="H199" t="s">
        <v>1279</v>
      </c>
      <c r="I199" t="s">
        <v>86</v>
      </c>
      <c r="J199" t="s">
        <v>1195</v>
      </c>
      <c r="K199" t="s">
        <v>858</v>
      </c>
    </row>
    <row r="200" spans="1:11">
      <c r="A200" t="s">
        <v>1203</v>
      </c>
      <c r="B200" t="s">
        <v>1297</v>
      </c>
      <c r="C200" t="s">
        <v>44</v>
      </c>
      <c r="D200" t="s">
        <v>28</v>
      </c>
      <c r="E200" t="s">
        <v>50</v>
      </c>
      <c r="F200" t="s">
        <v>509</v>
      </c>
      <c r="G200" t="s">
        <v>856</v>
      </c>
      <c r="H200" t="s">
        <v>1279</v>
      </c>
      <c r="I200" t="s">
        <v>86</v>
      </c>
      <c r="J200" t="s">
        <v>1195</v>
      </c>
      <c r="K200" t="s">
        <v>858</v>
      </c>
    </row>
    <row r="201" spans="1:11">
      <c r="A201" t="s">
        <v>1203</v>
      </c>
      <c r="B201" t="s">
        <v>1297</v>
      </c>
      <c r="C201" t="s">
        <v>44</v>
      </c>
      <c r="D201" t="s">
        <v>28</v>
      </c>
      <c r="E201" t="s">
        <v>50</v>
      </c>
      <c r="F201" t="s">
        <v>52</v>
      </c>
      <c r="G201" t="s">
        <v>856</v>
      </c>
      <c r="H201" t="s">
        <v>1279</v>
      </c>
      <c r="I201" t="s">
        <v>86</v>
      </c>
      <c r="J201" t="s">
        <v>1195</v>
      </c>
      <c r="K201" t="s">
        <v>858</v>
      </c>
    </row>
    <row r="202" spans="1:11">
      <c r="A202" t="s">
        <v>1203</v>
      </c>
      <c r="B202" t="s">
        <v>1297</v>
      </c>
      <c r="C202" t="s">
        <v>44</v>
      </c>
      <c r="D202" t="s">
        <v>29</v>
      </c>
      <c r="E202" t="s">
        <v>50</v>
      </c>
      <c r="F202" t="s">
        <v>214</v>
      </c>
      <c r="G202" t="s">
        <v>856</v>
      </c>
      <c r="H202" t="s">
        <v>1279</v>
      </c>
      <c r="I202" t="s">
        <v>86</v>
      </c>
      <c r="J202" t="s">
        <v>1195</v>
      </c>
      <c r="K202" t="s">
        <v>858</v>
      </c>
    </row>
    <row r="203" spans="1:11">
      <c r="A203" t="s">
        <v>1203</v>
      </c>
      <c r="B203" t="s">
        <v>1297</v>
      </c>
      <c r="C203" t="s">
        <v>44</v>
      </c>
      <c r="D203" t="s">
        <v>30</v>
      </c>
      <c r="E203" t="s">
        <v>50</v>
      </c>
      <c r="F203" t="s">
        <v>317</v>
      </c>
      <c r="G203" t="s">
        <v>856</v>
      </c>
      <c r="H203" t="s">
        <v>1279</v>
      </c>
      <c r="I203" t="s">
        <v>86</v>
      </c>
      <c r="J203" t="s">
        <v>1195</v>
      </c>
      <c r="K203" t="s">
        <v>858</v>
      </c>
    </row>
    <row r="204" spans="1:11">
      <c r="A204" t="s">
        <v>1203</v>
      </c>
      <c r="B204" t="s">
        <v>1297</v>
      </c>
      <c r="C204" t="s">
        <v>44</v>
      </c>
      <c r="D204" t="s">
        <v>30</v>
      </c>
      <c r="E204" t="s">
        <v>50</v>
      </c>
      <c r="F204" t="s">
        <v>606</v>
      </c>
      <c r="G204" t="s">
        <v>856</v>
      </c>
      <c r="H204" t="s">
        <v>1279</v>
      </c>
      <c r="I204" t="s">
        <v>86</v>
      </c>
      <c r="J204" t="s">
        <v>1195</v>
      </c>
      <c r="K204" t="s">
        <v>858</v>
      </c>
    </row>
    <row r="205" spans="1:11">
      <c r="A205" t="s">
        <v>1203</v>
      </c>
      <c r="B205" t="s">
        <v>1298</v>
      </c>
      <c r="C205" t="s">
        <v>40</v>
      </c>
      <c r="D205" t="s">
        <v>28</v>
      </c>
      <c r="E205" t="s">
        <v>50</v>
      </c>
      <c r="F205" t="s">
        <v>214</v>
      </c>
      <c r="G205" t="s">
        <v>896</v>
      </c>
      <c r="H205" t="s">
        <v>1279</v>
      </c>
      <c r="I205" t="s">
        <v>86</v>
      </c>
      <c r="J205" t="s">
        <v>1195</v>
      </c>
      <c r="K205" t="s">
        <v>1185</v>
      </c>
    </row>
    <row r="206" spans="1:11">
      <c r="A206" t="s">
        <v>1203</v>
      </c>
      <c r="B206" t="s">
        <v>1298</v>
      </c>
      <c r="C206" t="s">
        <v>44</v>
      </c>
      <c r="D206" t="s">
        <v>28</v>
      </c>
      <c r="E206" t="s">
        <v>50</v>
      </c>
      <c r="F206" t="s">
        <v>606</v>
      </c>
      <c r="G206" t="s">
        <v>896</v>
      </c>
      <c r="H206" t="s">
        <v>1279</v>
      </c>
      <c r="I206" t="s">
        <v>86</v>
      </c>
      <c r="J206" t="s">
        <v>1195</v>
      </c>
      <c r="K206" t="s">
        <v>1185</v>
      </c>
    </row>
    <row r="207" spans="1:11">
      <c r="A207" t="s">
        <v>1203</v>
      </c>
      <c r="B207" t="s">
        <v>1298</v>
      </c>
      <c r="C207" t="s">
        <v>40</v>
      </c>
      <c r="D207" t="s">
        <v>30</v>
      </c>
      <c r="E207" t="s">
        <v>57</v>
      </c>
      <c r="F207" t="s">
        <v>78</v>
      </c>
      <c r="G207" t="s">
        <v>896</v>
      </c>
      <c r="H207" t="s">
        <v>1279</v>
      </c>
      <c r="I207" t="s">
        <v>86</v>
      </c>
      <c r="J207" t="s">
        <v>1195</v>
      </c>
      <c r="K207" t="s">
        <v>1185</v>
      </c>
    </row>
    <row r="208" spans="1:11">
      <c r="A208" t="s">
        <v>1203</v>
      </c>
      <c r="B208" t="s">
        <v>1298</v>
      </c>
      <c r="C208" t="s">
        <v>40</v>
      </c>
      <c r="D208" t="s">
        <v>30</v>
      </c>
      <c r="E208" t="s">
        <v>53</v>
      </c>
      <c r="F208" t="s">
        <v>217</v>
      </c>
      <c r="G208" t="s">
        <v>896</v>
      </c>
      <c r="H208" t="s">
        <v>1279</v>
      </c>
      <c r="I208" t="s">
        <v>86</v>
      </c>
      <c r="J208" t="s">
        <v>1195</v>
      </c>
      <c r="K208" t="s">
        <v>1185</v>
      </c>
    </row>
    <row r="209" spans="1:11">
      <c r="A209" t="s">
        <v>1203</v>
      </c>
      <c r="B209" t="s">
        <v>1298</v>
      </c>
      <c r="C209" t="s">
        <v>40</v>
      </c>
      <c r="D209" t="s">
        <v>30</v>
      </c>
      <c r="E209" t="s">
        <v>168</v>
      </c>
      <c r="F209" t="s">
        <v>169</v>
      </c>
      <c r="G209" t="s">
        <v>896</v>
      </c>
      <c r="H209" t="s">
        <v>1279</v>
      </c>
      <c r="I209" t="s">
        <v>86</v>
      </c>
      <c r="J209" t="s">
        <v>1195</v>
      </c>
      <c r="K209" t="s">
        <v>1185</v>
      </c>
    </row>
    <row r="210" spans="1:11">
      <c r="A210" t="s">
        <v>1203</v>
      </c>
      <c r="B210" t="s">
        <v>1298</v>
      </c>
      <c r="C210" t="s">
        <v>44</v>
      </c>
      <c r="D210" t="s">
        <v>30</v>
      </c>
      <c r="E210" t="s">
        <v>100</v>
      </c>
      <c r="F210" t="s">
        <v>101</v>
      </c>
      <c r="G210" t="s">
        <v>896</v>
      </c>
      <c r="H210" t="s">
        <v>1279</v>
      </c>
      <c r="I210" t="s">
        <v>86</v>
      </c>
      <c r="J210" t="s">
        <v>1195</v>
      </c>
      <c r="K210" t="s">
        <v>1185</v>
      </c>
    </row>
    <row r="211" spans="1:11">
      <c r="A211" t="s">
        <v>1203</v>
      </c>
      <c r="B211" t="s">
        <v>1298</v>
      </c>
      <c r="C211" t="s">
        <v>44</v>
      </c>
      <c r="D211" t="s">
        <v>29</v>
      </c>
      <c r="E211" t="s">
        <v>55</v>
      </c>
      <c r="F211" t="s">
        <v>56</v>
      </c>
      <c r="G211" t="s">
        <v>896</v>
      </c>
      <c r="H211" t="s">
        <v>1279</v>
      </c>
      <c r="I211" t="s">
        <v>86</v>
      </c>
      <c r="J211" t="s">
        <v>1195</v>
      </c>
      <c r="K211" t="s">
        <v>1185</v>
      </c>
    </row>
    <row r="212" spans="1:11">
      <c r="A212" t="s">
        <v>1203</v>
      </c>
      <c r="B212" t="s">
        <v>1298</v>
      </c>
      <c r="C212" t="s">
        <v>44</v>
      </c>
      <c r="D212" t="s">
        <v>29</v>
      </c>
      <c r="E212" t="s">
        <v>315</v>
      </c>
      <c r="F212" t="s">
        <v>569</v>
      </c>
      <c r="G212" t="s">
        <v>896</v>
      </c>
      <c r="H212" t="s">
        <v>1279</v>
      </c>
      <c r="I212" t="s">
        <v>86</v>
      </c>
      <c r="J212" t="s">
        <v>1195</v>
      </c>
      <c r="K212" t="s">
        <v>1185</v>
      </c>
    </row>
    <row r="213" spans="1:11">
      <c r="A213" t="s">
        <v>1203</v>
      </c>
      <c r="B213" t="s">
        <v>1298</v>
      </c>
      <c r="C213" t="s">
        <v>44</v>
      </c>
      <c r="D213" t="s">
        <v>30</v>
      </c>
      <c r="E213" t="s">
        <v>106</v>
      </c>
      <c r="F213" t="s">
        <v>107</v>
      </c>
      <c r="G213" t="s">
        <v>896</v>
      </c>
      <c r="H213" t="s">
        <v>1279</v>
      </c>
      <c r="I213" t="s">
        <v>86</v>
      </c>
      <c r="J213" t="s">
        <v>1195</v>
      </c>
      <c r="K213" t="s">
        <v>1185</v>
      </c>
    </row>
    <row r="214" spans="1:11">
      <c r="A214" t="s">
        <v>1203</v>
      </c>
      <c r="B214" t="s">
        <v>1298</v>
      </c>
      <c r="C214" t="s">
        <v>44</v>
      </c>
      <c r="D214" t="s">
        <v>30</v>
      </c>
      <c r="E214" t="s">
        <v>106</v>
      </c>
      <c r="F214" t="s">
        <v>273</v>
      </c>
      <c r="G214" t="s">
        <v>896</v>
      </c>
      <c r="H214" t="s">
        <v>1279</v>
      </c>
      <c r="I214" t="s">
        <v>86</v>
      </c>
      <c r="J214" t="s">
        <v>1195</v>
      </c>
      <c r="K214" t="s">
        <v>1185</v>
      </c>
    </row>
    <row r="215" spans="1:11">
      <c r="A215" t="s">
        <v>1203</v>
      </c>
      <c r="B215" t="s">
        <v>1298</v>
      </c>
      <c r="C215" t="s">
        <v>44</v>
      </c>
      <c r="D215" t="s">
        <v>30</v>
      </c>
      <c r="E215" t="s">
        <v>102</v>
      </c>
      <c r="F215" t="s">
        <v>914</v>
      </c>
      <c r="G215" t="s">
        <v>896</v>
      </c>
      <c r="H215" t="s">
        <v>1279</v>
      </c>
      <c r="I215" t="s">
        <v>86</v>
      </c>
      <c r="J215" t="s">
        <v>1195</v>
      </c>
      <c r="K215" t="s">
        <v>1185</v>
      </c>
    </row>
    <row r="216" spans="1:11">
      <c r="A216" t="s">
        <v>1203</v>
      </c>
      <c r="B216" t="s">
        <v>1298</v>
      </c>
      <c r="C216" t="s">
        <v>44</v>
      </c>
      <c r="D216" t="s">
        <v>28</v>
      </c>
      <c r="E216" t="s">
        <v>102</v>
      </c>
      <c r="F216" t="s">
        <v>103</v>
      </c>
      <c r="G216" t="s">
        <v>896</v>
      </c>
      <c r="H216" t="s">
        <v>1279</v>
      </c>
      <c r="I216" t="s">
        <v>86</v>
      </c>
      <c r="J216" t="s">
        <v>1195</v>
      </c>
      <c r="K216" t="s">
        <v>1185</v>
      </c>
    </row>
    <row r="217" spans="1:11">
      <c r="A217" t="s">
        <v>1203</v>
      </c>
      <c r="B217" t="s">
        <v>1298</v>
      </c>
      <c r="C217" t="s">
        <v>44</v>
      </c>
      <c r="D217" t="s">
        <v>29</v>
      </c>
      <c r="E217" t="s">
        <v>433</v>
      </c>
      <c r="F217" t="s">
        <v>434</v>
      </c>
      <c r="G217" t="s">
        <v>896</v>
      </c>
      <c r="H217" t="s">
        <v>1279</v>
      </c>
      <c r="I217" t="s">
        <v>86</v>
      </c>
      <c r="J217" t="s">
        <v>1195</v>
      </c>
      <c r="K217" t="s">
        <v>1185</v>
      </c>
    </row>
    <row r="218" spans="1:11">
      <c r="A218" t="s">
        <v>1203</v>
      </c>
      <c r="B218" t="s">
        <v>1298</v>
      </c>
      <c r="C218" t="s">
        <v>44</v>
      </c>
      <c r="D218" t="s">
        <v>29</v>
      </c>
      <c r="E218" t="s">
        <v>433</v>
      </c>
      <c r="F218" t="s">
        <v>915</v>
      </c>
      <c r="G218" t="s">
        <v>896</v>
      </c>
      <c r="H218" t="s">
        <v>1279</v>
      </c>
      <c r="I218" t="s">
        <v>86</v>
      </c>
      <c r="J218" t="s">
        <v>1195</v>
      </c>
      <c r="K218" t="s">
        <v>1185</v>
      </c>
    </row>
    <row r="219" spans="1:11">
      <c r="A219" t="s">
        <v>1203</v>
      </c>
      <c r="B219" t="s">
        <v>1298</v>
      </c>
      <c r="C219" t="s">
        <v>44</v>
      </c>
      <c r="D219" t="s">
        <v>29</v>
      </c>
      <c r="E219" t="s">
        <v>433</v>
      </c>
      <c r="F219" t="s">
        <v>916</v>
      </c>
      <c r="G219" t="s">
        <v>896</v>
      </c>
      <c r="H219" t="s">
        <v>1279</v>
      </c>
      <c r="I219" t="s">
        <v>86</v>
      </c>
      <c r="J219" t="s">
        <v>1195</v>
      </c>
      <c r="K219" t="s">
        <v>1185</v>
      </c>
    </row>
    <row r="220" spans="1:11">
      <c r="A220" t="s">
        <v>1203</v>
      </c>
      <c r="B220" t="s">
        <v>1298</v>
      </c>
      <c r="C220" t="s">
        <v>44</v>
      </c>
      <c r="D220" t="s">
        <v>29</v>
      </c>
      <c r="E220" t="s">
        <v>433</v>
      </c>
      <c r="F220" t="s">
        <v>917</v>
      </c>
      <c r="G220" t="s">
        <v>896</v>
      </c>
      <c r="H220" t="s">
        <v>1279</v>
      </c>
      <c r="I220" t="s">
        <v>86</v>
      </c>
      <c r="J220" t="s">
        <v>1195</v>
      </c>
      <c r="K220" t="s">
        <v>1185</v>
      </c>
    </row>
    <row r="221" spans="1:11">
      <c r="A221" t="s">
        <v>1203</v>
      </c>
      <c r="B221" t="s">
        <v>1299</v>
      </c>
      <c r="C221" t="s">
        <v>40</v>
      </c>
      <c r="D221" t="s">
        <v>28</v>
      </c>
      <c r="E221" t="s">
        <v>57</v>
      </c>
      <c r="F221" t="s">
        <v>215</v>
      </c>
      <c r="G221" t="s">
        <v>937</v>
      </c>
      <c r="H221" t="s">
        <v>1279</v>
      </c>
      <c r="I221" t="s">
        <v>86</v>
      </c>
      <c r="J221" t="s">
        <v>1195</v>
      </c>
      <c r="K221" t="s">
        <v>939</v>
      </c>
    </row>
    <row r="222" spans="1:11">
      <c r="A222" t="s">
        <v>1203</v>
      </c>
      <c r="B222" t="s">
        <v>1299</v>
      </c>
      <c r="C222" t="s">
        <v>40</v>
      </c>
      <c r="D222" t="s">
        <v>28</v>
      </c>
      <c r="E222" t="s">
        <v>57</v>
      </c>
      <c r="F222" t="s">
        <v>967</v>
      </c>
      <c r="G222" t="s">
        <v>937</v>
      </c>
      <c r="H222" t="s">
        <v>1279</v>
      </c>
      <c r="I222" t="s">
        <v>86</v>
      </c>
      <c r="J222" t="s">
        <v>1195</v>
      </c>
      <c r="K222" t="s">
        <v>939</v>
      </c>
    </row>
    <row r="223" spans="1:11">
      <c r="A223" t="s">
        <v>1203</v>
      </c>
      <c r="B223" t="s">
        <v>1299</v>
      </c>
      <c r="C223" t="s">
        <v>40</v>
      </c>
      <c r="D223" t="s">
        <v>28</v>
      </c>
      <c r="E223" t="s">
        <v>53</v>
      </c>
      <c r="F223" t="s">
        <v>968</v>
      </c>
      <c r="G223" t="s">
        <v>937</v>
      </c>
      <c r="H223" t="s">
        <v>1279</v>
      </c>
      <c r="I223" t="s">
        <v>86</v>
      </c>
      <c r="J223" t="s">
        <v>1195</v>
      </c>
      <c r="K223" t="s">
        <v>939</v>
      </c>
    </row>
    <row r="224" spans="1:11">
      <c r="A224" t="s">
        <v>1203</v>
      </c>
      <c r="B224" t="s">
        <v>1299</v>
      </c>
      <c r="C224" t="s">
        <v>44</v>
      </c>
      <c r="D224" t="s">
        <v>28</v>
      </c>
      <c r="E224" t="s">
        <v>53</v>
      </c>
      <c r="F224" t="s">
        <v>217</v>
      </c>
      <c r="G224" t="s">
        <v>937</v>
      </c>
      <c r="H224" t="s">
        <v>1279</v>
      </c>
      <c r="I224" t="s">
        <v>86</v>
      </c>
      <c r="J224" t="s">
        <v>1195</v>
      </c>
      <c r="K224" t="s">
        <v>939</v>
      </c>
    </row>
    <row r="225" spans="1:11">
      <c r="A225" t="s">
        <v>1203</v>
      </c>
      <c r="B225" t="s">
        <v>1299</v>
      </c>
      <c r="C225" t="s">
        <v>44</v>
      </c>
      <c r="D225" t="s">
        <v>29</v>
      </c>
      <c r="E225" t="s">
        <v>50</v>
      </c>
      <c r="F225" t="s">
        <v>52</v>
      </c>
      <c r="G225" t="s">
        <v>937</v>
      </c>
      <c r="H225" t="s">
        <v>1279</v>
      </c>
      <c r="I225" t="s">
        <v>86</v>
      </c>
      <c r="J225" t="s">
        <v>1195</v>
      </c>
      <c r="K225" t="s">
        <v>939</v>
      </c>
    </row>
    <row r="226" spans="1:11">
      <c r="A226" t="s">
        <v>1203</v>
      </c>
      <c r="B226" t="s">
        <v>1299</v>
      </c>
      <c r="C226" t="s">
        <v>44</v>
      </c>
      <c r="D226" t="s">
        <v>29</v>
      </c>
      <c r="E226" t="s">
        <v>50</v>
      </c>
      <c r="F226" t="s">
        <v>214</v>
      </c>
      <c r="G226" t="s">
        <v>937</v>
      </c>
      <c r="H226" t="s">
        <v>1279</v>
      </c>
      <c r="I226" t="s">
        <v>86</v>
      </c>
      <c r="J226" t="s">
        <v>1195</v>
      </c>
      <c r="K226" t="s">
        <v>939</v>
      </c>
    </row>
    <row r="227" spans="1:11">
      <c r="A227" t="s">
        <v>1203</v>
      </c>
      <c r="B227" t="s">
        <v>1299</v>
      </c>
      <c r="C227" t="s">
        <v>40</v>
      </c>
      <c r="D227" t="s">
        <v>29</v>
      </c>
      <c r="E227" t="s">
        <v>50</v>
      </c>
      <c r="F227" t="s">
        <v>317</v>
      </c>
      <c r="G227" t="s">
        <v>937</v>
      </c>
      <c r="H227" t="s">
        <v>1279</v>
      </c>
      <c r="I227" t="s">
        <v>86</v>
      </c>
      <c r="J227" t="s">
        <v>1195</v>
      </c>
      <c r="K227" t="s">
        <v>939</v>
      </c>
    </row>
    <row r="228" spans="1:11">
      <c r="A228" t="s">
        <v>1203</v>
      </c>
      <c r="B228" t="s">
        <v>1299</v>
      </c>
      <c r="C228" t="s">
        <v>44</v>
      </c>
      <c r="D228" t="s">
        <v>29</v>
      </c>
      <c r="E228" t="s">
        <v>55</v>
      </c>
      <c r="F228" t="s">
        <v>372</v>
      </c>
      <c r="G228" t="s">
        <v>937</v>
      </c>
      <c r="H228" t="s">
        <v>1279</v>
      </c>
      <c r="I228" t="s">
        <v>86</v>
      </c>
      <c r="J228" t="s">
        <v>1195</v>
      </c>
      <c r="K228" t="s">
        <v>939</v>
      </c>
    </row>
    <row r="229" spans="1:11">
      <c r="A229" t="s">
        <v>1203</v>
      </c>
      <c r="B229" t="s">
        <v>1299</v>
      </c>
      <c r="C229" t="s">
        <v>44</v>
      </c>
      <c r="D229" t="s">
        <v>30</v>
      </c>
      <c r="E229" t="s">
        <v>168</v>
      </c>
      <c r="F229" t="s">
        <v>169</v>
      </c>
      <c r="G229" t="s">
        <v>937</v>
      </c>
      <c r="H229" t="s">
        <v>1279</v>
      </c>
      <c r="I229" t="s">
        <v>86</v>
      </c>
      <c r="J229" t="s">
        <v>1195</v>
      </c>
      <c r="K229" t="s">
        <v>939</v>
      </c>
    </row>
    <row r="230" spans="1:11">
      <c r="A230" t="s">
        <v>1203</v>
      </c>
      <c r="B230" t="s">
        <v>1299</v>
      </c>
      <c r="C230" t="s">
        <v>44</v>
      </c>
      <c r="D230" t="s">
        <v>30</v>
      </c>
      <c r="E230" t="s">
        <v>55</v>
      </c>
      <c r="F230" t="s">
        <v>56</v>
      </c>
      <c r="G230" t="s">
        <v>937</v>
      </c>
      <c r="H230" t="s">
        <v>1279</v>
      </c>
      <c r="I230" t="s">
        <v>86</v>
      </c>
      <c r="J230" t="s">
        <v>1195</v>
      </c>
      <c r="K230" t="s">
        <v>939</v>
      </c>
    </row>
    <row r="231" spans="1:11">
      <c r="A231" t="s">
        <v>1203</v>
      </c>
      <c r="B231" t="s">
        <v>1299</v>
      </c>
      <c r="C231" t="s">
        <v>44</v>
      </c>
      <c r="D231" t="s">
        <v>30</v>
      </c>
      <c r="E231" t="s">
        <v>106</v>
      </c>
      <c r="F231" t="s">
        <v>273</v>
      </c>
      <c r="G231" t="s">
        <v>937</v>
      </c>
      <c r="H231" t="s">
        <v>1279</v>
      </c>
      <c r="I231" t="s">
        <v>86</v>
      </c>
      <c r="J231" t="s">
        <v>1195</v>
      </c>
      <c r="K231" t="s">
        <v>939</v>
      </c>
    </row>
    <row r="232" spans="1:11">
      <c r="A232" t="s">
        <v>1203</v>
      </c>
      <c r="B232" t="s">
        <v>1300</v>
      </c>
      <c r="C232" t="s">
        <v>40</v>
      </c>
      <c r="D232" t="s">
        <v>28</v>
      </c>
      <c r="E232" t="s">
        <v>50</v>
      </c>
      <c r="F232" t="s">
        <v>51</v>
      </c>
      <c r="G232" t="s">
        <v>991</v>
      </c>
      <c r="H232" t="s">
        <v>1279</v>
      </c>
      <c r="I232" t="s">
        <v>86</v>
      </c>
      <c r="J232" t="s">
        <v>1195</v>
      </c>
      <c r="K232" t="s">
        <v>993</v>
      </c>
    </row>
    <row r="233" spans="1:11">
      <c r="A233" t="s">
        <v>1203</v>
      </c>
      <c r="B233" t="s">
        <v>1300</v>
      </c>
      <c r="C233" t="s">
        <v>40</v>
      </c>
      <c r="D233" t="s">
        <v>28</v>
      </c>
      <c r="E233" t="s">
        <v>50</v>
      </c>
      <c r="F233" t="s">
        <v>52</v>
      </c>
      <c r="G233" t="s">
        <v>991</v>
      </c>
      <c r="H233" t="s">
        <v>1279</v>
      </c>
      <c r="I233" t="s">
        <v>86</v>
      </c>
      <c r="J233" t="s">
        <v>1195</v>
      </c>
      <c r="K233" t="s">
        <v>993</v>
      </c>
    </row>
    <row r="234" spans="1:11">
      <c r="A234" t="s">
        <v>1203</v>
      </c>
      <c r="B234" t="s">
        <v>1300</v>
      </c>
      <c r="C234" t="s">
        <v>40</v>
      </c>
      <c r="D234" t="s">
        <v>28</v>
      </c>
      <c r="E234" t="s">
        <v>168</v>
      </c>
      <c r="F234" t="s">
        <v>169</v>
      </c>
      <c r="G234" t="s">
        <v>991</v>
      </c>
      <c r="H234" t="s">
        <v>1279</v>
      </c>
      <c r="I234" t="s">
        <v>86</v>
      </c>
      <c r="J234" t="s">
        <v>1195</v>
      </c>
      <c r="K234" t="s">
        <v>993</v>
      </c>
    </row>
    <row r="235" spans="1:11">
      <c r="A235" t="s">
        <v>1203</v>
      </c>
      <c r="B235" t="s">
        <v>1300</v>
      </c>
      <c r="C235" t="s">
        <v>40</v>
      </c>
      <c r="D235" t="s">
        <v>28</v>
      </c>
      <c r="E235" t="s">
        <v>55</v>
      </c>
      <c r="F235" t="s">
        <v>56</v>
      </c>
      <c r="G235" t="s">
        <v>991</v>
      </c>
      <c r="H235" t="s">
        <v>1279</v>
      </c>
      <c r="I235" t="s">
        <v>86</v>
      </c>
      <c r="J235" t="s">
        <v>1195</v>
      </c>
      <c r="K235" t="s">
        <v>993</v>
      </c>
    </row>
    <row r="236" spans="1:11">
      <c r="A236" t="s">
        <v>1203</v>
      </c>
      <c r="B236" t="s">
        <v>1300</v>
      </c>
      <c r="C236" t="s">
        <v>44</v>
      </c>
      <c r="D236" t="s">
        <v>29</v>
      </c>
      <c r="E236" t="s">
        <v>50</v>
      </c>
      <c r="F236" t="s">
        <v>606</v>
      </c>
      <c r="G236" t="s">
        <v>991</v>
      </c>
      <c r="H236" t="s">
        <v>1279</v>
      </c>
      <c r="I236" t="s">
        <v>86</v>
      </c>
      <c r="J236" t="s">
        <v>1195</v>
      </c>
      <c r="K236" t="s">
        <v>993</v>
      </c>
    </row>
    <row r="237" spans="1:11">
      <c r="A237" t="s">
        <v>1203</v>
      </c>
      <c r="B237" t="s">
        <v>1300</v>
      </c>
      <c r="C237" t="s">
        <v>44</v>
      </c>
      <c r="D237" t="s">
        <v>29</v>
      </c>
      <c r="E237" t="s">
        <v>53</v>
      </c>
      <c r="F237" t="s">
        <v>54</v>
      </c>
      <c r="G237" t="s">
        <v>991</v>
      </c>
      <c r="H237" t="s">
        <v>1279</v>
      </c>
      <c r="I237" t="s">
        <v>86</v>
      </c>
      <c r="J237" t="s">
        <v>1195</v>
      </c>
      <c r="K237" t="s">
        <v>993</v>
      </c>
    </row>
    <row r="238" spans="1:11">
      <c r="A238" t="s">
        <v>1203</v>
      </c>
      <c r="B238" t="s">
        <v>1300</v>
      </c>
      <c r="C238" t="s">
        <v>44</v>
      </c>
      <c r="D238" t="s">
        <v>29</v>
      </c>
      <c r="E238" t="s">
        <v>50</v>
      </c>
      <c r="F238" t="s">
        <v>214</v>
      </c>
      <c r="G238" t="s">
        <v>991</v>
      </c>
      <c r="H238" t="s">
        <v>1279</v>
      </c>
      <c r="I238" t="s">
        <v>86</v>
      </c>
      <c r="J238" t="s">
        <v>1195</v>
      </c>
      <c r="K238" t="s">
        <v>993</v>
      </c>
    </row>
    <row r="239" spans="1:11">
      <c r="A239" t="s">
        <v>1203</v>
      </c>
      <c r="B239" t="s">
        <v>1300</v>
      </c>
      <c r="C239" t="s">
        <v>44</v>
      </c>
      <c r="D239" t="s">
        <v>30</v>
      </c>
      <c r="E239" t="s">
        <v>50</v>
      </c>
      <c r="F239" t="s">
        <v>606</v>
      </c>
      <c r="G239" t="s">
        <v>991</v>
      </c>
      <c r="H239" t="s">
        <v>1279</v>
      </c>
      <c r="I239" t="s">
        <v>86</v>
      </c>
      <c r="J239" t="s">
        <v>1195</v>
      </c>
      <c r="K239" t="s">
        <v>993</v>
      </c>
    </row>
    <row r="240" spans="1:11">
      <c r="A240" t="s">
        <v>1203</v>
      </c>
      <c r="B240" t="s">
        <v>1300</v>
      </c>
      <c r="C240" t="s">
        <v>44</v>
      </c>
      <c r="D240" t="s">
        <v>30</v>
      </c>
      <c r="E240" t="s">
        <v>53</v>
      </c>
      <c r="F240" t="s">
        <v>167</v>
      </c>
      <c r="G240" t="s">
        <v>991</v>
      </c>
      <c r="H240" t="s">
        <v>1279</v>
      </c>
      <c r="I240" t="s">
        <v>86</v>
      </c>
      <c r="J240" t="s">
        <v>1195</v>
      </c>
      <c r="K240" t="s">
        <v>993</v>
      </c>
    </row>
    <row r="241" spans="1:11">
      <c r="A241" t="s">
        <v>1203</v>
      </c>
      <c r="B241" t="s">
        <v>1300</v>
      </c>
      <c r="C241" t="s">
        <v>44</v>
      </c>
      <c r="D241" t="s">
        <v>30</v>
      </c>
      <c r="E241" t="s">
        <v>53</v>
      </c>
      <c r="F241" t="s">
        <v>1015</v>
      </c>
      <c r="G241" t="s">
        <v>991</v>
      </c>
      <c r="H241" t="s">
        <v>1279</v>
      </c>
      <c r="I241" t="s">
        <v>86</v>
      </c>
      <c r="J241" t="s">
        <v>1195</v>
      </c>
      <c r="K241" t="s">
        <v>993</v>
      </c>
    </row>
    <row r="242" spans="1:11">
      <c r="A242" t="s">
        <v>1203</v>
      </c>
      <c r="B242" t="s">
        <v>1300</v>
      </c>
      <c r="C242" t="s">
        <v>44</v>
      </c>
      <c r="D242" t="s">
        <v>30</v>
      </c>
      <c r="E242" t="s">
        <v>315</v>
      </c>
      <c r="F242" t="s">
        <v>569</v>
      </c>
      <c r="G242" t="s">
        <v>991</v>
      </c>
      <c r="H242" t="s">
        <v>1279</v>
      </c>
      <c r="I242" t="s">
        <v>86</v>
      </c>
      <c r="J242" t="s">
        <v>1195</v>
      </c>
      <c r="K242" t="s">
        <v>993</v>
      </c>
    </row>
    <row r="243" spans="1:11">
      <c r="A243" t="s">
        <v>1203</v>
      </c>
      <c r="B243" t="s">
        <v>1301</v>
      </c>
      <c r="C243" t="s">
        <v>40</v>
      </c>
      <c r="D243" t="s">
        <v>28</v>
      </c>
      <c r="E243" t="s">
        <v>50</v>
      </c>
      <c r="F243" t="s">
        <v>214</v>
      </c>
      <c r="G243" t="s">
        <v>1038</v>
      </c>
      <c r="H243" t="s">
        <v>1279</v>
      </c>
      <c r="I243" t="s">
        <v>86</v>
      </c>
      <c r="J243" t="s">
        <v>1195</v>
      </c>
      <c r="K243" t="s">
        <v>1040</v>
      </c>
    </row>
    <row r="244" spans="1:11">
      <c r="A244" t="s">
        <v>1203</v>
      </c>
      <c r="B244" t="s">
        <v>1301</v>
      </c>
      <c r="C244" t="s">
        <v>40</v>
      </c>
      <c r="D244" t="s">
        <v>28</v>
      </c>
      <c r="E244" t="s">
        <v>50</v>
      </c>
      <c r="F244" t="s">
        <v>606</v>
      </c>
      <c r="G244" t="s">
        <v>1038</v>
      </c>
      <c r="H244" t="s">
        <v>1279</v>
      </c>
      <c r="I244" t="s">
        <v>86</v>
      </c>
      <c r="J244" t="s">
        <v>1195</v>
      </c>
      <c r="K244" t="s">
        <v>1040</v>
      </c>
    </row>
    <row r="245" spans="1:11">
      <c r="A245" t="s">
        <v>1203</v>
      </c>
      <c r="B245" t="s">
        <v>1301</v>
      </c>
      <c r="C245" t="s">
        <v>40</v>
      </c>
      <c r="D245" t="s">
        <v>28</v>
      </c>
      <c r="E245" t="s">
        <v>53</v>
      </c>
      <c r="F245" t="s">
        <v>167</v>
      </c>
      <c r="G245" t="s">
        <v>1038</v>
      </c>
      <c r="H245" t="s">
        <v>1279</v>
      </c>
      <c r="I245" t="s">
        <v>86</v>
      </c>
      <c r="J245" t="s">
        <v>1195</v>
      </c>
      <c r="K245" t="s">
        <v>1040</v>
      </c>
    </row>
    <row r="246" spans="1:11">
      <c r="A246" t="s">
        <v>1203</v>
      </c>
      <c r="B246" t="s">
        <v>1301</v>
      </c>
      <c r="C246" t="s">
        <v>44</v>
      </c>
      <c r="D246" t="s">
        <v>28</v>
      </c>
      <c r="E246" t="s">
        <v>55</v>
      </c>
      <c r="F246" t="s">
        <v>56</v>
      </c>
      <c r="G246" t="s">
        <v>1038</v>
      </c>
      <c r="H246" t="s">
        <v>1279</v>
      </c>
      <c r="I246" t="s">
        <v>86</v>
      </c>
      <c r="J246" t="s">
        <v>1195</v>
      </c>
      <c r="K246" t="s">
        <v>1040</v>
      </c>
    </row>
    <row r="247" spans="1:11">
      <c r="A247" t="s">
        <v>1203</v>
      </c>
      <c r="B247" t="s">
        <v>1301</v>
      </c>
      <c r="C247" t="s">
        <v>44</v>
      </c>
      <c r="D247" t="s">
        <v>29</v>
      </c>
      <c r="E247" t="s">
        <v>57</v>
      </c>
      <c r="F247" t="s">
        <v>967</v>
      </c>
      <c r="G247" t="s">
        <v>1038</v>
      </c>
      <c r="H247" t="s">
        <v>1279</v>
      </c>
      <c r="I247" t="s">
        <v>86</v>
      </c>
      <c r="J247" t="s">
        <v>1195</v>
      </c>
      <c r="K247" t="s">
        <v>1040</v>
      </c>
    </row>
    <row r="248" spans="1:11">
      <c r="A248" t="s">
        <v>1203</v>
      </c>
      <c r="B248" t="s">
        <v>1301</v>
      </c>
      <c r="C248" t="s">
        <v>44</v>
      </c>
      <c r="D248" t="s">
        <v>29</v>
      </c>
      <c r="E248" t="s">
        <v>433</v>
      </c>
      <c r="F248" t="s">
        <v>916</v>
      </c>
      <c r="G248" t="s">
        <v>1038</v>
      </c>
      <c r="H248" t="s">
        <v>1279</v>
      </c>
      <c r="I248" t="s">
        <v>86</v>
      </c>
      <c r="J248" t="s">
        <v>1195</v>
      </c>
      <c r="K248" t="s">
        <v>1040</v>
      </c>
    </row>
    <row r="249" spans="1:11">
      <c r="A249" t="s">
        <v>1203</v>
      </c>
      <c r="B249" t="s">
        <v>1301</v>
      </c>
      <c r="C249" t="s">
        <v>44</v>
      </c>
      <c r="D249" t="s">
        <v>29</v>
      </c>
      <c r="E249" t="s">
        <v>53</v>
      </c>
      <c r="F249" t="s">
        <v>167</v>
      </c>
      <c r="G249" t="s">
        <v>1038</v>
      </c>
      <c r="H249" t="s">
        <v>1279</v>
      </c>
      <c r="I249" t="s">
        <v>86</v>
      </c>
      <c r="J249" t="s">
        <v>1195</v>
      </c>
      <c r="K249" t="s">
        <v>1040</v>
      </c>
    </row>
    <row r="250" spans="1:11">
      <c r="A250" t="s">
        <v>1203</v>
      </c>
      <c r="B250" t="s">
        <v>1301</v>
      </c>
      <c r="C250" t="s">
        <v>44</v>
      </c>
      <c r="D250" t="s">
        <v>29</v>
      </c>
      <c r="E250" t="s">
        <v>106</v>
      </c>
      <c r="F250" t="s">
        <v>1058</v>
      </c>
      <c r="G250" t="s">
        <v>1038</v>
      </c>
      <c r="H250" t="s">
        <v>1279</v>
      </c>
      <c r="I250" t="s">
        <v>86</v>
      </c>
      <c r="J250" t="s">
        <v>1195</v>
      </c>
      <c r="K250" t="s">
        <v>1040</v>
      </c>
    </row>
    <row r="251" spans="1:11">
      <c r="A251" t="s">
        <v>1203</v>
      </c>
      <c r="B251" t="s">
        <v>1301</v>
      </c>
      <c r="C251" t="s">
        <v>44</v>
      </c>
      <c r="D251" t="s">
        <v>29</v>
      </c>
      <c r="E251" t="s">
        <v>55</v>
      </c>
      <c r="F251" t="s">
        <v>104</v>
      </c>
      <c r="G251" t="s">
        <v>1038</v>
      </c>
      <c r="H251" t="s">
        <v>1279</v>
      </c>
      <c r="I251" t="s">
        <v>86</v>
      </c>
      <c r="J251" t="s">
        <v>1195</v>
      </c>
      <c r="K251" t="s">
        <v>1040</v>
      </c>
    </row>
    <row r="252" spans="1:11">
      <c r="A252" t="s">
        <v>1203</v>
      </c>
      <c r="B252" t="s">
        <v>1301</v>
      </c>
      <c r="C252" t="s">
        <v>44</v>
      </c>
      <c r="D252" t="s">
        <v>30</v>
      </c>
      <c r="E252" t="s">
        <v>100</v>
      </c>
      <c r="F252" t="s">
        <v>101</v>
      </c>
      <c r="G252" t="s">
        <v>1038</v>
      </c>
      <c r="H252" t="s">
        <v>1279</v>
      </c>
      <c r="I252" t="s">
        <v>86</v>
      </c>
      <c r="J252" t="s">
        <v>1195</v>
      </c>
      <c r="K252" t="s">
        <v>1040</v>
      </c>
    </row>
    <row r="253" spans="1:11">
      <c r="A253" t="s">
        <v>1203</v>
      </c>
      <c r="B253" t="s">
        <v>1301</v>
      </c>
      <c r="C253" t="s">
        <v>44</v>
      </c>
      <c r="D253" t="s">
        <v>30</v>
      </c>
      <c r="E253" t="s">
        <v>100</v>
      </c>
      <c r="F253" t="s">
        <v>396</v>
      </c>
      <c r="G253" t="s">
        <v>1038</v>
      </c>
      <c r="H253" t="s">
        <v>1279</v>
      </c>
      <c r="I253" t="s">
        <v>86</v>
      </c>
      <c r="J253" t="s">
        <v>1195</v>
      </c>
      <c r="K253" t="s">
        <v>1040</v>
      </c>
    </row>
    <row r="254" spans="1:11">
      <c r="A254" t="s">
        <v>1203</v>
      </c>
      <c r="B254" t="s">
        <v>1302</v>
      </c>
      <c r="C254" t="s">
        <v>40</v>
      </c>
      <c r="D254" t="s">
        <v>28</v>
      </c>
      <c r="E254" t="s">
        <v>50</v>
      </c>
      <c r="F254" t="s">
        <v>606</v>
      </c>
      <c r="G254" t="s">
        <v>1070</v>
      </c>
      <c r="H254" t="s">
        <v>1279</v>
      </c>
      <c r="I254" t="s">
        <v>86</v>
      </c>
      <c r="J254" t="s">
        <v>1195</v>
      </c>
      <c r="K254" t="s">
        <v>1072</v>
      </c>
    </row>
    <row r="255" spans="1:11">
      <c r="A255" t="s">
        <v>1203</v>
      </c>
      <c r="B255" t="s">
        <v>1302</v>
      </c>
      <c r="C255" t="s">
        <v>40</v>
      </c>
      <c r="D255" t="s">
        <v>28</v>
      </c>
      <c r="E255" t="s">
        <v>57</v>
      </c>
      <c r="F255" t="s">
        <v>78</v>
      </c>
      <c r="G255" t="s">
        <v>1070</v>
      </c>
      <c r="H255" t="s">
        <v>1279</v>
      </c>
      <c r="I255" t="s">
        <v>86</v>
      </c>
      <c r="J255" t="s">
        <v>1195</v>
      </c>
      <c r="K255" t="s">
        <v>1072</v>
      </c>
    </row>
    <row r="256" spans="1:11">
      <c r="A256" t="s">
        <v>1203</v>
      </c>
      <c r="B256" t="s">
        <v>1302</v>
      </c>
      <c r="C256" t="s">
        <v>40</v>
      </c>
      <c r="D256" t="s">
        <v>28</v>
      </c>
      <c r="E256" t="s">
        <v>168</v>
      </c>
      <c r="F256" t="s">
        <v>169</v>
      </c>
      <c r="G256" t="s">
        <v>1070</v>
      </c>
      <c r="H256" t="s">
        <v>1279</v>
      </c>
      <c r="I256" t="s">
        <v>86</v>
      </c>
      <c r="J256" t="s">
        <v>1195</v>
      </c>
      <c r="K256" t="s">
        <v>1072</v>
      </c>
    </row>
    <row r="257" spans="1:11">
      <c r="A257" t="s">
        <v>1203</v>
      </c>
      <c r="B257" t="s">
        <v>1302</v>
      </c>
      <c r="C257" t="s">
        <v>40</v>
      </c>
      <c r="D257" t="s">
        <v>28</v>
      </c>
      <c r="E257" t="s">
        <v>315</v>
      </c>
      <c r="F257" t="s">
        <v>316</v>
      </c>
      <c r="G257" t="s">
        <v>1070</v>
      </c>
      <c r="H257" t="s">
        <v>1279</v>
      </c>
      <c r="I257" t="s">
        <v>86</v>
      </c>
      <c r="J257" t="s">
        <v>1195</v>
      </c>
      <c r="K257" t="s">
        <v>1072</v>
      </c>
    </row>
    <row r="258" spans="1:11">
      <c r="A258" t="s">
        <v>1203</v>
      </c>
      <c r="B258" t="s">
        <v>1302</v>
      </c>
      <c r="C258" t="s">
        <v>40</v>
      </c>
      <c r="D258" t="s">
        <v>29</v>
      </c>
      <c r="E258" t="s">
        <v>57</v>
      </c>
      <c r="F258" t="s">
        <v>58</v>
      </c>
      <c r="G258" t="s">
        <v>1070</v>
      </c>
      <c r="H258" t="s">
        <v>1279</v>
      </c>
      <c r="I258" t="s">
        <v>86</v>
      </c>
      <c r="J258" t="s">
        <v>1195</v>
      </c>
      <c r="K258" t="s">
        <v>1072</v>
      </c>
    </row>
    <row r="259" spans="1:11">
      <c r="A259" t="s">
        <v>1203</v>
      </c>
      <c r="B259" t="s">
        <v>1302</v>
      </c>
      <c r="C259" t="s">
        <v>44</v>
      </c>
      <c r="D259" t="s">
        <v>28</v>
      </c>
      <c r="E259" t="s">
        <v>53</v>
      </c>
      <c r="F259" t="s">
        <v>54</v>
      </c>
      <c r="G259" t="s">
        <v>1070</v>
      </c>
      <c r="H259" t="s">
        <v>1279</v>
      </c>
      <c r="I259" t="s">
        <v>86</v>
      </c>
      <c r="J259" t="s">
        <v>1195</v>
      </c>
      <c r="K259" t="s">
        <v>1072</v>
      </c>
    </row>
    <row r="260" spans="1:11">
      <c r="A260" t="s">
        <v>1203</v>
      </c>
      <c r="B260" t="s">
        <v>1302</v>
      </c>
      <c r="C260" t="s">
        <v>44</v>
      </c>
      <c r="D260" t="s">
        <v>29</v>
      </c>
      <c r="E260" t="s">
        <v>55</v>
      </c>
      <c r="F260" t="s">
        <v>56</v>
      </c>
      <c r="G260" t="s">
        <v>1070</v>
      </c>
      <c r="H260" t="s">
        <v>1279</v>
      </c>
      <c r="I260" t="s">
        <v>86</v>
      </c>
      <c r="J260" t="s">
        <v>1195</v>
      </c>
      <c r="K260" t="s">
        <v>1072</v>
      </c>
    </row>
    <row r="261" spans="1:11">
      <c r="A261" t="s">
        <v>1203</v>
      </c>
      <c r="B261" t="s">
        <v>1302</v>
      </c>
      <c r="C261" t="s">
        <v>44</v>
      </c>
      <c r="D261" t="s">
        <v>29</v>
      </c>
      <c r="E261" t="s">
        <v>106</v>
      </c>
      <c r="F261" t="s">
        <v>273</v>
      </c>
      <c r="G261" t="s">
        <v>1070</v>
      </c>
      <c r="H261" t="s">
        <v>1279</v>
      </c>
      <c r="I261" t="s">
        <v>86</v>
      </c>
      <c r="J261" t="s">
        <v>1195</v>
      </c>
      <c r="K261" t="s">
        <v>1072</v>
      </c>
    </row>
    <row r="262" spans="1:11">
      <c r="A262" t="s">
        <v>1196</v>
      </c>
      <c r="B262" t="s">
        <v>1303</v>
      </c>
      <c r="C262" t="s">
        <v>40</v>
      </c>
      <c r="D262" t="s">
        <v>28</v>
      </c>
      <c r="E262" t="s">
        <v>53</v>
      </c>
      <c r="F262" t="s">
        <v>167</v>
      </c>
      <c r="G262" t="s">
        <v>1183</v>
      </c>
      <c r="H262" t="s">
        <v>1279</v>
      </c>
      <c r="I262" t="s">
        <v>86</v>
      </c>
      <c r="J262" t="s">
        <v>1195</v>
      </c>
      <c r="K262" t="s">
        <v>1186</v>
      </c>
    </row>
    <row r="263" spans="1:11">
      <c r="A263" t="s">
        <v>1196</v>
      </c>
      <c r="B263" t="s">
        <v>1303</v>
      </c>
      <c r="C263" t="s">
        <v>40</v>
      </c>
      <c r="D263" t="s">
        <v>29</v>
      </c>
      <c r="E263" t="s">
        <v>55</v>
      </c>
      <c r="F263" t="s">
        <v>56</v>
      </c>
      <c r="G263" t="s">
        <v>1183</v>
      </c>
      <c r="H263" t="s">
        <v>1279</v>
      </c>
      <c r="I263" t="s">
        <v>86</v>
      </c>
      <c r="J263" t="s">
        <v>1195</v>
      </c>
      <c r="K263" t="s">
        <v>1186</v>
      </c>
    </row>
    <row r="264" spans="1:11">
      <c r="A264" t="s">
        <v>1196</v>
      </c>
      <c r="B264" t="s">
        <v>1303</v>
      </c>
      <c r="C264" t="s">
        <v>44</v>
      </c>
      <c r="D264" t="s">
        <v>28</v>
      </c>
      <c r="E264" t="s">
        <v>55</v>
      </c>
      <c r="F264" t="s">
        <v>372</v>
      </c>
      <c r="G264" t="s">
        <v>1183</v>
      </c>
      <c r="H264" t="s">
        <v>1279</v>
      </c>
      <c r="I264" t="s">
        <v>86</v>
      </c>
      <c r="J264" t="s">
        <v>1195</v>
      </c>
      <c r="K264" t="s">
        <v>1186</v>
      </c>
    </row>
    <row r="265" spans="1:11">
      <c r="A265" t="s">
        <v>1196</v>
      </c>
      <c r="B265" t="s">
        <v>1303</v>
      </c>
      <c r="C265" t="s">
        <v>44</v>
      </c>
      <c r="D265" t="s">
        <v>29</v>
      </c>
      <c r="E265" t="s">
        <v>315</v>
      </c>
      <c r="F265" t="s">
        <v>569</v>
      </c>
      <c r="G265" t="s">
        <v>1183</v>
      </c>
      <c r="H265" t="s">
        <v>1279</v>
      </c>
      <c r="I265" t="s">
        <v>86</v>
      </c>
      <c r="J265" t="s">
        <v>1195</v>
      </c>
      <c r="K265" t="s">
        <v>1186</v>
      </c>
    </row>
    <row r="266" spans="1:11">
      <c r="A266" t="s">
        <v>1196</v>
      </c>
      <c r="B266" t="s">
        <v>1303</v>
      </c>
      <c r="C266" t="s">
        <v>44</v>
      </c>
      <c r="D266" t="s">
        <v>30</v>
      </c>
      <c r="E266" t="s">
        <v>168</v>
      </c>
      <c r="F266" t="s">
        <v>397</v>
      </c>
      <c r="G266" t="s">
        <v>1183</v>
      </c>
      <c r="H266" t="s">
        <v>1279</v>
      </c>
      <c r="I266" t="s">
        <v>86</v>
      </c>
      <c r="J266" t="s">
        <v>1195</v>
      </c>
      <c r="K266" t="s">
        <v>1186</v>
      </c>
    </row>
    <row r="267" spans="1:11">
      <c r="A267" t="s">
        <v>1198</v>
      </c>
      <c r="B267" t="s">
        <v>1304</v>
      </c>
      <c r="C267" t="s">
        <v>40</v>
      </c>
      <c r="D267" t="s">
        <v>28</v>
      </c>
      <c r="E267" t="s">
        <v>50</v>
      </c>
      <c r="F267" t="s">
        <v>51</v>
      </c>
      <c r="G267" t="s">
        <v>1165</v>
      </c>
      <c r="H267" t="s">
        <v>1279</v>
      </c>
      <c r="I267" t="s">
        <v>86</v>
      </c>
      <c r="J267" t="s">
        <v>1195</v>
      </c>
      <c r="K267" t="s">
        <v>1166</v>
      </c>
    </row>
    <row r="268" spans="1:11">
      <c r="A268" t="s">
        <v>1198</v>
      </c>
      <c r="B268" t="s">
        <v>1304</v>
      </c>
      <c r="C268" t="s">
        <v>40</v>
      </c>
      <c r="D268" t="s">
        <v>28</v>
      </c>
      <c r="E268" t="s">
        <v>50</v>
      </c>
      <c r="F268" t="s">
        <v>509</v>
      </c>
      <c r="G268" t="s">
        <v>1165</v>
      </c>
      <c r="H268" t="s">
        <v>1279</v>
      </c>
      <c r="I268" t="s">
        <v>86</v>
      </c>
      <c r="J268" t="s">
        <v>1195</v>
      </c>
      <c r="K268" t="s">
        <v>1166</v>
      </c>
    </row>
    <row r="269" spans="1:11">
      <c r="A269" t="s">
        <v>1198</v>
      </c>
      <c r="B269" t="s">
        <v>1304</v>
      </c>
      <c r="C269" t="s">
        <v>40</v>
      </c>
      <c r="D269" t="s">
        <v>29</v>
      </c>
      <c r="E269" t="s">
        <v>53</v>
      </c>
      <c r="F269" t="s">
        <v>217</v>
      </c>
      <c r="G269" t="s">
        <v>1165</v>
      </c>
      <c r="H269" t="s">
        <v>1279</v>
      </c>
      <c r="I269" t="s">
        <v>86</v>
      </c>
      <c r="J269" t="s">
        <v>1195</v>
      </c>
      <c r="K269" t="s">
        <v>1166</v>
      </c>
    </row>
    <row r="270" spans="1:11">
      <c r="A270" t="s">
        <v>1198</v>
      </c>
      <c r="B270" t="s">
        <v>1304</v>
      </c>
      <c r="C270" t="s">
        <v>40</v>
      </c>
      <c r="D270" t="s">
        <v>29</v>
      </c>
      <c r="E270" t="s">
        <v>315</v>
      </c>
      <c r="F270" t="s">
        <v>569</v>
      </c>
      <c r="G270" t="s">
        <v>1165</v>
      </c>
      <c r="H270" t="s">
        <v>1279</v>
      </c>
      <c r="I270" t="s">
        <v>86</v>
      </c>
      <c r="J270" t="s">
        <v>1195</v>
      </c>
      <c r="K270" t="s">
        <v>1166</v>
      </c>
    </row>
    <row r="271" spans="1:11">
      <c r="A271" t="s">
        <v>1198</v>
      </c>
      <c r="B271" t="s">
        <v>1304</v>
      </c>
      <c r="C271" t="s">
        <v>40</v>
      </c>
      <c r="D271" t="s">
        <v>29</v>
      </c>
      <c r="E271" t="s">
        <v>315</v>
      </c>
      <c r="F271" t="s">
        <v>1146</v>
      </c>
      <c r="G271" t="s">
        <v>1165</v>
      </c>
      <c r="H271" t="s">
        <v>1279</v>
      </c>
      <c r="I271" t="s">
        <v>86</v>
      </c>
      <c r="J271" t="s">
        <v>1195</v>
      </c>
      <c r="K271" t="s">
        <v>1166</v>
      </c>
    </row>
    <row r="272" spans="1:11">
      <c r="A272" t="s">
        <v>1198</v>
      </c>
      <c r="B272" t="s">
        <v>1304</v>
      </c>
      <c r="C272" t="s">
        <v>40</v>
      </c>
      <c r="D272" t="s">
        <v>29</v>
      </c>
      <c r="E272" t="s">
        <v>50</v>
      </c>
      <c r="F272" t="s">
        <v>51</v>
      </c>
      <c r="G272" t="s">
        <v>1165</v>
      </c>
      <c r="H272" t="s">
        <v>1279</v>
      </c>
      <c r="I272" t="s">
        <v>86</v>
      </c>
      <c r="J272" t="s">
        <v>1195</v>
      </c>
      <c r="K272" t="s">
        <v>1166</v>
      </c>
    </row>
    <row r="273" spans="1:11">
      <c r="A273" t="s">
        <v>1198</v>
      </c>
      <c r="B273" t="s">
        <v>1304</v>
      </c>
      <c r="C273" t="s">
        <v>40</v>
      </c>
      <c r="D273" t="s">
        <v>29</v>
      </c>
      <c r="E273" t="s">
        <v>50</v>
      </c>
      <c r="F273" t="s">
        <v>509</v>
      </c>
      <c r="G273" t="s">
        <v>1165</v>
      </c>
      <c r="H273" t="s">
        <v>1279</v>
      </c>
      <c r="I273" t="s">
        <v>86</v>
      </c>
      <c r="J273" t="s">
        <v>1195</v>
      </c>
      <c r="K273" t="s">
        <v>1166</v>
      </c>
    </row>
    <row r="274" spans="1:11">
      <c r="A274" t="s">
        <v>1198</v>
      </c>
      <c r="B274" t="s">
        <v>1304</v>
      </c>
      <c r="C274" t="s">
        <v>44</v>
      </c>
      <c r="D274" t="s">
        <v>28</v>
      </c>
      <c r="E274" t="s">
        <v>50</v>
      </c>
      <c r="F274" t="s">
        <v>51</v>
      </c>
      <c r="G274" t="s">
        <v>1165</v>
      </c>
      <c r="H274" t="s">
        <v>1279</v>
      </c>
      <c r="I274" t="s">
        <v>86</v>
      </c>
      <c r="J274" t="s">
        <v>1195</v>
      </c>
      <c r="K274" t="s">
        <v>1166</v>
      </c>
    </row>
    <row r="275" spans="1:11">
      <c r="A275" t="s">
        <v>1198</v>
      </c>
      <c r="B275" t="s">
        <v>1304</v>
      </c>
      <c r="C275" t="s">
        <v>44</v>
      </c>
      <c r="D275" t="s">
        <v>28</v>
      </c>
      <c r="E275" t="s">
        <v>50</v>
      </c>
      <c r="F275" t="s">
        <v>509</v>
      </c>
      <c r="G275" t="s">
        <v>1165</v>
      </c>
      <c r="H275" t="s">
        <v>1279</v>
      </c>
      <c r="I275" t="s">
        <v>86</v>
      </c>
      <c r="J275" t="s">
        <v>1195</v>
      </c>
      <c r="K275" t="s">
        <v>1166</v>
      </c>
    </row>
    <row r="276" spans="1:11">
      <c r="A276" t="s">
        <v>1198</v>
      </c>
      <c r="B276" t="s">
        <v>1304</v>
      </c>
      <c r="C276" t="s">
        <v>44</v>
      </c>
      <c r="D276" t="s">
        <v>30</v>
      </c>
      <c r="E276" t="s">
        <v>53</v>
      </c>
      <c r="F276" t="s">
        <v>217</v>
      </c>
      <c r="G276" t="s">
        <v>1165</v>
      </c>
      <c r="H276" t="s">
        <v>1279</v>
      </c>
      <c r="I276" t="s">
        <v>86</v>
      </c>
      <c r="J276" t="s">
        <v>1195</v>
      </c>
      <c r="K276" t="s">
        <v>1166</v>
      </c>
    </row>
    <row r="277" spans="1:11">
      <c r="A277" t="s">
        <v>1198</v>
      </c>
      <c r="B277" t="s">
        <v>1304</v>
      </c>
      <c r="C277" t="s">
        <v>44</v>
      </c>
      <c r="D277" t="s">
        <v>30</v>
      </c>
      <c r="E277" t="s">
        <v>315</v>
      </c>
      <c r="F277" t="s">
        <v>569</v>
      </c>
      <c r="G277" t="s">
        <v>1165</v>
      </c>
      <c r="H277" t="s">
        <v>1279</v>
      </c>
      <c r="I277" t="s">
        <v>86</v>
      </c>
      <c r="J277" t="s">
        <v>1195</v>
      </c>
      <c r="K277" t="s">
        <v>1166</v>
      </c>
    </row>
    <row r="278" spans="1:11">
      <c r="A278" t="s">
        <v>1198</v>
      </c>
      <c r="B278" t="s">
        <v>1304</v>
      </c>
      <c r="C278" t="s">
        <v>44</v>
      </c>
      <c r="D278" t="s">
        <v>30</v>
      </c>
      <c r="E278" t="s">
        <v>315</v>
      </c>
      <c r="F278" t="s">
        <v>1146</v>
      </c>
      <c r="G278" t="s">
        <v>1165</v>
      </c>
      <c r="H278" t="s">
        <v>1279</v>
      </c>
      <c r="I278" t="s">
        <v>86</v>
      </c>
      <c r="J278" t="s">
        <v>1195</v>
      </c>
      <c r="K278" t="s">
        <v>1166</v>
      </c>
    </row>
    <row r="279" spans="1:11">
      <c r="A279" t="s">
        <v>1198</v>
      </c>
      <c r="B279" t="s">
        <v>1304</v>
      </c>
      <c r="C279" t="s">
        <v>44</v>
      </c>
      <c r="D279" t="s">
        <v>30</v>
      </c>
      <c r="E279" t="s">
        <v>50</v>
      </c>
      <c r="F279" t="s">
        <v>51</v>
      </c>
      <c r="G279" t="s">
        <v>1165</v>
      </c>
      <c r="H279" t="s">
        <v>1279</v>
      </c>
      <c r="I279" t="s">
        <v>86</v>
      </c>
      <c r="J279" t="s">
        <v>1195</v>
      </c>
      <c r="K279" t="s">
        <v>1166</v>
      </c>
    </row>
    <row r="280" spans="1:11">
      <c r="A280" t="s">
        <v>1198</v>
      </c>
      <c r="B280" t="s">
        <v>1304</v>
      </c>
      <c r="C280" t="s">
        <v>44</v>
      </c>
      <c r="D280" t="s">
        <v>30</v>
      </c>
      <c r="E280" t="s">
        <v>50</v>
      </c>
      <c r="F280" t="s">
        <v>509</v>
      </c>
      <c r="G280" t="s">
        <v>1165</v>
      </c>
      <c r="H280" t="s">
        <v>1279</v>
      </c>
      <c r="I280" t="s">
        <v>86</v>
      </c>
      <c r="J280" t="s">
        <v>1195</v>
      </c>
      <c r="K280" t="s">
        <v>1166</v>
      </c>
    </row>
    <row r="281" spans="1:11">
      <c r="A281" t="s">
        <v>1198</v>
      </c>
      <c r="B281" t="s">
        <v>1305</v>
      </c>
      <c r="C281" t="s">
        <v>40</v>
      </c>
      <c r="D281" t="s">
        <v>28</v>
      </c>
      <c r="E281" t="s">
        <v>50</v>
      </c>
      <c r="F281" t="s">
        <v>214</v>
      </c>
      <c r="G281" t="s">
        <v>1172</v>
      </c>
      <c r="H281" t="s">
        <v>1279</v>
      </c>
      <c r="I281" t="s">
        <v>86</v>
      </c>
      <c r="J281" t="s">
        <v>1195</v>
      </c>
      <c r="K281" t="s">
        <v>1200</v>
      </c>
    </row>
    <row r="282" spans="1:11">
      <c r="A282" t="s">
        <v>1198</v>
      </c>
      <c r="B282" t="s">
        <v>1305</v>
      </c>
      <c r="C282" t="s">
        <v>40</v>
      </c>
      <c r="D282" t="s">
        <v>28</v>
      </c>
      <c r="E282" t="s">
        <v>50</v>
      </c>
      <c r="F282" t="s">
        <v>51</v>
      </c>
      <c r="G282" t="s">
        <v>1172</v>
      </c>
      <c r="H282" t="s">
        <v>1279</v>
      </c>
      <c r="I282" t="s">
        <v>86</v>
      </c>
      <c r="J282" t="s">
        <v>1195</v>
      </c>
      <c r="K282" t="s">
        <v>1200</v>
      </c>
    </row>
    <row r="283" spans="1:11">
      <c r="A283" t="s">
        <v>1198</v>
      </c>
      <c r="B283" t="s">
        <v>1305</v>
      </c>
      <c r="C283" t="s">
        <v>40</v>
      </c>
      <c r="D283" t="s">
        <v>28</v>
      </c>
      <c r="E283" t="s">
        <v>50</v>
      </c>
      <c r="F283" t="s">
        <v>317</v>
      </c>
      <c r="G283" t="s">
        <v>1172</v>
      </c>
      <c r="H283" t="s">
        <v>1279</v>
      </c>
      <c r="I283" t="s">
        <v>86</v>
      </c>
      <c r="J283" t="s">
        <v>1195</v>
      </c>
      <c r="K283" t="s">
        <v>1200</v>
      </c>
    </row>
    <row r="284" spans="1:11">
      <c r="A284" t="s">
        <v>1198</v>
      </c>
      <c r="B284" t="s">
        <v>1305</v>
      </c>
      <c r="C284" t="s">
        <v>40</v>
      </c>
      <c r="D284" t="s">
        <v>28</v>
      </c>
      <c r="E284" t="s">
        <v>53</v>
      </c>
      <c r="F284" t="s">
        <v>567</v>
      </c>
      <c r="G284" t="s">
        <v>1172</v>
      </c>
      <c r="H284" t="s">
        <v>1279</v>
      </c>
      <c r="I284" t="s">
        <v>86</v>
      </c>
      <c r="J284" t="s">
        <v>1195</v>
      </c>
      <c r="K284" t="s">
        <v>1200</v>
      </c>
    </row>
    <row r="285" spans="1:11">
      <c r="A285" t="s">
        <v>1198</v>
      </c>
      <c r="B285" t="s">
        <v>1305</v>
      </c>
      <c r="C285" t="s">
        <v>40</v>
      </c>
      <c r="D285" t="s">
        <v>28</v>
      </c>
      <c r="E285" t="s">
        <v>53</v>
      </c>
      <c r="F285" t="s">
        <v>167</v>
      </c>
      <c r="G285" t="s">
        <v>1172</v>
      </c>
      <c r="H285" t="s">
        <v>1279</v>
      </c>
      <c r="I285" t="s">
        <v>86</v>
      </c>
      <c r="J285" t="s">
        <v>1195</v>
      </c>
      <c r="K285" t="s">
        <v>1200</v>
      </c>
    </row>
    <row r="286" spans="1:11">
      <c r="A286" t="s">
        <v>1198</v>
      </c>
      <c r="B286" t="s">
        <v>1305</v>
      </c>
      <c r="C286" t="s">
        <v>40</v>
      </c>
      <c r="D286" t="s">
        <v>28</v>
      </c>
      <c r="E286" t="s">
        <v>57</v>
      </c>
      <c r="F286" t="s">
        <v>832</v>
      </c>
      <c r="G286" t="s">
        <v>1172</v>
      </c>
      <c r="H286" t="s">
        <v>1279</v>
      </c>
      <c r="I286" t="s">
        <v>86</v>
      </c>
      <c r="J286" t="s">
        <v>1195</v>
      </c>
      <c r="K286" t="s">
        <v>1200</v>
      </c>
    </row>
    <row r="287" spans="1:11">
      <c r="A287" t="s">
        <v>1198</v>
      </c>
      <c r="B287" t="s">
        <v>1305</v>
      </c>
      <c r="C287" t="s">
        <v>40</v>
      </c>
      <c r="D287" t="s">
        <v>28</v>
      </c>
      <c r="E287" t="s">
        <v>55</v>
      </c>
      <c r="F287" t="s">
        <v>314</v>
      </c>
      <c r="G287" t="s">
        <v>1172</v>
      </c>
      <c r="H287" t="s">
        <v>1279</v>
      </c>
      <c r="I287" t="s">
        <v>86</v>
      </c>
      <c r="J287" t="s">
        <v>1195</v>
      </c>
      <c r="K287" t="s">
        <v>1200</v>
      </c>
    </row>
    <row r="288" spans="1:11">
      <c r="A288" t="s">
        <v>1198</v>
      </c>
      <c r="B288" t="s">
        <v>1305</v>
      </c>
      <c r="C288" t="s">
        <v>40</v>
      </c>
      <c r="D288" t="s">
        <v>28</v>
      </c>
      <c r="E288" t="s">
        <v>315</v>
      </c>
      <c r="F288" t="s">
        <v>1147</v>
      </c>
      <c r="G288" t="s">
        <v>1172</v>
      </c>
      <c r="H288" t="s">
        <v>1279</v>
      </c>
      <c r="I288" t="s">
        <v>86</v>
      </c>
      <c r="J288" t="s">
        <v>1195</v>
      </c>
      <c r="K288" t="s">
        <v>1200</v>
      </c>
    </row>
    <row r="289" spans="1:11">
      <c r="A289" t="s">
        <v>1198</v>
      </c>
      <c r="B289" t="s">
        <v>1305</v>
      </c>
      <c r="C289" t="s">
        <v>40</v>
      </c>
      <c r="D289" t="s">
        <v>28</v>
      </c>
      <c r="E289" t="s">
        <v>315</v>
      </c>
      <c r="F289" t="s">
        <v>569</v>
      </c>
      <c r="G289" t="s">
        <v>1172</v>
      </c>
      <c r="H289" t="s">
        <v>1279</v>
      </c>
      <c r="I289" t="s">
        <v>86</v>
      </c>
      <c r="J289" t="s">
        <v>1195</v>
      </c>
      <c r="K289" t="s">
        <v>1200</v>
      </c>
    </row>
    <row r="290" spans="1:11">
      <c r="A290" t="s">
        <v>1198</v>
      </c>
      <c r="B290" t="s">
        <v>1305</v>
      </c>
      <c r="C290" t="s">
        <v>40</v>
      </c>
      <c r="D290" t="s">
        <v>28</v>
      </c>
      <c r="E290" t="s">
        <v>433</v>
      </c>
      <c r="F290" t="s">
        <v>707</v>
      </c>
      <c r="G290" t="s">
        <v>1172</v>
      </c>
      <c r="H290" t="s">
        <v>1279</v>
      </c>
      <c r="I290" t="s">
        <v>86</v>
      </c>
      <c r="J290" t="s">
        <v>1195</v>
      </c>
      <c r="K290" t="s">
        <v>1200</v>
      </c>
    </row>
    <row r="291" spans="1:11">
      <c r="A291" t="s">
        <v>1198</v>
      </c>
      <c r="B291" t="s">
        <v>1305</v>
      </c>
      <c r="C291" t="s">
        <v>40</v>
      </c>
      <c r="D291" t="s">
        <v>28</v>
      </c>
      <c r="E291" t="s">
        <v>168</v>
      </c>
      <c r="F291" t="s">
        <v>511</v>
      </c>
      <c r="G291" t="s">
        <v>1172</v>
      </c>
      <c r="H291" t="s">
        <v>1279</v>
      </c>
      <c r="I291" t="s">
        <v>86</v>
      </c>
      <c r="J291" t="s">
        <v>1195</v>
      </c>
      <c r="K291" t="s">
        <v>1200</v>
      </c>
    </row>
    <row r="292" spans="1:11">
      <c r="A292" t="s">
        <v>1198</v>
      </c>
      <c r="B292" t="s">
        <v>1305</v>
      </c>
      <c r="C292" t="s">
        <v>40</v>
      </c>
      <c r="D292" t="s">
        <v>28</v>
      </c>
      <c r="E292" t="s">
        <v>315</v>
      </c>
      <c r="F292" t="s">
        <v>1148</v>
      </c>
      <c r="G292" t="s">
        <v>1172</v>
      </c>
      <c r="H292" t="s">
        <v>1279</v>
      </c>
      <c r="I292" t="s">
        <v>86</v>
      </c>
      <c r="J292" t="s">
        <v>1195</v>
      </c>
      <c r="K292" t="s">
        <v>1200</v>
      </c>
    </row>
    <row r="293" spans="1:11">
      <c r="A293" t="s">
        <v>1198</v>
      </c>
      <c r="B293" t="s">
        <v>1305</v>
      </c>
      <c r="C293" t="s">
        <v>44</v>
      </c>
      <c r="D293" t="s">
        <v>29</v>
      </c>
      <c r="E293" t="s">
        <v>50</v>
      </c>
      <c r="F293" t="s">
        <v>214</v>
      </c>
      <c r="G293" t="s">
        <v>1172</v>
      </c>
      <c r="H293" t="s">
        <v>1279</v>
      </c>
      <c r="I293" t="s">
        <v>86</v>
      </c>
      <c r="J293" t="s">
        <v>1195</v>
      </c>
      <c r="K293" t="s">
        <v>1200</v>
      </c>
    </row>
    <row r="294" spans="1:11">
      <c r="A294" t="s">
        <v>1198</v>
      </c>
      <c r="B294" t="s">
        <v>1305</v>
      </c>
      <c r="C294" t="s">
        <v>44</v>
      </c>
      <c r="D294" t="s">
        <v>29</v>
      </c>
      <c r="E294" t="s">
        <v>50</v>
      </c>
      <c r="F294" t="s">
        <v>51</v>
      </c>
      <c r="G294" t="s">
        <v>1172</v>
      </c>
      <c r="H294" t="s">
        <v>1279</v>
      </c>
      <c r="I294" t="s">
        <v>86</v>
      </c>
      <c r="J294" t="s">
        <v>1195</v>
      </c>
      <c r="K294" t="s">
        <v>1200</v>
      </c>
    </row>
    <row r="295" spans="1:11">
      <c r="A295" t="s">
        <v>1198</v>
      </c>
      <c r="B295" t="s">
        <v>1305</v>
      </c>
      <c r="C295" t="s">
        <v>44</v>
      </c>
      <c r="D295" t="s">
        <v>29</v>
      </c>
      <c r="E295" t="s">
        <v>50</v>
      </c>
      <c r="F295" t="s">
        <v>509</v>
      </c>
      <c r="G295" t="s">
        <v>1172</v>
      </c>
      <c r="H295" t="s">
        <v>1279</v>
      </c>
      <c r="I295" t="s">
        <v>86</v>
      </c>
      <c r="J295" t="s">
        <v>1195</v>
      </c>
      <c r="K295" t="s">
        <v>1200</v>
      </c>
    </row>
    <row r="296" spans="1:11">
      <c r="A296" t="s">
        <v>1198</v>
      </c>
      <c r="B296" t="s">
        <v>1305</v>
      </c>
      <c r="C296" t="s">
        <v>44</v>
      </c>
      <c r="D296" t="s">
        <v>29</v>
      </c>
      <c r="E296" t="s">
        <v>53</v>
      </c>
      <c r="F296" t="s">
        <v>567</v>
      </c>
      <c r="G296" t="s">
        <v>1172</v>
      </c>
      <c r="H296" t="s">
        <v>1279</v>
      </c>
      <c r="I296" t="s">
        <v>86</v>
      </c>
      <c r="J296" t="s">
        <v>1195</v>
      </c>
      <c r="K296" t="s">
        <v>1200</v>
      </c>
    </row>
    <row r="297" spans="1:11">
      <c r="A297" t="s">
        <v>1198</v>
      </c>
      <c r="B297" t="s">
        <v>1305</v>
      </c>
      <c r="C297" t="s">
        <v>44</v>
      </c>
      <c r="D297" t="s">
        <v>29</v>
      </c>
      <c r="E297" t="s">
        <v>53</v>
      </c>
      <c r="F297" t="s">
        <v>167</v>
      </c>
      <c r="G297" t="s">
        <v>1172</v>
      </c>
      <c r="H297" t="s">
        <v>1279</v>
      </c>
      <c r="I297" t="s">
        <v>86</v>
      </c>
      <c r="J297" t="s">
        <v>1195</v>
      </c>
      <c r="K297" t="s">
        <v>1200</v>
      </c>
    </row>
    <row r="298" spans="1:11">
      <c r="A298" t="s">
        <v>1198</v>
      </c>
      <c r="B298" t="s">
        <v>1305</v>
      </c>
      <c r="C298" t="s">
        <v>44</v>
      </c>
      <c r="D298" t="s">
        <v>29</v>
      </c>
      <c r="E298" t="s">
        <v>168</v>
      </c>
      <c r="F298" t="s">
        <v>511</v>
      </c>
      <c r="G298" t="s">
        <v>1172</v>
      </c>
      <c r="H298" t="s">
        <v>1279</v>
      </c>
      <c r="I298" t="s">
        <v>86</v>
      </c>
      <c r="J298" t="s">
        <v>1195</v>
      </c>
      <c r="K298" t="s">
        <v>1200</v>
      </c>
    </row>
    <row r="299" spans="1:11">
      <c r="A299" t="s">
        <v>1198</v>
      </c>
      <c r="B299" t="s">
        <v>1305</v>
      </c>
      <c r="C299" t="s">
        <v>44</v>
      </c>
      <c r="D299" t="s">
        <v>29</v>
      </c>
      <c r="E299" t="s">
        <v>315</v>
      </c>
      <c r="F299" t="s">
        <v>1145</v>
      </c>
      <c r="G299" t="s">
        <v>1172</v>
      </c>
      <c r="H299" t="s">
        <v>1279</v>
      </c>
      <c r="I299" t="s">
        <v>86</v>
      </c>
      <c r="J299" t="s">
        <v>1195</v>
      </c>
      <c r="K299" t="s">
        <v>1200</v>
      </c>
    </row>
    <row r="300" spans="1:11">
      <c r="A300" t="s">
        <v>1198</v>
      </c>
      <c r="B300" t="s">
        <v>1305</v>
      </c>
      <c r="C300" t="s">
        <v>44</v>
      </c>
      <c r="D300" t="s">
        <v>29</v>
      </c>
      <c r="E300" t="s">
        <v>315</v>
      </c>
      <c r="F300" t="s">
        <v>1146</v>
      </c>
      <c r="G300" t="s">
        <v>1172</v>
      </c>
      <c r="H300" t="s">
        <v>1279</v>
      </c>
      <c r="I300" t="s">
        <v>86</v>
      </c>
      <c r="J300" t="s">
        <v>1195</v>
      </c>
      <c r="K300" t="s">
        <v>1200</v>
      </c>
    </row>
    <row r="301" spans="1:11">
      <c r="A301" t="s">
        <v>1198</v>
      </c>
      <c r="B301" t="s">
        <v>1305</v>
      </c>
      <c r="C301" t="s">
        <v>44</v>
      </c>
      <c r="D301" t="s">
        <v>29</v>
      </c>
      <c r="E301" t="s">
        <v>315</v>
      </c>
      <c r="F301" t="s">
        <v>569</v>
      </c>
      <c r="G301" t="s">
        <v>1172</v>
      </c>
      <c r="H301" t="s">
        <v>1279</v>
      </c>
      <c r="I301" t="s">
        <v>86</v>
      </c>
      <c r="J301" t="s">
        <v>1195</v>
      </c>
      <c r="K301" t="s">
        <v>1200</v>
      </c>
    </row>
    <row r="302" spans="1:11">
      <c r="A302" t="s">
        <v>1198</v>
      </c>
      <c r="B302" t="s">
        <v>1306</v>
      </c>
      <c r="C302" t="s">
        <v>40</v>
      </c>
      <c r="D302" t="s">
        <v>28</v>
      </c>
      <c r="E302" t="s">
        <v>50</v>
      </c>
      <c r="F302" t="s">
        <v>214</v>
      </c>
      <c r="G302" t="s">
        <v>1179</v>
      </c>
      <c r="H302" t="s">
        <v>1279</v>
      </c>
      <c r="I302" t="s">
        <v>86</v>
      </c>
      <c r="J302" t="s">
        <v>1195</v>
      </c>
      <c r="K302" t="s">
        <v>1180</v>
      </c>
    </row>
    <row r="303" spans="1:11">
      <c r="A303" t="s">
        <v>1198</v>
      </c>
      <c r="B303" t="s">
        <v>1306</v>
      </c>
      <c r="C303" t="s">
        <v>40</v>
      </c>
      <c r="D303" t="s">
        <v>28</v>
      </c>
      <c r="E303" t="s">
        <v>50</v>
      </c>
      <c r="F303" t="s">
        <v>52</v>
      </c>
      <c r="G303" t="s">
        <v>1179</v>
      </c>
      <c r="H303" t="s">
        <v>1279</v>
      </c>
      <c r="I303" t="s">
        <v>86</v>
      </c>
      <c r="J303" t="s">
        <v>1195</v>
      </c>
      <c r="K303" t="s">
        <v>1180</v>
      </c>
    </row>
    <row r="304" spans="1:11">
      <c r="A304" t="s">
        <v>1198</v>
      </c>
      <c r="B304" t="s">
        <v>1306</v>
      </c>
      <c r="C304" t="s">
        <v>40</v>
      </c>
      <c r="D304" t="s">
        <v>30</v>
      </c>
      <c r="E304" t="s">
        <v>53</v>
      </c>
      <c r="F304" t="s">
        <v>167</v>
      </c>
      <c r="G304" t="s">
        <v>1179</v>
      </c>
      <c r="H304" t="s">
        <v>1279</v>
      </c>
      <c r="I304" t="s">
        <v>86</v>
      </c>
      <c r="J304" t="s">
        <v>1195</v>
      </c>
      <c r="K304" t="s">
        <v>1180</v>
      </c>
    </row>
    <row r="305" spans="1:11">
      <c r="A305" t="s">
        <v>1198</v>
      </c>
      <c r="B305" t="s">
        <v>1306</v>
      </c>
      <c r="C305" t="s">
        <v>40</v>
      </c>
      <c r="D305" t="s">
        <v>28</v>
      </c>
      <c r="E305" t="s">
        <v>168</v>
      </c>
      <c r="F305" t="s">
        <v>511</v>
      </c>
      <c r="G305" t="s">
        <v>1179</v>
      </c>
      <c r="H305" t="s">
        <v>1279</v>
      </c>
      <c r="I305" t="s">
        <v>86</v>
      </c>
      <c r="J305" t="s">
        <v>1195</v>
      </c>
      <c r="K305" t="s">
        <v>1180</v>
      </c>
    </row>
    <row r="306" spans="1:11">
      <c r="A306" t="s">
        <v>1198</v>
      </c>
      <c r="B306" t="s">
        <v>1306</v>
      </c>
      <c r="C306" t="s">
        <v>40</v>
      </c>
      <c r="D306" t="s">
        <v>28</v>
      </c>
      <c r="E306" t="s">
        <v>55</v>
      </c>
      <c r="F306" t="s">
        <v>104</v>
      </c>
      <c r="G306" t="s">
        <v>1179</v>
      </c>
      <c r="H306" t="s">
        <v>1279</v>
      </c>
      <c r="I306" t="s">
        <v>86</v>
      </c>
      <c r="J306" t="s">
        <v>1195</v>
      </c>
      <c r="K306" t="s">
        <v>1180</v>
      </c>
    </row>
    <row r="307" spans="1:11">
      <c r="A307" t="s">
        <v>1198</v>
      </c>
      <c r="B307" t="s">
        <v>1306</v>
      </c>
      <c r="C307" t="s">
        <v>40</v>
      </c>
      <c r="D307" t="s">
        <v>28</v>
      </c>
      <c r="E307" t="s">
        <v>57</v>
      </c>
      <c r="F307" t="s">
        <v>706</v>
      </c>
      <c r="G307" t="s">
        <v>1179</v>
      </c>
      <c r="H307" t="s">
        <v>1279</v>
      </c>
      <c r="I307" t="s">
        <v>86</v>
      </c>
      <c r="J307" t="s">
        <v>1195</v>
      </c>
      <c r="K307" t="s">
        <v>1180</v>
      </c>
    </row>
    <row r="308" spans="1:11">
      <c r="A308" t="s">
        <v>1198</v>
      </c>
      <c r="B308" t="s">
        <v>1306</v>
      </c>
      <c r="C308" t="s">
        <v>44</v>
      </c>
      <c r="D308" t="s">
        <v>29</v>
      </c>
      <c r="E308" t="s">
        <v>50</v>
      </c>
      <c r="F308" t="s">
        <v>214</v>
      </c>
      <c r="G308" t="s">
        <v>1179</v>
      </c>
      <c r="H308" t="s">
        <v>1279</v>
      </c>
      <c r="I308" t="s">
        <v>86</v>
      </c>
      <c r="J308" t="s">
        <v>1195</v>
      </c>
      <c r="K308" t="s">
        <v>1180</v>
      </c>
    </row>
    <row r="309" spans="1:11">
      <c r="A309" t="s">
        <v>1198</v>
      </c>
      <c r="B309" t="s">
        <v>1306</v>
      </c>
      <c r="C309" t="s">
        <v>44</v>
      </c>
      <c r="D309" t="s">
        <v>29</v>
      </c>
      <c r="E309" t="s">
        <v>50</v>
      </c>
      <c r="F309" t="s">
        <v>52</v>
      </c>
      <c r="G309" t="s">
        <v>1179</v>
      </c>
      <c r="H309" t="s">
        <v>1279</v>
      </c>
      <c r="I309" t="s">
        <v>86</v>
      </c>
      <c r="J309" t="s">
        <v>1195</v>
      </c>
      <c r="K309" t="s">
        <v>1180</v>
      </c>
    </row>
    <row r="310" spans="1:11">
      <c r="A310" t="s">
        <v>1198</v>
      </c>
      <c r="B310" t="s">
        <v>1306</v>
      </c>
      <c r="C310" t="s">
        <v>44</v>
      </c>
      <c r="D310" t="s">
        <v>29</v>
      </c>
      <c r="E310" t="s">
        <v>168</v>
      </c>
      <c r="F310" t="s">
        <v>511</v>
      </c>
      <c r="G310" t="s">
        <v>1179</v>
      </c>
      <c r="H310" t="s">
        <v>1279</v>
      </c>
      <c r="I310" t="s">
        <v>86</v>
      </c>
      <c r="J310" t="s">
        <v>1195</v>
      </c>
      <c r="K310" t="s">
        <v>1180</v>
      </c>
    </row>
    <row r="311" spans="1:11">
      <c r="A311" t="s">
        <v>1198</v>
      </c>
      <c r="B311" t="s">
        <v>1306</v>
      </c>
      <c r="C311" t="s">
        <v>44</v>
      </c>
      <c r="D311" t="s">
        <v>29</v>
      </c>
      <c r="E311" t="s">
        <v>168</v>
      </c>
      <c r="F311" t="s">
        <v>169</v>
      </c>
      <c r="G311" t="s">
        <v>1179</v>
      </c>
      <c r="H311" t="s">
        <v>1279</v>
      </c>
      <c r="I311" t="s">
        <v>86</v>
      </c>
      <c r="J311" t="s">
        <v>1195</v>
      </c>
      <c r="K311" t="s">
        <v>1180</v>
      </c>
    </row>
    <row r="312" spans="1:11">
      <c r="A312" t="s">
        <v>1198</v>
      </c>
      <c r="B312" t="s">
        <v>1306</v>
      </c>
      <c r="C312" t="s">
        <v>44</v>
      </c>
      <c r="D312" t="s">
        <v>30</v>
      </c>
      <c r="E312" t="s">
        <v>53</v>
      </c>
      <c r="F312" t="s">
        <v>167</v>
      </c>
      <c r="G312" t="s">
        <v>1179</v>
      </c>
      <c r="H312" t="s">
        <v>1279</v>
      </c>
      <c r="I312" t="s">
        <v>86</v>
      </c>
      <c r="J312" t="s">
        <v>1195</v>
      </c>
      <c r="K312" t="s">
        <v>1180</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4FAC3-E8FB-4D4C-87D8-70FF7CAD17E6}">
  <sheetPr codeName="Sheet34"/>
  <dimension ref="A1:I169"/>
  <sheetViews>
    <sheetView topLeftCell="A3" workbookViewId="0">
      <selection sqref="A1:I169"/>
    </sheetView>
  </sheetViews>
  <sheetFormatPr defaultColWidth="8.85546875" defaultRowHeight="15"/>
  <cols>
    <col min="1" max="1" width="49" bestFit="1" customWidth="1"/>
    <col min="2" max="2" width="14.85546875" bestFit="1" customWidth="1"/>
    <col min="3" max="3" width="65.5703125" bestFit="1" customWidth="1"/>
    <col min="4" max="4" width="20.140625" bestFit="1" customWidth="1"/>
    <col min="5" max="5" width="16.42578125" bestFit="1" customWidth="1"/>
    <col min="6" max="6" width="12.7109375" bestFit="1" customWidth="1"/>
    <col min="7" max="7" width="24.5703125" bestFit="1" customWidth="1"/>
    <col min="8" max="8" width="14.42578125" bestFit="1" customWidth="1"/>
    <col min="9" max="9" width="12.140625" bestFit="1" customWidth="1"/>
  </cols>
  <sheetData>
    <row r="1" spans="1:9">
      <c r="A1" t="s">
        <v>1189</v>
      </c>
      <c r="B1" t="s">
        <v>1159</v>
      </c>
      <c r="C1" t="s">
        <v>1160</v>
      </c>
      <c r="D1" t="s">
        <v>16</v>
      </c>
      <c r="E1" t="s">
        <v>15</v>
      </c>
      <c r="F1" t="s">
        <v>1248</v>
      </c>
      <c r="G1" t="s">
        <v>1190</v>
      </c>
      <c r="H1" t="s">
        <v>1191</v>
      </c>
      <c r="I1" t="s">
        <v>1192</v>
      </c>
    </row>
    <row r="2" spans="1:9">
      <c r="A2" t="s">
        <v>1203</v>
      </c>
      <c r="B2" t="s">
        <v>80</v>
      </c>
      <c r="C2" t="s">
        <v>1243</v>
      </c>
      <c r="D2" t="s">
        <v>17</v>
      </c>
      <c r="E2">
        <v>22</v>
      </c>
      <c r="F2" t="s">
        <v>1307</v>
      </c>
      <c r="G2" t="s">
        <v>86</v>
      </c>
      <c r="H2" t="s">
        <v>1207</v>
      </c>
      <c r="I2" t="s">
        <v>1195</v>
      </c>
    </row>
    <row r="3" spans="1:9">
      <c r="A3" t="s">
        <v>1203</v>
      </c>
      <c r="B3" t="s">
        <v>80</v>
      </c>
      <c r="C3" t="s">
        <v>1243</v>
      </c>
      <c r="D3" t="s">
        <v>18</v>
      </c>
      <c r="E3">
        <v>5</v>
      </c>
      <c r="F3" t="s">
        <v>1307</v>
      </c>
      <c r="G3" t="s">
        <v>86</v>
      </c>
      <c r="H3" t="s">
        <v>1207</v>
      </c>
      <c r="I3" t="s">
        <v>1195</v>
      </c>
    </row>
    <row r="4" spans="1:9">
      <c r="A4" t="s">
        <v>1203</v>
      </c>
      <c r="B4" t="s">
        <v>80</v>
      </c>
      <c r="C4" t="s">
        <v>1243</v>
      </c>
      <c r="D4" t="s">
        <v>19</v>
      </c>
      <c r="E4">
        <v>3</v>
      </c>
      <c r="F4" t="s">
        <v>1307</v>
      </c>
      <c r="G4" t="s">
        <v>86</v>
      </c>
      <c r="H4" t="s">
        <v>1207</v>
      </c>
      <c r="I4" t="s">
        <v>1195</v>
      </c>
    </row>
    <row r="5" spans="1:9">
      <c r="A5" t="s">
        <v>1203</v>
      </c>
      <c r="B5" t="s">
        <v>80</v>
      </c>
      <c r="C5" t="s">
        <v>1243</v>
      </c>
      <c r="D5" t="s">
        <v>20</v>
      </c>
      <c r="E5">
        <v>10</v>
      </c>
      <c r="F5" t="s">
        <v>1307</v>
      </c>
      <c r="G5" t="s">
        <v>86</v>
      </c>
      <c r="H5" t="s">
        <v>1207</v>
      </c>
      <c r="I5" t="s">
        <v>1195</v>
      </c>
    </row>
    <row r="6" spans="1:9">
      <c r="A6" t="s">
        <v>1203</v>
      </c>
      <c r="B6" t="s">
        <v>80</v>
      </c>
      <c r="C6" t="s">
        <v>1243</v>
      </c>
      <c r="D6" t="s">
        <v>22</v>
      </c>
      <c r="E6">
        <v>4</v>
      </c>
      <c r="F6" t="s">
        <v>1307</v>
      </c>
      <c r="G6" t="s">
        <v>86</v>
      </c>
      <c r="H6" t="s">
        <v>1207</v>
      </c>
      <c r="I6" t="s">
        <v>1195</v>
      </c>
    </row>
    <row r="7" spans="1:9">
      <c r="A7" t="s">
        <v>1203</v>
      </c>
      <c r="B7" t="s">
        <v>80</v>
      </c>
      <c r="C7" t="s">
        <v>1243</v>
      </c>
      <c r="D7" t="s">
        <v>23</v>
      </c>
      <c r="E7">
        <v>44</v>
      </c>
      <c r="F7" t="s">
        <v>1307</v>
      </c>
      <c r="G7" t="s">
        <v>86</v>
      </c>
      <c r="H7" t="s">
        <v>1207</v>
      </c>
      <c r="I7" t="s">
        <v>1195</v>
      </c>
    </row>
    <row r="8" spans="1:9">
      <c r="A8" t="s">
        <v>1203</v>
      </c>
      <c r="B8" t="s">
        <v>255</v>
      </c>
      <c r="C8" t="s">
        <v>1171</v>
      </c>
      <c r="D8" t="s">
        <v>17</v>
      </c>
      <c r="E8">
        <v>23</v>
      </c>
      <c r="F8" t="s">
        <v>1307</v>
      </c>
      <c r="G8" t="s">
        <v>86</v>
      </c>
      <c r="H8" t="s">
        <v>1208</v>
      </c>
      <c r="I8" t="s">
        <v>1195</v>
      </c>
    </row>
    <row r="9" spans="1:9">
      <c r="A9" t="s">
        <v>1203</v>
      </c>
      <c r="B9" t="s">
        <v>255</v>
      </c>
      <c r="C9" t="s">
        <v>1171</v>
      </c>
      <c r="D9" t="s">
        <v>18</v>
      </c>
      <c r="F9" t="s">
        <v>1307</v>
      </c>
      <c r="G9" t="s">
        <v>86</v>
      </c>
      <c r="H9" t="s">
        <v>1208</v>
      </c>
      <c r="I9" t="s">
        <v>1195</v>
      </c>
    </row>
    <row r="10" spans="1:9">
      <c r="A10" t="s">
        <v>1203</v>
      </c>
      <c r="B10" t="s">
        <v>255</v>
      </c>
      <c r="C10" t="s">
        <v>1171</v>
      </c>
      <c r="D10" t="s">
        <v>19</v>
      </c>
      <c r="F10" t="s">
        <v>1307</v>
      </c>
      <c r="G10" t="s">
        <v>86</v>
      </c>
      <c r="H10" t="s">
        <v>1208</v>
      </c>
      <c r="I10" t="s">
        <v>1195</v>
      </c>
    </row>
    <row r="11" spans="1:9">
      <c r="A11" t="s">
        <v>1203</v>
      </c>
      <c r="B11" t="s">
        <v>255</v>
      </c>
      <c r="C11" t="s">
        <v>1171</v>
      </c>
      <c r="D11" t="s">
        <v>20</v>
      </c>
      <c r="E11">
        <v>17</v>
      </c>
      <c r="F11" t="s">
        <v>1307</v>
      </c>
      <c r="G11" t="s">
        <v>86</v>
      </c>
      <c r="H11" t="s">
        <v>1208</v>
      </c>
      <c r="I11" t="s">
        <v>1195</v>
      </c>
    </row>
    <row r="12" spans="1:9">
      <c r="A12" t="s">
        <v>1203</v>
      </c>
      <c r="B12" t="s">
        <v>255</v>
      </c>
      <c r="C12" t="s">
        <v>1171</v>
      </c>
      <c r="D12" t="s">
        <v>22</v>
      </c>
      <c r="F12" t="s">
        <v>1307</v>
      </c>
      <c r="G12" t="s">
        <v>86</v>
      </c>
      <c r="H12" t="s">
        <v>1208</v>
      </c>
      <c r="I12" t="s">
        <v>1195</v>
      </c>
    </row>
    <row r="13" spans="1:9">
      <c r="A13" t="s">
        <v>1203</v>
      </c>
      <c r="B13" t="s">
        <v>255</v>
      </c>
      <c r="C13" t="s">
        <v>1171</v>
      </c>
      <c r="D13" t="s">
        <v>23</v>
      </c>
      <c r="E13">
        <v>40</v>
      </c>
      <c r="F13" t="s">
        <v>1307</v>
      </c>
      <c r="G13" t="s">
        <v>86</v>
      </c>
      <c r="H13" t="s">
        <v>1208</v>
      </c>
      <c r="I13" t="s">
        <v>1195</v>
      </c>
    </row>
    <row r="14" spans="1:9">
      <c r="A14" t="s">
        <v>1203</v>
      </c>
      <c r="B14" t="s">
        <v>143</v>
      </c>
      <c r="C14" t="s">
        <v>144</v>
      </c>
      <c r="D14" t="s">
        <v>17</v>
      </c>
      <c r="E14">
        <v>34</v>
      </c>
      <c r="F14" t="s">
        <v>1307</v>
      </c>
      <c r="G14" t="s">
        <v>86</v>
      </c>
      <c r="H14" t="s">
        <v>1204</v>
      </c>
      <c r="I14" t="s">
        <v>1195</v>
      </c>
    </row>
    <row r="15" spans="1:9">
      <c r="A15" t="s">
        <v>1203</v>
      </c>
      <c r="B15" t="s">
        <v>143</v>
      </c>
      <c r="C15" t="s">
        <v>144</v>
      </c>
      <c r="D15" t="s">
        <v>18</v>
      </c>
      <c r="E15">
        <v>6</v>
      </c>
      <c r="F15" t="s">
        <v>1307</v>
      </c>
      <c r="G15" t="s">
        <v>86</v>
      </c>
      <c r="H15" t="s">
        <v>1204</v>
      </c>
      <c r="I15" t="s">
        <v>1195</v>
      </c>
    </row>
    <row r="16" spans="1:9">
      <c r="A16" t="s">
        <v>1203</v>
      </c>
      <c r="B16" t="s">
        <v>143</v>
      </c>
      <c r="C16" t="s">
        <v>144</v>
      </c>
      <c r="D16" t="s">
        <v>19</v>
      </c>
      <c r="F16" t="s">
        <v>1307</v>
      </c>
      <c r="G16" t="s">
        <v>86</v>
      </c>
      <c r="H16" t="s">
        <v>1204</v>
      </c>
      <c r="I16" t="s">
        <v>1195</v>
      </c>
    </row>
    <row r="17" spans="1:9">
      <c r="A17" t="s">
        <v>1203</v>
      </c>
      <c r="B17" t="s">
        <v>143</v>
      </c>
      <c r="C17" t="s">
        <v>144</v>
      </c>
      <c r="D17" t="s">
        <v>20</v>
      </c>
      <c r="E17">
        <v>4</v>
      </c>
      <c r="F17" t="s">
        <v>1307</v>
      </c>
      <c r="G17" t="s">
        <v>86</v>
      </c>
      <c r="H17" t="s">
        <v>1204</v>
      </c>
      <c r="I17" t="s">
        <v>1195</v>
      </c>
    </row>
    <row r="18" spans="1:9">
      <c r="A18" t="s">
        <v>1203</v>
      </c>
      <c r="B18" t="s">
        <v>143</v>
      </c>
      <c r="C18" t="s">
        <v>144</v>
      </c>
      <c r="D18" t="s">
        <v>22</v>
      </c>
      <c r="F18" t="s">
        <v>1307</v>
      </c>
      <c r="G18" t="s">
        <v>86</v>
      </c>
      <c r="H18" t="s">
        <v>1204</v>
      </c>
      <c r="I18" t="s">
        <v>1195</v>
      </c>
    </row>
    <row r="19" spans="1:9">
      <c r="A19" t="s">
        <v>1203</v>
      </c>
      <c r="B19" t="s">
        <v>143</v>
      </c>
      <c r="C19" t="s">
        <v>144</v>
      </c>
      <c r="D19" t="s">
        <v>23</v>
      </c>
      <c r="E19">
        <v>44</v>
      </c>
      <c r="F19" t="s">
        <v>1307</v>
      </c>
      <c r="G19" t="s">
        <v>86</v>
      </c>
      <c r="H19" t="s">
        <v>1204</v>
      </c>
      <c r="I19" t="s">
        <v>1195</v>
      </c>
    </row>
    <row r="20" spans="1:9">
      <c r="A20" t="s">
        <v>1203</v>
      </c>
      <c r="B20" t="s">
        <v>193</v>
      </c>
      <c r="C20" t="s">
        <v>1283</v>
      </c>
      <c r="D20" t="s">
        <v>17</v>
      </c>
      <c r="E20">
        <v>33</v>
      </c>
      <c r="F20" t="s">
        <v>1307</v>
      </c>
      <c r="G20" t="s">
        <v>86</v>
      </c>
      <c r="H20" t="s">
        <v>1205</v>
      </c>
      <c r="I20" t="s">
        <v>1195</v>
      </c>
    </row>
    <row r="21" spans="1:9">
      <c r="A21" t="s">
        <v>1203</v>
      </c>
      <c r="B21" t="s">
        <v>193</v>
      </c>
      <c r="C21" t="s">
        <v>1283</v>
      </c>
      <c r="D21" t="s">
        <v>18</v>
      </c>
      <c r="E21">
        <v>1</v>
      </c>
      <c r="F21" t="s">
        <v>1307</v>
      </c>
      <c r="G21" t="s">
        <v>86</v>
      </c>
      <c r="H21" t="s">
        <v>1205</v>
      </c>
      <c r="I21" t="s">
        <v>1195</v>
      </c>
    </row>
    <row r="22" spans="1:9">
      <c r="A22" t="s">
        <v>1203</v>
      </c>
      <c r="B22" t="s">
        <v>193</v>
      </c>
      <c r="C22" t="s">
        <v>1283</v>
      </c>
      <c r="D22" t="s">
        <v>19</v>
      </c>
      <c r="E22">
        <v>6</v>
      </c>
      <c r="F22" t="s">
        <v>1307</v>
      </c>
      <c r="G22" t="s">
        <v>86</v>
      </c>
      <c r="H22" t="s">
        <v>1205</v>
      </c>
      <c r="I22" t="s">
        <v>1195</v>
      </c>
    </row>
    <row r="23" spans="1:9">
      <c r="A23" t="s">
        <v>1203</v>
      </c>
      <c r="B23" t="s">
        <v>193</v>
      </c>
      <c r="C23" t="s">
        <v>1283</v>
      </c>
      <c r="D23" t="s">
        <v>20</v>
      </c>
      <c r="E23">
        <v>1</v>
      </c>
      <c r="F23" t="s">
        <v>1307</v>
      </c>
      <c r="G23" t="s">
        <v>86</v>
      </c>
      <c r="H23" t="s">
        <v>1205</v>
      </c>
      <c r="I23" t="s">
        <v>1195</v>
      </c>
    </row>
    <row r="24" spans="1:9">
      <c r="A24" t="s">
        <v>1203</v>
      </c>
      <c r="B24" t="s">
        <v>193</v>
      </c>
      <c r="C24" t="s">
        <v>1283</v>
      </c>
      <c r="D24" t="s">
        <v>22</v>
      </c>
      <c r="E24">
        <v>3</v>
      </c>
      <c r="F24" t="s">
        <v>1307</v>
      </c>
      <c r="G24" t="s">
        <v>86</v>
      </c>
      <c r="H24" t="s">
        <v>1205</v>
      </c>
      <c r="I24" t="s">
        <v>1195</v>
      </c>
    </row>
    <row r="25" spans="1:9">
      <c r="A25" t="s">
        <v>1203</v>
      </c>
      <c r="B25" t="s">
        <v>193</v>
      </c>
      <c r="C25" t="s">
        <v>1283</v>
      </c>
      <c r="D25" t="s">
        <v>23</v>
      </c>
      <c r="E25">
        <v>44</v>
      </c>
      <c r="F25" t="s">
        <v>1307</v>
      </c>
      <c r="G25" t="s">
        <v>86</v>
      </c>
      <c r="H25" t="s">
        <v>1205</v>
      </c>
      <c r="I25" t="s">
        <v>1195</v>
      </c>
    </row>
    <row r="26" spans="1:9">
      <c r="A26" t="s">
        <v>1203</v>
      </c>
      <c r="B26" t="s">
        <v>289</v>
      </c>
      <c r="C26" t="s">
        <v>291</v>
      </c>
      <c r="D26" t="s">
        <v>17</v>
      </c>
      <c r="E26">
        <v>13</v>
      </c>
      <c r="F26" t="s">
        <v>1307</v>
      </c>
      <c r="G26" t="s">
        <v>86</v>
      </c>
      <c r="H26" t="s">
        <v>1206</v>
      </c>
      <c r="I26" t="s">
        <v>1195</v>
      </c>
    </row>
    <row r="27" spans="1:9">
      <c r="A27" t="s">
        <v>1203</v>
      </c>
      <c r="B27" t="s">
        <v>289</v>
      </c>
      <c r="C27" t="s">
        <v>291</v>
      </c>
      <c r="D27" t="s">
        <v>18</v>
      </c>
      <c r="E27">
        <v>0</v>
      </c>
      <c r="F27" t="s">
        <v>1307</v>
      </c>
      <c r="G27" t="s">
        <v>86</v>
      </c>
      <c r="H27" t="s">
        <v>1206</v>
      </c>
      <c r="I27" t="s">
        <v>1195</v>
      </c>
    </row>
    <row r="28" spans="1:9">
      <c r="A28" t="s">
        <v>1203</v>
      </c>
      <c r="B28" t="s">
        <v>289</v>
      </c>
      <c r="C28" t="s">
        <v>291</v>
      </c>
      <c r="D28" t="s">
        <v>19</v>
      </c>
      <c r="E28">
        <v>7</v>
      </c>
      <c r="F28" t="s">
        <v>1307</v>
      </c>
      <c r="G28" t="s">
        <v>86</v>
      </c>
      <c r="H28" t="s">
        <v>1206</v>
      </c>
      <c r="I28" t="s">
        <v>1195</v>
      </c>
    </row>
    <row r="29" spans="1:9">
      <c r="A29" t="s">
        <v>1203</v>
      </c>
      <c r="B29" t="s">
        <v>289</v>
      </c>
      <c r="C29" t="s">
        <v>291</v>
      </c>
      <c r="D29" t="s">
        <v>20</v>
      </c>
      <c r="E29">
        <v>13</v>
      </c>
      <c r="F29" t="s">
        <v>1307</v>
      </c>
      <c r="G29" t="s">
        <v>86</v>
      </c>
      <c r="H29" t="s">
        <v>1206</v>
      </c>
      <c r="I29" t="s">
        <v>1195</v>
      </c>
    </row>
    <row r="30" spans="1:9">
      <c r="A30" t="s">
        <v>1203</v>
      </c>
      <c r="B30" t="s">
        <v>289</v>
      </c>
      <c r="C30" t="s">
        <v>291</v>
      </c>
      <c r="D30" t="s">
        <v>22</v>
      </c>
      <c r="E30">
        <v>6</v>
      </c>
      <c r="F30" t="s">
        <v>1307</v>
      </c>
      <c r="G30" t="s">
        <v>86</v>
      </c>
      <c r="H30" t="s">
        <v>1206</v>
      </c>
      <c r="I30" t="s">
        <v>1195</v>
      </c>
    </row>
    <row r="31" spans="1:9">
      <c r="A31" t="s">
        <v>1203</v>
      </c>
      <c r="B31" t="s">
        <v>289</v>
      </c>
      <c r="C31" t="s">
        <v>291</v>
      </c>
      <c r="D31" t="s">
        <v>23</v>
      </c>
      <c r="E31">
        <v>39</v>
      </c>
      <c r="F31" t="s">
        <v>1307</v>
      </c>
      <c r="G31" t="s">
        <v>86</v>
      </c>
      <c r="H31" t="s">
        <v>1206</v>
      </c>
      <c r="I31" t="s">
        <v>1195</v>
      </c>
    </row>
    <row r="32" spans="1:9">
      <c r="A32" t="s">
        <v>1203</v>
      </c>
      <c r="B32" t="s">
        <v>351</v>
      </c>
      <c r="C32" t="s">
        <v>353</v>
      </c>
      <c r="D32" t="s">
        <v>17</v>
      </c>
      <c r="E32">
        <v>34</v>
      </c>
      <c r="F32" t="s">
        <v>1307</v>
      </c>
      <c r="G32" t="s">
        <v>86</v>
      </c>
      <c r="H32" t="s">
        <v>1209</v>
      </c>
      <c r="I32" t="s">
        <v>1195</v>
      </c>
    </row>
    <row r="33" spans="1:9">
      <c r="A33" t="s">
        <v>1203</v>
      </c>
      <c r="B33" t="s">
        <v>351</v>
      </c>
      <c r="C33" t="s">
        <v>353</v>
      </c>
      <c r="D33" t="s">
        <v>18</v>
      </c>
      <c r="E33">
        <v>12</v>
      </c>
      <c r="F33" t="s">
        <v>1307</v>
      </c>
      <c r="G33" t="s">
        <v>86</v>
      </c>
      <c r="H33" t="s">
        <v>1209</v>
      </c>
      <c r="I33" t="s">
        <v>1195</v>
      </c>
    </row>
    <row r="34" spans="1:9">
      <c r="A34" t="s">
        <v>1203</v>
      </c>
      <c r="B34" t="s">
        <v>351</v>
      </c>
      <c r="C34" t="s">
        <v>353</v>
      </c>
      <c r="D34" t="s">
        <v>19</v>
      </c>
      <c r="F34" t="s">
        <v>1307</v>
      </c>
      <c r="G34" t="s">
        <v>86</v>
      </c>
      <c r="H34" t="s">
        <v>1209</v>
      </c>
      <c r="I34" t="s">
        <v>1195</v>
      </c>
    </row>
    <row r="35" spans="1:9">
      <c r="A35" t="s">
        <v>1203</v>
      </c>
      <c r="B35" t="s">
        <v>351</v>
      </c>
      <c r="C35" t="s">
        <v>353</v>
      </c>
      <c r="D35" t="s">
        <v>20</v>
      </c>
      <c r="E35">
        <v>2</v>
      </c>
      <c r="F35" t="s">
        <v>1307</v>
      </c>
      <c r="G35" t="s">
        <v>86</v>
      </c>
      <c r="H35" t="s">
        <v>1209</v>
      </c>
      <c r="I35" t="s">
        <v>1195</v>
      </c>
    </row>
    <row r="36" spans="1:9">
      <c r="A36" t="s">
        <v>1203</v>
      </c>
      <c r="B36" t="s">
        <v>351</v>
      </c>
      <c r="C36" t="s">
        <v>353</v>
      </c>
      <c r="D36" t="s">
        <v>22</v>
      </c>
      <c r="F36" t="s">
        <v>1307</v>
      </c>
      <c r="G36" t="s">
        <v>86</v>
      </c>
      <c r="H36" t="s">
        <v>1209</v>
      </c>
      <c r="I36" t="s">
        <v>1195</v>
      </c>
    </row>
    <row r="37" spans="1:9">
      <c r="A37" t="s">
        <v>1203</v>
      </c>
      <c r="B37" t="s">
        <v>351</v>
      </c>
      <c r="C37" t="s">
        <v>353</v>
      </c>
      <c r="D37" t="s">
        <v>23</v>
      </c>
      <c r="E37">
        <v>48</v>
      </c>
      <c r="F37" t="s">
        <v>1307</v>
      </c>
      <c r="G37" t="s">
        <v>86</v>
      </c>
      <c r="H37" t="s">
        <v>1209</v>
      </c>
      <c r="I37" t="s">
        <v>1195</v>
      </c>
    </row>
    <row r="38" spans="1:9">
      <c r="A38" t="s">
        <v>1203</v>
      </c>
      <c r="B38" t="s">
        <v>491</v>
      </c>
      <c r="C38" t="s">
        <v>492</v>
      </c>
      <c r="D38" t="s">
        <v>17</v>
      </c>
      <c r="E38">
        <v>16</v>
      </c>
      <c r="F38" t="s">
        <v>1307</v>
      </c>
      <c r="G38" t="s">
        <v>86</v>
      </c>
      <c r="H38" t="s">
        <v>1210</v>
      </c>
      <c r="I38" t="s">
        <v>1195</v>
      </c>
    </row>
    <row r="39" spans="1:9">
      <c r="A39" t="s">
        <v>1203</v>
      </c>
      <c r="B39" t="s">
        <v>491</v>
      </c>
      <c r="C39" t="s">
        <v>492</v>
      </c>
      <c r="D39" t="s">
        <v>18</v>
      </c>
      <c r="E39">
        <v>5</v>
      </c>
      <c r="F39" t="s">
        <v>1307</v>
      </c>
      <c r="G39" t="s">
        <v>86</v>
      </c>
      <c r="H39" t="s">
        <v>1210</v>
      </c>
      <c r="I39" t="s">
        <v>1195</v>
      </c>
    </row>
    <row r="40" spans="1:9">
      <c r="A40" t="s">
        <v>1203</v>
      </c>
      <c r="B40" t="s">
        <v>491</v>
      </c>
      <c r="C40" t="s">
        <v>492</v>
      </c>
      <c r="D40" t="s">
        <v>19</v>
      </c>
      <c r="E40">
        <v>6</v>
      </c>
      <c r="F40" t="s">
        <v>1307</v>
      </c>
      <c r="G40" t="s">
        <v>86</v>
      </c>
      <c r="H40" t="s">
        <v>1210</v>
      </c>
      <c r="I40" t="s">
        <v>1195</v>
      </c>
    </row>
    <row r="41" spans="1:9">
      <c r="A41" t="s">
        <v>1203</v>
      </c>
      <c r="B41" t="s">
        <v>491</v>
      </c>
      <c r="C41" t="s">
        <v>492</v>
      </c>
      <c r="D41" t="s">
        <v>20</v>
      </c>
      <c r="E41">
        <v>7</v>
      </c>
      <c r="F41" t="s">
        <v>1307</v>
      </c>
      <c r="G41" t="s">
        <v>86</v>
      </c>
      <c r="H41" t="s">
        <v>1210</v>
      </c>
      <c r="I41" t="s">
        <v>1195</v>
      </c>
    </row>
    <row r="42" spans="1:9">
      <c r="A42" t="s">
        <v>1203</v>
      </c>
      <c r="B42" t="s">
        <v>491</v>
      </c>
      <c r="C42" t="s">
        <v>492</v>
      </c>
      <c r="D42" t="s">
        <v>499</v>
      </c>
      <c r="E42">
        <v>6</v>
      </c>
      <c r="F42" t="s">
        <v>1307</v>
      </c>
      <c r="G42" t="s">
        <v>86</v>
      </c>
      <c r="H42" t="s">
        <v>1210</v>
      </c>
      <c r="I42" t="s">
        <v>1195</v>
      </c>
    </row>
    <row r="43" spans="1:9">
      <c r="A43" t="s">
        <v>1203</v>
      </c>
      <c r="B43" t="s">
        <v>491</v>
      </c>
      <c r="C43" t="s">
        <v>492</v>
      </c>
      <c r="D43" t="s">
        <v>23</v>
      </c>
      <c r="E43">
        <v>40</v>
      </c>
      <c r="F43" t="s">
        <v>1307</v>
      </c>
      <c r="G43" t="s">
        <v>86</v>
      </c>
      <c r="H43" t="s">
        <v>1210</v>
      </c>
      <c r="I43" t="s">
        <v>1195</v>
      </c>
    </row>
    <row r="44" spans="1:9">
      <c r="A44" t="s">
        <v>1203</v>
      </c>
      <c r="B44" t="s">
        <v>382</v>
      </c>
      <c r="C44" t="s">
        <v>384</v>
      </c>
      <c r="D44" t="s">
        <v>17</v>
      </c>
      <c r="E44">
        <v>22</v>
      </c>
      <c r="F44" t="s">
        <v>1307</v>
      </c>
      <c r="G44" t="s">
        <v>86</v>
      </c>
      <c r="H44" t="s">
        <v>1211</v>
      </c>
      <c r="I44" t="s">
        <v>1195</v>
      </c>
    </row>
    <row r="45" spans="1:9">
      <c r="A45" t="s">
        <v>1203</v>
      </c>
      <c r="B45" t="s">
        <v>382</v>
      </c>
      <c r="C45" t="s">
        <v>384</v>
      </c>
      <c r="D45" t="s">
        <v>18</v>
      </c>
      <c r="E45">
        <v>12</v>
      </c>
      <c r="F45" t="s">
        <v>1307</v>
      </c>
      <c r="G45" t="s">
        <v>86</v>
      </c>
      <c r="H45" t="s">
        <v>1211</v>
      </c>
      <c r="I45" t="s">
        <v>1195</v>
      </c>
    </row>
    <row r="46" spans="1:9">
      <c r="A46" t="s">
        <v>1203</v>
      </c>
      <c r="B46" t="s">
        <v>382</v>
      </c>
      <c r="C46" t="s">
        <v>384</v>
      </c>
      <c r="D46" t="s">
        <v>19</v>
      </c>
      <c r="E46">
        <v>0</v>
      </c>
      <c r="F46" t="s">
        <v>1307</v>
      </c>
      <c r="G46" t="s">
        <v>86</v>
      </c>
      <c r="H46" t="s">
        <v>1211</v>
      </c>
      <c r="I46" t="s">
        <v>1195</v>
      </c>
    </row>
    <row r="47" spans="1:9">
      <c r="A47" t="s">
        <v>1203</v>
      </c>
      <c r="B47" t="s">
        <v>382</v>
      </c>
      <c r="C47" t="s">
        <v>384</v>
      </c>
      <c r="D47" t="s">
        <v>20</v>
      </c>
      <c r="E47">
        <v>0</v>
      </c>
      <c r="F47" t="s">
        <v>1307</v>
      </c>
      <c r="G47" t="s">
        <v>86</v>
      </c>
      <c r="H47" t="s">
        <v>1211</v>
      </c>
      <c r="I47" t="s">
        <v>1195</v>
      </c>
    </row>
    <row r="48" spans="1:9">
      <c r="A48" t="s">
        <v>1203</v>
      </c>
      <c r="B48" t="s">
        <v>382</v>
      </c>
      <c r="C48" t="s">
        <v>384</v>
      </c>
      <c r="D48" t="s">
        <v>22</v>
      </c>
      <c r="E48">
        <v>6</v>
      </c>
      <c r="F48" t="s">
        <v>1307</v>
      </c>
      <c r="G48" t="s">
        <v>86</v>
      </c>
      <c r="H48" t="s">
        <v>1211</v>
      </c>
      <c r="I48" t="s">
        <v>1195</v>
      </c>
    </row>
    <row r="49" spans="1:9">
      <c r="A49" t="s">
        <v>1203</v>
      </c>
      <c r="B49" t="s">
        <v>382</v>
      </c>
      <c r="C49" t="s">
        <v>384</v>
      </c>
      <c r="D49" t="s">
        <v>23</v>
      </c>
      <c r="E49">
        <v>40</v>
      </c>
      <c r="F49" t="s">
        <v>1307</v>
      </c>
      <c r="G49" t="s">
        <v>86</v>
      </c>
      <c r="H49" t="s">
        <v>1211</v>
      </c>
      <c r="I49" t="s">
        <v>1195</v>
      </c>
    </row>
    <row r="50" spans="1:9">
      <c r="A50" t="s">
        <v>1203</v>
      </c>
      <c r="B50" t="s">
        <v>410</v>
      </c>
      <c r="C50" t="s">
        <v>412</v>
      </c>
      <c r="D50" t="s">
        <v>17</v>
      </c>
      <c r="E50">
        <v>22</v>
      </c>
      <c r="F50" t="s">
        <v>1307</v>
      </c>
      <c r="G50" t="s">
        <v>86</v>
      </c>
      <c r="H50" t="s">
        <v>1212</v>
      </c>
      <c r="I50" t="s">
        <v>1195</v>
      </c>
    </row>
    <row r="51" spans="1:9">
      <c r="A51" t="s">
        <v>1203</v>
      </c>
      <c r="B51" t="s">
        <v>410</v>
      </c>
      <c r="C51" t="s">
        <v>412</v>
      </c>
      <c r="D51" t="s">
        <v>18</v>
      </c>
      <c r="E51">
        <v>14</v>
      </c>
      <c r="F51" t="s">
        <v>1307</v>
      </c>
      <c r="G51" t="s">
        <v>86</v>
      </c>
      <c r="H51" t="s">
        <v>1212</v>
      </c>
      <c r="I51" t="s">
        <v>1195</v>
      </c>
    </row>
    <row r="52" spans="1:9">
      <c r="A52" t="s">
        <v>1203</v>
      </c>
      <c r="B52" t="s">
        <v>410</v>
      </c>
      <c r="C52" t="s">
        <v>412</v>
      </c>
      <c r="D52" t="s">
        <v>19</v>
      </c>
      <c r="E52">
        <v>2</v>
      </c>
      <c r="F52" t="s">
        <v>1307</v>
      </c>
      <c r="G52" t="s">
        <v>86</v>
      </c>
      <c r="H52" t="s">
        <v>1212</v>
      </c>
      <c r="I52" t="s">
        <v>1195</v>
      </c>
    </row>
    <row r="53" spans="1:9">
      <c r="A53" t="s">
        <v>1203</v>
      </c>
      <c r="B53" t="s">
        <v>410</v>
      </c>
      <c r="C53" t="s">
        <v>412</v>
      </c>
      <c r="D53" t="s">
        <v>20</v>
      </c>
      <c r="E53">
        <v>0</v>
      </c>
      <c r="F53" t="s">
        <v>1307</v>
      </c>
      <c r="G53" t="s">
        <v>86</v>
      </c>
      <c r="H53" t="s">
        <v>1212</v>
      </c>
      <c r="I53" t="s">
        <v>1195</v>
      </c>
    </row>
    <row r="54" spans="1:9">
      <c r="A54" t="s">
        <v>1203</v>
      </c>
      <c r="B54" t="s">
        <v>410</v>
      </c>
      <c r="C54" t="s">
        <v>412</v>
      </c>
      <c r="D54" t="s">
        <v>22</v>
      </c>
      <c r="E54">
        <v>11</v>
      </c>
      <c r="F54" t="s">
        <v>1307</v>
      </c>
      <c r="G54" t="s">
        <v>86</v>
      </c>
      <c r="H54" t="s">
        <v>1212</v>
      </c>
      <c r="I54" t="s">
        <v>1195</v>
      </c>
    </row>
    <row r="55" spans="1:9">
      <c r="A55" t="s">
        <v>1203</v>
      </c>
      <c r="B55" t="s">
        <v>410</v>
      </c>
      <c r="C55" t="s">
        <v>412</v>
      </c>
      <c r="D55" t="s">
        <v>23</v>
      </c>
      <c r="E55">
        <v>49</v>
      </c>
      <c r="F55" t="s">
        <v>1307</v>
      </c>
      <c r="G55" t="s">
        <v>86</v>
      </c>
      <c r="H55" t="s">
        <v>1212</v>
      </c>
      <c r="I55" t="s">
        <v>1195</v>
      </c>
    </row>
    <row r="56" spans="1:9">
      <c r="A56" t="s">
        <v>1203</v>
      </c>
      <c r="B56" t="s">
        <v>456</v>
      </c>
      <c r="C56" t="s">
        <v>1175</v>
      </c>
      <c r="D56" t="s">
        <v>17</v>
      </c>
      <c r="E56">
        <v>24</v>
      </c>
      <c r="F56" t="s">
        <v>1307</v>
      </c>
      <c r="G56" t="s">
        <v>86</v>
      </c>
      <c r="H56" t="s">
        <v>1213</v>
      </c>
      <c r="I56" t="s">
        <v>1195</v>
      </c>
    </row>
    <row r="57" spans="1:9">
      <c r="A57" t="s">
        <v>1203</v>
      </c>
      <c r="B57" t="s">
        <v>456</v>
      </c>
      <c r="C57" t="s">
        <v>1175</v>
      </c>
      <c r="D57" t="s">
        <v>18</v>
      </c>
      <c r="E57">
        <v>5</v>
      </c>
      <c r="F57" t="s">
        <v>1307</v>
      </c>
      <c r="G57" t="s">
        <v>86</v>
      </c>
      <c r="H57" t="s">
        <v>1213</v>
      </c>
      <c r="I57" t="s">
        <v>1195</v>
      </c>
    </row>
    <row r="58" spans="1:9">
      <c r="A58" t="s">
        <v>1203</v>
      </c>
      <c r="B58" t="s">
        <v>456</v>
      </c>
      <c r="C58" t="s">
        <v>1175</v>
      </c>
      <c r="D58" t="s">
        <v>19</v>
      </c>
      <c r="E58">
        <v>5</v>
      </c>
      <c r="F58" t="s">
        <v>1307</v>
      </c>
      <c r="G58" t="s">
        <v>86</v>
      </c>
      <c r="H58" t="s">
        <v>1213</v>
      </c>
      <c r="I58" t="s">
        <v>1195</v>
      </c>
    </row>
    <row r="59" spans="1:9">
      <c r="A59" t="s">
        <v>1203</v>
      </c>
      <c r="B59" t="s">
        <v>456</v>
      </c>
      <c r="C59" t="s">
        <v>1175</v>
      </c>
      <c r="D59" t="s">
        <v>20</v>
      </c>
      <c r="F59" t="s">
        <v>1307</v>
      </c>
      <c r="G59" t="s">
        <v>86</v>
      </c>
      <c r="H59" t="s">
        <v>1213</v>
      </c>
      <c r="I59" t="s">
        <v>1195</v>
      </c>
    </row>
    <row r="60" spans="1:9">
      <c r="A60" t="s">
        <v>1203</v>
      </c>
      <c r="B60" t="s">
        <v>456</v>
      </c>
      <c r="C60" t="s">
        <v>1175</v>
      </c>
      <c r="D60" t="s">
        <v>22</v>
      </c>
      <c r="E60">
        <v>1</v>
      </c>
      <c r="F60" t="s">
        <v>1307</v>
      </c>
      <c r="G60" t="s">
        <v>86</v>
      </c>
      <c r="H60" t="s">
        <v>1213</v>
      </c>
      <c r="I60" t="s">
        <v>1195</v>
      </c>
    </row>
    <row r="61" spans="1:9">
      <c r="A61" t="s">
        <v>1203</v>
      </c>
      <c r="B61" t="s">
        <v>456</v>
      </c>
      <c r="C61" t="s">
        <v>1175</v>
      </c>
      <c r="D61" t="s">
        <v>23</v>
      </c>
      <c r="E61">
        <v>35</v>
      </c>
      <c r="F61" t="s">
        <v>1307</v>
      </c>
      <c r="G61" t="s">
        <v>86</v>
      </c>
      <c r="H61" t="s">
        <v>1213</v>
      </c>
      <c r="I61" t="s">
        <v>1195</v>
      </c>
    </row>
    <row r="62" spans="1:9">
      <c r="A62" t="s">
        <v>1203</v>
      </c>
      <c r="B62" t="s">
        <v>545</v>
      </c>
      <c r="C62" t="s">
        <v>1182</v>
      </c>
      <c r="D62" t="s">
        <v>17</v>
      </c>
      <c r="E62">
        <v>20</v>
      </c>
      <c r="F62" t="s">
        <v>1307</v>
      </c>
      <c r="G62" t="s">
        <v>86</v>
      </c>
      <c r="H62" t="s">
        <v>1218</v>
      </c>
      <c r="I62" t="s">
        <v>1195</v>
      </c>
    </row>
    <row r="63" spans="1:9">
      <c r="A63" t="s">
        <v>1203</v>
      </c>
      <c r="B63" t="s">
        <v>545</v>
      </c>
      <c r="C63" t="s">
        <v>1182</v>
      </c>
      <c r="D63" t="s">
        <v>18</v>
      </c>
      <c r="E63">
        <v>11</v>
      </c>
      <c r="F63" t="s">
        <v>1307</v>
      </c>
      <c r="G63" t="s">
        <v>86</v>
      </c>
      <c r="H63" t="s">
        <v>1218</v>
      </c>
      <c r="I63" t="s">
        <v>1195</v>
      </c>
    </row>
    <row r="64" spans="1:9">
      <c r="A64" t="s">
        <v>1203</v>
      </c>
      <c r="B64" t="s">
        <v>545</v>
      </c>
      <c r="C64" t="s">
        <v>1182</v>
      </c>
      <c r="D64" t="s">
        <v>19</v>
      </c>
      <c r="E64">
        <v>11</v>
      </c>
      <c r="F64" t="s">
        <v>1307</v>
      </c>
      <c r="G64" t="s">
        <v>86</v>
      </c>
      <c r="H64" t="s">
        <v>1218</v>
      </c>
      <c r="I64" t="s">
        <v>1195</v>
      </c>
    </row>
    <row r="65" spans="1:9">
      <c r="A65" t="s">
        <v>1203</v>
      </c>
      <c r="B65" t="s">
        <v>545</v>
      </c>
      <c r="C65" t="s">
        <v>1182</v>
      </c>
      <c r="D65" t="s">
        <v>20</v>
      </c>
      <c r="E65">
        <v>0</v>
      </c>
      <c r="F65" t="s">
        <v>1307</v>
      </c>
      <c r="G65" t="s">
        <v>86</v>
      </c>
      <c r="H65" t="s">
        <v>1218</v>
      </c>
      <c r="I65" t="s">
        <v>1195</v>
      </c>
    </row>
    <row r="66" spans="1:9">
      <c r="A66" t="s">
        <v>1203</v>
      </c>
      <c r="B66" t="s">
        <v>545</v>
      </c>
      <c r="C66" t="s">
        <v>1182</v>
      </c>
      <c r="D66" t="s">
        <v>22</v>
      </c>
      <c r="E66">
        <v>0</v>
      </c>
      <c r="F66" t="s">
        <v>1307</v>
      </c>
      <c r="G66" t="s">
        <v>86</v>
      </c>
      <c r="H66" t="s">
        <v>1218</v>
      </c>
      <c r="I66" t="s">
        <v>1195</v>
      </c>
    </row>
    <row r="67" spans="1:9">
      <c r="A67" t="s">
        <v>1203</v>
      </c>
      <c r="B67" t="s">
        <v>545</v>
      </c>
      <c r="C67" t="s">
        <v>1182</v>
      </c>
      <c r="D67" t="s">
        <v>23</v>
      </c>
      <c r="E67">
        <v>42</v>
      </c>
      <c r="F67" t="s">
        <v>1307</v>
      </c>
      <c r="G67" t="s">
        <v>86</v>
      </c>
      <c r="H67" t="s">
        <v>1218</v>
      </c>
      <c r="I67" t="s">
        <v>1195</v>
      </c>
    </row>
    <row r="68" spans="1:9">
      <c r="A68" t="s">
        <v>1203</v>
      </c>
      <c r="B68" t="s">
        <v>592</v>
      </c>
      <c r="C68" t="s">
        <v>594</v>
      </c>
      <c r="D68" t="s">
        <v>17</v>
      </c>
      <c r="E68">
        <v>22</v>
      </c>
      <c r="F68" t="s">
        <v>1307</v>
      </c>
      <c r="G68" t="s">
        <v>86</v>
      </c>
      <c r="H68" t="s">
        <v>1220</v>
      </c>
      <c r="I68" t="s">
        <v>1195</v>
      </c>
    </row>
    <row r="69" spans="1:9">
      <c r="A69" t="s">
        <v>1203</v>
      </c>
      <c r="B69" t="s">
        <v>592</v>
      </c>
      <c r="C69" t="s">
        <v>594</v>
      </c>
      <c r="D69" t="s">
        <v>18</v>
      </c>
      <c r="E69">
        <v>18</v>
      </c>
      <c r="F69" t="s">
        <v>1307</v>
      </c>
      <c r="G69" t="s">
        <v>86</v>
      </c>
      <c r="H69" t="s">
        <v>1220</v>
      </c>
      <c r="I69" t="s">
        <v>1195</v>
      </c>
    </row>
    <row r="70" spans="1:9">
      <c r="A70" t="s">
        <v>1203</v>
      </c>
      <c r="B70" t="s">
        <v>592</v>
      </c>
      <c r="C70" t="s">
        <v>594</v>
      </c>
      <c r="D70" t="s">
        <v>19</v>
      </c>
      <c r="E70">
        <v>4</v>
      </c>
      <c r="F70" t="s">
        <v>1307</v>
      </c>
      <c r="G70" t="s">
        <v>86</v>
      </c>
      <c r="H70" t="s">
        <v>1220</v>
      </c>
      <c r="I70" t="s">
        <v>1195</v>
      </c>
    </row>
    <row r="71" spans="1:9">
      <c r="A71" t="s">
        <v>1203</v>
      </c>
      <c r="B71" t="s">
        <v>592</v>
      </c>
      <c r="C71" t="s">
        <v>594</v>
      </c>
      <c r="D71" t="s">
        <v>20</v>
      </c>
      <c r="F71" t="s">
        <v>1307</v>
      </c>
      <c r="G71" t="s">
        <v>86</v>
      </c>
      <c r="H71" t="s">
        <v>1220</v>
      </c>
      <c r="I71" t="s">
        <v>1195</v>
      </c>
    </row>
    <row r="72" spans="1:9">
      <c r="A72" t="s">
        <v>1203</v>
      </c>
      <c r="B72" t="s">
        <v>592</v>
      </c>
      <c r="C72" t="s">
        <v>594</v>
      </c>
      <c r="D72" t="s">
        <v>22</v>
      </c>
      <c r="F72" t="s">
        <v>1307</v>
      </c>
      <c r="G72" t="s">
        <v>86</v>
      </c>
      <c r="H72" t="s">
        <v>1220</v>
      </c>
      <c r="I72" t="s">
        <v>1195</v>
      </c>
    </row>
    <row r="73" spans="1:9">
      <c r="A73" t="s">
        <v>1203</v>
      </c>
      <c r="B73" t="s">
        <v>592</v>
      </c>
      <c r="C73" t="s">
        <v>594</v>
      </c>
      <c r="D73" t="s">
        <v>23</v>
      </c>
      <c r="E73">
        <v>44</v>
      </c>
      <c r="F73" t="s">
        <v>1307</v>
      </c>
      <c r="G73" t="s">
        <v>86</v>
      </c>
      <c r="H73" t="s">
        <v>1220</v>
      </c>
      <c r="I73" t="s">
        <v>1195</v>
      </c>
    </row>
    <row r="74" spans="1:9">
      <c r="A74" t="s">
        <v>1193</v>
      </c>
      <c r="B74" t="s">
        <v>1176</v>
      </c>
      <c r="C74" t="s">
        <v>1177</v>
      </c>
      <c r="D74" t="s">
        <v>17</v>
      </c>
      <c r="E74">
        <v>9</v>
      </c>
      <c r="F74" t="s">
        <v>1307</v>
      </c>
      <c r="G74" t="s">
        <v>86</v>
      </c>
      <c r="H74" t="s">
        <v>1194</v>
      </c>
      <c r="I74" t="s">
        <v>1195</v>
      </c>
    </row>
    <row r="75" spans="1:9">
      <c r="A75" t="s">
        <v>1193</v>
      </c>
      <c r="B75" t="s">
        <v>1176</v>
      </c>
      <c r="C75" t="s">
        <v>1177</v>
      </c>
      <c r="D75" t="s">
        <v>18</v>
      </c>
      <c r="E75">
        <v>3</v>
      </c>
      <c r="F75" t="s">
        <v>1307</v>
      </c>
      <c r="G75" t="s">
        <v>86</v>
      </c>
      <c r="H75" t="s">
        <v>1194</v>
      </c>
      <c r="I75" t="s">
        <v>1195</v>
      </c>
    </row>
    <row r="76" spans="1:9">
      <c r="A76" t="s">
        <v>1193</v>
      </c>
      <c r="B76" t="s">
        <v>1176</v>
      </c>
      <c r="C76" t="s">
        <v>1177</v>
      </c>
      <c r="D76" t="s">
        <v>19</v>
      </c>
      <c r="E76">
        <v>16</v>
      </c>
      <c r="F76" t="s">
        <v>1307</v>
      </c>
      <c r="G76" t="s">
        <v>86</v>
      </c>
      <c r="H76" t="s">
        <v>1194</v>
      </c>
      <c r="I76" t="s">
        <v>1195</v>
      </c>
    </row>
    <row r="77" spans="1:9">
      <c r="A77" t="s">
        <v>1193</v>
      </c>
      <c r="B77" t="s">
        <v>1176</v>
      </c>
      <c r="C77" t="s">
        <v>1177</v>
      </c>
      <c r="D77" t="s">
        <v>20</v>
      </c>
      <c r="E77">
        <v>6</v>
      </c>
      <c r="F77" t="s">
        <v>1307</v>
      </c>
      <c r="G77" t="s">
        <v>86</v>
      </c>
      <c r="H77" t="s">
        <v>1194</v>
      </c>
      <c r="I77" t="s">
        <v>1195</v>
      </c>
    </row>
    <row r="78" spans="1:9">
      <c r="A78" t="s">
        <v>1193</v>
      </c>
      <c r="B78" t="s">
        <v>1176</v>
      </c>
      <c r="C78" t="s">
        <v>1177</v>
      </c>
      <c r="D78" t="s">
        <v>22</v>
      </c>
      <c r="E78">
        <v>6</v>
      </c>
      <c r="F78" t="s">
        <v>1307</v>
      </c>
      <c r="G78" t="s">
        <v>86</v>
      </c>
      <c r="H78" t="s">
        <v>1194</v>
      </c>
      <c r="I78" t="s">
        <v>1195</v>
      </c>
    </row>
    <row r="79" spans="1:9">
      <c r="A79" t="s">
        <v>1193</v>
      </c>
      <c r="B79" t="s">
        <v>1176</v>
      </c>
      <c r="C79" t="s">
        <v>1177</v>
      </c>
      <c r="D79" t="s">
        <v>23</v>
      </c>
      <c r="E79">
        <v>40</v>
      </c>
      <c r="F79" t="s">
        <v>1307</v>
      </c>
      <c r="G79" t="s">
        <v>86</v>
      </c>
      <c r="H79" t="s">
        <v>1194</v>
      </c>
      <c r="I79" t="s">
        <v>1195</v>
      </c>
    </row>
    <row r="80" spans="1:9">
      <c r="A80" t="s">
        <v>1203</v>
      </c>
      <c r="B80" t="s">
        <v>633</v>
      </c>
      <c r="C80" t="s">
        <v>634</v>
      </c>
      <c r="D80" t="s">
        <v>17</v>
      </c>
      <c r="E80">
        <v>20</v>
      </c>
      <c r="F80" t="s">
        <v>1307</v>
      </c>
      <c r="G80" t="s">
        <v>86</v>
      </c>
      <c r="H80" t="s">
        <v>1219</v>
      </c>
      <c r="I80" t="s">
        <v>1195</v>
      </c>
    </row>
    <row r="81" spans="1:9">
      <c r="A81" t="s">
        <v>1203</v>
      </c>
      <c r="B81" t="s">
        <v>633</v>
      </c>
      <c r="C81" t="s">
        <v>634</v>
      </c>
      <c r="D81" t="s">
        <v>18</v>
      </c>
      <c r="E81">
        <v>20</v>
      </c>
      <c r="F81" t="s">
        <v>1307</v>
      </c>
      <c r="G81" t="s">
        <v>86</v>
      </c>
      <c r="H81" t="s">
        <v>1219</v>
      </c>
      <c r="I81" t="s">
        <v>1195</v>
      </c>
    </row>
    <row r="82" spans="1:9">
      <c r="A82" t="s">
        <v>1203</v>
      </c>
      <c r="B82" t="s">
        <v>633</v>
      </c>
      <c r="C82" t="s">
        <v>634</v>
      </c>
      <c r="D82" t="s">
        <v>19</v>
      </c>
      <c r="E82">
        <v>4</v>
      </c>
      <c r="F82" t="s">
        <v>1307</v>
      </c>
      <c r="G82" t="s">
        <v>86</v>
      </c>
      <c r="H82" t="s">
        <v>1219</v>
      </c>
      <c r="I82" t="s">
        <v>1195</v>
      </c>
    </row>
    <row r="83" spans="1:9">
      <c r="A83" t="s">
        <v>1203</v>
      </c>
      <c r="B83" t="s">
        <v>633</v>
      </c>
      <c r="C83" t="s">
        <v>634</v>
      </c>
      <c r="D83" t="s">
        <v>20</v>
      </c>
      <c r="F83" t="s">
        <v>1307</v>
      </c>
      <c r="G83" t="s">
        <v>86</v>
      </c>
      <c r="H83" t="s">
        <v>1219</v>
      </c>
      <c r="I83" t="s">
        <v>1195</v>
      </c>
    </row>
    <row r="84" spans="1:9">
      <c r="A84" t="s">
        <v>1203</v>
      </c>
      <c r="B84" t="s">
        <v>633</v>
      </c>
      <c r="C84" t="s">
        <v>634</v>
      </c>
      <c r="D84" t="s">
        <v>22</v>
      </c>
      <c r="E84">
        <v>11</v>
      </c>
      <c r="F84" t="s">
        <v>1307</v>
      </c>
      <c r="G84" t="s">
        <v>86</v>
      </c>
      <c r="H84" t="s">
        <v>1219</v>
      </c>
      <c r="I84" t="s">
        <v>1195</v>
      </c>
    </row>
    <row r="85" spans="1:9">
      <c r="A85" t="s">
        <v>1203</v>
      </c>
      <c r="B85" t="s">
        <v>633</v>
      </c>
      <c r="C85" t="s">
        <v>634</v>
      </c>
      <c r="D85" t="s">
        <v>23</v>
      </c>
      <c r="E85">
        <v>55</v>
      </c>
      <c r="F85" t="s">
        <v>1307</v>
      </c>
      <c r="G85" t="s">
        <v>86</v>
      </c>
      <c r="H85" t="s">
        <v>1219</v>
      </c>
      <c r="I85" t="s">
        <v>1195</v>
      </c>
    </row>
    <row r="86" spans="1:9">
      <c r="A86" t="s">
        <v>1203</v>
      </c>
      <c r="B86" t="s">
        <v>692</v>
      </c>
      <c r="C86" t="s">
        <v>694</v>
      </c>
      <c r="D86" t="s">
        <v>17</v>
      </c>
      <c r="E86">
        <v>20</v>
      </c>
      <c r="F86" t="s">
        <v>1307</v>
      </c>
      <c r="G86" t="s">
        <v>86</v>
      </c>
      <c r="H86" t="s">
        <v>1221</v>
      </c>
      <c r="I86" t="s">
        <v>1195</v>
      </c>
    </row>
    <row r="87" spans="1:9">
      <c r="A87" t="s">
        <v>1203</v>
      </c>
      <c r="B87" t="s">
        <v>692</v>
      </c>
      <c r="C87" t="s">
        <v>694</v>
      </c>
      <c r="D87" t="s">
        <v>18</v>
      </c>
      <c r="E87">
        <v>4</v>
      </c>
      <c r="F87" t="s">
        <v>1307</v>
      </c>
      <c r="G87" t="s">
        <v>86</v>
      </c>
      <c r="H87" t="s">
        <v>1221</v>
      </c>
      <c r="I87" t="s">
        <v>1195</v>
      </c>
    </row>
    <row r="88" spans="1:9">
      <c r="A88" t="s">
        <v>1203</v>
      </c>
      <c r="B88" t="s">
        <v>692</v>
      </c>
      <c r="C88" t="s">
        <v>694</v>
      </c>
      <c r="D88" t="s">
        <v>19</v>
      </c>
      <c r="E88">
        <v>16</v>
      </c>
      <c r="F88" t="s">
        <v>1307</v>
      </c>
      <c r="G88" t="s">
        <v>86</v>
      </c>
      <c r="H88" t="s">
        <v>1221</v>
      </c>
      <c r="I88" t="s">
        <v>1195</v>
      </c>
    </row>
    <row r="89" spans="1:9">
      <c r="A89" t="s">
        <v>1203</v>
      </c>
      <c r="B89" t="s">
        <v>692</v>
      </c>
      <c r="C89" t="s">
        <v>694</v>
      </c>
      <c r="D89" t="s">
        <v>20</v>
      </c>
      <c r="F89" t="s">
        <v>1307</v>
      </c>
      <c r="G89" t="s">
        <v>86</v>
      </c>
      <c r="H89" t="s">
        <v>1221</v>
      </c>
      <c r="I89" t="s">
        <v>1195</v>
      </c>
    </row>
    <row r="90" spans="1:9">
      <c r="A90" t="s">
        <v>1203</v>
      </c>
      <c r="B90" t="s">
        <v>692</v>
      </c>
      <c r="C90" t="s">
        <v>694</v>
      </c>
      <c r="D90" t="s">
        <v>22</v>
      </c>
      <c r="F90" t="s">
        <v>1307</v>
      </c>
      <c r="G90" t="s">
        <v>86</v>
      </c>
      <c r="H90" t="s">
        <v>1221</v>
      </c>
      <c r="I90" t="s">
        <v>1195</v>
      </c>
    </row>
    <row r="91" spans="1:9">
      <c r="A91" t="s">
        <v>1203</v>
      </c>
      <c r="B91" t="s">
        <v>692</v>
      </c>
      <c r="C91" t="s">
        <v>694</v>
      </c>
      <c r="D91" t="s">
        <v>23</v>
      </c>
      <c r="E91">
        <v>40</v>
      </c>
      <c r="F91" t="s">
        <v>1307</v>
      </c>
      <c r="G91" t="s">
        <v>86</v>
      </c>
      <c r="H91" t="s">
        <v>1221</v>
      </c>
      <c r="I91" t="s">
        <v>1195</v>
      </c>
    </row>
    <row r="92" spans="1:9">
      <c r="A92" t="s">
        <v>1203</v>
      </c>
      <c r="B92" t="s">
        <v>729</v>
      </c>
      <c r="C92" t="s">
        <v>1184</v>
      </c>
      <c r="D92" t="s">
        <v>17</v>
      </c>
      <c r="E92">
        <v>22</v>
      </c>
      <c r="F92" t="s">
        <v>1307</v>
      </c>
      <c r="G92" t="s">
        <v>86</v>
      </c>
      <c r="H92" t="s">
        <v>1222</v>
      </c>
      <c r="I92" t="s">
        <v>1195</v>
      </c>
    </row>
    <row r="93" spans="1:9">
      <c r="A93" t="s">
        <v>1203</v>
      </c>
      <c r="B93" t="s">
        <v>729</v>
      </c>
      <c r="C93" t="s">
        <v>1184</v>
      </c>
      <c r="D93" t="s">
        <v>18</v>
      </c>
      <c r="E93">
        <v>11</v>
      </c>
      <c r="F93" t="s">
        <v>1307</v>
      </c>
      <c r="G93" t="s">
        <v>86</v>
      </c>
      <c r="H93" t="s">
        <v>1222</v>
      </c>
      <c r="I93" t="s">
        <v>1195</v>
      </c>
    </row>
    <row r="94" spans="1:9">
      <c r="A94" t="s">
        <v>1203</v>
      </c>
      <c r="B94" t="s">
        <v>729</v>
      </c>
      <c r="C94" t="s">
        <v>1184</v>
      </c>
      <c r="D94" t="s">
        <v>19</v>
      </c>
      <c r="E94">
        <v>6</v>
      </c>
      <c r="F94" t="s">
        <v>1307</v>
      </c>
      <c r="G94" t="s">
        <v>86</v>
      </c>
      <c r="H94" t="s">
        <v>1222</v>
      </c>
      <c r="I94" t="s">
        <v>1195</v>
      </c>
    </row>
    <row r="95" spans="1:9">
      <c r="A95" t="s">
        <v>1203</v>
      </c>
      <c r="B95" t="s">
        <v>729</v>
      </c>
      <c r="C95" t="s">
        <v>1184</v>
      </c>
      <c r="D95" t="s">
        <v>20</v>
      </c>
      <c r="E95">
        <v>10</v>
      </c>
      <c r="F95" t="s">
        <v>1307</v>
      </c>
      <c r="G95" t="s">
        <v>86</v>
      </c>
      <c r="H95" t="s">
        <v>1222</v>
      </c>
      <c r="I95" t="s">
        <v>1195</v>
      </c>
    </row>
    <row r="96" spans="1:9">
      <c r="A96" t="s">
        <v>1203</v>
      </c>
      <c r="B96" t="s">
        <v>729</v>
      </c>
      <c r="C96" t="s">
        <v>1184</v>
      </c>
      <c r="D96" t="s">
        <v>22</v>
      </c>
      <c r="E96">
        <v>0</v>
      </c>
      <c r="F96" t="s">
        <v>1307</v>
      </c>
      <c r="G96" t="s">
        <v>86</v>
      </c>
      <c r="H96" t="s">
        <v>1222</v>
      </c>
      <c r="I96" t="s">
        <v>1195</v>
      </c>
    </row>
    <row r="97" spans="1:9">
      <c r="A97" t="s">
        <v>1203</v>
      </c>
      <c r="B97" t="s">
        <v>729</v>
      </c>
      <c r="C97" t="s">
        <v>1184</v>
      </c>
      <c r="D97" t="s">
        <v>23</v>
      </c>
      <c r="E97">
        <v>49</v>
      </c>
      <c r="F97" t="s">
        <v>1307</v>
      </c>
      <c r="G97" t="s">
        <v>86</v>
      </c>
      <c r="H97" t="s">
        <v>1222</v>
      </c>
      <c r="I97" t="s">
        <v>1195</v>
      </c>
    </row>
    <row r="98" spans="1:9">
      <c r="A98" t="s">
        <v>1203</v>
      </c>
      <c r="B98" t="s">
        <v>770</v>
      </c>
      <c r="C98" t="s">
        <v>1387</v>
      </c>
      <c r="D98" t="s">
        <v>17</v>
      </c>
      <c r="E98">
        <v>22</v>
      </c>
      <c r="F98" t="s">
        <v>1307</v>
      </c>
      <c r="G98" t="s">
        <v>86</v>
      </c>
      <c r="H98" t="s">
        <v>1223</v>
      </c>
      <c r="I98" t="s">
        <v>1195</v>
      </c>
    </row>
    <row r="99" spans="1:9">
      <c r="A99" t="s">
        <v>1203</v>
      </c>
      <c r="B99" t="s">
        <v>770</v>
      </c>
      <c r="C99" t="s">
        <v>1387</v>
      </c>
      <c r="D99" t="s">
        <v>18</v>
      </c>
      <c r="E99">
        <v>16</v>
      </c>
      <c r="F99" t="s">
        <v>1307</v>
      </c>
      <c r="G99" t="s">
        <v>86</v>
      </c>
      <c r="H99" t="s">
        <v>1223</v>
      </c>
      <c r="I99" t="s">
        <v>1195</v>
      </c>
    </row>
    <row r="100" spans="1:9">
      <c r="A100" t="s">
        <v>1203</v>
      </c>
      <c r="B100" t="s">
        <v>770</v>
      </c>
      <c r="C100" t="s">
        <v>1387</v>
      </c>
      <c r="D100" t="s">
        <v>19</v>
      </c>
      <c r="F100" t="s">
        <v>1307</v>
      </c>
      <c r="G100" t="s">
        <v>86</v>
      </c>
      <c r="H100" t="s">
        <v>1223</v>
      </c>
      <c r="I100" t="s">
        <v>1195</v>
      </c>
    </row>
    <row r="101" spans="1:9">
      <c r="A101" t="s">
        <v>1203</v>
      </c>
      <c r="B101" t="s">
        <v>770</v>
      </c>
      <c r="C101" t="s">
        <v>1387</v>
      </c>
      <c r="D101" t="s">
        <v>20</v>
      </c>
      <c r="E101">
        <v>8</v>
      </c>
      <c r="F101" t="s">
        <v>1307</v>
      </c>
      <c r="G101" t="s">
        <v>86</v>
      </c>
      <c r="H101" t="s">
        <v>1223</v>
      </c>
      <c r="I101" t="s">
        <v>1195</v>
      </c>
    </row>
    <row r="102" spans="1:9">
      <c r="A102" t="s">
        <v>1203</v>
      </c>
      <c r="B102" t="s">
        <v>770</v>
      </c>
      <c r="C102" t="s">
        <v>1387</v>
      </c>
      <c r="D102" t="s">
        <v>22</v>
      </c>
      <c r="F102" t="s">
        <v>1307</v>
      </c>
      <c r="G102" t="s">
        <v>86</v>
      </c>
      <c r="H102" t="s">
        <v>1223</v>
      </c>
      <c r="I102" t="s">
        <v>1195</v>
      </c>
    </row>
    <row r="103" spans="1:9">
      <c r="A103" t="s">
        <v>1203</v>
      </c>
      <c r="B103" t="s">
        <v>770</v>
      </c>
      <c r="C103" t="s">
        <v>1387</v>
      </c>
      <c r="D103" t="s">
        <v>23</v>
      </c>
      <c r="E103">
        <v>46</v>
      </c>
      <c r="F103" t="s">
        <v>1307</v>
      </c>
      <c r="G103" t="s">
        <v>86</v>
      </c>
      <c r="H103" t="s">
        <v>1223</v>
      </c>
      <c r="I103" t="s">
        <v>1195</v>
      </c>
    </row>
    <row r="104" spans="1:9">
      <c r="A104" t="s">
        <v>1203</v>
      </c>
      <c r="B104" t="s">
        <v>807</v>
      </c>
      <c r="C104" t="s">
        <v>808</v>
      </c>
      <c r="D104" t="s">
        <v>17</v>
      </c>
      <c r="E104">
        <v>31</v>
      </c>
      <c r="F104" t="s">
        <v>1307</v>
      </c>
      <c r="G104" t="s">
        <v>86</v>
      </c>
      <c r="H104" t="s">
        <v>1224</v>
      </c>
      <c r="I104" t="s">
        <v>1195</v>
      </c>
    </row>
    <row r="105" spans="1:9">
      <c r="A105" t="s">
        <v>1203</v>
      </c>
      <c r="B105" t="s">
        <v>807</v>
      </c>
      <c r="C105" t="s">
        <v>808</v>
      </c>
      <c r="D105" t="s">
        <v>18</v>
      </c>
      <c r="E105">
        <v>5</v>
      </c>
      <c r="F105" t="s">
        <v>1307</v>
      </c>
      <c r="G105" t="s">
        <v>86</v>
      </c>
      <c r="H105" t="s">
        <v>1224</v>
      </c>
      <c r="I105" t="s">
        <v>1195</v>
      </c>
    </row>
    <row r="106" spans="1:9">
      <c r="A106" t="s">
        <v>1203</v>
      </c>
      <c r="B106" t="s">
        <v>807</v>
      </c>
      <c r="C106" t="s">
        <v>808</v>
      </c>
      <c r="D106" t="s">
        <v>19</v>
      </c>
      <c r="E106">
        <v>4</v>
      </c>
      <c r="F106" t="s">
        <v>1307</v>
      </c>
      <c r="G106" t="s">
        <v>86</v>
      </c>
      <c r="H106" t="s">
        <v>1224</v>
      </c>
      <c r="I106" t="s">
        <v>1195</v>
      </c>
    </row>
    <row r="107" spans="1:9">
      <c r="A107" t="s">
        <v>1203</v>
      </c>
      <c r="B107" t="s">
        <v>807</v>
      </c>
      <c r="C107" t="s">
        <v>808</v>
      </c>
      <c r="D107" t="s">
        <v>20</v>
      </c>
      <c r="F107" t="s">
        <v>1307</v>
      </c>
      <c r="G107" t="s">
        <v>86</v>
      </c>
      <c r="H107" t="s">
        <v>1224</v>
      </c>
      <c r="I107" t="s">
        <v>1195</v>
      </c>
    </row>
    <row r="108" spans="1:9">
      <c r="A108" t="s">
        <v>1203</v>
      </c>
      <c r="B108" t="s">
        <v>807</v>
      </c>
      <c r="C108" t="s">
        <v>808</v>
      </c>
      <c r="D108" t="s">
        <v>22</v>
      </c>
      <c r="F108" t="s">
        <v>1307</v>
      </c>
      <c r="G108" t="s">
        <v>86</v>
      </c>
      <c r="H108" t="s">
        <v>1224</v>
      </c>
      <c r="I108" t="s">
        <v>1195</v>
      </c>
    </row>
    <row r="109" spans="1:9">
      <c r="A109" t="s">
        <v>1203</v>
      </c>
      <c r="B109" t="s">
        <v>807</v>
      </c>
      <c r="C109" t="s">
        <v>808</v>
      </c>
      <c r="D109" t="s">
        <v>23</v>
      </c>
      <c r="E109">
        <v>40</v>
      </c>
      <c r="F109" t="s">
        <v>1307</v>
      </c>
      <c r="G109" t="s">
        <v>86</v>
      </c>
      <c r="H109" t="s">
        <v>1224</v>
      </c>
      <c r="I109" t="s">
        <v>1195</v>
      </c>
    </row>
    <row r="110" spans="1:9">
      <c r="A110" t="s">
        <v>1203</v>
      </c>
      <c r="B110" t="s">
        <v>856</v>
      </c>
      <c r="C110" t="s">
        <v>858</v>
      </c>
      <c r="D110" t="s">
        <v>17</v>
      </c>
      <c r="E110">
        <v>20</v>
      </c>
      <c r="F110" t="s">
        <v>1307</v>
      </c>
      <c r="G110" t="s">
        <v>86</v>
      </c>
      <c r="H110" t="s">
        <v>1225</v>
      </c>
      <c r="I110" t="s">
        <v>1195</v>
      </c>
    </row>
    <row r="111" spans="1:9">
      <c r="A111" t="s">
        <v>1203</v>
      </c>
      <c r="B111" t="s">
        <v>856</v>
      </c>
      <c r="C111" t="s">
        <v>858</v>
      </c>
      <c r="D111" t="s">
        <v>18</v>
      </c>
      <c r="E111">
        <v>14</v>
      </c>
      <c r="F111" t="s">
        <v>1307</v>
      </c>
      <c r="G111" t="s">
        <v>86</v>
      </c>
      <c r="H111" t="s">
        <v>1225</v>
      </c>
      <c r="I111" t="s">
        <v>1195</v>
      </c>
    </row>
    <row r="112" spans="1:9">
      <c r="A112" t="s">
        <v>1203</v>
      </c>
      <c r="B112" t="s">
        <v>856</v>
      </c>
      <c r="C112" t="s">
        <v>858</v>
      </c>
      <c r="D112" t="s">
        <v>19</v>
      </c>
      <c r="E112">
        <v>2</v>
      </c>
      <c r="F112" t="s">
        <v>1307</v>
      </c>
      <c r="G112" t="s">
        <v>86</v>
      </c>
      <c r="H112" t="s">
        <v>1225</v>
      </c>
      <c r="I112" t="s">
        <v>1195</v>
      </c>
    </row>
    <row r="113" spans="1:9">
      <c r="A113" t="s">
        <v>1203</v>
      </c>
      <c r="B113" t="s">
        <v>856</v>
      </c>
      <c r="C113" t="s">
        <v>858</v>
      </c>
      <c r="D113" t="s">
        <v>20</v>
      </c>
      <c r="E113">
        <v>6</v>
      </c>
      <c r="F113" t="s">
        <v>1307</v>
      </c>
      <c r="G113" t="s">
        <v>86</v>
      </c>
      <c r="H113" t="s">
        <v>1225</v>
      </c>
      <c r="I113" t="s">
        <v>1195</v>
      </c>
    </row>
    <row r="114" spans="1:9">
      <c r="A114" t="s">
        <v>1203</v>
      </c>
      <c r="B114" t="s">
        <v>856</v>
      </c>
      <c r="C114" t="s">
        <v>858</v>
      </c>
      <c r="D114" t="s">
        <v>22</v>
      </c>
      <c r="F114" t="s">
        <v>1307</v>
      </c>
      <c r="G114" t="s">
        <v>86</v>
      </c>
      <c r="H114" t="s">
        <v>1225</v>
      </c>
      <c r="I114" t="s">
        <v>1195</v>
      </c>
    </row>
    <row r="115" spans="1:9">
      <c r="A115" t="s">
        <v>1203</v>
      </c>
      <c r="B115" t="s">
        <v>856</v>
      </c>
      <c r="C115" t="s">
        <v>858</v>
      </c>
      <c r="D115" t="s">
        <v>23</v>
      </c>
      <c r="E115">
        <v>42</v>
      </c>
      <c r="F115" t="s">
        <v>1307</v>
      </c>
      <c r="G115" t="s">
        <v>86</v>
      </c>
      <c r="H115" t="s">
        <v>1225</v>
      </c>
      <c r="I115" t="s">
        <v>1195</v>
      </c>
    </row>
    <row r="116" spans="1:9">
      <c r="A116" t="s">
        <v>1203</v>
      </c>
      <c r="B116" t="s">
        <v>896</v>
      </c>
      <c r="C116" t="s">
        <v>1185</v>
      </c>
      <c r="D116" t="s">
        <v>17</v>
      </c>
      <c r="E116">
        <v>10</v>
      </c>
      <c r="F116" t="s">
        <v>1307</v>
      </c>
      <c r="G116" t="s">
        <v>86</v>
      </c>
      <c r="H116" t="s">
        <v>1226</v>
      </c>
      <c r="I116" t="s">
        <v>1195</v>
      </c>
    </row>
    <row r="117" spans="1:9">
      <c r="A117" t="s">
        <v>1203</v>
      </c>
      <c r="B117" t="s">
        <v>896</v>
      </c>
      <c r="C117" t="s">
        <v>1185</v>
      </c>
      <c r="D117" t="s">
        <v>18</v>
      </c>
      <c r="F117" t="s">
        <v>1307</v>
      </c>
      <c r="G117" t="s">
        <v>86</v>
      </c>
      <c r="H117" t="s">
        <v>1226</v>
      </c>
      <c r="I117" t="s">
        <v>1195</v>
      </c>
    </row>
    <row r="118" spans="1:9">
      <c r="A118" t="s">
        <v>1203</v>
      </c>
      <c r="B118" t="s">
        <v>896</v>
      </c>
      <c r="C118" t="s">
        <v>1185</v>
      </c>
      <c r="D118" t="s">
        <v>19</v>
      </c>
      <c r="E118">
        <v>40</v>
      </c>
      <c r="F118" t="s">
        <v>1307</v>
      </c>
      <c r="G118" t="s">
        <v>86</v>
      </c>
      <c r="H118" t="s">
        <v>1226</v>
      </c>
      <c r="I118" t="s">
        <v>1195</v>
      </c>
    </row>
    <row r="119" spans="1:9">
      <c r="A119" t="s">
        <v>1203</v>
      </c>
      <c r="B119" t="s">
        <v>896</v>
      </c>
      <c r="C119" t="s">
        <v>1185</v>
      </c>
      <c r="D119" t="s">
        <v>20</v>
      </c>
      <c r="F119" t="s">
        <v>1307</v>
      </c>
      <c r="G119" t="s">
        <v>86</v>
      </c>
      <c r="H119" t="s">
        <v>1226</v>
      </c>
      <c r="I119" t="s">
        <v>1195</v>
      </c>
    </row>
    <row r="120" spans="1:9">
      <c r="A120" t="s">
        <v>1203</v>
      </c>
      <c r="B120" t="s">
        <v>896</v>
      </c>
      <c r="C120" t="s">
        <v>1185</v>
      </c>
      <c r="D120" t="s">
        <v>22</v>
      </c>
      <c r="F120" t="s">
        <v>1307</v>
      </c>
      <c r="G120" t="s">
        <v>86</v>
      </c>
      <c r="H120" t="s">
        <v>1226</v>
      </c>
      <c r="I120" t="s">
        <v>1195</v>
      </c>
    </row>
    <row r="121" spans="1:9">
      <c r="A121" t="s">
        <v>1203</v>
      </c>
      <c r="B121" t="s">
        <v>896</v>
      </c>
      <c r="C121" t="s">
        <v>1185</v>
      </c>
      <c r="D121" t="s">
        <v>23</v>
      </c>
      <c r="E121">
        <v>50</v>
      </c>
      <c r="F121" t="s">
        <v>1307</v>
      </c>
      <c r="G121" t="s">
        <v>86</v>
      </c>
      <c r="H121" t="s">
        <v>1226</v>
      </c>
      <c r="I121" t="s">
        <v>1195</v>
      </c>
    </row>
    <row r="122" spans="1:9">
      <c r="A122" t="s">
        <v>1203</v>
      </c>
      <c r="B122" t="s">
        <v>937</v>
      </c>
      <c r="C122" t="s">
        <v>939</v>
      </c>
      <c r="D122" t="s">
        <v>17</v>
      </c>
      <c r="E122">
        <v>12</v>
      </c>
      <c r="F122" t="s">
        <v>1307</v>
      </c>
      <c r="G122" t="s">
        <v>86</v>
      </c>
      <c r="H122" t="s">
        <v>1214</v>
      </c>
      <c r="I122" t="s">
        <v>1195</v>
      </c>
    </row>
    <row r="123" spans="1:9">
      <c r="A123" t="s">
        <v>1203</v>
      </c>
      <c r="B123" t="s">
        <v>937</v>
      </c>
      <c r="C123" t="s">
        <v>939</v>
      </c>
      <c r="D123" t="s">
        <v>18</v>
      </c>
      <c r="E123">
        <v>10</v>
      </c>
      <c r="F123" t="s">
        <v>1307</v>
      </c>
      <c r="G123" t="s">
        <v>86</v>
      </c>
      <c r="H123" t="s">
        <v>1214</v>
      </c>
      <c r="I123" t="s">
        <v>1195</v>
      </c>
    </row>
    <row r="124" spans="1:9">
      <c r="A124" t="s">
        <v>1203</v>
      </c>
      <c r="B124" t="s">
        <v>937</v>
      </c>
      <c r="C124" t="s">
        <v>939</v>
      </c>
      <c r="D124" t="s">
        <v>19</v>
      </c>
      <c r="F124" t="s">
        <v>1307</v>
      </c>
      <c r="G124" t="s">
        <v>86</v>
      </c>
      <c r="H124" t="s">
        <v>1214</v>
      </c>
      <c r="I124" t="s">
        <v>1195</v>
      </c>
    </row>
    <row r="125" spans="1:9">
      <c r="A125" t="s">
        <v>1203</v>
      </c>
      <c r="B125" t="s">
        <v>937</v>
      </c>
      <c r="C125" t="s">
        <v>939</v>
      </c>
      <c r="D125" t="s">
        <v>20</v>
      </c>
      <c r="F125" t="s">
        <v>1307</v>
      </c>
      <c r="G125" t="s">
        <v>86</v>
      </c>
      <c r="H125" t="s">
        <v>1214</v>
      </c>
      <c r="I125" t="s">
        <v>1195</v>
      </c>
    </row>
    <row r="126" spans="1:9">
      <c r="A126" t="s">
        <v>1203</v>
      </c>
      <c r="B126" t="s">
        <v>937</v>
      </c>
      <c r="C126" t="s">
        <v>939</v>
      </c>
      <c r="D126" t="s">
        <v>22</v>
      </c>
      <c r="F126" t="s">
        <v>1307</v>
      </c>
      <c r="G126" t="s">
        <v>86</v>
      </c>
      <c r="H126" t="s">
        <v>1214</v>
      </c>
      <c r="I126" t="s">
        <v>1195</v>
      </c>
    </row>
    <row r="127" spans="1:9">
      <c r="A127" t="s">
        <v>1203</v>
      </c>
      <c r="B127" t="s">
        <v>937</v>
      </c>
      <c r="C127" t="s">
        <v>939</v>
      </c>
      <c r="D127" t="s">
        <v>23</v>
      </c>
      <c r="E127">
        <v>22</v>
      </c>
      <c r="F127" t="s">
        <v>1307</v>
      </c>
      <c r="G127" t="s">
        <v>86</v>
      </c>
      <c r="H127" t="s">
        <v>1214</v>
      </c>
      <c r="I127" t="s">
        <v>1195</v>
      </c>
    </row>
    <row r="128" spans="1:9">
      <c r="A128" t="s">
        <v>1203</v>
      </c>
      <c r="B128" t="s">
        <v>991</v>
      </c>
      <c r="C128" t="s">
        <v>993</v>
      </c>
      <c r="D128" t="s">
        <v>17</v>
      </c>
      <c r="E128">
        <v>22</v>
      </c>
      <c r="F128" t="s">
        <v>1307</v>
      </c>
      <c r="G128" t="s">
        <v>86</v>
      </c>
      <c r="H128" t="s">
        <v>1215</v>
      </c>
      <c r="I128" t="s">
        <v>1195</v>
      </c>
    </row>
    <row r="129" spans="1:9">
      <c r="A129" t="s">
        <v>1203</v>
      </c>
      <c r="B129" t="s">
        <v>991</v>
      </c>
      <c r="C129" t="s">
        <v>993</v>
      </c>
      <c r="D129" t="s">
        <v>18</v>
      </c>
      <c r="E129">
        <v>6</v>
      </c>
      <c r="F129" t="s">
        <v>1307</v>
      </c>
      <c r="G129" t="s">
        <v>86</v>
      </c>
      <c r="H129" t="s">
        <v>1215</v>
      </c>
      <c r="I129" t="s">
        <v>1195</v>
      </c>
    </row>
    <row r="130" spans="1:9">
      <c r="A130" t="s">
        <v>1203</v>
      </c>
      <c r="B130" t="s">
        <v>991</v>
      </c>
      <c r="C130" t="s">
        <v>993</v>
      </c>
      <c r="D130" t="s">
        <v>19</v>
      </c>
      <c r="E130">
        <v>12</v>
      </c>
      <c r="F130" t="s">
        <v>1307</v>
      </c>
      <c r="G130" t="s">
        <v>86</v>
      </c>
      <c r="H130" t="s">
        <v>1215</v>
      </c>
      <c r="I130" t="s">
        <v>1195</v>
      </c>
    </row>
    <row r="131" spans="1:9">
      <c r="A131" t="s">
        <v>1203</v>
      </c>
      <c r="B131" t="s">
        <v>991</v>
      </c>
      <c r="C131" t="s">
        <v>993</v>
      </c>
      <c r="D131" t="s">
        <v>20</v>
      </c>
      <c r="F131" t="s">
        <v>1307</v>
      </c>
      <c r="G131" t="s">
        <v>86</v>
      </c>
      <c r="H131" t="s">
        <v>1215</v>
      </c>
      <c r="I131" t="s">
        <v>1195</v>
      </c>
    </row>
    <row r="132" spans="1:9">
      <c r="A132" t="s">
        <v>1203</v>
      </c>
      <c r="B132" t="s">
        <v>991</v>
      </c>
      <c r="C132" t="s">
        <v>993</v>
      </c>
      <c r="D132" t="s">
        <v>22</v>
      </c>
      <c r="F132" t="s">
        <v>1307</v>
      </c>
      <c r="G132" t="s">
        <v>86</v>
      </c>
      <c r="H132" t="s">
        <v>1215</v>
      </c>
      <c r="I132" t="s">
        <v>1195</v>
      </c>
    </row>
    <row r="133" spans="1:9">
      <c r="A133" t="s">
        <v>1203</v>
      </c>
      <c r="B133" t="s">
        <v>991</v>
      </c>
      <c r="C133" t="s">
        <v>993</v>
      </c>
      <c r="D133" t="s">
        <v>23</v>
      </c>
      <c r="E133">
        <v>40</v>
      </c>
      <c r="F133" t="s">
        <v>1307</v>
      </c>
      <c r="G133" t="s">
        <v>86</v>
      </c>
      <c r="H133" t="s">
        <v>1215</v>
      </c>
      <c r="I133" t="s">
        <v>1195</v>
      </c>
    </row>
    <row r="134" spans="1:9">
      <c r="A134" t="s">
        <v>1203</v>
      </c>
      <c r="B134" t="s">
        <v>1038</v>
      </c>
      <c r="C134" t="s">
        <v>1040</v>
      </c>
      <c r="D134" t="s">
        <v>17</v>
      </c>
      <c r="F134" t="s">
        <v>1307</v>
      </c>
      <c r="G134" t="s">
        <v>86</v>
      </c>
      <c r="H134" t="s">
        <v>1216</v>
      </c>
      <c r="I134" t="s">
        <v>1195</v>
      </c>
    </row>
    <row r="135" spans="1:9">
      <c r="A135" t="s">
        <v>1203</v>
      </c>
      <c r="B135" t="s">
        <v>1038</v>
      </c>
      <c r="C135" t="s">
        <v>1040</v>
      </c>
      <c r="D135" t="s">
        <v>18</v>
      </c>
      <c r="E135">
        <v>6</v>
      </c>
      <c r="F135" t="s">
        <v>1307</v>
      </c>
      <c r="G135" t="s">
        <v>86</v>
      </c>
      <c r="H135" t="s">
        <v>1216</v>
      </c>
      <c r="I135" t="s">
        <v>1195</v>
      </c>
    </row>
    <row r="136" spans="1:9">
      <c r="A136" t="s">
        <v>1203</v>
      </c>
      <c r="B136" t="s">
        <v>1038</v>
      </c>
      <c r="C136" t="s">
        <v>1040</v>
      </c>
      <c r="D136" t="s">
        <v>19</v>
      </c>
      <c r="F136" t="s">
        <v>1307</v>
      </c>
      <c r="G136" t="s">
        <v>86</v>
      </c>
      <c r="H136" t="s">
        <v>1216</v>
      </c>
      <c r="I136" t="s">
        <v>1195</v>
      </c>
    </row>
    <row r="137" spans="1:9">
      <c r="A137" t="s">
        <v>1203</v>
      </c>
      <c r="B137" t="s">
        <v>1038</v>
      </c>
      <c r="C137" t="s">
        <v>1040</v>
      </c>
      <c r="D137" t="s">
        <v>20</v>
      </c>
      <c r="E137">
        <v>27</v>
      </c>
      <c r="F137" t="s">
        <v>1307</v>
      </c>
      <c r="G137" t="s">
        <v>86</v>
      </c>
      <c r="H137" t="s">
        <v>1216</v>
      </c>
      <c r="I137" t="s">
        <v>1195</v>
      </c>
    </row>
    <row r="138" spans="1:9">
      <c r="A138" t="s">
        <v>1203</v>
      </c>
      <c r="B138" t="s">
        <v>1038</v>
      </c>
      <c r="C138" t="s">
        <v>1040</v>
      </c>
      <c r="D138" t="s">
        <v>22</v>
      </c>
      <c r="E138">
        <v>12</v>
      </c>
      <c r="F138" t="s">
        <v>1307</v>
      </c>
      <c r="G138" t="s">
        <v>86</v>
      </c>
      <c r="H138" t="s">
        <v>1216</v>
      </c>
      <c r="I138" t="s">
        <v>1195</v>
      </c>
    </row>
    <row r="139" spans="1:9">
      <c r="A139" t="s">
        <v>1203</v>
      </c>
      <c r="B139" t="s">
        <v>1038</v>
      </c>
      <c r="C139" t="s">
        <v>1040</v>
      </c>
      <c r="D139" t="s">
        <v>23</v>
      </c>
      <c r="E139">
        <v>45</v>
      </c>
      <c r="F139" t="s">
        <v>1307</v>
      </c>
      <c r="G139" t="s">
        <v>86</v>
      </c>
      <c r="H139" t="s">
        <v>1216</v>
      </c>
      <c r="I139" t="s">
        <v>1195</v>
      </c>
    </row>
    <row r="140" spans="1:9">
      <c r="A140" t="s">
        <v>1203</v>
      </c>
      <c r="B140" t="s">
        <v>1070</v>
      </c>
      <c r="C140" t="s">
        <v>1072</v>
      </c>
      <c r="D140" t="s">
        <v>17</v>
      </c>
      <c r="E140">
        <v>22</v>
      </c>
      <c r="F140" t="s">
        <v>1307</v>
      </c>
      <c r="G140" t="s">
        <v>86</v>
      </c>
      <c r="H140" t="s">
        <v>1217</v>
      </c>
      <c r="I140" t="s">
        <v>1195</v>
      </c>
    </row>
    <row r="141" spans="1:9">
      <c r="A141" t="s">
        <v>1203</v>
      </c>
      <c r="B141" t="s">
        <v>1070</v>
      </c>
      <c r="C141" t="s">
        <v>1072</v>
      </c>
      <c r="D141" t="s">
        <v>18</v>
      </c>
      <c r="F141" t="s">
        <v>1307</v>
      </c>
      <c r="G141" t="s">
        <v>86</v>
      </c>
      <c r="H141" t="s">
        <v>1217</v>
      </c>
      <c r="I141" t="s">
        <v>1195</v>
      </c>
    </row>
    <row r="142" spans="1:9">
      <c r="A142" t="s">
        <v>1203</v>
      </c>
      <c r="B142" t="s">
        <v>1070</v>
      </c>
      <c r="C142" t="s">
        <v>1072</v>
      </c>
      <c r="D142" t="s">
        <v>19</v>
      </c>
      <c r="E142">
        <v>16</v>
      </c>
      <c r="F142" t="s">
        <v>1307</v>
      </c>
      <c r="G142" t="s">
        <v>86</v>
      </c>
      <c r="H142" t="s">
        <v>1217</v>
      </c>
      <c r="I142" t="s">
        <v>1195</v>
      </c>
    </row>
    <row r="143" spans="1:9">
      <c r="A143" t="s">
        <v>1203</v>
      </c>
      <c r="B143" t="s">
        <v>1070</v>
      </c>
      <c r="C143" t="s">
        <v>1072</v>
      </c>
      <c r="D143" t="s">
        <v>20</v>
      </c>
      <c r="E143">
        <v>6</v>
      </c>
      <c r="F143" t="s">
        <v>1307</v>
      </c>
      <c r="G143" t="s">
        <v>86</v>
      </c>
      <c r="H143" t="s">
        <v>1217</v>
      </c>
      <c r="I143" t="s">
        <v>1195</v>
      </c>
    </row>
    <row r="144" spans="1:9">
      <c r="A144" t="s">
        <v>1203</v>
      </c>
      <c r="B144" t="s">
        <v>1070</v>
      </c>
      <c r="C144" t="s">
        <v>1072</v>
      </c>
      <c r="D144" t="s">
        <v>22</v>
      </c>
      <c r="F144" t="s">
        <v>1307</v>
      </c>
      <c r="G144" t="s">
        <v>86</v>
      </c>
      <c r="H144" t="s">
        <v>1217</v>
      </c>
      <c r="I144" t="s">
        <v>1195</v>
      </c>
    </row>
    <row r="145" spans="1:9">
      <c r="A145" t="s">
        <v>1203</v>
      </c>
      <c r="B145" t="s">
        <v>1070</v>
      </c>
      <c r="C145" t="s">
        <v>1072</v>
      </c>
      <c r="D145" t="s">
        <v>23</v>
      </c>
      <c r="E145">
        <v>44</v>
      </c>
      <c r="F145" t="s">
        <v>1307</v>
      </c>
      <c r="G145" t="s">
        <v>86</v>
      </c>
      <c r="H145" t="s">
        <v>1217</v>
      </c>
      <c r="I145" t="s">
        <v>1195</v>
      </c>
    </row>
    <row r="146" spans="1:9">
      <c r="A146" t="s">
        <v>1196</v>
      </c>
      <c r="B146" t="s">
        <v>1183</v>
      </c>
      <c r="C146" t="s">
        <v>1186</v>
      </c>
      <c r="D146" t="s">
        <v>17</v>
      </c>
      <c r="E146">
        <v>20</v>
      </c>
      <c r="F146" t="s">
        <v>1307</v>
      </c>
      <c r="G146" t="s">
        <v>86</v>
      </c>
      <c r="H146" t="s">
        <v>1197</v>
      </c>
      <c r="I146" t="s">
        <v>1195</v>
      </c>
    </row>
    <row r="147" spans="1:9">
      <c r="A147" t="s">
        <v>1196</v>
      </c>
      <c r="B147" t="s">
        <v>1183</v>
      </c>
      <c r="C147" t="s">
        <v>1186</v>
      </c>
      <c r="D147" t="s">
        <v>18</v>
      </c>
      <c r="E147">
        <v>2</v>
      </c>
      <c r="F147" t="s">
        <v>1307</v>
      </c>
      <c r="G147" t="s">
        <v>86</v>
      </c>
      <c r="H147" t="s">
        <v>1197</v>
      </c>
      <c r="I147" t="s">
        <v>1195</v>
      </c>
    </row>
    <row r="148" spans="1:9">
      <c r="A148" t="s">
        <v>1196</v>
      </c>
      <c r="B148" t="s">
        <v>1183</v>
      </c>
      <c r="C148" t="s">
        <v>1186</v>
      </c>
      <c r="D148" t="s">
        <v>19</v>
      </c>
      <c r="E148">
        <v>8</v>
      </c>
      <c r="F148" t="s">
        <v>1307</v>
      </c>
      <c r="G148" t="s">
        <v>86</v>
      </c>
      <c r="H148" t="s">
        <v>1197</v>
      </c>
      <c r="I148" t="s">
        <v>1195</v>
      </c>
    </row>
    <row r="149" spans="1:9">
      <c r="A149" t="s">
        <v>1196</v>
      </c>
      <c r="B149" t="s">
        <v>1183</v>
      </c>
      <c r="C149" t="s">
        <v>1186</v>
      </c>
      <c r="D149" t="s">
        <v>20</v>
      </c>
      <c r="E149">
        <v>10</v>
      </c>
      <c r="F149" t="s">
        <v>1307</v>
      </c>
      <c r="G149" t="s">
        <v>86</v>
      </c>
      <c r="H149" t="s">
        <v>1197</v>
      </c>
      <c r="I149" t="s">
        <v>1195</v>
      </c>
    </row>
    <row r="150" spans="1:9">
      <c r="A150" t="s">
        <v>1196</v>
      </c>
      <c r="B150" t="s">
        <v>1183</v>
      </c>
      <c r="C150" t="s">
        <v>1186</v>
      </c>
      <c r="D150" t="s">
        <v>22</v>
      </c>
      <c r="F150" t="s">
        <v>1307</v>
      </c>
      <c r="G150" t="s">
        <v>86</v>
      </c>
      <c r="H150" t="s">
        <v>1197</v>
      </c>
      <c r="I150" t="s">
        <v>1195</v>
      </c>
    </row>
    <row r="151" spans="1:9">
      <c r="A151" t="s">
        <v>1196</v>
      </c>
      <c r="B151" t="s">
        <v>1183</v>
      </c>
      <c r="C151" t="s">
        <v>1186</v>
      </c>
      <c r="D151" t="s">
        <v>23</v>
      </c>
      <c r="E151">
        <v>40</v>
      </c>
      <c r="F151" t="s">
        <v>1307</v>
      </c>
      <c r="G151" t="s">
        <v>86</v>
      </c>
      <c r="H151" t="s">
        <v>1197</v>
      </c>
      <c r="I151" t="s">
        <v>1195</v>
      </c>
    </row>
    <row r="152" spans="1:9">
      <c r="A152" t="s">
        <v>1198</v>
      </c>
      <c r="B152" t="s">
        <v>1165</v>
      </c>
      <c r="C152" t="s">
        <v>1166</v>
      </c>
      <c r="D152" t="s">
        <v>17</v>
      </c>
      <c r="E152">
        <v>42</v>
      </c>
      <c r="F152" t="s">
        <v>1307</v>
      </c>
      <c r="G152" t="s">
        <v>86</v>
      </c>
      <c r="H152" t="s">
        <v>1199</v>
      </c>
      <c r="I152" t="s">
        <v>1195</v>
      </c>
    </row>
    <row r="153" spans="1:9">
      <c r="A153" t="s">
        <v>1198</v>
      </c>
      <c r="B153" t="s">
        <v>1165</v>
      </c>
      <c r="C153" t="s">
        <v>1166</v>
      </c>
      <c r="D153" t="s">
        <v>18</v>
      </c>
      <c r="F153" t="s">
        <v>1307</v>
      </c>
      <c r="G153" t="s">
        <v>86</v>
      </c>
      <c r="H153" t="s">
        <v>1199</v>
      </c>
      <c r="I153" t="s">
        <v>1195</v>
      </c>
    </row>
    <row r="154" spans="1:9">
      <c r="A154" t="s">
        <v>1198</v>
      </c>
      <c r="B154" t="s">
        <v>1165</v>
      </c>
      <c r="C154" t="s">
        <v>1166</v>
      </c>
      <c r="D154" t="s">
        <v>19</v>
      </c>
      <c r="F154" t="s">
        <v>1307</v>
      </c>
      <c r="G154" t="s">
        <v>86</v>
      </c>
      <c r="H154" t="s">
        <v>1199</v>
      </c>
      <c r="I154" t="s">
        <v>1195</v>
      </c>
    </row>
    <row r="155" spans="1:9">
      <c r="A155" t="s">
        <v>1198</v>
      </c>
      <c r="B155" t="s">
        <v>1165</v>
      </c>
      <c r="C155" t="s">
        <v>1166</v>
      </c>
      <c r="D155" t="s">
        <v>20</v>
      </c>
      <c r="F155" t="s">
        <v>1307</v>
      </c>
      <c r="G155" t="s">
        <v>86</v>
      </c>
      <c r="H155" t="s">
        <v>1199</v>
      </c>
      <c r="I155" t="s">
        <v>1195</v>
      </c>
    </row>
    <row r="156" spans="1:9">
      <c r="A156" t="s">
        <v>1198</v>
      </c>
      <c r="B156" t="s">
        <v>1165</v>
      </c>
      <c r="C156" t="s">
        <v>1166</v>
      </c>
      <c r="D156" t="s">
        <v>22</v>
      </c>
      <c r="F156" t="s">
        <v>1307</v>
      </c>
      <c r="G156" t="s">
        <v>86</v>
      </c>
      <c r="H156" t="s">
        <v>1199</v>
      </c>
      <c r="I156" t="s">
        <v>1195</v>
      </c>
    </row>
    <row r="157" spans="1:9">
      <c r="A157" t="s">
        <v>1198</v>
      </c>
      <c r="B157" t="s">
        <v>1165</v>
      </c>
      <c r="C157" t="s">
        <v>1166</v>
      </c>
      <c r="D157" t="s">
        <v>23</v>
      </c>
      <c r="E157">
        <v>42</v>
      </c>
      <c r="F157" t="s">
        <v>1307</v>
      </c>
      <c r="G157" t="s">
        <v>86</v>
      </c>
      <c r="H157" t="s">
        <v>1199</v>
      </c>
      <c r="I157" t="s">
        <v>1195</v>
      </c>
    </row>
    <row r="158" spans="1:9">
      <c r="A158" t="s">
        <v>1198</v>
      </c>
      <c r="B158" t="s">
        <v>1172</v>
      </c>
      <c r="C158" t="s">
        <v>1200</v>
      </c>
      <c r="D158" t="s">
        <v>17</v>
      </c>
      <c r="E158">
        <v>38</v>
      </c>
      <c r="F158" t="s">
        <v>1307</v>
      </c>
      <c r="G158" t="s">
        <v>86</v>
      </c>
      <c r="H158" t="s">
        <v>1201</v>
      </c>
      <c r="I158" t="s">
        <v>1195</v>
      </c>
    </row>
    <row r="159" spans="1:9">
      <c r="A159" t="s">
        <v>1198</v>
      </c>
      <c r="B159" t="s">
        <v>1172</v>
      </c>
      <c r="C159" t="s">
        <v>1200</v>
      </c>
      <c r="D159" t="s">
        <v>18</v>
      </c>
      <c r="E159">
        <v>6</v>
      </c>
      <c r="F159" t="s">
        <v>1307</v>
      </c>
      <c r="G159" t="s">
        <v>86</v>
      </c>
      <c r="H159" t="s">
        <v>1201</v>
      </c>
      <c r="I159" t="s">
        <v>1195</v>
      </c>
    </row>
    <row r="160" spans="1:9">
      <c r="A160" t="s">
        <v>1198</v>
      </c>
      <c r="B160" t="s">
        <v>1172</v>
      </c>
      <c r="C160" t="s">
        <v>1200</v>
      </c>
      <c r="D160" t="s">
        <v>19</v>
      </c>
      <c r="E160">
        <v>0</v>
      </c>
      <c r="F160" t="s">
        <v>1307</v>
      </c>
      <c r="G160" t="s">
        <v>86</v>
      </c>
      <c r="H160" t="s">
        <v>1201</v>
      </c>
      <c r="I160" t="s">
        <v>1195</v>
      </c>
    </row>
    <row r="161" spans="1:9">
      <c r="A161" t="s">
        <v>1198</v>
      </c>
      <c r="B161" t="s">
        <v>1172</v>
      </c>
      <c r="C161" t="s">
        <v>1200</v>
      </c>
      <c r="D161" t="s">
        <v>20</v>
      </c>
      <c r="E161">
        <v>0</v>
      </c>
      <c r="F161" t="s">
        <v>1307</v>
      </c>
      <c r="G161" t="s">
        <v>86</v>
      </c>
      <c r="H161" t="s">
        <v>1201</v>
      </c>
      <c r="I161" t="s">
        <v>1195</v>
      </c>
    </row>
    <row r="162" spans="1:9">
      <c r="A162" t="s">
        <v>1198</v>
      </c>
      <c r="B162" t="s">
        <v>1172</v>
      </c>
      <c r="C162" t="s">
        <v>1200</v>
      </c>
      <c r="D162" t="s">
        <v>22</v>
      </c>
      <c r="E162">
        <v>0</v>
      </c>
      <c r="F162" t="s">
        <v>1307</v>
      </c>
      <c r="G162" t="s">
        <v>86</v>
      </c>
      <c r="H162" t="s">
        <v>1201</v>
      </c>
      <c r="I162" t="s">
        <v>1195</v>
      </c>
    </row>
    <row r="163" spans="1:9">
      <c r="A163" t="s">
        <v>1198</v>
      </c>
      <c r="B163" t="s">
        <v>1172</v>
      </c>
      <c r="C163" t="s">
        <v>1200</v>
      </c>
      <c r="D163" t="s">
        <v>23</v>
      </c>
      <c r="E163">
        <v>44</v>
      </c>
      <c r="F163" t="s">
        <v>1307</v>
      </c>
      <c r="G163" t="s">
        <v>86</v>
      </c>
      <c r="H163" t="s">
        <v>1201</v>
      </c>
      <c r="I163" t="s">
        <v>1195</v>
      </c>
    </row>
    <row r="164" spans="1:9">
      <c r="A164" t="s">
        <v>1198</v>
      </c>
      <c r="B164" t="s">
        <v>1179</v>
      </c>
      <c r="C164" t="s">
        <v>1180</v>
      </c>
      <c r="D164" t="s">
        <v>17</v>
      </c>
      <c r="E164">
        <v>22</v>
      </c>
      <c r="F164" t="s">
        <v>1307</v>
      </c>
      <c r="G164" t="s">
        <v>86</v>
      </c>
      <c r="H164" t="s">
        <v>1202</v>
      </c>
      <c r="I164" t="s">
        <v>1195</v>
      </c>
    </row>
    <row r="165" spans="1:9">
      <c r="A165" t="s">
        <v>1198</v>
      </c>
      <c r="B165" t="s">
        <v>1179</v>
      </c>
      <c r="C165" t="s">
        <v>1180</v>
      </c>
      <c r="D165" t="s">
        <v>18</v>
      </c>
      <c r="F165" t="s">
        <v>1307</v>
      </c>
      <c r="G165" t="s">
        <v>86</v>
      </c>
      <c r="H165" t="s">
        <v>1202</v>
      </c>
      <c r="I165" t="s">
        <v>1195</v>
      </c>
    </row>
    <row r="166" spans="1:9">
      <c r="A166" t="s">
        <v>1198</v>
      </c>
      <c r="B166" t="s">
        <v>1179</v>
      </c>
      <c r="C166" t="s">
        <v>1180</v>
      </c>
      <c r="D166" t="s">
        <v>19</v>
      </c>
      <c r="E166">
        <v>8</v>
      </c>
      <c r="F166" t="s">
        <v>1307</v>
      </c>
      <c r="G166" t="s">
        <v>86</v>
      </c>
      <c r="H166" t="s">
        <v>1202</v>
      </c>
      <c r="I166" t="s">
        <v>1195</v>
      </c>
    </row>
    <row r="167" spans="1:9">
      <c r="A167" t="s">
        <v>1198</v>
      </c>
      <c r="B167" t="s">
        <v>1179</v>
      </c>
      <c r="C167" t="s">
        <v>1180</v>
      </c>
      <c r="D167" t="s">
        <v>20</v>
      </c>
      <c r="E167">
        <v>14</v>
      </c>
      <c r="F167" t="s">
        <v>1307</v>
      </c>
      <c r="G167" t="s">
        <v>86</v>
      </c>
      <c r="H167" t="s">
        <v>1202</v>
      </c>
      <c r="I167" t="s">
        <v>1195</v>
      </c>
    </row>
    <row r="168" spans="1:9">
      <c r="A168" t="s">
        <v>1198</v>
      </c>
      <c r="B168" t="s">
        <v>1179</v>
      </c>
      <c r="C168" t="s">
        <v>1180</v>
      </c>
      <c r="D168" t="s">
        <v>22</v>
      </c>
      <c r="F168" t="s">
        <v>1307</v>
      </c>
      <c r="G168" t="s">
        <v>86</v>
      </c>
      <c r="H168" t="s">
        <v>1202</v>
      </c>
      <c r="I168" t="s">
        <v>1195</v>
      </c>
    </row>
    <row r="169" spans="1:9">
      <c r="A169" t="s">
        <v>1198</v>
      </c>
      <c r="B169" t="s">
        <v>1179</v>
      </c>
      <c r="C169" t="s">
        <v>1180</v>
      </c>
      <c r="D169" t="s">
        <v>23</v>
      </c>
      <c r="E169">
        <v>44</v>
      </c>
      <c r="F169" t="s">
        <v>1307</v>
      </c>
      <c r="G169" t="s">
        <v>86</v>
      </c>
      <c r="H169" t="s">
        <v>1202</v>
      </c>
      <c r="I169" t="s">
        <v>1195</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2EBA-5A69-4CAB-8164-F6AECDE98AE7}">
  <sheetPr codeName="Sheet35"/>
  <dimension ref="A1:M57"/>
  <sheetViews>
    <sheetView zoomScale="130" zoomScaleNormal="130" workbookViewId="0">
      <selection activeCell="G12" sqref="G12"/>
    </sheetView>
  </sheetViews>
  <sheetFormatPr defaultColWidth="8.85546875" defaultRowHeight="15"/>
  <cols>
    <col min="1" max="1" width="49" bestFit="1" customWidth="1"/>
    <col min="2" max="2" width="14.85546875" bestFit="1" customWidth="1"/>
    <col min="3" max="3" width="65.5703125" bestFit="1" customWidth="1"/>
    <col min="4" max="4" width="17.42578125" bestFit="1" customWidth="1"/>
    <col min="5" max="5" width="19.140625" bestFit="1" customWidth="1"/>
    <col min="6" max="6" width="48.28515625" bestFit="1" customWidth="1"/>
    <col min="7" max="7" width="81.140625" bestFit="1" customWidth="1"/>
    <col min="8" max="8" width="12.42578125" bestFit="1" customWidth="1"/>
    <col min="9" max="9" width="31.28515625" bestFit="1" customWidth="1"/>
    <col min="10" max="10" width="15.28515625" bestFit="1" customWidth="1"/>
    <col min="11" max="11" width="12.7109375" bestFit="1" customWidth="1"/>
    <col min="12" max="12" width="24.5703125" bestFit="1" customWidth="1"/>
    <col min="13" max="13" width="12.140625" bestFit="1" customWidth="1"/>
  </cols>
  <sheetData>
    <row r="1" spans="1:13">
      <c r="A1" t="s">
        <v>1189</v>
      </c>
      <c r="B1" t="s">
        <v>1159</v>
      </c>
      <c r="C1" t="s">
        <v>1160</v>
      </c>
      <c r="D1" t="s">
        <v>34</v>
      </c>
      <c r="E1" t="s">
        <v>35</v>
      </c>
      <c r="F1" t="s">
        <v>36</v>
      </c>
      <c r="G1" t="s">
        <v>37</v>
      </c>
      <c r="H1" t="s">
        <v>38</v>
      </c>
      <c r="I1" t="s">
        <v>39</v>
      </c>
      <c r="J1" t="s">
        <v>1191</v>
      </c>
      <c r="K1" t="s">
        <v>1248</v>
      </c>
      <c r="L1" t="s">
        <v>1190</v>
      </c>
      <c r="M1" t="s">
        <v>1192</v>
      </c>
    </row>
    <row r="2" spans="1:13">
      <c r="A2" t="s">
        <v>1203</v>
      </c>
      <c r="B2" t="s">
        <v>80</v>
      </c>
      <c r="C2" t="s">
        <v>1243</v>
      </c>
      <c r="D2" t="s">
        <v>40</v>
      </c>
      <c r="E2" t="s">
        <v>41</v>
      </c>
      <c r="F2" t="s">
        <v>95</v>
      </c>
      <c r="G2" t="s">
        <v>96</v>
      </c>
      <c r="H2">
        <v>0.4</v>
      </c>
      <c r="I2">
        <v>8</v>
      </c>
      <c r="J2" t="s">
        <v>1308</v>
      </c>
      <c r="K2" t="s">
        <v>1309</v>
      </c>
      <c r="L2" t="s">
        <v>86</v>
      </c>
      <c r="M2" t="s">
        <v>1195</v>
      </c>
    </row>
    <row r="3" spans="1:13">
      <c r="A3" t="s">
        <v>1203</v>
      </c>
      <c r="B3" t="s">
        <v>80</v>
      </c>
      <c r="C3" t="s">
        <v>1243</v>
      </c>
      <c r="D3" t="s">
        <v>44</v>
      </c>
      <c r="E3" t="s">
        <v>97</v>
      </c>
      <c r="F3" t="s">
        <v>98</v>
      </c>
      <c r="G3" t="s">
        <v>99</v>
      </c>
      <c r="H3">
        <v>0.6</v>
      </c>
      <c r="I3">
        <v>12</v>
      </c>
      <c r="J3" t="s">
        <v>1308</v>
      </c>
      <c r="K3" t="s">
        <v>1309</v>
      </c>
      <c r="L3" t="s">
        <v>86</v>
      </c>
      <c r="M3" t="s">
        <v>1195</v>
      </c>
    </row>
    <row r="4" spans="1:13">
      <c r="A4" t="s">
        <v>1203</v>
      </c>
      <c r="B4" t="s">
        <v>255</v>
      </c>
      <c r="C4" t="s">
        <v>1171</v>
      </c>
      <c r="D4" t="s">
        <v>40</v>
      </c>
      <c r="E4" t="s">
        <v>163</v>
      </c>
      <c r="F4" t="s">
        <v>211</v>
      </c>
      <c r="G4" t="s">
        <v>270</v>
      </c>
      <c r="H4">
        <v>0.5</v>
      </c>
      <c r="I4">
        <v>6</v>
      </c>
      <c r="J4" t="s">
        <v>1310</v>
      </c>
      <c r="K4" t="s">
        <v>1309</v>
      </c>
      <c r="L4" t="s">
        <v>86</v>
      </c>
      <c r="M4" t="s">
        <v>1195</v>
      </c>
    </row>
    <row r="5" spans="1:13">
      <c r="A5" t="s">
        <v>1203</v>
      </c>
      <c r="B5" t="s">
        <v>255</v>
      </c>
      <c r="C5" t="s">
        <v>1171</v>
      </c>
      <c r="D5" t="s">
        <v>44</v>
      </c>
      <c r="E5" t="s">
        <v>41</v>
      </c>
      <c r="F5" t="s">
        <v>42</v>
      </c>
      <c r="G5" t="s">
        <v>271</v>
      </c>
      <c r="H5">
        <v>0.5</v>
      </c>
      <c r="I5">
        <v>12</v>
      </c>
      <c r="J5" t="s">
        <v>1310</v>
      </c>
      <c r="K5" t="s">
        <v>1309</v>
      </c>
      <c r="L5" t="s">
        <v>86</v>
      </c>
      <c r="M5" t="s">
        <v>1195</v>
      </c>
    </row>
    <row r="6" spans="1:13">
      <c r="A6" t="s">
        <v>1203</v>
      </c>
      <c r="B6" t="s">
        <v>143</v>
      </c>
      <c r="C6" t="s">
        <v>144</v>
      </c>
      <c r="D6" t="s">
        <v>40</v>
      </c>
      <c r="E6" t="s">
        <v>163</v>
      </c>
      <c r="G6" t="s">
        <v>1414</v>
      </c>
      <c r="H6">
        <v>0.3</v>
      </c>
      <c r="I6">
        <v>7</v>
      </c>
      <c r="J6" t="s">
        <v>1311</v>
      </c>
      <c r="K6" t="s">
        <v>1309</v>
      </c>
      <c r="L6" t="s">
        <v>86</v>
      </c>
      <c r="M6" t="s">
        <v>1195</v>
      </c>
    </row>
    <row r="7" spans="1:13">
      <c r="A7" t="s">
        <v>1203</v>
      </c>
      <c r="B7" t="s">
        <v>143</v>
      </c>
      <c r="C7" t="s">
        <v>144</v>
      </c>
      <c r="D7" t="s">
        <v>44</v>
      </c>
      <c r="E7" t="s">
        <v>163</v>
      </c>
      <c r="G7" t="s">
        <v>165</v>
      </c>
      <c r="H7">
        <v>0.7</v>
      </c>
      <c r="I7" t="s">
        <v>166</v>
      </c>
      <c r="J7" t="s">
        <v>1311</v>
      </c>
      <c r="K7" t="s">
        <v>1309</v>
      </c>
      <c r="L7" t="s">
        <v>86</v>
      </c>
      <c r="M7" t="s">
        <v>1195</v>
      </c>
    </row>
    <row r="8" spans="1:13">
      <c r="A8" t="s">
        <v>1203</v>
      </c>
      <c r="B8" t="s">
        <v>193</v>
      </c>
      <c r="C8" t="s">
        <v>1283</v>
      </c>
      <c r="D8" t="s">
        <v>40</v>
      </c>
      <c r="E8" t="s">
        <v>97</v>
      </c>
      <c r="F8" t="s">
        <v>209</v>
      </c>
      <c r="G8" t="s">
        <v>210</v>
      </c>
      <c r="H8">
        <v>0.5</v>
      </c>
      <c r="I8">
        <v>12</v>
      </c>
      <c r="J8" t="s">
        <v>1312</v>
      </c>
      <c r="K8" t="s">
        <v>1309</v>
      </c>
      <c r="L8" t="s">
        <v>86</v>
      </c>
      <c r="M8" t="s">
        <v>1195</v>
      </c>
    </row>
    <row r="9" spans="1:13">
      <c r="A9" t="s">
        <v>1203</v>
      </c>
      <c r="B9" t="s">
        <v>193</v>
      </c>
      <c r="C9" t="s">
        <v>1283</v>
      </c>
      <c r="D9" t="s">
        <v>44</v>
      </c>
      <c r="E9" t="s">
        <v>163</v>
      </c>
      <c r="F9" t="s">
        <v>211</v>
      </c>
      <c r="G9" t="s">
        <v>212</v>
      </c>
      <c r="H9">
        <v>0.5</v>
      </c>
      <c r="I9" t="s">
        <v>213</v>
      </c>
      <c r="J9" t="s">
        <v>1312</v>
      </c>
      <c r="K9" t="s">
        <v>1309</v>
      </c>
      <c r="L9" t="s">
        <v>86</v>
      </c>
      <c r="M9" t="s">
        <v>1195</v>
      </c>
    </row>
    <row r="10" spans="1:13">
      <c r="A10" t="s">
        <v>1203</v>
      </c>
      <c r="B10" t="s">
        <v>289</v>
      </c>
      <c r="C10" t="s">
        <v>291</v>
      </c>
      <c r="D10" t="s">
        <v>40</v>
      </c>
      <c r="E10" t="s">
        <v>163</v>
      </c>
      <c r="F10" t="s">
        <v>310</v>
      </c>
      <c r="G10" t="s">
        <v>311</v>
      </c>
      <c r="H10">
        <v>0.35</v>
      </c>
      <c r="I10">
        <v>6</v>
      </c>
      <c r="J10" t="s">
        <v>1313</v>
      </c>
      <c r="K10" t="s">
        <v>1309</v>
      </c>
      <c r="L10" t="s">
        <v>86</v>
      </c>
      <c r="M10" t="s">
        <v>1195</v>
      </c>
    </row>
    <row r="11" spans="1:13">
      <c r="A11" t="s">
        <v>1203</v>
      </c>
      <c r="B11" t="s">
        <v>289</v>
      </c>
      <c r="C11" t="s">
        <v>291</v>
      </c>
      <c r="D11" t="s">
        <v>44</v>
      </c>
      <c r="E11" t="s">
        <v>41</v>
      </c>
      <c r="F11" t="s">
        <v>312</v>
      </c>
      <c r="G11" t="s">
        <v>313</v>
      </c>
      <c r="H11">
        <v>0.65</v>
      </c>
      <c r="I11">
        <v>13</v>
      </c>
      <c r="J11" t="s">
        <v>1313</v>
      </c>
      <c r="K11" t="s">
        <v>1309</v>
      </c>
      <c r="L11" t="s">
        <v>86</v>
      </c>
      <c r="M11" t="s">
        <v>1195</v>
      </c>
    </row>
    <row r="12" spans="1:13">
      <c r="A12" t="s">
        <v>1203</v>
      </c>
      <c r="B12" t="s">
        <v>351</v>
      </c>
      <c r="C12" t="s">
        <v>353</v>
      </c>
      <c r="D12" t="s">
        <v>40</v>
      </c>
      <c r="E12" t="s">
        <v>41</v>
      </c>
      <c r="F12" t="s">
        <v>42</v>
      </c>
      <c r="G12" t="s">
        <v>367</v>
      </c>
      <c r="H12">
        <v>0.6</v>
      </c>
      <c r="I12">
        <v>6</v>
      </c>
      <c r="J12" t="s">
        <v>1314</v>
      </c>
      <c r="K12" t="s">
        <v>1309</v>
      </c>
      <c r="L12" t="s">
        <v>86</v>
      </c>
      <c r="M12" t="s">
        <v>1195</v>
      </c>
    </row>
    <row r="13" spans="1:13">
      <c r="A13" t="s">
        <v>1203</v>
      </c>
      <c r="B13" t="s">
        <v>351</v>
      </c>
      <c r="C13" t="s">
        <v>353</v>
      </c>
      <c r="D13" t="s">
        <v>44</v>
      </c>
      <c r="E13" t="s">
        <v>368</v>
      </c>
      <c r="F13" t="s">
        <v>369</v>
      </c>
      <c r="G13" t="s">
        <v>370</v>
      </c>
      <c r="H13">
        <v>0.4</v>
      </c>
      <c r="I13" t="s">
        <v>371</v>
      </c>
      <c r="J13" t="s">
        <v>1314</v>
      </c>
      <c r="K13" t="s">
        <v>1309</v>
      </c>
      <c r="L13" t="s">
        <v>86</v>
      </c>
      <c r="M13" t="s">
        <v>1195</v>
      </c>
    </row>
    <row r="14" spans="1:13">
      <c r="A14" t="s">
        <v>1203</v>
      </c>
      <c r="B14" t="s">
        <v>491</v>
      </c>
      <c r="C14" t="s">
        <v>492</v>
      </c>
      <c r="D14" t="s">
        <v>40</v>
      </c>
      <c r="E14" t="s">
        <v>368</v>
      </c>
      <c r="F14" t="s">
        <v>209</v>
      </c>
      <c r="G14" t="s">
        <v>506</v>
      </c>
      <c r="H14">
        <v>0.5</v>
      </c>
      <c r="I14">
        <v>8</v>
      </c>
      <c r="J14" t="s">
        <v>1315</v>
      </c>
      <c r="K14" t="s">
        <v>1309</v>
      </c>
      <c r="L14" t="s">
        <v>86</v>
      </c>
      <c r="M14" t="s">
        <v>1195</v>
      </c>
    </row>
    <row r="15" spans="1:13">
      <c r="A15" t="s">
        <v>1203</v>
      </c>
      <c r="B15" t="s">
        <v>491</v>
      </c>
      <c r="C15" t="s">
        <v>492</v>
      </c>
      <c r="D15" t="s">
        <v>44</v>
      </c>
      <c r="E15" t="s">
        <v>41</v>
      </c>
      <c r="F15" t="s">
        <v>42</v>
      </c>
      <c r="G15" t="s">
        <v>507</v>
      </c>
      <c r="H15">
        <v>0.5</v>
      </c>
      <c r="I15" t="s">
        <v>508</v>
      </c>
      <c r="J15" t="s">
        <v>1315</v>
      </c>
      <c r="K15" t="s">
        <v>1309</v>
      </c>
      <c r="L15" t="s">
        <v>86</v>
      </c>
      <c r="M15" t="s">
        <v>1195</v>
      </c>
    </row>
    <row r="16" spans="1:13">
      <c r="A16" t="s">
        <v>1203</v>
      </c>
      <c r="B16" t="s">
        <v>382</v>
      </c>
      <c r="C16" t="s">
        <v>384</v>
      </c>
      <c r="D16" t="s">
        <v>40</v>
      </c>
      <c r="E16" t="s">
        <v>97</v>
      </c>
      <c r="G16" t="s">
        <v>394</v>
      </c>
      <c r="H16">
        <v>0.6</v>
      </c>
      <c r="I16">
        <v>6</v>
      </c>
      <c r="J16" t="s">
        <v>1316</v>
      </c>
      <c r="K16" t="s">
        <v>1309</v>
      </c>
      <c r="L16" t="s">
        <v>86</v>
      </c>
      <c r="M16" t="s">
        <v>1195</v>
      </c>
    </row>
    <row r="17" spans="1:13">
      <c r="A17" t="s">
        <v>1203</v>
      </c>
      <c r="B17" t="s">
        <v>382</v>
      </c>
      <c r="C17" t="s">
        <v>384</v>
      </c>
      <c r="D17" t="s">
        <v>44</v>
      </c>
      <c r="E17" t="s">
        <v>41</v>
      </c>
      <c r="G17" t="s">
        <v>395</v>
      </c>
      <c r="H17">
        <v>0.4</v>
      </c>
      <c r="I17">
        <v>12</v>
      </c>
      <c r="J17" t="s">
        <v>1316</v>
      </c>
      <c r="K17" t="s">
        <v>1309</v>
      </c>
      <c r="L17" t="s">
        <v>86</v>
      </c>
      <c r="M17" t="s">
        <v>1195</v>
      </c>
    </row>
    <row r="18" spans="1:13">
      <c r="A18" t="s">
        <v>1203</v>
      </c>
      <c r="B18" t="s">
        <v>410</v>
      </c>
      <c r="C18" t="s">
        <v>412</v>
      </c>
      <c r="D18" t="s">
        <v>40</v>
      </c>
      <c r="E18" t="s">
        <v>41</v>
      </c>
      <c r="F18" t="s">
        <v>42</v>
      </c>
      <c r="G18" t="s">
        <v>430</v>
      </c>
      <c r="H18">
        <v>0.5</v>
      </c>
      <c r="I18">
        <v>7</v>
      </c>
      <c r="J18" t="s">
        <v>1317</v>
      </c>
      <c r="K18" t="s">
        <v>1309</v>
      </c>
      <c r="L18" t="s">
        <v>86</v>
      </c>
      <c r="M18" t="s">
        <v>1195</v>
      </c>
    </row>
    <row r="19" spans="1:13">
      <c r="A19" t="s">
        <v>1203</v>
      </c>
      <c r="B19" t="s">
        <v>410</v>
      </c>
      <c r="C19" t="s">
        <v>412</v>
      </c>
      <c r="D19" t="s">
        <v>44</v>
      </c>
      <c r="E19" t="s">
        <v>97</v>
      </c>
      <c r="G19" t="s">
        <v>1318</v>
      </c>
      <c r="H19">
        <v>0.5</v>
      </c>
      <c r="I19" t="s">
        <v>432</v>
      </c>
      <c r="J19" t="s">
        <v>1317</v>
      </c>
      <c r="K19" t="s">
        <v>1309</v>
      </c>
      <c r="L19" t="s">
        <v>86</v>
      </c>
      <c r="M19" t="s">
        <v>1195</v>
      </c>
    </row>
    <row r="20" spans="1:13">
      <c r="A20" t="s">
        <v>1203</v>
      </c>
      <c r="B20" t="s">
        <v>456</v>
      </c>
      <c r="C20" t="s">
        <v>1175</v>
      </c>
      <c r="D20" t="s">
        <v>40</v>
      </c>
      <c r="E20" t="s">
        <v>97</v>
      </c>
      <c r="F20" t="s">
        <v>209</v>
      </c>
      <c r="G20" t="s">
        <v>465</v>
      </c>
      <c r="H20">
        <v>0.5</v>
      </c>
      <c r="I20">
        <v>9</v>
      </c>
      <c r="J20" t="s">
        <v>1319</v>
      </c>
      <c r="K20" t="s">
        <v>1309</v>
      </c>
      <c r="L20" t="s">
        <v>86</v>
      </c>
      <c r="M20" t="s">
        <v>1195</v>
      </c>
    </row>
    <row r="21" spans="1:13">
      <c r="A21" t="s">
        <v>1203</v>
      </c>
      <c r="B21" t="s">
        <v>456</v>
      </c>
      <c r="C21" t="s">
        <v>1175</v>
      </c>
      <c r="D21" t="s">
        <v>44</v>
      </c>
      <c r="E21" t="s">
        <v>163</v>
      </c>
      <c r="F21" t="s">
        <v>211</v>
      </c>
      <c r="G21" t="s">
        <v>466</v>
      </c>
      <c r="H21">
        <v>0.5</v>
      </c>
      <c r="I21">
        <v>12</v>
      </c>
      <c r="J21" t="s">
        <v>1319</v>
      </c>
      <c r="K21" t="s">
        <v>1309</v>
      </c>
      <c r="L21" t="s">
        <v>86</v>
      </c>
      <c r="M21" t="s">
        <v>1195</v>
      </c>
    </row>
    <row r="22" spans="1:13">
      <c r="A22" t="s">
        <v>1193</v>
      </c>
      <c r="B22" t="s">
        <v>1176</v>
      </c>
      <c r="C22" t="s">
        <v>1177</v>
      </c>
      <c r="D22" t="s">
        <v>40</v>
      </c>
      <c r="E22" t="s">
        <v>41</v>
      </c>
      <c r="F22" t="s">
        <v>42</v>
      </c>
      <c r="G22" t="s">
        <v>1320</v>
      </c>
      <c r="H22">
        <v>0.5</v>
      </c>
      <c r="I22">
        <v>12</v>
      </c>
      <c r="J22" t="s">
        <v>1321</v>
      </c>
      <c r="K22" t="s">
        <v>1309</v>
      </c>
      <c r="L22" t="s">
        <v>86</v>
      </c>
      <c r="M22" t="s">
        <v>1195</v>
      </c>
    </row>
    <row r="23" spans="1:13">
      <c r="A23" t="s">
        <v>1193</v>
      </c>
      <c r="B23" t="s">
        <v>1176</v>
      </c>
      <c r="C23" t="s">
        <v>1177</v>
      </c>
      <c r="D23" t="s">
        <v>44</v>
      </c>
      <c r="E23" t="s">
        <v>369</v>
      </c>
      <c r="F23" t="s">
        <v>369</v>
      </c>
      <c r="G23" t="s">
        <v>1322</v>
      </c>
      <c r="H23">
        <v>0.5</v>
      </c>
      <c r="I23">
        <v>16</v>
      </c>
      <c r="J23" t="s">
        <v>1321</v>
      </c>
      <c r="K23" t="s">
        <v>1309</v>
      </c>
      <c r="L23" t="s">
        <v>86</v>
      </c>
      <c r="M23" t="s">
        <v>1195</v>
      </c>
    </row>
    <row r="24" spans="1:13">
      <c r="A24" t="s">
        <v>1203</v>
      </c>
      <c r="B24" t="s">
        <v>545</v>
      </c>
      <c r="C24" t="s">
        <v>1182</v>
      </c>
      <c r="D24" t="s">
        <v>40</v>
      </c>
      <c r="E24" t="s">
        <v>368</v>
      </c>
      <c r="F24" t="s">
        <v>563</v>
      </c>
      <c r="G24" t="s">
        <v>564</v>
      </c>
      <c r="H24">
        <v>0.5</v>
      </c>
      <c r="I24">
        <v>6</v>
      </c>
      <c r="J24" t="s">
        <v>1323</v>
      </c>
      <c r="K24" t="s">
        <v>1309</v>
      </c>
      <c r="L24" t="s">
        <v>86</v>
      </c>
      <c r="M24" t="s">
        <v>1195</v>
      </c>
    </row>
    <row r="25" spans="1:13">
      <c r="A25" t="s">
        <v>1203</v>
      </c>
      <c r="B25" t="s">
        <v>545</v>
      </c>
      <c r="C25" t="s">
        <v>1182</v>
      </c>
      <c r="D25" t="s">
        <v>44</v>
      </c>
      <c r="E25" t="s">
        <v>565</v>
      </c>
      <c r="G25" t="s">
        <v>1415</v>
      </c>
      <c r="H25">
        <v>0.5</v>
      </c>
      <c r="I25" t="s">
        <v>213</v>
      </c>
      <c r="J25" t="s">
        <v>1323</v>
      </c>
      <c r="K25" t="s">
        <v>1309</v>
      </c>
      <c r="L25" t="s">
        <v>86</v>
      </c>
      <c r="M25" t="s">
        <v>1195</v>
      </c>
    </row>
    <row r="26" spans="1:13">
      <c r="A26" t="s">
        <v>1203</v>
      </c>
      <c r="B26" t="s">
        <v>592</v>
      </c>
      <c r="C26" t="s">
        <v>594</v>
      </c>
      <c r="D26" t="s">
        <v>40</v>
      </c>
      <c r="E26" t="s">
        <v>368</v>
      </c>
      <c r="F26" t="s">
        <v>603</v>
      </c>
      <c r="G26" t="s">
        <v>604</v>
      </c>
      <c r="H26">
        <v>0.5</v>
      </c>
      <c r="I26">
        <v>6</v>
      </c>
      <c r="J26" t="s">
        <v>1325</v>
      </c>
      <c r="K26" t="s">
        <v>1309</v>
      </c>
      <c r="L26" t="s">
        <v>86</v>
      </c>
      <c r="M26" t="s">
        <v>1195</v>
      </c>
    </row>
    <row r="27" spans="1:13">
      <c r="A27" t="s">
        <v>1203</v>
      </c>
      <c r="B27" t="s">
        <v>592</v>
      </c>
      <c r="C27" t="s">
        <v>594</v>
      </c>
      <c r="D27" t="s">
        <v>44</v>
      </c>
      <c r="E27" t="s">
        <v>163</v>
      </c>
      <c r="G27" t="s">
        <v>605</v>
      </c>
      <c r="H27">
        <v>0.5</v>
      </c>
      <c r="I27">
        <v>12</v>
      </c>
      <c r="J27" t="s">
        <v>1325</v>
      </c>
      <c r="K27" t="s">
        <v>1309</v>
      </c>
      <c r="L27" t="s">
        <v>86</v>
      </c>
      <c r="M27" t="s">
        <v>1195</v>
      </c>
    </row>
    <row r="28" spans="1:13">
      <c r="A28" t="s">
        <v>1203</v>
      </c>
      <c r="B28" t="s">
        <v>633</v>
      </c>
      <c r="C28" t="s">
        <v>634</v>
      </c>
      <c r="D28" t="s">
        <v>40</v>
      </c>
      <c r="E28" t="s">
        <v>97</v>
      </c>
      <c r="F28" t="s">
        <v>369</v>
      </c>
      <c r="G28" t="s">
        <v>654</v>
      </c>
      <c r="H28">
        <v>0.5</v>
      </c>
      <c r="I28">
        <v>7</v>
      </c>
      <c r="J28" t="s">
        <v>1324</v>
      </c>
      <c r="K28" t="s">
        <v>1309</v>
      </c>
      <c r="L28" t="s">
        <v>86</v>
      </c>
      <c r="M28" t="s">
        <v>1195</v>
      </c>
    </row>
    <row r="29" spans="1:13">
      <c r="A29" t="s">
        <v>1203</v>
      </c>
      <c r="B29" t="s">
        <v>633</v>
      </c>
      <c r="C29" t="s">
        <v>634</v>
      </c>
      <c r="D29" t="s">
        <v>44</v>
      </c>
      <c r="E29" t="s">
        <v>41</v>
      </c>
      <c r="F29" t="s">
        <v>95</v>
      </c>
      <c r="G29" t="s">
        <v>655</v>
      </c>
      <c r="H29">
        <v>0.5</v>
      </c>
      <c r="I29">
        <v>12</v>
      </c>
      <c r="J29" t="s">
        <v>1324</v>
      </c>
      <c r="K29" t="s">
        <v>1309</v>
      </c>
      <c r="L29" t="s">
        <v>86</v>
      </c>
      <c r="M29" t="s">
        <v>1195</v>
      </c>
    </row>
    <row r="30" spans="1:13">
      <c r="A30" t="s">
        <v>1203</v>
      </c>
      <c r="B30" t="s">
        <v>692</v>
      </c>
      <c r="C30" t="s">
        <v>694</v>
      </c>
      <c r="D30" t="s">
        <v>40</v>
      </c>
      <c r="E30" t="s">
        <v>41</v>
      </c>
      <c r="F30" t="s">
        <v>95</v>
      </c>
      <c r="G30" t="s">
        <v>704</v>
      </c>
      <c r="H30">
        <v>0.5</v>
      </c>
      <c r="I30">
        <v>8</v>
      </c>
      <c r="J30" t="s">
        <v>1326</v>
      </c>
      <c r="K30" t="s">
        <v>1309</v>
      </c>
      <c r="L30" t="s">
        <v>86</v>
      </c>
      <c r="M30" t="s">
        <v>1195</v>
      </c>
    </row>
    <row r="31" spans="1:13">
      <c r="A31" t="s">
        <v>1203</v>
      </c>
      <c r="B31" t="s">
        <v>692</v>
      </c>
      <c r="C31" t="s">
        <v>694</v>
      </c>
      <c r="D31" t="s">
        <v>44</v>
      </c>
      <c r="E31" t="s">
        <v>163</v>
      </c>
      <c r="F31" t="s">
        <v>211</v>
      </c>
      <c r="G31" t="s">
        <v>705</v>
      </c>
      <c r="H31">
        <v>0.5</v>
      </c>
      <c r="I31">
        <v>18</v>
      </c>
      <c r="J31" t="s">
        <v>1326</v>
      </c>
      <c r="K31" t="s">
        <v>1309</v>
      </c>
      <c r="L31" t="s">
        <v>86</v>
      </c>
      <c r="M31" t="s">
        <v>1195</v>
      </c>
    </row>
    <row r="32" spans="1:13">
      <c r="A32" t="s">
        <v>1203</v>
      </c>
      <c r="B32" t="s">
        <v>729</v>
      </c>
      <c r="C32" t="s">
        <v>1184</v>
      </c>
      <c r="D32" t="s">
        <v>40</v>
      </c>
      <c r="E32" t="s">
        <v>368</v>
      </c>
      <c r="F32" t="s">
        <v>563</v>
      </c>
      <c r="G32" t="s">
        <v>745</v>
      </c>
      <c r="H32">
        <v>0.5</v>
      </c>
      <c r="I32">
        <v>7</v>
      </c>
      <c r="J32" t="s">
        <v>1327</v>
      </c>
      <c r="K32" t="s">
        <v>1309</v>
      </c>
      <c r="L32" t="s">
        <v>86</v>
      </c>
      <c r="M32" t="s">
        <v>1195</v>
      </c>
    </row>
    <row r="33" spans="1:13">
      <c r="A33" t="s">
        <v>1203</v>
      </c>
      <c r="B33" t="s">
        <v>729</v>
      </c>
      <c r="C33" t="s">
        <v>1184</v>
      </c>
      <c r="D33" t="s">
        <v>44</v>
      </c>
      <c r="E33" t="s">
        <v>41</v>
      </c>
      <c r="G33" t="s">
        <v>746</v>
      </c>
      <c r="H33">
        <v>0.5</v>
      </c>
      <c r="I33">
        <v>15</v>
      </c>
      <c r="J33" t="s">
        <v>1327</v>
      </c>
      <c r="K33" t="s">
        <v>1309</v>
      </c>
      <c r="L33" t="s">
        <v>86</v>
      </c>
      <c r="M33" t="s">
        <v>1195</v>
      </c>
    </row>
    <row r="34" spans="1:13">
      <c r="A34" t="s">
        <v>1203</v>
      </c>
      <c r="B34" t="s">
        <v>770</v>
      </c>
      <c r="C34" t="s">
        <v>1387</v>
      </c>
      <c r="D34" t="s">
        <v>40</v>
      </c>
      <c r="E34" t="s">
        <v>368</v>
      </c>
      <c r="F34" t="s">
        <v>369</v>
      </c>
      <c r="G34" t="s">
        <v>788</v>
      </c>
      <c r="H34">
        <v>0.4</v>
      </c>
      <c r="I34" t="s">
        <v>789</v>
      </c>
      <c r="J34" t="s">
        <v>1328</v>
      </c>
      <c r="K34" t="s">
        <v>1309</v>
      </c>
      <c r="L34" t="s">
        <v>86</v>
      </c>
      <c r="M34" t="s">
        <v>1195</v>
      </c>
    </row>
    <row r="35" spans="1:13">
      <c r="A35" t="s">
        <v>1203</v>
      </c>
      <c r="B35" t="s">
        <v>770</v>
      </c>
      <c r="C35" t="s">
        <v>1387</v>
      </c>
      <c r="D35" t="s">
        <v>44</v>
      </c>
      <c r="E35" t="s">
        <v>41</v>
      </c>
      <c r="F35" t="s">
        <v>95</v>
      </c>
      <c r="G35" t="s">
        <v>790</v>
      </c>
      <c r="H35">
        <v>0.6</v>
      </c>
      <c r="I35" t="s">
        <v>791</v>
      </c>
      <c r="J35" t="s">
        <v>1328</v>
      </c>
      <c r="K35" t="s">
        <v>1309</v>
      </c>
      <c r="L35" t="s">
        <v>86</v>
      </c>
      <c r="M35" t="s">
        <v>1195</v>
      </c>
    </row>
    <row r="36" spans="1:13">
      <c r="A36" t="s">
        <v>1203</v>
      </c>
      <c r="B36" t="s">
        <v>807</v>
      </c>
      <c r="C36" t="s">
        <v>808</v>
      </c>
      <c r="D36" t="s">
        <v>40</v>
      </c>
      <c r="E36" t="s">
        <v>41</v>
      </c>
      <c r="F36" t="s">
        <v>826</v>
      </c>
      <c r="G36" t="s">
        <v>827</v>
      </c>
      <c r="H36">
        <v>0.5</v>
      </c>
      <c r="I36" t="s">
        <v>828</v>
      </c>
      <c r="J36" t="s">
        <v>1329</v>
      </c>
      <c r="K36" t="s">
        <v>1309</v>
      </c>
      <c r="L36" t="s">
        <v>86</v>
      </c>
      <c r="M36" t="s">
        <v>1195</v>
      </c>
    </row>
    <row r="37" spans="1:13">
      <c r="A37" t="s">
        <v>1203</v>
      </c>
      <c r="B37" t="s">
        <v>807</v>
      </c>
      <c r="C37" t="s">
        <v>808</v>
      </c>
      <c r="D37" t="s">
        <v>44</v>
      </c>
      <c r="E37" t="s">
        <v>163</v>
      </c>
      <c r="F37" t="s">
        <v>829</v>
      </c>
      <c r="G37" t="s">
        <v>830</v>
      </c>
      <c r="H37">
        <v>0.5</v>
      </c>
      <c r="I37" t="s">
        <v>831</v>
      </c>
      <c r="J37" t="s">
        <v>1329</v>
      </c>
      <c r="K37" t="s">
        <v>1309</v>
      </c>
      <c r="L37" t="s">
        <v>86</v>
      </c>
      <c r="M37" t="s">
        <v>1195</v>
      </c>
    </row>
    <row r="38" spans="1:13">
      <c r="A38" t="s">
        <v>1203</v>
      </c>
      <c r="B38" t="s">
        <v>856</v>
      </c>
      <c r="C38" t="s">
        <v>858</v>
      </c>
      <c r="D38" t="s">
        <v>40</v>
      </c>
      <c r="E38" t="s">
        <v>41</v>
      </c>
      <c r="F38" t="s">
        <v>42</v>
      </c>
      <c r="G38" t="s">
        <v>870</v>
      </c>
      <c r="H38">
        <v>0.3</v>
      </c>
      <c r="I38">
        <v>9</v>
      </c>
      <c r="J38" t="s">
        <v>1330</v>
      </c>
      <c r="K38" t="s">
        <v>1309</v>
      </c>
      <c r="L38" t="s">
        <v>86</v>
      </c>
      <c r="M38" t="s">
        <v>1195</v>
      </c>
    </row>
    <row r="39" spans="1:13">
      <c r="A39" t="s">
        <v>1203</v>
      </c>
      <c r="B39" t="s">
        <v>856</v>
      </c>
      <c r="C39" t="s">
        <v>858</v>
      </c>
      <c r="D39" t="s">
        <v>44</v>
      </c>
      <c r="E39" t="s">
        <v>97</v>
      </c>
      <c r="F39" t="s">
        <v>871</v>
      </c>
      <c r="G39" t="s">
        <v>872</v>
      </c>
      <c r="H39">
        <v>0.7</v>
      </c>
      <c r="I39">
        <v>12</v>
      </c>
      <c r="J39" t="s">
        <v>1330</v>
      </c>
      <c r="K39" t="s">
        <v>1309</v>
      </c>
      <c r="L39" t="s">
        <v>86</v>
      </c>
      <c r="M39" t="s">
        <v>1195</v>
      </c>
    </row>
    <row r="40" spans="1:13">
      <c r="A40" t="s">
        <v>1203</v>
      </c>
      <c r="B40" t="s">
        <v>896</v>
      </c>
      <c r="C40" t="s">
        <v>1185</v>
      </c>
      <c r="D40" t="s">
        <v>40</v>
      </c>
      <c r="E40" t="s">
        <v>97</v>
      </c>
      <c r="F40" t="s">
        <v>871</v>
      </c>
      <c r="G40" t="s">
        <v>912</v>
      </c>
      <c r="H40">
        <v>0.5</v>
      </c>
      <c r="I40">
        <v>26</v>
      </c>
      <c r="J40" t="s">
        <v>1331</v>
      </c>
      <c r="K40" t="s">
        <v>1309</v>
      </c>
      <c r="L40" t="s">
        <v>86</v>
      </c>
      <c r="M40" t="s">
        <v>1195</v>
      </c>
    </row>
    <row r="41" spans="1:13">
      <c r="A41" t="s">
        <v>1203</v>
      </c>
      <c r="B41" t="s">
        <v>896</v>
      </c>
      <c r="C41" t="s">
        <v>1185</v>
      </c>
      <c r="D41" t="s">
        <v>44</v>
      </c>
      <c r="E41" t="s">
        <v>41</v>
      </c>
      <c r="F41" t="s">
        <v>95</v>
      </c>
      <c r="G41" t="s">
        <v>913</v>
      </c>
      <c r="H41">
        <v>0.5</v>
      </c>
      <c r="I41">
        <v>26</v>
      </c>
      <c r="J41" t="s">
        <v>1331</v>
      </c>
      <c r="K41" t="s">
        <v>1309</v>
      </c>
      <c r="L41" t="s">
        <v>86</v>
      </c>
      <c r="M41" t="s">
        <v>1195</v>
      </c>
    </row>
    <row r="42" spans="1:13">
      <c r="A42" t="s">
        <v>1203</v>
      </c>
      <c r="B42" t="s">
        <v>937</v>
      </c>
      <c r="C42" t="s">
        <v>939</v>
      </c>
      <c r="D42" t="s">
        <v>40</v>
      </c>
      <c r="E42" t="s">
        <v>368</v>
      </c>
      <c r="F42" t="s">
        <v>964</v>
      </c>
      <c r="G42" t="s">
        <v>965</v>
      </c>
      <c r="H42">
        <v>0.6</v>
      </c>
      <c r="I42">
        <v>28</v>
      </c>
      <c r="J42" t="s">
        <v>1332</v>
      </c>
      <c r="K42" t="s">
        <v>1309</v>
      </c>
      <c r="L42" t="s">
        <v>86</v>
      </c>
      <c r="M42" t="s">
        <v>1195</v>
      </c>
    </row>
    <row r="43" spans="1:13">
      <c r="A43" t="s">
        <v>1203</v>
      </c>
      <c r="B43" t="s">
        <v>937</v>
      </c>
      <c r="C43" t="s">
        <v>939</v>
      </c>
      <c r="D43" t="s">
        <v>44</v>
      </c>
      <c r="E43" t="s">
        <v>41</v>
      </c>
      <c r="F43" t="s">
        <v>95</v>
      </c>
      <c r="G43" t="s">
        <v>966</v>
      </c>
      <c r="H43">
        <v>0.4</v>
      </c>
      <c r="I43">
        <v>28</v>
      </c>
      <c r="J43" t="s">
        <v>1332</v>
      </c>
      <c r="K43" t="s">
        <v>1309</v>
      </c>
      <c r="L43" t="s">
        <v>86</v>
      </c>
      <c r="M43" t="s">
        <v>1195</v>
      </c>
    </row>
    <row r="44" spans="1:13">
      <c r="A44" t="s">
        <v>1203</v>
      </c>
      <c r="B44" t="s">
        <v>991</v>
      </c>
      <c r="C44" t="s">
        <v>993</v>
      </c>
      <c r="D44" t="s">
        <v>40</v>
      </c>
      <c r="E44" t="s">
        <v>41</v>
      </c>
      <c r="F44" t="s">
        <v>95</v>
      </c>
      <c r="G44" t="s">
        <v>1012</v>
      </c>
      <c r="H44">
        <v>0.5</v>
      </c>
      <c r="I44">
        <v>6</v>
      </c>
      <c r="J44" t="s">
        <v>1333</v>
      </c>
      <c r="K44" t="s">
        <v>1309</v>
      </c>
      <c r="L44" t="s">
        <v>86</v>
      </c>
      <c r="M44" t="s">
        <v>1195</v>
      </c>
    </row>
    <row r="45" spans="1:13">
      <c r="A45" t="s">
        <v>1203</v>
      </c>
      <c r="B45" t="s">
        <v>991</v>
      </c>
      <c r="C45" t="s">
        <v>993</v>
      </c>
      <c r="D45" t="s">
        <v>44</v>
      </c>
      <c r="E45" t="s">
        <v>97</v>
      </c>
      <c r="F45" t="s">
        <v>1013</v>
      </c>
      <c r="G45" t="s">
        <v>1014</v>
      </c>
      <c r="H45">
        <v>0.5</v>
      </c>
      <c r="I45">
        <v>12</v>
      </c>
      <c r="J45" t="s">
        <v>1333</v>
      </c>
      <c r="K45" t="s">
        <v>1309</v>
      </c>
      <c r="L45" t="s">
        <v>86</v>
      </c>
      <c r="M45" t="s">
        <v>1195</v>
      </c>
    </row>
    <row r="46" spans="1:13">
      <c r="A46" t="s">
        <v>1203</v>
      </c>
      <c r="B46" t="s">
        <v>1038</v>
      </c>
      <c r="C46" t="s">
        <v>1040</v>
      </c>
      <c r="D46" t="s">
        <v>40</v>
      </c>
      <c r="E46" t="s">
        <v>41</v>
      </c>
      <c r="F46" t="s">
        <v>95</v>
      </c>
      <c r="G46" t="s">
        <v>1056</v>
      </c>
      <c r="H46">
        <v>0.5</v>
      </c>
      <c r="I46">
        <v>8</v>
      </c>
      <c r="J46" t="s">
        <v>1334</v>
      </c>
      <c r="K46" t="s">
        <v>1309</v>
      </c>
      <c r="L46" t="s">
        <v>86</v>
      </c>
      <c r="M46" t="s">
        <v>1195</v>
      </c>
    </row>
    <row r="47" spans="1:13">
      <c r="A47" t="s">
        <v>1203</v>
      </c>
      <c r="B47" t="s">
        <v>1038</v>
      </c>
      <c r="C47" t="s">
        <v>1040</v>
      </c>
      <c r="D47" t="s">
        <v>44</v>
      </c>
      <c r="E47" t="s">
        <v>19</v>
      </c>
      <c r="G47" t="s">
        <v>1057</v>
      </c>
      <c r="H47">
        <v>0.5</v>
      </c>
      <c r="I47">
        <v>12</v>
      </c>
      <c r="J47" t="s">
        <v>1334</v>
      </c>
      <c r="K47" t="s">
        <v>1309</v>
      </c>
      <c r="L47" t="s">
        <v>86</v>
      </c>
      <c r="M47" t="s">
        <v>1195</v>
      </c>
    </row>
    <row r="48" spans="1:13">
      <c r="A48" t="s">
        <v>1203</v>
      </c>
      <c r="B48" t="s">
        <v>1070</v>
      </c>
      <c r="C48" t="s">
        <v>1072</v>
      </c>
      <c r="D48" t="s">
        <v>40</v>
      </c>
      <c r="E48" t="s">
        <v>97</v>
      </c>
      <c r="F48" t="s">
        <v>563</v>
      </c>
      <c r="G48" t="s">
        <v>1080</v>
      </c>
      <c r="H48">
        <v>0.6</v>
      </c>
      <c r="I48">
        <v>12</v>
      </c>
      <c r="J48" t="s">
        <v>1335</v>
      </c>
      <c r="K48" t="s">
        <v>1309</v>
      </c>
      <c r="L48" t="s">
        <v>86</v>
      </c>
      <c r="M48" t="s">
        <v>1195</v>
      </c>
    </row>
    <row r="49" spans="1:13">
      <c r="A49" t="s">
        <v>1203</v>
      </c>
      <c r="B49" t="s">
        <v>1070</v>
      </c>
      <c r="C49" t="s">
        <v>1072</v>
      </c>
      <c r="D49" t="s">
        <v>44</v>
      </c>
      <c r="E49" t="s">
        <v>41</v>
      </c>
      <c r="F49" t="s">
        <v>42</v>
      </c>
      <c r="G49" t="s">
        <v>1081</v>
      </c>
      <c r="H49">
        <v>0.4</v>
      </c>
      <c r="I49" t="s">
        <v>1082</v>
      </c>
      <c r="J49" t="s">
        <v>1335</v>
      </c>
      <c r="K49" t="s">
        <v>1309</v>
      </c>
      <c r="L49" t="s">
        <v>86</v>
      </c>
      <c r="M49" t="s">
        <v>1195</v>
      </c>
    </row>
    <row r="50" spans="1:13">
      <c r="A50" t="s">
        <v>1196</v>
      </c>
      <c r="B50" t="s">
        <v>1183</v>
      </c>
      <c r="C50" t="s">
        <v>1186</v>
      </c>
      <c r="D50" t="s">
        <v>40</v>
      </c>
      <c r="E50" t="s">
        <v>41</v>
      </c>
      <c r="F50" t="s">
        <v>42</v>
      </c>
      <c r="G50" t="s">
        <v>1336</v>
      </c>
      <c r="H50">
        <v>0.3</v>
      </c>
      <c r="I50">
        <v>12</v>
      </c>
      <c r="J50" t="s">
        <v>1337</v>
      </c>
      <c r="K50" t="s">
        <v>1309</v>
      </c>
      <c r="L50" t="s">
        <v>86</v>
      </c>
      <c r="M50" t="s">
        <v>1195</v>
      </c>
    </row>
    <row r="51" spans="1:13">
      <c r="A51" t="s">
        <v>1196</v>
      </c>
      <c r="B51" t="s">
        <v>1183</v>
      </c>
      <c r="C51" t="s">
        <v>1186</v>
      </c>
      <c r="D51" t="s">
        <v>44</v>
      </c>
      <c r="E51" t="s">
        <v>368</v>
      </c>
      <c r="G51" t="s">
        <v>1338</v>
      </c>
      <c r="H51">
        <v>0.7</v>
      </c>
      <c r="I51">
        <v>17</v>
      </c>
      <c r="J51" t="s">
        <v>1337</v>
      </c>
      <c r="K51" t="s">
        <v>1309</v>
      </c>
      <c r="L51" t="s">
        <v>86</v>
      </c>
      <c r="M51" t="s">
        <v>1195</v>
      </c>
    </row>
    <row r="52" spans="1:13">
      <c r="A52" t="s">
        <v>1198</v>
      </c>
      <c r="B52" t="s">
        <v>1165</v>
      </c>
      <c r="C52" t="s">
        <v>1166</v>
      </c>
      <c r="D52" t="s">
        <v>40</v>
      </c>
      <c r="E52" t="s">
        <v>163</v>
      </c>
      <c r="F52" t="s">
        <v>211</v>
      </c>
      <c r="G52" t="s">
        <v>1339</v>
      </c>
      <c r="H52">
        <v>0.5</v>
      </c>
      <c r="I52" t="s">
        <v>1340</v>
      </c>
      <c r="J52" t="s">
        <v>1341</v>
      </c>
      <c r="K52" t="s">
        <v>1309</v>
      </c>
      <c r="L52" t="s">
        <v>86</v>
      </c>
      <c r="M52" t="s">
        <v>1195</v>
      </c>
    </row>
    <row r="53" spans="1:13">
      <c r="A53" t="s">
        <v>1198</v>
      </c>
      <c r="B53" t="s">
        <v>1165</v>
      </c>
      <c r="C53" t="s">
        <v>1166</v>
      </c>
      <c r="D53" t="s">
        <v>44</v>
      </c>
      <c r="E53" t="s">
        <v>163</v>
      </c>
      <c r="F53" t="s">
        <v>211</v>
      </c>
      <c r="G53" t="s">
        <v>1342</v>
      </c>
      <c r="H53">
        <v>0.5</v>
      </c>
      <c r="I53" t="s">
        <v>1343</v>
      </c>
      <c r="J53" t="s">
        <v>1341</v>
      </c>
      <c r="K53" t="s">
        <v>1309</v>
      </c>
      <c r="L53" t="s">
        <v>86</v>
      </c>
      <c r="M53" t="s">
        <v>1195</v>
      </c>
    </row>
    <row r="54" spans="1:13">
      <c r="A54" t="s">
        <v>1198</v>
      </c>
      <c r="B54" t="s">
        <v>1172</v>
      </c>
      <c r="C54" t="s">
        <v>1200</v>
      </c>
      <c r="D54" t="s">
        <v>40</v>
      </c>
      <c r="E54" t="s">
        <v>41</v>
      </c>
      <c r="F54" t="s">
        <v>1416</v>
      </c>
      <c r="G54" t="s">
        <v>1417</v>
      </c>
      <c r="H54">
        <v>0.5</v>
      </c>
      <c r="I54">
        <v>8</v>
      </c>
      <c r="J54" t="s">
        <v>1344</v>
      </c>
      <c r="K54" t="s">
        <v>1309</v>
      </c>
      <c r="L54" t="s">
        <v>86</v>
      </c>
      <c r="M54" t="s">
        <v>1195</v>
      </c>
    </row>
    <row r="55" spans="1:13">
      <c r="A55" t="s">
        <v>1198</v>
      </c>
      <c r="B55" t="s">
        <v>1172</v>
      </c>
      <c r="C55" t="s">
        <v>1200</v>
      </c>
      <c r="D55" t="s">
        <v>44</v>
      </c>
      <c r="E55" t="s">
        <v>163</v>
      </c>
      <c r="F55" t="s">
        <v>163</v>
      </c>
      <c r="G55" t="s">
        <v>1418</v>
      </c>
      <c r="H55">
        <v>0.5</v>
      </c>
      <c r="I55" t="s">
        <v>1345</v>
      </c>
      <c r="J55" t="s">
        <v>1344</v>
      </c>
      <c r="K55" t="s">
        <v>1309</v>
      </c>
      <c r="L55" t="s">
        <v>86</v>
      </c>
      <c r="M55" t="s">
        <v>1195</v>
      </c>
    </row>
    <row r="56" spans="1:13">
      <c r="A56" t="s">
        <v>1198</v>
      </c>
      <c r="B56" t="s">
        <v>1179</v>
      </c>
      <c r="C56" t="s">
        <v>1180</v>
      </c>
      <c r="D56" t="s">
        <v>40</v>
      </c>
      <c r="E56" t="s">
        <v>368</v>
      </c>
      <c r="G56" t="s">
        <v>1346</v>
      </c>
      <c r="H56">
        <v>0.5</v>
      </c>
      <c r="I56">
        <v>8</v>
      </c>
      <c r="J56" t="s">
        <v>1347</v>
      </c>
      <c r="K56" t="s">
        <v>1309</v>
      </c>
      <c r="L56" t="s">
        <v>86</v>
      </c>
      <c r="M56" t="s">
        <v>1195</v>
      </c>
    </row>
    <row r="57" spans="1:13">
      <c r="A57" t="s">
        <v>1198</v>
      </c>
      <c r="B57" t="s">
        <v>1179</v>
      </c>
      <c r="C57" t="s">
        <v>1180</v>
      </c>
      <c r="D57" t="s">
        <v>44</v>
      </c>
      <c r="E57" t="s">
        <v>163</v>
      </c>
      <c r="F57" t="s">
        <v>369</v>
      </c>
      <c r="G57" t="s">
        <v>1348</v>
      </c>
      <c r="H57">
        <v>0.5</v>
      </c>
      <c r="I57">
        <v>17</v>
      </c>
      <c r="J57" t="s">
        <v>1347</v>
      </c>
      <c r="K57" t="s">
        <v>1309</v>
      </c>
      <c r="L57" t="s">
        <v>86</v>
      </c>
      <c r="M57" t="s">
        <v>1195</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934D-3D95-403F-A8E4-DF26A5EDA21F}">
  <sheetPr codeName="Sheet36"/>
  <dimension ref="A1:I81"/>
  <sheetViews>
    <sheetView workbookViewId="0">
      <selection sqref="A1:I75"/>
    </sheetView>
  </sheetViews>
  <sheetFormatPr defaultColWidth="8.85546875" defaultRowHeight="15"/>
  <cols>
    <col min="1" max="1" width="49" bestFit="1" customWidth="1"/>
    <col min="2" max="2" width="24.5703125" bestFit="1" customWidth="1"/>
    <col min="3" max="3" width="14.85546875" bestFit="1" customWidth="1"/>
    <col min="4" max="4" width="65.5703125" bestFit="1" customWidth="1"/>
    <col min="5" max="5" width="13.42578125" bestFit="1" customWidth="1"/>
    <col min="6" max="6" width="81.140625" bestFit="1" customWidth="1"/>
    <col min="7" max="7" width="13.42578125" bestFit="1" customWidth="1"/>
    <col min="8" max="8" width="12.7109375" bestFit="1" customWidth="1"/>
    <col min="9" max="9" width="12.140625" bestFit="1" customWidth="1"/>
  </cols>
  <sheetData>
    <row r="1" spans="1:9">
      <c r="A1" t="s">
        <v>1189</v>
      </c>
      <c r="B1" t="s">
        <v>1190</v>
      </c>
      <c r="C1" t="s">
        <v>1159</v>
      </c>
      <c r="D1" t="s">
        <v>1160</v>
      </c>
      <c r="E1" t="s">
        <v>26</v>
      </c>
      <c r="F1" t="s">
        <v>27</v>
      </c>
      <c r="G1" t="s">
        <v>1191</v>
      </c>
      <c r="H1" t="s">
        <v>1248</v>
      </c>
      <c r="I1" t="s">
        <v>1192</v>
      </c>
    </row>
    <row r="2" spans="1:9">
      <c r="A2" s="108" t="s">
        <v>1203</v>
      </c>
      <c r="B2" t="s">
        <v>86</v>
      </c>
      <c r="C2" t="s">
        <v>143</v>
      </c>
      <c r="D2" s="108" t="s">
        <v>144</v>
      </c>
      <c r="E2" t="s">
        <v>28</v>
      </c>
      <c r="F2" t="s">
        <v>159</v>
      </c>
      <c r="G2" t="s">
        <v>1349</v>
      </c>
      <c r="H2" t="s">
        <v>1350</v>
      </c>
      <c r="I2" t="s">
        <v>1195</v>
      </c>
    </row>
    <row r="3" spans="1:9">
      <c r="A3" s="108" t="s">
        <v>1203</v>
      </c>
      <c r="B3" t="s">
        <v>86</v>
      </c>
      <c r="C3" t="s">
        <v>143</v>
      </c>
      <c r="D3" s="108" t="s">
        <v>144</v>
      </c>
      <c r="E3" t="s">
        <v>29</v>
      </c>
      <c r="F3" t="s">
        <v>161</v>
      </c>
      <c r="G3" t="s">
        <v>1349</v>
      </c>
      <c r="H3" t="s">
        <v>1350</v>
      </c>
      <c r="I3" t="s">
        <v>1195</v>
      </c>
    </row>
    <row r="4" spans="1:9">
      <c r="A4" s="108" t="s">
        <v>1203</v>
      </c>
      <c r="B4" t="s">
        <v>86</v>
      </c>
      <c r="C4" t="s">
        <v>193</v>
      </c>
      <c r="D4" s="108" t="s">
        <v>1283</v>
      </c>
      <c r="E4" t="s">
        <v>28</v>
      </c>
      <c r="F4" t="s">
        <v>206</v>
      </c>
      <c r="G4" t="s">
        <v>1351</v>
      </c>
      <c r="H4" t="s">
        <v>1350</v>
      </c>
      <c r="I4" t="s">
        <v>1195</v>
      </c>
    </row>
    <row r="5" spans="1:9">
      <c r="A5" s="108" t="s">
        <v>1203</v>
      </c>
      <c r="B5" t="s">
        <v>86</v>
      </c>
      <c r="C5" t="s">
        <v>193</v>
      </c>
      <c r="D5" s="108" t="s">
        <v>1283</v>
      </c>
      <c r="E5" t="s">
        <v>29</v>
      </c>
      <c r="F5" t="s">
        <v>207</v>
      </c>
      <c r="G5" t="s">
        <v>1351</v>
      </c>
      <c r="H5" t="s">
        <v>1350</v>
      </c>
      <c r="I5" t="s">
        <v>1195</v>
      </c>
    </row>
    <row r="6" spans="1:9">
      <c r="A6" s="108" t="s">
        <v>1203</v>
      </c>
      <c r="B6" t="s">
        <v>86</v>
      </c>
      <c r="C6" t="s">
        <v>193</v>
      </c>
      <c r="D6" s="108" t="s">
        <v>1283</v>
      </c>
      <c r="E6" t="s">
        <v>30</v>
      </c>
      <c r="F6" t="s">
        <v>208</v>
      </c>
      <c r="G6" t="s">
        <v>1351</v>
      </c>
      <c r="H6" t="s">
        <v>1350</v>
      </c>
      <c r="I6" t="s">
        <v>1195</v>
      </c>
    </row>
    <row r="7" spans="1:9">
      <c r="A7" s="108" t="s">
        <v>1198</v>
      </c>
      <c r="B7" t="s">
        <v>86</v>
      </c>
      <c r="C7" t="s">
        <v>1165</v>
      </c>
      <c r="D7" s="108" t="s">
        <v>1166</v>
      </c>
      <c r="E7" t="s">
        <v>28</v>
      </c>
      <c r="F7" t="s">
        <v>1421</v>
      </c>
      <c r="G7" t="s">
        <v>1352</v>
      </c>
      <c r="H7" t="s">
        <v>1350</v>
      </c>
      <c r="I7" t="s">
        <v>1195</v>
      </c>
    </row>
    <row r="8" spans="1:9">
      <c r="A8" s="108" t="s">
        <v>1198</v>
      </c>
      <c r="B8" t="s">
        <v>86</v>
      </c>
      <c r="C8" t="s">
        <v>1165</v>
      </c>
      <c r="D8" s="108" t="s">
        <v>1166</v>
      </c>
      <c r="E8" t="s">
        <v>29</v>
      </c>
      <c r="F8" t="s">
        <v>1422</v>
      </c>
      <c r="G8" t="s">
        <v>1352</v>
      </c>
      <c r="H8" t="s">
        <v>1350</v>
      </c>
      <c r="I8" t="s">
        <v>1195</v>
      </c>
    </row>
    <row r="9" spans="1:9">
      <c r="A9" s="108" t="s">
        <v>1198</v>
      </c>
      <c r="B9" t="s">
        <v>86</v>
      </c>
      <c r="C9" t="s">
        <v>1165</v>
      </c>
      <c r="D9" s="108" t="s">
        <v>1166</v>
      </c>
      <c r="E9" t="s">
        <v>30</v>
      </c>
      <c r="F9" t="s">
        <v>1423</v>
      </c>
      <c r="G9" t="s">
        <v>1352</v>
      </c>
      <c r="H9" t="s">
        <v>1350</v>
      </c>
      <c r="I9" t="s">
        <v>1195</v>
      </c>
    </row>
    <row r="10" spans="1:9">
      <c r="A10" s="108" t="s">
        <v>1203</v>
      </c>
      <c r="B10" t="s">
        <v>86</v>
      </c>
      <c r="C10" t="s">
        <v>289</v>
      </c>
      <c r="D10" s="108" t="s">
        <v>291</v>
      </c>
      <c r="E10" t="s">
        <v>28</v>
      </c>
      <c r="F10" t="s">
        <v>303</v>
      </c>
      <c r="G10" t="s">
        <v>1353</v>
      </c>
      <c r="H10" t="s">
        <v>1350</v>
      </c>
      <c r="I10" t="s">
        <v>1195</v>
      </c>
    </row>
    <row r="11" spans="1:9">
      <c r="A11" s="108" t="s">
        <v>1203</v>
      </c>
      <c r="B11" t="s">
        <v>86</v>
      </c>
      <c r="C11" t="s">
        <v>289</v>
      </c>
      <c r="D11" s="108" t="s">
        <v>291</v>
      </c>
      <c r="E11" t="s">
        <v>29</v>
      </c>
      <c r="F11" t="s">
        <v>305</v>
      </c>
      <c r="G11" t="s">
        <v>1353</v>
      </c>
      <c r="H11" t="s">
        <v>1350</v>
      </c>
      <c r="I11" t="s">
        <v>1195</v>
      </c>
    </row>
    <row r="12" spans="1:9">
      <c r="A12" s="108" t="s">
        <v>1203</v>
      </c>
      <c r="B12" t="s">
        <v>86</v>
      </c>
      <c r="C12" t="s">
        <v>289</v>
      </c>
      <c r="D12" s="108" t="s">
        <v>291</v>
      </c>
      <c r="E12" t="s">
        <v>30</v>
      </c>
      <c r="F12" t="s">
        <v>307</v>
      </c>
      <c r="G12" t="s">
        <v>1353</v>
      </c>
      <c r="H12" t="s">
        <v>1350</v>
      </c>
      <c r="I12" t="s">
        <v>1195</v>
      </c>
    </row>
    <row r="13" spans="1:9">
      <c r="A13" s="108" t="s">
        <v>1203</v>
      </c>
      <c r="B13" t="s">
        <v>86</v>
      </c>
      <c r="C13" t="s">
        <v>80</v>
      </c>
      <c r="D13" s="108" t="s">
        <v>1243</v>
      </c>
      <c r="E13" t="s">
        <v>28</v>
      </c>
      <c r="F13" t="s">
        <v>92</v>
      </c>
      <c r="G13" t="s">
        <v>1354</v>
      </c>
      <c r="H13" t="s">
        <v>1350</v>
      </c>
      <c r="I13" t="s">
        <v>1195</v>
      </c>
    </row>
    <row r="14" spans="1:9">
      <c r="A14" s="108" t="s">
        <v>1203</v>
      </c>
      <c r="B14" t="s">
        <v>86</v>
      </c>
      <c r="C14" t="s">
        <v>80</v>
      </c>
      <c r="D14" s="108" t="s">
        <v>1243</v>
      </c>
      <c r="E14" t="s">
        <v>29</v>
      </c>
      <c r="F14" t="s">
        <v>93</v>
      </c>
      <c r="G14" t="s">
        <v>1354</v>
      </c>
      <c r="H14" t="s">
        <v>1350</v>
      </c>
      <c r="I14" t="s">
        <v>1195</v>
      </c>
    </row>
    <row r="15" spans="1:9">
      <c r="A15" s="108" t="s">
        <v>1203</v>
      </c>
      <c r="B15" t="s">
        <v>86</v>
      </c>
      <c r="C15" t="s">
        <v>80</v>
      </c>
      <c r="D15" s="108" t="s">
        <v>1243</v>
      </c>
      <c r="E15" t="s">
        <v>30</v>
      </c>
      <c r="F15" t="s">
        <v>94</v>
      </c>
      <c r="G15" t="s">
        <v>1354</v>
      </c>
      <c r="H15" t="s">
        <v>1350</v>
      </c>
      <c r="I15" t="s">
        <v>1195</v>
      </c>
    </row>
    <row r="16" spans="1:9">
      <c r="A16" s="108" t="s">
        <v>1203</v>
      </c>
      <c r="B16" t="s">
        <v>86</v>
      </c>
      <c r="C16" t="s">
        <v>255</v>
      </c>
      <c r="D16" s="108" t="s">
        <v>1171</v>
      </c>
      <c r="E16" t="s">
        <v>28</v>
      </c>
      <c r="F16" t="s">
        <v>268</v>
      </c>
      <c r="G16" t="s">
        <v>1355</v>
      </c>
      <c r="H16" t="s">
        <v>1350</v>
      </c>
      <c r="I16" t="s">
        <v>1195</v>
      </c>
    </row>
    <row r="17" spans="1:9">
      <c r="A17" s="108" t="s">
        <v>1203</v>
      </c>
      <c r="B17" t="s">
        <v>86</v>
      </c>
      <c r="C17" t="s">
        <v>255</v>
      </c>
      <c r="D17" s="108" t="s">
        <v>1171</v>
      </c>
      <c r="E17" t="s">
        <v>29</v>
      </c>
      <c r="F17" t="s">
        <v>269</v>
      </c>
      <c r="G17" t="s">
        <v>1355</v>
      </c>
      <c r="H17" t="s">
        <v>1350</v>
      </c>
      <c r="I17" t="s">
        <v>1195</v>
      </c>
    </row>
    <row r="18" spans="1:9">
      <c r="A18" s="108" t="s">
        <v>1203</v>
      </c>
      <c r="B18" t="s">
        <v>86</v>
      </c>
      <c r="C18" t="s">
        <v>351</v>
      </c>
      <c r="D18" s="108" t="s">
        <v>353</v>
      </c>
      <c r="E18" t="s">
        <v>28</v>
      </c>
      <c r="F18" t="s">
        <v>364</v>
      </c>
      <c r="G18" t="s">
        <v>1356</v>
      </c>
      <c r="H18" t="s">
        <v>1350</v>
      </c>
      <c r="I18" t="s">
        <v>1195</v>
      </c>
    </row>
    <row r="19" spans="1:9">
      <c r="A19" s="108" t="s">
        <v>1203</v>
      </c>
      <c r="B19" t="s">
        <v>86</v>
      </c>
      <c r="C19" t="s">
        <v>351</v>
      </c>
      <c r="D19" s="108" t="s">
        <v>353</v>
      </c>
      <c r="E19" t="s">
        <v>29</v>
      </c>
      <c r="F19" t="s">
        <v>365</v>
      </c>
      <c r="G19" t="s">
        <v>1356</v>
      </c>
      <c r="H19" t="s">
        <v>1350</v>
      </c>
      <c r="I19" t="s">
        <v>1195</v>
      </c>
    </row>
    <row r="20" spans="1:9">
      <c r="A20" s="108" t="s">
        <v>1203</v>
      </c>
      <c r="B20" t="s">
        <v>86</v>
      </c>
      <c r="C20" t="s">
        <v>351</v>
      </c>
      <c r="D20" s="108" t="s">
        <v>353</v>
      </c>
      <c r="E20" t="s">
        <v>30</v>
      </c>
      <c r="F20" t="s">
        <v>366</v>
      </c>
      <c r="G20" t="s">
        <v>1356</v>
      </c>
      <c r="H20" t="s">
        <v>1350</v>
      </c>
      <c r="I20" t="s">
        <v>1195</v>
      </c>
    </row>
    <row r="21" spans="1:9">
      <c r="A21" s="108" t="s">
        <v>1203</v>
      </c>
      <c r="B21" t="s">
        <v>86</v>
      </c>
      <c r="C21" t="s">
        <v>491</v>
      </c>
      <c r="D21" s="108" t="s">
        <v>492</v>
      </c>
      <c r="E21" t="s">
        <v>28</v>
      </c>
      <c r="F21" t="s">
        <v>504</v>
      </c>
      <c r="G21" t="s">
        <v>1357</v>
      </c>
      <c r="H21" t="s">
        <v>1350</v>
      </c>
      <c r="I21" t="s">
        <v>1195</v>
      </c>
    </row>
    <row r="22" spans="1:9">
      <c r="A22" s="108" t="s">
        <v>1203</v>
      </c>
      <c r="B22" t="s">
        <v>86</v>
      </c>
      <c r="C22" t="s">
        <v>491</v>
      </c>
      <c r="D22" s="108" t="s">
        <v>492</v>
      </c>
      <c r="E22" t="s">
        <v>29</v>
      </c>
      <c r="F22" t="s">
        <v>505</v>
      </c>
      <c r="G22" t="s">
        <v>1357</v>
      </c>
      <c r="H22" t="s">
        <v>1350</v>
      </c>
      <c r="I22" t="s">
        <v>1195</v>
      </c>
    </row>
    <row r="23" spans="1:9">
      <c r="A23" s="108" t="s">
        <v>1198</v>
      </c>
      <c r="B23" t="s">
        <v>86</v>
      </c>
      <c r="C23" t="s">
        <v>1172</v>
      </c>
      <c r="D23" s="108" t="s">
        <v>1200</v>
      </c>
      <c r="E23" t="s">
        <v>28</v>
      </c>
      <c r="F23" t="s">
        <v>1358</v>
      </c>
      <c r="G23" t="s">
        <v>1359</v>
      </c>
      <c r="H23" t="s">
        <v>1350</v>
      </c>
      <c r="I23" t="s">
        <v>1195</v>
      </c>
    </row>
    <row r="24" spans="1:9">
      <c r="A24" s="108" t="s">
        <v>1198</v>
      </c>
      <c r="B24" t="s">
        <v>86</v>
      </c>
      <c r="C24" t="s">
        <v>1172</v>
      </c>
      <c r="D24" s="108" t="s">
        <v>1200</v>
      </c>
      <c r="E24" t="s">
        <v>29</v>
      </c>
      <c r="F24" t="s">
        <v>1360</v>
      </c>
      <c r="G24" t="s">
        <v>1359</v>
      </c>
      <c r="H24" t="s">
        <v>1350</v>
      </c>
      <c r="I24" t="s">
        <v>1195</v>
      </c>
    </row>
    <row r="25" spans="1:9">
      <c r="A25" s="108" t="s">
        <v>1203</v>
      </c>
      <c r="B25" t="s">
        <v>86</v>
      </c>
      <c r="C25" t="s">
        <v>382</v>
      </c>
      <c r="D25" s="108" t="s">
        <v>384</v>
      </c>
      <c r="E25" t="s">
        <v>28</v>
      </c>
      <c r="F25" t="s">
        <v>391</v>
      </c>
      <c r="G25" t="s">
        <v>1361</v>
      </c>
      <c r="H25" t="s">
        <v>1350</v>
      </c>
      <c r="I25" t="s">
        <v>1195</v>
      </c>
    </row>
    <row r="26" spans="1:9">
      <c r="A26" s="108" t="s">
        <v>1203</v>
      </c>
      <c r="B26" t="s">
        <v>86</v>
      </c>
      <c r="C26" t="s">
        <v>382</v>
      </c>
      <c r="D26" s="108" t="s">
        <v>384</v>
      </c>
      <c r="E26" t="s">
        <v>29</v>
      </c>
      <c r="F26" t="s">
        <v>392</v>
      </c>
      <c r="G26" t="s">
        <v>1361</v>
      </c>
      <c r="H26" t="s">
        <v>1350</v>
      </c>
      <c r="I26" t="s">
        <v>1195</v>
      </c>
    </row>
    <row r="27" spans="1:9">
      <c r="A27" s="108" t="s">
        <v>1203</v>
      </c>
      <c r="B27" t="s">
        <v>86</v>
      </c>
      <c r="C27" t="s">
        <v>382</v>
      </c>
      <c r="D27" s="108" t="s">
        <v>384</v>
      </c>
      <c r="E27" t="s">
        <v>30</v>
      </c>
      <c r="F27" t="s">
        <v>393</v>
      </c>
      <c r="G27" t="s">
        <v>1361</v>
      </c>
      <c r="H27" t="s">
        <v>1350</v>
      </c>
      <c r="I27" t="s">
        <v>1195</v>
      </c>
    </row>
    <row r="28" spans="1:9">
      <c r="A28" s="108" t="s">
        <v>1203</v>
      </c>
      <c r="B28" t="s">
        <v>86</v>
      </c>
      <c r="C28" t="s">
        <v>410</v>
      </c>
      <c r="D28" s="108" t="s">
        <v>412</v>
      </c>
      <c r="E28" t="s">
        <v>28</v>
      </c>
      <c r="F28" t="s">
        <v>423</v>
      </c>
      <c r="G28" t="s">
        <v>1362</v>
      </c>
      <c r="H28" t="s">
        <v>1350</v>
      </c>
      <c r="I28" t="s">
        <v>1195</v>
      </c>
    </row>
    <row r="29" spans="1:9">
      <c r="A29" s="108" t="s">
        <v>1203</v>
      </c>
      <c r="B29" t="s">
        <v>86</v>
      </c>
      <c r="C29" t="s">
        <v>410</v>
      </c>
      <c r="D29" s="108" t="s">
        <v>412</v>
      </c>
      <c r="E29" t="s">
        <v>29</v>
      </c>
      <c r="F29" t="s">
        <v>425</v>
      </c>
      <c r="G29" t="s">
        <v>1362</v>
      </c>
      <c r="H29" t="s">
        <v>1350</v>
      </c>
      <c r="I29" t="s">
        <v>1195</v>
      </c>
    </row>
    <row r="30" spans="1:9">
      <c r="A30" s="108" t="s">
        <v>1203</v>
      </c>
      <c r="B30" t="s">
        <v>86</v>
      </c>
      <c r="C30" t="s">
        <v>410</v>
      </c>
      <c r="D30" s="108" t="s">
        <v>412</v>
      </c>
      <c r="E30" t="s">
        <v>30</v>
      </c>
      <c r="F30" t="s">
        <v>427</v>
      </c>
      <c r="G30" t="s">
        <v>1362</v>
      </c>
      <c r="H30" t="s">
        <v>1350</v>
      </c>
      <c r="I30" t="s">
        <v>1195</v>
      </c>
    </row>
    <row r="31" spans="1:9">
      <c r="A31" s="108" t="s">
        <v>1203</v>
      </c>
      <c r="B31" t="s">
        <v>86</v>
      </c>
      <c r="C31" t="s">
        <v>456</v>
      </c>
      <c r="D31" s="108" t="s">
        <v>1175</v>
      </c>
      <c r="E31" t="s">
        <v>28</v>
      </c>
      <c r="F31" t="s">
        <v>463</v>
      </c>
      <c r="G31" t="s">
        <v>1363</v>
      </c>
      <c r="H31" t="s">
        <v>1350</v>
      </c>
      <c r="I31" t="s">
        <v>1195</v>
      </c>
    </row>
    <row r="32" spans="1:9">
      <c r="A32" s="108" t="s">
        <v>1203</v>
      </c>
      <c r="B32" t="s">
        <v>86</v>
      </c>
      <c r="C32" t="s">
        <v>456</v>
      </c>
      <c r="D32" s="108" t="s">
        <v>1175</v>
      </c>
      <c r="E32" t="s">
        <v>29</v>
      </c>
      <c r="F32" t="s">
        <v>464</v>
      </c>
      <c r="G32" t="s">
        <v>1363</v>
      </c>
      <c r="H32" t="s">
        <v>1350</v>
      </c>
      <c r="I32" t="s">
        <v>1195</v>
      </c>
    </row>
    <row r="33" spans="1:9">
      <c r="A33" s="108" t="s">
        <v>1198</v>
      </c>
      <c r="B33" t="s">
        <v>86</v>
      </c>
      <c r="C33" t="s">
        <v>1179</v>
      </c>
      <c r="D33" s="108" t="s">
        <v>1180</v>
      </c>
      <c r="E33" t="s">
        <v>28</v>
      </c>
      <c r="F33" t="s">
        <v>1364</v>
      </c>
      <c r="G33" t="s">
        <v>1365</v>
      </c>
      <c r="H33" t="s">
        <v>1350</v>
      </c>
      <c r="I33" t="s">
        <v>1195</v>
      </c>
    </row>
    <row r="34" spans="1:9">
      <c r="A34" s="108" t="s">
        <v>1198</v>
      </c>
      <c r="B34" t="s">
        <v>86</v>
      </c>
      <c r="C34" t="s">
        <v>1179</v>
      </c>
      <c r="D34" s="108" t="s">
        <v>1180</v>
      </c>
      <c r="E34" t="s">
        <v>29</v>
      </c>
      <c r="F34" t="s">
        <v>1366</v>
      </c>
      <c r="G34" t="s">
        <v>1365</v>
      </c>
      <c r="H34" t="s">
        <v>1350</v>
      </c>
      <c r="I34" t="s">
        <v>1195</v>
      </c>
    </row>
    <row r="35" spans="1:9">
      <c r="A35" s="108" t="s">
        <v>1198</v>
      </c>
      <c r="B35" t="s">
        <v>86</v>
      </c>
      <c r="C35" t="s">
        <v>1179</v>
      </c>
      <c r="D35" s="108" t="s">
        <v>1180</v>
      </c>
      <c r="E35" t="s">
        <v>30</v>
      </c>
      <c r="F35" t="s">
        <v>1367</v>
      </c>
      <c r="G35" t="s">
        <v>1365</v>
      </c>
      <c r="H35" t="s">
        <v>1350</v>
      </c>
      <c r="I35" t="s">
        <v>1195</v>
      </c>
    </row>
    <row r="36" spans="1:9">
      <c r="A36" s="108" t="s">
        <v>1203</v>
      </c>
      <c r="B36" t="s">
        <v>86</v>
      </c>
      <c r="C36" t="s">
        <v>937</v>
      </c>
      <c r="D36" s="108" t="s">
        <v>939</v>
      </c>
      <c r="E36" t="s">
        <v>28</v>
      </c>
      <c r="F36" t="s">
        <v>956</v>
      </c>
      <c r="G36" t="s">
        <v>1368</v>
      </c>
      <c r="H36" t="s">
        <v>1350</v>
      </c>
      <c r="I36" t="s">
        <v>1195</v>
      </c>
    </row>
    <row r="37" spans="1:9">
      <c r="A37" s="108" t="s">
        <v>1203</v>
      </c>
      <c r="B37" t="s">
        <v>86</v>
      </c>
      <c r="C37" t="s">
        <v>937</v>
      </c>
      <c r="D37" s="108" t="s">
        <v>939</v>
      </c>
      <c r="E37" t="s">
        <v>29</v>
      </c>
      <c r="F37" t="s">
        <v>958</v>
      </c>
      <c r="G37" t="s">
        <v>1368</v>
      </c>
      <c r="H37" t="s">
        <v>1350</v>
      </c>
      <c r="I37" t="s">
        <v>1195</v>
      </c>
    </row>
    <row r="38" spans="1:9">
      <c r="A38" s="108" t="s">
        <v>1203</v>
      </c>
      <c r="B38" t="s">
        <v>86</v>
      </c>
      <c r="C38" t="s">
        <v>937</v>
      </c>
      <c r="D38" s="108" t="s">
        <v>939</v>
      </c>
      <c r="E38" t="s">
        <v>30</v>
      </c>
      <c r="F38" t="s">
        <v>960</v>
      </c>
      <c r="G38" t="s">
        <v>1368</v>
      </c>
      <c r="H38" t="s">
        <v>1350</v>
      </c>
      <c r="I38" t="s">
        <v>1195</v>
      </c>
    </row>
    <row r="39" spans="1:9">
      <c r="A39" s="108" t="s">
        <v>1203</v>
      </c>
      <c r="B39" t="s">
        <v>86</v>
      </c>
      <c r="C39" t="s">
        <v>991</v>
      </c>
      <c r="D39" s="108" t="s">
        <v>993</v>
      </c>
      <c r="E39" t="s">
        <v>28</v>
      </c>
      <c r="F39" t="s">
        <v>1004</v>
      </c>
      <c r="G39" t="s">
        <v>1369</v>
      </c>
      <c r="H39" t="s">
        <v>1350</v>
      </c>
      <c r="I39" t="s">
        <v>1195</v>
      </c>
    </row>
    <row r="40" spans="1:9">
      <c r="A40" s="108" t="s">
        <v>1203</v>
      </c>
      <c r="B40" t="s">
        <v>86</v>
      </c>
      <c r="C40" t="s">
        <v>991</v>
      </c>
      <c r="D40" s="108" t="s">
        <v>993</v>
      </c>
      <c r="E40" t="s">
        <v>29</v>
      </c>
      <c r="F40" t="s">
        <v>1006</v>
      </c>
      <c r="G40" t="s">
        <v>1369</v>
      </c>
      <c r="H40" t="s">
        <v>1350</v>
      </c>
      <c r="I40" t="s">
        <v>1195</v>
      </c>
    </row>
    <row r="41" spans="1:9">
      <c r="A41" s="108" t="s">
        <v>1203</v>
      </c>
      <c r="B41" t="s">
        <v>86</v>
      </c>
      <c r="C41" t="s">
        <v>991</v>
      </c>
      <c r="D41" s="108" t="s">
        <v>993</v>
      </c>
      <c r="E41" t="s">
        <v>30</v>
      </c>
      <c r="F41" t="s">
        <v>1008</v>
      </c>
      <c r="G41" t="s">
        <v>1369</v>
      </c>
      <c r="H41" t="s">
        <v>1350</v>
      </c>
      <c r="I41" t="s">
        <v>1195</v>
      </c>
    </row>
    <row r="42" spans="1:9">
      <c r="A42" s="108" t="s">
        <v>1203</v>
      </c>
      <c r="B42" t="s">
        <v>86</v>
      </c>
      <c r="C42" t="s">
        <v>1038</v>
      </c>
      <c r="D42" s="108" t="s">
        <v>1040</v>
      </c>
      <c r="E42" t="s">
        <v>28</v>
      </c>
      <c r="F42" t="s">
        <v>1050</v>
      </c>
      <c r="G42" t="s">
        <v>1370</v>
      </c>
      <c r="H42" t="s">
        <v>1350</v>
      </c>
      <c r="I42" t="s">
        <v>1195</v>
      </c>
    </row>
    <row r="43" spans="1:9">
      <c r="A43" s="108" t="s">
        <v>1203</v>
      </c>
      <c r="B43" t="s">
        <v>86</v>
      </c>
      <c r="C43" t="s">
        <v>1038</v>
      </c>
      <c r="D43" s="108" t="s">
        <v>1040</v>
      </c>
      <c r="E43" t="s">
        <v>29</v>
      </c>
      <c r="F43" t="s">
        <v>1052</v>
      </c>
      <c r="G43" t="s">
        <v>1370</v>
      </c>
      <c r="H43" t="s">
        <v>1350</v>
      </c>
      <c r="I43" t="s">
        <v>1195</v>
      </c>
    </row>
    <row r="44" spans="1:9">
      <c r="A44" s="108" t="s">
        <v>1203</v>
      </c>
      <c r="B44" t="s">
        <v>86</v>
      </c>
      <c r="C44" t="s">
        <v>1038</v>
      </c>
      <c r="D44" s="108" t="s">
        <v>1040</v>
      </c>
      <c r="E44" t="s">
        <v>30</v>
      </c>
      <c r="F44" t="s">
        <v>1054</v>
      </c>
      <c r="G44" t="s">
        <v>1370</v>
      </c>
      <c r="H44" t="s">
        <v>1350</v>
      </c>
      <c r="I44" t="s">
        <v>1195</v>
      </c>
    </row>
    <row r="45" spans="1:9">
      <c r="A45" s="108" t="s">
        <v>1203</v>
      </c>
      <c r="B45" t="s">
        <v>86</v>
      </c>
      <c r="C45" t="s">
        <v>1070</v>
      </c>
      <c r="D45" s="108" t="s">
        <v>1072</v>
      </c>
      <c r="E45" t="s">
        <v>28</v>
      </c>
      <c r="F45" t="s">
        <v>1078</v>
      </c>
      <c r="G45" t="s">
        <v>1371</v>
      </c>
      <c r="H45" t="s">
        <v>1350</v>
      </c>
      <c r="I45" t="s">
        <v>1195</v>
      </c>
    </row>
    <row r="46" spans="1:9">
      <c r="A46" s="108" t="s">
        <v>1203</v>
      </c>
      <c r="B46" t="s">
        <v>86</v>
      </c>
      <c r="C46" t="s">
        <v>1070</v>
      </c>
      <c r="D46" s="108" t="s">
        <v>1072</v>
      </c>
      <c r="E46" t="s">
        <v>29</v>
      </c>
      <c r="F46" t="s">
        <v>1079</v>
      </c>
      <c r="G46" t="s">
        <v>1371</v>
      </c>
      <c r="H46" t="s">
        <v>1350</v>
      </c>
      <c r="I46" t="s">
        <v>1195</v>
      </c>
    </row>
    <row r="47" spans="1:9">
      <c r="A47" s="108" t="s">
        <v>1193</v>
      </c>
      <c r="B47" t="s">
        <v>86</v>
      </c>
      <c r="C47" t="s">
        <v>1176</v>
      </c>
      <c r="D47" s="108" t="s">
        <v>1177</v>
      </c>
      <c r="E47" t="s">
        <v>28</v>
      </c>
      <c r="F47" t="s">
        <v>1372</v>
      </c>
      <c r="G47" t="s">
        <v>1373</v>
      </c>
      <c r="H47" t="s">
        <v>1350</v>
      </c>
      <c r="I47" t="s">
        <v>1195</v>
      </c>
    </row>
    <row r="48" spans="1:9">
      <c r="A48" s="108" t="s">
        <v>1193</v>
      </c>
      <c r="B48" t="s">
        <v>86</v>
      </c>
      <c r="C48" t="s">
        <v>1176</v>
      </c>
      <c r="D48" s="108" t="s">
        <v>1177</v>
      </c>
      <c r="E48" t="s">
        <v>29</v>
      </c>
      <c r="F48" t="s">
        <v>1419</v>
      </c>
      <c r="G48" t="s">
        <v>1373</v>
      </c>
      <c r="H48" t="s">
        <v>1350</v>
      </c>
      <c r="I48" t="s">
        <v>1195</v>
      </c>
    </row>
    <row r="49" spans="1:9">
      <c r="A49" s="108" t="s">
        <v>1193</v>
      </c>
      <c r="B49" t="s">
        <v>86</v>
      </c>
      <c r="C49" t="s">
        <v>1176</v>
      </c>
      <c r="D49" s="108" t="s">
        <v>1177</v>
      </c>
      <c r="E49" t="s">
        <v>30</v>
      </c>
      <c r="F49" t="s">
        <v>1420</v>
      </c>
      <c r="G49" t="s">
        <v>1373</v>
      </c>
      <c r="H49" t="s">
        <v>1350</v>
      </c>
      <c r="I49" t="s">
        <v>1195</v>
      </c>
    </row>
    <row r="50" spans="1:9">
      <c r="A50" s="108" t="s">
        <v>1196</v>
      </c>
      <c r="B50" t="s">
        <v>86</v>
      </c>
      <c r="C50" t="s">
        <v>1183</v>
      </c>
      <c r="D50" s="108" t="s">
        <v>1186</v>
      </c>
      <c r="E50" t="s">
        <v>28</v>
      </c>
      <c r="F50" t="s">
        <v>1374</v>
      </c>
      <c r="G50" t="s">
        <v>1375</v>
      </c>
      <c r="H50" t="s">
        <v>1350</v>
      </c>
      <c r="I50" t="s">
        <v>1195</v>
      </c>
    </row>
    <row r="51" spans="1:9">
      <c r="A51" s="108" t="s">
        <v>1196</v>
      </c>
      <c r="B51" t="s">
        <v>86</v>
      </c>
      <c r="C51" t="s">
        <v>1183</v>
      </c>
      <c r="D51" s="108" t="s">
        <v>1186</v>
      </c>
      <c r="E51" t="s">
        <v>29</v>
      </c>
      <c r="F51" t="s">
        <v>1376</v>
      </c>
      <c r="G51" t="s">
        <v>1375</v>
      </c>
      <c r="H51" t="s">
        <v>1350</v>
      </c>
      <c r="I51" t="s">
        <v>1195</v>
      </c>
    </row>
    <row r="52" spans="1:9">
      <c r="A52" s="108" t="s">
        <v>1196</v>
      </c>
      <c r="B52" t="s">
        <v>86</v>
      </c>
      <c r="C52" t="s">
        <v>1183</v>
      </c>
      <c r="D52" s="108" t="s">
        <v>1186</v>
      </c>
      <c r="E52" t="s">
        <v>30</v>
      </c>
      <c r="F52" t="s">
        <v>1377</v>
      </c>
      <c r="G52" t="s">
        <v>1375</v>
      </c>
      <c r="H52" t="s">
        <v>1350</v>
      </c>
      <c r="I52" t="s">
        <v>1195</v>
      </c>
    </row>
    <row r="53" spans="1:9">
      <c r="A53" s="108" t="s">
        <v>1203</v>
      </c>
      <c r="B53" t="s">
        <v>86</v>
      </c>
      <c r="C53" t="s">
        <v>545</v>
      </c>
      <c r="D53" s="108" t="s">
        <v>1182</v>
      </c>
      <c r="E53" t="s">
        <v>28</v>
      </c>
      <c r="F53" t="s">
        <v>559</v>
      </c>
      <c r="G53" t="s">
        <v>1378</v>
      </c>
      <c r="H53" t="s">
        <v>1350</v>
      </c>
      <c r="I53" t="s">
        <v>1195</v>
      </c>
    </row>
    <row r="54" spans="1:9">
      <c r="A54" s="108" t="s">
        <v>1203</v>
      </c>
      <c r="B54" t="s">
        <v>86</v>
      </c>
      <c r="C54" t="s">
        <v>545</v>
      </c>
      <c r="D54" s="108" t="s">
        <v>1182</v>
      </c>
      <c r="E54" t="s">
        <v>29</v>
      </c>
      <c r="F54" t="s">
        <v>560</v>
      </c>
      <c r="G54" t="s">
        <v>1378</v>
      </c>
      <c r="H54" t="s">
        <v>1350</v>
      </c>
      <c r="I54" t="s">
        <v>1195</v>
      </c>
    </row>
    <row r="55" spans="1:9">
      <c r="A55" s="108" t="s">
        <v>1203</v>
      </c>
      <c r="B55" t="s">
        <v>86</v>
      </c>
      <c r="C55" t="s">
        <v>545</v>
      </c>
      <c r="D55" s="108" t="s">
        <v>1182</v>
      </c>
      <c r="E55" t="s">
        <v>30</v>
      </c>
      <c r="F55" t="s">
        <v>561</v>
      </c>
      <c r="G55" t="s">
        <v>1378</v>
      </c>
      <c r="H55" t="s">
        <v>1350</v>
      </c>
      <c r="I55" t="s">
        <v>1195</v>
      </c>
    </row>
    <row r="56" spans="1:9">
      <c r="A56" s="108" t="s">
        <v>1203</v>
      </c>
      <c r="B56" t="s">
        <v>86</v>
      </c>
      <c r="C56" t="s">
        <v>545</v>
      </c>
      <c r="D56" s="108" t="s">
        <v>1182</v>
      </c>
      <c r="E56" t="s">
        <v>31</v>
      </c>
      <c r="F56" t="s">
        <v>562</v>
      </c>
      <c r="G56" t="s">
        <v>1378</v>
      </c>
      <c r="H56" t="s">
        <v>1350</v>
      </c>
      <c r="I56" t="s">
        <v>1195</v>
      </c>
    </row>
    <row r="57" spans="1:9">
      <c r="A57" s="108" t="s">
        <v>1203</v>
      </c>
      <c r="B57" t="s">
        <v>86</v>
      </c>
      <c r="C57" t="s">
        <v>633</v>
      </c>
      <c r="D57" s="108" t="s">
        <v>634</v>
      </c>
      <c r="E57" t="s">
        <v>28</v>
      </c>
      <c r="F57" t="s">
        <v>646</v>
      </c>
      <c r="G57" t="s">
        <v>1379</v>
      </c>
      <c r="H57" t="s">
        <v>1350</v>
      </c>
      <c r="I57" t="s">
        <v>1195</v>
      </c>
    </row>
    <row r="58" spans="1:9">
      <c r="A58" s="108" t="s">
        <v>1203</v>
      </c>
      <c r="B58" t="s">
        <v>86</v>
      </c>
      <c r="C58" t="s">
        <v>633</v>
      </c>
      <c r="D58" s="108" t="s">
        <v>634</v>
      </c>
      <c r="E58" t="s">
        <v>29</v>
      </c>
      <c r="F58" t="s">
        <v>648</v>
      </c>
      <c r="G58" t="s">
        <v>1379</v>
      </c>
      <c r="H58" t="s">
        <v>1350</v>
      </c>
      <c r="I58" t="s">
        <v>1195</v>
      </c>
    </row>
    <row r="59" spans="1:9">
      <c r="A59" s="108" t="s">
        <v>1203</v>
      </c>
      <c r="B59" t="s">
        <v>86</v>
      </c>
      <c r="C59" t="s">
        <v>633</v>
      </c>
      <c r="D59" s="108" t="s">
        <v>634</v>
      </c>
      <c r="E59" t="s">
        <v>30</v>
      </c>
      <c r="F59" t="s">
        <v>650</v>
      </c>
      <c r="G59" t="s">
        <v>1379</v>
      </c>
      <c r="H59" t="s">
        <v>1350</v>
      </c>
      <c r="I59" t="s">
        <v>1195</v>
      </c>
    </row>
    <row r="60" spans="1:9">
      <c r="A60" s="108" t="s">
        <v>1203</v>
      </c>
      <c r="B60" t="s">
        <v>86</v>
      </c>
      <c r="C60" t="s">
        <v>633</v>
      </c>
      <c r="D60" s="108" t="s">
        <v>634</v>
      </c>
      <c r="E60" t="s">
        <v>31</v>
      </c>
      <c r="F60" t="s">
        <v>652</v>
      </c>
      <c r="G60" t="s">
        <v>1379</v>
      </c>
      <c r="H60" t="s">
        <v>1350</v>
      </c>
      <c r="I60" t="s">
        <v>1195</v>
      </c>
    </row>
    <row r="61" spans="1:9">
      <c r="A61" s="108" t="s">
        <v>1203</v>
      </c>
      <c r="B61" t="s">
        <v>86</v>
      </c>
      <c r="C61" t="s">
        <v>592</v>
      </c>
      <c r="D61" s="108" t="s">
        <v>594</v>
      </c>
      <c r="E61" t="s">
        <v>28</v>
      </c>
      <c r="F61" t="s">
        <v>600</v>
      </c>
      <c r="G61" t="s">
        <v>1380</v>
      </c>
      <c r="H61" t="s">
        <v>1350</v>
      </c>
      <c r="I61" t="s">
        <v>1195</v>
      </c>
    </row>
    <row r="62" spans="1:9">
      <c r="A62" s="108" t="s">
        <v>1203</v>
      </c>
      <c r="B62" t="s">
        <v>86</v>
      </c>
      <c r="C62" t="s">
        <v>592</v>
      </c>
      <c r="D62" s="108" t="s">
        <v>594</v>
      </c>
      <c r="E62" t="s">
        <v>29</v>
      </c>
      <c r="F62" t="s">
        <v>601</v>
      </c>
      <c r="G62" t="s">
        <v>1380</v>
      </c>
      <c r="H62" t="s">
        <v>1350</v>
      </c>
      <c r="I62" t="s">
        <v>1195</v>
      </c>
    </row>
    <row r="63" spans="1:9">
      <c r="A63" s="108" t="s">
        <v>1203</v>
      </c>
      <c r="B63" t="s">
        <v>86</v>
      </c>
      <c r="C63" t="s">
        <v>592</v>
      </c>
      <c r="D63" s="108" t="s">
        <v>594</v>
      </c>
      <c r="E63" t="s">
        <v>30</v>
      </c>
      <c r="F63" t="s">
        <v>602</v>
      </c>
      <c r="G63" t="s">
        <v>1380</v>
      </c>
      <c r="H63" t="s">
        <v>1350</v>
      </c>
      <c r="I63" t="s">
        <v>1195</v>
      </c>
    </row>
    <row r="64" spans="1:9">
      <c r="A64" s="108" t="s">
        <v>1203</v>
      </c>
      <c r="B64" t="s">
        <v>86</v>
      </c>
      <c r="C64" t="s">
        <v>692</v>
      </c>
      <c r="D64" s="108" t="s">
        <v>694</v>
      </c>
      <c r="E64" t="s">
        <v>28</v>
      </c>
      <c r="F64" t="s">
        <v>701</v>
      </c>
      <c r="G64" t="s">
        <v>1381</v>
      </c>
      <c r="H64" t="s">
        <v>1350</v>
      </c>
      <c r="I64" t="s">
        <v>1195</v>
      </c>
    </row>
    <row r="65" spans="1:9">
      <c r="A65" s="108" t="s">
        <v>1203</v>
      </c>
      <c r="B65" t="s">
        <v>86</v>
      </c>
      <c r="C65" t="s">
        <v>692</v>
      </c>
      <c r="D65" s="108" t="s">
        <v>694</v>
      </c>
      <c r="E65" t="s">
        <v>29</v>
      </c>
      <c r="F65" t="s">
        <v>702</v>
      </c>
      <c r="G65" t="s">
        <v>1381</v>
      </c>
      <c r="H65" t="s">
        <v>1350</v>
      </c>
      <c r="I65" t="s">
        <v>1195</v>
      </c>
    </row>
    <row r="66" spans="1:9">
      <c r="A66" s="108" t="s">
        <v>1203</v>
      </c>
      <c r="B66" t="s">
        <v>86</v>
      </c>
      <c r="C66" t="s">
        <v>692</v>
      </c>
      <c r="D66" s="108" t="s">
        <v>694</v>
      </c>
      <c r="E66" t="s">
        <v>30</v>
      </c>
      <c r="F66" t="s">
        <v>703</v>
      </c>
      <c r="G66" t="s">
        <v>1381</v>
      </c>
      <c r="H66" t="s">
        <v>1350</v>
      </c>
      <c r="I66" t="s">
        <v>1195</v>
      </c>
    </row>
    <row r="67" spans="1:9">
      <c r="A67" s="108" t="s">
        <v>1203</v>
      </c>
      <c r="B67" t="s">
        <v>86</v>
      </c>
      <c r="C67" t="s">
        <v>729</v>
      </c>
      <c r="D67" s="108" t="s">
        <v>1184</v>
      </c>
      <c r="E67" t="s">
        <v>28</v>
      </c>
      <c r="F67" t="s">
        <v>743</v>
      </c>
      <c r="G67" t="s">
        <v>1382</v>
      </c>
      <c r="H67" t="s">
        <v>1350</v>
      </c>
      <c r="I67" t="s">
        <v>1195</v>
      </c>
    </row>
    <row r="68" spans="1:9">
      <c r="A68" s="108" t="s">
        <v>1203</v>
      </c>
      <c r="B68" t="s">
        <v>86</v>
      </c>
      <c r="C68" t="s">
        <v>729</v>
      </c>
      <c r="D68" s="108" t="s">
        <v>1184</v>
      </c>
      <c r="E68" t="s">
        <v>29</v>
      </c>
      <c r="F68" t="s">
        <v>744</v>
      </c>
      <c r="G68" t="s">
        <v>1382</v>
      </c>
      <c r="H68" t="s">
        <v>1350</v>
      </c>
      <c r="I68" t="s">
        <v>1195</v>
      </c>
    </row>
    <row r="69" spans="1:9">
      <c r="A69" s="108" t="s">
        <v>1203</v>
      </c>
      <c r="B69" t="s">
        <v>86</v>
      </c>
      <c r="C69" t="s">
        <v>770</v>
      </c>
      <c r="D69" s="108" t="s">
        <v>1387</v>
      </c>
      <c r="E69" t="s">
        <v>28</v>
      </c>
      <c r="F69" t="s">
        <v>783</v>
      </c>
      <c r="G69" t="s">
        <v>1383</v>
      </c>
      <c r="H69" t="s">
        <v>1350</v>
      </c>
      <c r="I69" t="s">
        <v>1195</v>
      </c>
    </row>
    <row r="70" spans="1:9">
      <c r="A70" s="108" t="s">
        <v>1203</v>
      </c>
      <c r="B70" t="s">
        <v>86</v>
      </c>
      <c r="C70" t="s">
        <v>770</v>
      </c>
      <c r="D70" s="108" t="s">
        <v>1387</v>
      </c>
      <c r="E70" t="s">
        <v>29</v>
      </c>
      <c r="F70" t="s">
        <v>784</v>
      </c>
      <c r="G70" t="s">
        <v>1383</v>
      </c>
      <c r="H70" t="s">
        <v>1350</v>
      </c>
      <c r="I70" t="s">
        <v>1195</v>
      </c>
    </row>
    <row r="71" spans="1:9">
      <c r="A71" s="108" t="s">
        <v>1203</v>
      </c>
      <c r="B71" t="s">
        <v>86</v>
      </c>
      <c r="C71" t="s">
        <v>770</v>
      </c>
      <c r="D71" s="108" t="s">
        <v>1387</v>
      </c>
      <c r="E71" t="s">
        <v>30</v>
      </c>
      <c r="F71" t="s">
        <v>785</v>
      </c>
      <c r="G71" t="s">
        <v>1383</v>
      </c>
      <c r="H71" t="s">
        <v>1350</v>
      </c>
      <c r="I71" t="s">
        <v>1195</v>
      </c>
    </row>
    <row r="72" spans="1:9">
      <c r="A72" s="108" t="s">
        <v>1203</v>
      </c>
      <c r="B72" t="s">
        <v>86</v>
      </c>
      <c r="C72" t="s">
        <v>770</v>
      </c>
      <c r="D72" s="108" t="s">
        <v>1387</v>
      </c>
      <c r="E72" t="s">
        <v>31</v>
      </c>
      <c r="F72" t="s">
        <v>786</v>
      </c>
      <c r="G72" t="s">
        <v>1383</v>
      </c>
      <c r="H72" t="s">
        <v>1350</v>
      </c>
      <c r="I72" t="s">
        <v>1195</v>
      </c>
    </row>
    <row r="73" spans="1:9">
      <c r="A73" s="108" t="s">
        <v>1203</v>
      </c>
      <c r="B73" t="s">
        <v>86</v>
      </c>
      <c r="C73" t="s">
        <v>770</v>
      </c>
      <c r="D73" s="108" t="s">
        <v>1387</v>
      </c>
      <c r="E73" t="s">
        <v>32</v>
      </c>
      <c r="F73" t="s">
        <v>787</v>
      </c>
      <c r="G73" t="s">
        <v>1383</v>
      </c>
      <c r="H73" t="s">
        <v>1350</v>
      </c>
      <c r="I73" t="s">
        <v>1195</v>
      </c>
    </row>
    <row r="74" spans="1:9">
      <c r="A74" s="108" t="s">
        <v>1203</v>
      </c>
      <c r="B74" t="s">
        <v>86</v>
      </c>
      <c r="C74" t="s">
        <v>807</v>
      </c>
      <c r="D74" s="108" t="s">
        <v>808</v>
      </c>
      <c r="E74" t="s">
        <v>28</v>
      </c>
      <c r="F74" t="s">
        <v>819</v>
      </c>
      <c r="G74" t="s">
        <v>1384</v>
      </c>
      <c r="H74" t="s">
        <v>1350</v>
      </c>
      <c r="I74" t="s">
        <v>1195</v>
      </c>
    </row>
    <row r="75" spans="1:9">
      <c r="A75" s="108" t="s">
        <v>1203</v>
      </c>
      <c r="B75" t="s">
        <v>86</v>
      </c>
      <c r="C75" t="s">
        <v>807</v>
      </c>
      <c r="D75" s="108" t="s">
        <v>808</v>
      </c>
      <c r="E75" t="s">
        <v>29</v>
      </c>
      <c r="F75" t="s">
        <v>821</v>
      </c>
      <c r="G75" t="s">
        <v>1384</v>
      </c>
      <c r="H75" t="s">
        <v>1350</v>
      </c>
      <c r="I75" t="s">
        <v>1195</v>
      </c>
    </row>
    <row r="76" spans="1:9">
      <c r="A76" s="108" t="s">
        <v>1203</v>
      </c>
      <c r="B76" t="s">
        <v>86</v>
      </c>
      <c r="C76" t="s">
        <v>856</v>
      </c>
      <c r="D76" s="108" t="s">
        <v>858</v>
      </c>
      <c r="E76" t="s">
        <v>28</v>
      </c>
      <c r="F76" t="s">
        <v>867</v>
      </c>
      <c r="G76" t="s">
        <v>1385</v>
      </c>
      <c r="H76" t="s">
        <v>1350</v>
      </c>
      <c r="I76" t="s">
        <v>1195</v>
      </c>
    </row>
    <row r="77" spans="1:9">
      <c r="A77" s="108" t="s">
        <v>1203</v>
      </c>
      <c r="B77" t="s">
        <v>86</v>
      </c>
      <c r="C77" t="s">
        <v>856</v>
      </c>
      <c r="D77" s="108" t="s">
        <v>858</v>
      </c>
      <c r="E77" t="s">
        <v>29</v>
      </c>
      <c r="F77" t="s">
        <v>868</v>
      </c>
      <c r="G77" t="s">
        <v>1385</v>
      </c>
      <c r="H77" t="s">
        <v>1350</v>
      </c>
      <c r="I77" t="s">
        <v>1195</v>
      </c>
    </row>
    <row r="78" spans="1:9">
      <c r="A78" s="108" t="s">
        <v>1203</v>
      </c>
      <c r="B78" t="s">
        <v>86</v>
      </c>
      <c r="C78" t="s">
        <v>856</v>
      </c>
      <c r="D78" s="108" t="s">
        <v>858</v>
      </c>
      <c r="E78" t="s">
        <v>30</v>
      </c>
      <c r="F78" t="s">
        <v>869</v>
      </c>
      <c r="G78" t="s">
        <v>1385</v>
      </c>
      <c r="H78" t="s">
        <v>1350</v>
      </c>
      <c r="I78" t="s">
        <v>1195</v>
      </c>
    </row>
    <row r="79" spans="1:9">
      <c r="A79" s="108" t="s">
        <v>1203</v>
      </c>
      <c r="B79" t="s">
        <v>86</v>
      </c>
      <c r="C79" t="s">
        <v>896</v>
      </c>
      <c r="D79" s="108" t="s">
        <v>1185</v>
      </c>
      <c r="E79" t="s">
        <v>28</v>
      </c>
      <c r="F79" t="s">
        <v>909</v>
      </c>
      <c r="G79" t="s">
        <v>1386</v>
      </c>
      <c r="H79" t="s">
        <v>1350</v>
      </c>
      <c r="I79" t="s">
        <v>1195</v>
      </c>
    </row>
    <row r="80" spans="1:9">
      <c r="A80" s="108" t="s">
        <v>1203</v>
      </c>
      <c r="B80" t="s">
        <v>86</v>
      </c>
      <c r="C80" t="s">
        <v>896</v>
      </c>
      <c r="D80" s="108" t="s">
        <v>1185</v>
      </c>
      <c r="E80" t="s">
        <v>29</v>
      </c>
      <c r="F80" t="s">
        <v>910</v>
      </c>
      <c r="G80" t="s">
        <v>1386</v>
      </c>
      <c r="H80" t="s">
        <v>1350</v>
      </c>
      <c r="I80" t="s">
        <v>1195</v>
      </c>
    </row>
    <row r="81" spans="1:9">
      <c r="A81" s="108" t="s">
        <v>1203</v>
      </c>
      <c r="B81" t="s">
        <v>86</v>
      </c>
      <c r="C81" t="s">
        <v>896</v>
      </c>
      <c r="D81" s="108" t="s">
        <v>1185</v>
      </c>
      <c r="E81" t="s">
        <v>30</v>
      </c>
      <c r="F81" t="s">
        <v>911</v>
      </c>
      <c r="G81" t="s">
        <v>1386</v>
      </c>
      <c r="H81" t="s">
        <v>1350</v>
      </c>
      <c r="I81" t="s">
        <v>1195</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0003-E68F-4E76-8679-21E46B6A34F4}">
  <sheetPr codeName="Sheet37"/>
  <dimension ref="A1:I225"/>
  <sheetViews>
    <sheetView workbookViewId="0">
      <selection sqref="A1:I225"/>
    </sheetView>
  </sheetViews>
  <sheetFormatPr defaultColWidth="8.85546875" defaultRowHeight="15"/>
  <cols>
    <col min="1" max="1" width="49" bestFit="1" customWidth="1"/>
    <col min="2" max="2" width="13.42578125" bestFit="1" customWidth="1"/>
    <col min="3" max="3" width="14.5703125" bestFit="1" customWidth="1"/>
    <col min="4" max="4" width="65.5703125" bestFit="1" customWidth="1"/>
    <col min="5" max="5" width="14.85546875" bestFit="1" customWidth="1"/>
    <col min="6" max="6" width="12.7109375" bestFit="1" customWidth="1"/>
    <col min="7" max="7" width="24.5703125" bestFit="1" customWidth="1"/>
    <col min="8" max="8" width="12.140625" bestFit="1" customWidth="1"/>
    <col min="9" max="9" width="65.5703125" bestFit="1" customWidth="1"/>
  </cols>
  <sheetData>
    <row r="1" spans="1:9">
      <c r="A1" t="s">
        <v>1189</v>
      </c>
      <c r="B1" t="s">
        <v>1191</v>
      </c>
      <c r="C1" t="s">
        <v>1</v>
      </c>
      <c r="D1" t="s">
        <v>2</v>
      </c>
      <c r="E1" t="s">
        <v>1159</v>
      </c>
      <c r="F1" t="s">
        <v>1248</v>
      </c>
      <c r="G1" t="s">
        <v>1190</v>
      </c>
      <c r="H1" t="s">
        <v>1192</v>
      </c>
      <c r="I1" t="s">
        <v>1160</v>
      </c>
    </row>
    <row r="2" spans="1:9">
      <c r="A2" t="s">
        <v>1203</v>
      </c>
      <c r="B2" t="s">
        <v>1258</v>
      </c>
      <c r="C2" t="s">
        <v>4</v>
      </c>
      <c r="D2" t="s">
        <v>80</v>
      </c>
      <c r="E2" t="s">
        <v>80</v>
      </c>
      <c r="F2" t="s">
        <v>1250</v>
      </c>
      <c r="G2" t="s">
        <v>86</v>
      </c>
      <c r="H2" t="s">
        <v>1195</v>
      </c>
      <c r="I2" t="s">
        <v>1243</v>
      </c>
    </row>
    <row r="3" spans="1:9">
      <c r="A3" t="s">
        <v>1203</v>
      </c>
      <c r="B3" t="s">
        <v>1258</v>
      </c>
      <c r="C3" t="s">
        <v>6</v>
      </c>
      <c r="D3" t="s">
        <v>82</v>
      </c>
      <c r="E3" t="s">
        <v>80</v>
      </c>
      <c r="F3" t="s">
        <v>1250</v>
      </c>
      <c r="G3" t="s">
        <v>86</v>
      </c>
      <c r="H3" t="s">
        <v>1195</v>
      </c>
      <c r="I3" t="s">
        <v>1243</v>
      </c>
    </row>
    <row r="4" spans="1:9">
      <c r="A4" t="s">
        <v>1203</v>
      </c>
      <c r="B4" t="s">
        <v>1258</v>
      </c>
      <c r="C4" t="s">
        <v>7</v>
      </c>
      <c r="D4">
        <v>20</v>
      </c>
      <c r="E4" t="s">
        <v>80</v>
      </c>
      <c r="F4" t="s">
        <v>1250</v>
      </c>
      <c r="G4" t="s">
        <v>86</v>
      </c>
      <c r="H4" t="s">
        <v>1195</v>
      </c>
      <c r="I4" t="s">
        <v>1243</v>
      </c>
    </row>
    <row r="5" spans="1:9">
      <c r="A5" t="s">
        <v>1203</v>
      </c>
      <c r="B5" t="s">
        <v>1258</v>
      </c>
      <c r="C5" t="s">
        <v>8</v>
      </c>
      <c r="D5">
        <v>1</v>
      </c>
      <c r="E5" t="s">
        <v>80</v>
      </c>
      <c r="F5" t="s">
        <v>1250</v>
      </c>
      <c r="G5" t="s">
        <v>86</v>
      </c>
      <c r="H5" t="s">
        <v>1195</v>
      </c>
      <c r="I5" t="s">
        <v>1243</v>
      </c>
    </row>
    <row r="6" spans="1:9">
      <c r="A6" t="s">
        <v>1203</v>
      </c>
      <c r="B6" t="s">
        <v>1258</v>
      </c>
      <c r="C6" t="s">
        <v>10</v>
      </c>
      <c r="D6">
        <v>4</v>
      </c>
      <c r="E6" t="s">
        <v>80</v>
      </c>
      <c r="F6" t="s">
        <v>1250</v>
      </c>
      <c r="G6" t="s">
        <v>86</v>
      </c>
      <c r="H6" t="s">
        <v>1195</v>
      </c>
      <c r="I6" t="s">
        <v>1243</v>
      </c>
    </row>
    <row r="7" spans="1:9">
      <c r="A7" t="s">
        <v>1203</v>
      </c>
      <c r="B7" t="s">
        <v>1258</v>
      </c>
      <c r="C7" t="s">
        <v>11</v>
      </c>
      <c r="D7" t="s">
        <v>84</v>
      </c>
      <c r="E7" t="s">
        <v>80</v>
      </c>
      <c r="F7" t="s">
        <v>1250</v>
      </c>
      <c r="G7" t="s">
        <v>86</v>
      </c>
      <c r="H7" t="s">
        <v>1195</v>
      </c>
      <c r="I7" t="s">
        <v>1243</v>
      </c>
    </row>
    <row r="8" spans="1:9">
      <c r="A8" t="s">
        <v>1203</v>
      </c>
      <c r="B8" t="s">
        <v>1258</v>
      </c>
      <c r="C8" t="s">
        <v>12</v>
      </c>
      <c r="D8" t="s">
        <v>85</v>
      </c>
      <c r="E8" t="s">
        <v>80</v>
      </c>
      <c r="F8" t="s">
        <v>1250</v>
      </c>
      <c r="G8" t="s">
        <v>86</v>
      </c>
      <c r="H8" t="s">
        <v>1195</v>
      </c>
      <c r="I8" t="s">
        <v>1243</v>
      </c>
    </row>
    <row r="9" spans="1:9">
      <c r="A9" t="s">
        <v>1203</v>
      </c>
      <c r="B9" t="s">
        <v>1258</v>
      </c>
      <c r="C9" t="s">
        <v>13</v>
      </c>
      <c r="D9" t="s">
        <v>86</v>
      </c>
      <c r="E9" t="s">
        <v>80</v>
      </c>
      <c r="F9" t="s">
        <v>1250</v>
      </c>
      <c r="G9" t="s">
        <v>86</v>
      </c>
      <c r="H9" t="s">
        <v>1195</v>
      </c>
      <c r="I9" t="s">
        <v>1243</v>
      </c>
    </row>
    <row r="10" spans="1:9">
      <c r="A10" t="s">
        <v>1203</v>
      </c>
      <c r="B10" t="s">
        <v>1259</v>
      </c>
      <c r="C10" t="s">
        <v>4</v>
      </c>
      <c r="D10" t="s">
        <v>255</v>
      </c>
      <c r="E10" t="s">
        <v>255</v>
      </c>
      <c r="F10" t="s">
        <v>1250</v>
      </c>
      <c r="G10" t="s">
        <v>86</v>
      </c>
      <c r="H10" t="s">
        <v>1195</v>
      </c>
      <c r="I10" t="s">
        <v>1171</v>
      </c>
    </row>
    <row r="11" spans="1:9">
      <c r="A11" t="s">
        <v>1203</v>
      </c>
      <c r="B11" t="s">
        <v>1259</v>
      </c>
      <c r="C11" t="s">
        <v>6</v>
      </c>
      <c r="D11" t="s">
        <v>257</v>
      </c>
      <c r="E11" t="s">
        <v>255</v>
      </c>
      <c r="F11" t="s">
        <v>1250</v>
      </c>
      <c r="G11" t="s">
        <v>86</v>
      </c>
      <c r="H11" t="s">
        <v>1195</v>
      </c>
      <c r="I11" t="s">
        <v>1171</v>
      </c>
    </row>
    <row r="12" spans="1:9">
      <c r="A12" t="s">
        <v>1203</v>
      </c>
      <c r="B12" t="s">
        <v>1259</v>
      </c>
      <c r="C12" t="s">
        <v>7</v>
      </c>
      <c r="D12">
        <v>20</v>
      </c>
      <c r="E12" t="s">
        <v>255</v>
      </c>
      <c r="F12" t="s">
        <v>1250</v>
      </c>
      <c r="G12" t="s">
        <v>86</v>
      </c>
      <c r="H12" t="s">
        <v>1195</v>
      </c>
      <c r="I12" t="s">
        <v>1171</v>
      </c>
    </row>
    <row r="13" spans="1:9">
      <c r="A13" t="s">
        <v>1203</v>
      </c>
      <c r="B13" t="s">
        <v>1259</v>
      </c>
      <c r="C13" t="s">
        <v>8</v>
      </c>
      <c r="D13">
        <v>2</v>
      </c>
      <c r="E13" t="s">
        <v>255</v>
      </c>
      <c r="F13" t="s">
        <v>1250</v>
      </c>
      <c r="G13" t="s">
        <v>86</v>
      </c>
      <c r="H13" t="s">
        <v>1195</v>
      </c>
      <c r="I13" t="s">
        <v>1171</v>
      </c>
    </row>
    <row r="14" spans="1:9">
      <c r="A14" t="s">
        <v>1203</v>
      </c>
      <c r="B14" t="s">
        <v>1259</v>
      </c>
      <c r="C14" t="s">
        <v>10</v>
      </c>
      <c r="D14">
        <v>4</v>
      </c>
      <c r="E14" t="s">
        <v>255</v>
      </c>
      <c r="F14" t="s">
        <v>1250</v>
      </c>
      <c r="G14" t="s">
        <v>86</v>
      </c>
      <c r="H14" t="s">
        <v>1195</v>
      </c>
      <c r="I14" t="s">
        <v>1171</v>
      </c>
    </row>
    <row r="15" spans="1:9">
      <c r="A15" t="s">
        <v>1203</v>
      </c>
      <c r="B15" t="s">
        <v>1259</v>
      </c>
      <c r="C15" t="s">
        <v>11</v>
      </c>
      <c r="D15" t="s">
        <v>260</v>
      </c>
      <c r="E15" t="s">
        <v>255</v>
      </c>
      <c r="F15" t="s">
        <v>1250</v>
      </c>
      <c r="G15" t="s">
        <v>86</v>
      </c>
      <c r="H15" t="s">
        <v>1195</v>
      </c>
      <c r="I15" t="s">
        <v>1171</v>
      </c>
    </row>
    <row r="16" spans="1:9">
      <c r="A16" t="s">
        <v>1203</v>
      </c>
      <c r="B16" t="s">
        <v>1259</v>
      </c>
      <c r="C16" t="s">
        <v>12</v>
      </c>
      <c r="D16" t="s">
        <v>200</v>
      </c>
      <c r="E16" t="s">
        <v>255</v>
      </c>
      <c r="F16" t="s">
        <v>1250</v>
      </c>
      <c r="G16" t="s">
        <v>86</v>
      </c>
      <c r="H16" t="s">
        <v>1195</v>
      </c>
      <c r="I16" t="s">
        <v>1171</v>
      </c>
    </row>
    <row r="17" spans="1:9">
      <c r="A17" t="s">
        <v>1203</v>
      </c>
      <c r="B17" t="s">
        <v>1259</v>
      </c>
      <c r="C17" t="s">
        <v>13</v>
      </c>
      <c r="D17" t="s">
        <v>86</v>
      </c>
      <c r="E17" t="s">
        <v>255</v>
      </c>
      <c r="F17" t="s">
        <v>1250</v>
      </c>
      <c r="G17" t="s">
        <v>86</v>
      </c>
      <c r="H17" t="s">
        <v>1195</v>
      </c>
      <c r="I17" t="s">
        <v>1171</v>
      </c>
    </row>
    <row r="18" spans="1:9">
      <c r="A18" t="s">
        <v>1203</v>
      </c>
      <c r="B18" t="s">
        <v>1255</v>
      </c>
      <c r="C18" t="s">
        <v>4</v>
      </c>
      <c r="D18" t="s">
        <v>143</v>
      </c>
      <c r="E18" t="s">
        <v>143</v>
      </c>
      <c r="F18" t="s">
        <v>1250</v>
      </c>
      <c r="G18" t="s">
        <v>86</v>
      </c>
      <c r="H18" t="s">
        <v>1195</v>
      </c>
      <c r="I18" t="s">
        <v>144</v>
      </c>
    </row>
    <row r="19" spans="1:9">
      <c r="A19" t="s">
        <v>1203</v>
      </c>
      <c r="B19" t="s">
        <v>1255</v>
      </c>
      <c r="C19" t="s">
        <v>6</v>
      </c>
      <c r="D19" t="s">
        <v>144</v>
      </c>
      <c r="E19" t="s">
        <v>143</v>
      </c>
      <c r="F19" t="s">
        <v>1250</v>
      </c>
      <c r="G19" t="s">
        <v>86</v>
      </c>
      <c r="H19" t="s">
        <v>1195</v>
      </c>
      <c r="I19" t="s">
        <v>144</v>
      </c>
    </row>
    <row r="20" spans="1:9">
      <c r="A20" t="s">
        <v>1203</v>
      </c>
      <c r="B20" t="s">
        <v>1255</v>
      </c>
      <c r="C20" t="s">
        <v>7</v>
      </c>
      <c r="D20">
        <v>20</v>
      </c>
      <c r="E20" t="s">
        <v>143</v>
      </c>
      <c r="F20" t="s">
        <v>1250</v>
      </c>
      <c r="G20" t="s">
        <v>86</v>
      </c>
      <c r="H20" t="s">
        <v>1195</v>
      </c>
      <c r="I20" t="s">
        <v>144</v>
      </c>
    </row>
    <row r="21" spans="1:9">
      <c r="A21" t="s">
        <v>1203</v>
      </c>
      <c r="B21" t="s">
        <v>1255</v>
      </c>
      <c r="C21" t="s">
        <v>8</v>
      </c>
      <c r="D21">
        <v>2</v>
      </c>
      <c r="E21" t="s">
        <v>143</v>
      </c>
      <c r="F21" t="s">
        <v>1250</v>
      </c>
      <c r="G21" t="s">
        <v>86</v>
      </c>
      <c r="H21" t="s">
        <v>1195</v>
      </c>
      <c r="I21" t="s">
        <v>144</v>
      </c>
    </row>
    <row r="22" spans="1:9">
      <c r="A22" t="s">
        <v>1203</v>
      </c>
      <c r="B22" t="s">
        <v>1255</v>
      </c>
      <c r="C22" t="s">
        <v>10</v>
      </c>
      <c r="D22">
        <v>4</v>
      </c>
      <c r="E22" t="s">
        <v>143</v>
      </c>
      <c r="F22" t="s">
        <v>1250</v>
      </c>
      <c r="G22" t="s">
        <v>86</v>
      </c>
      <c r="H22" t="s">
        <v>1195</v>
      </c>
      <c r="I22" t="s">
        <v>144</v>
      </c>
    </row>
    <row r="23" spans="1:9">
      <c r="A23" t="s">
        <v>1203</v>
      </c>
      <c r="B23" t="s">
        <v>1255</v>
      </c>
      <c r="C23" t="s">
        <v>11</v>
      </c>
      <c r="D23" t="s">
        <v>147</v>
      </c>
      <c r="E23" t="s">
        <v>143</v>
      </c>
      <c r="F23" t="s">
        <v>1250</v>
      </c>
      <c r="G23" t="s">
        <v>86</v>
      </c>
      <c r="H23" t="s">
        <v>1195</v>
      </c>
      <c r="I23" t="s">
        <v>144</v>
      </c>
    </row>
    <row r="24" spans="1:9">
      <c r="A24" t="s">
        <v>1203</v>
      </c>
      <c r="B24" t="s">
        <v>1255</v>
      </c>
      <c r="C24" t="s">
        <v>12</v>
      </c>
      <c r="D24" t="s">
        <v>149</v>
      </c>
      <c r="E24" t="s">
        <v>143</v>
      </c>
      <c r="F24" t="s">
        <v>1250</v>
      </c>
      <c r="G24" t="s">
        <v>86</v>
      </c>
      <c r="H24" t="s">
        <v>1195</v>
      </c>
      <c r="I24" t="s">
        <v>144</v>
      </c>
    </row>
    <row r="25" spans="1:9">
      <c r="A25" t="s">
        <v>1203</v>
      </c>
      <c r="B25" t="s">
        <v>1255</v>
      </c>
      <c r="C25" t="s">
        <v>13</v>
      </c>
      <c r="D25" t="s">
        <v>151</v>
      </c>
      <c r="E25" t="s">
        <v>143</v>
      </c>
      <c r="F25" t="s">
        <v>1250</v>
      </c>
      <c r="G25" t="s">
        <v>86</v>
      </c>
      <c r="H25" t="s">
        <v>1195</v>
      </c>
      <c r="I25" t="s">
        <v>144</v>
      </c>
    </row>
    <row r="26" spans="1:9">
      <c r="A26" t="s">
        <v>1203</v>
      </c>
      <c r="B26" t="s">
        <v>1256</v>
      </c>
      <c r="C26" t="s">
        <v>4</v>
      </c>
      <c r="D26" t="s">
        <v>193</v>
      </c>
      <c r="E26" t="s">
        <v>193</v>
      </c>
      <c r="F26" t="s">
        <v>1250</v>
      </c>
      <c r="G26" t="s">
        <v>86</v>
      </c>
      <c r="H26" t="s">
        <v>1195</v>
      </c>
      <c r="I26" t="s">
        <v>1283</v>
      </c>
    </row>
    <row r="27" spans="1:9">
      <c r="A27" t="s">
        <v>1203</v>
      </c>
      <c r="B27" t="s">
        <v>1256</v>
      </c>
      <c r="C27" t="s">
        <v>6</v>
      </c>
      <c r="D27" t="s">
        <v>195</v>
      </c>
      <c r="E27" t="s">
        <v>193</v>
      </c>
      <c r="F27" t="s">
        <v>1250</v>
      </c>
      <c r="G27" t="s">
        <v>86</v>
      </c>
      <c r="H27" t="s">
        <v>1195</v>
      </c>
      <c r="I27" t="s">
        <v>1283</v>
      </c>
    </row>
    <row r="28" spans="1:9">
      <c r="A28" t="s">
        <v>1203</v>
      </c>
      <c r="B28" t="s">
        <v>1256</v>
      </c>
      <c r="C28" t="s">
        <v>7</v>
      </c>
      <c r="D28">
        <v>20</v>
      </c>
      <c r="E28" t="s">
        <v>193</v>
      </c>
      <c r="F28" t="s">
        <v>1250</v>
      </c>
      <c r="G28" t="s">
        <v>86</v>
      </c>
      <c r="H28" t="s">
        <v>1195</v>
      </c>
      <c r="I28" t="s">
        <v>1283</v>
      </c>
    </row>
    <row r="29" spans="1:9">
      <c r="A29" t="s">
        <v>1203</v>
      </c>
      <c r="B29" t="s">
        <v>1256</v>
      </c>
      <c r="C29" t="s">
        <v>8</v>
      </c>
      <c r="D29">
        <v>1</v>
      </c>
      <c r="E29" t="s">
        <v>193</v>
      </c>
      <c r="F29" t="s">
        <v>1250</v>
      </c>
      <c r="G29" t="s">
        <v>86</v>
      </c>
      <c r="H29" t="s">
        <v>1195</v>
      </c>
      <c r="I29" t="s">
        <v>1283</v>
      </c>
    </row>
    <row r="30" spans="1:9">
      <c r="A30" t="s">
        <v>1203</v>
      </c>
      <c r="B30" t="s">
        <v>1256</v>
      </c>
      <c r="C30" t="s">
        <v>10</v>
      </c>
      <c r="D30">
        <v>4</v>
      </c>
      <c r="E30" t="s">
        <v>193</v>
      </c>
      <c r="F30" t="s">
        <v>1250</v>
      </c>
      <c r="G30" t="s">
        <v>86</v>
      </c>
      <c r="H30" t="s">
        <v>1195</v>
      </c>
      <c r="I30" t="s">
        <v>1283</v>
      </c>
    </row>
    <row r="31" spans="1:9">
      <c r="A31" t="s">
        <v>1203</v>
      </c>
      <c r="B31" t="s">
        <v>1256</v>
      </c>
      <c r="C31" t="s">
        <v>11</v>
      </c>
      <c r="D31" t="s">
        <v>198</v>
      </c>
      <c r="E31" t="s">
        <v>193</v>
      </c>
      <c r="F31" t="s">
        <v>1250</v>
      </c>
      <c r="G31" t="s">
        <v>86</v>
      </c>
      <c r="H31" t="s">
        <v>1195</v>
      </c>
      <c r="I31" t="s">
        <v>1283</v>
      </c>
    </row>
    <row r="32" spans="1:9">
      <c r="A32" t="s">
        <v>1203</v>
      </c>
      <c r="B32" t="s">
        <v>1256</v>
      </c>
      <c r="C32" t="s">
        <v>12</v>
      </c>
      <c r="D32" t="s">
        <v>200</v>
      </c>
      <c r="E32" t="s">
        <v>193</v>
      </c>
      <c r="F32" t="s">
        <v>1250</v>
      </c>
      <c r="G32" t="s">
        <v>86</v>
      </c>
      <c r="H32" t="s">
        <v>1195</v>
      </c>
      <c r="I32" t="s">
        <v>1283</v>
      </c>
    </row>
    <row r="33" spans="1:9">
      <c r="A33" t="s">
        <v>1203</v>
      </c>
      <c r="B33" t="s">
        <v>1256</v>
      </c>
      <c r="C33" t="s">
        <v>13</v>
      </c>
      <c r="D33" t="s">
        <v>202</v>
      </c>
      <c r="E33" t="s">
        <v>193</v>
      </c>
      <c r="F33" t="s">
        <v>1250</v>
      </c>
      <c r="G33" t="s">
        <v>86</v>
      </c>
      <c r="H33" t="s">
        <v>1195</v>
      </c>
      <c r="I33" t="s">
        <v>1283</v>
      </c>
    </row>
    <row r="34" spans="1:9">
      <c r="A34" t="s">
        <v>1203</v>
      </c>
      <c r="B34" t="s">
        <v>1257</v>
      </c>
      <c r="C34" t="s">
        <v>4</v>
      </c>
      <c r="D34" t="s">
        <v>289</v>
      </c>
      <c r="E34" t="s">
        <v>289</v>
      </c>
      <c r="F34" t="s">
        <v>1250</v>
      </c>
      <c r="G34" t="s">
        <v>86</v>
      </c>
      <c r="H34" t="s">
        <v>1195</v>
      </c>
      <c r="I34" t="s">
        <v>291</v>
      </c>
    </row>
    <row r="35" spans="1:9">
      <c r="A35" t="s">
        <v>1203</v>
      </c>
      <c r="B35" t="s">
        <v>1257</v>
      </c>
      <c r="C35" t="s">
        <v>6</v>
      </c>
      <c r="D35" t="s">
        <v>291</v>
      </c>
      <c r="E35" t="s">
        <v>289</v>
      </c>
      <c r="F35" t="s">
        <v>1250</v>
      </c>
      <c r="G35" t="s">
        <v>86</v>
      </c>
      <c r="H35" t="s">
        <v>1195</v>
      </c>
      <c r="I35" t="s">
        <v>291</v>
      </c>
    </row>
    <row r="36" spans="1:9">
      <c r="A36" t="s">
        <v>1203</v>
      </c>
      <c r="B36" t="s">
        <v>1257</v>
      </c>
      <c r="C36" t="s">
        <v>7</v>
      </c>
      <c r="D36">
        <v>20</v>
      </c>
      <c r="E36" t="s">
        <v>289</v>
      </c>
      <c r="F36" t="s">
        <v>1250</v>
      </c>
      <c r="G36" t="s">
        <v>86</v>
      </c>
      <c r="H36" t="s">
        <v>1195</v>
      </c>
      <c r="I36" t="s">
        <v>291</v>
      </c>
    </row>
    <row r="37" spans="1:9">
      <c r="A37" t="s">
        <v>1203</v>
      </c>
      <c r="B37" t="s">
        <v>1257</v>
      </c>
      <c r="C37" t="s">
        <v>8</v>
      </c>
      <c r="D37">
        <v>2</v>
      </c>
      <c r="E37" t="s">
        <v>289</v>
      </c>
      <c r="F37" t="s">
        <v>1250</v>
      </c>
      <c r="G37" t="s">
        <v>86</v>
      </c>
      <c r="H37" t="s">
        <v>1195</v>
      </c>
      <c r="I37" t="s">
        <v>291</v>
      </c>
    </row>
    <row r="38" spans="1:9">
      <c r="A38" t="s">
        <v>1203</v>
      </c>
      <c r="B38" t="s">
        <v>1257</v>
      </c>
      <c r="C38" t="s">
        <v>10</v>
      </c>
      <c r="D38">
        <v>4</v>
      </c>
      <c r="E38" t="s">
        <v>289</v>
      </c>
      <c r="F38" t="s">
        <v>1250</v>
      </c>
      <c r="G38" t="s">
        <v>86</v>
      </c>
      <c r="H38" t="s">
        <v>1195</v>
      </c>
      <c r="I38" t="s">
        <v>291</v>
      </c>
    </row>
    <row r="39" spans="1:9">
      <c r="A39" t="s">
        <v>1203</v>
      </c>
      <c r="B39" t="s">
        <v>1257</v>
      </c>
      <c r="C39" t="s">
        <v>11</v>
      </c>
      <c r="D39" t="s">
        <v>293</v>
      </c>
      <c r="E39" t="s">
        <v>289</v>
      </c>
      <c r="F39" t="s">
        <v>1250</v>
      </c>
      <c r="G39" t="s">
        <v>86</v>
      </c>
      <c r="H39" t="s">
        <v>1195</v>
      </c>
      <c r="I39" t="s">
        <v>291</v>
      </c>
    </row>
    <row r="40" spans="1:9">
      <c r="A40" t="s">
        <v>1203</v>
      </c>
      <c r="B40" t="s">
        <v>1257</v>
      </c>
      <c r="C40" t="s">
        <v>12</v>
      </c>
      <c r="D40" t="s">
        <v>200</v>
      </c>
      <c r="E40" t="s">
        <v>289</v>
      </c>
      <c r="F40" t="s">
        <v>1250</v>
      </c>
      <c r="G40" t="s">
        <v>86</v>
      </c>
      <c r="H40" t="s">
        <v>1195</v>
      </c>
      <c r="I40" t="s">
        <v>291</v>
      </c>
    </row>
    <row r="41" spans="1:9">
      <c r="A41" t="s">
        <v>1203</v>
      </c>
      <c r="B41" t="s">
        <v>1257</v>
      </c>
      <c r="C41" t="s">
        <v>13</v>
      </c>
      <c r="D41" t="s">
        <v>202</v>
      </c>
      <c r="E41" t="s">
        <v>289</v>
      </c>
      <c r="F41" t="s">
        <v>1250</v>
      </c>
      <c r="G41" t="s">
        <v>86</v>
      </c>
      <c r="H41" t="s">
        <v>1195</v>
      </c>
      <c r="I41" t="s">
        <v>291</v>
      </c>
    </row>
    <row r="42" spans="1:9">
      <c r="A42" t="s">
        <v>1203</v>
      </c>
      <c r="B42" t="s">
        <v>1260</v>
      </c>
      <c r="C42" t="s">
        <v>4</v>
      </c>
      <c r="D42" t="s">
        <v>351</v>
      </c>
      <c r="E42" t="s">
        <v>351</v>
      </c>
      <c r="F42" t="s">
        <v>1250</v>
      </c>
      <c r="G42" t="s">
        <v>86</v>
      </c>
      <c r="H42" t="s">
        <v>1195</v>
      </c>
      <c r="I42" t="s">
        <v>353</v>
      </c>
    </row>
    <row r="43" spans="1:9">
      <c r="A43" t="s">
        <v>1203</v>
      </c>
      <c r="B43" t="s">
        <v>1260</v>
      </c>
      <c r="C43" t="s">
        <v>6</v>
      </c>
      <c r="D43" t="s">
        <v>353</v>
      </c>
      <c r="E43" t="s">
        <v>351</v>
      </c>
      <c r="F43" t="s">
        <v>1250</v>
      </c>
      <c r="G43" t="s">
        <v>86</v>
      </c>
      <c r="H43" t="s">
        <v>1195</v>
      </c>
      <c r="I43" t="s">
        <v>353</v>
      </c>
    </row>
    <row r="44" spans="1:9">
      <c r="A44" t="s">
        <v>1203</v>
      </c>
      <c r="B44" t="s">
        <v>1260</v>
      </c>
      <c r="C44" t="s">
        <v>7</v>
      </c>
      <c r="D44">
        <v>20</v>
      </c>
      <c r="E44" t="s">
        <v>351</v>
      </c>
      <c r="F44" t="s">
        <v>1250</v>
      </c>
      <c r="G44" t="s">
        <v>86</v>
      </c>
      <c r="H44" t="s">
        <v>1195</v>
      </c>
      <c r="I44" t="s">
        <v>353</v>
      </c>
    </row>
    <row r="45" spans="1:9">
      <c r="A45" t="s">
        <v>1203</v>
      </c>
      <c r="B45" t="s">
        <v>1260</v>
      </c>
      <c r="C45" t="s">
        <v>8</v>
      </c>
      <c r="D45">
        <v>2</v>
      </c>
      <c r="E45" t="s">
        <v>351</v>
      </c>
      <c r="F45" t="s">
        <v>1250</v>
      </c>
      <c r="G45" t="s">
        <v>86</v>
      </c>
      <c r="H45" t="s">
        <v>1195</v>
      </c>
      <c r="I45" t="s">
        <v>353</v>
      </c>
    </row>
    <row r="46" spans="1:9">
      <c r="A46" t="s">
        <v>1203</v>
      </c>
      <c r="B46" t="s">
        <v>1260</v>
      </c>
      <c r="C46" t="s">
        <v>10</v>
      </c>
      <c r="D46">
        <v>5</v>
      </c>
      <c r="E46" t="s">
        <v>351</v>
      </c>
      <c r="F46" t="s">
        <v>1250</v>
      </c>
      <c r="G46" t="s">
        <v>86</v>
      </c>
      <c r="H46" t="s">
        <v>1195</v>
      </c>
      <c r="I46" t="s">
        <v>353</v>
      </c>
    </row>
    <row r="47" spans="1:9">
      <c r="A47" t="s">
        <v>1203</v>
      </c>
      <c r="B47" t="s">
        <v>1260</v>
      </c>
      <c r="C47" t="s">
        <v>11</v>
      </c>
      <c r="D47" t="s">
        <v>355</v>
      </c>
      <c r="E47" t="s">
        <v>351</v>
      </c>
      <c r="F47" t="s">
        <v>1250</v>
      </c>
      <c r="G47" t="s">
        <v>86</v>
      </c>
      <c r="H47" t="s">
        <v>1195</v>
      </c>
      <c r="I47" t="s">
        <v>353</v>
      </c>
    </row>
    <row r="48" spans="1:9">
      <c r="A48" t="s">
        <v>1203</v>
      </c>
      <c r="B48" t="s">
        <v>1260</v>
      </c>
      <c r="C48" t="s">
        <v>12</v>
      </c>
      <c r="D48" t="s">
        <v>149</v>
      </c>
      <c r="E48" t="s">
        <v>351</v>
      </c>
      <c r="F48" t="s">
        <v>1250</v>
      </c>
      <c r="G48" t="s">
        <v>86</v>
      </c>
      <c r="H48" t="s">
        <v>1195</v>
      </c>
      <c r="I48" t="s">
        <v>353</v>
      </c>
    </row>
    <row r="49" spans="1:9">
      <c r="A49" t="s">
        <v>1203</v>
      </c>
      <c r="B49" t="s">
        <v>1260</v>
      </c>
      <c r="C49" t="s">
        <v>13</v>
      </c>
      <c r="D49" t="s">
        <v>151</v>
      </c>
      <c r="E49" t="s">
        <v>351</v>
      </c>
      <c r="F49" t="s">
        <v>1250</v>
      </c>
      <c r="G49" t="s">
        <v>86</v>
      </c>
      <c r="H49" t="s">
        <v>1195</v>
      </c>
      <c r="I49" t="s">
        <v>353</v>
      </c>
    </row>
    <row r="50" spans="1:9">
      <c r="A50" t="s">
        <v>1203</v>
      </c>
      <c r="B50" t="s">
        <v>1261</v>
      </c>
      <c r="C50" t="s">
        <v>4</v>
      </c>
      <c r="D50" t="s">
        <v>491</v>
      </c>
      <c r="E50" t="s">
        <v>491</v>
      </c>
      <c r="F50" t="s">
        <v>1250</v>
      </c>
      <c r="G50" t="s">
        <v>86</v>
      </c>
      <c r="H50" t="s">
        <v>1195</v>
      </c>
      <c r="I50" t="s">
        <v>492</v>
      </c>
    </row>
    <row r="51" spans="1:9">
      <c r="A51" t="s">
        <v>1203</v>
      </c>
      <c r="B51" t="s">
        <v>1261</v>
      </c>
      <c r="C51" t="s">
        <v>6</v>
      </c>
      <c r="D51" t="s">
        <v>492</v>
      </c>
      <c r="E51" t="s">
        <v>491</v>
      </c>
      <c r="F51" t="s">
        <v>1250</v>
      </c>
      <c r="G51" t="s">
        <v>86</v>
      </c>
      <c r="H51" t="s">
        <v>1195</v>
      </c>
      <c r="I51" t="s">
        <v>492</v>
      </c>
    </row>
    <row r="52" spans="1:9">
      <c r="A52" t="s">
        <v>1203</v>
      </c>
      <c r="B52" t="s">
        <v>1261</v>
      </c>
      <c r="C52" t="s">
        <v>7</v>
      </c>
      <c r="D52">
        <v>20</v>
      </c>
      <c r="E52" t="s">
        <v>491</v>
      </c>
      <c r="F52" t="s">
        <v>1250</v>
      </c>
      <c r="G52" t="s">
        <v>86</v>
      </c>
      <c r="H52" t="s">
        <v>1195</v>
      </c>
      <c r="I52" t="s">
        <v>492</v>
      </c>
    </row>
    <row r="53" spans="1:9">
      <c r="A53" t="s">
        <v>1203</v>
      </c>
      <c r="B53" t="s">
        <v>1261</v>
      </c>
      <c r="C53" t="s">
        <v>8</v>
      </c>
      <c r="D53">
        <v>2</v>
      </c>
      <c r="E53" t="s">
        <v>491</v>
      </c>
      <c r="F53" t="s">
        <v>1250</v>
      </c>
      <c r="G53" t="s">
        <v>86</v>
      </c>
      <c r="H53" t="s">
        <v>1195</v>
      </c>
      <c r="I53" t="s">
        <v>492</v>
      </c>
    </row>
    <row r="54" spans="1:9">
      <c r="A54" t="s">
        <v>1203</v>
      </c>
      <c r="B54" t="s">
        <v>1261</v>
      </c>
      <c r="C54" t="s">
        <v>10</v>
      </c>
      <c r="D54">
        <v>5</v>
      </c>
      <c r="E54" t="s">
        <v>491</v>
      </c>
      <c r="F54" t="s">
        <v>1250</v>
      </c>
      <c r="G54" t="s">
        <v>86</v>
      </c>
      <c r="H54" t="s">
        <v>1195</v>
      </c>
      <c r="I54" t="s">
        <v>492</v>
      </c>
    </row>
    <row r="55" spans="1:9">
      <c r="A55" t="s">
        <v>1203</v>
      </c>
      <c r="B55" t="s">
        <v>1261</v>
      </c>
      <c r="C55" t="s">
        <v>11</v>
      </c>
      <c r="D55" t="s">
        <v>495</v>
      </c>
      <c r="E55" t="s">
        <v>491</v>
      </c>
      <c r="F55" t="s">
        <v>1250</v>
      </c>
      <c r="G55" t="s">
        <v>86</v>
      </c>
      <c r="H55" t="s">
        <v>1195</v>
      </c>
      <c r="I55" t="s">
        <v>492</v>
      </c>
    </row>
    <row r="56" spans="1:9">
      <c r="A56" t="s">
        <v>1203</v>
      </c>
      <c r="B56" t="s">
        <v>1261</v>
      </c>
      <c r="C56" t="s">
        <v>12</v>
      </c>
      <c r="D56" t="s">
        <v>200</v>
      </c>
      <c r="E56" t="s">
        <v>491</v>
      </c>
      <c r="F56" t="s">
        <v>1250</v>
      </c>
      <c r="G56" t="s">
        <v>86</v>
      </c>
      <c r="H56" t="s">
        <v>1195</v>
      </c>
      <c r="I56" t="s">
        <v>492</v>
      </c>
    </row>
    <row r="57" spans="1:9">
      <c r="A57" t="s">
        <v>1203</v>
      </c>
      <c r="B57" t="s">
        <v>1261</v>
      </c>
      <c r="C57" t="s">
        <v>13</v>
      </c>
      <c r="D57" t="s">
        <v>151</v>
      </c>
      <c r="E57" t="s">
        <v>491</v>
      </c>
      <c r="F57" t="s">
        <v>1250</v>
      </c>
      <c r="G57" t="s">
        <v>86</v>
      </c>
      <c r="H57" t="s">
        <v>1195</v>
      </c>
      <c r="I57" t="s">
        <v>492</v>
      </c>
    </row>
    <row r="58" spans="1:9">
      <c r="A58" t="s">
        <v>1203</v>
      </c>
      <c r="B58" t="s">
        <v>1262</v>
      </c>
      <c r="C58" t="s">
        <v>4</v>
      </c>
      <c r="D58" t="s">
        <v>382</v>
      </c>
      <c r="E58" t="s">
        <v>382</v>
      </c>
      <c r="F58" t="s">
        <v>1250</v>
      </c>
      <c r="G58" t="s">
        <v>86</v>
      </c>
      <c r="H58" t="s">
        <v>1195</v>
      </c>
      <c r="I58" t="s">
        <v>384</v>
      </c>
    </row>
    <row r="59" spans="1:9">
      <c r="A59" t="s">
        <v>1203</v>
      </c>
      <c r="B59" t="s">
        <v>1262</v>
      </c>
      <c r="C59" t="s">
        <v>6</v>
      </c>
      <c r="D59" t="s">
        <v>384</v>
      </c>
      <c r="E59" t="s">
        <v>382</v>
      </c>
      <c r="F59" t="s">
        <v>1250</v>
      </c>
      <c r="G59" t="s">
        <v>86</v>
      </c>
      <c r="H59" t="s">
        <v>1195</v>
      </c>
      <c r="I59" t="s">
        <v>384</v>
      </c>
    </row>
    <row r="60" spans="1:9">
      <c r="A60" t="s">
        <v>1203</v>
      </c>
      <c r="B60" t="s">
        <v>1262</v>
      </c>
      <c r="C60" t="s">
        <v>7</v>
      </c>
      <c r="D60">
        <v>20</v>
      </c>
      <c r="E60" t="s">
        <v>382</v>
      </c>
      <c r="F60" t="s">
        <v>1250</v>
      </c>
      <c r="G60" t="s">
        <v>86</v>
      </c>
      <c r="H60" t="s">
        <v>1195</v>
      </c>
      <c r="I60" t="s">
        <v>384</v>
      </c>
    </row>
    <row r="61" spans="1:9">
      <c r="A61" t="s">
        <v>1203</v>
      </c>
      <c r="B61" t="s">
        <v>1262</v>
      </c>
      <c r="C61" t="s">
        <v>8</v>
      </c>
      <c r="D61">
        <v>1</v>
      </c>
      <c r="E61" t="s">
        <v>382</v>
      </c>
      <c r="F61" t="s">
        <v>1250</v>
      </c>
      <c r="G61" t="s">
        <v>86</v>
      </c>
      <c r="H61" t="s">
        <v>1195</v>
      </c>
      <c r="I61" t="s">
        <v>384</v>
      </c>
    </row>
    <row r="62" spans="1:9">
      <c r="A62" t="s">
        <v>1203</v>
      </c>
      <c r="B62" t="s">
        <v>1262</v>
      </c>
      <c r="C62" t="s">
        <v>10</v>
      </c>
      <c r="D62">
        <v>5</v>
      </c>
      <c r="E62" t="s">
        <v>382</v>
      </c>
      <c r="F62" t="s">
        <v>1250</v>
      </c>
      <c r="G62" t="s">
        <v>86</v>
      </c>
      <c r="H62" t="s">
        <v>1195</v>
      </c>
      <c r="I62" t="s">
        <v>384</v>
      </c>
    </row>
    <row r="63" spans="1:9">
      <c r="A63" t="s">
        <v>1203</v>
      </c>
      <c r="B63" t="s">
        <v>1262</v>
      </c>
      <c r="C63" t="s">
        <v>11</v>
      </c>
      <c r="D63" t="s">
        <v>386</v>
      </c>
      <c r="E63" t="s">
        <v>382</v>
      </c>
      <c r="F63" t="s">
        <v>1250</v>
      </c>
      <c r="G63" t="s">
        <v>86</v>
      </c>
      <c r="H63" t="s">
        <v>1195</v>
      </c>
      <c r="I63" t="s">
        <v>384</v>
      </c>
    </row>
    <row r="64" spans="1:9">
      <c r="A64" t="s">
        <v>1203</v>
      </c>
      <c r="B64" t="s">
        <v>1262</v>
      </c>
      <c r="C64" t="s">
        <v>12</v>
      </c>
      <c r="D64" t="s">
        <v>85</v>
      </c>
      <c r="E64" t="s">
        <v>382</v>
      </c>
      <c r="F64" t="s">
        <v>1250</v>
      </c>
      <c r="G64" t="s">
        <v>86</v>
      </c>
      <c r="H64" t="s">
        <v>1195</v>
      </c>
      <c r="I64" t="s">
        <v>384</v>
      </c>
    </row>
    <row r="65" spans="1:9">
      <c r="A65" t="s">
        <v>1203</v>
      </c>
      <c r="B65" t="s">
        <v>1262</v>
      </c>
      <c r="C65" t="s">
        <v>13</v>
      </c>
      <c r="D65" t="s">
        <v>86</v>
      </c>
      <c r="E65" t="s">
        <v>382</v>
      </c>
      <c r="F65" t="s">
        <v>1250</v>
      </c>
      <c r="G65" t="s">
        <v>86</v>
      </c>
      <c r="H65" t="s">
        <v>1195</v>
      </c>
      <c r="I65" t="s">
        <v>384</v>
      </c>
    </row>
    <row r="66" spans="1:9">
      <c r="A66" t="s">
        <v>1203</v>
      </c>
      <c r="B66" t="s">
        <v>1263</v>
      </c>
      <c r="C66" t="s">
        <v>4</v>
      </c>
      <c r="D66" t="s">
        <v>410</v>
      </c>
      <c r="E66" t="s">
        <v>410</v>
      </c>
      <c r="F66" t="s">
        <v>1250</v>
      </c>
      <c r="G66" t="s">
        <v>86</v>
      </c>
      <c r="H66" t="s">
        <v>1195</v>
      </c>
      <c r="I66" t="s">
        <v>412</v>
      </c>
    </row>
    <row r="67" spans="1:9">
      <c r="A67" t="s">
        <v>1203</v>
      </c>
      <c r="B67" t="s">
        <v>1263</v>
      </c>
      <c r="C67" t="s">
        <v>6</v>
      </c>
      <c r="D67" t="s">
        <v>412</v>
      </c>
      <c r="E67" t="s">
        <v>410</v>
      </c>
      <c r="F67" t="s">
        <v>1250</v>
      </c>
      <c r="G67" t="s">
        <v>86</v>
      </c>
      <c r="H67" t="s">
        <v>1195</v>
      </c>
      <c r="I67" t="s">
        <v>412</v>
      </c>
    </row>
    <row r="68" spans="1:9">
      <c r="A68" t="s">
        <v>1203</v>
      </c>
      <c r="B68" t="s">
        <v>1263</v>
      </c>
      <c r="C68" t="s">
        <v>7</v>
      </c>
      <c r="D68">
        <v>20</v>
      </c>
      <c r="E68" t="s">
        <v>410</v>
      </c>
      <c r="F68" t="s">
        <v>1250</v>
      </c>
      <c r="G68" t="s">
        <v>86</v>
      </c>
      <c r="H68" t="s">
        <v>1195</v>
      </c>
      <c r="I68" t="s">
        <v>412</v>
      </c>
    </row>
    <row r="69" spans="1:9">
      <c r="A69" t="s">
        <v>1203</v>
      </c>
      <c r="B69" t="s">
        <v>1263</v>
      </c>
      <c r="C69" t="s">
        <v>8</v>
      </c>
      <c r="D69">
        <v>1</v>
      </c>
      <c r="E69" t="s">
        <v>410</v>
      </c>
      <c r="F69" t="s">
        <v>1250</v>
      </c>
      <c r="G69" t="s">
        <v>86</v>
      </c>
      <c r="H69" t="s">
        <v>1195</v>
      </c>
      <c r="I69" t="s">
        <v>412</v>
      </c>
    </row>
    <row r="70" spans="1:9">
      <c r="A70" t="s">
        <v>1203</v>
      </c>
      <c r="B70" t="s">
        <v>1263</v>
      </c>
      <c r="C70" t="s">
        <v>10</v>
      </c>
      <c r="D70">
        <v>5</v>
      </c>
      <c r="E70" t="s">
        <v>410</v>
      </c>
      <c r="F70" t="s">
        <v>1250</v>
      </c>
      <c r="G70" t="s">
        <v>86</v>
      </c>
      <c r="H70" t="s">
        <v>1195</v>
      </c>
      <c r="I70" t="s">
        <v>412</v>
      </c>
    </row>
    <row r="71" spans="1:9">
      <c r="A71" t="s">
        <v>1203</v>
      </c>
      <c r="B71" t="s">
        <v>1263</v>
      </c>
      <c r="C71" t="s">
        <v>11</v>
      </c>
      <c r="D71" t="s">
        <v>414</v>
      </c>
      <c r="E71" t="s">
        <v>410</v>
      </c>
      <c r="F71" t="s">
        <v>1250</v>
      </c>
      <c r="G71" t="s">
        <v>86</v>
      </c>
      <c r="H71" t="s">
        <v>1195</v>
      </c>
      <c r="I71" t="s">
        <v>412</v>
      </c>
    </row>
    <row r="72" spans="1:9">
      <c r="A72" t="s">
        <v>1203</v>
      </c>
      <c r="B72" t="s">
        <v>1263</v>
      </c>
      <c r="C72" t="s">
        <v>12</v>
      </c>
      <c r="D72" t="s">
        <v>200</v>
      </c>
      <c r="E72" t="s">
        <v>410</v>
      </c>
      <c r="F72" t="s">
        <v>1250</v>
      </c>
      <c r="G72" t="s">
        <v>86</v>
      </c>
      <c r="H72" t="s">
        <v>1195</v>
      </c>
      <c r="I72" t="s">
        <v>412</v>
      </c>
    </row>
    <row r="73" spans="1:9">
      <c r="A73" t="s">
        <v>1203</v>
      </c>
      <c r="B73" t="s">
        <v>1263</v>
      </c>
      <c r="C73" t="s">
        <v>13</v>
      </c>
      <c r="D73" t="s">
        <v>86</v>
      </c>
      <c r="E73" t="s">
        <v>410</v>
      </c>
      <c r="F73" t="s">
        <v>1250</v>
      </c>
      <c r="G73" t="s">
        <v>86</v>
      </c>
      <c r="H73" t="s">
        <v>1195</v>
      </c>
      <c r="I73" t="s">
        <v>412</v>
      </c>
    </row>
    <row r="74" spans="1:9">
      <c r="A74" t="s">
        <v>1203</v>
      </c>
      <c r="B74" t="s">
        <v>1264</v>
      </c>
      <c r="C74" t="s">
        <v>4</v>
      </c>
      <c r="D74" t="s">
        <v>456</v>
      </c>
      <c r="E74" t="s">
        <v>456</v>
      </c>
      <c r="F74" t="s">
        <v>1250</v>
      </c>
      <c r="G74" t="s">
        <v>86</v>
      </c>
      <c r="H74" t="s">
        <v>1195</v>
      </c>
      <c r="I74" t="s">
        <v>1175</v>
      </c>
    </row>
    <row r="75" spans="1:9">
      <c r="A75" t="s">
        <v>1203</v>
      </c>
      <c r="B75" t="s">
        <v>1264</v>
      </c>
      <c r="C75" t="s">
        <v>6</v>
      </c>
      <c r="D75" t="s">
        <v>458</v>
      </c>
      <c r="E75" t="s">
        <v>456</v>
      </c>
      <c r="F75" t="s">
        <v>1250</v>
      </c>
      <c r="G75" t="s">
        <v>86</v>
      </c>
      <c r="H75" t="s">
        <v>1195</v>
      </c>
      <c r="I75" t="s">
        <v>1175</v>
      </c>
    </row>
    <row r="76" spans="1:9">
      <c r="A76" t="s">
        <v>1203</v>
      </c>
      <c r="B76" t="s">
        <v>1264</v>
      </c>
      <c r="C76" t="s">
        <v>7</v>
      </c>
      <c r="D76">
        <v>20</v>
      </c>
      <c r="E76" t="s">
        <v>456</v>
      </c>
      <c r="F76" t="s">
        <v>1250</v>
      </c>
      <c r="G76" t="s">
        <v>86</v>
      </c>
      <c r="H76" t="s">
        <v>1195</v>
      </c>
      <c r="I76" t="s">
        <v>1175</v>
      </c>
    </row>
    <row r="77" spans="1:9">
      <c r="A77" t="s">
        <v>1203</v>
      </c>
      <c r="B77" t="s">
        <v>1264</v>
      </c>
      <c r="C77" t="s">
        <v>8</v>
      </c>
      <c r="E77" t="s">
        <v>456</v>
      </c>
      <c r="F77" t="s">
        <v>1250</v>
      </c>
      <c r="G77" t="s">
        <v>86</v>
      </c>
      <c r="H77" t="s">
        <v>1195</v>
      </c>
      <c r="I77" t="s">
        <v>1175</v>
      </c>
    </row>
    <row r="78" spans="1:9">
      <c r="A78" t="s">
        <v>1203</v>
      </c>
      <c r="B78" t="s">
        <v>1264</v>
      </c>
      <c r="C78" t="s">
        <v>10</v>
      </c>
      <c r="D78">
        <v>5</v>
      </c>
      <c r="E78" t="s">
        <v>456</v>
      </c>
      <c r="F78" t="s">
        <v>1250</v>
      </c>
      <c r="G78" t="s">
        <v>86</v>
      </c>
      <c r="H78" t="s">
        <v>1195</v>
      </c>
      <c r="I78" t="s">
        <v>1175</v>
      </c>
    </row>
    <row r="79" spans="1:9">
      <c r="A79" t="s">
        <v>1203</v>
      </c>
      <c r="B79" t="s">
        <v>1264</v>
      </c>
      <c r="C79" t="s">
        <v>11</v>
      </c>
      <c r="D79" t="s">
        <v>460</v>
      </c>
      <c r="E79" t="s">
        <v>456</v>
      </c>
      <c r="F79" t="s">
        <v>1250</v>
      </c>
      <c r="G79" t="s">
        <v>86</v>
      </c>
      <c r="H79" t="s">
        <v>1195</v>
      </c>
      <c r="I79" t="s">
        <v>1175</v>
      </c>
    </row>
    <row r="80" spans="1:9">
      <c r="A80" t="s">
        <v>1203</v>
      </c>
      <c r="B80" t="s">
        <v>1264</v>
      </c>
      <c r="C80" t="s">
        <v>12</v>
      </c>
      <c r="D80" t="s">
        <v>200</v>
      </c>
      <c r="E80" t="s">
        <v>456</v>
      </c>
      <c r="F80" t="s">
        <v>1250</v>
      </c>
      <c r="G80" t="s">
        <v>86</v>
      </c>
      <c r="H80" t="s">
        <v>1195</v>
      </c>
      <c r="I80" t="s">
        <v>1175</v>
      </c>
    </row>
    <row r="81" spans="1:9">
      <c r="A81" t="s">
        <v>1203</v>
      </c>
      <c r="B81" t="s">
        <v>1264</v>
      </c>
      <c r="C81" t="s">
        <v>13</v>
      </c>
      <c r="D81" t="s">
        <v>461</v>
      </c>
      <c r="E81" t="s">
        <v>456</v>
      </c>
      <c r="F81" t="s">
        <v>1250</v>
      </c>
      <c r="G81" t="s">
        <v>86</v>
      </c>
      <c r="H81" t="s">
        <v>1195</v>
      </c>
      <c r="I81" t="s">
        <v>1175</v>
      </c>
    </row>
    <row r="82" spans="1:9">
      <c r="A82" t="s">
        <v>1203</v>
      </c>
      <c r="B82" t="s">
        <v>1269</v>
      </c>
      <c r="C82" t="s">
        <v>4</v>
      </c>
      <c r="D82" t="s">
        <v>545</v>
      </c>
      <c r="E82" t="s">
        <v>545</v>
      </c>
      <c r="F82" t="s">
        <v>1250</v>
      </c>
      <c r="G82" t="s">
        <v>86</v>
      </c>
      <c r="H82" t="s">
        <v>1195</v>
      </c>
      <c r="I82" t="s">
        <v>1182</v>
      </c>
    </row>
    <row r="83" spans="1:9">
      <c r="A83" t="s">
        <v>1203</v>
      </c>
      <c r="B83" t="s">
        <v>1269</v>
      </c>
      <c r="C83" t="s">
        <v>6</v>
      </c>
      <c r="D83" t="s">
        <v>547</v>
      </c>
      <c r="E83" t="s">
        <v>545</v>
      </c>
      <c r="F83" t="s">
        <v>1250</v>
      </c>
      <c r="G83" t="s">
        <v>86</v>
      </c>
      <c r="H83" t="s">
        <v>1195</v>
      </c>
      <c r="I83" t="s">
        <v>1182</v>
      </c>
    </row>
    <row r="84" spans="1:9">
      <c r="A84" t="s">
        <v>1203</v>
      </c>
      <c r="B84" t="s">
        <v>1269</v>
      </c>
      <c r="C84" t="s">
        <v>7</v>
      </c>
      <c r="D84">
        <v>20</v>
      </c>
      <c r="E84" t="s">
        <v>545</v>
      </c>
      <c r="F84" t="s">
        <v>1250</v>
      </c>
      <c r="G84" t="s">
        <v>86</v>
      </c>
      <c r="H84" t="s">
        <v>1195</v>
      </c>
      <c r="I84" t="s">
        <v>1182</v>
      </c>
    </row>
    <row r="85" spans="1:9">
      <c r="A85" t="s">
        <v>1203</v>
      </c>
      <c r="B85" t="s">
        <v>1269</v>
      </c>
      <c r="C85" t="s">
        <v>8</v>
      </c>
      <c r="D85">
        <v>1</v>
      </c>
      <c r="E85" t="s">
        <v>545</v>
      </c>
      <c r="F85" t="s">
        <v>1250</v>
      </c>
      <c r="G85" t="s">
        <v>86</v>
      </c>
      <c r="H85" t="s">
        <v>1195</v>
      </c>
      <c r="I85" t="s">
        <v>1182</v>
      </c>
    </row>
    <row r="86" spans="1:9">
      <c r="A86" t="s">
        <v>1203</v>
      </c>
      <c r="B86" t="s">
        <v>1269</v>
      </c>
      <c r="C86" t="s">
        <v>10</v>
      </c>
      <c r="D86">
        <v>6</v>
      </c>
      <c r="E86" t="s">
        <v>545</v>
      </c>
      <c r="F86" t="s">
        <v>1250</v>
      </c>
      <c r="G86" t="s">
        <v>86</v>
      </c>
      <c r="H86" t="s">
        <v>1195</v>
      </c>
      <c r="I86" t="s">
        <v>1182</v>
      </c>
    </row>
    <row r="87" spans="1:9">
      <c r="A87" t="s">
        <v>1203</v>
      </c>
      <c r="B87" t="s">
        <v>1269</v>
      </c>
      <c r="C87" t="s">
        <v>11</v>
      </c>
      <c r="D87" t="s">
        <v>549</v>
      </c>
      <c r="E87" t="s">
        <v>545</v>
      </c>
      <c r="F87" t="s">
        <v>1250</v>
      </c>
      <c r="G87" t="s">
        <v>86</v>
      </c>
      <c r="H87" t="s">
        <v>1195</v>
      </c>
      <c r="I87" t="s">
        <v>1182</v>
      </c>
    </row>
    <row r="88" spans="1:9">
      <c r="A88" t="s">
        <v>1203</v>
      </c>
      <c r="B88" t="s">
        <v>1269</v>
      </c>
      <c r="C88" t="s">
        <v>12</v>
      </c>
      <c r="D88" t="s">
        <v>551</v>
      </c>
      <c r="E88" t="s">
        <v>545</v>
      </c>
      <c r="F88" t="s">
        <v>1250</v>
      </c>
      <c r="G88" t="s">
        <v>86</v>
      </c>
      <c r="H88" t="s">
        <v>1195</v>
      </c>
      <c r="I88" t="s">
        <v>1182</v>
      </c>
    </row>
    <row r="89" spans="1:9">
      <c r="A89" t="s">
        <v>1203</v>
      </c>
      <c r="B89" t="s">
        <v>1269</v>
      </c>
      <c r="C89" t="s">
        <v>13</v>
      </c>
      <c r="D89" t="s">
        <v>86</v>
      </c>
      <c r="E89" t="s">
        <v>545</v>
      </c>
      <c r="F89" t="s">
        <v>1250</v>
      </c>
      <c r="G89" t="s">
        <v>86</v>
      </c>
      <c r="H89" t="s">
        <v>1195</v>
      </c>
      <c r="I89" t="s">
        <v>1182</v>
      </c>
    </row>
    <row r="90" spans="1:9">
      <c r="A90" t="s">
        <v>1203</v>
      </c>
      <c r="B90" t="s">
        <v>1271</v>
      </c>
      <c r="C90" t="s">
        <v>4</v>
      </c>
      <c r="D90" t="s">
        <v>592</v>
      </c>
      <c r="E90" t="s">
        <v>592</v>
      </c>
      <c r="F90" t="s">
        <v>1250</v>
      </c>
      <c r="G90" t="s">
        <v>86</v>
      </c>
      <c r="H90" t="s">
        <v>1195</v>
      </c>
      <c r="I90" t="s">
        <v>594</v>
      </c>
    </row>
    <row r="91" spans="1:9">
      <c r="A91" t="s">
        <v>1203</v>
      </c>
      <c r="B91" t="s">
        <v>1271</v>
      </c>
      <c r="C91" t="s">
        <v>6</v>
      </c>
      <c r="D91" t="s">
        <v>594</v>
      </c>
      <c r="E91" t="s">
        <v>592</v>
      </c>
      <c r="F91" t="s">
        <v>1250</v>
      </c>
      <c r="G91" t="s">
        <v>86</v>
      </c>
      <c r="H91" t="s">
        <v>1195</v>
      </c>
      <c r="I91" t="s">
        <v>594</v>
      </c>
    </row>
    <row r="92" spans="1:9">
      <c r="A92" t="s">
        <v>1203</v>
      </c>
      <c r="B92" t="s">
        <v>1271</v>
      </c>
      <c r="C92" t="s">
        <v>7</v>
      </c>
      <c r="D92">
        <v>20</v>
      </c>
      <c r="E92" t="s">
        <v>592</v>
      </c>
      <c r="F92" t="s">
        <v>1250</v>
      </c>
      <c r="G92" t="s">
        <v>86</v>
      </c>
      <c r="H92" t="s">
        <v>1195</v>
      </c>
      <c r="I92" t="s">
        <v>594</v>
      </c>
    </row>
    <row r="93" spans="1:9">
      <c r="A93" t="s">
        <v>1203</v>
      </c>
      <c r="B93" t="s">
        <v>1271</v>
      </c>
      <c r="C93" t="s">
        <v>8</v>
      </c>
      <c r="D93">
        <v>1</v>
      </c>
      <c r="E93" t="s">
        <v>592</v>
      </c>
      <c r="F93" t="s">
        <v>1250</v>
      </c>
      <c r="G93" t="s">
        <v>86</v>
      </c>
      <c r="H93" t="s">
        <v>1195</v>
      </c>
      <c r="I93" t="s">
        <v>594</v>
      </c>
    </row>
    <row r="94" spans="1:9">
      <c r="A94" t="s">
        <v>1203</v>
      </c>
      <c r="B94" t="s">
        <v>1271</v>
      </c>
      <c r="C94" t="s">
        <v>10</v>
      </c>
      <c r="D94">
        <v>6</v>
      </c>
      <c r="E94" t="s">
        <v>592</v>
      </c>
      <c r="F94" t="s">
        <v>1250</v>
      </c>
      <c r="G94" t="s">
        <v>86</v>
      </c>
      <c r="H94" t="s">
        <v>1195</v>
      </c>
      <c r="I94" t="s">
        <v>594</v>
      </c>
    </row>
    <row r="95" spans="1:9">
      <c r="A95" t="s">
        <v>1203</v>
      </c>
      <c r="B95" t="s">
        <v>1271</v>
      </c>
      <c r="C95" t="s">
        <v>11</v>
      </c>
      <c r="D95" t="s">
        <v>596</v>
      </c>
      <c r="E95" t="s">
        <v>592</v>
      </c>
      <c r="F95" t="s">
        <v>1250</v>
      </c>
      <c r="G95" t="s">
        <v>86</v>
      </c>
      <c r="H95" t="s">
        <v>1195</v>
      </c>
      <c r="I95" t="s">
        <v>594</v>
      </c>
    </row>
    <row r="96" spans="1:9">
      <c r="A96" t="s">
        <v>1203</v>
      </c>
      <c r="B96" t="s">
        <v>1271</v>
      </c>
      <c r="C96" t="s">
        <v>12</v>
      </c>
      <c r="D96" t="s">
        <v>551</v>
      </c>
      <c r="E96" t="s">
        <v>592</v>
      </c>
      <c r="F96" t="s">
        <v>1250</v>
      </c>
      <c r="G96" t="s">
        <v>86</v>
      </c>
      <c r="H96" t="s">
        <v>1195</v>
      </c>
      <c r="I96" t="s">
        <v>594</v>
      </c>
    </row>
    <row r="97" spans="1:9">
      <c r="A97" t="s">
        <v>1203</v>
      </c>
      <c r="B97" t="s">
        <v>1271</v>
      </c>
      <c r="C97" t="s">
        <v>13</v>
      </c>
      <c r="D97" t="s">
        <v>86</v>
      </c>
      <c r="E97" t="s">
        <v>592</v>
      </c>
      <c r="F97" t="s">
        <v>1250</v>
      </c>
      <c r="G97" t="s">
        <v>86</v>
      </c>
      <c r="H97" t="s">
        <v>1195</v>
      </c>
      <c r="I97" t="s">
        <v>594</v>
      </c>
    </row>
    <row r="98" spans="1:9">
      <c r="A98" t="s">
        <v>1193</v>
      </c>
      <c r="B98" t="s">
        <v>1249</v>
      </c>
      <c r="C98" t="s">
        <v>4</v>
      </c>
      <c r="D98" t="s">
        <v>1176</v>
      </c>
      <c r="E98" t="s">
        <v>1176</v>
      </c>
      <c r="F98" t="s">
        <v>1250</v>
      </c>
      <c r="G98" t="s">
        <v>86</v>
      </c>
      <c r="H98" t="s">
        <v>1195</v>
      </c>
      <c r="I98" t="s">
        <v>1177</v>
      </c>
    </row>
    <row r="99" spans="1:9">
      <c r="A99" t="s">
        <v>1193</v>
      </c>
      <c r="B99" t="s">
        <v>1249</v>
      </c>
      <c r="C99" t="s">
        <v>6</v>
      </c>
      <c r="D99" t="s">
        <v>1177</v>
      </c>
      <c r="E99" t="s">
        <v>1176</v>
      </c>
      <c r="F99" t="s">
        <v>1250</v>
      </c>
      <c r="G99" t="s">
        <v>86</v>
      </c>
      <c r="H99" t="s">
        <v>1195</v>
      </c>
      <c r="I99" t="s">
        <v>1177</v>
      </c>
    </row>
    <row r="100" spans="1:9">
      <c r="A100" t="s">
        <v>1193</v>
      </c>
      <c r="B100" t="s">
        <v>1249</v>
      </c>
      <c r="C100" t="s">
        <v>7</v>
      </c>
      <c r="D100">
        <v>20</v>
      </c>
      <c r="E100" t="s">
        <v>1176</v>
      </c>
      <c r="F100" t="s">
        <v>1250</v>
      </c>
      <c r="G100" t="s">
        <v>86</v>
      </c>
      <c r="H100" t="s">
        <v>1195</v>
      </c>
      <c r="I100" t="s">
        <v>1177</v>
      </c>
    </row>
    <row r="101" spans="1:9">
      <c r="A101" t="s">
        <v>1193</v>
      </c>
      <c r="B101" t="s">
        <v>1249</v>
      </c>
      <c r="C101" t="s">
        <v>8</v>
      </c>
      <c r="D101">
        <v>1</v>
      </c>
      <c r="E101" t="s">
        <v>1176</v>
      </c>
      <c r="F101" t="s">
        <v>1250</v>
      </c>
      <c r="G101" t="s">
        <v>86</v>
      </c>
      <c r="H101" t="s">
        <v>1195</v>
      </c>
      <c r="I101" t="s">
        <v>1177</v>
      </c>
    </row>
    <row r="102" spans="1:9">
      <c r="A102" t="s">
        <v>1193</v>
      </c>
      <c r="B102" t="s">
        <v>1249</v>
      </c>
      <c r="C102" t="s">
        <v>10</v>
      </c>
      <c r="D102">
        <v>6</v>
      </c>
      <c r="E102" t="s">
        <v>1176</v>
      </c>
      <c r="F102" t="s">
        <v>1250</v>
      </c>
      <c r="G102" t="s">
        <v>86</v>
      </c>
      <c r="H102" t="s">
        <v>1195</v>
      </c>
      <c r="I102" t="s">
        <v>1177</v>
      </c>
    </row>
    <row r="103" spans="1:9">
      <c r="A103" t="s">
        <v>1193</v>
      </c>
      <c r="B103" t="s">
        <v>1249</v>
      </c>
      <c r="C103" t="s">
        <v>11</v>
      </c>
      <c r="D103" t="s">
        <v>1178</v>
      </c>
      <c r="E103" t="s">
        <v>1176</v>
      </c>
      <c r="F103" t="s">
        <v>1250</v>
      </c>
      <c r="G103" t="s">
        <v>86</v>
      </c>
      <c r="H103" t="s">
        <v>1195</v>
      </c>
      <c r="I103" t="s">
        <v>1177</v>
      </c>
    </row>
    <row r="104" spans="1:9">
      <c r="A104" t="s">
        <v>1193</v>
      </c>
      <c r="B104" t="s">
        <v>1249</v>
      </c>
      <c r="C104" t="s">
        <v>12</v>
      </c>
      <c r="D104" t="s">
        <v>551</v>
      </c>
      <c r="E104" t="s">
        <v>1176</v>
      </c>
      <c r="F104" t="s">
        <v>1250</v>
      </c>
      <c r="G104" t="s">
        <v>86</v>
      </c>
      <c r="H104" t="s">
        <v>1195</v>
      </c>
      <c r="I104" t="s">
        <v>1177</v>
      </c>
    </row>
    <row r="105" spans="1:9">
      <c r="A105" t="s">
        <v>1193</v>
      </c>
      <c r="B105" t="s">
        <v>1249</v>
      </c>
      <c r="C105" t="s">
        <v>13</v>
      </c>
      <c r="D105" t="s">
        <v>996</v>
      </c>
      <c r="E105" t="s">
        <v>1176</v>
      </c>
      <c r="F105" t="s">
        <v>1250</v>
      </c>
      <c r="G105" t="s">
        <v>86</v>
      </c>
      <c r="H105" t="s">
        <v>1195</v>
      </c>
      <c r="I105" t="s">
        <v>1177</v>
      </c>
    </row>
    <row r="106" spans="1:9">
      <c r="A106" t="s">
        <v>1203</v>
      </c>
      <c r="B106" t="s">
        <v>1270</v>
      </c>
      <c r="C106" t="s">
        <v>4</v>
      </c>
      <c r="D106" t="s">
        <v>633</v>
      </c>
      <c r="E106" t="s">
        <v>633</v>
      </c>
      <c r="F106" t="s">
        <v>1250</v>
      </c>
      <c r="G106" t="s">
        <v>86</v>
      </c>
      <c r="H106" t="s">
        <v>1195</v>
      </c>
      <c r="I106" t="s">
        <v>634</v>
      </c>
    </row>
    <row r="107" spans="1:9">
      <c r="A107" t="s">
        <v>1203</v>
      </c>
      <c r="B107" t="s">
        <v>1270</v>
      </c>
      <c r="C107" t="s">
        <v>6</v>
      </c>
      <c r="D107" t="s">
        <v>634</v>
      </c>
      <c r="E107" t="s">
        <v>633</v>
      </c>
      <c r="F107" t="s">
        <v>1250</v>
      </c>
      <c r="G107" t="s">
        <v>86</v>
      </c>
      <c r="H107" t="s">
        <v>1195</v>
      </c>
      <c r="I107" t="s">
        <v>634</v>
      </c>
    </row>
    <row r="108" spans="1:9">
      <c r="A108" t="s">
        <v>1203</v>
      </c>
      <c r="B108" t="s">
        <v>1270</v>
      </c>
      <c r="C108" t="s">
        <v>7</v>
      </c>
      <c r="D108">
        <v>20</v>
      </c>
      <c r="E108" t="s">
        <v>633</v>
      </c>
      <c r="F108" t="s">
        <v>1250</v>
      </c>
      <c r="G108" t="s">
        <v>86</v>
      </c>
      <c r="H108" t="s">
        <v>1195</v>
      </c>
      <c r="I108" t="s">
        <v>634</v>
      </c>
    </row>
    <row r="109" spans="1:9">
      <c r="A109" t="s">
        <v>1203</v>
      </c>
      <c r="B109" t="s">
        <v>1270</v>
      </c>
      <c r="C109" t="s">
        <v>8</v>
      </c>
      <c r="D109">
        <v>1</v>
      </c>
      <c r="E109" t="s">
        <v>633</v>
      </c>
      <c r="F109" t="s">
        <v>1250</v>
      </c>
      <c r="G109" t="s">
        <v>86</v>
      </c>
      <c r="H109" t="s">
        <v>1195</v>
      </c>
      <c r="I109" t="s">
        <v>634</v>
      </c>
    </row>
    <row r="110" spans="1:9">
      <c r="A110" t="s">
        <v>1203</v>
      </c>
      <c r="B110" t="s">
        <v>1270</v>
      </c>
      <c r="C110" t="s">
        <v>10</v>
      </c>
      <c r="D110">
        <v>6</v>
      </c>
      <c r="E110" t="s">
        <v>633</v>
      </c>
      <c r="F110" t="s">
        <v>1250</v>
      </c>
      <c r="G110" t="s">
        <v>86</v>
      </c>
      <c r="H110" t="s">
        <v>1195</v>
      </c>
      <c r="I110" t="s">
        <v>634</v>
      </c>
    </row>
    <row r="111" spans="1:9">
      <c r="A111" t="s">
        <v>1203</v>
      </c>
      <c r="B111" t="s">
        <v>1270</v>
      </c>
      <c r="C111" t="s">
        <v>11</v>
      </c>
      <c r="D111" t="s">
        <v>637</v>
      </c>
      <c r="E111" t="s">
        <v>633</v>
      </c>
      <c r="F111" t="s">
        <v>1250</v>
      </c>
      <c r="G111" t="s">
        <v>86</v>
      </c>
      <c r="H111" t="s">
        <v>1195</v>
      </c>
      <c r="I111" t="s">
        <v>634</v>
      </c>
    </row>
    <row r="112" spans="1:9">
      <c r="A112" t="s">
        <v>1203</v>
      </c>
      <c r="B112" t="s">
        <v>1270</v>
      </c>
      <c r="C112" t="s">
        <v>12</v>
      </c>
      <c r="D112" t="s">
        <v>551</v>
      </c>
      <c r="E112" t="s">
        <v>633</v>
      </c>
      <c r="F112" t="s">
        <v>1250</v>
      </c>
      <c r="G112" t="s">
        <v>86</v>
      </c>
      <c r="H112" t="s">
        <v>1195</v>
      </c>
      <c r="I112" t="s">
        <v>634</v>
      </c>
    </row>
    <row r="113" spans="1:9">
      <c r="A113" t="s">
        <v>1203</v>
      </c>
      <c r="B113" t="s">
        <v>1270</v>
      </c>
      <c r="C113" t="s">
        <v>13</v>
      </c>
      <c r="D113" t="s">
        <v>86</v>
      </c>
      <c r="E113" t="s">
        <v>633</v>
      </c>
      <c r="F113" t="s">
        <v>1250</v>
      </c>
      <c r="G113" t="s">
        <v>86</v>
      </c>
      <c r="H113" t="s">
        <v>1195</v>
      </c>
      <c r="I113" t="s">
        <v>634</v>
      </c>
    </row>
    <row r="114" spans="1:9">
      <c r="A114" t="s">
        <v>1203</v>
      </c>
      <c r="B114" t="s">
        <v>1272</v>
      </c>
      <c r="C114" t="s">
        <v>4</v>
      </c>
      <c r="D114" t="s">
        <v>692</v>
      </c>
      <c r="E114" t="s">
        <v>692</v>
      </c>
      <c r="F114" t="s">
        <v>1250</v>
      </c>
      <c r="G114" t="s">
        <v>86</v>
      </c>
      <c r="H114" t="s">
        <v>1195</v>
      </c>
      <c r="I114" t="s">
        <v>694</v>
      </c>
    </row>
    <row r="115" spans="1:9">
      <c r="A115" t="s">
        <v>1203</v>
      </c>
      <c r="B115" t="s">
        <v>1272</v>
      </c>
      <c r="C115" t="s">
        <v>6</v>
      </c>
      <c r="D115" t="s">
        <v>694</v>
      </c>
      <c r="E115" t="s">
        <v>692</v>
      </c>
      <c r="F115" t="s">
        <v>1250</v>
      </c>
      <c r="G115" t="s">
        <v>86</v>
      </c>
      <c r="H115" t="s">
        <v>1195</v>
      </c>
      <c r="I115" t="s">
        <v>694</v>
      </c>
    </row>
    <row r="116" spans="1:9">
      <c r="A116" t="s">
        <v>1203</v>
      </c>
      <c r="B116" t="s">
        <v>1272</v>
      </c>
      <c r="C116" t="s">
        <v>7</v>
      </c>
      <c r="D116">
        <v>20</v>
      </c>
      <c r="E116" t="s">
        <v>692</v>
      </c>
      <c r="F116" t="s">
        <v>1250</v>
      </c>
      <c r="G116" t="s">
        <v>86</v>
      </c>
      <c r="H116" t="s">
        <v>1195</v>
      </c>
      <c r="I116" t="s">
        <v>694</v>
      </c>
    </row>
    <row r="117" spans="1:9">
      <c r="A117" t="s">
        <v>1203</v>
      </c>
      <c r="B117" t="s">
        <v>1272</v>
      </c>
      <c r="C117" t="s">
        <v>8</v>
      </c>
      <c r="D117">
        <v>1</v>
      </c>
      <c r="E117" t="s">
        <v>692</v>
      </c>
      <c r="F117" t="s">
        <v>1250</v>
      </c>
      <c r="G117" t="s">
        <v>86</v>
      </c>
      <c r="H117" t="s">
        <v>1195</v>
      </c>
      <c r="I117" t="s">
        <v>694</v>
      </c>
    </row>
    <row r="118" spans="1:9">
      <c r="A118" t="s">
        <v>1203</v>
      </c>
      <c r="B118" t="s">
        <v>1272</v>
      </c>
      <c r="C118" t="s">
        <v>10</v>
      </c>
      <c r="D118">
        <v>6</v>
      </c>
      <c r="E118" t="s">
        <v>692</v>
      </c>
      <c r="F118" t="s">
        <v>1250</v>
      </c>
      <c r="G118" t="s">
        <v>86</v>
      </c>
      <c r="H118" t="s">
        <v>1195</v>
      </c>
      <c r="I118" t="s">
        <v>694</v>
      </c>
    </row>
    <row r="119" spans="1:9">
      <c r="A119" t="s">
        <v>1203</v>
      </c>
      <c r="B119" t="s">
        <v>1272</v>
      </c>
      <c r="C119" t="s">
        <v>11</v>
      </c>
      <c r="D119" t="s">
        <v>696</v>
      </c>
      <c r="E119" t="s">
        <v>692</v>
      </c>
      <c r="F119" t="s">
        <v>1250</v>
      </c>
      <c r="G119" t="s">
        <v>86</v>
      </c>
      <c r="H119" t="s">
        <v>1195</v>
      </c>
      <c r="I119" t="s">
        <v>694</v>
      </c>
    </row>
    <row r="120" spans="1:9">
      <c r="A120" t="s">
        <v>1203</v>
      </c>
      <c r="B120" t="s">
        <v>1272</v>
      </c>
      <c r="C120" t="s">
        <v>12</v>
      </c>
      <c r="D120" t="s">
        <v>551</v>
      </c>
      <c r="E120" t="s">
        <v>692</v>
      </c>
      <c r="F120" t="s">
        <v>1250</v>
      </c>
      <c r="G120" t="s">
        <v>86</v>
      </c>
      <c r="H120" t="s">
        <v>1195</v>
      </c>
      <c r="I120" t="s">
        <v>694</v>
      </c>
    </row>
    <row r="121" spans="1:9">
      <c r="A121" t="s">
        <v>1203</v>
      </c>
      <c r="B121" t="s">
        <v>1272</v>
      </c>
      <c r="C121" t="s">
        <v>13</v>
      </c>
      <c r="D121" t="s">
        <v>86</v>
      </c>
      <c r="E121" t="s">
        <v>692</v>
      </c>
      <c r="F121" t="s">
        <v>1250</v>
      </c>
      <c r="G121" t="s">
        <v>86</v>
      </c>
      <c r="H121" t="s">
        <v>1195</v>
      </c>
      <c r="I121" t="s">
        <v>694</v>
      </c>
    </row>
    <row r="122" spans="1:9">
      <c r="A122" t="s">
        <v>1203</v>
      </c>
      <c r="B122" t="s">
        <v>1273</v>
      </c>
      <c r="C122" t="s">
        <v>4</v>
      </c>
      <c r="D122" t="s">
        <v>729</v>
      </c>
      <c r="E122" t="s">
        <v>729</v>
      </c>
      <c r="F122" t="s">
        <v>1250</v>
      </c>
      <c r="G122" t="s">
        <v>86</v>
      </c>
      <c r="H122" t="s">
        <v>1195</v>
      </c>
      <c r="I122" t="s">
        <v>1184</v>
      </c>
    </row>
    <row r="123" spans="1:9">
      <c r="A123" t="s">
        <v>1203</v>
      </c>
      <c r="B123" t="s">
        <v>1273</v>
      </c>
      <c r="C123" t="s">
        <v>6</v>
      </c>
      <c r="D123" t="s">
        <v>731</v>
      </c>
      <c r="E123" t="s">
        <v>729</v>
      </c>
      <c r="F123" t="s">
        <v>1250</v>
      </c>
      <c r="G123" t="s">
        <v>86</v>
      </c>
      <c r="H123" t="s">
        <v>1195</v>
      </c>
      <c r="I123" t="s">
        <v>1184</v>
      </c>
    </row>
    <row r="124" spans="1:9">
      <c r="A124" t="s">
        <v>1203</v>
      </c>
      <c r="B124" t="s">
        <v>1273</v>
      </c>
      <c r="C124" t="s">
        <v>7</v>
      </c>
      <c r="D124">
        <v>20</v>
      </c>
      <c r="E124" t="s">
        <v>729</v>
      </c>
      <c r="F124" t="s">
        <v>1250</v>
      </c>
      <c r="G124" t="s">
        <v>86</v>
      </c>
      <c r="H124" t="s">
        <v>1195</v>
      </c>
      <c r="I124" t="s">
        <v>1184</v>
      </c>
    </row>
    <row r="125" spans="1:9">
      <c r="A125" t="s">
        <v>1203</v>
      </c>
      <c r="B125" t="s">
        <v>1273</v>
      </c>
      <c r="C125" t="s">
        <v>8</v>
      </c>
      <c r="D125">
        <v>2</v>
      </c>
      <c r="E125" t="s">
        <v>729</v>
      </c>
      <c r="F125" t="s">
        <v>1250</v>
      </c>
      <c r="G125" t="s">
        <v>86</v>
      </c>
      <c r="H125" t="s">
        <v>1195</v>
      </c>
      <c r="I125" t="s">
        <v>1184</v>
      </c>
    </row>
    <row r="126" spans="1:9">
      <c r="A126" t="s">
        <v>1203</v>
      </c>
      <c r="B126" t="s">
        <v>1273</v>
      </c>
      <c r="C126" t="s">
        <v>10</v>
      </c>
      <c r="D126">
        <v>6</v>
      </c>
      <c r="E126" t="s">
        <v>729</v>
      </c>
      <c r="F126" t="s">
        <v>1250</v>
      </c>
      <c r="G126" t="s">
        <v>86</v>
      </c>
      <c r="H126" t="s">
        <v>1195</v>
      </c>
      <c r="I126" t="s">
        <v>1184</v>
      </c>
    </row>
    <row r="127" spans="1:9">
      <c r="A127" t="s">
        <v>1203</v>
      </c>
      <c r="B127" t="s">
        <v>1273</v>
      </c>
      <c r="C127" t="s">
        <v>11</v>
      </c>
      <c r="D127" t="s">
        <v>733</v>
      </c>
      <c r="E127" t="s">
        <v>729</v>
      </c>
      <c r="F127" t="s">
        <v>1250</v>
      </c>
      <c r="G127" t="s">
        <v>86</v>
      </c>
      <c r="H127" t="s">
        <v>1195</v>
      </c>
      <c r="I127" t="s">
        <v>1184</v>
      </c>
    </row>
    <row r="128" spans="1:9">
      <c r="A128" t="s">
        <v>1203</v>
      </c>
      <c r="B128" t="s">
        <v>1273</v>
      </c>
      <c r="C128" t="s">
        <v>12</v>
      </c>
      <c r="D128" t="s">
        <v>551</v>
      </c>
      <c r="E128" t="s">
        <v>729</v>
      </c>
      <c r="F128" t="s">
        <v>1250</v>
      </c>
      <c r="G128" t="s">
        <v>86</v>
      </c>
      <c r="H128" t="s">
        <v>1195</v>
      </c>
      <c r="I128" t="s">
        <v>1184</v>
      </c>
    </row>
    <row r="129" spans="1:9">
      <c r="A129" t="s">
        <v>1203</v>
      </c>
      <c r="B129" t="s">
        <v>1273</v>
      </c>
      <c r="C129" t="s">
        <v>13</v>
      </c>
      <c r="D129" t="s">
        <v>86</v>
      </c>
      <c r="E129" t="s">
        <v>729</v>
      </c>
      <c r="F129" t="s">
        <v>1250</v>
      </c>
      <c r="G129" t="s">
        <v>86</v>
      </c>
      <c r="H129" t="s">
        <v>1195</v>
      </c>
      <c r="I129" t="s">
        <v>1184</v>
      </c>
    </row>
    <row r="130" spans="1:9">
      <c r="A130" t="s">
        <v>1203</v>
      </c>
      <c r="B130" t="s">
        <v>1274</v>
      </c>
      <c r="C130" t="s">
        <v>4</v>
      </c>
      <c r="D130" t="s">
        <v>770</v>
      </c>
      <c r="E130" t="s">
        <v>770</v>
      </c>
      <c r="F130" t="s">
        <v>1250</v>
      </c>
      <c r="G130" t="s">
        <v>86</v>
      </c>
      <c r="H130" t="s">
        <v>1195</v>
      </c>
      <c r="I130" t="s">
        <v>1387</v>
      </c>
    </row>
    <row r="131" spans="1:9">
      <c r="A131" t="s">
        <v>1203</v>
      </c>
      <c r="B131" t="s">
        <v>1274</v>
      </c>
      <c r="C131" t="s">
        <v>6</v>
      </c>
      <c r="D131" t="s">
        <v>772</v>
      </c>
      <c r="E131" t="s">
        <v>770</v>
      </c>
      <c r="F131" t="s">
        <v>1250</v>
      </c>
      <c r="G131" t="s">
        <v>86</v>
      </c>
      <c r="H131" t="s">
        <v>1195</v>
      </c>
      <c r="I131" t="s">
        <v>1387</v>
      </c>
    </row>
    <row r="132" spans="1:9">
      <c r="A132" t="s">
        <v>1203</v>
      </c>
      <c r="B132" t="s">
        <v>1274</v>
      </c>
      <c r="C132" t="s">
        <v>7</v>
      </c>
      <c r="D132">
        <v>20</v>
      </c>
      <c r="E132" t="s">
        <v>770</v>
      </c>
      <c r="F132" t="s">
        <v>1250</v>
      </c>
      <c r="G132" t="s">
        <v>86</v>
      </c>
      <c r="H132" t="s">
        <v>1195</v>
      </c>
      <c r="I132" t="s">
        <v>1387</v>
      </c>
    </row>
    <row r="133" spans="1:9">
      <c r="A133" t="s">
        <v>1203</v>
      </c>
      <c r="B133" t="s">
        <v>1274</v>
      </c>
      <c r="C133" t="s">
        <v>8</v>
      </c>
      <c r="D133">
        <v>2</v>
      </c>
      <c r="E133" t="s">
        <v>770</v>
      </c>
      <c r="F133" t="s">
        <v>1250</v>
      </c>
      <c r="G133" t="s">
        <v>86</v>
      </c>
      <c r="H133" t="s">
        <v>1195</v>
      </c>
      <c r="I133" t="s">
        <v>1387</v>
      </c>
    </row>
    <row r="134" spans="1:9">
      <c r="A134" t="s">
        <v>1203</v>
      </c>
      <c r="B134" t="s">
        <v>1274</v>
      </c>
      <c r="C134" t="s">
        <v>10</v>
      </c>
      <c r="D134">
        <v>6</v>
      </c>
      <c r="E134" t="s">
        <v>770</v>
      </c>
      <c r="F134" t="s">
        <v>1250</v>
      </c>
      <c r="G134" t="s">
        <v>86</v>
      </c>
      <c r="H134" t="s">
        <v>1195</v>
      </c>
      <c r="I134" t="s">
        <v>1387</v>
      </c>
    </row>
    <row r="135" spans="1:9">
      <c r="A135" t="s">
        <v>1203</v>
      </c>
      <c r="B135" t="s">
        <v>1274</v>
      </c>
      <c r="C135" t="s">
        <v>11</v>
      </c>
      <c r="D135" t="s">
        <v>774</v>
      </c>
      <c r="E135" t="s">
        <v>770</v>
      </c>
      <c r="F135" t="s">
        <v>1250</v>
      </c>
      <c r="G135" t="s">
        <v>86</v>
      </c>
      <c r="H135" t="s">
        <v>1195</v>
      </c>
      <c r="I135" t="s">
        <v>1387</v>
      </c>
    </row>
    <row r="136" spans="1:9">
      <c r="A136" t="s">
        <v>1203</v>
      </c>
      <c r="B136" t="s">
        <v>1274</v>
      </c>
      <c r="C136" t="s">
        <v>12</v>
      </c>
      <c r="D136" t="s">
        <v>551</v>
      </c>
      <c r="E136" t="s">
        <v>770</v>
      </c>
      <c r="F136" t="s">
        <v>1250</v>
      </c>
      <c r="G136" t="s">
        <v>86</v>
      </c>
      <c r="H136" t="s">
        <v>1195</v>
      </c>
      <c r="I136" t="s">
        <v>1387</v>
      </c>
    </row>
    <row r="137" spans="1:9">
      <c r="A137" t="s">
        <v>1203</v>
      </c>
      <c r="B137" t="s">
        <v>1274</v>
      </c>
      <c r="C137" t="s">
        <v>13</v>
      </c>
      <c r="D137" t="s">
        <v>86</v>
      </c>
      <c r="E137" t="s">
        <v>770</v>
      </c>
      <c r="F137" t="s">
        <v>1250</v>
      </c>
      <c r="G137" t="s">
        <v>86</v>
      </c>
      <c r="H137" t="s">
        <v>1195</v>
      </c>
      <c r="I137" t="s">
        <v>1387</v>
      </c>
    </row>
    <row r="138" spans="1:9">
      <c r="A138" t="s">
        <v>1203</v>
      </c>
      <c r="B138" t="s">
        <v>1275</v>
      </c>
      <c r="C138" t="s">
        <v>4</v>
      </c>
      <c r="D138" t="s">
        <v>807</v>
      </c>
      <c r="E138" t="s">
        <v>807</v>
      </c>
      <c r="F138" t="s">
        <v>1250</v>
      </c>
      <c r="G138" t="s">
        <v>86</v>
      </c>
      <c r="H138" t="s">
        <v>1195</v>
      </c>
      <c r="I138" t="s">
        <v>808</v>
      </c>
    </row>
    <row r="139" spans="1:9">
      <c r="A139" t="s">
        <v>1203</v>
      </c>
      <c r="B139" t="s">
        <v>1275</v>
      </c>
      <c r="C139" t="s">
        <v>6</v>
      </c>
      <c r="D139" t="s">
        <v>808</v>
      </c>
      <c r="E139" t="s">
        <v>807</v>
      </c>
      <c r="F139" t="s">
        <v>1250</v>
      </c>
      <c r="G139" t="s">
        <v>86</v>
      </c>
      <c r="H139" t="s">
        <v>1195</v>
      </c>
      <c r="I139" t="s">
        <v>808</v>
      </c>
    </row>
    <row r="140" spans="1:9">
      <c r="A140" t="s">
        <v>1203</v>
      </c>
      <c r="B140" t="s">
        <v>1275</v>
      </c>
      <c r="C140" t="s">
        <v>7</v>
      </c>
      <c r="D140">
        <v>20</v>
      </c>
      <c r="E140" t="s">
        <v>807</v>
      </c>
      <c r="F140" t="s">
        <v>1250</v>
      </c>
      <c r="G140" t="s">
        <v>86</v>
      </c>
      <c r="H140" t="s">
        <v>1195</v>
      </c>
      <c r="I140" t="s">
        <v>808</v>
      </c>
    </row>
    <row r="141" spans="1:9">
      <c r="A141" t="s">
        <v>1203</v>
      </c>
      <c r="B141" t="s">
        <v>1275</v>
      </c>
      <c r="C141" t="s">
        <v>8</v>
      </c>
      <c r="D141">
        <v>2</v>
      </c>
      <c r="E141" t="s">
        <v>807</v>
      </c>
      <c r="F141" t="s">
        <v>1250</v>
      </c>
      <c r="G141" t="s">
        <v>86</v>
      </c>
      <c r="H141" t="s">
        <v>1195</v>
      </c>
      <c r="I141" t="s">
        <v>808</v>
      </c>
    </row>
    <row r="142" spans="1:9">
      <c r="A142" t="s">
        <v>1203</v>
      </c>
      <c r="B142" t="s">
        <v>1275</v>
      </c>
      <c r="C142" t="s">
        <v>10</v>
      </c>
      <c r="D142">
        <v>6</v>
      </c>
      <c r="E142" t="s">
        <v>807</v>
      </c>
      <c r="F142" t="s">
        <v>1250</v>
      </c>
      <c r="G142" t="s">
        <v>86</v>
      </c>
      <c r="H142" t="s">
        <v>1195</v>
      </c>
      <c r="I142" t="s">
        <v>808</v>
      </c>
    </row>
    <row r="143" spans="1:9">
      <c r="A143" t="s">
        <v>1203</v>
      </c>
      <c r="B143" t="s">
        <v>1275</v>
      </c>
      <c r="C143" t="s">
        <v>11</v>
      </c>
      <c r="D143" t="s">
        <v>811</v>
      </c>
      <c r="E143" t="s">
        <v>807</v>
      </c>
      <c r="F143" t="s">
        <v>1250</v>
      </c>
      <c r="G143" t="s">
        <v>86</v>
      </c>
      <c r="H143" t="s">
        <v>1195</v>
      </c>
      <c r="I143" t="s">
        <v>808</v>
      </c>
    </row>
    <row r="144" spans="1:9">
      <c r="A144" t="s">
        <v>1203</v>
      </c>
      <c r="B144" t="s">
        <v>1275</v>
      </c>
      <c r="C144" t="s">
        <v>12</v>
      </c>
      <c r="D144" t="s">
        <v>551</v>
      </c>
      <c r="E144" t="s">
        <v>807</v>
      </c>
      <c r="F144" t="s">
        <v>1250</v>
      </c>
      <c r="G144" t="s">
        <v>86</v>
      </c>
      <c r="H144" t="s">
        <v>1195</v>
      </c>
      <c r="I144" t="s">
        <v>808</v>
      </c>
    </row>
    <row r="145" spans="1:9">
      <c r="A145" t="s">
        <v>1203</v>
      </c>
      <c r="B145" t="s">
        <v>1275</v>
      </c>
      <c r="C145" t="s">
        <v>13</v>
      </c>
      <c r="D145" t="s">
        <v>86</v>
      </c>
      <c r="E145" t="s">
        <v>807</v>
      </c>
      <c r="F145" t="s">
        <v>1250</v>
      </c>
      <c r="G145" t="s">
        <v>86</v>
      </c>
      <c r="H145" t="s">
        <v>1195</v>
      </c>
      <c r="I145" t="s">
        <v>808</v>
      </c>
    </row>
    <row r="146" spans="1:9">
      <c r="A146" t="s">
        <v>1203</v>
      </c>
      <c r="B146" t="s">
        <v>1276</v>
      </c>
      <c r="C146" t="s">
        <v>4</v>
      </c>
      <c r="D146" t="s">
        <v>856</v>
      </c>
      <c r="E146" t="s">
        <v>856</v>
      </c>
      <c r="F146" t="s">
        <v>1250</v>
      </c>
      <c r="G146" t="s">
        <v>86</v>
      </c>
      <c r="H146" t="s">
        <v>1195</v>
      </c>
      <c r="I146" t="s">
        <v>858</v>
      </c>
    </row>
    <row r="147" spans="1:9">
      <c r="A147" t="s">
        <v>1203</v>
      </c>
      <c r="B147" t="s">
        <v>1276</v>
      </c>
      <c r="C147" t="s">
        <v>6</v>
      </c>
      <c r="D147" t="s">
        <v>858</v>
      </c>
      <c r="E147" t="s">
        <v>856</v>
      </c>
      <c r="F147" t="s">
        <v>1250</v>
      </c>
      <c r="G147" t="s">
        <v>86</v>
      </c>
      <c r="H147" t="s">
        <v>1195</v>
      </c>
      <c r="I147" t="s">
        <v>858</v>
      </c>
    </row>
    <row r="148" spans="1:9">
      <c r="A148" t="s">
        <v>1203</v>
      </c>
      <c r="B148" t="s">
        <v>1276</v>
      </c>
      <c r="C148" t="s">
        <v>7</v>
      </c>
      <c r="D148">
        <v>20</v>
      </c>
      <c r="E148" t="s">
        <v>856</v>
      </c>
      <c r="F148" t="s">
        <v>1250</v>
      </c>
      <c r="G148" t="s">
        <v>86</v>
      </c>
      <c r="H148" t="s">
        <v>1195</v>
      </c>
      <c r="I148" t="s">
        <v>858</v>
      </c>
    </row>
    <row r="149" spans="1:9">
      <c r="A149" t="s">
        <v>1203</v>
      </c>
      <c r="B149" t="s">
        <v>1276</v>
      </c>
      <c r="C149" t="s">
        <v>8</v>
      </c>
      <c r="D149">
        <v>1</v>
      </c>
      <c r="E149" t="s">
        <v>856</v>
      </c>
      <c r="F149" t="s">
        <v>1250</v>
      </c>
      <c r="G149" t="s">
        <v>86</v>
      </c>
      <c r="H149" t="s">
        <v>1195</v>
      </c>
      <c r="I149" t="s">
        <v>858</v>
      </c>
    </row>
    <row r="150" spans="1:9">
      <c r="A150" t="s">
        <v>1203</v>
      </c>
      <c r="B150" t="s">
        <v>1276</v>
      </c>
      <c r="C150" t="s">
        <v>10</v>
      </c>
      <c r="D150">
        <v>6</v>
      </c>
      <c r="E150" t="s">
        <v>856</v>
      </c>
      <c r="F150" t="s">
        <v>1250</v>
      </c>
      <c r="G150" t="s">
        <v>86</v>
      </c>
      <c r="H150" t="s">
        <v>1195</v>
      </c>
      <c r="I150" t="s">
        <v>858</v>
      </c>
    </row>
    <row r="151" spans="1:9">
      <c r="A151" t="s">
        <v>1203</v>
      </c>
      <c r="B151" t="s">
        <v>1276</v>
      </c>
      <c r="C151" t="s">
        <v>11</v>
      </c>
      <c r="D151" t="s">
        <v>861</v>
      </c>
      <c r="E151" t="s">
        <v>856</v>
      </c>
      <c r="F151" t="s">
        <v>1250</v>
      </c>
      <c r="G151" t="s">
        <v>86</v>
      </c>
      <c r="H151" t="s">
        <v>1195</v>
      </c>
      <c r="I151" t="s">
        <v>858</v>
      </c>
    </row>
    <row r="152" spans="1:9">
      <c r="A152" t="s">
        <v>1203</v>
      </c>
      <c r="B152" t="s">
        <v>1276</v>
      </c>
      <c r="C152" t="s">
        <v>12</v>
      </c>
      <c r="D152" t="s">
        <v>551</v>
      </c>
      <c r="E152" t="s">
        <v>856</v>
      </c>
      <c r="F152" t="s">
        <v>1250</v>
      </c>
      <c r="G152" t="s">
        <v>86</v>
      </c>
      <c r="H152" t="s">
        <v>1195</v>
      </c>
      <c r="I152" t="s">
        <v>858</v>
      </c>
    </row>
    <row r="153" spans="1:9">
      <c r="A153" t="s">
        <v>1203</v>
      </c>
      <c r="B153" t="s">
        <v>1276</v>
      </c>
      <c r="C153" t="s">
        <v>13</v>
      </c>
      <c r="D153" t="s">
        <v>86</v>
      </c>
      <c r="E153" t="s">
        <v>856</v>
      </c>
      <c r="F153" t="s">
        <v>1250</v>
      </c>
      <c r="G153" t="s">
        <v>86</v>
      </c>
      <c r="H153" t="s">
        <v>1195</v>
      </c>
      <c r="I153" t="s">
        <v>858</v>
      </c>
    </row>
    <row r="154" spans="1:9">
      <c r="A154" t="s">
        <v>1203</v>
      </c>
      <c r="B154" t="s">
        <v>1277</v>
      </c>
      <c r="C154" t="s">
        <v>4</v>
      </c>
      <c r="D154" t="s">
        <v>896</v>
      </c>
      <c r="E154" t="s">
        <v>896</v>
      </c>
      <c r="F154" t="s">
        <v>1250</v>
      </c>
      <c r="G154" t="s">
        <v>86</v>
      </c>
      <c r="H154" t="s">
        <v>1195</v>
      </c>
      <c r="I154" t="s">
        <v>1185</v>
      </c>
    </row>
    <row r="155" spans="1:9">
      <c r="A155" t="s">
        <v>1203</v>
      </c>
      <c r="B155" t="s">
        <v>1277</v>
      </c>
      <c r="C155" t="s">
        <v>6</v>
      </c>
      <c r="D155" t="s">
        <v>898</v>
      </c>
      <c r="E155" t="s">
        <v>896</v>
      </c>
      <c r="F155" t="s">
        <v>1250</v>
      </c>
      <c r="G155" t="s">
        <v>86</v>
      </c>
      <c r="H155" t="s">
        <v>1195</v>
      </c>
      <c r="I155" t="s">
        <v>1185</v>
      </c>
    </row>
    <row r="156" spans="1:9">
      <c r="A156" t="s">
        <v>1203</v>
      </c>
      <c r="B156" t="s">
        <v>1277</v>
      </c>
      <c r="C156" t="s">
        <v>7</v>
      </c>
      <c r="D156">
        <v>20</v>
      </c>
      <c r="E156" t="s">
        <v>896</v>
      </c>
      <c r="F156" t="s">
        <v>1250</v>
      </c>
      <c r="G156" t="s">
        <v>86</v>
      </c>
      <c r="H156" t="s">
        <v>1195</v>
      </c>
      <c r="I156" t="s">
        <v>1185</v>
      </c>
    </row>
    <row r="157" spans="1:9">
      <c r="A157" t="s">
        <v>1203</v>
      </c>
      <c r="B157" t="s">
        <v>1277</v>
      </c>
      <c r="C157" t="s">
        <v>8</v>
      </c>
      <c r="D157" t="s">
        <v>899</v>
      </c>
      <c r="E157" t="s">
        <v>896</v>
      </c>
      <c r="F157" t="s">
        <v>1250</v>
      </c>
      <c r="G157" t="s">
        <v>86</v>
      </c>
      <c r="H157" t="s">
        <v>1195</v>
      </c>
      <c r="I157" t="s">
        <v>1185</v>
      </c>
    </row>
    <row r="158" spans="1:9">
      <c r="A158" t="s">
        <v>1203</v>
      </c>
      <c r="B158" t="s">
        <v>1277</v>
      </c>
      <c r="C158" t="s">
        <v>10</v>
      </c>
      <c r="D158">
        <v>6</v>
      </c>
      <c r="E158" t="s">
        <v>896</v>
      </c>
      <c r="F158" t="s">
        <v>1250</v>
      </c>
      <c r="G158" t="s">
        <v>86</v>
      </c>
      <c r="H158" t="s">
        <v>1195</v>
      </c>
      <c r="I158" t="s">
        <v>1185</v>
      </c>
    </row>
    <row r="159" spans="1:9">
      <c r="A159" t="s">
        <v>1203</v>
      </c>
      <c r="B159" t="s">
        <v>1277</v>
      </c>
      <c r="C159" t="s">
        <v>11</v>
      </c>
      <c r="D159" t="s">
        <v>901</v>
      </c>
      <c r="E159" t="s">
        <v>896</v>
      </c>
      <c r="F159" t="s">
        <v>1250</v>
      </c>
      <c r="G159" t="s">
        <v>86</v>
      </c>
      <c r="H159" t="s">
        <v>1195</v>
      </c>
      <c r="I159" t="s">
        <v>1185</v>
      </c>
    </row>
    <row r="160" spans="1:9">
      <c r="A160" t="s">
        <v>1203</v>
      </c>
      <c r="B160" t="s">
        <v>1277</v>
      </c>
      <c r="C160" t="s">
        <v>12</v>
      </c>
      <c r="D160" t="s">
        <v>85</v>
      </c>
      <c r="E160" t="s">
        <v>896</v>
      </c>
      <c r="F160" t="s">
        <v>1250</v>
      </c>
      <c r="G160" t="s">
        <v>86</v>
      </c>
      <c r="H160" t="s">
        <v>1195</v>
      </c>
      <c r="I160" t="s">
        <v>1185</v>
      </c>
    </row>
    <row r="161" spans="1:9">
      <c r="A161" t="s">
        <v>1203</v>
      </c>
      <c r="B161" t="s">
        <v>1277</v>
      </c>
      <c r="C161" t="s">
        <v>13</v>
      </c>
      <c r="D161" t="s">
        <v>86</v>
      </c>
      <c r="E161" t="s">
        <v>896</v>
      </c>
      <c r="F161" t="s">
        <v>1250</v>
      </c>
      <c r="G161" t="s">
        <v>86</v>
      </c>
      <c r="H161" t="s">
        <v>1195</v>
      </c>
      <c r="I161" t="s">
        <v>1185</v>
      </c>
    </row>
    <row r="162" spans="1:9">
      <c r="A162" t="s">
        <v>1203</v>
      </c>
      <c r="B162" t="s">
        <v>1265</v>
      </c>
      <c r="C162" t="s">
        <v>4</v>
      </c>
      <c r="D162" t="s">
        <v>937</v>
      </c>
      <c r="E162" t="s">
        <v>937</v>
      </c>
      <c r="F162" t="s">
        <v>1250</v>
      </c>
      <c r="G162" t="s">
        <v>86</v>
      </c>
      <c r="H162" t="s">
        <v>1195</v>
      </c>
      <c r="I162" t="s">
        <v>939</v>
      </c>
    </row>
    <row r="163" spans="1:9">
      <c r="A163" t="s">
        <v>1203</v>
      </c>
      <c r="B163" t="s">
        <v>1265</v>
      </c>
      <c r="C163" t="s">
        <v>6</v>
      </c>
      <c r="D163" t="s">
        <v>939</v>
      </c>
      <c r="E163" t="s">
        <v>937</v>
      </c>
      <c r="F163" t="s">
        <v>1250</v>
      </c>
      <c r="G163" t="s">
        <v>86</v>
      </c>
      <c r="H163" t="s">
        <v>1195</v>
      </c>
      <c r="I163" t="s">
        <v>939</v>
      </c>
    </row>
    <row r="164" spans="1:9">
      <c r="A164" t="s">
        <v>1203</v>
      </c>
      <c r="B164" t="s">
        <v>1265</v>
      </c>
      <c r="C164" t="s">
        <v>7</v>
      </c>
      <c r="D164">
        <v>40</v>
      </c>
      <c r="E164" t="s">
        <v>937</v>
      </c>
      <c r="F164" t="s">
        <v>1250</v>
      </c>
      <c r="G164" t="s">
        <v>86</v>
      </c>
      <c r="H164" t="s">
        <v>1195</v>
      </c>
      <c r="I164" t="s">
        <v>939</v>
      </c>
    </row>
    <row r="165" spans="1:9">
      <c r="A165" t="s">
        <v>1203</v>
      </c>
      <c r="B165" t="s">
        <v>1265</v>
      </c>
      <c r="C165" t="s">
        <v>8</v>
      </c>
      <c r="D165" t="s">
        <v>899</v>
      </c>
      <c r="E165" t="s">
        <v>937</v>
      </c>
      <c r="F165" t="s">
        <v>1250</v>
      </c>
      <c r="G165" t="s">
        <v>86</v>
      </c>
      <c r="H165" t="s">
        <v>1195</v>
      </c>
      <c r="I165" t="s">
        <v>939</v>
      </c>
    </row>
    <row r="166" spans="1:9">
      <c r="A166" t="s">
        <v>1203</v>
      </c>
      <c r="B166" t="s">
        <v>1265</v>
      </c>
      <c r="C166" t="s">
        <v>10</v>
      </c>
      <c r="D166">
        <v>6</v>
      </c>
      <c r="E166" t="s">
        <v>937</v>
      </c>
      <c r="F166" t="s">
        <v>1250</v>
      </c>
      <c r="G166" t="s">
        <v>86</v>
      </c>
      <c r="H166" t="s">
        <v>1195</v>
      </c>
      <c r="I166" t="s">
        <v>939</v>
      </c>
    </row>
    <row r="167" spans="1:9">
      <c r="A167" t="s">
        <v>1203</v>
      </c>
      <c r="B167" t="s">
        <v>1265</v>
      </c>
      <c r="C167" t="s">
        <v>11</v>
      </c>
      <c r="D167" t="s">
        <v>941</v>
      </c>
      <c r="E167" t="s">
        <v>937</v>
      </c>
      <c r="F167" t="s">
        <v>1250</v>
      </c>
      <c r="G167" t="s">
        <v>86</v>
      </c>
      <c r="H167" t="s">
        <v>1195</v>
      </c>
      <c r="I167" t="s">
        <v>939</v>
      </c>
    </row>
    <row r="168" spans="1:9">
      <c r="A168" t="s">
        <v>1203</v>
      </c>
      <c r="B168" t="s">
        <v>1265</v>
      </c>
      <c r="C168" t="s">
        <v>12</v>
      </c>
      <c r="D168" t="s">
        <v>943</v>
      </c>
      <c r="E168" t="s">
        <v>937</v>
      </c>
      <c r="F168" t="s">
        <v>1250</v>
      </c>
      <c r="G168" t="s">
        <v>86</v>
      </c>
      <c r="H168" t="s">
        <v>1195</v>
      </c>
      <c r="I168" t="s">
        <v>939</v>
      </c>
    </row>
    <row r="169" spans="1:9">
      <c r="A169" t="s">
        <v>1203</v>
      </c>
      <c r="B169" t="s">
        <v>1265</v>
      </c>
      <c r="C169" t="s">
        <v>13</v>
      </c>
      <c r="D169" t="s">
        <v>151</v>
      </c>
      <c r="E169" t="s">
        <v>937</v>
      </c>
      <c r="F169" t="s">
        <v>1250</v>
      </c>
      <c r="G169" t="s">
        <v>86</v>
      </c>
      <c r="H169" t="s">
        <v>1195</v>
      </c>
      <c r="I169" t="s">
        <v>939</v>
      </c>
    </row>
    <row r="170" spans="1:9">
      <c r="A170" t="s">
        <v>1203</v>
      </c>
      <c r="B170" t="s">
        <v>1266</v>
      </c>
      <c r="C170" t="s">
        <v>4</v>
      </c>
      <c r="D170" t="s">
        <v>991</v>
      </c>
      <c r="E170" t="s">
        <v>991</v>
      </c>
      <c r="F170" t="s">
        <v>1250</v>
      </c>
      <c r="G170" t="s">
        <v>86</v>
      </c>
      <c r="H170" t="s">
        <v>1195</v>
      </c>
      <c r="I170" t="s">
        <v>993</v>
      </c>
    </row>
    <row r="171" spans="1:9">
      <c r="A171" t="s">
        <v>1203</v>
      </c>
      <c r="B171" t="s">
        <v>1266</v>
      </c>
      <c r="C171" t="s">
        <v>6</v>
      </c>
      <c r="D171" t="s">
        <v>993</v>
      </c>
      <c r="E171" t="s">
        <v>991</v>
      </c>
      <c r="F171" t="s">
        <v>1250</v>
      </c>
      <c r="G171" t="s">
        <v>86</v>
      </c>
      <c r="H171" t="s">
        <v>1195</v>
      </c>
      <c r="I171" t="s">
        <v>993</v>
      </c>
    </row>
    <row r="172" spans="1:9">
      <c r="A172" t="s">
        <v>1203</v>
      </c>
      <c r="B172" t="s">
        <v>1266</v>
      </c>
      <c r="C172" t="s">
        <v>7</v>
      </c>
      <c r="D172">
        <v>20</v>
      </c>
      <c r="E172" t="s">
        <v>991</v>
      </c>
      <c r="F172" t="s">
        <v>1250</v>
      </c>
      <c r="G172" t="s">
        <v>86</v>
      </c>
      <c r="H172" t="s">
        <v>1195</v>
      </c>
      <c r="I172" t="s">
        <v>993</v>
      </c>
    </row>
    <row r="173" spans="1:9">
      <c r="A173" t="s">
        <v>1203</v>
      </c>
      <c r="B173" t="s">
        <v>1266</v>
      </c>
      <c r="C173" t="s">
        <v>8</v>
      </c>
      <c r="D173">
        <v>1</v>
      </c>
      <c r="E173" t="s">
        <v>991</v>
      </c>
      <c r="F173" t="s">
        <v>1250</v>
      </c>
      <c r="G173" t="s">
        <v>86</v>
      </c>
      <c r="H173" t="s">
        <v>1195</v>
      </c>
      <c r="I173" t="s">
        <v>993</v>
      </c>
    </row>
    <row r="174" spans="1:9">
      <c r="A174" t="s">
        <v>1203</v>
      </c>
      <c r="B174" t="s">
        <v>1266</v>
      </c>
      <c r="C174" t="s">
        <v>10</v>
      </c>
      <c r="D174">
        <v>6</v>
      </c>
      <c r="E174" t="s">
        <v>991</v>
      </c>
      <c r="F174" t="s">
        <v>1250</v>
      </c>
      <c r="G174" t="s">
        <v>86</v>
      </c>
      <c r="H174" t="s">
        <v>1195</v>
      </c>
      <c r="I174" t="s">
        <v>993</v>
      </c>
    </row>
    <row r="175" spans="1:9">
      <c r="A175" t="s">
        <v>1203</v>
      </c>
      <c r="B175" t="s">
        <v>1266</v>
      </c>
      <c r="C175" t="s">
        <v>11</v>
      </c>
      <c r="D175" t="s">
        <v>995</v>
      </c>
      <c r="E175" t="s">
        <v>991</v>
      </c>
      <c r="F175" t="s">
        <v>1250</v>
      </c>
      <c r="G175" t="s">
        <v>86</v>
      </c>
      <c r="H175" t="s">
        <v>1195</v>
      </c>
      <c r="I175" t="s">
        <v>993</v>
      </c>
    </row>
    <row r="176" spans="1:9">
      <c r="A176" t="s">
        <v>1203</v>
      </c>
      <c r="B176" t="s">
        <v>1266</v>
      </c>
      <c r="C176" t="s">
        <v>12</v>
      </c>
      <c r="D176" t="s">
        <v>551</v>
      </c>
      <c r="E176" t="s">
        <v>991</v>
      </c>
      <c r="F176" t="s">
        <v>1250</v>
      </c>
      <c r="G176" t="s">
        <v>86</v>
      </c>
      <c r="H176" t="s">
        <v>1195</v>
      </c>
      <c r="I176" t="s">
        <v>993</v>
      </c>
    </row>
    <row r="177" spans="1:9">
      <c r="A177" t="s">
        <v>1203</v>
      </c>
      <c r="B177" t="s">
        <v>1266</v>
      </c>
      <c r="C177" t="s">
        <v>13</v>
      </c>
      <c r="D177" t="s">
        <v>996</v>
      </c>
      <c r="E177" t="s">
        <v>991</v>
      </c>
      <c r="F177" t="s">
        <v>1250</v>
      </c>
      <c r="G177" t="s">
        <v>86</v>
      </c>
      <c r="H177" t="s">
        <v>1195</v>
      </c>
      <c r="I177" t="s">
        <v>993</v>
      </c>
    </row>
    <row r="178" spans="1:9">
      <c r="A178" t="s">
        <v>1203</v>
      </c>
      <c r="B178" t="s">
        <v>1267</v>
      </c>
      <c r="C178" t="s">
        <v>4</v>
      </c>
      <c r="D178" t="s">
        <v>1038</v>
      </c>
      <c r="E178" t="s">
        <v>1038</v>
      </c>
      <c r="F178" t="s">
        <v>1250</v>
      </c>
      <c r="G178" t="s">
        <v>86</v>
      </c>
      <c r="H178" t="s">
        <v>1195</v>
      </c>
      <c r="I178" t="s">
        <v>1040</v>
      </c>
    </row>
    <row r="179" spans="1:9">
      <c r="A179" t="s">
        <v>1203</v>
      </c>
      <c r="B179" t="s">
        <v>1267</v>
      </c>
      <c r="C179" t="s">
        <v>6</v>
      </c>
      <c r="D179" t="s">
        <v>1040</v>
      </c>
      <c r="E179" t="s">
        <v>1038</v>
      </c>
      <c r="F179" t="s">
        <v>1250</v>
      </c>
      <c r="G179" t="s">
        <v>86</v>
      </c>
      <c r="H179" t="s">
        <v>1195</v>
      </c>
      <c r="I179" t="s">
        <v>1040</v>
      </c>
    </row>
    <row r="180" spans="1:9">
      <c r="A180" t="s">
        <v>1203</v>
      </c>
      <c r="B180" t="s">
        <v>1267</v>
      </c>
      <c r="C180" t="s">
        <v>7</v>
      </c>
      <c r="D180">
        <v>20</v>
      </c>
      <c r="E180" t="s">
        <v>1038</v>
      </c>
      <c r="F180" t="s">
        <v>1250</v>
      </c>
      <c r="G180" t="s">
        <v>86</v>
      </c>
      <c r="H180" t="s">
        <v>1195</v>
      </c>
      <c r="I180" t="s">
        <v>1040</v>
      </c>
    </row>
    <row r="181" spans="1:9">
      <c r="A181" t="s">
        <v>1203</v>
      </c>
      <c r="B181" t="s">
        <v>1267</v>
      </c>
      <c r="C181" t="s">
        <v>8</v>
      </c>
      <c r="D181">
        <v>1</v>
      </c>
      <c r="E181" t="s">
        <v>1038</v>
      </c>
      <c r="F181" t="s">
        <v>1250</v>
      </c>
      <c r="G181" t="s">
        <v>86</v>
      </c>
      <c r="H181" t="s">
        <v>1195</v>
      </c>
      <c r="I181" t="s">
        <v>1040</v>
      </c>
    </row>
    <row r="182" spans="1:9">
      <c r="A182" t="s">
        <v>1203</v>
      </c>
      <c r="B182" t="s">
        <v>1267</v>
      </c>
      <c r="C182" t="s">
        <v>10</v>
      </c>
      <c r="D182">
        <v>6</v>
      </c>
      <c r="E182" t="s">
        <v>1038</v>
      </c>
      <c r="F182" t="s">
        <v>1250</v>
      </c>
      <c r="G182" t="s">
        <v>86</v>
      </c>
      <c r="H182" t="s">
        <v>1195</v>
      </c>
      <c r="I182" t="s">
        <v>1040</v>
      </c>
    </row>
    <row r="183" spans="1:9">
      <c r="A183" t="s">
        <v>1203</v>
      </c>
      <c r="B183" t="s">
        <v>1267</v>
      </c>
      <c r="C183" t="s">
        <v>11</v>
      </c>
      <c r="D183" t="s">
        <v>1042</v>
      </c>
      <c r="E183" t="s">
        <v>1038</v>
      </c>
      <c r="F183" t="s">
        <v>1250</v>
      </c>
      <c r="G183" t="s">
        <v>86</v>
      </c>
      <c r="H183" t="s">
        <v>1195</v>
      </c>
      <c r="I183" t="s">
        <v>1040</v>
      </c>
    </row>
    <row r="184" spans="1:9">
      <c r="A184" t="s">
        <v>1203</v>
      </c>
      <c r="B184" t="s">
        <v>1267</v>
      </c>
      <c r="C184" t="s">
        <v>12</v>
      </c>
      <c r="D184" t="s">
        <v>551</v>
      </c>
      <c r="E184" t="s">
        <v>1038</v>
      </c>
      <c r="F184" t="s">
        <v>1250</v>
      </c>
      <c r="G184" t="s">
        <v>86</v>
      </c>
      <c r="H184" t="s">
        <v>1195</v>
      </c>
      <c r="I184" t="s">
        <v>1040</v>
      </c>
    </row>
    <row r="185" spans="1:9">
      <c r="A185" t="s">
        <v>1203</v>
      </c>
      <c r="B185" t="s">
        <v>1267</v>
      </c>
      <c r="C185" t="s">
        <v>13</v>
      </c>
      <c r="D185" t="s">
        <v>996</v>
      </c>
      <c r="E185" t="s">
        <v>1038</v>
      </c>
      <c r="F185" t="s">
        <v>1250</v>
      </c>
      <c r="G185" t="s">
        <v>86</v>
      </c>
      <c r="H185" t="s">
        <v>1195</v>
      </c>
      <c r="I185" t="s">
        <v>1040</v>
      </c>
    </row>
    <row r="186" spans="1:9">
      <c r="A186" t="s">
        <v>1203</v>
      </c>
      <c r="B186" t="s">
        <v>1268</v>
      </c>
      <c r="C186" t="s">
        <v>4</v>
      </c>
      <c r="D186" t="s">
        <v>1070</v>
      </c>
      <c r="E186" t="s">
        <v>1070</v>
      </c>
      <c r="F186" t="s">
        <v>1250</v>
      </c>
      <c r="G186" t="s">
        <v>86</v>
      </c>
      <c r="H186" t="s">
        <v>1195</v>
      </c>
      <c r="I186" t="s">
        <v>1072</v>
      </c>
    </row>
    <row r="187" spans="1:9">
      <c r="A187" t="s">
        <v>1203</v>
      </c>
      <c r="B187" t="s">
        <v>1268</v>
      </c>
      <c r="C187" t="s">
        <v>6</v>
      </c>
      <c r="D187" t="s">
        <v>1072</v>
      </c>
      <c r="E187" t="s">
        <v>1070</v>
      </c>
      <c r="F187" t="s">
        <v>1250</v>
      </c>
      <c r="G187" t="s">
        <v>86</v>
      </c>
      <c r="H187" t="s">
        <v>1195</v>
      </c>
      <c r="I187" t="s">
        <v>1072</v>
      </c>
    </row>
    <row r="188" spans="1:9">
      <c r="A188" t="s">
        <v>1203</v>
      </c>
      <c r="B188" t="s">
        <v>1268</v>
      </c>
      <c r="C188" t="s">
        <v>7</v>
      </c>
      <c r="D188">
        <v>20</v>
      </c>
      <c r="E188" t="s">
        <v>1070</v>
      </c>
      <c r="F188" t="s">
        <v>1250</v>
      </c>
      <c r="G188" t="s">
        <v>86</v>
      </c>
      <c r="H188" t="s">
        <v>1195</v>
      </c>
      <c r="I188" t="s">
        <v>1072</v>
      </c>
    </row>
    <row r="189" spans="1:9">
      <c r="A189" t="s">
        <v>1203</v>
      </c>
      <c r="B189" t="s">
        <v>1268</v>
      </c>
      <c r="C189" t="s">
        <v>8</v>
      </c>
      <c r="D189">
        <v>1</v>
      </c>
      <c r="E189" t="s">
        <v>1070</v>
      </c>
      <c r="F189" t="s">
        <v>1250</v>
      </c>
      <c r="G189" t="s">
        <v>86</v>
      </c>
      <c r="H189" t="s">
        <v>1195</v>
      </c>
      <c r="I189" t="s">
        <v>1072</v>
      </c>
    </row>
    <row r="190" spans="1:9">
      <c r="A190" t="s">
        <v>1203</v>
      </c>
      <c r="B190" t="s">
        <v>1268</v>
      </c>
      <c r="C190" t="s">
        <v>10</v>
      </c>
      <c r="D190">
        <v>6</v>
      </c>
      <c r="E190" t="s">
        <v>1070</v>
      </c>
      <c r="F190" t="s">
        <v>1250</v>
      </c>
      <c r="G190" t="s">
        <v>86</v>
      </c>
      <c r="H190" t="s">
        <v>1195</v>
      </c>
      <c r="I190" t="s">
        <v>1072</v>
      </c>
    </row>
    <row r="191" spans="1:9">
      <c r="A191" t="s">
        <v>1203</v>
      </c>
      <c r="B191" t="s">
        <v>1268</v>
      </c>
      <c r="C191" t="s">
        <v>11</v>
      </c>
      <c r="D191" t="s">
        <v>1074</v>
      </c>
      <c r="E191" t="s">
        <v>1070</v>
      </c>
      <c r="F191" t="s">
        <v>1250</v>
      </c>
      <c r="G191" t="s">
        <v>86</v>
      </c>
      <c r="H191" t="s">
        <v>1195</v>
      </c>
      <c r="I191" t="s">
        <v>1072</v>
      </c>
    </row>
    <row r="192" spans="1:9">
      <c r="A192" t="s">
        <v>1203</v>
      </c>
      <c r="B192" t="s">
        <v>1268</v>
      </c>
      <c r="C192" t="s">
        <v>12</v>
      </c>
      <c r="D192" t="s">
        <v>551</v>
      </c>
      <c r="E192" t="s">
        <v>1070</v>
      </c>
      <c r="F192" t="s">
        <v>1250</v>
      </c>
      <c r="G192" t="s">
        <v>86</v>
      </c>
      <c r="H192" t="s">
        <v>1195</v>
      </c>
      <c r="I192" t="s">
        <v>1072</v>
      </c>
    </row>
    <row r="193" spans="1:9">
      <c r="A193" t="s">
        <v>1203</v>
      </c>
      <c r="B193" t="s">
        <v>1268</v>
      </c>
      <c r="C193" t="s">
        <v>13</v>
      </c>
      <c r="D193" t="s">
        <v>996</v>
      </c>
      <c r="E193" t="s">
        <v>1070</v>
      </c>
      <c r="F193" t="s">
        <v>1250</v>
      </c>
      <c r="G193" t="s">
        <v>86</v>
      </c>
      <c r="H193" t="s">
        <v>1195</v>
      </c>
      <c r="I193" t="s">
        <v>1072</v>
      </c>
    </row>
    <row r="194" spans="1:9">
      <c r="A194" t="s">
        <v>1196</v>
      </c>
      <c r="B194" t="s">
        <v>1251</v>
      </c>
      <c r="C194" t="s">
        <v>4</v>
      </c>
      <c r="D194" t="s">
        <v>1183</v>
      </c>
      <c r="E194" t="s">
        <v>1183</v>
      </c>
      <c r="F194" t="s">
        <v>1250</v>
      </c>
      <c r="G194" t="s">
        <v>86</v>
      </c>
      <c r="H194" t="s">
        <v>1195</v>
      </c>
      <c r="I194" t="s">
        <v>1186</v>
      </c>
    </row>
    <row r="195" spans="1:9">
      <c r="A195" t="s">
        <v>1196</v>
      </c>
      <c r="B195" t="s">
        <v>1251</v>
      </c>
      <c r="C195" t="s">
        <v>6</v>
      </c>
      <c r="D195" t="s">
        <v>1186</v>
      </c>
      <c r="E195" t="s">
        <v>1183</v>
      </c>
      <c r="F195" t="s">
        <v>1250</v>
      </c>
      <c r="G195" t="s">
        <v>86</v>
      </c>
      <c r="H195" t="s">
        <v>1195</v>
      </c>
      <c r="I195" t="s">
        <v>1186</v>
      </c>
    </row>
    <row r="196" spans="1:9">
      <c r="A196" t="s">
        <v>1196</v>
      </c>
      <c r="B196" t="s">
        <v>1251</v>
      </c>
      <c r="C196" t="s">
        <v>7</v>
      </c>
      <c r="D196">
        <v>20</v>
      </c>
      <c r="E196" t="s">
        <v>1183</v>
      </c>
      <c r="F196" t="s">
        <v>1250</v>
      </c>
      <c r="G196" t="s">
        <v>86</v>
      </c>
      <c r="H196" t="s">
        <v>1195</v>
      </c>
      <c r="I196" t="s">
        <v>1186</v>
      </c>
    </row>
    <row r="197" spans="1:9">
      <c r="A197" t="s">
        <v>1196</v>
      </c>
      <c r="B197" t="s">
        <v>1251</v>
      </c>
      <c r="C197" t="s">
        <v>8</v>
      </c>
      <c r="D197">
        <v>1</v>
      </c>
      <c r="E197" t="s">
        <v>1183</v>
      </c>
      <c r="F197" t="s">
        <v>1250</v>
      </c>
      <c r="G197" t="s">
        <v>86</v>
      </c>
      <c r="H197" t="s">
        <v>1195</v>
      </c>
      <c r="I197" t="s">
        <v>1186</v>
      </c>
    </row>
    <row r="198" spans="1:9">
      <c r="A198" t="s">
        <v>1196</v>
      </c>
      <c r="B198" t="s">
        <v>1251</v>
      </c>
      <c r="C198" t="s">
        <v>10</v>
      </c>
      <c r="D198">
        <v>6</v>
      </c>
      <c r="E198" t="s">
        <v>1183</v>
      </c>
      <c r="F198" t="s">
        <v>1250</v>
      </c>
      <c r="G198" t="s">
        <v>86</v>
      </c>
      <c r="H198" t="s">
        <v>1195</v>
      </c>
      <c r="I198" t="s">
        <v>1186</v>
      </c>
    </row>
    <row r="199" spans="1:9">
      <c r="A199" t="s">
        <v>1196</v>
      </c>
      <c r="B199" t="s">
        <v>1251</v>
      </c>
      <c r="C199" t="s">
        <v>11</v>
      </c>
      <c r="D199" t="s">
        <v>1247</v>
      </c>
      <c r="E199" t="s">
        <v>1183</v>
      </c>
      <c r="F199" t="s">
        <v>1250</v>
      </c>
      <c r="G199" t="s">
        <v>86</v>
      </c>
      <c r="H199" t="s">
        <v>1195</v>
      </c>
      <c r="I199" t="s">
        <v>1186</v>
      </c>
    </row>
    <row r="200" spans="1:9">
      <c r="A200" t="s">
        <v>1196</v>
      </c>
      <c r="B200" t="s">
        <v>1251</v>
      </c>
      <c r="C200" t="s">
        <v>12</v>
      </c>
      <c r="D200" t="s">
        <v>551</v>
      </c>
      <c r="E200" t="s">
        <v>1183</v>
      </c>
      <c r="F200" t="s">
        <v>1250</v>
      </c>
      <c r="G200" t="s">
        <v>86</v>
      </c>
      <c r="H200" t="s">
        <v>1195</v>
      </c>
      <c r="I200" t="s">
        <v>1186</v>
      </c>
    </row>
    <row r="201" spans="1:9">
      <c r="A201" t="s">
        <v>1196</v>
      </c>
      <c r="B201" t="s">
        <v>1251</v>
      </c>
      <c r="C201" t="s">
        <v>13</v>
      </c>
      <c r="D201" t="s">
        <v>151</v>
      </c>
      <c r="E201" t="s">
        <v>1183</v>
      </c>
      <c r="F201" t="s">
        <v>1250</v>
      </c>
      <c r="G201" t="s">
        <v>86</v>
      </c>
      <c r="H201" t="s">
        <v>1195</v>
      </c>
      <c r="I201" t="s">
        <v>1186</v>
      </c>
    </row>
    <row r="202" spans="1:9">
      <c r="A202" t="s">
        <v>1198</v>
      </c>
      <c r="B202" t="s">
        <v>1252</v>
      </c>
      <c r="C202" t="s">
        <v>4</v>
      </c>
      <c r="D202" t="s">
        <v>1165</v>
      </c>
      <c r="E202" t="s">
        <v>1165</v>
      </c>
      <c r="F202" t="s">
        <v>1250</v>
      </c>
      <c r="G202" t="s">
        <v>86</v>
      </c>
      <c r="H202" t="s">
        <v>1195</v>
      </c>
      <c r="I202" t="s">
        <v>1166</v>
      </c>
    </row>
    <row r="203" spans="1:9">
      <c r="A203" t="s">
        <v>1198</v>
      </c>
      <c r="B203" t="s">
        <v>1252</v>
      </c>
      <c r="C203" t="s">
        <v>6</v>
      </c>
      <c r="D203" t="s">
        <v>1166</v>
      </c>
      <c r="E203" t="s">
        <v>1165</v>
      </c>
      <c r="F203" t="s">
        <v>1250</v>
      </c>
      <c r="G203" t="s">
        <v>86</v>
      </c>
      <c r="H203" t="s">
        <v>1195</v>
      </c>
      <c r="I203" t="s">
        <v>1166</v>
      </c>
    </row>
    <row r="204" spans="1:9">
      <c r="A204" t="s">
        <v>1198</v>
      </c>
      <c r="B204" t="s">
        <v>1252</v>
      </c>
      <c r="C204" t="s">
        <v>7</v>
      </c>
      <c r="D204">
        <v>20</v>
      </c>
      <c r="E204" t="s">
        <v>1165</v>
      </c>
      <c r="F204" t="s">
        <v>1250</v>
      </c>
      <c r="G204" t="s">
        <v>86</v>
      </c>
      <c r="H204" t="s">
        <v>1195</v>
      </c>
      <c r="I204" t="s">
        <v>1166</v>
      </c>
    </row>
    <row r="205" spans="1:9">
      <c r="A205" t="s">
        <v>1198</v>
      </c>
      <c r="B205" t="s">
        <v>1252</v>
      </c>
      <c r="C205" t="s">
        <v>8</v>
      </c>
      <c r="D205">
        <v>1</v>
      </c>
      <c r="E205" t="s">
        <v>1165</v>
      </c>
      <c r="F205" t="s">
        <v>1250</v>
      </c>
      <c r="G205" t="s">
        <v>86</v>
      </c>
      <c r="H205" t="s">
        <v>1195</v>
      </c>
      <c r="I205" t="s">
        <v>1166</v>
      </c>
    </row>
    <row r="206" spans="1:9">
      <c r="A206" t="s">
        <v>1198</v>
      </c>
      <c r="B206" t="s">
        <v>1252</v>
      </c>
      <c r="C206" t="s">
        <v>10</v>
      </c>
      <c r="D206">
        <v>4</v>
      </c>
      <c r="E206" t="s">
        <v>1165</v>
      </c>
      <c r="F206" t="s">
        <v>1250</v>
      </c>
      <c r="G206" t="s">
        <v>86</v>
      </c>
      <c r="H206" t="s">
        <v>1195</v>
      </c>
      <c r="I206" t="s">
        <v>1166</v>
      </c>
    </row>
    <row r="207" spans="1:9">
      <c r="A207" t="s">
        <v>1198</v>
      </c>
      <c r="B207" t="s">
        <v>1252</v>
      </c>
      <c r="C207" t="s">
        <v>11</v>
      </c>
      <c r="D207" t="s">
        <v>1167</v>
      </c>
      <c r="E207" t="s">
        <v>1165</v>
      </c>
      <c r="F207" t="s">
        <v>1250</v>
      </c>
      <c r="G207" t="s">
        <v>86</v>
      </c>
      <c r="H207" t="s">
        <v>1195</v>
      </c>
      <c r="I207" t="s">
        <v>1166</v>
      </c>
    </row>
    <row r="208" spans="1:9">
      <c r="A208" t="s">
        <v>1198</v>
      </c>
      <c r="B208" t="s">
        <v>1252</v>
      </c>
      <c r="C208" t="s">
        <v>12</v>
      </c>
      <c r="D208" t="s">
        <v>200</v>
      </c>
      <c r="E208" t="s">
        <v>1165</v>
      </c>
      <c r="F208" t="s">
        <v>1250</v>
      </c>
      <c r="G208" t="s">
        <v>86</v>
      </c>
      <c r="H208" t="s">
        <v>1195</v>
      </c>
      <c r="I208" t="s">
        <v>1166</v>
      </c>
    </row>
    <row r="209" spans="1:9">
      <c r="A209" t="s">
        <v>1198</v>
      </c>
      <c r="B209" t="s">
        <v>1252</v>
      </c>
      <c r="C209" t="s">
        <v>13</v>
      </c>
      <c r="D209" t="s">
        <v>202</v>
      </c>
      <c r="E209" t="s">
        <v>1165</v>
      </c>
      <c r="F209" t="s">
        <v>1250</v>
      </c>
      <c r="G209" t="s">
        <v>86</v>
      </c>
      <c r="H209" t="s">
        <v>1195</v>
      </c>
      <c r="I209" t="s">
        <v>1166</v>
      </c>
    </row>
    <row r="210" spans="1:9">
      <c r="A210" t="s">
        <v>1198</v>
      </c>
      <c r="B210" t="s">
        <v>1253</v>
      </c>
      <c r="C210" t="s">
        <v>4</v>
      </c>
      <c r="D210" t="s">
        <v>1172</v>
      </c>
      <c r="E210" t="s">
        <v>1172</v>
      </c>
      <c r="F210" t="s">
        <v>1250</v>
      </c>
      <c r="G210" t="s">
        <v>86</v>
      </c>
      <c r="H210" t="s">
        <v>1195</v>
      </c>
      <c r="I210" t="s">
        <v>1200</v>
      </c>
    </row>
    <row r="211" spans="1:9">
      <c r="A211" t="s">
        <v>1198</v>
      </c>
      <c r="B211" t="s">
        <v>1253</v>
      </c>
      <c r="C211" t="s">
        <v>6</v>
      </c>
      <c r="D211" t="s">
        <v>1200</v>
      </c>
      <c r="E211" t="s">
        <v>1172</v>
      </c>
      <c r="F211" t="s">
        <v>1250</v>
      </c>
      <c r="G211" t="s">
        <v>86</v>
      </c>
      <c r="H211" t="s">
        <v>1195</v>
      </c>
      <c r="I211" t="s">
        <v>1200</v>
      </c>
    </row>
    <row r="212" spans="1:9">
      <c r="A212" t="s">
        <v>1198</v>
      </c>
      <c r="B212" t="s">
        <v>1253</v>
      </c>
      <c r="C212" t="s">
        <v>7</v>
      </c>
      <c r="D212">
        <v>20</v>
      </c>
      <c r="E212" t="s">
        <v>1172</v>
      </c>
      <c r="F212" t="s">
        <v>1250</v>
      </c>
      <c r="G212" t="s">
        <v>86</v>
      </c>
      <c r="H212" t="s">
        <v>1195</v>
      </c>
      <c r="I212" t="s">
        <v>1200</v>
      </c>
    </row>
    <row r="213" spans="1:9">
      <c r="A213" t="s">
        <v>1198</v>
      </c>
      <c r="B213" t="s">
        <v>1253</v>
      </c>
      <c r="C213" t="s">
        <v>8</v>
      </c>
      <c r="D213">
        <v>2</v>
      </c>
      <c r="E213" t="s">
        <v>1172</v>
      </c>
      <c r="F213" t="s">
        <v>1250</v>
      </c>
      <c r="G213" t="s">
        <v>86</v>
      </c>
      <c r="H213" t="s">
        <v>1195</v>
      </c>
      <c r="I213" t="s">
        <v>1200</v>
      </c>
    </row>
    <row r="214" spans="1:9">
      <c r="A214" t="s">
        <v>1198</v>
      </c>
      <c r="B214" t="s">
        <v>1253</v>
      </c>
      <c r="C214" t="s">
        <v>10</v>
      </c>
      <c r="D214">
        <v>5</v>
      </c>
      <c r="E214" t="s">
        <v>1172</v>
      </c>
      <c r="F214" t="s">
        <v>1250</v>
      </c>
      <c r="G214" t="s">
        <v>86</v>
      </c>
      <c r="H214" t="s">
        <v>1195</v>
      </c>
      <c r="I214" t="s">
        <v>1200</v>
      </c>
    </row>
    <row r="215" spans="1:9">
      <c r="A215" t="s">
        <v>1198</v>
      </c>
      <c r="B215" t="s">
        <v>1253</v>
      </c>
      <c r="C215" t="s">
        <v>11</v>
      </c>
      <c r="D215" t="s">
        <v>1174</v>
      </c>
      <c r="E215" t="s">
        <v>1172</v>
      </c>
      <c r="F215" t="s">
        <v>1250</v>
      </c>
      <c r="G215" t="s">
        <v>86</v>
      </c>
      <c r="H215" t="s">
        <v>1195</v>
      </c>
      <c r="I215" t="s">
        <v>1200</v>
      </c>
    </row>
    <row r="216" spans="1:9">
      <c r="A216" t="s">
        <v>1198</v>
      </c>
      <c r="B216" t="s">
        <v>1253</v>
      </c>
      <c r="C216" t="s">
        <v>12</v>
      </c>
      <c r="D216" t="s">
        <v>200</v>
      </c>
      <c r="E216" t="s">
        <v>1172</v>
      </c>
      <c r="F216" t="s">
        <v>1250</v>
      </c>
      <c r="G216" t="s">
        <v>86</v>
      </c>
      <c r="H216" t="s">
        <v>1195</v>
      </c>
      <c r="I216" t="s">
        <v>1200</v>
      </c>
    </row>
    <row r="217" spans="1:9">
      <c r="A217" t="s">
        <v>1198</v>
      </c>
      <c r="B217" t="s">
        <v>1253</v>
      </c>
      <c r="C217" t="s">
        <v>13</v>
      </c>
      <c r="D217" t="s">
        <v>151</v>
      </c>
      <c r="E217" t="s">
        <v>1172</v>
      </c>
      <c r="F217" t="s">
        <v>1250</v>
      </c>
      <c r="G217" t="s">
        <v>86</v>
      </c>
      <c r="H217" t="s">
        <v>1195</v>
      </c>
      <c r="I217" t="s">
        <v>1200</v>
      </c>
    </row>
    <row r="218" spans="1:9">
      <c r="A218" t="s">
        <v>1198</v>
      </c>
      <c r="B218" t="s">
        <v>1254</v>
      </c>
      <c r="C218" t="s">
        <v>4</v>
      </c>
      <c r="D218" t="s">
        <v>1179</v>
      </c>
      <c r="E218" t="s">
        <v>1179</v>
      </c>
      <c r="F218" t="s">
        <v>1250</v>
      </c>
      <c r="G218" t="s">
        <v>86</v>
      </c>
      <c r="H218" t="s">
        <v>1195</v>
      </c>
      <c r="I218" t="s">
        <v>1180</v>
      </c>
    </row>
    <row r="219" spans="1:9">
      <c r="A219" t="s">
        <v>1198</v>
      </c>
      <c r="B219" t="s">
        <v>1254</v>
      </c>
      <c r="C219" t="s">
        <v>6</v>
      </c>
      <c r="D219" t="s">
        <v>1180</v>
      </c>
      <c r="E219" t="s">
        <v>1179</v>
      </c>
      <c r="F219" t="s">
        <v>1250</v>
      </c>
      <c r="G219" t="s">
        <v>86</v>
      </c>
      <c r="H219" t="s">
        <v>1195</v>
      </c>
      <c r="I219" t="s">
        <v>1180</v>
      </c>
    </row>
    <row r="220" spans="1:9">
      <c r="A220" t="s">
        <v>1198</v>
      </c>
      <c r="B220" t="s">
        <v>1254</v>
      </c>
      <c r="C220" t="s">
        <v>7</v>
      </c>
      <c r="D220">
        <v>20</v>
      </c>
      <c r="E220" t="s">
        <v>1179</v>
      </c>
      <c r="F220" t="s">
        <v>1250</v>
      </c>
      <c r="G220" t="s">
        <v>86</v>
      </c>
      <c r="H220" t="s">
        <v>1195</v>
      </c>
      <c r="I220" t="s">
        <v>1180</v>
      </c>
    </row>
    <row r="221" spans="1:9">
      <c r="A221" t="s">
        <v>1198</v>
      </c>
      <c r="B221" t="s">
        <v>1254</v>
      </c>
      <c r="C221" t="s">
        <v>8</v>
      </c>
      <c r="D221">
        <v>1</v>
      </c>
      <c r="E221" t="s">
        <v>1179</v>
      </c>
      <c r="F221" t="s">
        <v>1250</v>
      </c>
      <c r="G221" t="s">
        <v>86</v>
      </c>
      <c r="H221" t="s">
        <v>1195</v>
      </c>
      <c r="I221" t="s">
        <v>1180</v>
      </c>
    </row>
    <row r="222" spans="1:9">
      <c r="A222" t="s">
        <v>1198</v>
      </c>
      <c r="B222" t="s">
        <v>1254</v>
      </c>
      <c r="C222" t="s">
        <v>10</v>
      </c>
      <c r="D222">
        <v>6</v>
      </c>
      <c r="E222" t="s">
        <v>1179</v>
      </c>
      <c r="F222" t="s">
        <v>1250</v>
      </c>
      <c r="G222" t="s">
        <v>86</v>
      </c>
      <c r="H222" t="s">
        <v>1195</v>
      </c>
      <c r="I222" t="s">
        <v>1180</v>
      </c>
    </row>
    <row r="223" spans="1:9">
      <c r="A223" t="s">
        <v>1198</v>
      </c>
      <c r="B223" t="s">
        <v>1254</v>
      </c>
      <c r="C223" t="s">
        <v>11</v>
      </c>
      <c r="D223" t="s">
        <v>1181</v>
      </c>
      <c r="E223" t="s">
        <v>1179</v>
      </c>
      <c r="F223" t="s">
        <v>1250</v>
      </c>
      <c r="G223" t="s">
        <v>86</v>
      </c>
      <c r="H223" t="s">
        <v>1195</v>
      </c>
      <c r="I223" t="s">
        <v>1180</v>
      </c>
    </row>
    <row r="224" spans="1:9">
      <c r="A224" t="s">
        <v>1198</v>
      </c>
      <c r="B224" t="s">
        <v>1254</v>
      </c>
      <c r="C224" t="s">
        <v>12</v>
      </c>
      <c r="D224" t="s">
        <v>200</v>
      </c>
      <c r="E224" t="s">
        <v>1179</v>
      </c>
      <c r="F224" t="s">
        <v>1250</v>
      </c>
      <c r="G224" t="s">
        <v>86</v>
      </c>
      <c r="H224" t="s">
        <v>1195</v>
      </c>
      <c r="I224" t="s">
        <v>1180</v>
      </c>
    </row>
    <row r="225" spans="1:9">
      <c r="A225" t="s">
        <v>1198</v>
      </c>
      <c r="B225" t="s">
        <v>1254</v>
      </c>
      <c r="C225" t="s">
        <v>13</v>
      </c>
      <c r="D225" t="s">
        <v>202</v>
      </c>
      <c r="E225" t="s">
        <v>1179</v>
      </c>
      <c r="F225" t="s">
        <v>1250</v>
      </c>
      <c r="G225" t="s">
        <v>86</v>
      </c>
      <c r="H225" t="s">
        <v>1195</v>
      </c>
      <c r="I225" t="s">
        <v>1180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5424D8F461E94980DF8EC8486B8636" ma:contentTypeVersion="10" ma:contentTypeDescription="Create a new document." ma:contentTypeScope="" ma:versionID="bcfcf74337161f6441250f8f4cf7d932">
  <xsd:schema xmlns:xsd="http://www.w3.org/2001/XMLSchema" xmlns:xs="http://www.w3.org/2001/XMLSchema" xmlns:p="http://schemas.microsoft.com/office/2006/metadata/properties" xmlns:ns2="f1436123-e04c-43f8-b7d8-6e3401685a6a" xmlns:ns3="e2acc87f-978a-4c56-9887-574fe2c7e53e" targetNamespace="http://schemas.microsoft.com/office/2006/metadata/properties" ma:root="true" ma:fieldsID="c081e04d381fea11733dd13b3c4e862f" ns2:_="" ns3:_="">
    <xsd:import namespace="f1436123-e04c-43f8-b7d8-6e3401685a6a"/>
    <xsd:import namespace="e2acc87f-978a-4c56-9887-574fe2c7e5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36123-e04c-43f8-b7d8-6e3401685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fea976-0fb7-4036-bc8a-08177e9f5879"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acc87f-978a-4c56-9887-574fe2c7e53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c9bdcf-c2d0-47d2-a991-206be5278a68}" ma:internalName="TaxCatchAll" ma:showField="CatchAllData" ma:web="e2acc87f-978a-4c56-9887-574fe2c7e5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436123-e04c-43f8-b7d8-6e3401685a6a">
      <Terms xmlns="http://schemas.microsoft.com/office/infopath/2007/PartnerControls"/>
    </lcf76f155ced4ddcb4097134ff3c332f>
    <TaxCatchAll xmlns="e2acc87f-978a-4c56-9887-574fe2c7e53e" xsi:nil="true"/>
  </documentManagement>
</p:properties>
</file>

<file path=customXml/item4.xml>��
</file>

<file path=customXml/itemProps1.xml><?xml version="1.0" encoding="utf-8"?>
<ds:datastoreItem xmlns:ds="http://schemas.openxmlformats.org/officeDocument/2006/customXml" ds:itemID="{4EC2277A-D9ED-4816-935C-C90FD1E76C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36123-e04c-43f8-b7d8-6e3401685a6a"/>
    <ds:schemaRef ds:uri="e2acc87f-978a-4c56-9887-574fe2c7e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8FF4DD-0CC1-430F-BDA6-0C89361FBF19}">
  <ds:schemaRefs>
    <ds:schemaRef ds:uri="http://schemas.microsoft.com/sharepoint/v3/contenttype/forms"/>
  </ds:schemaRefs>
</ds:datastoreItem>
</file>

<file path=customXml/itemProps3.xml><?xml version="1.0" encoding="utf-8"?>
<ds:datastoreItem xmlns:ds="http://schemas.openxmlformats.org/officeDocument/2006/customXml" ds:itemID="{E926B8C1-52E8-4875-97D8-8065275A389C}">
  <ds:schemaRefs>
    <ds:schemaRef ds:uri="http://schemas.microsoft.com/office/2006/metadata/properties"/>
    <ds:schemaRef ds:uri="http://schemas.microsoft.com/office/infopath/2007/PartnerControls"/>
    <ds:schemaRef ds:uri="f1436123-e04c-43f8-b7d8-6e3401685a6a"/>
    <ds:schemaRef ds:uri="http://schemas.microsoft.com/office/2006/documentManagement/types"/>
    <ds:schemaRef ds:uri="http://schemas.openxmlformats.org/package/2006/metadata/core-properties"/>
    <ds:schemaRef ds:uri="http://purl.org/dc/elements/1.1/"/>
    <ds:schemaRef ds:uri="e2acc87f-978a-4c56-9887-574fe2c7e53e"/>
    <ds:schemaRef ds:uri="http://www.w3.org/XML/1998/namespace"/>
    <ds:schemaRef ds:uri="http://purl.org/dc/dcmitype/"/>
    <ds:schemaRef ds:uri="http://purl.org/dc/terms/"/>
  </ds:schemaRefs>
</ds:datastoreItem>
</file>

<file path=customXml/itemProps4.xml><?xml version="1.0" encoding="utf-8"?>
<ds:datastoreItem xmlns:ds="http://schemas.openxmlformats.org/officeDocument/2006/customXml" ds:itemID="{589D2076-FDB4-4F5A-9AB8-4257F37ABF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vt:i4>
      </vt:variant>
    </vt:vector>
  </HeadingPairs>
  <TitlesOfParts>
    <vt:vector size="38" baseType="lpstr">
      <vt:lpstr>Module</vt:lpstr>
      <vt:lpstr>4101SPS</vt:lpstr>
      <vt:lpstr>4091SPS</vt:lpstr>
      <vt:lpstr>4092SPS</vt:lpstr>
      <vt:lpstr>4102SPS</vt:lpstr>
      <vt:lpstr>4094SPS</vt:lpstr>
      <vt:lpstr>5091SPS</vt:lpstr>
      <vt:lpstr>5101SPS</vt:lpstr>
      <vt:lpstr>5102SPS</vt:lpstr>
      <vt:lpstr>5103SPS</vt:lpstr>
      <vt:lpstr>5092SPS</vt:lpstr>
      <vt:lpstr>6101SPS</vt:lpstr>
      <vt:lpstr>6103SPS</vt:lpstr>
      <vt:lpstr>6102SPS</vt:lpstr>
      <vt:lpstr>6104SPS</vt:lpstr>
      <vt:lpstr>6105SPS</vt:lpstr>
      <vt:lpstr>6106SPS</vt:lpstr>
      <vt:lpstr>6107SPS</vt:lpstr>
      <vt:lpstr>6108SPS</vt:lpstr>
      <vt:lpstr>6109SPS</vt:lpstr>
      <vt:lpstr>6091SPS</vt:lpstr>
      <vt:lpstr>6093SPS</vt:lpstr>
      <vt:lpstr>6094SPS</vt:lpstr>
      <vt:lpstr>6095SPS</vt:lpstr>
      <vt:lpstr>Module (22)</vt:lpstr>
      <vt:lpstr>Template</vt:lpstr>
      <vt:lpstr>LISTS</vt:lpstr>
      <vt:lpstr>DASH</vt:lpstr>
      <vt:lpstr>SES_Hours_Wide</vt:lpstr>
      <vt:lpstr>SES_SkillsCoverage</vt:lpstr>
      <vt:lpstr>SES_Module_Overview</vt:lpstr>
      <vt:lpstr>SES_Meta_Wide</vt:lpstr>
      <vt:lpstr>SES_Mapping</vt:lpstr>
      <vt:lpstr>SES_Hours</vt:lpstr>
      <vt:lpstr>SES_Assess</vt:lpstr>
      <vt:lpstr>SES_LO</vt:lpstr>
      <vt:lpstr>SES_Meta</vt:lpstr>
      <vt:lpstr>SkillNameMap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 Mark</dc:creator>
  <cp:keywords/>
  <dc:description/>
  <cp:lastModifiedBy>Robinson, Mark</cp:lastModifiedBy>
  <cp:revision/>
  <dcterms:created xsi:type="dcterms:W3CDTF">2026-07-01T09:36:48Z</dcterms:created>
  <dcterms:modified xsi:type="dcterms:W3CDTF">2026-10-22T06:24:05Z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0x010100AF5424D8F461E94980DF8EC8486B8636</vt:lpwstr>
  </property>
  <property fmtid="{D5CDD505-2E9C-101B-9397-08002B2CF9AE}" pid="3" name="MediaServiceImageTags">
    <vt:lpwstr/>
  </property>
</Properties>
</file>