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tables/table100.xml" ContentType="application/vnd.openxmlformats-officedocument.spreadsheetml.table+xml"/>
  <Override PartName="/xl/tables/table101.xml" ContentType="application/vnd.openxmlformats-officedocument.spreadsheetml.table+xml"/>
  <Override PartName="/xl/tables/table102.xml" ContentType="application/vnd.openxmlformats-officedocument.spreadsheetml.table+xml"/>
  <Override PartName="/xl/tables/table103.xml" ContentType="application/vnd.openxmlformats-officedocument.spreadsheetml.table+xml"/>
  <Override PartName="/xl/tables/table104.xml" ContentType="application/vnd.openxmlformats-officedocument.spreadsheetml.table+xml"/>
  <Override PartName="/xl/tables/table105.xml" ContentType="application/vnd.openxmlformats-officedocument.spreadsheetml.table+xml"/>
  <Override PartName="/xl/tables/table106.xml" ContentType="application/vnd.openxmlformats-officedocument.spreadsheetml.table+xml"/>
  <Override PartName="/xl/tables/table107.xml" ContentType="application/vnd.openxmlformats-officedocument.spreadsheetml.table+xml"/>
  <Override PartName="/xl/tables/table108.xml" ContentType="application/vnd.openxmlformats-officedocument.spreadsheetml.table+xml"/>
  <Override PartName="/xl/tables/table109.xml" ContentType="application/vnd.openxmlformats-officedocument.spreadsheetml.table+xml"/>
  <Override PartName="/xl/tables/table110.xml" ContentType="application/vnd.openxmlformats-officedocument.spreadsheetml.table+xml"/>
  <Override PartName="/xl/tables/table111.xml" ContentType="application/vnd.openxmlformats-officedocument.spreadsheetml.table+xml"/>
  <Override PartName="/xl/tables/table112.xml" ContentType="application/vnd.openxmlformats-officedocument.spreadsheetml.table+xml"/>
  <Override PartName="/xl/tables/table113.xml" ContentType="application/vnd.openxmlformats-officedocument.spreadsheetml.table+xml"/>
  <Override PartName="/xl/tables/table114.xml" ContentType="application/vnd.openxmlformats-officedocument.spreadsheetml.table+xml"/>
  <Override PartName="/xl/tables/table115.xml" ContentType="application/vnd.openxmlformats-officedocument.spreadsheetml.table+xml"/>
  <Override PartName="/xl/tables/table116.xml" ContentType="application/vnd.openxmlformats-officedocument.spreadsheetml.table+xml"/>
  <Override PartName="/xl/tables/table117.xml" ContentType="application/vnd.openxmlformats-officedocument.spreadsheetml.table+xml"/>
  <Override PartName="/xl/tables/table118.xml" ContentType="application/vnd.openxmlformats-officedocument.spreadsheetml.table+xml"/>
  <Override PartName="/xl/tables/table119.xml" ContentType="application/vnd.openxmlformats-officedocument.spreadsheetml.table+xml"/>
  <Override PartName="/xl/tables/table120.xml" ContentType="application/vnd.openxmlformats-officedocument.spreadsheetml.table+xml"/>
  <Override PartName="/xl/tables/table121.xml" ContentType="application/vnd.openxmlformats-officedocument.spreadsheetml.table+xml"/>
  <Override PartName="/xl/tables/table122.xml" ContentType="application/vnd.openxmlformats-officedocument.spreadsheetml.table+xml"/>
  <Override PartName="/xl/tables/table123.xml" ContentType="application/vnd.openxmlformats-officedocument.spreadsheetml.table+xml"/>
  <Override PartName="/xl/tables/table124.xml" ContentType="application/vnd.openxmlformats-officedocument.spreadsheetml.table+xml"/>
  <Override PartName="/xl/tables/table125.xml" ContentType="application/vnd.openxmlformats-officedocument.spreadsheetml.table+xml"/>
  <Override PartName="/xl/tables/table126.xml" ContentType="application/vnd.openxmlformats-officedocument.spreadsheetml.table+xml"/>
  <Override PartName="/xl/tables/table127.xml" ContentType="application/vnd.openxmlformats-officedocument.spreadsheetml.table+xml"/>
  <Override PartName="/xl/tables/table128.xml" ContentType="application/vnd.openxmlformats-officedocument.spreadsheetml.table+xml"/>
  <Override PartName="/xl/tables/table129.xml" ContentType="application/vnd.openxmlformats-officedocument.spreadsheetml.table+xml"/>
  <Override PartName="/xl/tables/table13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131.xml" ContentType="application/vnd.openxmlformats-officedocument.spreadsheetml.table+xml"/>
  <Override PartName="/xl/tables/table132.xml" ContentType="application/vnd.openxmlformats-officedocument.spreadsheetml.table+xml"/>
  <Override PartName="/xl/tables/table133.xml" ContentType="application/vnd.openxmlformats-officedocument.spreadsheetml.table+xml"/>
  <Override PartName="/xl/tables/table134.xml" ContentType="application/vnd.openxmlformats-officedocument.spreadsheetml.table+xml"/>
  <Override PartName="/xl/tables/table135.xml" ContentType="application/vnd.openxmlformats-officedocument.spreadsheetml.table+xml"/>
  <Override PartName="/xl/tables/table136.xml" ContentType="application/vnd.openxmlformats-officedocument.spreadsheetml.table+xml"/>
  <Override PartName="/xl/tables/table137.xml" ContentType="application/vnd.openxmlformats-officedocument.spreadsheetml.table+xml"/>
  <Override PartName="/xl/tables/table138.xml" ContentType="application/vnd.openxmlformats-officedocument.spreadsheetml.table+xml"/>
  <Override PartName="/xl/tables/table139.xml" ContentType="application/vnd.openxmlformats-officedocument.spreadsheetml.table+xml"/>
  <Override PartName="/xl/tables/table140.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tables/table141.xml" ContentType="application/vnd.openxmlformats-officedocument.spreadsheetml.table+xml"/>
  <Override PartName="/xl/tables/table142.xml" ContentType="application/vnd.openxmlformats-officedocument.spreadsheetml.table+xml"/>
  <Override PartName="/xl/tables/table143.xml" ContentType="application/vnd.openxmlformats-officedocument.spreadsheetml.table+xml"/>
  <Override PartName="/xl/tables/table144.xml" ContentType="application/vnd.openxmlformats-officedocument.spreadsheetml.table+xml"/>
  <Override PartName="/xl/tables/table145.xml" ContentType="application/vnd.openxmlformats-officedocument.spreadsheetml.table+xml"/>
  <Override PartName="/xl/tables/table146.xml" ContentType="application/vnd.openxmlformats-officedocument.spreadsheetml.table+xml"/>
  <Override PartName="/xl/tables/table147.xml" ContentType="application/vnd.openxmlformats-officedocument.spreadsheetml.table+xml"/>
  <Override PartName="/xl/tables/table148.xml" ContentType="application/vnd.openxmlformats-officedocument.spreadsheetml.table+xml"/>
  <Override PartName="/xl/tables/table149.xml" ContentType="application/vnd.openxmlformats-officedocument.spreadsheetml.table+xml"/>
  <Override PartName="/xl/tables/table150.xml" ContentType="application/vnd.openxmlformats-officedocument.spreadsheetml.table+xml"/>
  <Override PartName="/xl/tables/table151.xml" ContentType="application/vnd.openxmlformats-officedocument.spreadsheetml.table+xml"/>
  <Override PartName="/xl/tables/table152.xml" ContentType="application/vnd.openxmlformats-officedocument.spreadsheetml.table+xml"/>
  <Override PartName="/xl/tables/table153.xml" ContentType="application/vnd.openxmlformats-officedocument.spreadsheetml.table+xml"/>
  <Override PartName="/xl/tables/table154.xml" ContentType="application/vnd.openxmlformats-officedocument.spreadsheetml.table+xml"/>
  <Override PartName="/xl/tables/table155.xml" ContentType="application/vnd.openxmlformats-officedocument.spreadsheetml.table+xml"/>
  <Override PartName="/xl/tables/table156.xml" ContentType="application/vnd.openxmlformats-officedocument.spreadsheetml.table+xml"/>
  <Override PartName="/xl/tables/table157.xml" ContentType="application/vnd.openxmlformats-officedocument.spreadsheetml.table+xml"/>
  <Override PartName="/xl/tables/table158.xml" ContentType="application/vnd.openxmlformats-officedocument.spreadsheetml.table+xml"/>
  <Override PartName="/xl/tables/table159.xml" ContentType="application/vnd.openxmlformats-officedocument.spreadsheetml.table+xml"/>
  <Override PartName="/xl/tables/table160.xml" ContentType="application/vnd.openxmlformats-officedocument.spreadsheetml.table+xml"/>
  <Override PartName="/xl/tables/table161.xml" ContentType="application/vnd.openxmlformats-officedocument.spreadsheetml.table+xml"/>
  <Override PartName="/xl/tables/table162.xml" ContentType="application/vnd.openxmlformats-officedocument.spreadsheetml.table+xml"/>
  <Override PartName="/xl/tables/table163.xml" ContentType="application/vnd.openxmlformats-officedocument.spreadsheetml.table+xml"/>
  <Override PartName="/xl/tables/table164.xml" ContentType="application/vnd.openxmlformats-officedocument.spreadsheetml.table+xml"/>
  <Override PartName="/xl/tables/table165.xml" ContentType="application/vnd.openxmlformats-officedocument.spreadsheetml.table+xml"/>
  <Override PartName="/xl/tables/table166.xml" ContentType="application/vnd.openxmlformats-officedocument.spreadsheetml.table+xml"/>
  <Override PartName="/xl/tables/table167.xml" ContentType="application/vnd.openxmlformats-officedocument.spreadsheetml.table+xml"/>
  <Override PartName="/xl/tables/table168.xml" ContentType="application/vnd.openxmlformats-officedocument.spreadsheetml.table+xml"/>
  <Override PartName="/xl/tables/table169.xml" ContentType="application/vnd.openxmlformats-officedocument.spreadsheetml.table+xml"/>
  <Override PartName="/xl/tables/table170.xml" ContentType="application/vnd.openxmlformats-officedocument.spreadsheetml.table+xml"/>
  <Override PartName="/xl/tables/table171.xml" ContentType="application/vnd.openxmlformats-officedocument.spreadsheetml.table+xml"/>
  <Override PartName="/xl/tables/table172.xml" ContentType="application/vnd.openxmlformats-officedocument.spreadsheetml.table+xml"/>
  <Override PartName="/xl/tables/table173.xml" ContentType="application/vnd.openxmlformats-officedocument.spreadsheetml.table+xml"/>
  <Override PartName="/xl/tables/table174.xml" ContentType="application/vnd.openxmlformats-officedocument.spreadsheetml.table+xml"/>
  <Override PartName="/xl/tables/table175.xml" ContentType="application/vnd.openxmlformats-officedocument.spreadsheetml.table+xml"/>
  <Override PartName="/xl/tables/table176.xml" ContentType="application/vnd.openxmlformats-officedocument.spreadsheetml.table+xml"/>
  <Override PartName="/xl/tables/table177.xml" ContentType="application/vnd.openxmlformats-officedocument.spreadsheetml.table+xml"/>
  <Override PartName="/xl/tables/table178.xml" ContentType="application/vnd.openxmlformats-officedocument.spreadsheetml.table+xml"/>
  <Override PartName="/xl/tables/table179.xml" ContentType="application/vnd.openxmlformats-officedocument.spreadsheetml.table+xml"/>
  <Override PartName="/xl/tables/table180.xml" ContentType="application/vnd.openxmlformats-officedocument.spreadsheetml.table+xml"/>
  <Override PartName="/xl/tables/table181.xml" ContentType="application/vnd.openxmlformats-officedocument.spreadsheetml.table+xml"/>
  <Override PartName="/xl/tables/table182.xml" ContentType="application/vnd.openxmlformats-officedocument.spreadsheetml.table+xml"/>
  <Override PartName="/xl/tables/table183.xml" ContentType="application/vnd.openxmlformats-officedocument.spreadsheetml.table+xml"/>
  <Override PartName="/xl/tables/table184.xml" ContentType="application/vnd.openxmlformats-officedocument.spreadsheetml.table+xml"/>
  <Override PartName="/xl/tables/table185.xml" ContentType="application/vnd.openxmlformats-officedocument.spreadsheetml.table+xml"/>
  <Override PartName="/xl/tables/table186.xml" ContentType="application/vnd.openxmlformats-officedocument.spreadsheetml.table+xml"/>
  <Override PartName="/xl/tables/table187.xml" ContentType="application/vnd.openxmlformats-officedocument.spreadsheetml.table+xml"/>
  <Override PartName="/xl/tables/table188.xml" ContentType="application/vnd.openxmlformats-officedocument.spreadsheetml.table+xml"/>
  <Override PartName="/xl/tables/table189.xml" ContentType="application/vnd.openxmlformats-officedocument.spreadsheetml.table+xml"/>
  <Override PartName="/xl/tables/table190.xml" ContentType="application/vnd.openxmlformats-officedocument.spreadsheetml.table+xml"/>
  <Override PartName="/xl/tables/table191.xml" ContentType="application/vnd.openxmlformats-officedocument.spreadsheetml.table+xml"/>
  <Override PartName="/xl/tables/table192.xml" ContentType="application/vnd.openxmlformats-officedocument.spreadsheetml.table+xml"/>
  <Override PartName="/xl/tables/table193.xml" ContentType="application/vnd.openxmlformats-officedocument.spreadsheetml.table+xml"/>
  <Override PartName="/xl/tables/table194.xml" ContentType="application/vnd.openxmlformats-officedocument.spreadsheetml.table+xml"/>
  <Override PartName="/xl/tables/table195.xml" ContentType="application/vnd.openxmlformats-officedocument.spreadsheetml.table+xml"/>
  <Override PartName="/xl/tables/table196.xml" ContentType="application/vnd.openxmlformats-officedocument.spreadsheetml.table+xml"/>
  <Override PartName="/xl/tables/table197.xml" ContentType="application/vnd.openxmlformats-officedocument.spreadsheetml.table+xml"/>
  <Override PartName="/xl/tables/table198.xml" ContentType="application/vnd.openxmlformats-officedocument.spreadsheetml.table+xml"/>
  <Override PartName="/xl/tables/table199.xml" ContentType="application/vnd.openxmlformats-officedocument.spreadsheetml.table+xml"/>
  <Override PartName="/xl/tables/table200.xml" ContentType="application/vnd.openxmlformats-officedocument.spreadsheetml.table+xml"/>
  <Override PartName="/xl/tables/table201.xml" ContentType="application/vnd.openxmlformats-officedocument.spreadsheetml.table+xml"/>
  <Override PartName="/xl/tables/table202.xml" ContentType="application/vnd.openxmlformats-officedocument.spreadsheetml.table+xml"/>
  <Override PartName="/xl/tables/table203.xml" ContentType="application/vnd.openxmlformats-officedocument.spreadsheetml.table+xml"/>
  <Override PartName="/xl/tables/table204.xml" ContentType="application/vnd.openxmlformats-officedocument.spreadsheetml.table+xml"/>
  <Override PartName="/xl/tables/table205.xml" ContentType="application/vnd.openxmlformats-officedocument.spreadsheetml.table+xml"/>
  <Override PartName="/xl/tables/table206.xml" ContentType="application/vnd.openxmlformats-officedocument.spreadsheetml.table+xml"/>
  <Override PartName="/xl/tables/table207.xml" ContentType="application/vnd.openxmlformats-officedocument.spreadsheetml.table+xml"/>
  <Override PartName="/xl/tables/table208.xml" ContentType="application/vnd.openxmlformats-officedocument.spreadsheetml.table+xml"/>
  <Override PartName="/xl/tables/table209.xml" ContentType="application/vnd.openxmlformats-officedocument.spreadsheetml.table+xml"/>
  <Override PartName="/xl/tables/table210.xml" ContentType="application/vnd.openxmlformats-officedocument.spreadsheetml.table+xml"/>
  <Override PartName="/xl/tables/table211.xml" ContentType="application/vnd.openxmlformats-officedocument.spreadsheetml.table+xml"/>
  <Override PartName="/xl/tables/table212.xml" ContentType="application/vnd.openxmlformats-officedocument.spreadsheetml.table+xml"/>
  <Override PartName="/xl/tables/table213.xml" ContentType="application/vnd.openxmlformats-officedocument.spreadsheetml.table+xml"/>
  <Override PartName="/xl/tables/table214.xml" ContentType="application/vnd.openxmlformats-officedocument.spreadsheetml.table+xml"/>
  <Override PartName="/xl/tables/table215.xml" ContentType="application/vnd.openxmlformats-officedocument.spreadsheetml.table+xml"/>
  <Override PartName="/xl/tables/table216.xml" ContentType="application/vnd.openxmlformats-officedocument.spreadsheetml.table+xml"/>
  <Override PartName="/xl/tables/table217.xml" ContentType="application/vnd.openxmlformats-officedocument.spreadsheetml.table+xml"/>
  <Override PartName="/xl/tables/table218.xml" ContentType="application/vnd.openxmlformats-officedocument.spreadsheetml.table+xml"/>
  <Override PartName="/xl/tables/table219.xml" ContentType="application/vnd.openxmlformats-officedocument.spreadsheetml.table+xml"/>
  <Override PartName="/xl/tables/table220.xml" ContentType="application/vnd.openxmlformats-officedocument.spreadsheetml.table+xml"/>
  <Override PartName="/xl/tables/table221.xml" ContentType="application/vnd.openxmlformats-officedocument.spreadsheetml.table+xml"/>
  <Override PartName="/xl/tables/table222.xml" ContentType="application/vnd.openxmlformats-officedocument.spreadsheetml.table+xml"/>
  <Override PartName="/xl/tables/table223.xml" ContentType="application/vnd.openxmlformats-officedocument.spreadsheetml.table+xml"/>
  <Override PartName="/xl/tables/table224.xml" ContentType="application/vnd.openxmlformats-officedocument.spreadsheetml.table+xml"/>
  <Override PartName="/xl/tables/table225.xml" ContentType="application/vnd.openxmlformats-officedocument.spreadsheetml.table+xml"/>
  <Override PartName="/xl/tables/table226.xml" ContentType="application/vnd.openxmlformats-officedocument.spreadsheetml.table+xml"/>
  <Override PartName="/xl/tables/table227.xml" ContentType="application/vnd.openxmlformats-officedocument.spreadsheetml.table+xml"/>
  <Override PartName="/xl/tables/table228.xml" ContentType="application/vnd.openxmlformats-officedocument.spreadsheetml.table+xml"/>
  <Override PartName="/xl/tables/table229.xml" ContentType="application/vnd.openxmlformats-officedocument.spreadsheetml.table+xml"/>
  <Override PartName="/xl/tables/table230.xml" ContentType="application/vnd.openxmlformats-officedocument.spreadsheetml.table+xml"/>
  <Override PartName="/xl/tables/table231.xml" ContentType="application/vnd.openxmlformats-officedocument.spreadsheetml.table+xml"/>
  <Override PartName="/xl/tables/table232.xml" ContentType="application/vnd.openxmlformats-officedocument.spreadsheetml.table+xml"/>
  <Override PartName="/xl/tables/table233.xml" ContentType="application/vnd.openxmlformats-officedocument.spreadsheetml.table+xml"/>
  <Override PartName="/xl/tables/table234.xml" ContentType="application/vnd.openxmlformats-officedocument.spreadsheetml.table+xml"/>
  <Override PartName="/xl/tables/table235.xml" ContentType="application/vnd.openxmlformats-officedocument.spreadsheetml.table+xml"/>
  <Override PartName="/xl/tables/table236.xml" ContentType="application/vnd.openxmlformats-officedocument.spreadsheetml.table+xml"/>
  <Override PartName="/xl/tables/table237.xml" ContentType="application/vnd.openxmlformats-officedocument.spreadsheetml.table+xml"/>
  <Override PartName="/xl/tables/table238.xml" ContentType="application/vnd.openxmlformats-officedocument.spreadsheetml.table+xml"/>
  <Override PartName="/xl/tables/table239.xml" ContentType="application/vnd.openxmlformats-officedocument.spreadsheetml.table+xml"/>
  <Override PartName="/xl/tables/table240.xml" ContentType="application/vnd.openxmlformats-officedocument.spreadsheetml.table+xml"/>
  <Override PartName="/xl/tables/table241.xml" ContentType="application/vnd.openxmlformats-officedocument.spreadsheetml.table+xml"/>
  <Override PartName="/xl/tables/table242.xml" ContentType="application/vnd.openxmlformats-officedocument.spreadsheetml.table+xml"/>
  <Override PartName="/xl/tables/table243.xml" ContentType="application/vnd.openxmlformats-officedocument.spreadsheetml.table+xml"/>
  <Override PartName="/xl/tables/table244.xml" ContentType="application/vnd.openxmlformats-officedocument.spreadsheetml.table+xml"/>
  <Override PartName="/xl/tables/table245.xml" ContentType="application/vnd.openxmlformats-officedocument.spreadsheetml.table+xml"/>
  <Override PartName="/xl/tables/table246.xml" ContentType="application/vnd.openxmlformats-officedocument.spreadsheetml.table+xml"/>
  <Override PartName="/xl/tables/table247.xml" ContentType="application/vnd.openxmlformats-officedocument.spreadsheetml.table+xml"/>
  <Override PartName="/xl/tables/table248.xml" ContentType="application/vnd.openxmlformats-officedocument.spreadsheetml.table+xml"/>
  <Override PartName="/xl/tables/table249.xml" ContentType="application/vnd.openxmlformats-officedocument.spreadsheetml.table+xml"/>
  <Override PartName="/xl/tables/table250.xml" ContentType="application/vnd.openxmlformats-officedocument.spreadsheetml.table+xml"/>
  <Override PartName="/xl/tables/table251.xml" ContentType="application/vnd.openxmlformats-officedocument.spreadsheetml.table+xml"/>
  <Override PartName="/xl/tables/table252.xml" ContentType="application/vnd.openxmlformats-officedocument.spreadsheetml.table+xml"/>
  <Override PartName="/xl/tables/table253.xml" ContentType="application/vnd.openxmlformats-officedocument.spreadsheetml.table+xml"/>
  <Override PartName="/xl/tables/table254.xml" ContentType="application/vnd.openxmlformats-officedocument.spreadsheetml.table+xml"/>
  <Override PartName="/xl/tables/table255.xml" ContentType="application/vnd.openxmlformats-officedocument.spreadsheetml.table+xml"/>
  <Override PartName="/xl/tables/table256.xml" ContentType="application/vnd.openxmlformats-officedocument.spreadsheetml.table+xml"/>
  <Override PartName="/xl/tables/table257.xml" ContentType="application/vnd.openxmlformats-officedocument.spreadsheetml.table+xml"/>
  <Override PartName="/xl/tables/table258.xml" ContentType="application/vnd.openxmlformats-officedocument.spreadsheetml.table+xml"/>
  <Override PartName="/xl/tables/table259.xml" ContentType="application/vnd.openxmlformats-officedocument.spreadsheetml.table+xml"/>
  <Override PartName="/xl/tables/table260.xml" ContentType="application/vnd.openxmlformats-officedocument.spreadsheetml.table+xml"/>
  <Override PartName="/xl/tables/table261.xml" ContentType="application/vnd.openxmlformats-officedocument.spreadsheetml.table+xml"/>
  <Override PartName="/xl/tables/table262.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tables/table263.xml" ContentType="application/vnd.openxmlformats-officedocument.spreadsheetml.table+xml"/>
  <Override PartName="/xl/queryTables/queryTable1.xml" ContentType="application/vnd.openxmlformats-officedocument.spreadsheetml.queryTable+xml"/>
  <Override PartName="/xl/tables/table264.xml" ContentType="application/vnd.openxmlformats-officedocument.spreadsheetml.table+xml"/>
  <Override PartName="/xl/queryTables/queryTable2.xml" ContentType="application/vnd.openxmlformats-officedocument.spreadsheetml.queryTable+xml"/>
  <Override PartName="/xl/tables/table265.xml" ContentType="application/vnd.openxmlformats-officedocument.spreadsheetml.table+xml"/>
  <Override PartName="/xl/queryTables/queryTable3.xml" ContentType="application/vnd.openxmlformats-officedocument.spreadsheetml.queryTable+xml"/>
  <Override PartName="/xl/tables/table266.xml" ContentType="application/vnd.openxmlformats-officedocument.spreadsheetml.table+xml"/>
  <Override PartName="/xl/queryTables/queryTable4.xml" ContentType="application/vnd.openxmlformats-officedocument.spreadsheetml.queryTable+xml"/>
  <Override PartName="/xl/tables/table267.xml" ContentType="application/vnd.openxmlformats-officedocument.spreadsheetml.table+xml"/>
  <Override PartName="/xl/queryTables/queryTable5.xml" ContentType="application/vnd.openxmlformats-officedocument.spreadsheetml.queryTable+xml"/>
  <Override PartName="/xl/tables/table268.xml" ContentType="application/vnd.openxmlformats-officedocument.spreadsheetml.table+xml"/>
  <Override PartName="/xl/queryTables/queryTable6.xml" ContentType="application/vnd.openxmlformats-officedocument.spreadsheetml.queryTable+xml"/>
  <Override PartName="/xl/tables/table269.xml" ContentType="application/vnd.openxmlformats-officedocument.spreadsheetml.table+xml"/>
  <Override PartName="/xl/queryTables/queryTable7.xml" ContentType="application/vnd.openxmlformats-officedocument.spreadsheetml.queryTable+xml"/>
  <Override PartName="/xl/tables/table270.xml" ContentType="application/vnd.openxmlformats-officedocument.spreadsheetml.table+xml"/>
  <Override PartName="/xl/queryTables/queryTable8.xml" ContentType="application/vnd.openxmlformats-officedocument.spreadsheetml.queryTable+xml"/>
  <Override PartName="/xl/tables/table271.xml" ContentType="application/vnd.openxmlformats-officedocument.spreadsheetml.table+xml"/>
  <Override PartName="/xl/queryTables/queryTable9.xml" ContentType="application/vnd.openxmlformats-officedocument.spreadsheetml.query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updateLinks="always" codeName="ThisWorkbook" hidePivotFieldList="1" defaultThemeVersion="202300"/>
  <mc:AlternateContent xmlns:mc="http://schemas.openxmlformats.org/markup-compatibility/2006">
    <mc:Choice Requires="x15">
      <x15ac:absPath xmlns:x15ac="http://schemas.microsoft.com/office/spreadsheetml/2010/11/ac" url="https://ljmu.sharepoint.com/teams/SPSRe-validation2026Team/Shared Documents/Sport and Exercise Science/Module Documents/"/>
    </mc:Choice>
  </mc:AlternateContent>
  <xr:revisionPtr revIDLastSave="6540" documentId="8_{20AD63D6-7E4E-4EFA-BE5C-A6DF2DDE1EA8}" xr6:coauthVersionLast="47" xr6:coauthVersionMax="47" xr10:uidLastSave="{D6F8DEE5-E47B-4E43-BA39-A507745C4FA9}"/>
  <bookViews>
    <workbookView xWindow="-120" yWindow="-120" windowWidth="51840" windowHeight="21120" firstSheet="8" activeTab="11" xr2:uid="{8D7B9789-0724-4FF2-A9AF-E462B2920CAC}"/>
  </bookViews>
  <sheets>
    <sheet name="Module" sheetId="68" r:id="rId1"/>
    <sheet name="4101SPS" sheetId="80" r:id="rId2"/>
    <sheet name="4102SPS" sheetId="89" r:id="rId3"/>
    <sheet name="4091SPS" sheetId="106" r:id="rId4"/>
    <sheet name="4092SPS" sheetId="90" r:id="rId5"/>
    <sheet name="4094SPS" sheetId="76" r:id="rId6"/>
    <sheet name="5091SPS" sheetId="105" r:id="rId7"/>
    <sheet name="5101SPS" sheetId="107" r:id="rId8"/>
    <sheet name="5102SPS" sheetId="83" r:id="rId9"/>
    <sheet name="5103SPS" sheetId="93" r:id="rId10"/>
    <sheet name="5092SPS" sheetId="86" r:id="rId11"/>
    <sheet name="6101SPS" sheetId="104" r:id="rId12"/>
    <sheet name="6102SPS" sheetId="85" r:id="rId13"/>
    <sheet name="6103SPS" sheetId="109" r:id="rId14"/>
    <sheet name="6104SPS" sheetId="84" r:id="rId15"/>
    <sheet name="6105SPS" sheetId="78" r:id="rId16"/>
    <sheet name="6106SPS" sheetId="87" r:id="rId17"/>
    <sheet name="6107SPS" sheetId="108" r:id="rId18"/>
    <sheet name="6108SPS" sheetId="81" r:id="rId19"/>
    <sheet name="6109SPS" sheetId="77" r:id="rId20"/>
    <sheet name="6091SPS" sheetId="82" r:id="rId21"/>
    <sheet name="6093SPS" sheetId="79" r:id="rId22"/>
    <sheet name="6094SPS" sheetId="92" r:id="rId23"/>
    <sheet name="6095SPS" sheetId="88" r:id="rId24"/>
    <sheet name="Module (22)" sheetId="95" r:id="rId25"/>
    <sheet name="Template" sheetId="7" r:id="rId26"/>
    <sheet name="LISTS" sheetId="4" r:id="rId27"/>
    <sheet name="DASH" sheetId="119" r:id="rId28"/>
    <sheet name="SES_Hours_Wide" sheetId="116" r:id="rId29"/>
    <sheet name="SES_SkillsCoverage" sheetId="118" r:id="rId30"/>
    <sheet name="SES_Module_Overview" sheetId="117" r:id="rId31"/>
    <sheet name="SES_Meta_Wide" sheetId="115" r:id="rId32"/>
    <sheet name="SES_Mapping" sheetId="114" r:id="rId33"/>
    <sheet name="SES_Hours" sheetId="113" r:id="rId34"/>
    <sheet name="SES_Assess" sheetId="112" r:id="rId35"/>
    <sheet name="SES_LO" sheetId="111" r:id="rId36"/>
    <sheet name="SES_Meta" sheetId="110" r:id="rId37"/>
  </sheets>
  <definedNames>
    <definedName name="_xlnm._FilterDatabase" localSheetId="27" hidden="1">DASH!$A$3:$I$31</definedName>
    <definedName name="ApplicationofKnowledge">_xlfn.ANCHORARRAY(LISTS!$O$37)</definedName>
    <definedName name="Communication">_xlfn.ANCHORARRAY(LISTS!$O$62)</definedName>
    <definedName name="DeliveryEnvironment">_xlfn.ANCHORARRAY(LISTS!$O$89)</definedName>
    <definedName name="ExternalData_1" localSheetId="36" hidden="1">SES_Meta!$A$1:$I$225</definedName>
    <definedName name="ExternalData_2" localSheetId="35" hidden="1">SES_LO!$A$1:$I$80</definedName>
    <definedName name="ExternalData_3" localSheetId="34" hidden="1">SES_Assess!$A$1:$M$57</definedName>
    <definedName name="ExternalData_4" localSheetId="33" hidden="1">SES_Hours!$A$1:$I$169</definedName>
    <definedName name="ExternalData_5" localSheetId="32" hidden="1">SES_Mapping!$A$1:$K$313</definedName>
    <definedName name="ExternalData_6" localSheetId="31" hidden="1">SES_Meta_Wide!$A$1:$N$29</definedName>
    <definedName name="ExternalData_7" localSheetId="28" hidden="1">SES_Hours_Wide!$A$1:$L$29</definedName>
    <definedName name="ExternalData_8" localSheetId="30" hidden="1">SES_Module_Overview!$A$1:$I$29</definedName>
    <definedName name="ExternalData_9" localSheetId="29" hidden="1">SES_SkillsCoverage!$A$1:$E$69</definedName>
    <definedName name="MgmtSelf">_xlfn.ANCHORARRAY(LISTS!$O$78)</definedName>
    <definedName name="ProblemSolving">_xlfn.ANCHORARRAY(LISTS!$O$70)</definedName>
    <definedName name="ProfRelationships">_xlfn.ANCHORARRAY(LISTS!$O$96)</definedName>
    <definedName name="ScientificKnowledge">_xlfn.ANCHORARRAY(LISTS!$O$21)</definedName>
    <definedName name="SelfEvaluation">_xlfn.ANCHORARRAY(LISTS!$O$53)</definedName>
    <definedName name="SkillNameMap">LISTS!$S$20:$T$30</definedName>
    <definedName name="TechnicalSkills">_xlfn.ANCHORARRAY(LISTS!$O$29)</definedName>
    <definedName name="UnderstandingResearch">_xlfn.ANCHORARRAY(LISTS!$O$45)</definedName>
  </definedNames>
  <calcPr calcId="191028"/>
  <pivotCaches>
    <pivotCache cacheId="0" r:id="rId38"/>
    <pivotCache cacheId="1" r:id="rId3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D24" i="109" l="1"/>
  <c r="D2" i="109"/>
  <c r="C2" i="109"/>
  <c r="D24" i="108"/>
  <c r="D2" i="108"/>
  <c r="C2" i="108"/>
  <c r="D24" i="107"/>
  <c r="D2" i="107"/>
  <c r="C2" i="107"/>
  <c r="D24" i="106"/>
  <c r="D2" i="106"/>
  <c r="C2" i="106"/>
  <c r="C2" i="105"/>
  <c r="D2" i="105"/>
  <c r="D24" i="105"/>
  <c r="D24" i="104"/>
  <c r="D2" i="104"/>
  <c r="C2" i="104"/>
  <c r="D24" i="95"/>
  <c r="D2" i="95"/>
  <c r="C2" i="95"/>
  <c r="D24" i="93"/>
  <c r="D2" i="93"/>
  <c r="C2" i="93"/>
  <c r="D24" i="92"/>
  <c r="D2" i="92"/>
  <c r="C2" i="92"/>
  <c r="D24" i="90"/>
  <c r="D2" i="90"/>
  <c r="C2" i="90"/>
  <c r="D24" i="89"/>
  <c r="D2" i="89"/>
  <c r="C2" i="89"/>
  <c r="D24" i="88"/>
  <c r="D2" i="88"/>
  <c r="C2" i="88"/>
  <c r="D24" i="87"/>
  <c r="D2" i="87"/>
  <c r="C2" i="87"/>
  <c r="D24" i="86"/>
  <c r="D2" i="86"/>
  <c r="C2" i="86"/>
  <c r="D24" i="85"/>
  <c r="D2" i="85"/>
  <c r="C2" i="85"/>
  <c r="D24" i="84"/>
  <c r="D2" i="84"/>
  <c r="C2" i="84"/>
  <c r="D24" i="83"/>
  <c r="D2" i="83"/>
  <c r="C2" i="83"/>
  <c r="D24" i="82"/>
  <c r="D2" i="82"/>
  <c r="C2" i="82"/>
  <c r="D24" i="81"/>
  <c r="D2" i="81"/>
  <c r="C2" i="81"/>
  <c r="D24" i="80"/>
  <c r="D2" i="80"/>
  <c r="C2" i="80"/>
  <c r="D24" i="79"/>
  <c r="D2" i="79"/>
  <c r="C2" i="79"/>
  <c r="D24" i="78"/>
  <c r="D2" i="78"/>
  <c r="C2" i="78"/>
  <c r="D24" i="77"/>
  <c r="D2" i="77"/>
  <c r="C2" i="77"/>
  <c r="D24" i="76"/>
  <c r="D2" i="76"/>
  <c r="C2" i="76"/>
  <c r="D24" i="68"/>
  <c r="D2" i="68"/>
  <c r="C2" i="68"/>
  <c r="D24" i="7"/>
  <c r="D2" i="7"/>
  <c r="C2" i="7"/>
  <c r="O96" i="4" a="1"/>
  <c r="O89" i="4" a="1"/>
  <c r="O78" i="4" a="1"/>
  <c r="O70" i="4" a="1"/>
  <c r="O62" i="4" a="1"/>
  <c r="O53" i="4" a="1"/>
  <c r="O45" i="4" a="1"/>
  <c r="O37" i="4" a="1"/>
  <c r="O29" i="4" a="1"/>
  <c r="O21" i="4" a="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tc={3645A966-E75C-4267-9C38-FBA7FE00828B}</author>
    <author>tc={F66AD8D5-B5C5-4755-B548-7270B05FF0CB}</author>
    <author>tc={3E8F4BD7-486E-4104-BC82-62579504483E}</author>
  </authors>
  <commentList>
    <comment ref="D20" authorId="0" shapeId="0" xr:uid="{3645A966-E75C-4267-9C38-FBA7FE00828B}">
      <text>
        <t>[Threaded comment]
Your version of Excel allows you to read this threaded comment; however, any edits to it will get removed if the file is opened in a newer version of Excel. Learn more: https://go.microsoft.com/fwlink/?linkid=870924
Comment:
    Peer Review Seminar</t>
      </text>
    </comment>
    <comment ref="D22" authorId="1" shapeId="0" xr:uid="{F66AD8D5-B5C5-4755-B548-7270B05FF0CB}">
      <text>
        <t>[Threaded comment]
Your version of Excel allows you to read this threaded comment; however, any edits to it will get removed if the file is opened in a newer version of Excel. Learn more: https://go.microsoft.com/fwlink/?linkid=870924
Comment:
    Data Analysis Computer Practical</t>
      </text>
    </comment>
    <comment ref="D23" authorId="2" shapeId="0" xr:uid="{3E8F4BD7-486E-4104-BC82-62579504483E}">
      <text>
        <t>[Threaded comment]
Your version of Excel allows you to read this threaded comment; however, any edits to it will get removed if the file is opened in a newer version of Excel. Learn more: https://go.microsoft.com/fwlink/?linkid=870924
Comment:
    Synchronous</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tc={F774FFA2-D32D-41DE-B3AB-B5AECE8B6F5D}</author>
  </authors>
  <commentList>
    <comment ref="D23" authorId="0" shapeId="0" xr:uid="{F774FFA2-D32D-41DE-B3AB-B5AECE8B6F5D}">
      <text>
        <t>[Threaded comment]
Your version of Excel allows you to read this threaded comment; however, any edits to it will get removed if the file is opened in a newer version of Excel. Learn more: https://go.microsoft.com/fwlink/?linkid=870924
Comment:
    asynchronous tasks</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tc={CF96CFBA-D202-EA45-BC96-05784F2960B9}</author>
    <author>tc={3AB5123D-DF87-9644-840C-6807885DA646}</author>
    <author>tc={3DBEF854-8471-DF46-B18D-AC05DB307F33}</author>
    <author>tc={5C5F7A89-0EDA-48CB-819D-1968E0B25D3B}</author>
  </authors>
  <commentList>
    <comment ref="D20" authorId="0" shapeId="0" xr:uid="{CF96CFBA-D202-EA45-BC96-05784F2960B9}">
      <text>
        <t>[Threaded comment]
Your version of Excel allows you to read this threaded comment; however, any edits to it will get removed if the file is opened in a newer version of Excel. Learn more: https://go.microsoft.com/fwlink/?linkid=870924
Comment:
    These refer to the online drop in classes each week, should these be listed as online?</t>
      </text>
    </comment>
    <comment ref="D23" authorId="1" shapeId="0" xr:uid="{3AB5123D-DF87-9644-840C-6807885DA646}">
      <text>
        <t>[Threaded comment]
Your version of Excel allows you to read this threaded comment; however, any edits to it will get removed if the file is opened in a newer version of Excel. Learn more: https://go.microsoft.com/fwlink/?linkid=870924
Comment:
    These refer to the flipped lecture content- should these be listed as lectures?</t>
      </text>
    </comment>
    <comment ref="D24" authorId="2" shapeId="0" xr:uid="{3DBEF854-8471-DF46-B18D-AC05DB307F33}">
      <text>
        <t xml:space="preserve">[Threaded comment]
Your version of Excel allows you to read this threaded comment; however, any edits to it will get removed if the file is opened in a newer version of Excel. Learn more: https://go.microsoft.com/fwlink/?linkid=870924
Comment:
    Is this too high now? If so the online drop ins can be swapped to 2 x 30min sessions, rather than 2 x 60min sessions. (divided into 2 sessions to accomodate the L6 timetable). </t>
      </text>
    </comment>
    <comment ref="E38" authorId="3" shapeId="0" xr:uid="{5C5F7A89-0EDA-48CB-819D-1968E0B25D3B}">
      <text>
        <t>[Threaded comment]
Your version of Excel allows you to read this threaded comment; however, any edits to it will get removed if the file is opened in a newer version of Excel. Learn more: https://go.microsoft.com/fwlink/?linkid=870924
Comment:
    This is a portfolio made up of three mini essays.</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tc={4E91AFC5-1741-4F40-9C85-8F128F5276C2}</author>
  </authors>
  <commentList>
    <comment ref="E39" authorId="0" shapeId="0" xr:uid="{4E91AFC5-1741-4F40-9C85-8F128F5276C2}">
      <text>
        <t>[Threaded comment]
Your version of Excel allows you to read this threaded comment; however, any edits to it will get removed if the file is opened in a newer version of Excel. Learn more: https://go.microsoft.com/fwlink/?linkid=870924
Comment:
    In person exam - cant edit this box sorry</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31EFCAE-6867-4369-A3A2-878D2CD4400C}" keepAlive="1" name="Query - fnItemTable" description="Connection to the 'fnItemTable' query in the workbook." type="5" refreshedVersion="0" background="1">
    <dbPr connection="Provider=Microsoft.Mashup.OleDb.1;Data Source=$Workbook$;Location=fnItemTable;Extended Properties=&quot;&quot;" command="SELECT * FROM [fnItemTable]"/>
  </connection>
  <connection id="2" xr16:uid="{2D2C2781-E2B3-4F2B-B64A-B48D87B1362F}" keepAlive="1" name="Query - fnModuleOverview" description="Connection to the 'fnModuleOverview' query in the workbook." type="5" refreshedVersion="0" background="1">
    <dbPr connection="Provider=Microsoft.Mashup.OleDb.1;Data Source=$Workbook$;Location=fnModuleOverview;Extended Properties=&quot;&quot;" command="SELECT * FROM [fnModuleOverview]"/>
  </connection>
  <connection id="3" xr16:uid="{ED8E257C-611A-4D22-9B96-BDE2BEBEA013}" keepAlive="1" name="Query - fnParseTableName" description="Connection to the 'fnParseTableName' query in the workbook." type="5" refreshedVersion="0" background="1">
    <dbPr connection="Provider=Microsoft.Mashup.OleDb.1;Data Source=$Workbook$;Location=fnParseTableName;Extended Properties=&quot;&quot;" command="SELECT * FROM [fnParseTableName]"/>
  </connection>
  <connection id="4" xr16:uid="{BA8101B4-602B-44C3-99FA-13D3C073F8B4}" keepAlive="1" name="Query - fnPivotKeyValue" description="Connection to the 'fnPivotKeyValue' query in the workbook." type="5" refreshedVersion="0" background="1">
    <dbPr connection="Provider=Microsoft.Mashup.OleDb.1;Data Source=$Workbook$;Location=fnPivotKeyValue;Extended Properties=&quot;&quot;" command="SELECT * FROM [fnPivotKeyValue]"/>
  </connection>
  <connection id="5" xr16:uid="{3BB015D6-ED31-4D13-A376-1AA58FA2D48B}" keepAlive="1" name="Query - fnSkillsCoverage" description="Connection to the 'fnSkillsCoverage' query in the workbook." type="5" refreshedVersion="0" background="1">
    <dbPr connection="Provider=Microsoft.Mashup.OleDb.1;Data Source=$Workbook$;Location=fnSkillsCoverage;Extended Properties=&quot;&quot;" command="SELECT * FROM [fnSkillsCoverage]"/>
  </connection>
  <connection id="6" xr16:uid="{EF984BC6-AD59-406B-9F2B-26A62EFC0AE5}" keepAlive="1" name="Query - GetRegisterFileContent" description="Connection to the 'GetRegisterFileContent' query in the workbook." type="5" refreshedVersion="0" background="1">
    <dbPr connection="Provider=Microsoft.Mashup.OleDb.1;Data Source=$Workbook$;Location=GetRegisterFileContent;Extended Properties=&quot;&quot;" command="SELECT * FROM [GetRegisterFileContent]"/>
  </connection>
  <connection id="7" xr16:uid="{E86AAD0B-950E-4BD5-B6C3-BA6800842EC0}" keepAlive="1" name="Query - GetWorkbookFiles" description="Connection to the 'GetWorkbookFiles' query in the workbook." type="5" refreshedVersion="0" background="1">
    <dbPr connection="Provider=Microsoft.Mashup.OleDb.1;Data Source=$Workbook$;Location=GetWorkbookFiles;Extended Properties=&quot;&quot;" command="SELECT * FROM [GetWorkbookFiles]"/>
  </connection>
  <connection id="8" xr16:uid="{06727D3C-698A-45B7-B890-D0DD9940EF9E}" keepAlive="1" name="Query - GraduateSkillsCatalogue" description="Connection to the 'GraduateSkillsCatalogue' query in the workbook." type="5" refreshedVersion="0" background="1">
    <dbPr connection="Provider=Microsoft.Mashup.OleDb.1;Data Source=$Workbook$;Location=GraduateSkillsCatalogue;Extended Properties=&quot;&quot;" command="SELECT * FROM [GraduateSkillsCatalogue]"/>
  </connection>
  <connection id="9" xr16:uid="{6E45512B-CC53-4589-A3FD-D85E80DE4134}" keepAlive="1" name="Query - ModuleRegister" description="Connection to the 'ModuleRegister' query in the workbook." type="5" refreshedVersion="0" background="1">
    <dbPr connection="Provider=Microsoft.Mashup.OleDb.1;Data Source=$Workbook$;Location=ModuleRegister;Extended Properties=&quot;&quot;" command="SELECT * FROM [ModuleRegister]"/>
  </connection>
  <connection id="10" xr16:uid="{70AFD8C4-03D5-445E-BE47-8EA1777FCF37}" keepAlive="1" name="Query - RegisterBlocks" description="Connection to the 'RegisterBlocks' query in the workbook." type="5" refreshedVersion="0" background="1">
    <dbPr connection="Provider=Microsoft.Mashup.OleDb.1;Data Source=$Workbook$;Location=RegisterBlocks;Extended Properties=&quot;&quot;" command="SELECT * FROM [RegisterBlocks]"/>
  </connection>
  <connection id="11" xr16:uid="{FB27829F-3C77-4C43-AB1E-19CA959B4D39}" keepAlive="1" name="Query - RelevantItems" description="Connection to the 'RelevantItems' query in the workbook." type="5" refreshedVersion="0" background="1">
    <dbPr connection="Provider=Microsoft.Mashup.OleDb.1;Data Source=$Workbook$;Location=RelevantItems;Extended Properties=&quot;&quot;" command="SELECT * FROM [RelevantItems]"/>
  </connection>
  <connection id="12" xr16:uid="{A5C36A7D-C2A9-4BBE-B793-995C2FE41973}" keepAlive="1" name="Query - SES_Assess" description="Connection to the 'SES_Assess' query in the workbook." type="5" refreshedVersion="8" background="1" saveData="1">
    <dbPr connection="Provider=Microsoft.Mashup.OleDb.1;Data Source=$Workbook$;Location=SES_Assess;Extended Properties=&quot;&quot;" command="SELECT * FROM [SES_Assess]"/>
  </connection>
  <connection id="13" xr16:uid="{585AA2EF-3C8D-4965-B7E4-AC3C6C3C2660}" keepAlive="1" name="Query - SES_Hours" description="Connection to the 'SES_Hours' query in the workbook." type="5" refreshedVersion="8" background="1" saveData="1">
    <dbPr connection="Provider=Microsoft.Mashup.OleDb.1;Data Source=$Workbook$;Location=SES_Hours;Extended Properties=&quot;&quot;" command="SELECT * FROM [SES_Hours]"/>
  </connection>
  <connection id="14" xr16:uid="{66B39D3E-C31D-49E7-BF8F-3E7BD18BD95D}" keepAlive="1" name="Query - SES_Hours_Wide" description="Connection to the 'SES_Hours_Wide' query in the workbook." type="5" refreshedVersion="8" background="1" saveData="1">
    <dbPr connection="Provider=Microsoft.Mashup.OleDb.1;Data Source=$Workbook$;Location=SES_Hours_Wide;Extended Properties=&quot;&quot;" command="SELECT * FROM [SES_Hours_Wide]"/>
  </connection>
  <connection id="15" xr16:uid="{F8178110-CB34-4FAA-9CEF-9FA6C071A1FC}" keepAlive="1" name="Query - SES_LO" description="Connection to the 'SES_LO' query in the workbook." type="5" refreshedVersion="8" background="1" saveData="1">
    <dbPr connection="Provider=Microsoft.Mashup.OleDb.1;Data Source=$Workbook$;Location=SES_LO;Extended Properties=&quot;&quot;" command="SELECT * FROM [SES_LO]"/>
  </connection>
  <connection id="16" xr16:uid="{4F6366BD-C933-4AAF-9D59-07C39EE26580}" keepAlive="1" name="Query - SES_Mapping" description="Connection to the 'SES_Mapping' query in the workbook." type="5" refreshedVersion="8" background="1" saveData="1">
    <dbPr connection="Provider=Microsoft.Mashup.OleDb.1;Data Source=$Workbook$;Location=SES_Mapping;Extended Properties=&quot;&quot;" command="SELECT * FROM [SES_Mapping]"/>
  </connection>
  <connection id="17" xr16:uid="{6EB5116C-C8F9-4569-BF5E-5E3F187274A3}" keepAlive="1" name="Query - SES_Meta" description="Connection to the 'SES_Meta' query in the workbook." type="5" refreshedVersion="8" background="1" saveData="1">
    <dbPr connection="Provider=Microsoft.Mashup.OleDb.1;Data Source=$Workbook$;Location=SES_Meta;Extended Properties=&quot;&quot;" command="SELECT * FROM [SES_Meta]"/>
  </connection>
  <connection id="18" xr16:uid="{D8AAC6DC-D138-427A-811E-BA255588DF2C}" keepAlive="1" name="Query - SES_Meta_Wide" description="Connection to the 'SES_Meta_Wide' query in the workbook." type="5" refreshedVersion="8" background="1" saveData="1">
    <dbPr connection="Provider=Microsoft.Mashup.OleDb.1;Data Source=$Workbook$;Location=SES_Meta_Wide;Extended Properties=&quot;&quot;" command="SELECT * FROM [SES_Meta_Wide]"/>
  </connection>
  <connection id="19" xr16:uid="{17B9B98F-EE61-42BC-AFAD-93439DC866B2}" keepAlive="1" name="Query - SES_Module_Overview" description="Connection to the 'SES_Module_Overview' query in the workbook." type="5" refreshedVersion="8" background="1" saveData="1">
    <dbPr connection="Provider=Microsoft.Mashup.OleDb.1;Data Source=$Workbook$;Location=SES_Module_Overview;Extended Properties=&quot;&quot;" command="SELECT * FROM [SES_Module_Overview]"/>
  </connection>
  <connection id="20" xr16:uid="{A6FA6A43-C8AD-4DA0-A88C-92F783A32A32}" keepAlive="1" name="Query - SES_SkillsCoverage" description="Connection to the 'SES_SkillsCoverage' query in the workbook." type="5" refreshedVersion="8" background="1" saveData="1">
    <dbPr connection="Provider=Microsoft.Mashup.OleDb.1;Data Source=$Workbook$;Location=SES_SkillsCoverage;Extended Properties=&quot;&quot;" command="SELECT * FROM [SES_SkillsCoverage]"/>
  </connection>
  <connection id="21" xr16:uid="{2B4AF151-008D-4FEF-A7F7-12412358B85A}" keepAlive="1" name="Query - SharePointSiteRoot" description="Connection to the 'SharePointSiteRoot' query in the workbook." type="5" refreshedVersion="0" background="1">
    <dbPr connection="Provider=Microsoft.Mashup.OleDb.1;Data Source=$Workbook$;Location=SharePointSiteRoot;Extended Properties=&quot;&quot;" command="SELECT * FROM [SharePointSiteRoot]"/>
  </connection>
  <connection id="22" xr16:uid="{DAA4DE1F-5E42-4B60-9FCD-76A414294387}" keepAlive="1" name="Query - SourceTables" description="Connection to the 'SourceTables' query in the workbook." type="5" refreshedVersion="0" background="1">
    <dbPr connection="Provider=Microsoft.Mashup.OleDb.1;Data Source=$Workbook$;Location=SourceTables;Extended Properties=&quot;&quot;" command="SELECT * FROM [SourceTables]"/>
  </connection>
  <connection id="23" xr16:uid="{3DE9C0B1-9EF3-4D5A-A896-DD2967490A9F}" keepAlive="1" name="Query - SourceTablesParsed" description="Connection to the 'SourceTablesParsed' query in the workbook." type="5" refreshedVersion="0" background="1">
    <dbPr connection="Provider=Microsoft.Mashup.OleDb.1;Data Source=$Workbook$;Location=SourceTablesParsed;Extended Properties=&quot;&quot;" command="SELECT * FROM [SourceTablesParsed]"/>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<sst xmlns="http://schemas.openxmlformats.org/spreadsheetml/2006/main" count="12966" uniqueCount="1364">
  <si>
    <t>Module Information</t>
  </si>
  <si>
    <t>Module Data</t>
  </si>
  <si>
    <t>Details</t>
  </si>
  <si>
    <t>Aims</t>
  </si>
  <si>
    <t>Module Code</t>
  </si>
  <si>
    <t>SEM401</t>
  </si>
  <si>
    <t>Module Title</t>
  </si>
  <si>
    <t>Credits</t>
  </si>
  <si>
    <t>Semester</t>
  </si>
  <si>
    <t>Outline Syllabus</t>
  </si>
  <si>
    <t>Level</t>
  </si>
  <si>
    <t>Module Leader</t>
  </si>
  <si>
    <t>Module Type</t>
  </si>
  <si>
    <t>Programme(s)</t>
  </si>
  <si>
    <t>Module Overview</t>
  </si>
  <si>
    <t>Contact Hours</t>
  </si>
  <si>
    <t>Component</t>
  </si>
  <si>
    <t>Lecture</t>
  </si>
  <si>
    <t>Seminar</t>
  </si>
  <si>
    <t>Practical</t>
  </si>
  <si>
    <t>Workshop</t>
  </si>
  <si>
    <t>Additional Information/Notes</t>
  </si>
  <si>
    <t>Online</t>
  </si>
  <si>
    <t>Total</t>
  </si>
  <si>
    <t>Learning Outcomes</t>
  </si>
  <si>
    <t>After completing the module the student should be able to:</t>
  </si>
  <si>
    <t>LO Number</t>
  </si>
  <si>
    <t>LO Description</t>
  </si>
  <si>
    <t>LO1</t>
  </si>
  <si>
    <t>LO2</t>
  </si>
  <si>
    <t>LO3</t>
  </si>
  <si>
    <t>LO4</t>
  </si>
  <si>
    <t>LO5</t>
  </si>
  <si>
    <t>Assessment</t>
  </si>
  <si>
    <t>Assessment No</t>
  </si>
  <si>
    <t>Assessment Type</t>
  </si>
  <si>
    <t>Assessment Specific</t>
  </si>
  <si>
    <t>Assessment Description</t>
  </si>
  <si>
    <t>Weighting</t>
  </si>
  <si>
    <t>Due Week</t>
  </si>
  <si>
    <t>A1</t>
  </si>
  <si>
    <t>Presentation</t>
  </si>
  <si>
    <t>Group Presentation</t>
  </si>
  <si>
    <t>Group presentation on biomechanical principles in weightlifting</t>
  </si>
  <si>
    <t>A2</t>
  </si>
  <si>
    <t>A3</t>
  </si>
  <si>
    <t>A4</t>
  </si>
  <si>
    <t>Assessment Mapping</t>
  </si>
  <si>
    <t>Graduate Skills Category</t>
  </si>
  <si>
    <t>Graduate Skill</t>
  </si>
  <si>
    <t>Scientific knowledge</t>
  </si>
  <si>
    <t>Information retrieval</t>
  </si>
  <si>
    <t>Scientific literacy</t>
  </si>
  <si>
    <t>Application of knowledge and skills</t>
  </si>
  <si>
    <t>Decision-making</t>
  </si>
  <si>
    <t>Communication</t>
  </si>
  <si>
    <t>Oral presentation</t>
  </si>
  <si>
    <t>Technical skills</t>
  </si>
  <si>
    <t>Equipment and technology utilisation</t>
  </si>
  <si>
    <t>Weekly Content</t>
  </si>
  <si>
    <t xml:space="preserve">Semester </t>
  </si>
  <si>
    <t>Week Number</t>
  </si>
  <si>
    <t>Weekly Content 1</t>
  </si>
  <si>
    <t>Weekly Content 2</t>
  </si>
  <si>
    <t>Weekly Content 3</t>
  </si>
  <si>
    <t>Introduction to biomechanics</t>
  </si>
  <si>
    <t>Linear kinematics</t>
  </si>
  <si>
    <t>2D motion analysis practical</t>
  </si>
  <si>
    <t>Angular kinematics</t>
  </si>
  <si>
    <t>Forces and Newton’s laws</t>
  </si>
  <si>
    <t>Force platform practical</t>
  </si>
  <si>
    <t>Work, energy, and power</t>
  </si>
  <si>
    <t>Momentum and impulse</t>
  </si>
  <si>
    <t>Fluid mechanics</t>
  </si>
  <si>
    <t>Tissue mechanics</t>
  </si>
  <si>
    <t>Biomechanical modelling</t>
  </si>
  <si>
    <t>Measurement techniques</t>
  </si>
  <si>
    <t xml:space="preserve">Markerless practical </t>
  </si>
  <si>
    <t>Data analysis</t>
  </si>
  <si>
    <t>Revision / assessment preparation</t>
  </si>
  <si>
    <t>4101SPS</t>
  </si>
  <si>
    <t>Support successful transition and belonging. Introduce the core Sport and Exercise Science disciplines.
Develop professional identity and foundational competencies.
Develop academic, digital and employability skills.
Embed evidence-informed practice, responsible AI, sustainability and inclusion.
Prepare students for Level 5.</t>
  </si>
  <si>
    <t>Professional Practice in Sport and Exercise Science 1</t>
  </si>
  <si>
    <t>Transition and belonging
Exercise Physiology Spotlight
Biomechanics Spotlight
Sport &amp; Exercise Psychology Spotlight
Physical Activity Spotlight
Professional behaviours and ethics
Evidence-informed practice
Academic Skills CPD
Responsible AI
Sustainability and EDI
Employability
Reflection and Professional Development Portfolio</t>
  </si>
  <si>
    <t>Liz Mahon/ Conor Heeney</t>
  </si>
  <si>
    <t>Prof Practice Strand</t>
  </si>
  <si>
    <t>Sport and Exercise Science</t>
  </si>
  <si>
    <t>This module provides the developmental foundation for the Sport and Exercise Science programme, supporting transition into higher education while introducing the core disciplines, developing professional identity, and establishing the knowledge, behaviours and competencies required of contemporary Sport and Exercise Scientists through a Professional Development Portfolio.</t>
  </si>
  <si>
    <t>This module provides the developmental foundation for the Sport and Exercise Science programme by supporting students' transition into higher education whilst fostering their identity as developing sport and exercise scientists. It integrates professional practice, disciplinary exploration, academic development and employability.</t>
  </si>
  <si>
    <t>A distinctive feature of the module is the use of Sport Science Spotlight weeks, introducing students to the core disciplines of Exercise Physiology, Biomechanics, Sport and Exercise Psychology, and Physical Activity through authentic, profession-focused learning experiences that demonstrate the impact and career opportunities within each discipline.</t>
  </si>
  <si>
    <t>Assessment is centred on a Professional Development Portfolio and skills audit presentation, which enables students to evidence their academic, personal and professional development through discipline-based activities, reflective practice, and Academic Achievement CPD. The module adopts an active, student-centred approach and is explicitly aligned with the programme's Professional Practice Competency Framework.</t>
  </si>
  <si>
    <t xml:space="preserve">CUES Mapping: 4.2.4 T, 4.3.1 T, 4.3.2 T, 4.3.4 A, 4.3.5 A, 4.3.7 D, </t>
  </si>
  <si>
    <t>Identify and explain the professional roles, working environments, knowledge, skills, behaviours and graduate competencies required in contemporary Sport and Exercise Science.</t>
  </si>
  <si>
    <t>Evaluate current strengths, development needs and engagement to formulate a realistic, evidence-informed personal and professional development plan.</t>
  </si>
  <si>
    <t>Communicate and justify professional development, experiences and application of learning through live professional discussion, supported by evidence of continuing professional development.</t>
  </si>
  <si>
    <t>Individual Presentation</t>
  </si>
  <si>
    <t>Approved job-role skills audit: 5-minute individual presentation followed by 5 minutes of personal tutor questions. Students compare their current evidence against the role requirements and present a realistic, time-bound development plan.</t>
  </si>
  <si>
    <t>Portfolio</t>
  </si>
  <si>
    <t>Reflection</t>
  </si>
  <si>
    <t>Professional Development Portfolio comprising evidence of two specified professional certificates (10% each) and a 10-minute individual personal tutor viva (40%) covering development, engagement and attendance reflection, disciplinary learning, experience, professional behaviours and future action planning.</t>
  </si>
  <si>
    <t>Self-evaluation and professional development</t>
  </si>
  <si>
    <t>Reflective practice</t>
  </si>
  <si>
    <t>Understanding the delivery environment</t>
  </si>
  <si>
    <t>Professional awareness</t>
  </si>
  <si>
    <t>Interpersonal communication</t>
  </si>
  <si>
    <t>Personal development planning</t>
  </si>
  <si>
    <t>Management of self and others</t>
  </si>
  <si>
    <t>Time management</t>
  </si>
  <si>
    <t>Lecture (2hr) - Becoming a Sport Scientist 
Professional identity, graduate competencies, introduction to the profession and programme. Professional Competency: Professional identity &amp; management of self</t>
  </si>
  <si>
    <r>
      <rPr>
        <sz val="11"/>
        <color rgb="FF000000"/>
        <rFont val="Aptos Narrow"/>
        <family val="2"/>
      </rPr>
      <t>Workshop - Transition to university, Canvas, library, academic integrity, Portfolio introduction. AI</t>
    </r>
    <r>
      <rPr>
        <b/>
        <sz val="11"/>
        <color rgb="FF000000"/>
        <rFont val="Aptos Narrow"/>
        <family val="2"/>
      </rPr>
      <t>:</t>
    </r>
    <r>
      <rPr>
        <sz val="11"/>
        <color rgb="FF000000"/>
        <rFont val="Aptos Narrow"/>
        <family val="2"/>
      </rPr>
      <t xml:space="preserve"> Responsible use of AI at university.</t>
    </r>
  </si>
  <si>
    <t>Seminar (1hr) - Personal tutor meeting, goal setting and PDP. Employability: Career pathways. Sustainability: What is sustainable professional practice?</t>
  </si>
  <si>
    <t>Lecture / Guest Session (2hr) – Professional Journey and Reflective Practice: career decisions, setbacks, feedback, values, resilience and continuing development, split between lecturer and a senior practitioner or alumnus</t>
  </si>
  <si>
    <t>Personal Tutor Meeting (1hr) - Introduction, transition and professional identity: expectations, support, initial career interests, strengths and development priorities.</t>
  </si>
  <si>
    <t>Formative activity  – Students generate questions in advance and identify one action arising from the session.</t>
  </si>
  <si>
    <t>Lecture - Exercise Physiology Spotlight – Why physiology matters. Professional Competency: Scientific knowledge, Employability: Careers in physiology</t>
  </si>
  <si>
    <t>Physiology practical and communication with clients. Professional Competency: Communication &amp; technical skills</t>
  </si>
  <si>
    <t>Workshop – Presentation &amp; communication skills, introduction to presentation assessment</t>
  </si>
  <si>
    <t>Lecture (2hr): Evidence-Informed Practice – Using science to make decisions. Professional Competency: Research capability</t>
  </si>
  <si>
    <r>
      <rPr>
        <sz val="11"/>
        <color rgb="FF000000"/>
        <rFont val="Aptos Narrow"/>
        <family val="2"/>
        <scheme val="minor"/>
      </rPr>
      <t>Excel workshop analysing physiological data. Professional Competency: Problem solving &amp; data analysis. AI</t>
    </r>
    <r>
      <rPr>
        <b/>
        <sz val="11"/>
        <color rgb="FF000000"/>
        <rFont val="Aptos Narrow"/>
        <family val="2"/>
        <scheme val="minor"/>
      </rPr>
      <t>:</t>
    </r>
    <r>
      <rPr>
        <sz val="11"/>
        <color rgb="FF000000"/>
        <rFont val="Aptos Narrow"/>
        <family val="2"/>
        <scheme val="minor"/>
      </rPr>
      <t xml:space="preserve"> Using AI to support literature searching and checking data interpretation.</t>
    </r>
  </si>
  <si>
    <t>Seminar - Reflection on evidence-informed practice</t>
  </si>
  <si>
    <r>
      <rPr>
        <sz val="11"/>
        <color rgb="FF000000"/>
        <rFont val="Aptos Narrow"/>
        <family val="2"/>
      </rPr>
      <t>Lecture (2hr): Biomechanics Spotlight – Movement, injury prevention and technology. Professional Competency</t>
    </r>
    <r>
      <rPr>
        <b/>
        <sz val="11"/>
        <color rgb="FF000000"/>
        <rFont val="Aptos Narrow"/>
        <family val="2"/>
      </rPr>
      <t>:</t>
    </r>
    <r>
      <rPr>
        <sz val="11"/>
        <color rgb="FF000000"/>
        <rFont val="Aptos Narrow"/>
        <family val="2"/>
      </rPr>
      <t xml:space="preserve"> Application of knowledge</t>
    </r>
  </si>
  <si>
    <t>Biomechanics practical</t>
  </si>
  <si>
    <t>Workshop - Sustainability: Sustainable technologies, equipment and innovation in biomechanics.</t>
  </si>
  <si>
    <t>Professional Identity and Careers – CASES, career pathways and employability. Professional Competency: Management of self</t>
  </si>
  <si>
    <t>Workshop: Future Focus, CV development, LinkedIn, networking.</t>
  </si>
  <si>
    <t>Assessment workshop - practice presentations and portfolio check in</t>
  </si>
  <si>
    <t>DIRECTED STUDY WEEK</t>
  </si>
  <si>
    <t>Lecture (2hr) - Sport &amp; Exercise Psychology Spotlight – Behaviour change and performance. Professional Competency: Communication/Listening</t>
  </si>
  <si>
    <t>Workshop / Personal Tutor Assessment (1hr) – Assessment 1: 5-minute individual presentation and 5 minutes of questions within the personal tutor.</t>
  </si>
  <si>
    <t>Directed online activity (1hr) – Submit presentation evidence, review feedback and update the development plan.</t>
  </si>
  <si>
    <t>Lecture. Physical Activity &amp; Health Spotlight – Population health and public health. Professional Competency: Application of knowledge</t>
  </si>
  <si>
    <t>Workshop: Community case studies and physical activity assessment. Professional Competency: Delivery environment.</t>
  </si>
  <si>
    <t>Academic writing seminar. Employability: Careers in public health. Sustainability: Active travel, green exercise and social prescribing.</t>
  </si>
  <si>
    <t>Lecture (2hr) – AI, Digital Literacy and Evidence-Informed Practice: appropriate use, limitations, bias, data protection, verification and professional accountability.</t>
  </si>
  <si>
    <t>Workshop (1hr) – AI-output audit: verify, challenge and improve a sport and exercise science response using evidence and professional judgement.</t>
  </si>
  <si>
    <t>Directed online activity (1hr) – Complete or progress the specified professional certification and upload evidence to the portfolio.</t>
  </si>
  <si>
    <t>Lecture (2hr) – Review, Progression and Preparing for Semester 2 and  Level 5: using feedback, maintaining engagement, accessing support and carrying the development plan forward.</t>
  </si>
  <si>
    <t>Workshop / Personal Tutor Assessment (1hr) – Assessment 2: certificate completion check followed by a 10-minute individual viva.</t>
  </si>
  <si>
    <t>Directed online activity (1hr) – Final portfolio submission and updated personal and professional development plan.</t>
  </si>
  <si>
    <t>Lecture / Guest Session (2hr) – Professional Journey and Reflective Practice: career decisions, setbacks, feedback, values, resilience and continuing development, led by a senior practitioner or alumnus.</t>
  </si>
  <si>
    <t>Formative activity – Students generate questions in advance and identify one action arising from the session.</t>
  </si>
  <si>
    <t>4102SPS</t>
  </si>
  <si>
    <t xml:space="preserve">To develop knowledge and understanding of concepts and principles associated with 24-hour movement behaviours and sustainable development goals. </t>
  </si>
  <si>
    <t>Understanding Physical Activity and Sedentary Behaviour</t>
  </si>
  <si>
    <t>To develop skills in analysing, interpreting and presenting scientific literature and quantitative data</t>
  </si>
  <si>
    <t>24-hour movement behaviour terminology, trends and prevalence; Sustainable development goals; Benefits of moving more, reducing sedentary time, and sleep; Movement behaviour guidelines across the lifecourse; Behavioural epidemiology framework; Socio-ecological model of health; Influences on physical activity and sedentary behaviour.</t>
  </si>
  <si>
    <t>Lee Graves</t>
  </si>
  <si>
    <t>Core module</t>
  </si>
  <si>
    <t xml:space="preserve">This module explores concepts and principles associated with 24-hour movement behaviours, which includes physical activity, sedentary behaviour and sleep, and sustainable development goals. It introduces learners to the socio-ecological model of health and influences on behaviour. </t>
  </si>
  <si>
    <t>Formative assessment includes practice exam/quiz opportunites.</t>
  </si>
  <si>
    <t>Group presentation includes an individual reflection (individual contribution).</t>
  </si>
  <si>
    <t>The exam is delivered in person on University computers with at least two invigilators per room.</t>
  </si>
  <si>
    <t>T: 2.1.1; 2.1.3; 2.1.4; 2.1.5; 2.1.7; 2.1.8; 2.2.1; 2.2.3; 2.2.4; 2.2.5; 2.2.6; 2.2.7; 2.2.8; 4.1.2; 4.1.3; 4.1.4; 4.2.1; 4.2.4; 4.3.4; 4.3.5.</t>
  </si>
  <si>
    <t xml:space="preserve">D: </t>
  </si>
  <si>
    <t>A: 2.1.3; 2.1.5; 2.1.7; 2.1.8; 2.2.1; 2.2.3; 2.2.6; 2.2.7; 2.2.8; 4.1.2; 4.1.3; 4.1.4; 4.2.1; 4.2.4; 4.3.4; 4.3.5.</t>
  </si>
  <si>
    <t>Identify, describe and interpret 24-hour movement behaviours, their benefits and guidelines across the lifecourse</t>
  </si>
  <si>
    <t>Analyse and interpret 24-hour movement behaviour data and influences on behaviour</t>
  </si>
  <si>
    <t>Exam</t>
  </si>
  <si>
    <t>In Person Exam</t>
  </si>
  <si>
    <t>In-person test on University computers. 1-hour. Individual.</t>
  </si>
  <si>
    <t>Group narrated (recorded) presentation for a local interest holder (e.g., City Council). 10-minute recording uploaded to Canvas. Group work.</t>
  </si>
  <si>
    <t>Contextual application</t>
  </si>
  <si>
    <t>Understanding and use of research</t>
  </si>
  <si>
    <t>Literature searching</t>
  </si>
  <si>
    <t>Data interpretation</t>
  </si>
  <si>
    <t>24-hour movement behaviour terminology, trends and prevalence</t>
  </si>
  <si>
    <t>Practice quiz questions with feedback.</t>
  </si>
  <si>
    <t xml:space="preserve">Children and young people: 24-hour movement behaviour guidelines and benefits </t>
  </si>
  <si>
    <t>Adults: 24-hour movement behaviour guidelines and benefits</t>
  </si>
  <si>
    <t>Wider benefits of moving more, reducing sedentary time and sleeping well</t>
  </si>
  <si>
    <t>The role of PA, exercise, and sport in climate breakdown</t>
  </si>
  <si>
    <t>Assessment 1 support</t>
  </si>
  <si>
    <t>DIRECTED STUDY</t>
  </si>
  <si>
    <t xml:space="preserve">Influences on PA and SB </t>
  </si>
  <si>
    <t>Influence of gender on PA, SB, and health</t>
  </si>
  <si>
    <t>Influence of ethnicity on PA, SB, and health</t>
  </si>
  <si>
    <t>Influence of disability on PA, SB, and health</t>
  </si>
  <si>
    <t>Assessment 2 support</t>
  </si>
  <si>
    <t>4091SPS</t>
  </si>
  <si>
    <t>Research Methods 1</t>
  </si>
  <si>
    <t>The aim of this module is to introduce the fundamental concepts of research methods, along with covering the basic application and interpretation of various data analysis techniques.</t>
  </si>
  <si>
    <t>Research methods (e.g. Descriptive / experimental research, internal / extrenal validity)</t>
  </si>
  <si>
    <t>Theodoors Bampouras</t>
  </si>
  <si>
    <t>Fundamentals of statistical assessment (e.g. data handling, probability, basic parametric difference and correlation tests)</t>
  </si>
  <si>
    <t>Research Strand</t>
  </si>
  <si>
    <t>Qualitative methods and analysis (e.g. step by step process)</t>
  </si>
  <si>
    <t>All Programmes</t>
  </si>
  <si>
    <t>The module will cover the fundamentals of reseacrh methods, so as to introduce the students to the concepts of scientific research and its methods. It will also introduce the students into basic statistical analysis. The students will develop a critical analytical thinking towards reading reseacrh and devlpoing their own project at L6. Lectures will be used to deliver the main material with activities and tasks as part of the lecture. Computer practicals will be used to teach students how to apply, interpret and report statistical analysis, as part of these session students will be taught how to use a statistical software package.</t>
  </si>
  <si>
    <t>Foramtive practice quizzes are released each week with questions on the content delivered. These questions serve three purposes, a) enable students to assess their understanding of the material delivered, b) familiarise them with the test/exam questions format, and c) enable them to reflect on their progress and identify topics difficult to them.</t>
  </si>
  <si>
    <t>Identify characteristics of different research designs</t>
  </si>
  <si>
    <t>Apply, interpret and report quantitative and qualitative techniques</t>
  </si>
  <si>
    <t>Online test with multiple-choice, fill in the gap or true/false questions. The questions are based around the content of the first 4 weeks. Practice questions will be available on Canvas.</t>
  </si>
  <si>
    <t>Online exam, in-person and on campus, invigilated. Multiple-choice, fill in the gap or true/false questions. The questions are based around the remaining content (after 4 weeks) of the module. Practice questions will be available on Canvas.</t>
  </si>
  <si>
    <t>Assessment period</t>
  </si>
  <si>
    <t>Introduction / What is research</t>
  </si>
  <si>
    <t>What is research</t>
  </si>
  <si>
    <t>Seminars run every other week - weeks 1-12</t>
  </si>
  <si>
    <t>Descriptive research / questionnaires</t>
  </si>
  <si>
    <t>Questionnaires</t>
  </si>
  <si>
    <t>Experimental research</t>
  </si>
  <si>
    <t>Levels of measurement / Data analysis and summarising</t>
  </si>
  <si>
    <t>Data analysis and summarising</t>
  </si>
  <si>
    <t>Correlation / Simple regression</t>
  </si>
  <si>
    <t>Simple regression</t>
  </si>
  <si>
    <t>Data analysis: categorical data / continuous data</t>
  </si>
  <si>
    <t>Data analysis: Continuous data</t>
  </si>
  <si>
    <t>Online test</t>
  </si>
  <si>
    <t>Introduction to qualitative research</t>
  </si>
  <si>
    <t>Introduction to qualitative reseacrh (workshop)</t>
  </si>
  <si>
    <t>Qualitative research designs</t>
  </si>
  <si>
    <t>Trustworthiness / rigour (workshop)</t>
  </si>
  <si>
    <t>Collecting data</t>
  </si>
  <si>
    <t>Developing an interview guide /  schedule (workshop)</t>
  </si>
  <si>
    <t>Analysing data</t>
  </si>
  <si>
    <t>Analysing a transcript (workshop)</t>
  </si>
  <si>
    <t>Exam  revision</t>
  </si>
  <si>
    <t>Exam preparation</t>
  </si>
  <si>
    <t>4092SPS</t>
  </si>
  <si>
    <t>To develop knowledge and understanding of the basic structure and function of key physiological systems and metabolic processes, their responses to acute exercise, and their integration in determining the limits of human performance, while developing skills in the collection, presentation and interpretation of physiological data.</t>
  </si>
  <si>
    <t>Fundamentals of Exercise Physiology</t>
  </si>
  <si>
    <t>The module will use the overarching theme of the limits of human performance to explore how physiological systems and metabolic processes function, respond to acute exercise and interact as exercise intensity increases.</t>
  </si>
  <si>
    <t>Theme 1: Creating Movement - Homeostasis and physiological regulation; structure and function of the nervous system; neural control of movement; skeletal-muscle structure and function; muscle contraction, motor-unit recruitment and acute fatigue.</t>
  </si>
  <si>
    <t>Gemma Miller (TBC)</t>
  </si>
  <si>
    <t>Theme 2: Building the Aerobic Ceiling - Structure and function of the cardiovascular and respiratory systems; cardiac cycle; heart rate, stroke volume and cardiac output; blood pressure and regulation of blood flow; ventilation and gas exchange; the integrated oxygen pathway; the Fick principle; physiological determinants and measurement of V̇O₂max.</t>
  </si>
  <si>
    <t>Theme 3 : Producing and Sustaining Energy - DNA, genes and protein synthesis; biological variation; ATP, enzymes and mitochondria; phosphagen, glycolytic and oxidative energy systems; carbohydrate and lipid metabolism; substrate use across exercise intensities; blood lactate; exercise-intensity domains; fractional utilisation of V̇O₂max. Theme 4: Reaching and Explaining the Limit -Thermoregulation and fluid balance during acute exercise; cardiovascular, respiratory, metabolic, muscular and perceptual contributions to fatigue; exercise economy; sustainable performance; integration of physiological systems from rest to maximal exercise and recovery.</t>
  </si>
  <si>
    <t>Other combination</t>
  </si>
  <si>
    <t>This module introduces the fundamental physiological systems and metabolic processes that enable humans to exercise, using the overarching theme of the limits of human performance. Students will explore how the nervous, muscular, cardiovascular and respiratory systems function and interact, how energy is produced and used, and how these systems respond as exercise intensity increases from rest to maximal and sustainable performance. Practical laboratory and field-based experiences will provide opportunities to develop skills in cardiovascular assessment, pulmonary-function testing, V̇O₂max measurement and the evaluation of sustainable performance. Students will collect, present and interpret physiological data and relate their findings to the underpinning scientific concepts. A programme of synchronous online lectures and asynchronous resources will provide structured support for laboratory-report development, including study design, methods, data analysis, presentation of results, scientific discussion and the use of evidence. Peer review, reflection and feedforward will support students in applying learning from an initial report to a more independent second submission. Together, these experiences provide the scientific knowledge, practical skills and research foundations required for subsequent study of chronic exercise adaptation, health, disease, nutrition and environmental physiology.</t>
  </si>
  <si>
    <t>Formative feedback</t>
  </si>
  <si>
    <t>Group task tocollect data but undivudual submitted component</t>
  </si>
  <si>
    <t>Assessment security and AI</t>
  </si>
  <si>
    <t>Outcome alignment</t>
  </si>
  <si>
    <t>Employr-relevant skills</t>
  </si>
  <si>
    <t>CASES competencies</t>
  </si>
  <si>
    <t>Describe the basic structure and function of key physiological systems and metabolic processes.</t>
  </si>
  <si>
    <t>Describe and explain how key physiological systems and metabolic processes respond to acute exercise.</t>
  </si>
  <si>
    <t>Collect, present and interpret physiological data using appropriate scientific methods and conventions.</t>
  </si>
  <si>
    <t>Lab Report</t>
  </si>
  <si>
    <t>Lab Report Portfolio: Lab Report 1 Submission + Peer Review Activity + Reflection + Lab Report 2 Submission</t>
  </si>
  <si>
    <t xml:space="preserve">In person Online MCQ Exam </t>
  </si>
  <si>
    <t>Critical thinking</t>
  </si>
  <si>
    <t>Data collection</t>
  </si>
  <si>
    <t>Written communication</t>
  </si>
  <si>
    <t>Professional judgement</t>
  </si>
  <si>
    <t xml:space="preserve">Lecture: Introducing human performance: homeostasis, physiological regulation and the demands of exercise </t>
  </si>
  <si>
    <t>Lecture: How does the brain initiate movement? Structure and function of the nervous system</t>
  </si>
  <si>
    <t>Synchronous: The Big Picture/ Asynchronous: Overview of laboratory-report structure and purpose</t>
  </si>
  <si>
    <t>Lecture: Skeletal-muscle structure: fibres, motor units and muscle architecture</t>
  </si>
  <si>
    <t>Lecture: Skeletal-muscle function: contraction, recruitment and acute fatigue</t>
  </si>
  <si>
    <t xml:space="preserve">Asynchronous: Research questions, variables, reliability, validity, ethics and standardisation </t>
  </si>
  <si>
    <t>Lecture: Structure and function of the heart: cardiac cycle, heart rate and stroke volume</t>
  </si>
  <si>
    <t>Lecture: Acute cardiovascular responses: cardiac output and blood pressure</t>
  </si>
  <si>
    <t>Practical 1: HR and BP responses — Dataset 1/ Synchronous: Who Are We Testing and What Are We Measuring? Participant characteristics and study design applied to the HR/BP practical / Asynchronous: Complete the laboratory record and draft the participant characteristics, study design and procedural sections</t>
  </si>
  <si>
    <t>Lecture: Blood vessels, systemic circulation and distribution of blood flow</t>
  </si>
  <si>
    <t>Lecture: Regulation of blood pressure and blood flow during acute exercise</t>
  </si>
  <si>
    <t>Seminar (Computer Prac ): Dataset 1 analysis: means, SD, tables and figures / Asynchronous: Complete the Dataset 1 analysis and produce a draft table or figure</t>
  </si>
  <si>
    <t>Lecture: Structure and function of the respiratory system</t>
  </si>
  <si>
    <t>Lecture: Ventilation, pulmonary gas exchange and acute respiratory responses</t>
  </si>
  <si>
    <t>Practical 2: Pulmonary function and oxygen transport / Synchronous: How Do We Communicate What We Did and Found?Procedures, study design and objective results writing / Asynchronous: Draft the Dataset 1 results section using the class data and reporting checklist</t>
  </si>
  <si>
    <t>Lecture: The integrated oxygen pathway: atmosphere to mitochondria</t>
  </si>
  <si>
    <t>Lecture: The Fick principle and physiological determinants of V̇O₂max</t>
  </si>
  <si>
    <t>Lab Report 1 Submission</t>
  </si>
  <si>
    <t>Recorded Lecture: DNA, genes and protein synthesis</t>
  </si>
  <si>
    <t>Recorded Lecture: genetics, biological variation and the limits of prediction</t>
  </si>
  <si>
    <t>Asynchronous: Watch the recorded content, compare three contrasting lab reports and complete a formative quiz</t>
  </si>
  <si>
    <t>Lecture: How to peer review scientific work: evaluating methods, results, tables and figures; giving constructive feedback</t>
  </si>
  <si>
    <t>Lecture: Meeting the energy demands of exercise: ATP, enzymes and interaction of the energy systems</t>
  </si>
  <si>
    <t xml:space="preserve">Seminar: Peer Review of Lab Report 1 / Asynchronous task: Complete a reflection identifying one strength, two areas for improvement and three feedforward actions for Lab Report 2 </t>
  </si>
  <si>
    <t>Lecture: Integrated metabolic and physiological responses to incremental exercise</t>
  </si>
  <si>
    <t>Lecture: Measuring V̇O₂max: protocols, maximal criteria and volitional exhaustion</t>
  </si>
  <si>
    <t>Practical 3: V̇O₂max and maximal exercise; Dataset 2 / Synchronous: Using Feedback to Become a Better Physiological Scientist: feedback on Report 1 and feedforward into Report 2 / Asynchronous: Asynchronous: Apply the Report 1 feedback and produce an outline of the Report 2 methods and results</t>
  </si>
  <si>
    <t>Lecture: Carbohydrate and lipid metabolism: substrate use across exercise intensities</t>
  </si>
  <si>
    <t>Lecture: Lactate, exercise-intensity domains and the fraction of V̇O₂max sustained</t>
  </si>
  <si>
    <t>Synchronous: Explaining Why the Body Reached Its Limit: structuring the discussion and linking findings to mechanisms and evidence / Asynchronous: Draft a discussion paragraph using a claim–evidence–explanation structure</t>
  </si>
  <si>
    <t>Lecture: Heat production, heat transfer and thermoregulation during exercise</t>
  </si>
  <si>
    <t>Lecture: Sweating, fluid balance and cardiovascular strain during exercise in the heat</t>
  </si>
  <si>
    <t>Practical 4: Field-based sustainable performance / Asynchronous: Review limitations and conclusions and complete the final Lab Report 2 self-review checklist</t>
  </si>
  <si>
    <r>
      <t>Live to the Limit:</t>
    </r>
    <r>
      <rPr>
        <sz val="11"/>
        <color theme="1"/>
        <rFont val="Aptos Narrow"/>
        <family val="2"/>
        <scheme val="minor"/>
      </rPr>
      <t xml:space="preserve"> live V̇O₂max and blood-lactate exercise test integrating nervous, muscular, cardiovascular, respiratory and metabolic responses</t>
    </r>
  </si>
  <si>
    <r>
      <t>Can You Explain the Limit?</t>
    </r>
    <r>
      <rPr>
        <sz val="11"/>
        <color theme="1"/>
        <rFont val="Aptos Narrow"/>
        <family val="2"/>
        <scheme val="minor"/>
      </rPr>
      <t xml:space="preserve"> MCQ feedforward and revision using data generated during the live exercise test</t>
    </r>
  </si>
  <si>
    <t>Lab Report 2 Submission / Asynchronous: Can You Explain the Limits of Human Performance? Practice MCQ, revision and whole-module integration</t>
  </si>
  <si>
    <t>4094SPS</t>
  </si>
  <si>
    <t>To introduce the basic principles of human anatomy, functional movement, biomechanics, and motor skill acquisition, and to illustrate applications of these principles in sport, exercise, and health. The module also aims to introduce experimental methods in biomechanics and to develop skills in data handling.</t>
  </si>
  <si>
    <t>Human Movement</t>
  </si>
  <si>
    <t>Anatomy and functional movement (3 weeks)</t>
  </si>
  <si>
    <t>Katie Fitton Davies</t>
  </si>
  <si>
    <t>Biomechanics (4 weeks)</t>
  </si>
  <si>
    <t>Skill Acquisition (3-4 weeks)</t>
  </si>
  <si>
    <t>This module will present different concepts of human movement, from internal systems where you will be introduced to the basic principles of human anatomy and functional movement, to the mechanical laws relating to human movement via biomechanics, and finally to how we can progress whole body movement from early to later stages of learning through skill acquisition theories. You will take the theories gained through lectures and workshops and apply these theories in practical sessions, alongside being introduced to experimental methods in biomechanics and developing skills in data handling. By the end of this module, you will be able to describe human anatomical structure and function and apply concepts and techniques from biomechanics and skill acquisition to sport, exercise, and health.</t>
  </si>
  <si>
    <t>AI literacy - Formative task to use AI to create a blocked and random practice schedule, review the content against the module content information and write a short piece on contextual interference within the plan, it's strengths and its weaknesses, as a practice plan (critical evaluation of AI)</t>
  </si>
  <si>
    <t xml:space="preserve">AI literacy - AI in Human Movement will be included as part of the biomechanics content, the basics of using AI/machine learning in biomechanics  </t>
  </si>
  <si>
    <t>Formative task 1 - Plan of action for group to make progress across assessment two; a projected weekly breakdown of tasks to complete.</t>
  </si>
  <si>
    <t>Formative task 2 - create a blocked and random practice schedule using AI, pinpoint the location and type of contextual interference, highlight the strengths and weaknesses of the generated plan against module content.</t>
  </si>
  <si>
    <t>Formative task 3 - reflection on when stages of learning were reached and how they know this.</t>
  </si>
  <si>
    <t>Formative task 4 - applying biomechanical principles to their chosen skill.</t>
  </si>
  <si>
    <t>Describe human anatomical structure and function and apply these concepts to sport, exercise and health</t>
  </si>
  <si>
    <t>Group work - assessment 2 is group work however we will include a short reflective piece on their contribution and journey through the group assessment. Assessment 1 is an individual online test so the module mark is not just based on group work.</t>
  </si>
  <si>
    <t>Apply concepts and techniques of biomechanics to sport, exercise, and health</t>
  </si>
  <si>
    <t xml:space="preserve">Online exam - online exam will have students choose 3 videos out of 6 and then choose a joint to deconstruct within those videos. The amount of choice the exam offers acts as a better safeguard against AI-misuse (in comparison to MCQ) and does not require staff to invigilate. </t>
  </si>
  <si>
    <t>Apply concepts and techniques of skill acquisition to sport, exercise, and health</t>
  </si>
  <si>
    <t>CASES competencies: 2.1.1 - T, A; 2.3.1 - T,  A; 2.3.2 -  T,  A; 2.3.3 -  T,  A; 2.3.8 -  T,  A; 3.3.1 -  T,  A; 3.3.2 -  T,  A; 4.2.4 - D, A; 4.3.4 - D; 4.3.5 - A</t>
  </si>
  <si>
    <r>
      <rPr>
        <sz val="11"/>
        <color rgb="FF000000"/>
        <rFont val="Aptos Narrow"/>
        <scheme val="minor"/>
      </rPr>
      <t xml:space="preserve">Sustainability - </t>
    </r>
    <r>
      <rPr>
        <b/>
        <sz val="11"/>
        <color rgb="FF000000"/>
        <rFont val="Aptos Narrow"/>
        <scheme val="minor"/>
      </rPr>
      <t>Healthy Options/Accessibility &amp; Equality</t>
    </r>
    <r>
      <rPr>
        <sz val="11"/>
        <color rgb="FF000000"/>
        <rFont val="Aptos Narrow"/>
        <scheme val="minor"/>
      </rPr>
      <t xml:space="preserve">: during the skill acquisition strand, students will engage in content surrounding skill and inequalities in physical activity, physical education and sport participation, they will also design a practice schedule catering for diverse needs to ensure inclusive practice which is supported through formative task. Accessibility and Equality will feature in assessment 2 marking rubric. </t>
    </r>
    <r>
      <rPr>
        <b/>
        <sz val="11"/>
        <color rgb="FF000000"/>
        <rFont val="Aptos Narrow"/>
        <scheme val="minor"/>
      </rPr>
      <t>Engagement &amp; Education, Economy &amp; Community</t>
    </r>
    <r>
      <rPr>
        <sz val="11"/>
        <color rgb="FF000000"/>
        <rFont val="Aptos Narrow"/>
        <scheme val="minor"/>
      </rPr>
      <t xml:space="preserve"> - during week 10, after receiving all content across the three strands in Human Movement, we will cover social sustainability and community wellbeing, reflecting on the content of the module against these topics. This will help form part of their reflective individual piece for their second assessment. </t>
    </r>
  </si>
  <si>
    <t>MCQ Online Test</t>
  </si>
  <si>
    <t>Online exam where students choose 3 out of 6 possible videos of movement to deconstruct a joint of their choice through MCQ and open text responses</t>
  </si>
  <si>
    <t>Video</t>
  </si>
  <si>
    <t>Using biomechanical and skill acquisition theories, students will work in groups and pick a skill to progress through the stages of learning and create a short video to document this progression and how they have applied the theories gained through the module. It will also include an individual reflective piece on how their knowledge has developed over the module and how it might impact on work in sport, exercise and health.</t>
  </si>
  <si>
    <t>Knowledge synthesis</t>
  </si>
  <si>
    <t>Digital communication</t>
  </si>
  <si>
    <t>Organisation</t>
  </si>
  <si>
    <t>Leadership</t>
  </si>
  <si>
    <t>Delegation</t>
  </si>
  <si>
    <t>Conflict resolution</t>
  </si>
  <si>
    <t>Problem solving and impact</t>
  </si>
  <si>
    <t>Evaluation of outcomes</t>
  </si>
  <si>
    <t>Intro &amp; Planes and Axes</t>
  </si>
  <si>
    <t>S1: Introduction to the module and the assessment; what is a skill; categorisation of skills; motor learning theory; stages of learning.
S2: Key anatomical terms related to body orientation and position; explain anatomical planes; use directional and regional terms to describe relative locations of structures in the body.</t>
  </si>
  <si>
    <t>Lecture/workshop x2 (4 hours)</t>
  </si>
  <si>
    <t>Bones and Joints &amp; Muscle Structure and Function</t>
  </si>
  <si>
    <t>S1:Identify and classify joints; describe the anatomical components of synovial joints; explain the different types of movements; relate the structyre of specifc joints to their range of motion and function.
S2: Structure and function of skeletal muscles and how these affect strength characteristics.</t>
  </si>
  <si>
    <t>Linear Motion  - 100m Sprint</t>
  </si>
  <si>
    <t>Understand mechanical descriptors of linear motion adn apply to chosen movement.</t>
  </si>
  <si>
    <t>Lecture/workshop x2 (4 hours) + practical (1 hour)</t>
  </si>
  <si>
    <t>Cricket Bowling Action</t>
  </si>
  <si>
    <t>Understand the mechanical descriptors of angular motion so that you are able to apply these descriptors to your chosen movement.</t>
  </si>
  <si>
    <t>Lecture/workshop (2 hours)</t>
  </si>
  <si>
    <t>World's Strongest Competition</t>
  </si>
  <si>
    <t>Understand Newton's Laws in the context of how internal and external forces affect human movement.</t>
  </si>
  <si>
    <t>Lecture/workshop (2 hours) + practical (1 hour)</t>
  </si>
  <si>
    <t>Dynamics - Vertical Jump</t>
  </si>
  <si>
    <t>Understand angular kinetics and then the impulse-momentum relationship within the context of the vertical jump.</t>
  </si>
  <si>
    <t>Biomechanics content</t>
  </si>
  <si>
    <t>TBC</t>
  </si>
  <si>
    <t>Lecture/workshop (2 hours) + online seminar (1 hour)</t>
  </si>
  <si>
    <t>Practice</t>
  </si>
  <si>
    <t>Understand how different practice leads to different learning outcomes, understand contextual interference in practice, understand blocked and random practice and how these affect learning.</t>
  </si>
  <si>
    <t>Feedback</t>
  </si>
  <si>
    <t>Augmented feedback- what is it, when do we use, how often, and in relation to stages of learning.</t>
  </si>
  <si>
    <t xml:space="preserve">Skill Acquisition content </t>
  </si>
  <si>
    <t>Lecture/workshop (2 hours) + practical (1 hour) + online seminar (1 hour)</t>
  </si>
  <si>
    <t>Assessment Support</t>
  </si>
  <si>
    <t>Assessment review</t>
  </si>
  <si>
    <t>5091SPS</t>
  </si>
  <si>
    <t>This module will enhance students' understanding of the research process and related methodological approaches, whilst also developing their knowledge, skills and ability to undertake a research project involving data collection, analysis and interpretation.</t>
  </si>
  <si>
    <t>Research Methods 2</t>
  </si>
  <si>
    <t>Theme 1: Qualitative research: design, methods and analysis, interpretation of results and reporting approaches. data interpretation, analysis, and presentation.</t>
  </si>
  <si>
    <t>Jonathan Foulkes</t>
  </si>
  <si>
    <t>Theme 2: Quantitative research: design, methods and analysis, interpretation of results and reporting approaches, data interpretation, analysis, and presentation.</t>
  </si>
  <si>
    <t>Theme 3: The Research Process: research designs incl. systematic review; ethical and methodological considerations; participant recruitment.</t>
  </si>
  <si>
    <t>Module consistes of lectures, seminars and IT sessions.</t>
  </si>
  <si>
    <t xml:space="preserve">Programm-specific seminars have been inlcuded to allow Programme teams to incorporate their own programme/discipline-specific content e.g. Sport Psychology students receiving additonal quantitative/inferential statistics content in order to help in meeting their programmes accreditation requirments </t>
  </si>
  <si>
    <t>One of the later programme-specific seminars will be used to provide a feedforward to students for the Level 6 Major Project module and for discussion and guidance on the option modules available to the students at Level 6 and the processes of selecting the necessary modules/pathways (this will differ by programme e.g. Sports Science option modules will be selecte dbased on the "pathway" a student has chosen).</t>
  </si>
  <si>
    <r>
      <rPr>
        <sz val="11"/>
        <color rgb="FF000000"/>
        <rFont val="Aptos Narrow"/>
      </rPr>
      <t xml:space="preserve">AI Literacy - As outlined in the departments PPR </t>
    </r>
    <r>
      <rPr>
        <i/>
        <sz val="11"/>
        <color rgb="FF000000"/>
        <rFont val="Aptos Narrow"/>
      </rPr>
      <t>AI Literacy</t>
    </r>
    <r>
      <rPr>
        <sz val="11"/>
        <color rgb="FF000000"/>
        <rFont val="Aptos Narrow"/>
      </rPr>
      <t xml:space="preserve"> document, a presentation has been implemented for AS!, rquiring students to present and  defend their work verbally </t>
    </r>
  </si>
  <si>
    <t>AI Literacy - Students will be advised of how/when AI can be used ethically and responsibly in relation to AS1 and AS2 e.g. in the design, formatting and presentation of information in their group presentation and as a "critical friend" when outlining the design nad methodology of their proposed study for AS2</t>
  </si>
  <si>
    <t>Deploy accurately established techniques of analysis and enquiry within a discipline</t>
  </si>
  <si>
    <t>Describe and comment upon aspects of current research, or equivalent advanced scholarship, in the discipline</t>
  </si>
  <si>
    <t>Manage their own learning, and to make use of scholarly reviews and primary sources (for example, refereed research articles and/or original materials appropriate to the discipline).</t>
  </si>
  <si>
    <t>Group presentation demonstrating their analysis of a mixed-methods data set i.e. both qualitative and quantitative data</t>
  </si>
  <si>
    <t>Report</t>
  </si>
  <si>
    <t>Essay</t>
  </si>
  <si>
    <t>Research Proposal outlining the design and methodology of a feasible study the student could undertake at L6 i.e. Dissertation Major Project</t>
  </si>
  <si>
    <t>Assessment Period</t>
  </si>
  <si>
    <t>Scientific writing</t>
  </si>
  <si>
    <t>Qualitative Research</t>
  </si>
  <si>
    <t>Programme-Specific Seminar</t>
  </si>
  <si>
    <t>IT Practical (NVivo)</t>
  </si>
  <si>
    <t xml:space="preserve">Quantitative Research </t>
  </si>
  <si>
    <t>Research Ethics / Proposal</t>
  </si>
  <si>
    <t>Study Design/Rationale Recap &amp; Systematic Review</t>
  </si>
  <si>
    <t xml:space="preserve">Methodological Considerations </t>
  </si>
  <si>
    <t>Participant Recruitment</t>
  </si>
  <si>
    <t>5101SPS</t>
  </si>
  <si>
    <t>To develop the student’s skills, knowledge and abilities as a professional practitioner in sport and exercise science. To enhance practical skills and theoretical knowledge to audit a ‘client’s’ requirements and effectively communicate outcomes of consultation. To understand the requirements for professional behaviour and how to be inclusive. To recognise ways to enhance personal and professional development.</t>
  </si>
  <si>
    <t>Professional Practice in Sport and Exercise Science 2</t>
  </si>
  <si>
    <t>Theme 1: The Professional Practitioner - What does it mean to be a Professional</t>
  </si>
  <si>
    <t>Dr. Scott Gillham</t>
  </si>
  <si>
    <t xml:space="preserve">Theme 2: Understanding Client Needs </t>
  </si>
  <si>
    <t>Theme 3: Employability</t>
  </si>
  <si>
    <t>Students will engage with weekly lecture material, delivered largely by the module leader - with some input from academic/industry experts where appropriate. Lecture material will be supported by Seminars, whereby students will be afforded the ability to work in smaller groups to help refine their analytic, communicative and academic skillsets to help achieve the module learning outcomes. Students should also engage in the extracurricular CPD material that is signposted to them throughout the module.</t>
  </si>
  <si>
    <t xml:space="preserve">Students will be able to engage in formative tasks within lectures and seminars which are aimed to enhance their critical approach to understanding CV development and work within interdisciplinary teams. </t>
  </si>
  <si>
    <t>Employ sport &amp; exercise science principles and practice</t>
  </si>
  <si>
    <t>Analyse personal and professional development</t>
  </si>
  <si>
    <t>Evaluate client needs and prepare appropriate client-based material and feedback, accounting for individual differences (e.g. culture and environmental factors).</t>
  </si>
  <si>
    <t>Students will Compose a CV, Cover Letter + Video Interview for the "application" for one of two roles in a Sport &amp; Exercise Setting</t>
  </si>
  <si>
    <t>Students will, in groups, provide a needs analysis for a given issue and should deliver a presentation of interdisciplinary cohesion to improve health and/or performance outcomes</t>
  </si>
  <si>
    <t>Self-awareness</t>
  </si>
  <si>
    <t>Evidence-based practice</t>
  </si>
  <si>
    <t>Module Introduction &amp; Overview</t>
  </si>
  <si>
    <t>Online / in-Person Ad-Hoc Support</t>
  </si>
  <si>
    <t>Anti-Doping in Sport</t>
  </si>
  <si>
    <t>CV + Cover Letter Development</t>
  </si>
  <si>
    <t>Early Career Navigation</t>
  </si>
  <si>
    <t>Careers Beyond Performance Sport</t>
  </si>
  <si>
    <t>Interdisciplinary Approached in SES</t>
  </si>
  <si>
    <t>Elite Practitioner Insights</t>
  </si>
  <si>
    <t>Conducting Appropriate Needs Analyses in SES</t>
  </si>
  <si>
    <t>Fostering Cohesive Environments in SES</t>
  </si>
  <si>
    <t>What Does the Sport Scientist do? Elite Practitioner Insights</t>
  </si>
  <si>
    <t>Group Assessment Preperation</t>
  </si>
  <si>
    <t>5102SPS</t>
  </si>
  <si>
    <t>This module aims to develop students’ theoretical knowledge and understanding of socio-ecological influences on physical activity, sedentary behaviour and sleep through analysis of scientific literature in different population subgroups. The module also aims to analyse the strengths and limitations of methods to assess physical activity and sedentary behaviour, and to equip students with the skills to conduct a brief assessment of physical activity with a client, including assessment administration, interpretation of behaviour/results against guidelines, and feedback.</t>
  </si>
  <si>
    <t>Influences and Assessment of Physical Activity and Sedentary Behaviour</t>
  </si>
  <si>
    <t>Influences on physical activity and sedentary behaviour</t>
  </si>
  <si>
    <t>Sarah Taylor</t>
  </si>
  <si>
    <t>Assessment of physical activity and sedentary behaviour: Measurement principles, Device-based measures, Self-report measures, Brief assessment and advice</t>
  </si>
  <si>
    <t>Students should engage with synchronous lectures that will be delivered face-to-face. Lecture content will be supported by seminar and practical activities. Students will be expected to use their analytical, statistical and research skills to interpret the scientific evidence. Practical activities will provide experiential learning opportunities for students to analyse the measurement methods and practice skills-based competencies. Students should also access the wide range of resources provided to broaden their knowledge, understanding and their ability to apply module material.</t>
  </si>
  <si>
    <t>The final Journal Club Seminar in Week 5 includes an assessment formative task with a group practice presentation with peer and tutor feedback</t>
  </si>
  <si>
    <t>The 11 online hours are synchronous. The hours are drop-in sessions for module support, with the module leader available for the full hour so that students can recieve support with any problems they are having. They are not online hours in the form of recorded content.</t>
  </si>
  <si>
    <t>TDA: 4.1.1 Integration of variables contributing to exercise &amp; health contexts</t>
  </si>
  <si>
    <t>TDA: 4.1.3 Consideration of special populations</t>
  </si>
  <si>
    <t xml:space="preserve">TDA: 4.1.4 Environmental and occupational factors in relation to health, disease, disorder, dysfunction &amp; rehabilitation </t>
  </si>
  <si>
    <t>TDA: 4.2.1 The value of research, and principles &amp; applications of scientific enquiry</t>
  </si>
  <si>
    <t>Analyse and interpret influences on physical activity and sedentary behaviour</t>
  </si>
  <si>
    <t>TD: 4.2.3 A range of qualitative and quantitative research methodologies</t>
  </si>
  <si>
    <t>Analyse the strengths and limitations of methods for assessing physical activity and sedentary behaviour</t>
  </si>
  <si>
    <t>TDA: 4.2.5 Evidence-based practice and evaluation</t>
  </si>
  <si>
    <t xml:space="preserve">Assess physical activity and communicate results to a lay person </t>
  </si>
  <si>
    <t>TDA: 4.3.2 Professional behaviour (ethics, values &amp; code of conduct)</t>
  </si>
  <si>
    <t>TDA: 4.3.4 Interpersonal &amp; communication skill development</t>
  </si>
  <si>
    <t>30-minute group presentation – Analyse the factors that influence physical activity sedentary behaviour, and sleep in a specific population subgroup (e.g., young children, children, adolescents, adults, older adults). 30% Individual Mark - 20% Questions, 10% Delivery</t>
  </si>
  <si>
    <r>
      <rPr>
        <sz val="11"/>
        <color rgb="FF000000"/>
        <rFont val="Aptos Narrow"/>
        <family val="2"/>
        <scheme val="minor"/>
      </rPr>
      <t xml:space="preserve">PART 1 – </t>
    </r>
    <r>
      <rPr>
        <b/>
        <sz val="11"/>
        <color rgb="FF000000"/>
        <rFont val="Aptos Narrow"/>
        <family val="2"/>
        <scheme val="minor"/>
      </rPr>
      <t>Individual practical:</t>
    </r>
    <r>
      <rPr>
        <sz val="11"/>
        <color rgb="FF000000"/>
        <rFont val="Aptos Narrow"/>
        <family val="2"/>
        <scheme val="minor"/>
      </rPr>
      <t xml:space="preserve"> Perform a brief assessment of physical activity with a client (research participant) and give accurate feedback and appropriate recommendations. PART 2 - </t>
    </r>
    <r>
      <rPr>
        <b/>
        <sz val="11"/>
        <color rgb="FF000000"/>
        <rFont val="Aptos Narrow"/>
        <family val="2"/>
        <scheme val="minor"/>
      </rPr>
      <t>Viva:</t>
    </r>
    <r>
      <rPr>
        <sz val="11"/>
        <color rgb="FF000000"/>
        <rFont val="Aptos Narrow"/>
        <family val="2"/>
        <scheme val="minor"/>
      </rPr>
      <t xml:space="preserve"> Analyse the strengths and limitations and provide recommendations for a proposed measurement approach in a given research scenario .</t>
    </r>
  </si>
  <si>
    <t>17-18 (January Assessment Week)</t>
  </si>
  <si>
    <t>Professional relationships and behaviours</t>
  </si>
  <si>
    <t>Collaboration/multi-disciplinary working</t>
  </si>
  <si>
    <t>Module Introduction, Individual (demographic) factors (L4 recap)</t>
  </si>
  <si>
    <t>Online module support drop in</t>
  </si>
  <si>
    <t>Individual (psychological) factors</t>
  </si>
  <si>
    <t>Seminar: Journal Club</t>
  </si>
  <si>
    <t>Social factors</t>
  </si>
  <si>
    <t>Environmental factors</t>
  </si>
  <si>
    <t>Policy factors</t>
  </si>
  <si>
    <t>Seminar: Journal Club. Assessment formative task practice presentation with peer and tutor feedback,</t>
  </si>
  <si>
    <t xml:space="preserve">Assessment support </t>
  </si>
  <si>
    <t xml:space="preserve">PA and SB Measurement Introduction </t>
  </si>
  <si>
    <t xml:space="preserve">Practical: Measurement Feasibility and Potential Issues </t>
  </si>
  <si>
    <t>PA and SB Measurement: Device-Based</t>
  </si>
  <si>
    <t>Seminar: Device-Based Deployment</t>
  </si>
  <si>
    <t>PA and SB Measurement: Self-Report</t>
  </si>
  <si>
    <t>Seminar: Self-Report Deployment</t>
  </si>
  <si>
    <t>PA and SB Measurement: Strengths and Limitations</t>
  </si>
  <si>
    <t>Seminar: Viva Preparation</t>
  </si>
  <si>
    <t>5103SPS</t>
  </si>
  <si>
    <t xml:space="preserve">This module aims to give students the knowledge and technical ability to describe, measure and explain human movement using the application of biomechanical principles. In this way, we can improve performance and reduce the risk of injury.
</t>
  </si>
  <si>
    <t xml:space="preserve">Biomechanics </t>
  </si>
  <si>
    <t xml:space="preserve">The module builds biomechanical knowledge and practical skills in the topics of: Joint and athlete loading, Jumping, 3D motion analysis, Neuromuscular foundations of movement, and Running. </t>
  </si>
  <si>
    <t xml:space="preserve">Thomas O'Brien </t>
  </si>
  <si>
    <t>SES and FS</t>
  </si>
  <si>
    <t>This module provides students with the knowledge and practical skills required to describe, measure, and explain human movement through the application of biomechanical principles. By developing an understanding of how the human body moves and responds to mechanical forces, students will be able to evaluate movement patterns with the aim of enhancing performance and reducing injury risk. The module explores key topics including joint and athlete loading, jumping, three-dimensional (3D) motion analysis, neuromuscular foundations of movement, and running biomechanics. Learning is delivered through a combination of lectures, practical sessions, and seminars, enabling students to develop both theoretical knowledge and applied analytical skills. Throughout the module, students will build a portfolio of work that demonstrates their competency in conducting and interpreting biomechanical analyses in sport and exercise settings.</t>
  </si>
  <si>
    <t>Collect, analyse and report biomechanical data and in sports and exercise applications</t>
  </si>
  <si>
    <t xml:space="preserve">Explain how biomechanical principles can be used to improve performance and reduce injury </t>
  </si>
  <si>
    <t xml:space="preserve">Porfolio of biomechanical analysis reports to a 'Performance Director', linked to taught labs </t>
  </si>
  <si>
    <t xml:space="preserve">Exam testing knowledge of taught conetent and assessing depth of knowlegde and seeking justifications and critique of portfolio </t>
  </si>
  <si>
    <t>Describing and measuring movement</t>
  </si>
  <si>
    <t xml:space="preserve">Directed study: qualitative movement analysis </t>
  </si>
  <si>
    <t>Moments and Forces</t>
  </si>
  <si>
    <t xml:space="preserve">Seminar: More moments </t>
  </si>
  <si>
    <t>Directed reading and study of lecure content. Weekly Quiz</t>
  </si>
  <si>
    <t>Load measurement and monitoring</t>
  </si>
  <si>
    <t xml:space="preserve">Lab: moments data collection </t>
  </si>
  <si>
    <t xml:space="preserve">Jumping 1: Performance + Screening and RtP </t>
  </si>
  <si>
    <t>Computer prctical</t>
  </si>
  <si>
    <t xml:space="preserve">Jumping 2 </t>
  </si>
  <si>
    <t>Lab: Jumping</t>
  </si>
  <si>
    <t>Kicking</t>
  </si>
  <si>
    <t>Seminar: Jumping analysis</t>
  </si>
  <si>
    <t xml:space="preserve">3D motion analysis </t>
  </si>
  <si>
    <t xml:space="preserve">3D labs </t>
  </si>
  <si>
    <t xml:space="preserve">Running 1 (technique) </t>
  </si>
  <si>
    <t>Lab: running GRF</t>
  </si>
  <si>
    <t>Running 2 (Appliations)</t>
  </si>
  <si>
    <t xml:space="preserve">Seminar: running analysis </t>
  </si>
  <si>
    <t xml:space="preserve">Neuro-muscular basis of movement: EMG </t>
  </si>
  <si>
    <t>Lab: EMG</t>
  </si>
  <si>
    <t>Neuro-muscular basis of movement: Strength</t>
  </si>
  <si>
    <t xml:space="preserve">Seminar: EMG analysis </t>
  </si>
  <si>
    <t>Exam prep</t>
  </si>
  <si>
    <t>5092SPS</t>
  </si>
  <si>
    <t>Physiological adaptations to exercise</t>
  </si>
  <si>
    <t>To develop knowledge and understanding of the physiological adaptations to chronic exercise across diverse populations and environmental conditions, and to critically discuss their implications for human health and performance.</t>
  </si>
  <si>
    <t>Theme 1: Physiological adaptations to exercise training in athletes, inc. endurance training, resistance training and high-intensity interval training</t>
  </si>
  <si>
    <t>Pascale Kippelen</t>
  </si>
  <si>
    <t>Theme 2: Physiological adaptations to exercise intervention for health and diseases prevention / management, inc. metabolic health, cardiovascular health, respiratory health, women's health</t>
  </si>
  <si>
    <t>Theme 3: Environmental and nutritional influences on training adaptations and performance, inc. thermal stress, altitude, nutrition</t>
  </si>
  <si>
    <t>The module combines physiological theory, applied examples, practical laboratory experiences, and critical discussion to enhance students' understanding of physiological adaptations to chronic exercise and exercise as a tool for improving health and optimising performance in diverse contexts / environments. Through introduction of real-world case studies in lectures, students will learn how physiological theories and research can be used to understand and solve practical challenges in sport, exercise, health, and performance. Through the analysis of contemporary research and participation in structured debates on controversial topics, students will develop their ability to critically evaluate competing perspectives and communicate evidence-based arguments.</t>
  </si>
  <si>
    <t>Online - synchronous</t>
  </si>
  <si>
    <t>Formative assessment tasks: For A1 (Lab Report), students will be asked to write results of their statistical analysis during a timetabled computer lab session and  will be provided with instant formative feedback. For A2 (Group Presentation), students will gain instant formative feedback during  a student practice workshop (i.e. preparatory workshop for their pro/con debate).</t>
  </si>
  <si>
    <t>For A2 (Group Presentation), 30% of the mark will be individual-based (covering individual delivery and communication, and individual understanding of the topic)</t>
  </si>
  <si>
    <t>All online tutorials (6*1h) are synchronous / timetabled and are designed to provide dedicated support and feedforward to students for their 2 assessments.</t>
  </si>
  <si>
    <t xml:space="preserve">CASES competencies:  
Influence of diet &amp; nutrition: T,D,A
Effects of the environment: T,D,A
Energy systems &amp; metabolic cost: T,D,A
Components of fitness, principles of training &amp; adaptations to training (structure and function): T,D,A
Growth, development and ageing: T,D,A
Exercise and health (e.g. adapted physical activity; musculo-skeletal, cardiorespiratory &amp; neurological disorders): T,D,A
Use of appropriate data analysis &amp; visualisation techniques: T,D,A
Interpersonal &amp; communication skill development: T,D,A
</t>
  </si>
  <si>
    <t>Analyse and critically evaluate the physiological effects of sport and exercise interventions in diverse populations.</t>
  </si>
  <si>
    <t>Critically assess the impact of environmental factors, nutritional interventions, and disease states on physiological responses and adaptations to exercise training,</t>
  </si>
  <si>
    <t>Using an experimental dataset provided and an AI-generated draft report, students will produce a scientific laboratory report that analyses and evaluates the physiological effects of exercise training in a specific population group</t>
  </si>
  <si>
    <t>Pro/con debate: working in groups, students will research, prepare, and participate in a structured debate on a controversial topic related to sport and exercise physiology</t>
  </si>
  <si>
    <t>Assessment week</t>
  </si>
  <si>
    <t>Evidence evaluation</t>
  </si>
  <si>
    <t>Active listening</t>
  </si>
  <si>
    <t>Critical appraisal</t>
  </si>
  <si>
    <t>Introduction lecture (1h)</t>
  </si>
  <si>
    <t>Workshop/debate: Should asthma inhalers be banned in elite sport? (1h)</t>
  </si>
  <si>
    <t>Tutorial: Feedforward 'How to write a lab report' – Online synchronous (1h)</t>
  </si>
  <si>
    <t>Lecture: Endurance training – case study: the professional cyclist (1.5h)</t>
  </si>
  <si>
    <t>Practical + seminar: Douglas bag technique (2h)</t>
  </si>
  <si>
    <t>Tutorial: Feedforward 'How to use SPSS' – Online synchronous (1h)</t>
  </si>
  <si>
    <t>Lecture: High intensity interval training – case study: the football academy player (1.5h)</t>
  </si>
  <si>
    <t>Practical + seminar: HIIT (2h)</t>
  </si>
  <si>
    <t>Practical: Data analysis / reporting, inc. formative feedback – computer lab (1h)</t>
  </si>
  <si>
    <t>Lecture: Resistance training – case study: the bodybuilder (1.5h)</t>
  </si>
  <si>
    <t>Practical + seminar : Cardiovascular response to resistance training (2h)</t>
  </si>
  <si>
    <t>Workshop/debate: Pro/con of anabolic steroids? (1h)</t>
  </si>
  <si>
    <t>Lecture: Exercise for metabolic health – case study: the obese adult</t>
  </si>
  <si>
    <t>Practical + seminar: Substrate use (2h)</t>
  </si>
  <si>
    <t>Tutorial: Feedforward 'How to interpret research findings' – Online synchronous (1h)</t>
  </si>
  <si>
    <t>Lecture: Exercise for cardiovascular health – case study: the older adult with cardiovascular disease (1.5h)</t>
  </si>
  <si>
    <t>Workshop/debate: Can exercise keep you young? (1h)</t>
  </si>
  <si>
    <t>Tutorial: Feedforward 'AI literacy: dos and don’ts' – Online synchronous (1h)</t>
  </si>
  <si>
    <t>ENRICHMENT WEEK</t>
  </si>
  <si>
    <t>Lecture: Exercise for respiratory health – case study: the child with asthma (1.5h)</t>
  </si>
  <si>
    <t>Workshop/debate: Risks versus benefits of active commuting (1h)</t>
  </si>
  <si>
    <t>Lecture: Exercise for all women – case study: the amenorrhoeic athlete (1.5h)</t>
  </si>
  <si>
    <t>Workshop/debate: How to address female under-representation in sport and exercise sciences research? (1h)</t>
  </si>
  <si>
    <t>Tutorial: Feedback lab report / Feedforward pro/con debate – Online synchronous (1h)</t>
  </si>
  <si>
    <t>Lecture: Environmental thermal stress – case study: the athlete who suffered heatstroke (1.5h)</t>
  </si>
  <si>
    <t>Practical + seminar: Heat (2h)</t>
  </si>
  <si>
    <t>Tutorial: Feedforward 'How to win a debate' – Online synchronous (1h)</t>
  </si>
  <si>
    <t>Lecture: Exercise at altitude – case study: the Queen of the mountain (successful pregnancy while exercising up to 5,300 m) (1.5h)</t>
  </si>
  <si>
    <t>Workshop/debate: Is altitude training doping?  (1h)</t>
  </si>
  <si>
    <t>Lecture: Nutrition for health and performance – case study: the marathon runner who ‘hit the wall’ (1.5h)</t>
  </si>
  <si>
    <t>Workshop/debate: Student practice, inc. formative feedback (1h)</t>
  </si>
  <si>
    <t>Drop-in session</t>
  </si>
  <si>
    <t>6101SPS</t>
  </si>
  <si>
    <t>The aim of this module is for students to gain the knowledge and skills necessary to evaluate sports biomechanics in performance and injury contexts</t>
  </si>
  <si>
    <t>Sports Biomechanics</t>
  </si>
  <si>
    <t>This module covers sports performance and injury contexts alongside technical training with key biomechanical</t>
  </si>
  <si>
    <t>Mark Robinson</t>
  </si>
  <si>
    <t>tools. Topics include: Sports performance evaluation; Footwear; 3D Motion Analysis; Segmental Modelling in</t>
  </si>
  <si>
    <t>Option module</t>
  </si>
  <si>
    <t>Visual 3D; Wearable Sensors; Injury; Current issues.</t>
  </si>
  <si>
    <t>Conduct an experimental analysis in sports biomechanics and interpret the findings</t>
  </si>
  <si>
    <t>Critique measurement tools used in biomechanical analysis</t>
  </si>
  <si>
    <t>Effectively present biomechanical results and respond to questions</t>
  </si>
  <si>
    <t>Data Analysis</t>
  </si>
  <si>
    <t>Running Evaluation</t>
  </si>
  <si>
    <t>Case Study</t>
  </si>
  <si>
    <t>Injury Screening Evaluation</t>
  </si>
  <si>
    <t>Translational practice</t>
  </si>
  <si>
    <t>Service delivery</t>
  </si>
  <si>
    <t>Digital literacy</t>
  </si>
  <si>
    <t>Domain-specific analytical skills</t>
  </si>
  <si>
    <t>6102SPS</t>
  </si>
  <si>
    <t>Physical activity and sedentary behaviour across the life course</t>
  </si>
  <si>
    <t>This module aims to engage students in current physical activity, sedentary behaviour and health concepts linked to stages of the life course. Students will gain experience of using physical activity and sedentary behaviour measurement tools via practical sessions. Students will also gain an understanding of the principles of intervention design, evaluation and health inequalities.</t>
  </si>
  <si>
    <t>Theme 1: Physical activity, sedentary behaviour and health across the life course, for example: Pregnancy, early years, childhood and adolescence, early adulthood, middle age, older age, inequalities.</t>
  </si>
  <si>
    <t>Prof. Lynne Boddy</t>
  </si>
  <si>
    <t xml:space="preserve">Theme 2: Intervention design, measurement and evaluation. Developing interventions physical activity and sedentary behaviour measurement, evaluation. </t>
  </si>
  <si>
    <t xml:space="preserve">This module will use flipped lectures, lectures, seminars, practical classes and online drop in sessions to engage students in the content. </t>
  </si>
  <si>
    <t xml:space="preserve">Each week content will be supplemented with an online drop in session (2hrs in total offeredin 2 x 1hr sessions to accomodate student timetables) for students to discuss topics and receive support. </t>
  </si>
  <si>
    <t>Formative feedback opportunities available in Week 3- review of assessment 1 planning document. Students will submit where they are up to with planning and receive feedback from the module team- either spoken/recorded feedback or annotations on the planning document.</t>
  </si>
  <si>
    <t xml:space="preserve">L6 students have given positive feedback around the flipped lecture approach on the current module, and this gets around timetabling issues at L6. The additional online drop in sessions are being piloted in 2026-2027 and seem to be useful/appreciated by teams so far. </t>
  </si>
  <si>
    <t xml:space="preserve">The online synchronous content has been included as seminars on the hours, and flipped lectures as 'online'. I wasnt sure of the best approach, and whether the hours are now too high. </t>
  </si>
  <si>
    <t>CASES CUES: 2.1.7. Growth, development and ageing- PA and SB across the lifecourse, T</t>
  </si>
  <si>
    <t>3.3.7: Physical activity monitoring T</t>
  </si>
  <si>
    <t>Demonstrate a crticial understanding of the influence of physical activity and sedentary behaviour on health across the life span.</t>
  </si>
  <si>
    <t>4.1.2 integration of variables contributing to exercise and health contexts T</t>
  </si>
  <si>
    <t>Demonstrate an ability to locate and synthesise physical activity, sedentary behaviour and health research literature.</t>
  </si>
  <si>
    <t>4.1.3 Consideration of special populations T</t>
  </si>
  <si>
    <t>Demonstrate a critical understanding of intervention design, measurement and evaluation principles in the context of physical activity, sedentary behaviour and health research.</t>
  </si>
  <si>
    <t>4.2.5 Evidence-based practice and evaluaiton D, A</t>
  </si>
  <si>
    <t xml:space="preserve">Demonstrate a critical  understanding of inequalities in physical activity, sedendary behaviour and associated health outcomes. </t>
  </si>
  <si>
    <t>4.3.4 Interpersonal &amp; communication skill development D</t>
  </si>
  <si>
    <t xml:space="preserve">Students produce a portfolio of three 500 word critical discussions based on responses to scenarios and/or questions. Students also complete a written reflection. This is an individual assessment. </t>
  </si>
  <si>
    <t xml:space="preserve">One 10 minute individual presentation plus up to 5 minutes of questions. </t>
  </si>
  <si>
    <t>Module introduction &amp; assessment feed forward [Flipped lecture]</t>
  </si>
  <si>
    <t>Life course 1</t>
  </si>
  <si>
    <t>Drop in week 1 content [online synchronous]</t>
  </si>
  <si>
    <t>Life course 2 introduction [flipped lecture]</t>
  </si>
  <si>
    <t>Life course 2</t>
  </si>
  <si>
    <t>Drop in week 2 content [online synchronous]</t>
  </si>
  <si>
    <t>Life course 3 introduction [flipped lecture]</t>
  </si>
  <si>
    <t>Life course 3 &amp; submission of assessment 1 Q1 planning document for formative assessment/feedback</t>
  </si>
  <si>
    <t>Drop in week 3 content [online synchronous]</t>
  </si>
  <si>
    <t>Life course 5 introduction [flipped lecture]</t>
  </si>
  <si>
    <t xml:space="preserve">Life course 5 </t>
  </si>
  <si>
    <t>Drop in week 4 content [online synchronous]</t>
  </si>
  <si>
    <t>Life course 4 introduction [flipped lecture]</t>
  </si>
  <si>
    <t>Life course 4</t>
  </si>
  <si>
    <t>Drop in week 5 content [online synchronous]</t>
  </si>
  <si>
    <t>Introduction to intervention design [flipped lecture]</t>
  </si>
  <si>
    <t>Intervention planning &amp; Assessment 1 support clinic</t>
  </si>
  <si>
    <t>Drop in week 6 content &amp; assessment support [online synchronous]</t>
  </si>
  <si>
    <t>ASSESSMENT 1 SUBMISSION</t>
  </si>
  <si>
    <t>Intervention design 2 [flipped lecture]</t>
  </si>
  <si>
    <t>Evaluation 1</t>
  </si>
  <si>
    <t>Practical: Measuring PA and SB 1 (IT rooms), drop in week 8 [online synchronous]</t>
  </si>
  <si>
    <t>Evaluation 2 introduction [flipped lecture]</t>
  </si>
  <si>
    <t>Evaluation 2</t>
  </si>
  <si>
    <t>Practical: Measuring PA and SB 2 (Sports Hall), drop in week 9 [online synchronous]</t>
  </si>
  <si>
    <t>Evaluation 3 introduction [flipped lecture]</t>
  </si>
  <si>
    <t>Evaluation 3</t>
  </si>
  <si>
    <t>Drop in week 10 content [online, synchronous]</t>
  </si>
  <si>
    <t>Intervention and Evaluation summary [flipped lecture]</t>
  </si>
  <si>
    <t xml:space="preserve"> Intervention and Evalution summary &amp; Assessment 2 support clinic</t>
  </si>
  <si>
    <t>Drop in week 11 content &amp; assessment support [online synchronous]</t>
  </si>
  <si>
    <t>ASSESSMENT 2 WEEK &amp; Module Summary [online]</t>
  </si>
  <si>
    <t>ASSESSMENT 2 WEEK</t>
  </si>
  <si>
    <t>6103SPS</t>
  </si>
  <si>
    <t>To develop an understanding of the regulation of the metabolic processes by which muscles are provided with energy during exercise, as well as examining the molecular mechanisms underpinning muscle adaptation to exercise training.</t>
  </si>
  <si>
    <t>Exercise Metabolism</t>
  </si>
  <si>
    <t>Theme 1: methods used in exercise metabolism</t>
  </si>
  <si>
    <t>Daniel Owens</t>
  </si>
  <si>
    <t>Theme 2: metabolic regulation during exercise</t>
  </si>
  <si>
    <t>Theme 3: metabolic adaptations to exercise training</t>
  </si>
  <si>
    <t xml:space="preserve">This module will use lectures, seminars (journal club and case studies), practical classes and engaging online content to engage students. </t>
  </si>
  <si>
    <t xml:space="preserve">Critically evaluate and synthesise evidence relating to the hormonal and cellular processes involved in the metabolic regulation of energy provision during exercise </t>
  </si>
  <si>
    <t>Critically evaluate the metabolic responses to acute and chronic endurance, high intensity and resistance-type exercise.</t>
  </si>
  <si>
    <t>Recognise and evaluate key concepts relating to the influence of pre- and during- exercise feeding on related metabolic pathways.</t>
  </si>
  <si>
    <t>Laboratory Report</t>
  </si>
  <si>
    <t xml:space="preserve">Scientific laboratory report based upon data collected during physiological testing lab practicals. Designed to demonstrate analysis, synthesis and evaluation skills. </t>
  </si>
  <si>
    <t xml:space="preserve">In person exam to assess knowledge and comprehension. </t>
  </si>
  <si>
    <t>Research literacy</t>
  </si>
  <si>
    <t>Module overview and measuring fuel use during exercise</t>
  </si>
  <si>
    <t>Metabolic fuels and determinants of fuel selection during exercise</t>
  </si>
  <si>
    <t>Online mini lecture: important molecules in exercise metabolism</t>
  </si>
  <si>
    <t>NotebookLM podcast of key reading items</t>
  </si>
  <si>
    <t>Fundamentals of carbohydrate metabolism</t>
  </si>
  <si>
    <t>Seminar Journal club 1 - seminal research article Romijn et al 1993</t>
  </si>
  <si>
    <t>Fundamentals of lipid metabolism</t>
  </si>
  <si>
    <t>Seminar Journal club 2 - seminal research article van Loon et al 2001</t>
  </si>
  <si>
    <t>Fundamentals of protein metabolism</t>
  </si>
  <si>
    <t>Seminar Journal club 3 - seminal research article Watt et al 2002</t>
  </si>
  <si>
    <t>Lab practical</t>
  </si>
  <si>
    <t>Metabolic adaptations to endurance training</t>
  </si>
  <si>
    <t>Seminar Journal club 4 - seminal research article Romijn et al 1995</t>
  </si>
  <si>
    <t xml:space="preserve">Adaptations to resistance training </t>
  </si>
  <si>
    <t>Seminar Case study: Team sport athlete profiling</t>
  </si>
  <si>
    <t>Molecular drivers of exercise adaptations</t>
  </si>
  <si>
    <t xml:space="preserve">Seminar Case study: Metabolic consequences of low energy availability </t>
  </si>
  <si>
    <t>Maladaptations and the metabolic effects of detraining</t>
  </si>
  <si>
    <t xml:space="preserve">Seminar Case study: Premier league footballer ACL </t>
  </si>
  <si>
    <t>Mock exam preparation</t>
  </si>
  <si>
    <t>Metabolic profiling of athletes: lab to field data translation</t>
  </si>
  <si>
    <t xml:space="preserve">Seminar Case study: Ironman triathlete data analysis, training prescription and pacing </t>
  </si>
  <si>
    <t>Exam preparation lecture</t>
  </si>
  <si>
    <t>Exam preparation seminar</t>
  </si>
  <si>
    <t>Exam preparation - self directed</t>
  </si>
  <si>
    <t>6104SPS</t>
  </si>
  <si>
    <t xml:space="preserve">To develop an understanding of integrated cardiovascular physiology, how we can measure and identify issues, and how we can prevent or alleviate conditions with lifestyle medicine. </t>
  </si>
  <si>
    <t>Cardiovascular Physiology</t>
  </si>
  <si>
    <t>Theme 1: Cardiovascular and vascular physiology/pathophysiology</t>
  </si>
  <si>
    <t>Ben Buckley</t>
  </si>
  <si>
    <t>Theme 2: Integrated cardiopulmonary physiology</t>
  </si>
  <si>
    <t xml:space="preserve">Theme 3: Cardiac electrophysiology </t>
  </si>
  <si>
    <t xml:space="preserve">This module will use lectures, seminars, practical classes and engaging online content to engage students. </t>
  </si>
  <si>
    <t xml:space="preserve">Each week typically includes a two hour lecture and two hour laboratory session where theoretical knowledge is applied. </t>
  </si>
  <si>
    <t>Critically evaluate the diagnostic and prognostic ability of various cardiovascular assessment tools employed in practice.</t>
  </si>
  <si>
    <t>Conduct, analyse, interpret, and communicate results from integrated cardiovascular assessments.</t>
  </si>
  <si>
    <t>Critically evaluate the pathophysiology of cardiovascular conditions, their impact on exercise response and exercise as medicine.</t>
  </si>
  <si>
    <t>Case-study presentation and viva</t>
  </si>
  <si>
    <t>ECG interpretation exam</t>
  </si>
  <si>
    <t>Laboratory/clinical techniques</t>
  </si>
  <si>
    <t>Teamwork</t>
  </si>
  <si>
    <t>Cardiovascular disease</t>
  </si>
  <si>
    <t>Vascular ultrasound practical</t>
  </si>
  <si>
    <t>Vascular physiology / pathophysiology</t>
  </si>
  <si>
    <t>Cardiopulmonary exercise testing: principles</t>
  </si>
  <si>
    <t>Conducting a CPET practical</t>
  </si>
  <si>
    <t>Cardiopulmonary exercise testing: application</t>
  </si>
  <si>
    <t>CPET interpretation practical</t>
  </si>
  <si>
    <t>Exercise prescription and assessment support</t>
  </si>
  <si>
    <t>Clinical CPET interpretation</t>
  </si>
  <si>
    <t>Advanced CPET interpretation (case studies)</t>
  </si>
  <si>
    <t>Assessment 1 tutorials</t>
  </si>
  <si>
    <t>Enrichment week</t>
  </si>
  <si>
    <t>Assessment 1: case-study presentation and viva</t>
  </si>
  <si>
    <t>ECG principles and assessment preparation</t>
  </si>
  <si>
    <t>Taking an ECG and ECG interpretation</t>
  </si>
  <si>
    <t>Clinical ECG interpretation</t>
  </si>
  <si>
    <t>Clinical ECG practical</t>
  </si>
  <si>
    <t>Advanced ECG interpretation</t>
  </si>
  <si>
    <t>Athletes’ ECG and cardiovascular disease</t>
  </si>
  <si>
    <t>Introduction to echocardiography</t>
  </si>
  <si>
    <t>Assessment 2 tutorials</t>
  </si>
  <si>
    <t>6105SPS</t>
  </si>
  <si>
    <t>To gain the knowledge and skills necessary to evaluate gait through quantitative analysis.</t>
  </si>
  <si>
    <t>Clinical Biomechanics</t>
  </si>
  <si>
    <t>To gain the knowledge and skills necessary to evaluate the role of muscle and tendon function and adaptation that contribute to locomotor impairments.</t>
  </si>
  <si>
    <t>Introduction to gait analysis, Observational gait analysis and temporal/spatial parameters, Methods of 3D movement analysis, Normal gait, Collection of kinematic data for assessment, Invited speaker on clinical gait analysis in cerebral palsy, Relationship between muscle structure and function, Muscle and tendon function &amp; adaptation, Voluntary activation of muscle, Measurement techniques for muscle and tendon function.</t>
  </si>
  <si>
    <t>Gabor Barton</t>
  </si>
  <si>
    <t>Given that biomechanics has important practical applications in a clinical context and that in the Biomechanics Group several members of staff are leaders in various areas of this field, we are in a unique position to engage you with two main topics: gait analysis and strength assessment.</t>
  </si>
  <si>
    <t xml:space="preserve">The gait analysis component of the module (content and assessment) is endorsed by the European Society for Movement Analysis in Adults and Children (www.esmac.org). </t>
  </si>
  <si>
    <t>Formative assessment: Multiple Choice Questions are used to assess knowledge covered in the first three weeks. Each question is discussed with students in a group session.</t>
  </si>
  <si>
    <t>2.3	Scientific Knowledge: Biomechanics
2.3.1	TDA Anatomy of human movement (including planes of motion, axes of rotation, segmental analysis)
2.3.2	TD Linear and angular kinetics
2.3.3	TDA Linear and angular kinematics
2.3.4	TDA Gait and postural control
2.3.5	- Fluid dynamics and projectile motion
2.3.6	- Work, power and energy
2.3.7	TDA Qualitative analysis of movement
2.3.8	- Motor skill acquisition (may be covered in psychology curriculum)</t>
  </si>
  <si>
    <t>3.3	Technical Skills: Development &amp; Application - Biomechanics
3.3.1	T Kinetic measurement techniques
3.3.2	TDA Kinematic measurement techniques
3.3.3	T Muscle activity assessment techniques
3.3.4	TDA Flexibility/ range of motion
3.3.5	- Balance
3.3.6	TD Muscular strength, power
3.3.7	-Physical activity monitoring
3.3.8	- Performance analysis</t>
  </si>
  <si>
    <t>4.1	Application of Knowledge &amp; Skills: Interdisciplinary
4.1.1	- Integration of variables contributing to sport performance contexts
4.1.2	TDA Integration of variables contributing to exercise &amp; health contexts
4.1.3	TDA Consideration of special populations
4.1.4	- Environmental and occupational factors in relation to health, disease, disorder, dysfunction &amp; rehabilitation
4.1.5	- Interdisciplinary project (where appropriate)
4.2	Application of Knowledge &amp; Skills: Research
4.2.1	TDA The value of research, and principles &amp; applications of scientific enquiry
4.2.2	- Appropriate research ethics &amp; governance training
4.2.3	TDA (quantitative) A range of qualitative and quantitative research methodologies
4.2.4	TDAUse of appropriate data analysis &amp; visualisation techniques
4.2.5	TDA Evidence-based practice and evaluation
4.2.6	- Research Project (where applicable)
4.3	Application of Knowledge &amp; Skills: Professional Practice and Employability 
4.3.1	TD Awareness of professional bodies (including CASES and others)
4.3.2	- Professional behaviour (ethics, values &amp; code of conduct)
4.3.3	- Safeguarding, welfare &amp; vulnerable groups
4.3.4	- Interpersonal &amp; communication skill development
4.3.5	- Reflective practice 
4.3.6	TDA Work-based or work-related learning placement or project
4.3.7	TD Development and career planning
4.3.8	- Awareness of commercial/ enterprise contexts 
4.3.9	- Global awareness (sport  related)</t>
  </si>
  <si>
    <t>Tom, please add Taught Developed Assessed above if they apply in the second half</t>
  </si>
  <si>
    <t>Conduct an experimental analysis of human gait and interpret the findings</t>
  </si>
  <si>
    <t>Tom, please explain how the exam is delivered and invigilated.</t>
  </si>
  <si>
    <t>Critically evaluate the role of muscle and tendon function and adaptation</t>
  </si>
  <si>
    <t>The effects of walking speed on three-dimensional gait kinematics</t>
  </si>
  <si>
    <t>Exam covering content delivered in the second half on strength, muscles and tendons.</t>
  </si>
  <si>
    <t>A2 Tom, please complete for exam</t>
  </si>
  <si>
    <t>Module introduction and
Introduction to gait analysis</t>
  </si>
  <si>
    <t>Directed reading (selected papers, ESMAC abstracts, CMAS/ESMAC websites, etc.)</t>
  </si>
  <si>
    <t>Observational gait analysis and temporal-spatial parameters</t>
  </si>
  <si>
    <t>Capturing, calculating and interpreting temporal and spatial parameters of gait using TemporoSpatial program and new/existing data</t>
  </si>
  <si>
    <t>Physical examination</t>
  </si>
  <si>
    <r>
      <t xml:space="preserve">Measure joint angles from images with program, explain which muscle/tendon is short. </t>
    </r>
    <r>
      <rPr>
        <b/>
        <sz val="10"/>
        <color rgb="FFFF0000"/>
        <rFont val="Arial"/>
        <family val="2"/>
      </rPr>
      <t>FORMATIVE MCQs covering content so far</t>
    </r>
    <r>
      <rPr>
        <sz val="11"/>
        <color theme="1"/>
        <rFont val="Aptos Narrow"/>
        <family val="2"/>
        <scheme val="minor"/>
      </rPr>
      <t>, see in phys. exam folder.</t>
    </r>
  </si>
  <si>
    <t>Normal gait</t>
  </si>
  <si>
    <t>Compare normal gait video with normal angle curves</t>
  </si>
  <si>
    <t>Kinematics data collection for Coursework</t>
  </si>
  <si>
    <t>Data processing in QTM&amp;V3D with step-by-step guide</t>
  </si>
  <si>
    <t>Clinical gait analysis - invited speaker</t>
  </si>
  <si>
    <t>Identify mechanisms in normal and pathological gait (ankylosis, SDR, CP) using video worksheets</t>
  </si>
  <si>
    <t>DSW</t>
  </si>
  <si>
    <r>
      <t xml:space="preserve">Coursework preparation
</t>
    </r>
    <r>
      <rPr>
        <b/>
        <sz val="10"/>
        <color rgb="FFFF0000"/>
        <rFont val="Arial"/>
        <family val="2"/>
      </rPr>
      <t>COURSEWORK SUBMISSION on Canvas</t>
    </r>
  </si>
  <si>
    <t>Factors affecting muscle strength</t>
  </si>
  <si>
    <t xml:space="preserve">Ultrasound imaging of muscle architecture and directed reading </t>
  </si>
  <si>
    <t xml:space="preserve">Plasticity of muscle architecture and functional implications </t>
  </si>
  <si>
    <t xml:space="preserve">Analysis of ultrasound images of muscle architecture </t>
  </si>
  <si>
    <t>Activation of angonist and antagonist muscles</t>
  </si>
  <si>
    <t>Pre-lab task: Video demo of agonist activaion data collection.
Computer practical: analysis of agonist activation</t>
  </si>
  <si>
    <t xml:space="preserve">Moment arms and mechanical advantage </t>
  </si>
  <si>
    <t xml:space="preserve">Calculating mechanical advanatge </t>
  </si>
  <si>
    <t>Revision</t>
  </si>
  <si>
    <t>6106SPS</t>
  </si>
  <si>
    <t>This module aims to develop students' understanding of the role of physical activity and sedentary behaviour in the prevention and management of long term medical conditions. It explores contemporary evidence and practice relating to the promotion of physical activity, the reduction of sedentary behaviour, and the use of physical activity as an evidence based, non pharmacological component of healthcare across a range of clinical populations and settings. Students will critically evaluate current approaches to physical activity promotion and progress from understanding interventions within specific populations and environments to designing and communicating evidence informed physical activity interventions for clinical populations.</t>
  </si>
  <si>
    <t>Physical Activity in Healthcare</t>
  </si>
  <si>
    <t>The role of physical activity within healthcare, including referral pathways, clinical reporting, prehabilitation, rehabilitation, risk stratification and health inequalities.
Physical activity as an evidence based, non pharmacological component of the prevention and management of long term medical conditions.</t>
  </si>
  <si>
    <t>Dr Tori Sprung</t>
  </si>
  <si>
    <t>Physiological, psychological and functional benefits of physical activity across a range of clinical populations, including cancer, cardiovascular disease, metabolic disease, rheumatic disease, pregnancy and severe mental illness.</t>
  </si>
  <si>
    <t>Behaviour change and motivational strategies to support long term physical activity participation and adherence.
Effective communication with healthcare professionals, patients and the wider public, including the translation of scientific evidence into accessible health messages.</t>
  </si>
  <si>
    <t>Students are expected to engage with a combination of synchronous and asynchronous learning activities, including lectures, some of which may be delivered by guest speakers with specialist expertise. Workshops, journal club seminars and online worksheet activities are designed to consolidate lecture content, promote critical engagement with the evidence base and support the application of learning to clinical practice.</t>
  </si>
  <si>
    <t>Interactive teaching sessions will incorporate discussion activities that encourage students to share perspectives and experiences, fostering collaborative learning and consideration of wider societal and healthcare needs. Additional tutorials will be available throughout the module, with students expected to book appointments via the University's SeeMyTutor system to support their academic development.</t>
  </si>
  <si>
    <t>Students are also expected to undertake prescribed reading and directed independent study to broaden their knowledge, develop critical understanding and strengthen their ability to apply evidence based principles of physical activity for people living with long term medical conditions.</t>
  </si>
  <si>
    <r>
      <rPr>
        <b/>
        <sz val="11"/>
        <color rgb="FF000000"/>
        <rFont val="Aptos Narrow"/>
        <scheme val="minor"/>
      </rPr>
      <t>Interactive learning and formative assessment:</t>
    </r>
    <r>
      <rPr>
        <sz val="11"/>
        <color rgb="FF000000"/>
        <rFont val="Aptos Narrow"/>
        <scheme val="minor"/>
      </rPr>
      <t xml:space="preserve"> Workshops and seminars are designed to be interactive, incorporating formative assessment, peer feedback and whole group discussion. Activities are scaffolded to support students in preparing for their summative assessments, including drafting and refining sections of their The Conversation style articles, developing infographics and practising presentations in preparation for their patient education sessions. These activities provide opportunities for students to receive feedback, reflect on their progress and develop confidence in communicating evidence to lay audiences. There are several formative tasks included in self-directed learning also, eg. quizzes.</t>
    </r>
  </si>
  <si>
    <r>
      <t>Patient education session delivery:</t>
    </r>
    <r>
      <rPr>
        <sz val="11"/>
        <color theme="1"/>
        <rFont val="Aptos Narrow"/>
        <family val="2"/>
        <scheme val="minor"/>
      </rPr>
      <t xml:space="preserve"> Patient education sessions will be delivered individually on the University campus and recorded for assessment and moderation purposes.</t>
    </r>
  </si>
  <si>
    <r>
      <rPr>
        <b/>
        <sz val="11"/>
        <color rgb="FF000000"/>
        <rFont val="Aptos Narrow"/>
        <scheme val="minor"/>
      </rPr>
      <t xml:space="preserve">Assessment overview: </t>
    </r>
    <r>
      <rPr>
        <sz val="11"/>
        <color rgb="FF000000"/>
        <rFont val="Aptos Narrow"/>
        <scheme val="minor"/>
      </rPr>
      <t>The two assessments complement one another rather than duplicating each other: Assessment 1 asks: Can you find, evaluate, synthesise and communicate the evidence? Assessment 2 asks: Can you apply that evidence safely and effectively when educating and supporting patients?</t>
    </r>
  </si>
  <si>
    <t>Examine the prevalence of long term medical conditions and critically consider how protected characteristics and their intersections influence disease risk, health inequalities and opportunities for physical activity participation.</t>
  </si>
  <si>
    <t>Evaluate the evidence underpinning physical activity for the prevention and management of long term medical conditions, including its role in improving function, facilitating recovery, maximising independence and supporting participation.</t>
  </si>
  <si>
    <t>Critically evaluate the practical, ethical and societal considerations associated with promoting physical activity and reducing sedentary behaviour among people living with long term medical conditions.</t>
  </si>
  <si>
    <t>Critically analyse the effectiveness of physical activity, sedentary behaviour and health interventions, and formulate evidence based recommendations appropriate for clinical practice and patient education.</t>
  </si>
  <si>
    <t>Communicate evidence based physical activity recommendations effectively to healthcare professionals, patients and the wider public, adapting information appropriately for the intended audience.</t>
  </si>
  <si>
    <t>The Conversation' style article and accompanying infographic. Individual assessment: Students produce a 3-page article written in the style of The Conversation, accompanied by an infographic. The article critically synthesises evidence relating to the role of physical activity in the management of a long term medical condition of their choice, translating complex scientific information into accessible, evidence based recommendations for a lay audience. The accompanying infographic visually communicates key messages.</t>
  </si>
  <si>
    <t>24 (6)</t>
  </si>
  <si>
    <t>Patient Education Session. Individual assessment: Students design and deliver a 10 minute patient education session, supported by presentation slides, for a clinical population living with a specified long term medical condition (different to that selected for assessment 1). The presentation communicates key information about the condition and the role of physical activity in its management, providing evidence based recommendations that consider individual abilities, exercise adaptations, progression and safety. This is followed by approximately 5 minutes of questioning (2-3 questions posed from a patient perspective), during which students demonstrate their ability to respond to patient concerns and communicate complex information clearly and appropriately.</t>
  </si>
  <si>
    <t>33 (12)</t>
  </si>
  <si>
    <t>Evidence-based decision making</t>
  </si>
  <si>
    <t>Module introduction</t>
  </si>
  <si>
    <t>Self-directed learning on Canvas pages</t>
  </si>
  <si>
    <t>The role of Physical Activity in healthcare</t>
  </si>
  <si>
    <t>Physical activity for clinical groups</t>
  </si>
  <si>
    <t>Effective Communication &amp; Utilisation of Evidence</t>
  </si>
  <si>
    <t>The role of Physical Activity in healthcare II + Assessment Feedforward</t>
  </si>
  <si>
    <t>Seminar incluidng formative task of outlining sections of conversation article and receiving peer feedback.</t>
  </si>
  <si>
    <t>PA for Cancer</t>
  </si>
  <si>
    <t>PA for Pregnancy related complications</t>
  </si>
  <si>
    <t>PA for Mental Health</t>
  </si>
  <si>
    <t>PA for Rheumatoid Arthritis</t>
  </si>
  <si>
    <t>Motivatonal Strategies to Enhance Adherence &amp; Compliance</t>
  </si>
  <si>
    <t>Assessment Support Clinic</t>
  </si>
  <si>
    <t>6107SPS</t>
  </si>
  <si>
    <t>Environmental Physiology</t>
  </si>
  <si>
    <t xml:space="preserve">This module is designed to critically examine the limitations to health and
performance under various environmental stressors and will examine how these
limitations can be ameliorated with appropriate adaptation strategies and exercise
interventions.
</t>
  </si>
  <si>
    <t>Thermoregulatory physiology
Hydration
Exercise in the heat/cold
Circadian physiology
Pollution
Space physiology
Exercise at altitude
Diving physiology
Climate change</t>
  </si>
  <si>
    <t>Dr Ben Edwards</t>
  </si>
  <si>
    <t xml:space="preserve">Learning Activities
Students will attend time-tabled lectures and laboratory practicals and will be
encouraged to utilise the available directed learning/private study time and resources
made available via the virtual learning platforms. Students should seek advice from
module staff and/or conduct essential reading as directed. Some of the teaching
sessions will contain practical based activities where students will be required to use
their analytical, statistical and problem solving skills to enhance their own learning.
Students should complete the required and recommended reading and directed
learning/private study tasks to widen their knowledge, understanding and their ability
to apply module material. Students will be required to evidence this in their
assessments, in practical/tutorial discourse and via virtual learning platform tasks.
</t>
  </si>
  <si>
    <t>Learning Activities</t>
  </si>
  <si>
    <t>Students will attend time-tabled lectures and laboratory practicals and will be</t>
  </si>
  <si>
    <t>encouraged to utilise the available directed learning/private study time and resources</t>
  </si>
  <si>
    <t>made available via the virtual learning platforms. Students should seek advice from</t>
  </si>
  <si>
    <t>module staff and/or conduct essential reading as directed. Some of the teaching</t>
  </si>
  <si>
    <t>sessions (seminars) will contain practical based activities where students will be required to use</t>
  </si>
  <si>
    <t>Critically analyse the limitations to performance and health during common environmental stressors</t>
  </si>
  <si>
    <t>their analytical, statistical and problem solving skills to enhance their own learning.</t>
  </si>
  <si>
    <t xml:space="preserve">Critically evaluate a range of coping strategies when confronted with common
environmental stressors
</t>
  </si>
  <si>
    <t>Students should complete the required and recommended reading and directed</t>
  </si>
  <si>
    <t>learning/private study tasks to widen their knowledge, understanding and their ability</t>
  </si>
  <si>
    <t>to apply module material. Students will be required to evidence this in their</t>
  </si>
  <si>
    <t>assessments, in practical/tutorial discourse and via virtual learning platform tasks.</t>
  </si>
  <si>
    <t>On a chosen sporting challenge in extreme heat/cold</t>
  </si>
  <si>
    <t>Presnt a poster and defend questions on the poster and the topic both theoretical and practical</t>
  </si>
  <si>
    <t>25 (10/2/2027)</t>
  </si>
  <si>
    <t>Answering 2/4 questions</t>
  </si>
  <si>
    <t>From the Topics/lectures covered in the module</t>
  </si>
  <si>
    <t>34 (10/5/2027)</t>
  </si>
  <si>
    <t>Research communication</t>
  </si>
  <si>
    <t>Introduction</t>
  </si>
  <si>
    <t>Lecture and seminar (allocation to groups for ASS1)</t>
  </si>
  <si>
    <t>Heat</t>
  </si>
  <si>
    <t>Lecture and seminar and practical (heat/cold)</t>
  </si>
  <si>
    <t xml:space="preserve">Cold </t>
  </si>
  <si>
    <t>Dehydration</t>
  </si>
  <si>
    <t>Lecture and seminar and theme consolidation</t>
  </si>
  <si>
    <t>Rhythms</t>
  </si>
  <si>
    <t xml:space="preserve">Lecture </t>
  </si>
  <si>
    <t>Directed Study week</t>
  </si>
  <si>
    <t>Sleep</t>
  </si>
  <si>
    <t>ASS1 submission and Presentation</t>
  </si>
  <si>
    <t>Polution</t>
  </si>
  <si>
    <t>Lecture  and theme consolidation</t>
  </si>
  <si>
    <t>Space</t>
  </si>
  <si>
    <t>Lecture and seminar</t>
  </si>
  <si>
    <t>Altitude</t>
  </si>
  <si>
    <t>Lecture and seminar and practical (alt 1)</t>
  </si>
  <si>
    <t>Diving</t>
  </si>
  <si>
    <t>Lecture and seminar and practical (alt 2) and theme consolidation</t>
  </si>
  <si>
    <t>Survival vs Sport Science</t>
  </si>
  <si>
    <t>6108SPS</t>
  </si>
  <si>
    <t xml:space="preserve">This module first aims to introduce fundamental knowledge in nutrition related to methods to measure energy intake/expenditure and body composition, macro- andmicronutrients. This knowledge will underpin the second aim. </t>
  </si>
  <si>
    <t>Health and Performance Nutrition</t>
  </si>
  <si>
    <t>the second aim is understanding how _x000D_macronutrients, micronutrients and ergogenic aids can be used effectively to_x000D_ enhance sports performance, training adaptation, and exercise recovery. The_x000D_ module will also consider the application of the key principles of nutrition to improve _x000D_health and prevent and treat metabolic disease.</t>
  </si>
  <si>
    <t>Methods in Nutrition; Measuring energy intake, Measuring energy expenditure,_x000D_ Measuring body composition
Nutrition Fundamentals – Macro- &amp; micro-nutrients; RDI's, Carbohydrates, Fats,_x000D_Proteins, Vitamins, Minerals</t>
  </si>
  <si>
    <t>Richie Kirwan</t>
  </si>
  <si>
    <t>Sports Nutrition; Endurance sports performance, Strength/power sports_x000D_ performance, Intermittent sports performance, Weight-making sports performance,_x000D_Hydration
_x000D_Health Nutrition; Obesity, T2D, Aging &amp; sarcopenia, Eating disorders</t>
  </si>
  <si>
    <t>Individual-level influences on physical activity and sedentary behaviour
Prevalence, patterns and trends in physical activity and sedentary behaviour</t>
  </si>
  <si>
    <t>This module firstly aims to introduce fundamental knowledge in nutrition related to methods to measure energy intake/expenditure and body composition, macro- and micronutrients. This knowledge will underpin the second aim of understanding how macronutrients, micronutrients and ergogenic aids can be used effectively to enhance sports performance, training adaptation, and exercise recovery.</t>
  </si>
  <si>
    <t>Formative task 1: Observed, pair-based dietary assessment practice</t>
  </si>
  <si>
    <t>Formative task 2: Recipe creation and nutrient analysis using Nutritics software.</t>
  </si>
  <si>
    <t>Critically evaluate the contribution of macronutrients to sports performance,_x000D_training adaptations and recovery.</t>
  </si>
  <si>
    <t>Critically evaluate the role of micronutrients and ergogenic aids in sports_x000D_performance, training adaptation and recovery</t>
  </si>
  <si>
    <t>Critically evaluate the role of diet in prevention and treatment of metabolic disease.</t>
  </si>
  <si>
    <t>Group presentation on population nutrient deficiency in health and performance context</t>
  </si>
  <si>
    <t>Case study of athlete needs for performance and health goals</t>
  </si>
  <si>
    <t xml:space="preserve">	Lecture Week 1: Module Introduction: Calories, Macros &amp; Calculations</t>
  </si>
  <si>
    <t xml:space="preserve">	Lecture Week 2: Nutrition for endurance performance</t>
  </si>
  <si>
    <t>Seminar Week 2: Assessing Intake</t>
  </si>
  <si>
    <t xml:space="preserve">	Lecture Week 3: Nutrition for making weight</t>
  </si>
  <si>
    <t>Seminar Week 3: Intro to nutrition software packages</t>
  </si>
  <si>
    <t>Lecture Week 4: Appetite Regulation</t>
  </si>
  <si>
    <t>Seminar Week 4: RDIs</t>
  </si>
  <si>
    <t>Lab Week 4: Body Composition Analysis</t>
  </si>
  <si>
    <t xml:space="preserve">	Lecture Week 5: Nutrition and Cardiovascular Disease</t>
  </si>
  <si>
    <t xml:space="preserve">	Seminar Week 5: Minerals 1</t>
  </si>
  <si>
    <t xml:space="preserve">	Lab Week 5: Glycemic response to food</t>
  </si>
  <si>
    <t>Lecture Week 6: Ultra Processed Foods and Health</t>
  </si>
  <si>
    <t xml:space="preserve">	Seminar Week 6: Minerals 2</t>
  </si>
  <si>
    <t>Lab Week 6: Assessment Support Drop-In</t>
  </si>
  <si>
    <t>Lecture Week 8: Nutrition for strength/power athletes</t>
  </si>
  <si>
    <t>Seminar Week 8: Vitamins 1</t>
  </si>
  <si>
    <t>Lab Week 8: Assessment Support Drop-In</t>
  </si>
  <si>
    <t>Lecture Week 9: Fueling Team Sports</t>
  </si>
  <si>
    <t>Seminar Week 9: Vitamins 2</t>
  </si>
  <si>
    <t>Lecture Week 10: Hydration and sports performance</t>
  </si>
  <si>
    <t>Lecture Week 11: Nutrition and Diabetes</t>
  </si>
  <si>
    <t>6109SPS</t>
  </si>
  <si>
    <t>This module provides students with the opportunity to develop and critically evaluate the knowledge, skills and professional behaviours required for effective practice within applied sport and exercise science.</t>
  </si>
  <si>
    <t>Applied Professional Practice </t>
  </si>
  <si>
    <t>YL</t>
  </si>
  <si>
    <t>Map and examine professional competencis which translate experience to graduate exit routes.</t>
  </si>
  <si>
    <t>Tim Donovan</t>
  </si>
  <si>
    <t>This module enables students to apply and critically evaluate their sport and exercise science knowledge within an authentic professional setting. Students will undertake a placement or equivalent work-related learning experience, using reflective practice and scientific evidence to evaluate their contribution, professional development and the demands of their chosen area of practice. The module supports the transition from academic study to graduate employment by fostering professional competence, critical thinking and lifelong learning.</t>
  </si>
  <si>
    <t>Following the lectures to the cohort the students will follow specific training and tutorials associated with their placement from the allocated tutors.  The content and structure will be dependent on the type of placement (in-situ, remote or work related) and the type of activity.</t>
  </si>
  <si>
    <t>Formative assesments will be provided by the individual placement tutor for AS1.  In class formative assessmnet will be initiated in semester two for AS2</t>
  </si>
  <si>
    <t>Critically evaluate the important skills, applied knowledge and evidence base required to work in applied Sport and Exercise Science</t>
  </si>
  <si>
    <t>Critically reflect on issues relating to professional practice.</t>
  </si>
  <si>
    <t>Demonstrate a critical understanding of the applied knowledge in your placement area.</t>
  </si>
  <si>
    <t>Work related task. The submission will depend upon the nature of the work related activity (3000 words or equivalent)</t>
  </si>
  <si>
    <t>An individual presentation within the context of the discipline area that you have completed your placement, and in consideration of your skills, experience and possible career plans you are required to reflect upon the knowledge and competencies required to work in Sport and Exercise Science field/discipline.</t>
  </si>
  <si>
    <t>Stakeholder awareness</t>
  </si>
  <si>
    <t>Ethical practice</t>
  </si>
  <si>
    <t>Professionalism</t>
  </si>
  <si>
    <t>Cultural awareness and competence</t>
  </si>
  <si>
    <t>Evidence-Based Practice in Sport and Exercise Science</t>
  </si>
  <si>
    <t>Critically evaluating scientific evidence and applying research findings to inform professional decisions and practice.</t>
  </si>
  <si>
    <t>Professional Relationships and Communication</t>
  </si>
  <si>
    <t>Developing effective communication, interpersonal skills and professional relationships with clients, colleagues and stakeholders.</t>
  </si>
  <si>
    <t>Child Protection and participant welfare - Summative assessment with formative process to achieve the outcome</t>
  </si>
  <si>
    <t>Problem Solving in Professional Practice</t>
  </si>
  <si>
    <t>Identifying professional challenges and applying critical thinking, analytical skills and evidence-based approaches to develop appropriate solutions.</t>
  </si>
  <si>
    <t>Helath, safey and risk assessment - Summative assessment with formative process to achieve the outcome</t>
  </si>
  <si>
    <t>Applying Knowledge to Practice</t>
  </si>
  <si>
    <t>Integrating theoretical knowledge and practical skills to address real-world challenges in sport and exercise science settings.</t>
  </si>
  <si>
    <t>Managing Professional Practice</t>
  </si>
  <si>
    <t>Developing organisational, planning, time management and reflective skills to manage professional responsibilities effectively.</t>
  </si>
  <si>
    <t>Delivering Sport and Exercise Science in Professional Contexts</t>
  </si>
  <si>
    <t>Planning, implementing and evaluating sport and exercise science services and interventions within professional environments.</t>
  </si>
  <si>
    <t>Refective practcice</t>
  </si>
  <si>
    <t>Critically reflecting on professional experiences to evaluate performance, identify strengths and areas for development and inform future professional practice.</t>
  </si>
  <si>
    <t xml:space="preserve">ReflectIon on placement objectives </t>
  </si>
  <si>
    <t>Critical analysis of placement objectives and outcomes in preperation for reflective presentation (AS2)</t>
  </si>
  <si>
    <t>Formative assessment of critical evaluation of placement (A2)</t>
  </si>
  <si>
    <t>6091SPS</t>
  </si>
  <si>
    <t>To critically extend the students understanding and deployment of the research process through the planning, production, analyses and report of a piece of independent research conducted in a responsible, safe and ethical manner</t>
  </si>
  <si>
    <t>Major Project</t>
  </si>
  <si>
    <t xml:space="preserve">Project design (e.g., ethical approval, risk assessment, technical training, data analyses) </t>
  </si>
  <si>
    <t>Dave Low</t>
  </si>
  <si>
    <t>Project monitoring (tutorials with project supervisor to discuss and provide feedback on research process)</t>
  </si>
  <si>
    <t>Research Project</t>
  </si>
  <si>
    <t>Practical data collection, analysis and communication</t>
  </si>
  <si>
    <t xml:space="preserve">Students should attend all lectures/seminars/tutorials on the </t>
  </si>
  <si>
    <t xml:space="preserve">requirements of the project. Students should meet regularly with their designated </t>
  </si>
  <si>
    <t xml:space="preserve">major project supervisor and or Personal Tutor to engage with tutorial support. </t>
  </si>
  <si>
    <t>Students may be required to undertake training and to demonstrate competency with</t>
  </si>
  <si>
    <t>research tools.</t>
  </si>
  <si>
    <t xml:space="preserve">Formative assessment will be faciliated via a range of items, such as, risk assessment and ethics drafts, systematic review protocol template, methods training, project specific methods training, PLG and individual tutorial activity, supervisor feedback on data analyses and thesis and defence inforgraphic summative assessment items  </t>
  </si>
  <si>
    <t>4.2.1.The value of research, and principles &amp; applications of scientific enquiry (T,D,A)</t>
  </si>
  <si>
    <t>4.2.2.Appropriate research ethics &amp; governance training (T,D,A)</t>
  </si>
  <si>
    <t>4.2.3.A range of qualitative and quantitative research methodologies (T,D,A)</t>
  </si>
  <si>
    <t>4.2.4.Use of appropriate data analysis &amp; visualisation techniques (T,D,A)</t>
  </si>
  <si>
    <t>4.2.5.Evidence-based practice and evaluation (D,A)</t>
  </si>
  <si>
    <t>Apply skills and competencies to conduct research in an area relevant to their programme of study</t>
  </si>
  <si>
    <t>4.2.6.Research Project (T,D,A)</t>
  </si>
  <si>
    <t>Critically appraise the research in a written format as specified by the major project guidelines</t>
  </si>
  <si>
    <t>4.3.1.Awareness of professional bodies (including CASES and others) (D)</t>
  </si>
  <si>
    <t>Present and defend the progress and summary of the project and its findings in a scientific manner</t>
  </si>
  <si>
    <t>4.3.2.Professional behaviour (ethics, values &amp; code of conduct) (T,D,A)</t>
  </si>
  <si>
    <t>4.3.4.Interpersonal &amp; communication skill development (T,D,A)</t>
  </si>
  <si>
    <t>4.3.5.Reflective practice (D)</t>
  </si>
  <si>
    <t>Dissertation</t>
  </si>
  <si>
    <t>Students are required to submit a thesis that describes and reports the major project that they conducted using the scientific method, e.g., Introduction, Methods, Results and Discussion. This could be in the format of an Empirical type project or a Systeamtic Review type project. AI use will be allowed and will be assessed.</t>
  </si>
  <si>
    <t xml:space="preserve">Students are required to manage their own project throughout the year and produce, present and defend their major project </t>
  </si>
  <si>
    <t>Technical proficiency</t>
  </si>
  <si>
    <t>Risk assessment</t>
  </si>
  <si>
    <t>Empirical Major Projects Intro </t>
  </si>
  <si>
    <t>Systematic Review Projects Intro </t>
  </si>
  <si>
    <t>PLG</t>
  </si>
  <si>
    <t>Project Management Skills</t>
  </si>
  <si>
    <t>Systematic Review Projects; Top Tips</t>
  </si>
  <si>
    <t xml:space="preserve">Research Sustainability </t>
  </si>
  <si>
    <t>Writing your Risk Assessment and Ethics Application</t>
  </si>
  <si>
    <t>Literature searching 2</t>
  </si>
  <si>
    <t>Academic writing and Ethical AI Use</t>
  </si>
  <si>
    <t>Article Screening</t>
  </si>
  <si>
    <t>Data Collection Tools</t>
  </si>
  <si>
    <t>Data Extraction</t>
  </si>
  <si>
    <t>DROP IN</t>
  </si>
  <si>
    <t>Welcome Back/Thesis Feedforward</t>
  </si>
  <si>
    <t>Writing Up Part 1</t>
  </si>
  <si>
    <t>Data Extraction 2</t>
  </si>
  <si>
    <t>Quantitative Data Analyses</t>
  </si>
  <si>
    <t>Data Presentation</t>
  </si>
  <si>
    <t>Qualititative Data Analyses</t>
  </si>
  <si>
    <t>Writing Up Part 2</t>
  </si>
  <si>
    <t>Project Defence Feedforward</t>
  </si>
  <si>
    <t>6093SPS</t>
  </si>
  <si>
    <t>Students will learn how to implement strength and conditioning concepts and principles in the applied sporting environment. Specifically, students will develop the knowledge and skills needed to perform a needs analysis of an athlete, analyse data against theoretical norms and programme design. Students will gain the opportunity to practise and explore the correct ways to administer safe and effective training-interventions.</t>
  </si>
  <si>
    <t>Strength and Conditioning</t>
  </si>
  <si>
    <t>Needs analysis (of a sport and athlete); warm-ups; periodisation and programme design; basic lifting technique; performance testing and monitoring; strength and power development; speed and agility; endurance performance (aerobic and anaerobic); concurrent training; data visualisation; injury prevention. </t>
  </si>
  <si>
    <t>Chelsea Oxendale</t>
  </si>
  <si>
    <t>SES, SC, PE</t>
  </si>
  <si>
    <t>In this module, you will learn to apply strength and conditioning principles in a sporting context to enhance performance and minimize risk of injury. You will develop the knowledge and skills to conduct a thorough needs analysis, assess data against normative values, and design individualized training programs tailored to the athlete's needs. Furthermore, you will gain hands-on experience in resistance training, power and speed development, injury screening, performance testing, and explore different data visualization methods</t>
  </si>
  <si>
    <t>Complete an athlete needs analysis and analyse the data against norms found within academic literature</t>
  </si>
  <si>
    <t>Design an athlete training programme in consideration of the athlete needs analysis and scientific determinants of performance.</t>
  </si>
  <si>
    <t>Design safe and effective coaching sessions to athletes</t>
  </si>
  <si>
    <t>Students will produce and deliver an individual 10 minute pre-recorded needs analysis presentation</t>
  </si>
  <si>
    <t>Viva</t>
  </si>
  <si>
    <t>Students will produce an individual 4 week training programme and take part in an individual 10 minute oral viva defence to answer questions about their training programme.</t>
  </si>
  <si>
    <t>Adaptability</t>
  </si>
  <si>
    <t>Module Introduction and Needs Analysis (Assessment Guidance)</t>
  </si>
  <si>
    <t>Seminar: Needs Analysis and Effective Coaching (Assessment A1 Formative Task)</t>
  </si>
  <si>
    <t>Training Load and Adaptation</t>
  </si>
  <si>
    <t>Practical: Warm-ups and Load Monitoring</t>
  </si>
  <si>
    <t>Performance Testing and Monitoring</t>
  </si>
  <si>
    <t>Practical: Performance Testing and Monitoring</t>
  </si>
  <si>
    <t>Periodisation and Programme Design</t>
  </si>
  <si>
    <t>Seminar:Data Visualisation (Assessment A1 Feedforward)</t>
  </si>
  <si>
    <t>Preconditioning and Warm-up</t>
  </si>
  <si>
    <t>Practical: Basic Lifting Technique (lower)</t>
  </si>
  <si>
    <t>Principles of Resistance Training</t>
  </si>
  <si>
    <t>Practical: Basic Lifting Technique (upper)</t>
  </si>
  <si>
    <t>Principles of Power Training</t>
  </si>
  <si>
    <t>Practical: Power Training</t>
  </si>
  <si>
    <t>Principles of Endurance Training</t>
  </si>
  <si>
    <t>Seminar: Endurance Training Planning (Assessment A2 Formative Task)</t>
  </si>
  <si>
    <t>Principles of Speed and Agility Training (Assessment Guidance)</t>
  </si>
  <si>
    <t>Practical: Speed and Agility Training</t>
  </si>
  <si>
    <t xml:space="preserve">Injury Prevention and Rehabilitation </t>
  </si>
  <si>
    <t>Practical: Screening and Return to Sport Criteria</t>
  </si>
  <si>
    <t>S&amp;C Career Pathways (Assessment A2 Feedforward)</t>
  </si>
  <si>
    <t>6094SPS</t>
  </si>
  <si>
    <t>This module seeks to immerse students in contemporary behaviour change theory and practical applications within the disciplines of physical activity, nutrition, sport performance, and health. It aims to equip students with the knowledge, skills, and behaviours needed to effectively facilitate behaviour change.</t>
  </si>
  <si>
    <t>Behaviour Change</t>
  </si>
  <si>
    <t>Theoretical underpinning in behaviour change using the Behaviour Change Wheel, including:- Defining and selecting target behaviours; Behavioural analysis and diagnosis using the COM-B model; Identifying intervention options and corresponding theories; identifying behaviour change techniques and modes of delivery; effective communication; coaching, action planning; goal setting.  Practical application of behaviour change interventions in multi-disciplinary contexts and case study scenarios at different levels, including population/organisational/ teams/ group/ individual.</t>
  </si>
  <si>
    <t>Lawrence Foweather</t>
  </si>
  <si>
    <t>This module will engage you in current behaviour change theories, concepts and applied examples across the physical activity, nutrition, sport performance and health disciplines. In doing so, you will gain a theoretical underpinning in behaviour change and insight into how to change behaviours across a range of settings/populations/disciplines.</t>
  </si>
  <si>
    <t>Other contact hours are timetabled tutorials (4 hours) taking place in week 7</t>
  </si>
  <si>
    <t>2 hour online drop in assessment support in week 8 and week 16</t>
  </si>
  <si>
    <t xml:space="preserve">Practical simulation to take place either week 12 or first week of Jan assessment weeks. </t>
  </si>
  <si>
    <t>Reflection submitted before semester 2 starts (Jan assessment weeks)</t>
  </si>
  <si>
    <t>Guest speakers in the applied contexts sessions</t>
  </si>
  <si>
    <t>Design a theory-based behaviour change intervention</t>
  </si>
  <si>
    <t>Conduct a behaviour change consultation</t>
  </si>
  <si>
    <t>Critically evaluate and reflect upon personal and professional skills to support behaviour change</t>
  </si>
  <si>
    <t>Design a theory-based behaviour change intervention (10 minute narrated presentation)</t>
  </si>
  <si>
    <t xml:space="preserve">Practical Simulation and Reflection: Students complete a 12-15 minute behaviour change consultation with an adult client seeking support. Following the practical, students submit a critical reflection (≈750–1,000 words) on their consultation. </t>
  </si>
  <si>
    <t>Coaching and mentoring</t>
  </si>
  <si>
    <t>Module Introduction | Behaviour Change Wheel 1: Target Behaviours</t>
  </si>
  <si>
    <t>Behaviour Change Wheel 2: What needs to change? (COM-B)</t>
  </si>
  <si>
    <t>Behaviour Change Wheel 3: Intervention Options &amp; Behaviour Change Techniques</t>
  </si>
  <si>
    <t>Behaviour Change in Applied Contexts</t>
  </si>
  <si>
    <t>Assessment Support and Preparation</t>
  </si>
  <si>
    <t>Directed Study Week | Tutorials</t>
  </si>
  <si>
    <t>Communication skills to support behaviour change</t>
  </si>
  <si>
    <t xml:space="preserve">Goal setting, action planning, and self-monitoring </t>
  </si>
  <si>
    <t>GROW coaching model and 1:1 skills practice</t>
  </si>
  <si>
    <t>Reflective Practice and 1:1 skills practice</t>
  </si>
  <si>
    <t>6095SPS</t>
  </si>
  <si>
    <t>This module aims to develop students' theoretical knowledge, applied understanding and skills in performance analysis of sport. The module will develop students’ ability to review and critique performance analysis application across sports. Students will develop their theoretical knowledge and applied skills of assessment and analysis of sport performance domains. Students will develop critical thinking skills required for performance analysis and translation of performance analysis information to the daily sport practice.</t>
  </si>
  <si>
    <t>Performance Analysis in Sport</t>
  </si>
  <si>
    <t>Applied performance analysis in sport; Notational analysis; Video analysis; Performance profiling (normative profiling); Physical analysis; Tracking technology and athlete monitoring Coach feedback Applications of performance analysis</t>
  </si>
  <si>
    <t>Dr Ed Hope</t>
  </si>
  <si>
    <t>This module will develop your theoretical knowledge, applied understanding and skills in performance analysis of sport. In doing so, you will improve your ability to review and critique performance analysis application across sports.</t>
  </si>
  <si>
    <t>This module provides an opportunity to develop your theoretical knowledge and applied skills of assessment and analysis of sport performance domains. You will develop the critical thinking skills required for performance analysis and translation of performance analysis information to the daily sport practice.</t>
  </si>
  <si>
    <t>BUES mapped.</t>
  </si>
  <si>
    <t xml:space="preserve">
Analyse and evaluate the application of performance analysis in sport.</t>
  </si>
  <si>
    <t xml:space="preserve">
Demonstrate and apply techniques used to collect, analyse, interpret, and feedback performance analysis data.</t>
  </si>
  <si>
    <t>Part A includes 3 different components: a code window file (from Sportscode), a CSV file, and a report.                                                                                                                                                Part B includes 2 different components: a video playlist, and a Tableau dashboard file.</t>
  </si>
  <si>
    <t>Group Presentation analysing performance of a team or athlete (15 minutes + 5 minutes questions).</t>
  </si>
  <si>
    <t>Week 17</t>
  </si>
  <si>
    <t>Introduction and module guidance (Lecture) </t>
  </si>
  <si>
    <t>Assessment feedforward (Video analysis lab) </t>
  </si>
  <si>
    <t>Foundations of Performance Analysis (Lecture) </t>
  </si>
  <si>
    <t>Performance indicators and code window (Video analysis lab) </t>
  </si>
  <si>
    <t>Tactical analysis (Lecture) </t>
  </si>
  <si>
    <t>Video coding (Video analysis lab) </t>
  </si>
  <si>
    <t>Physical analysis (Lecture) </t>
  </si>
  <si>
    <t>Formative check-in on Tagging Window; this is really important as subsequent portfolio items build onto this.</t>
  </si>
  <si>
    <t>Technique analysis (Lecture) </t>
  </si>
  <si>
    <t>Motion analysis with LPS (Practical) </t>
  </si>
  <si>
    <t>Measurement issues in PA: validity, objectivity, reliability (Lecture) </t>
  </si>
  <si>
    <t>Evaluation of technique (Practical) </t>
  </si>
  <si>
    <t>Curriculum Enrichment Week </t>
  </si>
  <si>
    <t>Data analysis (Lecture) </t>
  </si>
  <si>
    <t>Clipping, telestration and playlists (Practical) </t>
  </si>
  <si>
    <t>Formative check-in on Physical Analysis Report</t>
  </si>
  <si>
    <t>Sport analytics (Lecture) </t>
  </si>
  <si>
    <t>Data analysis (Practical) </t>
  </si>
  <si>
    <t>Performance profiling (Lecture) </t>
  </si>
  <si>
    <t>Data visualisation (Practical) </t>
  </si>
  <si>
    <t>From analysis to coaching (Lecture) </t>
  </si>
  <si>
    <t>Guest lecture (Lecture) </t>
  </si>
  <si>
    <t>Drop-in </t>
  </si>
  <si>
    <t>Formative check-in for other Portfolio items and Group Presentation</t>
  </si>
  <si>
    <t>Applied Biomechanics</t>
  </si>
  <si>
    <t>Jane Smith</t>
  </si>
  <si>
    <t>Explain the fundamental principles of biomechanics</t>
  </si>
  <si>
    <t>Analyse human movement using quantitative methods</t>
  </si>
  <si>
    <t>Apply biomechanical concepts to practical scenarios</t>
  </si>
  <si>
    <t>Table 1</t>
  </si>
  <si>
    <t>Table 3</t>
  </si>
  <si>
    <t>Table 5</t>
  </si>
  <si>
    <t>Category</t>
  </si>
  <si>
    <t>Skill</t>
  </si>
  <si>
    <t>Placement</t>
  </si>
  <si>
    <t>Scientific Knowledge</t>
  </si>
  <si>
    <t>Category text shown to user</t>
  </si>
  <si>
    <t>Defined Name</t>
  </si>
  <si>
    <t>ScientificKnowledge</t>
  </si>
  <si>
    <t>TechnicalSkills</t>
  </si>
  <si>
    <t>ApplicationofKnowledge</t>
  </si>
  <si>
    <t>Infographic</t>
  </si>
  <si>
    <t>UnderstandingResearch</t>
  </si>
  <si>
    <t>SelfEvaluation</t>
  </si>
  <si>
    <t>Football Science</t>
  </si>
  <si>
    <t>Journal</t>
  </si>
  <si>
    <t>Physical Education</t>
  </si>
  <si>
    <t>ProblemSolving</t>
  </si>
  <si>
    <t>Technical Skills</t>
  </si>
  <si>
    <t>MgmtSelf</t>
  </si>
  <si>
    <t>Sport Coaching</t>
  </si>
  <si>
    <t>DeliveryEnvironment</t>
  </si>
  <si>
    <t>Sport Nutrition</t>
  </si>
  <si>
    <t>ProfRelationships</t>
  </si>
  <si>
    <t>Sport Psychology</t>
  </si>
  <si>
    <t>SES and SN</t>
  </si>
  <si>
    <t>SC and PE</t>
  </si>
  <si>
    <t>Application of Knowledge &amp; Skills</t>
  </si>
  <si>
    <t>Lifelong learning</t>
  </si>
  <si>
    <t>Resilience</t>
  </si>
  <si>
    <t>Initiative</t>
  </si>
  <si>
    <t>Accountability</t>
  </si>
  <si>
    <t>Analytical thinking</t>
  </si>
  <si>
    <t>problem identification</t>
  </si>
  <si>
    <t>Creative thinking</t>
  </si>
  <si>
    <t>Innovation</t>
  </si>
  <si>
    <t>Empathy</t>
  </si>
  <si>
    <t>Multi-tasking</t>
  </si>
  <si>
    <t>Resource management</t>
  </si>
  <si>
    <t>Organisational awareness</t>
  </si>
  <si>
    <t>Policy interpretation</t>
  </si>
  <si>
    <t>Integrity</t>
  </si>
  <si>
    <t>Respect</t>
  </si>
  <si>
    <t>Professional relationships &amp; behaviours</t>
  </si>
  <si>
    <t>MODULES</t>
  </si>
  <si>
    <t>ModuleCode</t>
  </si>
  <si>
    <t>ModuleTitle</t>
  </si>
  <si>
    <t>Total Contact Hours</t>
  </si>
  <si>
    <t>Hours per Credit</t>
  </si>
  <si>
    <t>Sum of Contact Hours</t>
  </si>
  <si>
    <t>Column Labels</t>
  </si>
  <si>
    <t>4093SPS</t>
  </si>
  <si>
    <t>Psychosocial Principles of Sport and Exercise</t>
  </si>
  <si>
    <t>Kathryn Curran</t>
  </si>
  <si>
    <t>Row Labels</t>
  </si>
  <si>
    <t>Grand Total</t>
  </si>
  <si>
    <t>Exercise Phys L4</t>
  </si>
  <si>
    <t>Professional Practice</t>
  </si>
  <si>
    <t>5093SPS</t>
  </si>
  <si>
    <t>Sport amd Performance Psychology</t>
  </si>
  <si>
    <t>James Roberts</t>
  </si>
  <si>
    <t>Biomechanics</t>
  </si>
  <si>
    <t>6096SPS</t>
  </si>
  <si>
    <t>Secondary PE Teacher Education</t>
  </si>
  <si>
    <t>Kelly Massey</t>
  </si>
  <si>
    <t>6052SPS</t>
  </si>
  <si>
    <t>Applied Motor Behaviour</t>
  </si>
  <si>
    <t>Simon Bennett</t>
  </si>
  <si>
    <t>Sport and Injury Biomechanics</t>
  </si>
  <si>
    <t>6097SPS</t>
  </si>
  <si>
    <t>Applied Professional Practice</t>
  </si>
  <si>
    <t>Working in High Performance Sport</t>
  </si>
  <si>
    <t>Count of Assessment No</t>
  </si>
  <si>
    <t>Count of Assessment Description</t>
  </si>
  <si>
    <t>SourceWorkbook</t>
  </si>
  <si>
    <t>Programme</t>
  </si>
  <si>
    <t>TableName</t>
  </si>
  <si>
    <t>ProgCode</t>
  </si>
  <si>
    <t>Physical Education - AllModuleProformas.xlsx</t>
  </si>
  <si>
    <t>6096SPS_Hours</t>
  </si>
  <si>
    <t>SES</t>
  </si>
  <si>
    <t>Sport Coaching - AllModuleProformas.xlsx</t>
  </si>
  <si>
    <t>6097SPS_Hours</t>
  </si>
  <si>
    <t>Sport Psychology - AllModuleProformas.xlsx</t>
  </si>
  <si>
    <t>4093SPS_Hours</t>
  </si>
  <si>
    <t>Sport and Performance Psychology</t>
  </si>
  <si>
    <t>5093SPS_Hours</t>
  </si>
  <si>
    <t>6052SPS_Hours</t>
  </si>
  <si>
    <t>Sport and Exercise Science - AllModuleProformas.xlsx</t>
  </si>
  <si>
    <t>4091SPS_Hours</t>
  </si>
  <si>
    <t>4092SPS_Hours</t>
  </si>
  <si>
    <t>4094SPS_Hours</t>
  </si>
  <si>
    <t>4101SPS_Hours</t>
  </si>
  <si>
    <t>4102SPS_Hours</t>
  </si>
  <si>
    <t>5091SPS_Hours</t>
  </si>
  <si>
    <t>5092SPS_Hours</t>
  </si>
  <si>
    <t>5101SPS_Hours</t>
  </si>
  <si>
    <t>5102SPS_Hours</t>
  </si>
  <si>
    <t>5103SPS_Hours</t>
  </si>
  <si>
    <t>6091SPS_Hours</t>
  </si>
  <si>
    <t>6093SPS_Hours</t>
  </si>
  <si>
    <t>6094SPS_Hours</t>
  </si>
  <si>
    <t>6095SPS_Hours</t>
  </si>
  <si>
    <t>6101SPS_Hours</t>
  </si>
  <si>
    <t>6102SPS_Hours</t>
  </si>
  <si>
    <t>6103SPS_Hours</t>
  </si>
  <si>
    <t>6104SPS_Hours</t>
  </si>
  <si>
    <t>6105SPS_Hours</t>
  </si>
  <si>
    <t>6106SPS_Hours</t>
  </si>
  <si>
    <t>6107SPS_Hours</t>
  </si>
  <si>
    <t>6108SPS_Hours</t>
  </si>
  <si>
    <t>6109SPS_Hours</t>
  </si>
  <si>
    <t>Modules Covering</t>
  </si>
  <si>
    <t>Module Count</t>
  </si>
  <si>
    <t>Covered</t>
  </si>
  <si>
    <t>Understanding Physical Activity and Sedentary Behaviour; Research Methods 1; Human Movement; Influences and Assessment of Physical Activity and Sedentary Behaviour; Sport and Injury Biomechanics; Secondary PE Teacher Education; Module Title; Strength and Conditioning; Behaviour Change; Working in High Performance Sport; Applied Motor Behaviour</t>
  </si>
  <si>
    <t>Research Methods 2; Professional Practice in Sport and Exercise Science 2; Secondary PE Teacher Education; Clinical Biomechanics; Strength and Conditioning; Performance Analysis in Sport</t>
  </si>
  <si>
    <t>Exercise Phys L4; Secondary PE Teacher Education; Clinical Biomechanics; Applied Professional Practice; Major Project; Psychosocial Principles of Sport and Exercise; Sport and Performance Psychology</t>
  </si>
  <si>
    <t>Secondary PE Teacher Education; Strength and Conditioning</t>
  </si>
  <si>
    <t>Secondary PE Teacher Education; Major Project</t>
  </si>
  <si>
    <t>Professional Practice; Understanding Physical Activity and Sedentary Behaviour; Research Methods 2; Physiological adaptations to exercise; Professional Practice in Sport and Exercise Science 2; Influences and Assessment of Physical Activity and Sedentary Behaviour; Secondary PE Teacher Education; Cardiovascular Physiology; Module Title; Health and Performance Nutrition; Applied Professional Practice; Major Project; Strength and Conditioning; Behaviour Change; Performance Analysis in Sport; Working in High Performance Sport</t>
  </si>
  <si>
    <t>Exercise Phys L4; Sport and Injury Biomechanics; Clinical Biomechanics; Module Title</t>
  </si>
  <si>
    <t>Human Movement; Sport and Injury Biomechanics</t>
  </si>
  <si>
    <t>Research Methods 2; Physiological adaptations to exercise; Clinical Biomechanics; Major Project; Working in High Performance Sport</t>
  </si>
  <si>
    <t>Physiological adaptations to exercise; Secondary PE Teacher Education</t>
  </si>
  <si>
    <t>Interpesronal communication</t>
  </si>
  <si>
    <t>Professional Practice; Influences and Assessment of Physical Activity and Sedentary Behaviour; Secondary PE Teacher Education; Behaviour Change; Applied Motor Behaviour</t>
  </si>
  <si>
    <t>Professional Practice; Secondary PE Teacher Education; Applied Professional Practice</t>
  </si>
  <si>
    <t>Human Movement; Physiological adaptations to exercise; Secondary PE Teacher Education; Applied Professional Practice; Major Project; Performance Analysis in Sport</t>
  </si>
  <si>
    <t>Human Movement; Secondary PE Teacher Education</t>
  </si>
  <si>
    <t>Human Movement; Professional Practice in Sport and Exercise Science 2; Secondary PE Teacher Education</t>
  </si>
  <si>
    <t>Human Movement; Performance Analysis in Sport</t>
  </si>
  <si>
    <t>Secondary PE Teacher Education; Psychosocial Principles of Sport and Exercise; Sport and Performance Psychology</t>
  </si>
  <si>
    <t>Secondary PE Teacher Education; Module Title; Applied Professional Practice; Working in High Performance Sport; Psychosocial Principles of Sport and Exercise; Sport and Performance Psychology</t>
  </si>
  <si>
    <t>Influences and Assessment of Physical Activity and Sedentary Behaviour; Applied Professional Practice</t>
  </si>
  <si>
    <t>Secondary PE Teacher Education; Applied Professional Practice</t>
  </si>
  <si>
    <t>Secondary PE Teacher Education; Applied Professional Practice; Behaviour Change</t>
  </si>
  <si>
    <t>Exercise Phys L4; Physiological adaptations to exercise; Professional Practice in Sport and Exercise Science 2; Sport and Injury Biomechanics; Exercise Metabolism; Cardiovascular Physiology; Clinical Biomechanics; Module Title; Health and Performance Nutrition; Applied Professional Practice; Major Project; Strength and Conditioning; Behaviour Change; Applied Motor Behaviour</t>
  </si>
  <si>
    <t>Understanding Physical Activity and Sedentary Behaviour; Research Methods 1; Exercise Phys L4; Research Methods 2; Physiological adaptations to exercise; Exercise Metabolism; Cardiovascular Physiology; Clinical Biomechanics; Health and Performance Nutrition; Major Project; Strength and Conditioning; Applied Motor Behaviour</t>
  </si>
  <si>
    <t>Understanding Physical Activity and Sedentary Behaviour; Research Methods 1; Human Movement; Research Methods 2; Influences and Assessment of Physical Activity and Sedentary Behaviour; Clinical Biomechanics; Strength and Conditioning; Psychosocial Principles of Sport and Exercise; Sport and Performance Psychology</t>
  </si>
  <si>
    <t>Human Movement; Physical activity and sedentary behaviour across the life course; Exercise Metabolism; Cardiovascular Physiology; Clinical Biomechanics; Module Title; Health and Performance Nutrition; Major Project</t>
  </si>
  <si>
    <t>Domian-specfic analytical skills</t>
  </si>
  <si>
    <t>Physiological adaptations to exercise; Cardiovascular Physiology; Health and Performance Nutrition; Psychosocial Principles of Sport and Exercise; Sport and Performance Psychology</t>
  </si>
  <si>
    <t>Sport and Injury Biomechanics; Physical activity and sedentary behaviour across the life course; Exercise Metabolism; Cardiovascular Physiology; Health and Performance Nutrition; Applied Professional Practice; Strength and Conditioning; Behaviour Change; Performance Analysis in Sport</t>
  </si>
  <si>
    <t>Professional Practice; Understanding Physical Activity and Sedentary Behaviour; Research Methods 1; Exercise Phys L4; Professional Practice in Sport and Exercise Science 2; Applied Professional Practice; Behaviour Change</t>
  </si>
  <si>
    <t>Professional Practice in Sport and Exercise Science 2; Behaviour Change</t>
  </si>
  <si>
    <t>Cardiovascular Physiology; Clinical Biomechanics; Health and Performance Nutrition; Applied Motor Behaviour</t>
  </si>
  <si>
    <t>Exercise Phys L4; Human Movement; Sport and Injury Biomechanics; Clinical Biomechanics; Major Project</t>
  </si>
  <si>
    <t>Physiological adaptations to exercise; Professional Practice in Sport and Exercise Science 2; Sport and Injury Biomechanics; Clinical Biomechanics; Applied Professional Practice; Performance Analysis in Sport</t>
  </si>
  <si>
    <t>Understanding Physical Activity and Sedentary Behaviour; Research Methods 1; Research Methods 2; Influences and Assessment of Physical Activity and Sedentary Behaviour; Sport and Injury Biomechanics; Clinical Biomechanics; Performance Analysis in Sport</t>
  </si>
  <si>
    <t>Sport and Injury Biomechanics; Clinical Biomechanics</t>
  </si>
  <si>
    <t>Clinical Biomechanics; Major Project; Behaviour Change</t>
  </si>
  <si>
    <t>Understanding Physical Activity and Sedentary Behaviour; Research Methods 2; Influences and Assessment of Physical Activity and Sedentary Behaviour; Secondary PE Teacher Education; Clinical Biomechanics; Module Title</t>
  </si>
  <si>
    <t>Understanding Physical Activity and Sedentary Behaviour; Research Methods 1; Exercise Phys L4; Research Methods 2; Physiological adaptations to exercise; Influences and Assessment of Physical Activity and Sedentary Behaviour; Secondary PE Teacher Education; Exercise Metabolism; Clinical Biomechanics; Applied Professional Practice; Major Project; Strength and Conditioning; Performance Analysis in Sport; Applied Motor Behaviour</t>
  </si>
  <si>
    <t>Reserch literacy</t>
  </si>
  <si>
    <t>Physiological adaptations to exercise; Physical activity and sedentary behaviour across the life course; Secondary PE Teacher Education; Exercise Metabolism; Clinical Biomechanics; Module Title; Applied Motor Behaviour</t>
  </si>
  <si>
    <t>Evidne-based practice</t>
  </si>
  <si>
    <t>Professional Practice in Sport and Exercise Science 2; Secondary PE Teacher Education; Clinical Biomechanics; Working in High Performance Sport</t>
  </si>
  <si>
    <t>Sport and Injury Biomechanics; Secondary PE Teacher Education; Module Title</t>
  </si>
  <si>
    <t>Dr Nic Robinson</t>
  </si>
  <si>
    <t>ItemSuffix</t>
  </si>
  <si>
    <t>6096SPS_Meta</t>
  </si>
  <si>
    <t>Meta</t>
  </si>
  <si>
    <t>6097SPS_Meta</t>
  </si>
  <si>
    <t>4093SPS_Meta</t>
  </si>
  <si>
    <t>5093SPS_Meta</t>
  </si>
  <si>
    <t>6052SPS_Meta</t>
  </si>
  <si>
    <t>4091SPS_Meta</t>
  </si>
  <si>
    <t>xxx</t>
  </si>
  <si>
    <t>4092SPS_Meta</t>
  </si>
  <si>
    <t>4094SPS_Meta</t>
  </si>
  <si>
    <t xml:space="preserve">Professional Practice </t>
  </si>
  <si>
    <t>4101SPS_Meta</t>
  </si>
  <si>
    <t>4102SPS_Meta</t>
  </si>
  <si>
    <t>5091SPS_Meta</t>
  </si>
  <si>
    <t>5092SPS_Meta</t>
  </si>
  <si>
    <t>5101SPS_Meta</t>
  </si>
  <si>
    <t>5102SPS_Meta</t>
  </si>
  <si>
    <t>5103SPS_Meta</t>
  </si>
  <si>
    <t>6091SPS_Meta</t>
  </si>
  <si>
    <t>6093SPS_Meta</t>
  </si>
  <si>
    <t>6094SPS_Meta</t>
  </si>
  <si>
    <t>6095SPS_Meta</t>
  </si>
  <si>
    <t>6101SPS_Meta</t>
  </si>
  <si>
    <t>6102SPS_Meta</t>
  </si>
  <si>
    <t>6103SPS_Meta</t>
  </si>
  <si>
    <t>6104SPS_Meta</t>
  </si>
  <si>
    <t>6105SPS_Meta</t>
  </si>
  <si>
    <t>6106SPS_Meta</t>
  </si>
  <si>
    <t>6107SPS_Meta</t>
  </si>
  <si>
    <t>6108SPS_Meta</t>
  </si>
  <si>
    <t>6109SPS_Meta</t>
  </si>
  <si>
    <t>4101SPS_Mapping</t>
  </si>
  <si>
    <t>Mapping</t>
  </si>
  <si>
    <t>4102SPS_Mapping</t>
  </si>
  <si>
    <t>4091SPS_Mapping</t>
  </si>
  <si>
    <t>4092SPS_Mapping</t>
  </si>
  <si>
    <t>4094SPS_Mapping</t>
  </si>
  <si>
    <t>5091SPS_Mapping</t>
  </si>
  <si>
    <t>5092SPS_Mapping</t>
  </si>
  <si>
    <t>5101SPS_Mapping</t>
  </si>
  <si>
    <t>5102SPS_Mapping</t>
  </si>
  <si>
    <t>5103SPS_Mapping</t>
  </si>
  <si>
    <t>6101SPS_Mapping</t>
  </si>
  <si>
    <t>6102SPS_Mapping</t>
  </si>
  <si>
    <t>6096SPS_Mapping</t>
  </si>
  <si>
    <t>6103SPS_Mapping</t>
  </si>
  <si>
    <t>6104SPS_Mapping</t>
  </si>
  <si>
    <t>6105SPS_Mapping</t>
  </si>
  <si>
    <t>6106SPS_Mapping</t>
  </si>
  <si>
    <t>6108SPS_Mapping</t>
  </si>
  <si>
    <t>6109SPS_Mapping</t>
  </si>
  <si>
    <t>6091SPS_Mapping</t>
  </si>
  <si>
    <t>6093SPS_Mapping</t>
  </si>
  <si>
    <t>6094SPS_Mapping</t>
  </si>
  <si>
    <t>6095SPS_Mapping</t>
  </si>
  <si>
    <t>6097SPS_Mapping</t>
  </si>
  <si>
    <t>4093SPS_Mapping</t>
  </si>
  <si>
    <t>5093SPS_Mapping</t>
  </si>
  <si>
    <t>6052SPS_Mapping</t>
  </si>
  <si>
    <t>Hours</t>
  </si>
  <si>
    <t>4101SPS_Assess</t>
  </si>
  <si>
    <t>Assess</t>
  </si>
  <si>
    <t>In-person test</t>
  </si>
  <si>
    <t>4102SPS_Assess</t>
  </si>
  <si>
    <t>Group narrated (recorded) presentation</t>
  </si>
  <si>
    <t>4091SPS_Assess</t>
  </si>
  <si>
    <t>Online exam with multiple-choice, fill in the gap or true/false questions. The questions are based around the remaining content (after 4 weeks) of the module. Practice questions will be available on Canvas.</t>
  </si>
  <si>
    <t>4092SPS_Assess</t>
  </si>
  <si>
    <t>4094SPS_Assess</t>
  </si>
  <si>
    <t>Group presentation demonstrating analysis of mixed-methods data</t>
  </si>
  <si>
    <t>5091SPS_Assess</t>
  </si>
  <si>
    <t>Research Proposal outlining a feasible study to undertake at L6</t>
  </si>
  <si>
    <t>Using the experimental data provided and an AI-generated draft report, students will produce a scientific laboratory report that analyses and evaluates the physiological effects of exercise training</t>
  </si>
  <si>
    <t>5092SPS_Assess</t>
  </si>
  <si>
    <t>5101SPS_Assess</t>
  </si>
  <si>
    <t>30-minute group presentation – Analyse the factors that influence physical activity sedentary behaviour, and sleep in a specific population subgroup (e.g., young children, children, adolescents, adults, older adults).</t>
  </si>
  <si>
    <t>5102SPS_Assess</t>
  </si>
  <si>
    <t>PART 1 – Individual practical: Perform a brief assessment of physical activity with a client (research participant) and give accurate feedback and appropriate recommendations. PART 2 - Viva: Analyse the strengths and limitations and provide recommendations for a proposed measurement approach in a given research scenario .</t>
  </si>
  <si>
    <t xml:space="preserve">Porfoiolo of biomechanical analysis reports to a 'Performance Director', linked to taught labs </t>
  </si>
  <si>
    <t>5103SPS_Assess</t>
  </si>
  <si>
    <t>Group lesson plan and delivery of lesson</t>
  </si>
  <si>
    <t>6096SPS_Assess</t>
  </si>
  <si>
    <t>Individual essay critically evaluating a current trend in secondary PE</t>
  </si>
  <si>
    <t>6101SPS_Assess</t>
  </si>
  <si>
    <t xml:space="preserve">Three mini essays: Critical discussions. </t>
  </si>
  <si>
    <t>6102SPS_Assess</t>
  </si>
  <si>
    <t>6103SPS_Assess</t>
  </si>
  <si>
    <t>Case-study presentation of CPET data collected during lab practicals + viva</t>
  </si>
  <si>
    <t>6104SPS_Assess</t>
  </si>
  <si>
    <t>6105SPS_Assess</t>
  </si>
  <si>
    <t>The Conversation' style article and accompanying infographic</t>
  </si>
  <si>
    <t>6106SPS_Assess</t>
  </si>
  <si>
    <t>Patient Education Session</t>
  </si>
  <si>
    <t>15-min group presentation</t>
  </si>
  <si>
    <t>6107SPS_Assess</t>
  </si>
  <si>
    <t xml:space="preserve">2-h exam </t>
  </si>
  <si>
    <t>6108SPS_Assess</t>
  </si>
  <si>
    <t>6109SPS_Assess</t>
  </si>
  <si>
    <t>Students are required to submit a thesis that describes and reports the major project that they conducted using the scientific method, e.g., Introduction, Methods, Results and Discussion. This could be in the format of an Empirical type project or a Systeamtic Review type project.</t>
  </si>
  <si>
    <t>6091SPS_Assess</t>
  </si>
  <si>
    <t>10 minute pre-recorded needs analysis presentation</t>
  </si>
  <si>
    <t>6093SPS_Assess</t>
  </si>
  <si>
    <t>Training Programme and Viva Defence</t>
  </si>
  <si>
    <t>6094SPS_Assess</t>
  </si>
  <si>
    <t>6095SPS_Assess</t>
  </si>
  <si>
    <t>Group podcast (15 minutes). "Inside the Performance Environment". Groups act as the senior interdisciplinary team of a named high-performance organisation, such as an NGB World Class Programme, a Category 1 academy or a performance institute. They record a podcast on a real performance problem. Examples:
An athlete stalling at the transition from pathway to podium.
A squad with a rising burnout risk.
A cut in UK Sport funding.
Each student takes a senior role, such as Performance Director, Head of Sport Science, Academy Manager or Lead Coach. They explain how their role sees the problem and what it contributes. Together, the group then agrees an interdisciplinary performance solution. This keeps the collaborative, problem-based format students rate highly. It also brings in the new content: organisational structures, roles and competencies, leadership, communication and conflict, and welfare or ethical limits on the solution.</t>
  </si>
  <si>
    <t>6097SPS_Assess</t>
  </si>
  <si>
    <t>Annual performance plan . Write an evidence-based annual plan for an athlete or team in that setting. Cover periodisation, monitoring and evaluation, and interdisciplinary justification. Add a short section on how the plan would be led and managed: who owns each part, how the team works together and communicates with stakeholders, and any welfare, safeguarding or anti-doping considerations.</t>
  </si>
  <si>
    <t xml:space="preserve">60 minute and 50 question MCT to cover material delivered during weeks 1-6 of the module. </t>
  </si>
  <si>
    <t>Week 8</t>
  </si>
  <si>
    <t>4093SPS_Assess</t>
  </si>
  <si>
    <t>60 minute and 50 question MCT to cover material delivered during weeks 8-12 of the module. </t>
  </si>
  <si>
    <t>January Assessment Weeks</t>
  </si>
  <si>
    <t>In-class video observation and short-answer questions</t>
  </si>
  <si>
    <t>5093SPS_Assess</t>
  </si>
  <si>
    <t>In-class short- and multi-choice answer questions</t>
  </si>
  <si>
    <t>13-14</t>
  </si>
  <si>
    <t>Individually-written report on motor learning protocols followed by viva</t>
  </si>
  <si>
    <t>6052SPS_Assess</t>
  </si>
  <si>
    <t>Interpret statistical outputs to independently produce a summary of key findings, followed by discussion that considers findings relative to research and conceptual/theoretical perspectives</t>
  </si>
  <si>
    <t>4091SPS_LO</t>
  </si>
  <si>
    <t>LO</t>
  </si>
  <si>
    <t>4092SPS_LO</t>
  </si>
  <si>
    <t xml:space="preserve">Outline the importance of psychology, sociology and psychosocial principles in sport and exercise. </t>
  </si>
  <si>
    <t>4093SPS_LO</t>
  </si>
  <si>
    <t>Explain how psychological factors influence behaviour, performance and participation in sport and exercise</t>
  </si>
  <si>
    <t>Describe how social, cultural, and structural factors influence participation, behaviour and experiences in sport and exercise</t>
  </si>
  <si>
    <t>4094SPS_LO</t>
  </si>
  <si>
    <t>4101SPS_LO</t>
  </si>
  <si>
    <t>4102SPS_LO</t>
  </si>
  <si>
    <t>5091SPS_LO</t>
  </si>
  <si>
    <t>5092SPS_LO</t>
  </si>
  <si>
    <t>Evaluate individual and environmental psychological principles associated with sport performance.</t>
  </si>
  <si>
    <t>5093SPS_LO</t>
  </si>
  <si>
    <t>Evaluate the identification and development of perceptual-cognitive expertise within sport.</t>
  </si>
  <si>
    <t>5101SPS_LO</t>
  </si>
  <si>
    <t>5102SPS_LO</t>
  </si>
  <si>
    <t>5103SPS_LO</t>
  </si>
  <si>
    <t>Critically evaluate protocols, research findings, and models of motor learning in sport, exercise and health</t>
  </si>
  <si>
    <t>6052SPS_LO</t>
  </si>
  <si>
    <t>Critically evaluate and integrate research findings, perspectives and models of interceptive actions in sport, exercise and health</t>
  </si>
  <si>
    <t>Apply quantitative research skills to understanding applied motor behaviour</t>
  </si>
  <si>
    <t>6091SPS_LO</t>
  </si>
  <si>
    <t>6093SPS_LO</t>
  </si>
  <si>
    <t>6094SPS_LO</t>
  </si>
  <si>
    <t>6095SPS_LO</t>
  </si>
  <si>
    <t>Critically analyse the structure, content, and delivery of the secondary Physical Education curriculum and the role of the PE teacher in facilitating effective learning</t>
  </si>
  <si>
    <t>6096SPS_LO</t>
  </si>
  <si>
    <t>Apply and evaluate pedagogical teaching and learning stratagies within a secondary Physical Education setting</t>
  </si>
  <si>
    <t>Critically evaluate the provision and processes that underpin Physical Education for learners within the 14-19 curriculum</t>
  </si>
  <si>
    <t xml:space="preserve">Critically evaluate the structures, governance and leadership models of high-performance sport organisations in the UK (e.g. UK Sport, NGBs, professional academies, performance institutes). </t>
  </si>
  <si>
    <t>6097SPS_LO</t>
  </si>
  <si>
    <t xml:space="preserve">Synthesise interdisciplinary sport science and coaching knowledge (physiology, psychology, biomechanics, performance analysis) to design and justify a holistic performance support strategy for an elite athlete or team. </t>
  </si>
  <si>
    <t xml:space="preserve">Evaluate the evidence base underpinning performance planning, talent development and periodisation within real-world high-performance environments. </t>
  </si>
  <si>
    <t>6101SPS_LO</t>
  </si>
  <si>
    <t>6102SPS_LO</t>
  </si>
  <si>
    <t>6103SPS_LO</t>
  </si>
  <si>
    <t>Critically evaluate the diagnostic and prognostic ability of various cardiovascular and exercise physiology assessment tools employed in clinical or research practice</t>
  </si>
  <si>
    <t>6104SPS_LO</t>
  </si>
  <si>
    <t>Analyse and interpret results from cardiovascular and clinical exercise assessments.</t>
  </si>
  <si>
    <t>Critically evaluate the pathophysiology of cardiovascular conditions, their impact on exercise response and how exercise can be used to treat conditions.</t>
  </si>
  <si>
    <t>6105SPS_LO</t>
  </si>
  <si>
    <t>6106SPS_LO</t>
  </si>
  <si>
    <t>6107SPS_LO</t>
  </si>
  <si>
    <t>6108SPS_LO</t>
  </si>
  <si>
    <t>6109SPS_LO</t>
  </si>
  <si>
    <t>Cycling Evaluation</t>
  </si>
  <si>
    <t>Formative feedback takes places through lab sessions, seminars and lectures where practical skills are refined, interpretations explained and reporting discussed to ensure a thorough understanding of the reports required.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</si>
</sst>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3">
    <font>
      <sz val="11"/>
      <color theme="1"/>
      <name val="Aptos Narrow"/>
      <family val="2"/>
      <scheme val="minor"/>
    </font>
    <font>
      <b/>
      <sz val="11"/>
      <color theme="1"/>
      <name val="Aptos Narrow"/>
      <family val="2"/>
      <scheme val="minor"/>
    </font>
    <font>
      <sz val="8"/>
      <name val="Aptos Narrow"/>
      <family val="2"/>
      <scheme val="minor"/>
    </font>
    <font>
      <b/>
      <sz val="14"/>
      <color theme="1"/>
      <name val="Aptos Narrow"/>
      <family val="2"/>
      <scheme val="minor"/>
    </font>
    <font>
      <b/>
      <sz val="20"/>
      <color theme="1"/>
      <name val="Aptos Narrow"/>
      <family val="2"/>
      <scheme val="minor"/>
    </font>
    <font>
      <b/>
      <sz val="11"/>
      <color theme="0"/>
      <name val="Aptos Narrow"/>
      <family val="2"/>
      <scheme val="minor"/>
    </font>
    <font>
      <i/>
      <sz val="12"/>
      <color theme="1"/>
      <name val="Aptos Narrow"/>
      <family val="2"/>
    </font>
    <font>
      <sz val="12"/>
      <color rgb="FF000000"/>
      <name val="Arial"/>
      <family val="2"/>
    </font>
    <font>
      <sz val="12"/>
      <color rgb="FF000000"/>
      <name val="Calibri"/>
      <family val="2"/>
      <charset val="1"/>
    </font>
    <font>
      <sz val="12"/>
      <color theme="1"/>
      <name val="Calibri"/>
      <family val="2"/>
      <charset val="1"/>
    </font>
    <font>
      <sz val="11"/>
      <color theme="1"/>
      <name val="Calibri"/>
      <family val="2"/>
      <charset val="1"/>
    </font>
    <font>
      <sz val="12"/>
      <name val="Arial"/>
      <family val="2"/>
      <charset val="1"/>
    </font>
    <font>
      <sz val="11"/>
      <color theme="1"/>
      <name val="Aptos Narrow"/>
      <family val="2"/>
      <scheme val="minor"/>
    </font>
    <font>
      <sz val="11"/>
      <color rgb="FF525252"/>
      <name val="Roboto"/>
      <family val="2"/>
      <charset val="1"/>
    </font>
    <font>
      <sz val="10"/>
      <color rgb="FF525252"/>
      <name val="Roboto"/>
    </font>
    <font>
      <sz val="11"/>
      <color rgb="FF011A42"/>
      <name val="Arial"/>
      <family val="2"/>
    </font>
    <font>
      <sz val="11"/>
      <color rgb="FF000000"/>
      <name val="Aptos Narrow"/>
      <family val="2"/>
      <scheme val="minor"/>
    </font>
    <font>
      <b/>
      <sz val="11"/>
      <color rgb="FF000000"/>
      <name val="Aptos Narrow"/>
      <family val="2"/>
      <scheme val="minor"/>
    </font>
    <font>
      <sz val="11"/>
      <color rgb="FF000000"/>
      <name val="Aptos Narrow"/>
      <family val="2"/>
    </font>
    <font>
      <b/>
      <sz val="11"/>
      <color rgb="FF000000"/>
      <name val="Aptos Narrow"/>
      <family val="2"/>
    </font>
    <font>
      <sz val="12"/>
      <color rgb="FF000000"/>
      <name val="Aptos"/>
      <family val="2"/>
      <charset val="1"/>
    </font>
    <font>
      <b/>
      <sz val="11"/>
      <color rgb="FF242424"/>
      <name val="Yu Gothic"/>
      <family val="2"/>
    </font>
    <font>
      <sz val="11"/>
      <color rgb="FF000000"/>
      <name val="Calibri"/>
      <family val="2"/>
      <charset val="1"/>
    </font>
    <font>
      <sz val="11"/>
      <color rgb="FF232C38"/>
      <name val="Aptos Narrow"/>
      <family val="2"/>
      <scheme val="minor"/>
    </font>
    <font>
      <b/>
      <sz val="11"/>
      <color rgb="FF232C38"/>
      <name val="Aptos Narrow"/>
      <family val="2"/>
      <scheme val="minor"/>
    </font>
    <font>
      <b/>
      <sz val="11"/>
      <color rgb="FFFFFFFF"/>
      <name val="Aptos Narrow"/>
      <family val="2"/>
      <scheme val="minor"/>
    </font>
    <font>
      <sz val="12"/>
      <color theme="1"/>
      <name val="Times New Roman"/>
      <family val="1"/>
      <charset val="1"/>
    </font>
    <font>
      <sz val="11"/>
      <color rgb="FF242424"/>
      <name val="Aptos Narrow"/>
      <family val="2"/>
    </font>
    <font>
      <b/>
      <sz val="12"/>
      <color rgb="FF000000"/>
      <name val="Arial"/>
      <family val="2"/>
      <charset val="1"/>
    </font>
    <font>
      <sz val="12"/>
      <color theme="1"/>
      <name val="Arial"/>
      <family val="2"/>
      <charset val="1"/>
    </font>
    <font>
      <sz val="10"/>
      <color theme="1"/>
      <name val="Helvetica Neue"/>
      <family val="2"/>
    </font>
    <font>
      <sz val="11"/>
      <color theme="1"/>
      <name val="Arial"/>
      <family val="2"/>
      <charset val="1"/>
    </font>
    <font>
      <sz val="9"/>
      <color theme="1"/>
      <name val="Verdana"/>
      <family val="2"/>
      <charset val="1"/>
    </font>
    <font>
      <sz val="11"/>
      <color rgb="FF000000"/>
      <name val="Aptos Narrow"/>
    </font>
    <font>
      <i/>
      <sz val="11"/>
      <color rgb="FF000000"/>
      <name val="Aptos Narrow"/>
    </font>
    <font>
      <b/>
      <sz val="10"/>
      <color rgb="FFFF0000"/>
      <name val="Arial"/>
      <family val="2"/>
    </font>
    <font>
      <sz val="11"/>
      <color rgb="FF000000"/>
      <name val="Calibri"/>
      <family val="2"/>
    </font>
    <font>
      <b/>
      <sz val="11"/>
      <color rgb="FF000000"/>
      <name val="Calibri"/>
      <family val="2"/>
    </font>
    <font>
      <b/>
      <sz val="11"/>
      <color rgb="FF000000"/>
      <name val="Aptos Narrow"/>
      <scheme val="minor"/>
    </font>
    <font>
      <sz val="11"/>
      <color rgb="FF000000"/>
      <name val="Aptos Narrow"/>
      <scheme val="minor"/>
    </font>
    <font>
      <sz val="12"/>
      <color theme="1"/>
      <name val="Aptos"/>
      <family val="2"/>
      <charset val="1"/>
    </font>
    <font>
      <sz val="11"/>
      <color rgb="FF000000"/>
      <name val="Aptos Narrow"/>
      <charset val="1"/>
    </font>
    <font>
      <sz val="11"/>
      <color rgb="FF242424"/>
      <name val="Aptos Narrow"/>
      <charset val="1"/>
    </font>
  </fonts>
  <fills count="10">
    <fill>
      <patternFill patternType="none"/>
    </fill>
    <fill>
      <patternFill patternType="gray125"/>
    </fill>
    <fill>
      <patternFill patternType="solid">
        <fgColor theme="4" tint="0.79998168889431442"/>
        <bgColor theme="4" tint="0.79998168889431442"/>
      </patternFill>
    </fill>
    <fill>
      <patternFill patternType="solid">
        <fgColor theme="4"/>
        <bgColor theme="4"/>
      </patternFill>
    </fill>
    <fill>
      <patternFill patternType="solid">
        <fgColor theme="0" tint="-0.14999847407452621"/>
        <bgColor indexed="64"/>
      </patternFill>
    </fill>
    <fill>
      <patternFill patternType="solid">
        <fgColor theme="5" tint="0.79998168889431442"/>
        <bgColor theme="5" tint="0.79998168889431442"/>
      </patternFill>
    </fill>
    <fill>
      <patternFill patternType="solid">
        <fgColor rgb="FFFFFFFF"/>
        <bgColor indexed="64"/>
      </patternFill>
    </fill>
    <fill>
      <patternFill patternType="solid">
        <fgColor rgb="FF4EA72E"/>
        <bgColor rgb="FF4EA72E"/>
      </patternFill>
    </fill>
    <fill>
      <patternFill patternType="solid">
        <fgColor rgb="FFDAF2D0"/>
        <bgColor rgb="FFDAF2D0"/>
      </patternFill>
    </fill>
    <fill>
      <patternFill patternType="solid">
        <fgColor rgb="FFFFFF00"/>
        <bgColor indexed="64"/>
      </patternFill>
    </fill>
  </fills>
  <borders count="13">
    <border>
      <left/>
      <right/>
      <top/>
      <bottom/>
      <diagonal/>
    </border>
    <border>
      <left style="thin">
        <color theme="4" tint="0.39997558519241921"/>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theme="4" tint="0.39997558519241921"/>
      </right>
      <top style="thin">
        <color theme="4" tint="0.39997558519241921"/>
      </top>
      <bottom/>
      <diagonal/>
    </border>
    <border>
      <left style="thin">
        <color theme="5" tint="0.39997558519241921"/>
      </left>
      <right/>
      <top style="thin">
        <color theme="5" tint="0.39997558519241921"/>
      </top>
      <bottom style="thin">
        <color theme="5" tint="0.39997558519241921"/>
      </bottom>
      <diagonal/>
    </border>
    <border>
      <left style="thin">
        <color indexed="64"/>
      </left>
      <right style="thin">
        <color indexed="64"/>
      </right>
      <top style="thin">
        <color indexed="64"/>
      </top>
      <bottom style="thin">
        <color indexed="64"/>
      </bottom>
      <diagonal/>
    </border>
    <border>
      <left style="thin">
        <color rgb="FF8ED973"/>
      </left>
      <right/>
      <top style="thin">
        <color rgb="FF8ED973"/>
      </top>
      <bottom style="thin">
        <color rgb="FF8ED973"/>
      </bottom>
      <diagonal/>
    </border>
    <border>
      <left/>
      <right/>
      <top style="thin">
        <color rgb="FF8ED973"/>
      </top>
      <bottom style="thin">
        <color rgb="FF8ED973"/>
      </bottom>
      <diagonal/>
    </border>
    <border>
      <left/>
      <right style="thin">
        <color rgb="FF8ED973"/>
      </right>
      <top style="thin">
        <color rgb="FF8ED973"/>
      </top>
      <bottom style="thin">
        <color rgb="FF8ED973"/>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right style="thin">
        <color rgb="FF000000"/>
      </right>
      <top/>
      <bottom/>
      <diagonal/>
    </border>
  </borders>
  <cellStyleXfs count="1">
    <xf numFmtId="0" fontId="0" fillId="0" borderId="0"/>
  </cellStyleXfs>
  <cellXfs count="105">
    <xf numFmtId="0" fontId="0" fillId="0" borderId="0" xfId="0"/>
    <xf numFmtId="0" fontId="1" fillId="0" borderId="0" xfId="0" applyFont="1" applyAlignment="1">
      <alignment horizontal="center" vertical="center" wrapText="1"/>
    </xf>
    <xf numFmtId="0" fontId="0" fillId="0" borderId="0" xfId="0" applyAlignment="1">
      <alignment vertical="center" wrapText="1"/>
    </xf>
    <xf numFmtId="0" fontId="1" fillId="0" borderId="0" xfId="0" applyFont="1" applyAlignment="1">
      <alignment horizontal="left" vertical="center" wrapText="1"/>
    </xf>
    <xf numFmtId="0" fontId="0" fillId="0" borderId="0" xfId="0" applyAlignment="1">
      <alignment horizontal="left" vertical="center" wrapText="1"/>
    </xf>
    <xf numFmtId="0" fontId="3" fillId="0" borderId="0" xfId="0" applyFont="1" applyAlignment="1">
      <alignment vertical="center" wrapText="1"/>
    </xf>
    <xf numFmtId="0" fontId="1" fillId="0" borderId="0" xfId="0" applyFont="1"/>
    <xf numFmtId="0" fontId="0" fillId="0" borderId="0" xfId="0" applyAlignment="1">
      <alignment horizontal="center"/>
    </xf>
    <xf numFmtId="0" fontId="6" fillId="0" borderId="0" xfId="0" applyFont="1"/>
    <xf numFmtId="0" fontId="4" fillId="4" borderId="0" xfId="0" applyFont="1" applyFill="1"/>
    <xf numFmtId="0" fontId="0" fillId="0" borderId="0" xfId="0" applyAlignment="1" applyProtection="1">
      <alignment horizontal="left" vertical="center" wrapText="1"/>
      <protection locked="0"/>
    </xf>
    <xf numFmtId="0" fontId="0" fillId="0" borderId="0" xfId="0" applyAlignment="1" applyProtection="1">
      <alignment horizontal="center" vertical="center" wrapText="1"/>
      <protection locked="0"/>
    </xf>
    <xf numFmtId="9" fontId="0" fillId="0" borderId="0" xfId="0" applyNumberFormat="1" applyAlignment="1" applyProtection="1">
      <alignment horizontal="left" vertical="center" wrapText="1"/>
      <protection locked="0"/>
    </xf>
    <xf numFmtId="0" fontId="0" fillId="0" borderId="0" xfId="0" applyProtection="1">
      <protection locked="0"/>
    </xf>
    <xf numFmtId="0" fontId="1" fillId="0" borderId="0" xfId="0" applyFont="1" applyProtection="1">
      <protection locked="0"/>
    </xf>
    <xf numFmtId="0" fontId="7" fillId="0" borderId="0" xfId="0" applyFont="1" applyProtection="1">
      <protection locked="0"/>
    </xf>
    <xf numFmtId="0" fontId="8" fillId="0" borderId="0" xfId="0" applyFont="1" applyAlignment="1" applyProtection="1">
      <alignment wrapText="1"/>
      <protection locked="0"/>
    </xf>
    <xf numFmtId="0" fontId="9" fillId="0" borderId="0" xfId="0" applyFont="1" applyAlignment="1" applyProtection="1">
      <alignment wrapText="1"/>
      <protection locked="0"/>
    </xf>
    <xf numFmtId="0" fontId="10" fillId="0" borderId="0" xfId="0" applyFont="1" applyProtection="1">
      <protection locked="0"/>
    </xf>
    <xf numFmtId="0" fontId="11" fillId="0" borderId="0" xfId="0" applyFont="1" applyAlignment="1" applyProtection="1">
      <alignment wrapText="1"/>
      <protection locked="0"/>
    </xf>
    <xf numFmtId="0" fontId="0" fillId="0" borderId="0" xfId="0" applyAlignment="1" applyProtection="1">
      <alignment wrapText="1"/>
      <protection locked="0"/>
    </xf>
    <xf numFmtId="0" fontId="13" fillId="0" borderId="0" xfId="0" applyFont="1" applyAlignment="1" applyProtection="1">
      <alignment wrapText="1"/>
      <protection locked="0"/>
    </xf>
    <xf numFmtId="0" fontId="14" fillId="0" borderId="0" xfId="0" applyFont="1" applyAlignment="1" applyProtection="1">
      <alignment wrapText="1"/>
      <protection locked="0"/>
    </xf>
    <xf numFmtId="0" fontId="15" fillId="0" borderId="0" xfId="0" applyFont="1" applyAlignment="1" applyProtection="1">
      <alignment wrapText="1"/>
      <protection locked="0"/>
    </xf>
    <xf numFmtId="0" fontId="18" fillId="0" borderId="0" xfId="0" applyFont="1" applyAlignment="1" applyProtection="1">
      <alignment wrapText="1"/>
      <protection locked="0"/>
    </xf>
    <xf numFmtId="0" fontId="20" fillId="0" borderId="0" xfId="0" applyFont="1" applyAlignment="1" applyProtection="1">
      <alignment wrapText="1"/>
      <protection locked="0"/>
    </xf>
    <xf numFmtId="0" fontId="1" fillId="5" borderId="5" xfId="0" applyFont="1" applyFill="1" applyBorder="1" applyProtection="1">
      <protection locked="0"/>
    </xf>
    <xf numFmtId="0" fontId="1" fillId="0" borderId="5" xfId="0" applyFont="1" applyBorder="1" applyProtection="1">
      <protection locked="0"/>
    </xf>
    <xf numFmtId="0" fontId="21" fillId="0" borderId="0" xfId="0" applyFont="1" applyProtection="1">
      <protection locked="0"/>
    </xf>
    <xf numFmtId="0" fontId="22" fillId="0" borderId="0" xfId="0" applyFont="1" applyProtection="1">
      <protection locked="0"/>
    </xf>
    <xf numFmtId="0" fontId="16" fillId="0" borderId="0" xfId="0" applyFont="1" applyAlignment="1" applyProtection="1">
      <alignment wrapText="1"/>
      <protection locked="0"/>
    </xf>
    <xf numFmtId="0" fontId="12" fillId="0" borderId="0" xfId="0" applyFont="1" applyAlignment="1" applyProtection="1">
      <alignment wrapText="1"/>
      <protection locked="0"/>
    </xf>
    <xf numFmtId="0" fontId="12" fillId="0" borderId="6" xfId="0" applyFont="1" applyBorder="1" applyAlignment="1" applyProtection="1">
      <alignment wrapText="1"/>
      <protection locked="0"/>
    </xf>
    <xf numFmtId="0" fontId="16" fillId="0" borderId="0" xfId="0" applyFont="1" applyProtection="1">
      <protection locked="0"/>
    </xf>
    <xf numFmtId="0" fontId="16" fillId="6" borderId="0" xfId="0" applyFont="1" applyFill="1" applyAlignment="1" applyProtection="1">
      <alignment wrapText="1"/>
      <protection locked="0"/>
    </xf>
    <xf numFmtId="0" fontId="16" fillId="0" borderId="0" xfId="0" applyFont="1" applyAlignment="1" applyProtection="1">
      <alignment horizontal="left" vertical="center" wrapText="1"/>
      <protection locked="0"/>
    </xf>
    <xf numFmtId="0" fontId="0" fillId="0" borderId="0" xfId="0" quotePrefix="1" applyAlignment="1" applyProtection="1">
      <alignment horizontal="left" vertical="center" wrapText="1"/>
      <protection locked="0"/>
    </xf>
    <xf numFmtId="0" fontId="0" fillId="0" borderId="0" xfId="0" applyAlignment="1" applyProtection="1">
      <alignment vertical="top" wrapText="1"/>
      <protection locked="0"/>
    </xf>
    <xf numFmtId="0" fontId="23" fillId="0" borderId="0" xfId="0" applyFont="1" applyAlignment="1" applyProtection="1">
      <alignment wrapText="1"/>
      <protection locked="0"/>
    </xf>
    <xf numFmtId="0" fontId="23" fillId="0" borderId="0" xfId="0" applyFont="1" applyAlignment="1" applyProtection="1">
      <alignment vertical="center" wrapText="1"/>
      <protection locked="0"/>
    </xf>
    <xf numFmtId="0" fontId="0" fillId="0" borderId="0" xfId="0" applyAlignment="1" applyProtection="1">
      <alignment vertical="center"/>
      <protection locked="0"/>
    </xf>
    <xf numFmtId="0" fontId="0" fillId="0" borderId="0" xfId="0" applyAlignment="1" applyProtection="1">
      <alignment vertical="center" wrapText="1"/>
      <protection locked="0"/>
    </xf>
    <xf numFmtId="0" fontId="23" fillId="0" borderId="0" xfId="0" applyFont="1" applyAlignment="1" applyProtection="1">
      <alignment vertical="center"/>
      <protection locked="0"/>
    </xf>
    <xf numFmtId="0" fontId="24" fillId="0" borderId="0" xfId="0" applyFont="1" applyProtection="1">
      <protection locked="0"/>
    </xf>
    <xf numFmtId="0" fontId="18" fillId="0" borderId="0" xfId="0" applyFont="1" applyProtection="1">
      <protection locked="0"/>
    </xf>
    <xf numFmtId="0" fontId="25" fillId="7" borderId="7" xfId="0" applyFont="1" applyFill="1" applyBorder="1"/>
    <xf numFmtId="0" fontId="25" fillId="7" borderId="8" xfId="0" applyFont="1" applyFill="1" applyBorder="1"/>
    <xf numFmtId="0" fontId="25" fillId="7" borderId="9" xfId="0" applyFont="1" applyFill="1" applyBorder="1"/>
    <xf numFmtId="0" fontId="0" fillId="0" borderId="0" xfId="0" pivotButton="1"/>
    <xf numFmtId="0" fontId="0" fillId="0" borderId="0" xfId="0" applyAlignment="1">
      <alignment horizontal="left"/>
    </xf>
    <xf numFmtId="0" fontId="0" fillId="0" borderId="0" xfId="0" applyAlignment="1">
      <alignment horizontal="left" indent="1"/>
    </xf>
    <xf numFmtId="0" fontId="26" fillId="0" borderId="0" xfId="0" applyFont="1" applyAlignment="1" applyProtection="1">
      <alignment wrapText="1"/>
      <protection locked="0"/>
    </xf>
    <xf numFmtId="0" fontId="27" fillId="0" borderId="0" xfId="0" applyFont="1" applyAlignment="1" applyProtection="1">
      <alignment horizontal="left" vertical="center" wrapText="1"/>
      <protection locked="0"/>
    </xf>
    <xf numFmtId="0" fontId="26" fillId="0" borderId="0" xfId="0" applyFont="1" applyAlignment="1" applyProtection="1">
      <alignment horizontal="left" vertical="center" wrapText="1"/>
      <protection locked="0"/>
    </xf>
    <xf numFmtId="0" fontId="28" fillId="0" borderId="0" xfId="0" applyFont="1" applyAlignment="1" applyProtection="1">
      <alignment wrapText="1"/>
      <protection locked="0"/>
    </xf>
    <xf numFmtId="0" fontId="29" fillId="0" borderId="0" xfId="0" applyFont="1" applyProtection="1">
      <protection locked="0"/>
    </xf>
    <xf numFmtId="0" fontId="19" fillId="0" borderId="0" xfId="0" applyFont="1" applyAlignment="1" applyProtection="1">
      <alignment wrapText="1"/>
      <protection locked="0"/>
    </xf>
    <xf numFmtId="0" fontId="16" fillId="8" borderId="7" xfId="0" applyFont="1" applyFill="1" applyBorder="1"/>
    <xf numFmtId="0" fontId="16" fillId="8" borderId="8" xfId="0" applyFont="1" applyFill="1" applyBorder="1"/>
    <xf numFmtId="0" fontId="16" fillId="8" borderId="9" xfId="0" applyFont="1" applyFill="1" applyBorder="1"/>
    <xf numFmtId="0" fontId="16" fillId="0" borderId="7" xfId="0" applyFont="1" applyBorder="1"/>
    <xf numFmtId="0" fontId="16" fillId="0" borderId="8" xfId="0" applyFont="1" applyBorder="1"/>
    <xf numFmtId="0" fontId="16" fillId="0" borderId="9" xfId="0" applyFont="1" applyBorder="1"/>
    <xf numFmtId="0" fontId="1" fillId="0" borderId="0" xfId="0" applyFont="1" applyAlignment="1" applyProtection="1">
      <alignment horizontal="left" vertical="center" wrapText="1"/>
      <protection locked="0"/>
    </xf>
    <xf numFmtId="0" fontId="0" fillId="0" borderId="0" xfId="0" applyAlignment="1" applyProtection="1">
      <alignment horizontal="center"/>
      <protection locked="0"/>
    </xf>
    <xf numFmtId="0" fontId="1" fillId="0" borderId="0" xfId="0" applyFont="1" applyAlignment="1" applyProtection="1">
      <alignment horizontal="center" vertical="center" wrapText="1"/>
      <protection locked="0"/>
    </xf>
    <xf numFmtId="0" fontId="31" fillId="0" borderId="0" xfId="0" applyFont="1" applyProtection="1">
      <protection locked="0"/>
    </xf>
    <xf numFmtId="0" fontId="30" fillId="0" borderId="0" xfId="0" applyFont="1" applyProtection="1">
      <protection locked="0"/>
    </xf>
    <xf numFmtId="0" fontId="30" fillId="0" borderId="0" xfId="0" applyFont="1" applyAlignment="1" applyProtection="1">
      <alignment wrapText="1"/>
      <protection locked="0"/>
    </xf>
    <xf numFmtId="0" fontId="1" fillId="0" borderId="0" xfId="0" applyFont="1" applyAlignment="1">
      <alignment vertical="center" wrapText="1"/>
    </xf>
    <xf numFmtId="0" fontId="32" fillId="0" borderId="0" xfId="0" applyFont="1" applyProtection="1">
      <protection locked="0"/>
    </xf>
    <xf numFmtId="0" fontId="1" fillId="2" borderId="1" xfId="0" applyFont="1" applyFill="1" applyBorder="1"/>
    <xf numFmtId="0" fontId="5" fillId="3" borderId="3" xfId="0" applyFont="1" applyFill="1" applyBorder="1"/>
    <xf numFmtId="0" fontId="5" fillId="3" borderId="4" xfId="0" applyFont="1" applyFill="1" applyBorder="1"/>
    <xf numFmtId="0" fontId="0" fillId="2" borderId="3" xfId="0" applyFill="1" applyBorder="1"/>
    <xf numFmtId="0" fontId="0" fillId="2" borderId="4" xfId="0" applyFill="1" applyBorder="1"/>
    <xf numFmtId="0" fontId="0" fillId="0" borderId="3" xfId="0" applyBorder="1"/>
    <xf numFmtId="0" fontId="0" fillId="0" borderId="4" xfId="0" applyBorder="1"/>
    <xf numFmtId="0" fontId="0" fillId="0" borderId="1" xfId="0" applyBorder="1"/>
    <xf numFmtId="0" fontId="0" fillId="0" borderId="2" xfId="0" applyBorder="1"/>
    <xf numFmtId="0" fontId="0" fillId="2" borderId="1" xfId="0" applyFill="1" applyBorder="1"/>
    <xf numFmtId="0" fontId="1" fillId="0" borderId="1" xfId="0" applyFont="1" applyBorder="1"/>
    <xf numFmtId="0" fontId="33" fillId="0" borderId="0" xfId="0" applyFont="1" applyProtection="1">
      <protection locked="0"/>
    </xf>
    <xf numFmtId="0" fontId="1" fillId="9" borderId="0" xfId="0" applyFont="1" applyFill="1" applyProtection="1">
      <protection locked="0"/>
    </xf>
    <xf numFmtId="0" fontId="0" fillId="9" borderId="0" xfId="0" applyFill="1" applyProtection="1">
      <protection locked="0"/>
    </xf>
    <xf numFmtId="0" fontId="22" fillId="0" borderId="0" xfId="0" applyFont="1" applyAlignment="1" applyProtection="1">
      <alignment wrapText="1"/>
      <protection locked="0"/>
    </xf>
    <xf numFmtId="0" fontId="3" fillId="0" borderId="0" xfId="0" applyFont="1" applyAlignment="1">
      <alignment wrapText="1"/>
    </xf>
    <xf numFmtId="0" fontId="36" fillId="0" borderId="11" xfId="0" applyFont="1" applyBorder="1" applyAlignment="1" applyProtection="1">
      <alignment readingOrder="1"/>
      <protection locked="0"/>
    </xf>
    <xf numFmtId="0" fontId="37" fillId="0" borderId="10" xfId="0" applyFont="1" applyBorder="1" applyAlignment="1" applyProtection="1">
      <alignment readingOrder="1"/>
      <protection locked="0"/>
    </xf>
    <xf numFmtId="0" fontId="1" fillId="0" borderId="0" xfId="0" applyFont="1" applyAlignment="1" applyProtection="1">
      <alignment wrapText="1"/>
      <protection locked="0"/>
    </xf>
    <xf numFmtId="0" fontId="38" fillId="0" borderId="0" xfId="0" applyFont="1" applyAlignment="1" applyProtection="1">
      <alignment wrapText="1"/>
      <protection locked="0"/>
    </xf>
    <xf numFmtId="0" fontId="39" fillId="0" borderId="0" xfId="0" applyFont="1" applyAlignment="1" applyProtection="1">
      <alignment wrapText="1"/>
      <protection locked="0"/>
    </xf>
    <xf numFmtId="0" fontId="36" fillId="0" borderId="12" xfId="0" applyFont="1" applyBorder="1" applyAlignment="1" applyProtection="1">
      <alignment wrapText="1"/>
      <protection locked="0"/>
    </xf>
    <xf numFmtId="0" fontId="40" fillId="0" borderId="0" xfId="0" applyFont="1" applyAlignment="1" applyProtection="1">
      <alignment wrapText="1"/>
      <protection locked="0"/>
    </xf>
    <xf numFmtId="0" fontId="0" fillId="0" borderId="0" xfId="0" applyAlignment="1" applyProtection="1">
      <alignment horizontal="left" vertical="top" wrapText="1"/>
      <protection locked="0"/>
    </xf>
    <xf numFmtId="0" fontId="12" fillId="0" borderId="0" xfId="0" applyFont="1" applyAlignment="1" applyProtection="1">
      <alignment vertical="top" wrapText="1"/>
      <protection locked="0"/>
    </xf>
    <xf numFmtId="0" fontId="40" fillId="0" borderId="0" xfId="0" applyFont="1" applyAlignment="1" applyProtection="1">
      <alignment vertical="top" wrapText="1"/>
      <protection locked="0"/>
    </xf>
    <xf numFmtId="0" fontId="0" fillId="0" borderId="0" xfId="0" applyAlignment="1">
      <alignment wrapText="1"/>
    </xf>
    <xf numFmtId="0" fontId="0" fillId="0" borderId="0" xfId="0" applyAlignment="1" applyProtection="1">
      <alignment horizontal="left" vertical="center"/>
      <protection locked="0"/>
    </xf>
    <xf numFmtId="0" fontId="0" fillId="9" borderId="0" xfId="0" applyFill="1" applyAlignment="1" applyProtection="1">
      <alignment wrapText="1"/>
      <protection locked="0"/>
    </xf>
    <xf numFmtId="0" fontId="33" fillId="0" borderId="0" xfId="0" applyFont="1" applyAlignment="1" applyProtection="1">
      <alignment wrapText="1"/>
      <protection locked="0"/>
    </xf>
    <xf numFmtId="0" fontId="41" fillId="0" borderId="0" xfId="0" applyFont="1" applyProtection="1">
      <protection locked="0"/>
    </xf>
    <xf numFmtId="14" fontId="0" fillId="0" borderId="0" xfId="0" applyNumberFormat="1" applyAlignment="1" applyProtection="1">
      <alignment horizontal="center" vertical="center" wrapText="1"/>
      <protection locked="0"/>
    </xf>
    <xf numFmtId="14" fontId="0" fillId="0" borderId="0" xfId="0" applyNumberFormat="1" applyAlignment="1" applyProtection="1">
      <alignment horizontal="center"/>
      <protection locked="0"/>
    </xf>
    <xf numFmtId="0" fontId="42" fillId="0" borderId="0" xfId="0" applyFont="1" applyProtection="1">
      <protection locked="0"/>
    </xf>
  </cellXfs>
  <cellStyles count="1">
    <cellStyle name="Normal" xfId="0" builtinId="0"/>
  </cellStyles>
  <dxfs count="1157">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protection locked="1" hidden="0"/>
    </dxf>
    <dxf>
      <protection locked="1" hidden="0"/>
    </dxf>
    <dxf>
      <protection locked="1" hidden="0"/>
    </dxf>
    <dxf>
      <protection locked="1" hidden="0"/>
    </dxf>
    <dxf>
      <protection locked="1" hidden="0"/>
    </dxf>
    <dxf>
      <protection locked="1" hidden="0"/>
    </dxf>
    <dxf>
      <protection locked="1"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1"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1"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alignment wrapText="1"/>
      <protection locked="0" hidden="0"/>
    </dxf>
    <dxf>
      <alignment wrapText="1"/>
      <protection locked="0" hidden="0"/>
    </dxf>
    <dxf>
      <protection locked="1"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1"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
      <alignment wrapText="1"/>
      <protection locked="0" hidden="0"/>
    </dxf>
    <dxf>
      <alignment wrapText="1"/>
      <protection locked="0" hidden="0"/>
    </dxf>
    <dxf>
      <alignment wrapText="1"/>
      <protection locked="1" hidden="0"/>
    </dxf>
    <dxf>
      <alignment wrapText="1"/>
      <protection locked="0" hidden="0"/>
    </dxf>
    <dxf>
      <alignment wrapText="1"/>
      <protection locked="0" hidden="0"/>
    </dxf>
    <dxf>
      <alignment wrapText="1"/>
      <protection locked="1" hidden="0"/>
    </dxf>
    <dxf>
      <alignment wrapText="1"/>
      <protection locked="0" hidden="0"/>
    </dxf>
    <dxf>
      <alignment wrapText="1"/>
      <protection locked="0" hidden="0"/>
    </dxf>
    <dxf>
      <alignment wrapText="1"/>
      <protection locked="1" hidden="0"/>
    </dxf>
    <dxf>
      <alignment wrapText="1"/>
      <protection locked="0" hidden="0"/>
    </dxf>
    <dxf>
      <alignment wrapText="1"/>
      <protection locked="0" hidden="0"/>
    </dxf>
    <dxf>
      <protection locked="1"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
      <alignment horizontal="general"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1"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1"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1"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alignment wrapText="1"/>
      <protection locked="0" hidden="0"/>
    </dxf>
    <dxf>
      <alignment wrapText="1"/>
      <protection locked="0" hidden="0"/>
    </dxf>
    <dxf>
      <protection locked="1" hidden="0"/>
    </dxf>
    <dxf>
      <protection locked="0" hidden="0"/>
    </dxf>
    <dxf>
      <protection locked="0" hidden="0"/>
    </dxf>
    <dxf>
      <protection locked="1"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1"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alignment wrapText="1"/>
      <protection locked="0" hidden="0"/>
    </dxf>
    <dxf>
      <alignment wrapText="1"/>
      <protection locked="0" hidden="0"/>
    </dxf>
    <dxf>
      <protection locked="1" hidden="0"/>
    </dxf>
    <dxf>
      <protection locked="0" hidden="0"/>
    </dxf>
    <dxf>
      <protection locked="0" hidden="0"/>
    </dxf>
    <dxf>
      <protection locked="1"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1"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alignment wrapText="1"/>
      <protection locked="0" hidden="0"/>
    </dxf>
    <dxf>
      <alignment wrapText="1"/>
      <protection locked="0" hidden="0"/>
    </dxf>
    <dxf>
      <alignment wrapText="1"/>
      <protection locked="1" hidden="0"/>
    </dxf>
    <dxf>
      <alignment wrapText="1"/>
      <protection locked="0" hidden="0"/>
    </dxf>
    <dxf>
      <alignment wrapText="1"/>
      <protection locked="0" hidden="0"/>
    </dxf>
    <dxf>
      <protection locked="1"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1"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1"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1"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1"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1"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1"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1"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
      <protection locked="0" hidden="0"/>
    </dxf>
    <dxf>
      <protection locked="0" hidden="0"/>
    </dxf>
    <dxf>
      <protection locked="1" hidden="0"/>
    </dxf>
    <dxf>
      <alignment wrapText="1"/>
      <protection locked="0" hidden="0"/>
    </dxf>
    <dxf>
      <alignment wrapText="1"/>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1"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1"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1"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font>
        <sz val="11"/>
        <name val="Aptos Narrow"/>
        <scheme val="minor"/>
      </font>
      <protection locked="0" hidden="0"/>
    </dxf>
    <dxf>
      <font>
        <sz val="11"/>
        <name val="Aptos Narrow"/>
        <scheme val="minor"/>
      </font>
      <protection locked="0" hidden="0"/>
    </dxf>
    <dxf>
      <protection locked="1" hidden="0"/>
    </dxf>
    <dxf>
      <protection locked="0" hidden="0"/>
    </dxf>
    <dxf>
      <protection locked="0" hidden="0"/>
    </dxf>
    <dxf>
      <protection locked="1"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1"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alignment horizontal="general" vertical="bottom" textRotation="0" wrapText="1" indent="0" justifyLastLine="0" shrinkToFit="0" readingOrder="0"/>
      <protection locked="0" hidden="0"/>
    </dxf>
    <dxf>
      <alignment horizontal="general" vertical="bottom" textRotation="0" wrapText="1" indent="0" justifyLastLine="0" shrinkToFit="0" readingOrder="0"/>
      <protection locked="0" hidden="0"/>
    </dxf>
    <dxf>
      <protection locked="1"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1"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alignment horizontal="general" vertical="bottom" textRotation="0" wrapText="1" indent="0" justifyLastLine="0" shrinkToFit="0" readingOrder="0"/>
      <protection locked="0" hidden="0"/>
    </dxf>
    <dxf>
      <alignment horizontal="general" vertical="bottom" textRotation="0" wrapText="1" indent="0" justifyLastLine="0" shrinkToFit="0" readingOrder="0"/>
      <protection locked="0" hidden="0"/>
    </dxf>
    <dxf>
      <protection locked="1"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1"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1" hidden="0"/>
    </dxf>
    <dxf>
      <protection locked="0" hidden="0"/>
    </dxf>
    <dxf>
      <protection locked="0" hidden="0"/>
    </dxf>
    <dxf>
      <font>
        <strike val="0"/>
        <outline val="0"/>
        <shadow val="0"/>
        <u val="none"/>
        <vertAlign val="baseline"/>
        <sz val="11"/>
        <name val="Aptos Narrow"/>
        <family val="2"/>
        <scheme val="minor"/>
      </font>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1" hidden="0"/>
    </dxf>
    <dxf>
      <protection locked="0" hidden="0"/>
    </dxf>
    <dxf>
      <protection locked="0" hidden="0"/>
    </dxf>
    <dxf>
      <protection locked="1" hidden="0"/>
    </dxf>
    <dxf>
      <alignment wrapText="1"/>
      <protection locked="0" hidden="0"/>
    </dxf>
    <dxf>
      <alignment wrapText="1"/>
      <protection locked="0" hidden="0"/>
    </dxf>
    <dxf>
      <protection locked="1" hidden="0"/>
    </dxf>
    <dxf>
      <protection locked="0" hidden="0"/>
    </dxf>
    <dxf>
      <protection locked="0" hidden="0"/>
    </dxf>
    <dxf>
      <protection locked="1"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1"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pivotCacheDefinition" Target="pivotCache/pivotCacheDefinition2.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47" Type="http://schemas.openxmlformats.org/officeDocument/2006/relationships/customXml" Target="../customXml/item1.xml"/><Relationship Id="rId50"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 Id="rId48" Type="http://schemas.openxmlformats.org/officeDocument/2006/relationships/customXml" Target="../customXml/item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pivotCacheDefinition" Target="pivotCache/pivotCacheDefinition1.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connections" Target="connections.xml"/><Relationship Id="rId1" Type="http://schemas.openxmlformats.org/officeDocument/2006/relationships/worksheet" Target="worksheets/sheet1.xml"/><Relationship Id="rId6" Type="http://schemas.openxmlformats.org/officeDocument/2006/relationships/worksheet" Target="worksheets/sheet6.xml"/></Relationships>
</file>

<file path=xl/persons/person.xml><?xml version="1.0" encoding="utf-8"?>
<personList xmlns="http://schemas.microsoft.com/office/spreadsheetml/2018/threadedcomments" xmlns:x="http://schemas.openxmlformats.org/spreadsheetml/2006/main">
  <person displayName="Boddy, Lynne" id="{02468CA8-E19A-4AF1-B522-9F4654B8473C}" userId="S::OLFLBODD@ljmu.ac.uk::4e2c177b-3065-45f0-b76e-62857f926f3e" providerId="AD"/>
  <person displayName="Owens, Daniel" id="{38634D3B-70C4-8F44-856B-2B4869DA4869}" userId="S::SPSDOWEN@ljmu.ac.uk::3eac6e0b-34d7-4a7c-9b8a-cef9e010b0a3" providerId="AD"/>
  <person displayName="Boddy, Lynne" id="{14AE07FE-F738-4266-B42F-DFD851BB43E4}" userId="S::olflbodd@ljmu.ac.uk::4e2c177b-3065-45f0-b76e-62857f926f3e" providerId="AD"/>
  <person displayName="Miller, Gemma" id="{51414E2E-ADDB-4659-9E0D-35850923C808}" userId="S::spsgmill@ljmu.ac.uk::1e036a39-ad06-42aa-9aae-539c4900d766" providerId="AD"/>
  <person displayName="Fitton Davies, Katie" id="{DA93A651-29F7-4AAC-A835-71CACA86DFCA}" userId="S::spskfitt@ljmu.ac.uk::fed5e076-bb9d-43c3-b44d-d3491bd8113a" providerId="AD"/>
</personList>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Mark Robinson" refreshedDate="46301.916842708335" createdVersion="8" refreshedVersion="8" minRefreshableVersion="3" recordCount="56" xr:uid="{1D4E36C7-8739-714E-9A14-79EF7A3B3554}">
  <cacheSource type="worksheet">
    <worksheetSource name="SES_Assess"/>
  </cacheSource>
  <cacheFields count="13">
    <cacheField name="SourceWorkbook" numFmtId="0">
      <sharedItems/>
    </cacheField>
    <cacheField name="ModuleCode" numFmtId="0">
      <sharedItems count="28">
        <s v="4101SPS"/>
        <s v="4102SPS"/>
        <s v="4091SPS"/>
        <s v="4092SPS"/>
        <s v="4094SPS"/>
        <s v="5091SPS"/>
        <s v="5092SPS"/>
        <s v="5101SPS"/>
        <s v="5102SPS"/>
        <s v="5103SPS"/>
        <s v="6101SPS"/>
        <s v="6096SPS"/>
        <s v="6102SPS"/>
        <s v="6103SPS"/>
        <s v="6104SPS"/>
        <s v="6105SPS"/>
        <s v="6106SPS"/>
        <s v="6107SPS"/>
        <s v="6108SPS"/>
        <s v="6109SPS"/>
        <s v="6091SPS"/>
        <s v="6093SPS"/>
        <s v="6094SPS"/>
        <s v="6095SPS"/>
        <s v="6097SPS"/>
        <s v="4093SPS"/>
        <s v="5093SPS"/>
        <s v="6052SPS"/>
      </sharedItems>
    </cacheField>
    <cacheField name="ModuleTitle" numFmtId="0">
      <sharedItems/>
    </cacheField>
    <cacheField name="Assessment No" numFmtId="0">
      <sharedItems/>
    </cacheField>
    <cacheField name="Assessment Type" numFmtId="0">
      <sharedItems count="8">
        <s v="Presentation"/>
        <s v="Portfolio"/>
        <s v="Exam"/>
        <s v="Report"/>
        <s v="Essay"/>
        <s v="15-min group presentation"/>
        <s v="2-h exam "/>
        <s v="Practical"/>
      </sharedItems>
    </cacheField>
    <cacheField name="Assessment Specific" numFmtId="0">
      <sharedItems containsBlank="1"/>
    </cacheField>
    <cacheField name="Assessment Description" numFmtId="0">
      <sharedItems longText="1"/>
    </cacheField>
    <cacheField name="Weighting" numFmtId="0">
      <sharedItems containsString="0" containsBlank="1" containsNumber="1" minValue="0.3" maxValue="0.7"/>
    </cacheField>
    <cacheField name="Due Week" numFmtId="0">
      <sharedItems containsBlank="1" containsMixedTypes="1" containsNumber="1" containsInteger="1" minValue="6" maxValue="33"/>
    </cacheField>
    <cacheField name="TableName" numFmtId="0">
      <sharedItems/>
    </cacheField>
    <cacheField name="ItemSuffix" numFmtId="0">
      <sharedItems/>
    </cacheField>
    <cacheField name="Programme" numFmtId="0">
      <sharedItems/>
    </cacheField>
    <cacheField name="ProgCode" numFmtId="0">
      <sharedItems/>
    </cacheField>
  </cacheFields>
  <extLst>
    <ext xmlns:x14="http://schemas.microsoft.com/office/spreadsheetml/2009/9/main" uri="{725AE2AE-9491-48be-B2B4-4EB974FC3084}">
      <x14:pivotCacheDefinition pivotCacheId="127165198"/>
    </ext>
    <ext xmlns:xlpdsc="http://schemas.microsoft.com/office/spreadsheetml/2026/pivotDataSourceClean" uri="{F4336242-56EE-4DD3-A5F7-E900642BF6E9}">
      <xlpdsc:dataSourceClean>1</xlpdsc:dataSourceClea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Mark Robinson" refreshedDate="46301.916842824074" createdVersion="8" refreshedVersion="8" minRefreshableVersion="3" recordCount="168" xr:uid="{F6538765-2DF2-3840-8937-7B9437E9586B}">
  <cacheSource type="worksheet">
    <worksheetSource name="SES_Hours"/>
  </cacheSource>
  <cacheFields count="9">
    <cacheField name="SourceWorkbook" numFmtId="0">
      <sharedItems/>
    </cacheField>
    <cacheField name="ModuleCode" numFmtId="0">
      <sharedItems count="28">
        <s v="4101SPS"/>
        <s v="4102SPS"/>
        <s v="4091SPS"/>
        <s v="4092SPS"/>
        <s v="4094SPS"/>
        <s v="5091SPS"/>
        <s v="5092SPS"/>
        <s v="5101SPS"/>
        <s v="5102SPS"/>
        <s v="5103SPS"/>
        <s v="6101SPS"/>
        <s v="6102SPS"/>
        <s v="6103SPS"/>
        <s v="6096SPS"/>
        <s v="6104SPS"/>
        <s v="6105SPS"/>
        <s v="6106SPS"/>
        <s v="6107SPS"/>
        <s v="6108SPS"/>
        <s v="6109SPS"/>
        <s v="6091SPS"/>
        <s v="6093SPS"/>
        <s v="6094SPS"/>
        <s v="6095SPS"/>
        <s v="6097SPS"/>
        <s v="4093SPS"/>
        <s v="5093SPS"/>
        <s v="6052SPS"/>
      </sharedItems>
    </cacheField>
    <cacheField name="ModuleTitle" numFmtId="0">
      <sharedItems/>
    </cacheField>
    <cacheField name="Component" numFmtId="0">
      <sharedItems count="6">
        <s v="Lecture"/>
        <s v="Seminar"/>
        <s v="Practical"/>
        <s v="Workshop"/>
        <s v="Online"/>
        <s v="Total"/>
      </sharedItems>
    </cacheField>
    <cacheField name="Contact Hours" numFmtId="0">
      <sharedItems containsString="0" containsBlank="1" containsNumber="1" containsInteger="1" minValue="0" maxValue="50"/>
    </cacheField>
    <cacheField name="ItemSuffix" numFmtId="0">
      <sharedItems/>
    </cacheField>
    <cacheField name="Programme" numFmtId="0">
      <sharedItems/>
    </cacheField>
    <cacheField name="TableName" numFmtId="0">
      <sharedItems/>
    </cacheField>
    <cacheField name="ProgCode" numFmtId="0">
      <sharedItems/>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58A7598-651F-684E-8C2C-7D48C009BD24}"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8:C42" firstHeaderRow="0" firstDataRow="1" firstDataCol="1"/>
  <pivotFields count="13">
    <pivotField showAll="0"/>
    <pivotField axis="axisRow" showAll="0">
      <items count="29">
        <item x="3"/>
        <item h="1" x="25"/>
        <item h="1" x="4"/>
        <item h="1" x="0"/>
        <item h="1" x="1"/>
        <item h="1" x="5"/>
        <item h="1" x="6"/>
        <item h="1" x="26"/>
        <item h="1" x="8"/>
        <item h="1" x="9"/>
        <item h="1" x="27"/>
        <item h="1" x="20"/>
        <item h="1" x="21"/>
        <item h="1" x="22"/>
        <item h="1" x="23"/>
        <item h="1" x="11"/>
        <item h="1" x="24"/>
        <item h="1" x="10"/>
        <item h="1" x="12"/>
        <item h="1" x="14"/>
        <item h="1" x="15"/>
        <item h="1" x="16"/>
        <item h="1" x="18"/>
        <item h="1" x="19"/>
        <item h="1" x="13"/>
        <item h="1" x="17"/>
        <item h="1" x="2"/>
        <item h="1" x="7"/>
        <item t="default"/>
      </items>
    </pivotField>
    <pivotField showAll="0"/>
    <pivotField dataField="1" showAll="0"/>
    <pivotField axis="axisRow" showAll="0">
      <items count="9">
        <item x="4"/>
        <item x="2"/>
        <item x="1"/>
        <item x="7"/>
        <item x="0"/>
        <item x="3"/>
        <item x="5"/>
        <item x="6"/>
        <item t="default"/>
      </items>
    </pivotField>
    <pivotField showAll="0"/>
    <pivotField dataField="1" showAll="0"/>
    <pivotField showAll="0"/>
    <pivotField showAll="0"/>
    <pivotField showAll="0"/>
    <pivotField showAll="0"/>
    <pivotField showAll="0"/>
    <pivotField showAll="0"/>
  </pivotFields>
  <rowFields count="2">
    <field x="1"/>
    <field x="4"/>
  </rowFields>
  <rowItems count="4">
    <i>
      <x/>
    </i>
    <i r="1">
      <x v="1"/>
    </i>
    <i r="1">
      <x v="2"/>
    </i>
    <i t="grand">
      <x/>
    </i>
  </rowItems>
  <colFields count="1">
    <field x="-2"/>
  </colFields>
  <colItems count="2">
    <i>
      <x/>
    </i>
    <i i="1">
      <x v="1"/>
    </i>
  </colItems>
  <dataFields count="2">
    <dataField name="Count of Assessment No" fld="3" subtotal="count" baseField="0" baseItem="0"/>
    <dataField name="Count of Assessment Description" fld="6"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B35F69C-A493-8E47-8F06-DECA81DB26BC}" name="PivotTable2"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3:R33" firstHeaderRow="1" firstDataRow="2" firstDataCol="1"/>
  <pivotFields count="9">
    <pivotField showAll="0"/>
    <pivotField axis="axisRow" showAll="0">
      <items count="29">
        <item x="2"/>
        <item x="3"/>
        <item x="25"/>
        <item x="4"/>
        <item x="0"/>
        <item x="1"/>
        <item x="5"/>
        <item x="6"/>
        <item x="26"/>
        <item x="7"/>
        <item x="8"/>
        <item x="9"/>
        <item x="27"/>
        <item x="20"/>
        <item x="21"/>
        <item x="22"/>
        <item x="23"/>
        <item x="13"/>
        <item x="24"/>
        <item x="10"/>
        <item x="11"/>
        <item x="12"/>
        <item x="14"/>
        <item x="15"/>
        <item x="16"/>
        <item x="17"/>
        <item x="18"/>
        <item x="19"/>
        <item t="default"/>
      </items>
    </pivotField>
    <pivotField showAll="0"/>
    <pivotField axis="axisCol" showAll="0">
      <items count="7">
        <item x="0"/>
        <item x="4"/>
        <item x="2"/>
        <item x="1"/>
        <item x="5"/>
        <item x="3"/>
        <item t="default"/>
      </items>
    </pivotField>
    <pivotField dataField="1" showAll="0"/>
    <pivotField showAll="0"/>
    <pivotField showAll="0"/>
    <pivotField showAll="0"/>
    <pivotField showAll="0"/>
  </pivotFields>
  <rowFields count="1">
    <field x="1"/>
  </rowFields>
  <rowItems count="29">
    <i>
      <x/>
    </i>
    <i>
      <x v="1"/>
    </i>
    <i>
      <x v="2"/>
    </i>
    <i>
      <x v="3"/>
    </i>
    <i>
      <x v="4"/>
    </i>
    <i>
      <x v="5"/>
    </i>
    <i>
      <x v="6"/>
    </i>
    <i>
      <x v="7"/>
    </i>
    <i>
      <x v="8"/>
    </i>
    <i>
      <x v="9"/>
    </i>
    <i>
      <x v="10"/>
    </i>
    <i>
      <x v="11"/>
    </i>
    <i>
      <x v="12"/>
    </i>
    <i>
      <x v="13"/>
    </i>
    <i>
      <x v="14"/>
    </i>
    <i>
      <x v="15"/>
    </i>
    <i>
      <x v="16"/>
    </i>
    <i>
      <x v="17"/>
    </i>
    <i>
      <x v="18"/>
    </i>
    <i>
      <x v="19"/>
    </i>
    <i>
      <x v="20"/>
    </i>
    <i>
      <x v="21"/>
    </i>
    <i>
      <x v="22"/>
    </i>
    <i>
      <x v="23"/>
    </i>
    <i>
      <x v="24"/>
    </i>
    <i>
      <x v="25"/>
    </i>
    <i>
      <x v="26"/>
    </i>
    <i>
      <x v="27"/>
    </i>
    <i t="grand">
      <x/>
    </i>
  </rowItems>
  <colFields count="1">
    <field x="3"/>
  </colFields>
  <colItems count="7">
    <i>
      <x/>
    </i>
    <i>
      <x v="1"/>
    </i>
    <i>
      <x v="2"/>
    </i>
    <i>
      <x v="3"/>
    </i>
    <i>
      <x v="4"/>
    </i>
    <i>
      <x v="5"/>
    </i>
    <i t="grand">
      <x/>
    </i>
  </colItems>
  <dataFields count="1">
    <dataField name="Sum of Contact Hours" fld="4"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7" connectionId="14" xr16:uid="{1D0DFEF6-C54A-4438-9168-708B2C1B3FB3}" autoFormatId="16" applyNumberFormats="0" applyBorderFormats="0" applyFontFormats="0" applyPatternFormats="0" applyAlignmentFormats="0" applyWidthHeightFormats="0">
  <queryTableRefresh nextId="13">
    <queryTableFields count="12">
      <queryTableField id="1" name="SourceWorkbook" tableColumnId="1"/>
      <queryTableField id="2" name="ModuleCode" tableColumnId="2"/>
      <queryTableField id="3" name="ModuleTitle" tableColumnId="3"/>
      <queryTableField id="4" name="Programme" tableColumnId="4"/>
      <queryTableField id="5" name="TableName" tableColumnId="5"/>
      <queryTableField id="6" name="ProgCode" tableColumnId="6"/>
      <queryTableField id="7" name="Lecture" tableColumnId="7"/>
      <queryTableField id="8" name="Seminar" tableColumnId="8"/>
      <queryTableField id="9" name="Practical" tableColumnId="9"/>
      <queryTableField id="10" name="Workshop" tableColumnId="10"/>
      <queryTableField id="11" name="Online" tableColumnId="11"/>
      <queryTableField id="12" name="Total" tableColumnId="12"/>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9" connectionId="20" xr16:uid="{5A8F4048-6E8F-4AB4-900B-1268A45FB177}" autoFormatId="16" applyNumberFormats="0" applyBorderFormats="0" applyFontFormats="0" applyPatternFormats="0" applyAlignmentFormats="0" applyWidthHeightFormats="0">
  <queryTableRefresh nextId="6">
    <queryTableFields count="5">
      <queryTableField id="1" name="Category" tableColumnId="1"/>
      <queryTableField id="2" name="Skill" tableColumnId="2"/>
      <queryTableField id="3" name="Modules Covering" tableColumnId="3"/>
      <queryTableField id="4" name="Module Count" tableColumnId="4"/>
      <queryTableField id="5" name="Covered" tableColumnId="5"/>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8" connectionId="19" xr16:uid="{4CF3F2C3-1EE5-402F-9AAB-A39D3C19F063}" autoFormatId="16" applyNumberFormats="0" applyBorderFormats="0" applyFontFormats="0" applyPatternFormats="0" applyAlignmentFormats="0" applyWidthHeightFormats="0">
  <queryTableRefresh nextId="10">
    <queryTableFields count="9">
      <queryTableField id="1" name="ModuleCode" tableColumnId="1"/>
      <queryTableField id="2" name="ModuleTitle" tableColumnId="2"/>
      <queryTableField id="3" name="Level" tableColumnId="3"/>
      <queryTableField id="4" name="Semester" tableColumnId="4"/>
      <queryTableField id="5" name="Credits" tableColumnId="5"/>
      <queryTableField id="6" name="Module Leader" tableColumnId="6"/>
      <queryTableField id="7" name="Module Type" tableColumnId="7"/>
      <queryTableField id="8" name="Total Contact Hours" tableColumnId="8"/>
      <queryTableField id="9" name="Hours per Credit" tableColumnId="9"/>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6" connectionId="18" xr16:uid="{FA3807B1-35D8-4219-B2E7-881433E67C10}" autoFormatId="16" applyNumberFormats="0" applyBorderFormats="0" applyFontFormats="0" applyPatternFormats="0" applyAlignmentFormats="0" applyWidthHeightFormats="0">
  <queryTableRefresh nextId="15">
    <queryTableFields count="14">
      <queryTableField id="1" name="SourceWorkbook" tableColumnId="1"/>
      <queryTableField id="2" name="ModuleCode" tableColumnId="2"/>
      <queryTableField id="3" name="ModuleTitle" tableColumnId="3"/>
      <queryTableField id="4" name="Module Title" tableColumnId="4"/>
      <queryTableField id="5" name="Credits" tableColumnId="5"/>
      <queryTableField id="6" name="Semester" tableColumnId="6"/>
      <queryTableField id="7" name="Level" tableColumnId="7"/>
      <queryTableField id="8" name="Module Leader" tableColumnId="8"/>
      <queryTableField id="9" name="Module Type" tableColumnId="9"/>
      <queryTableField id="10" name="Programme(s)" tableColumnId="10"/>
      <queryTableField id="11" name="TableName" tableColumnId="11"/>
      <queryTableField id="12" name="ItemSuffix" tableColumnId="12"/>
      <queryTableField id="13" name="Programme" tableColumnId="13"/>
      <queryTableField id="14" name="ProgCode" tableColumnId="14"/>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5" connectionId="16" xr16:uid="{EE3325D3-30AC-4143-A0C6-85A6DF70D050}" autoFormatId="16" applyNumberFormats="0" applyBorderFormats="0" applyFontFormats="0" applyPatternFormats="0" applyAlignmentFormats="0" applyWidthHeightFormats="0">
  <queryTableRefresh nextId="12">
    <queryTableFields count="11">
      <queryTableField id="1" name="SourceWorkbook" tableColumnId="1"/>
      <queryTableField id="2" name="TableName" tableColumnId="2"/>
      <queryTableField id="3" name="Assessment No" tableColumnId="3"/>
      <queryTableField id="4" name="LO Number" tableColumnId="4"/>
      <queryTableField id="5" name="Graduate Skills Category" tableColumnId="5"/>
      <queryTableField id="6" name="Graduate Skill" tableColumnId="6"/>
      <queryTableField id="7" name="ModuleCode" tableColumnId="7"/>
      <queryTableField id="8" name="ItemSuffix" tableColumnId="8"/>
      <queryTableField id="9" name="Programme" tableColumnId="9"/>
      <queryTableField id="10" name="ProgCode" tableColumnId="10"/>
      <queryTableField id="11" name="ModuleTitle" tableColumnId="11"/>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4" connectionId="13" xr16:uid="{4FC2C8A4-B774-4847-ACE0-CC1733D1FEC0}" autoFormatId="16" applyNumberFormats="0" applyBorderFormats="0" applyFontFormats="0" applyPatternFormats="0" applyAlignmentFormats="0" applyWidthHeightFormats="0">
  <queryTableRefresh nextId="10">
    <queryTableFields count="9">
      <queryTableField id="1" name="SourceWorkbook" tableColumnId="1"/>
      <queryTableField id="2" name="ModuleCode" tableColumnId="2"/>
      <queryTableField id="3" name="ModuleTitle" tableColumnId="3"/>
      <queryTableField id="4" name="Component" tableColumnId="4"/>
      <queryTableField id="5" name="Contact Hours" tableColumnId="5"/>
      <queryTableField id="6" name="ItemSuffix" tableColumnId="6"/>
      <queryTableField id="7" name="Programme" tableColumnId="7"/>
      <queryTableField id="8" name="TableName" tableColumnId="8"/>
      <queryTableField id="9" name="ProgCode" tableColumnId="9"/>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3" connectionId="12" xr16:uid="{8ACE5520-D1EC-4E37-9794-78FDBD058F98}" autoFormatId="16" applyNumberFormats="0" applyBorderFormats="0" applyFontFormats="0" applyPatternFormats="0" applyAlignmentFormats="0" applyWidthHeightFormats="0">
  <queryTableRefresh nextId="14">
    <queryTableFields count="13">
      <queryTableField id="1" name="SourceWorkbook" tableColumnId="1"/>
      <queryTableField id="2" name="ModuleCode" tableColumnId="2"/>
      <queryTableField id="3" name="ModuleTitle" tableColumnId="3"/>
      <queryTableField id="4" name="Assessment No" tableColumnId="4"/>
      <queryTableField id="5" name="Assessment Type" tableColumnId="5"/>
      <queryTableField id="6" name="Assessment Specific" tableColumnId="6"/>
      <queryTableField id="7" name="Assessment Description" tableColumnId="7"/>
      <queryTableField id="8" name="Weighting" tableColumnId="8"/>
      <queryTableField id="9" name="Due Week" tableColumnId="9"/>
      <queryTableField id="10" name="TableName" tableColumnId="10"/>
      <queryTableField id="11" name="ItemSuffix" tableColumnId="11"/>
      <queryTableField id="12" name="Programme" tableColumnId="12"/>
      <queryTableField id="13" name="ProgCode" tableColumnId="13"/>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2" connectionId="15" xr16:uid="{B04525B2-0492-4569-84EF-1415FCE5CB80}" autoFormatId="16" applyNumberFormats="0" applyBorderFormats="0" applyFontFormats="0" applyPatternFormats="0" applyAlignmentFormats="0" applyWidthHeightFormats="0">
  <queryTableRefresh nextId="10">
    <queryTableFields count="9">
      <queryTableField id="1" name="SourceWorkbook" tableColumnId="1"/>
      <queryTableField id="2" name="Programme" tableColumnId="2"/>
      <queryTableField id="3" name="ModuleCode" tableColumnId="3"/>
      <queryTableField id="4" name="ModuleTitle" tableColumnId="4"/>
      <queryTableField id="5" name="LO Number" tableColumnId="5"/>
      <queryTableField id="6" name="LO Description" tableColumnId="6"/>
      <queryTableField id="7" name="TableName" tableColumnId="7"/>
      <queryTableField id="8" name="ItemSuffix" tableColumnId="8"/>
      <queryTableField id="9" name="ProgCode" tableColumnId="9"/>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1" connectionId="17" xr16:uid="{D889CFCD-FBDC-4F58-A1D1-455B5F8797A6}" autoFormatId="16" applyNumberFormats="0" applyBorderFormats="0" applyFontFormats="0" applyPatternFormats="0" applyAlignmentFormats="0" applyWidthHeightFormats="0">
  <queryTableRefresh nextId="10">
    <queryTableFields count="9">
      <queryTableField id="1" name="SourceWorkbook" tableColumnId="1"/>
      <queryTableField id="2" name="TableName" tableColumnId="2"/>
      <queryTableField id="3" name="Module Data" tableColumnId="3"/>
      <queryTableField id="4" name="Details" tableColumnId="4"/>
      <queryTableField id="5" name="ModuleCode" tableColumnId="5"/>
      <queryTableField id="6" name="ItemSuffix" tableColumnId="6"/>
      <queryTableField id="7" name="Programme" tableColumnId="7"/>
      <queryTableField id="8" name="ProgCode" tableColumnId="8"/>
      <queryTableField id="9" name="ModuleTitle" tableColumnId="9"/>
    </queryTableFields>
  </queryTableRefresh>
</queryTable>
</file>

<file path=xl/tables/_rels/table263.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6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265.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266.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267.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268.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269.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270.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271.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97D2E46-20CA-4E3C-B2E0-BBFDD53504A7}" name="Module_Meta" displayName="Module_Meta" ref="C6:D14" totalsRowShown="0">
  <autoFilter ref="C6:D14" xr:uid="{CD75D2A7-14B1-4ABD-B64D-6E875F9BC652}">
    <filterColumn colId="0" hiddenButton="1"/>
    <filterColumn colId="1" hiddenButton="1"/>
  </autoFilter>
  <tableColumns count="2">
    <tableColumn id="1" xr3:uid="{ACF32678-77E3-4DB8-8FD6-8F313C0082A9}" name="Module Data" dataDxfId="1111"/>
    <tableColumn id="2" xr3:uid="{DD1FE0F1-BC22-47E6-B097-D50D8388821E}" name="Details" dataDxfId="1110"/>
  </tableColumns>
  <tableStyleInfo name="TableStyleMedium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BAD0A51-796C-42E3-A2CB-4698AC5634E2}" name="Module_LO" displayName="Module_LO" ref="C28:D33" totalsRowShown="0" headerRowDxfId="1109">
  <autoFilter ref="C28:D33" xr:uid="{22316987-6BEB-4FAF-9619-BF9BE9909CFA}">
    <filterColumn colId="0" hiddenButton="1"/>
    <filterColumn colId="1" hiddenButton="1"/>
  </autoFilter>
  <tableColumns count="2">
    <tableColumn id="1" xr3:uid="{6CB2DC80-959E-4050-BA4D-48CD62403E05}" name="LO Number" dataDxfId="1108"/>
    <tableColumn id="2" xr3:uid="{85688B06-9831-461B-B933-1E407D860BB8}" name="LO Description" dataDxfId="1107"/>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495D0629-EB1D-4813-BD7D-E585D72A4BD3}" name="Module_Assess" displayName="Module_Assess" ref="C37:H41" totalsRowShown="0" headerRowDxfId="1106">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F802E997-1B43-47D3-BE02-499B71A9E504}" name="Assessment No" dataDxfId="1105"/>
    <tableColumn id="2" xr3:uid="{F4594AC5-B575-460A-8B6B-2EF3FCBAB24A}" name="Assessment Type" dataDxfId="1104"/>
    <tableColumn id="7" xr3:uid="{AAABE4DC-4613-4F22-97E3-44DC05E3C8C2}" name="Assessment Specific" dataDxfId="1103"/>
    <tableColumn id="3" xr3:uid="{C3DF3668-A1BF-4CA9-A035-72DE23145404}" name="Assessment Description" dataDxfId="1102"/>
    <tableColumn id="4" xr3:uid="{3D9A7936-2757-4200-8A20-0CA5D42BA49F}" name="Weighting" dataDxfId="1101"/>
    <tableColumn id="5" xr3:uid="{8EF3572C-5F74-4584-B936-B47EF6784AC5}" name="Due Week" dataDxfId="1100"/>
  </tableColumns>
  <tableStyleInfo name="TableStyleMedium3"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5D1A8E39-0E8F-4461-9CD0-BAED3F9153AA}" name="Module_Weekly" displayName="Module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7B3CFE4C-4542-4F37-A796-803C120DA3A8}" name="Semester " dataDxfId="1099"/>
    <tableColumn id="2" xr3:uid="{FBC07EB1-2635-4DBE-A175-763442B26942}" name="Week Number" dataDxfId="1098"/>
    <tableColumn id="3" xr3:uid="{D5767446-3CE7-477F-86AC-430EDC126EA2}" name="Weekly Content 1" dataDxfId="1097"/>
    <tableColumn id="4" xr3:uid="{9EAF880D-82C8-4C10-BC2E-5F1E7B2ED0C1}" name="Weekly Content 2" dataDxfId="1096"/>
    <tableColumn id="5" xr3:uid="{322143D7-C33E-4E77-9B9F-4AFE42EC2AA6}" name="Weekly Content 3" dataDxfId="1095"/>
  </tableColumns>
  <tableStyleInfo name="TableStyleMedium4"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70F3EDC-BBF5-489E-9F42-5224BBE1CD49}" name="Module_Hours" displayName="Module_Hours" ref="C18:D24" totalsRowShown="0">
  <autoFilter ref="C18:D24" xr:uid="{B71A3569-AA65-4A4E-98A2-885F5C38B46D}">
    <filterColumn colId="0" hiddenButton="1"/>
    <filterColumn colId="1" hiddenButton="1"/>
  </autoFilter>
  <tableColumns count="2">
    <tableColumn id="1" xr3:uid="{CF6425D2-EB8D-46CC-B2D7-B49E8963FCEB}" name="Component" dataDxfId="1094"/>
    <tableColumn id="2" xr3:uid="{BD9901A8-2A59-4CEC-ADF1-EDBA06D8EC9A}" name="Contact Hours" dataDxfId="1093"/>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FAEAAA9F-CEFA-44C3-A54E-F2BA30C0D409}" name="Module_Mapping" displayName="Module_Mapping" ref="C45:F66" totalsRowShown="0" headerRowDxfId="1092" dataDxfId="1091">
  <autoFilter ref="C45:F66" xr:uid="{E0A841BB-B6D5-4048-B5F2-18CF9F502EBA}">
    <filterColumn colId="0" hiddenButton="1"/>
    <filterColumn colId="1" hiddenButton="1"/>
    <filterColumn colId="2" hiddenButton="1"/>
    <filterColumn colId="3" hiddenButton="1"/>
  </autoFilter>
  <tableColumns count="4">
    <tableColumn id="1" xr3:uid="{B7230EFB-0A7F-419F-81C2-C9BFFB988192}" name="Assessment No" dataDxfId="1090"/>
    <tableColumn id="2" xr3:uid="{7A675E84-DDDC-4998-99E6-205908A58F57}" name="LO Number" dataDxfId="1089"/>
    <tableColumn id="3" xr3:uid="{66CA6E22-8945-41E1-BB50-73156CC69517}" name="Graduate Skills Category" dataDxfId="1088"/>
    <tableColumn id="4" xr3:uid="{325393C6-2FBF-4ABB-8CB2-DF104C6AB43E}" name="Graduate Skill" dataDxfId="1087"/>
  </tableColumns>
  <tableStyleInfo name="TableStyleMedium3"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D94BDA32-9DC2-4107-9CE7-44CBEB4C67B7}" name="Module_Aims" displayName="Module_Aims" ref="F6:F8" totalsRowShown="0" dataDxfId="1086">
  <autoFilter ref="F6:F8" xr:uid="{9552138F-2332-4BC4-A585-0E13162881A5}"/>
  <tableColumns count="1">
    <tableColumn id="1" xr3:uid="{67F975D0-E9AC-4452-A379-A1359EC2808C}" name="Aims" dataDxfId="1085"/>
  </tableColumns>
  <tableStyleInfo name="TableStyleMedium6"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CEEE860E-45CA-47CA-BBA2-61D6A01BA1D6}" name="Module_Syllabus" displayName="Module_Syllabus" ref="F10:F13" totalsRowShown="0" dataDxfId="1084">
  <autoFilter ref="F10:F13" xr:uid="{94F18F67-3F10-4F6E-A953-4FE3399B07F2}"/>
  <tableColumns count="1">
    <tableColumn id="1" xr3:uid="{BFF28868-E7E3-4275-B13E-588F6503F19C}" name="Outline Syllabus" dataDxfId="1083"/>
  </tableColumns>
  <tableStyleInfo name="TableStyleMedium6"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435E393-57B9-4F17-94C3-35EA9CC21840}" name="Module_Overview" displayName="Module_Overview" ref="F15:F20" totalsRowShown="0" dataDxfId="1082">
  <autoFilter ref="F15:F20" xr:uid="{1B2BCD7B-6C15-4B1C-86BC-48FF83D8F225}"/>
  <tableColumns count="1">
    <tableColumn id="1" xr3:uid="{AD6B21BA-8875-45A9-8932-F4F0FB08A980}" name="Module Overview" dataDxfId="1081"/>
  </tableColumns>
  <tableStyleInfo name="TableStyleMedium6"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9DD1CC4-8FCD-4438-91A2-90693EC04391}" name="Module_Notes" displayName="Module_Notes" ref="F22:F33" totalsRowShown="0" dataDxfId="1080">
  <autoFilter ref="F22:F33" xr:uid="{D5968C0A-6D7E-4221-87EE-78A85A4039B3}"/>
  <tableColumns count="1">
    <tableColumn id="1" xr3:uid="{91D0B8DA-30D1-4338-88D9-5A2355C1DF22}" name="Additional Information/Notes" dataDxfId="1079"/>
  </tableColumns>
  <tableStyleInfo name="TableStyleMedium6"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4" xr:uid="{17E94F5D-87D3-4DF8-986C-B28A1AFAD773}" name="4101SPS_Meta" displayName="_4101SPS_Meta" ref="C6:D14" totalsRowShown="0" headerRowDxfId="1078" dataDxfId="1077">
  <autoFilter ref="C6:D14" xr:uid="{CD75D2A7-14B1-4ABD-B64D-6E875F9BC652}">
    <filterColumn colId="0" hiddenButton="1"/>
    <filterColumn colId="1" hiddenButton="1"/>
  </autoFilter>
  <tableColumns count="2">
    <tableColumn id="1" xr3:uid="{DC5E8FB2-F1EF-4C76-ADAD-8DF1D4236058}" name="Module Data" dataDxfId="1076"/>
    <tableColumn id="2" xr3:uid="{3CEC4644-C90E-484A-BB04-BC7E2522484B}" name="Details" dataDxfId="1075"/>
  </tableColumns>
  <tableStyleInfo name="TableStyleMedium6"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5" xr:uid="{9E236EF1-A2F6-44EA-9CD3-686F2C6247E0}" name="4101SPS_LO" displayName="_4101SPS_LO" ref="C28:D33" totalsRowShown="0" headerRowDxfId="1074" dataDxfId="1073">
  <autoFilter ref="C28:D33" xr:uid="{22316987-6BEB-4FAF-9619-BF9BE9909CFA}">
    <filterColumn colId="0" hiddenButton="1"/>
    <filterColumn colId="1" hiddenButton="1"/>
  </autoFilter>
  <tableColumns count="2">
    <tableColumn id="1" xr3:uid="{96E1C0A4-F310-4104-877A-16C95A9DF8F8}" name="LO Number" dataDxfId="1072"/>
    <tableColumn id="2" xr3:uid="{5193B932-1BB4-4665-BB60-1094CB27D2FB}" name="LO Description" dataDxfId="1071"/>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6" xr:uid="{8FFE59E6-A839-4DF2-B28B-BA390FAAC7FF}" name="4101SPS_Assess" displayName="_4101SPS_Assess" ref="C37:H41" totalsRowShown="0" headerRowDxfId="1070" dataDxfId="1069">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0154566D-F16C-483F-9906-53214A1163EC}" name="Assessment No" dataDxfId="1068"/>
    <tableColumn id="2" xr3:uid="{F6CC8F23-24C9-49E1-A7E1-F0C42C5E4062}" name="Assessment Type" dataDxfId="1067"/>
    <tableColumn id="7" xr3:uid="{23445359-B102-481A-9626-644EC1147971}" name="Assessment Specific" dataDxfId="1066"/>
    <tableColumn id="3" xr3:uid="{09F68760-DB1D-47DA-9C3B-991E85819122}" name="Assessment Description" dataDxfId="1065"/>
    <tableColumn id="4" xr3:uid="{9C4EFAF0-0549-4906-AB40-C8046612A4D0}" name="Weighting" dataDxfId="1064"/>
    <tableColumn id="5" xr3:uid="{6867F2EF-8B96-4C7F-A3F0-4AD115D6B611}" name="Due Week" dataDxfId="1063"/>
  </tableColumns>
  <tableStyleInfo name="TableStyleMedium3"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7" xr:uid="{563A272D-E3F6-4799-9E67-4B36BC407350}" name="4101SPS_Weekly" displayName="_4101SPS_Weekly" ref="B70:F94" totalsRowShown="0" headerRowDxfId="1062" dataDxfId="1061">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DB0408B6-1C06-4309-B9B2-E387A6531EBC}" name="Semester " dataDxfId="1060"/>
    <tableColumn id="2" xr3:uid="{3DC0D0B8-ED93-4FAA-ACD1-6A257B8D7D8B}" name="Week Number" dataDxfId="1059"/>
    <tableColumn id="3" xr3:uid="{396A1CD9-0EA8-4576-AC19-41A37C40C78C}" name="Weekly Content 1" dataDxfId="1058"/>
    <tableColumn id="4" xr3:uid="{27E6FFD2-4BB2-4380-B643-929F8059E10C}" name="Weekly Content 2" dataDxfId="1057"/>
    <tableColumn id="5" xr3:uid="{5D410880-EC3B-476E-B727-61773B3F1720}" name="Weekly Content 3" dataDxfId="1056"/>
  </tableColumns>
  <tableStyleInfo name="TableStyleMedium4"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8" xr:uid="{2034533F-3C96-4BBB-B91F-96B2BF107FF6}" name="4101SPS_Hours" displayName="_4101SPS_Hours" ref="C18:D24" totalsRowShown="0" headerRowDxfId="1055" dataDxfId="1054">
  <autoFilter ref="C18:D24" xr:uid="{B71A3569-AA65-4A4E-98A2-885F5C38B46D}">
    <filterColumn colId="0" hiddenButton="1"/>
    <filterColumn colId="1" hiddenButton="1"/>
  </autoFilter>
  <tableColumns count="2">
    <tableColumn id="1" xr3:uid="{50ADF208-83C1-48D5-9F5C-65E697F266B7}" name="Component" dataDxfId="1053"/>
    <tableColumn id="2" xr3:uid="{1EADC3A3-1557-4323-A40A-C84AEA0F188A}" name="Contact Hours" dataDxfId="1052"/>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9" xr:uid="{5BB88119-4CEC-4B9F-9734-616397E661D4}" name="4101SPS_Mapping" displayName="_4101SPS_Mapping" ref="C45:F66" totalsRowShown="0" headerRowDxfId="1051" dataDxfId="1050">
  <autoFilter ref="C45:F66" xr:uid="{E0A841BB-B6D5-4048-B5F2-18CF9F502EBA}">
    <filterColumn colId="0" hiddenButton="1"/>
    <filterColumn colId="1" hiddenButton="1"/>
    <filterColumn colId="2" hiddenButton="1"/>
    <filterColumn colId="3" hiddenButton="1"/>
  </autoFilter>
  <tableColumns count="4">
    <tableColumn id="1" xr3:uid="{4F176BC0-31BF-4358-B856-EFBB6BB7AAB0}" name="Assessment No" dataDxfId="1049"/>
    <tableColumn id="2" xr3:uid="{162D175A-F572-46B3-8399-9FF334864C28}" name="LO Number" dataDxfId="1048"/>
    <tableColumn id="3" xr3:uid="{4B8F87D6-8076-4256-870F-FFB0D542729A}" name="Graduate Skills Category" dataDxfId="1047"/>
    <tableColumn id="4" xr3:uid="{3DB5254F-E5B1-45EA-B3FC-772579673F08}" name="Graduate Skill" dataDxfId="1046"/>
  </tableColumns>
  <tableStyleInfo name="TableStyleMedium3"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0" xr:uid="{66D0C022-EFBE-4464-91FC-F436D7DFB43A}" name="4101SPS_Aims" displayName="_4101SPS_Aims" ref="F6:F8" totalsRowShown="0" headerRowDxfId="1045" dataDxfId="1044">
  <autoFilter ref="F6:F8" xr:uid="{9552138F-2332-4BC4-A585-0E13162881A5}"/>
  <tableColumns count="1">
    <tableColumn id="1" xr3:uid="{D5911F00-3A12-4884-94FA-2461F2E6A773}" name="Aims" dataDxfId="1043"/>
  </tableColumns>
  <tableStyleInfo name="TableStyleMedium6"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1" xr:uid="{5F89D8F4-40FF-4A85-91D9-660D46503FEA}" name="4101SPS_Syllabus" displayName="_4101SPS_Syllabus" ref="F10:F13" totalsRowShown="0" headerRowDxfId="1042" dataDxfId="1041">
  <autoFilter ref="F10:F13" xr:uid="{94F18F67-3F10-4F6E-A953-4FE3399B07F2}"/>
  <tableColumns count="1">
    <tableColumn id="1" xr3:uid="{1984609B-7A7C-44AA-A114-5466EF451351}" name="Outline Syllabus" dataDxfId="1040"/>
  </tableColumns>
  <tableStyleInfo name="TableStyleMedium6"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2" xr:uid="{2CE8D45C-F32D-403F-87CE-50D315C2F149}" name="4101SPS_Overview" displayName="_4101SPS_Overview" ref="F15:F20" totalsRowShown="0" headerRowDxfId="1039" dataDxfId="1038">
  <autoFilter ref="F15:F20" xr:uid="{1B2BCD7B-6C15-4B1C-86BC-48FF83D8F225}"/>
  <tableColumns count="1">
    <tableColumn id="1" xr3:uid="{19A46962-3EFC-4EE2-ACCE-5363E30EDC4F}" name="Module Overview" dataDxfId="1037"/>
  </tableColumns>
  <tableStyleInfo name="TableStyleMedium6"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3" xr:uid="{9A33D543-C10F-446B-A3DE-E3B66E260D5A}" name="4101SPS_Notes" displayName="_4101SPS_Notes" ref="F22:F33" totalsRowShown="0" headerRowDxfId="1036" dataDxfId="1035">
  <autoFilter ref="F22:F33" xr:uid="{D5968C0A-6D7E-4221-87EE-78A85A4039B3}"/>
  <tableColumns count="1">
    <tableColumn id="1" xr3:uid="{EEDA3204-13C4-4B95-A550-B650C09B689D}" name="Additional Information/Notes" dataDxfId="1034"/>
  </tableColumns>
  <tableStyleInfo name="TableStyleMedium6"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4" xr:uid="{75083FE9-FEE8-4F27-B169-A64C8DDF0D6F}" name="4102SPS_Meta" displayName="_4102SPS_Meta" ref="C6:D14" totalsRowShown="0" headerRowDxfId="1033" dataDxfId="1032">
  <autoFilter ref="C6:D14" xr:uid="{CD75D2A7-14B1-4ABD-B64D-6E875F9BC652}">
    <filterColumn colId="0" hiddenButton="1"/>
    <filterColumn colId="1" hiddenButton="1"/>
  </autoFilter>
  <tableColumns count="2">
    <tableColumn id="1" xr3:uid="{70210DD7-8693-47F9-9121-A95800E8A890}" name="Module Data" dataDxfId="1031"/>
    <tableColumn id="2" xr3:uid="{30CA9DF0-4D82-4AAC-B5A4-5E23096210E4}" name="Details" dataDxfId="1030"/>
  </tableColumns>
  <tableStyleInfo name="TableStyleMedium6"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5" xr:uid="{AF59724A-3670-4399-BA93-39FEA8D87F5A}" name="4102SPS_LO" displayName="_4102SPS_LO" ref="C28:D33" totalsRowShown="0" headerRowDxfId="1029" dataDxfId="1028">
  <autoFilter ref="C28:D33" xr:uid="{22316987-6BEB-4FAF-9619-BF9BE9909CFA}">
    <filterColumn colId="0" hiddenButton="1"/>
    <filterColumn colId="1" hiddenButton="1"/>
  </autoFilter>
  <tableColumns count="2">
    <tableColumn id="1" xr3:uid="{1ECDF0C7-AF26-464B-BCE9-2B009E72BD6C}" name="LO Number" dataDxfId="1027"/>
    <tableColumn id="2" xr3:uid="{5D84BD32-1C18-49FB-8945-25164268A306}" name="LO Description" dataDxfId="1026"/>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6" xr:uid="{A1E41A91-9FB7-4F18-A714-29B8ED4AB3ED}" name="4102SPS_Assess" displayName="_4102SPS_Assess" ref="C37:H41" totalsRowShown="0" headerRowDxfId="1025" dataDxfId="1024">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74414914-53A5-4154-89A0-8C792B2D38F5}" name="Assessment No" dataDxfId="1023"/>
    <tableColumn id="2" xr3:uid="{EBA9F26A-003A-4A21-92B3-3846A60685B4}" name="Assessment Type" dataDxfId="1022"/>
    <tableColumn id="7" xr3:uid="{1FA35D8A-ADF2-474B-870B-830A4424621D}" name="Assessment Specific" dataDxfId="1021"/>
    <tableColumn id="3" xr3:uid="{778C1D37-8633-48FE-8CDE-43AF7CFB80F6}" name="Assessment Description" dataDxfId="1020"/>
    <tableColumn id="4" xr3:uid="{88DDF55E-0393-47ED-8B52-A643AB84C782}" name="Weighting" dataDxfId="1019"/>
    <tableColumn id="5" xr3:uid="{6A573A22-F1F9-4642-BB99-12D366C6574B}" name="Due Week" dataDxfId="1018"/>
  </tableColumns>
  <tableStyleInfo name="TableStyleMedium3"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7" xr:uid="{085665BF-2A25-482A-81FF-D1BE0192FF28}" name="4102SPS_Weekly" displayName="_4102SPS_Weekly" ref="B70:F94" totalsRowShown="0" headerRowDxfId="1017" dataDxfId="1016">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0982B878-AABF-4362-9EB5-1CED66D2FF3A}" name="Semester " dataDxfId="1015"/>
    <tableColumn id="2" xr3:uid="{C17B4C7C-BC0A-4B70-9112-0207C120A6F5}" name="Week Number" dataDxfId="1014"/>
    <tableColumn id="3" xr3:uid="{10BC0F5B-D1A3-4EC0-B433-70F0D238CC5A}" name="Weekly Content 1" dataDxfId="1013"/>
    <tableColumn id="4" xr3:uid="{1CD2C705-EB74-4B5E-A0A5-A3E89451D6CA}" name="Weekly Content 2" dataDxfId="1012"/>
    <tableColumn id="5" xr3:uid="{5D8725BC-5C35-40EE-8D33-26FB3EA6913F}" name="Weekly Content 3" dataDxfId="1011"/>
  </tableColumns>
  <tableStyleInfo name="TableStyleMedium4"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8" xr:uid="{05C059EB-680C-4DD3-B7B3-05C171F4FDD6}" name="4102SPS_Hours" displayName="_4102SPS_Hours" ref="C18:D24" totalsRowShown="0" headerRowDxfId="1010" dataDxfId="1009">
  <autoFilter ref="C18:D24" xr:uid="{B71A3569-AA65-4A4E-98A2-885F5C38B46D}">
    <filterColumn colId="0" hiddenButton="1"/>
    <filterColumn colId="1" hiddenButton="1"/>
  </autoFilter>
  <tableColumns count="2">
    <tableColumn id="1" xr3:uid="{D165B1FC-543F-4341-B2A0-C0EB1A44C20C}" name="Component" dataDxfId="1008"/>
    <tableColumn id="2" xr3:uid="{2C358000-6828-4206-BBB3-6BA3D7B77570}" name="Contact Hours" dataDxfId="1007"/>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9" xr:uid="{B5B9D10C-8A94-44FC-823D-6393365CD951}" name="4102SPS_Mapping" displayName="_4102SPS_Mapping" ref="C45:F66" totalsRowShown="0" headerRowDxfId="1006" dataDxfId="1005">
  <autoFilter ref="C45:F66" xr:uid="{E0A841BB-B6D5-4048-B5F2-18CF9F502EBA}">
    <filterColumn colId="0" hiddenButton="1"/>
    <filterColumn colId="1" hiddenButton="1"/>
    <filterColumn colId="2" hiddenButton="1"/>
    <filterColumn colId="3" hiddenButton="1"/>
  </autoFilter>
  <tableColumns count="4">
    <tableColumn id="1" xr3:uid="{7EB170E9-2FDD-4DCD-B519-E7F12E8D52C7}" name="Assessment No" dataDxfId="1004"/>
    <tableColumn id="2" xr3:uid="{227EDB49-2E3A-4877-9C36-33C3F03CF48C}" name="LO Number" dataDxfId="1003"/>
    <tableColumn id="3" xr3:uid="{715C2316-1A4A-491D-A809-299250606610}" name="Graduate Skills Category" dataDxfId="1002"/>
    <tableColumn id="4" xr3:uid="{788AAA21-04C3-4566-B4BB-1857DF5CA6B2}" name="Graduate Skill" dataDxfId="1001"/>
  </tableColumns>
  <tableStyleInfo name="TableStyleMedium3"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0" xr:uid="{C8416254-915D-48C3-B376-7C389E90CD9D}" name="4102SPS_Aims" displayName="_4102SPS_Aims" ref="F6:F8" totalsRowShown="0" headerRowDxfId="1000" dataDxfId="999">
  <autoFilter ref="F6:F8" xr:uid="{9552138F-2332-4BC4-A585-0E13162881A5}"/>
  <tableColumns count="1">
    <tableColumn id="1" xr3:uid="{D78B9EBB-342F-434D-8A09-59BFF176D758}" name="Aims" dataDxfId="998"/>
  </tableColumns>
  <tableStyleInfo name="TableStyleMedium6"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1" xr:uid="{665C7543-9A8F-45E3-94F9-FB56CA37B137}" name="4102SPS_Syllabus" displayName="_4102SPS_Syllabus" ref="F10:F13" totalsRowShown="0" headerRowDxfId="997" dataDxfId="996">
  <autoFilter ref="F10:F13" xr:uid="{94F18F67-3F10-4F6E-A953-4FE3399B07F2}"/>
  <tableColumns count="1">
    <tableColumn id="1" xr3:uid="{7007DC8B-FE79-4463-BAE3-44C537876FE8}" name="Outline Syllabus" dataDxfId="995"/>
  </tableColumns>
  <tableStyleInfo name="TableStyleMedium6"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2" xr:uid="{78676DAD-B831-40BA-9D1D-0DFD7B5CE7BC}" name="4102SPS_Overview" displayName="_4102SPS_Overview" ref="F15:F20" totalsRowShown="0" headerRowDxfId="994" dataDxfId="993">
  <autoFilter ref="F15:F20" xr:uid="{1B2BCD7B-6C15-4B1C-86BC-48FF83D8F225}"/>
  <tableColumns count="1">
    <tableColumn id="1" xr3:uid="{FCC1C58C-CF4D-476E-9721-41272F3EA00A}" name="Module Overview" dataDxfId="992"/>
  </tableColumns>
  <tableStyleInfo name="TableStyleMedium6"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3" xr:uid="{A1962770-F53C-43B4-8AF1-88F38EC66B1F}" name="4102SPS_Notes" displayName="_4102SPS_Notes" ref="F22:F33" totalsRowShown="0" headerRowDxfId="991" dataDxfId="990">
  <autoFilter ref="F22:F33" xr:uid="{D5968C0A-6D7E-4221-87EE-78A85A4039B3}"/>
  <tableColumns count="1">
    <tableColumn id="1" xr3:uid="{9ABE691D-D9E9-4EB5-9717-89C3D9579FFC}" name="Additional Information/Notes" dataDxfId="989"/>
  </tableColumns>
  <tableStyleInfo name="TableStyleMedium6"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46C4896-A2E4-423D-8E90-EB5A2AB3245B}" name="4091SPS_Meta" displayName="_4091SPS_Meta" ref="C6:D14" totalsRowShown="0" headerRowDxfId="988" dataDxfId="987">
  <autoFilter ref="C6:D14" xr:uid="{CD75D2A7-14B1-4ABD-B64D-6E875F9BC652}">
    <filterColumn colId="0" hiddenButton="1"/>
    <filterColumn colId="1" hiddenButton="1"/>
  </autoFilter>
  <tableColumns count="2">
    <tableColumn id="1" xr3:uid="{5CAE6DCC-0B4E-4410-BC17-0966ECA43772}" name="Module Data" dataDxfId="986"/>
    <tableColumn id="2" xr3:uid="{970E26A5-A7F4-4321-B82B-D13FE1144137}" name="Details" dataDxfId="985"/>
  </tableColumns>
  <tableStyleInfo name="TableStyleMedium6"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61492619-E6E6-43FB-A784-44619DDE64D8}" name="4091SPS_LO" displayName="_4091SPS_LO" ref="C28:D33" totalsRowShown="0" headerRowDxfId="984" dataDxfId="983">
  <autoFilter ref="C28:D33" xr:uid="{22316987-6BEB-4FAF-9619-BF9BE9909CFA}">
    <filterColumn colId="0" hiddenButton="1"/>
    <filterColumn colId="1" hiddenButton="1"/>
  </autoFilter>
  <tableColumns count="2">
    <tableColumn id="1" xr3:uid="{0A11F82C-9CC6-4514-8C9C-A57873EAD2B2}" name="LO Number" dataDxfId="982"/>
    <tableColumn id="2" xr3:uid="{F31332DF-C392-41DF-953C-3A3C50595C13}" name="LO Description" dataDxfId="981"/>
  </tableColumns>
  <tableStyleInfo name="TableStyleMedium2"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414B2934-6843-4DAA-9409-7B27337223D4}" name="4091SPS_Assess" displayName="_4091SPS_Assess" ref="C37:H41" totalsRowShown="0" headerRowDxfId="980" dataDxfId="979">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A4325A3F-13DE-4FB0-8F03-817E79ACEBCC}" name="Assessment No" dataDxfId="978"/>
    <tableColumn id="2" xr3:uid="{6EDF5DE8-6C8F-4C2D-A6DF-AC6BEF22BC64}" name="Assessment Type" dataDxfId="977"/>
    <tableColumn id="7" xr3:uid="{AA3B32F1-6075-4714-A6BA-9731314D07D0}" name="Assessment Specific" dataDxfId="976"/>
    <tableColumn id="3" xr3:uid="{8E3A26D1-F578-415A-B678-167984B814DB}" name="Assessment Description" dataDxfId="975"/>
    <tableColumn id="4" xr3:uid="{9E6C966A-5630-4D4C-9627-7591122D0259}" name="Weighting" dataDxfId="974"/>
    <tableColumn id="5" xr3:uid="{C9B05E13-38F4-4E03-B0D3-D0EE3F95EB2B}" name="Due Week" dataDxfId="973"/>
  </tableColumns>
  <tableStyleInfo name="TableStyleMedium3"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EDC7DF7E-3F13-43A7-BE1F-79B23F5E013B}" name="4091SPS_Weekly" displayName="_4091SPS_Weekly" ref="B61:F85" totalsRowShown="0" headerRowDxfId="972" dataDxfId="971">
  <autoFilter ref="B61:F85" xr:uid="{3A41AF80-1AD3-44F6-93D1-6C4A16CCF943}">
    <filterColumn colId="0" hiddenButton="1"/>
    <filterColumn colId="1" hiddenButton="1"/>
    <filterColumn colId="2" hiddenButton="1"/>
    <filterColumn colId="3" hiddenButton="1"/>
    <filterColumn colId="4" hiddenButton="1"/>
  </autoFilter>
  <tableColumns count="5">
    <tableColumn id="1" xr3:uid="{901447A2-AD62-4BA6-B372-760C4E77E787}" name="Semester " dataDxfId="970"/>
    <tableColumn id="2" xr3:uid="{FD7D723C-B230-47EC-A26D-C7473B04B404}" name="Week Number" dataDxfId="969"/>
    <tableColumn id="3" xr3:uid="{D9C76432-1B48-453C-894F-F7D3D2065F07}" name="Weekly Content 1" dataDxfId="968"/>
    <tableColumn id="4" xr3:uid="{D09AF3FF-5DB0-4227-A133-D20512EFAC6D}" name="Weekly Content 2" dataDxfId="967"/>
    <tableColumn id="5" xr3:uid="{FA0AC2DC-5772-4DA1-A019-C97829960860}" name="Weekly Content 3" dataDxfId="966"/>
  </tableColumns>
  <tableStyleInfo name="TableStyleMedium4"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AB1BBEE2-212D-4512-BC80-E7FE68691DAA}" name="4091SPS_Hours" displayName="_4091SPS_Hours" ref="C18:D24" totalsRowShown="0" headerRowDxfId="965" dataDxfId="964">
  <autoFilter ref="C18:D24" xr:uid="{B71A3569-AA65-4A4E-98A2-885F5C38B46D}">
    <filterColumn colId="0" hiddenButton="1"/>
    <filterColumn colId="1" hiddenButton="1"/>
  </autoFilter>
  <tableColumns count="2">
    <tableColumn id="1" xr3:uid="{6802FBB4-907A-473D-8B88-8D88B0EEC271}" name="Component" dataDxfId="963"/>
    <tableColumn id="2" xr3:uid="{3E9DF78E-6E77-4BE5-A314-09B570297DA8}" name="Contact Hours" dataDxfId="962"/>
  </tableColumns>
  <tableStyleInfo name="TableStyleMedium2"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5F10E51D-FB34-4798-B43F-9197E91048A2}" name="4091SPS_Mapping" displayName="_4091SPS_Mapping" ref="C45:F57" totalsRowShown="0" headerRowDxfId="961" dataDxfId="960">
  <autoFilter ref="C45:F57" xr:uid="{E0A841BB-B6D5-4048-B5F2-18CF9F502EBA}">
    <filterColumn colId="0" hiddenButton="1"/>
    <filterColumn colId="1" hiddenButton="1"/>
    <filterColumn colId="2" hiddenButton="1"/>
    <filterColumn colId="3" hiddenButton="1"/>
  </autoFilter>
  <tableColumns count="4">
    <tableColumn id="1" xr3:uid="{9B8D8B0F-B618-4B6D-A024-13D81EA1B6A8}" name="Assessment No" dataDxfId="959"/>
    <tableColumn id="2" xr3:uid="{D23DD564-B79B-4904-9554-72695B80AD45}" name="LO Number" dataDxfId="958"/>
    <tableColumn id="3" xr3:uid="{88C32D0A-874A-468F-A832-EEE52A351A07}" name="Graduate Skills Category" dataDxfId="957"/>
    <tableColumn id="4" xr3:uid="{1E14291E-5A6F-43C1-A360-D9FFACA1968A}" name="Graduate Skill" dataDxfId="956"/>
  </tableColumns>
  <tableStyleInfo name="TableStyleMedium3"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942F5B4C-7A89-4693-8B50-CE2823EB4531}" name="4091SPS_Aims" displayName="_4091SPS_Aims" ref="F6:F8" totalsRowShown="0" headerRowDxfId="955" dataDxfId="954">
  <autoFilter ref="F6:F8" xr:uid="{9552138F-2332-4BC4-A585-0E13162881A5}"/>
  <tableColumns count="1">
    <tableColumn id="1" xr3:uid="{9FEDC839-8D77-4978-9FAB-CCC1EFD3F9DD}" name="Aims" dataDxfId="953"/>
  </tableColumns>
  <tableStyleInfo name="TableStyleMedium6"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6EE4159-81BE-4657-8E77-92CD77507775}" name="4091SPS_Syllabus" displayName="_4091SPS_Syllabus" ref="F10:F13" totalsRowShown="0" headerRowDxfId="952" dataDxfId="951">
  <autoFilter ref="F10:F13" xr:uid="{94F18F67-3F10-4F6E-A953-4FE3399B07F2}"/>
  <tableColumns count="1">
    <tableColumn id="1" xr3:uid="{3FF080E0-4BCF-4535-9268-5A1BB69C31D2}" name="Outline Syllabus" dataDxfId="950"/>
  </tableColumns>
  <tableStyleInfo name="TableStyleMedium6"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B00EC6A0-21E5-4A73-BB76-F2D1CC9A53CF}" name="4091SPS_Overview" displayName="_4091SPS_Overview" ref="F15:F20" totalsRowShown="0" headerRowDxfId="949" dataDxfId="948">
  <autoFilter ref="F15:F20" xr:uid="{1B2BCD7B-6C15-4B1C-86BC-48FF83D8F225}"/>
  <tableColumns count="1">
    <tableColumn id="1" xr3:uid="{1EA79F76-A3E4-477D-AF9C-12FAD11B790E}" name="Module Overview" dataDxfId="947"/>
  </tableColumns>
  <tableStyleInfo name="TableStyleMedium6"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6D53F410-3C16-49E4-9950-96B40C17C239}" name="4091SPS_Notes" displayName="_4091SPS_Notes" ref="F22:F33" totalsRowShown="0" headerRowDxfId="946" dataDxfId="945">
  <autoFilter ref="F22:F33" xr:uid="{D5968C0A-6D7E-4221-87EE-78A85A4039B3}"/>
  <tableColumns count="1">
    <tableColumn id="1" xr3:uid="{31D7E7BF-E4C9-4356-AB1C-2456C826DF1D}" name="Additional Information/Notes" dataDxfId="944"/>
  </tableColumns>
  <tableStyleInfo name="TableStyleMedium6"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4" xr:uid="{28372338-2E37-4191-80AB-7CDEB7097C85}" name="4092SPS_Meta" displayName="_4092SPS_Meta" ref="C6:D14" totalsRowShown="0" headerRowDxfId="943" dataDxfId="942">
  <autoFilter ref="C6:D14" xr:uid="{CD75D2A7-14B1-4ABD-B64D-6E875F9BC652}">
    <filterColumn colId="0" hiddenButton="1"/>
    <filterColumn colId="1" hiddenButton="1"/>
  </autoFilter>
  <tableColumns count="2">
    <tableColumn id="1" xr3:uid="{C794C41A-B3D4-4E3F-B5FB-FA944F9B274E}" name="Module Data" dataDxfId="941"/>
    <tableColumn id="2" xr3:uid="{E49520ED-A919-4952-A8A6-55CE0CAA2CD7}" name="Details" dataDxfId="940"/>
  </tableColumns>
  <tableStyleInfo name="TableStyleMedium6"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5" xr:uid="{62048854-D31A-43BA-A061-6227835FFFFB}" name="4092SPS_LO" displayName="_4092SPS_LO" ref="C28:D33" totalsRowShown="0" headerRowDxfId="939" dataDxfId="938">
  <autoFilter ref="C28:D33" xr:uid="{22316987-6BEB-4FAF-9619-BF9BE9909CFA}">
    <filterColumn colId="0" hiddenButton="1"/>
    <filterColumn colId="1" hiddenButton="1"/>
  </autoFilter>
  <tableColumns count="2">
    <tableColumn id="1" xr3:uid="{80C0D1F0-F1A8-4430-808B-47BCEEF20CE4}" name="LO Number" dataDxfId="937"/>
    <tableColumn id="2" xr3:uid="{18D491B4-A69E-4F4C-B75D-F831CDDE9B61}" name="LO Description" dataDxfId="936"/>
  </tableColumns>
  <tableStyleInfo name="TableStyleMedium2"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6" xr:uid="{E62F148C-32C1-4823-8551-4E62CBC93400}" name="4092SPS_Assess" displayName="_4092SPS_Assess" ref="C37:H41" totalsRowShown="0" headerRowDxfId="935" dataDxfId="934">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E670D0D0-8BA0-4284-A342-868A64B5C97B}" name="Assessment No" dataDxfId="933"/>
    <tableColumn id="2" xr3:uid="{303588A5-09EF-4283-9F8D-0F1977EB4446}" name="Assessment Type" dataDxfId="932"/>
    <tableColumn id="7" xr3:uid="{38DE938A-79BC-4F55-9B11-8E225C93CFBC}" name="Assessment Specific" dataDxfId="931"/>
    <tableColumn id="3" xr3:uid="{09C8715D-B38A-42DD-AD3B-162E48F08BB1}" name="Assessment Description" dataDxfId="930"/>
    <tableColumn id="4" xr3:uid="{5F982B10-F8BC-4F37-9652-E995FCBDCC5C}" name="Weighting" dataDxfId="929"/>
    <tableColumn id="5" xr3:uid="{23DBA92E-BC2A-45A7-9C8F-206778783AC7}" name="Due Week" dataDxfId="928"/>
  </tableColumns>
  <tableStyleInfo name="TableStyleMedium3"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7" xr:uid="{2BCBD85E-E61A-45D7-B351-DA973823C825}" name="4092SPS_Weekly" displayName="_4092SPS_Weekly" ref="B70:F94" totalsRowShown="0" headerRowDxfId="927" dataDxfId="926">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2B9E3293-90E7-4154-BA1A-31C1207E8B9A}" name="Semester " dataDxfId="925"/>
    <tableColumn id="2" xr3:uid="{DB652FCB-2B91-445C-9704-199CE040B8F2}" name="Week Number" dataDxfId="924"/>
    <tableColumn id="3" xr3:uid="{D97A9609-D887-4F4A-AD6D-4D81CFB13BF4}" name="Weekly Content 1" dataDxfId="923"/>
    <tableColumn id="4" xr3:uid="{BA12CC17-6A24-48D2-96FA-AE4A6A326331}" name="Weekly Content 2" dataDxfId="922"/>
    <tableColumn id="5" xr3:uid="{E745714E-A74C-41FD-998E-D63BB2086608}" name="Weekly Content 3" dataDxfId="921"/>
  </tableColumns>
  <tableStyleInfo name="TableStyleMedium4"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8" xr:uid="{947C7909-EA40-4340-B6C7-193437AE54F2}" name="4092SPS_Hours" displayName="_4092SPS_Hours" ref="C18:D24" totalsRowShown="0" headerRowDxfId="920" dataDxfId="919">
  <autoFilter ref="C18:D24" xr:uid="{B71A3569-AA65-4A4E-98A2-885F5C38B46D}">
    <filterColumn colId="0" hiddenButton="1"/>
    <filterColumn colId="1" hiddenButton="1"/>
  </autoFilter>
  <tableColumns count="2">
    <tableColumn id="1" xr3:uid="{F5B85481-760E-46D7-B7FD-F25114B32834}" name="Component" dataDxfId="918"/>
    <tableColumn id="2" xr3:uid="{F11A4515-4BF8-45E6-A01E-E4B979E5F657}" name="Contact Hours" dataDxfId="917"/>
  </tableColumns>
  <tableStyleInfo name="TableStyleMedium2"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9" xr:uid="{A1BFC9D3-5A8B-468D-B809-548205A5EBD2}" name="4092SPS_Mapping" displayName="_4092SPS_Mapping" ref="C45:F66" totalsRowShown="0" headerRowDxfId="916" dataDxfId="915">
  <autoFilter ref="C45:F66" xr:uid="{E0A841BB-B6D5-4048-B5F2-18CF9F502EBA}">
    <filterColumn colId="0" hiddenButton="1"/>
    <filterColumn colId="1" hiddenButton="1"/>
    <filterColumn colId="2" hiddenButton="1"/>
    <filterColumn colId="3" hiddenButton="1"/>
  </autoFilter>
  <tableColumns count="4">
    <tableColumn id="1" xr3:uid="{E77E9759-ABCD-4319-87F6-DB7A694E6AD1}" name="Assessment No" dataDxfId="914"/>
    <tableColumn id="2" xr3:uid="{83283E9D-E72D-4033-AEEC-CD3908E140C0}" name="LO Number" dataDxfId="913"/>
    <tableColumn id="3" xr3:uid="{41E9FCD1-0B07-4E05-AC6A-E51D0FEBF769}" name="Graduate Skills Category" dataDxfId="912"/>
    <tableColumn id="4" xr3:uid="{5E9350FF-E07F-4FD3-87B6-CD11C2FE35F0}" name="Graduate Skill" dataDxfId="911"/>
  </tableColumns>
  <tableStyleInfo name="TableStyleMedium3"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0" xr:uid="{A309254B-0329-4E26-82FD-04396CECAA92}" name="4092SPS_Aims" displayName="_4092SPS_Aims" ref="F6:F8" totalsRowShown="0" headerRowDxfId="910" dataDxfId="909">
  <autoFilter ref="F6:F8" xr:uid="{9552138F-2332-4BC4-A585-0E13162881A5}"/>
  <tableColumns count="1">
    <tableColumn id="1" xr3:uid="{9E01E8B7-2D84-4DC8-9BC2-41B080983931}" name="Aims" dataDxfId="908"/>
  </tableColumns>
  <tableStyleInfo name="TableStyleMedium6"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1" xr:uid="{FA1F02C6-79F7-461C-95EF-812C63A653E6}" name="4092SPS_Syllabus" displayName="_4092SPS_Syllabus" ref="F10:F13" totalsRowShown="0" headerRowDxfId="907" dataDxfId="906">
  <autoFilter ref="F10:F13" xr:uid="{94F18F67-3F10-4F6E-A953-4FE3399B07F2}"/>
  <tableColumns count="1">
    <tableColumn id="1" xr3:uid="{A9B5A855-86AA-4588-89FD-51A2545B2BB8}" name="Outline Syllabus" dataDxfId="905"/>
  </tableColumns>
  <tableStyleInfo name="TableStyleMedium6"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2" xr:uid="{0F30B56E-C191-41FD-8640-ADF8F59860D5}" name="4092SPS_Overview" displayName="_4092SPS_Overview" ref="F15:F20" totalsRowShown="0" headerRowDxfId="904" dataDxfId="903">
  <autoFilter ref="F15:F20" xr:uid="{1B2BCD7B-6C15-4B1C-86BC-48FF83D8F225}"/>
  <tableColumns count="1">
    <tableColumn id="1" xr3:uid="{ECDA9BFC-6E84-43FA-82B4-C3099170F9C1}" name="Module Overview" dataDxfId="902"/>
  </tableColumns>
  <tableStyleInfo name="TableStyleMedium6"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3" xr:uid="{1E22DC6B-4B6A-4E04-B552-B6DF48EDC3C9}" name="4092SPS_Notes" displayName="_4092SPS_Notes" ref="F22:F33" totalsRowShown="0" headerRowDxfId="901" dataDxfId="900">
  <autoFilter ref="F22:F33" xr:uid="{D5968C0A-6D7E-4221-87EE-78A85A4039B3}"/>
  <tableColumns count="1">
    <tableColumn id="1" xr3:uid="{4864C879-18E7-4489-BD28-43030BE0548E}" name="Additional Information/Notes" dataDxfId="899"/>
  </tableColumns>
  <tableStyleInfo name="TableStyleMedium6"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E9FA17F3-8510-4713-9EFA-F81B9896C75F}" name="4094SPS_Meta" displayName="_4094SPS_Meta" ref="C6:D14" totalsRowShown="0" headerRowDxfId="898" dataDxfId="897">
  <autoFilter ref="C6:D14" xr:uid="{CD75D2A7-14B1-4ABD-B64D-6E875F9BC652}">
    <filterColumn colId="0" hiddenButton="1"/>
    <filterColumn colId="1" hiddenButton="1"/>
  </autoFilter>
  <tableColumns count="2">
    <tableColumn id="1" xr3:uid="{644E4444-F68A-4E74-BD5D-8748CD05A7D2}" name="Module Data" dataDxfId="896"/>
    <tableColumn id="2" xr3:uid="{AF6CCCE6-633B-4669-B570-EB4F893B50C4}" name="Details" dataDxfId="895"/>
  </tableColumns>
  <tableStyleInfo name="TableStyleMedium6"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A4EE75AE-77CE-4A68-A718-983DED4FF7A1}" name="4094SPS_LO" displayName="_4094SPS_LO" ref="C28:D33" totalsRowShown="0" headerRowDxfId="894" dataDxfId="893">
  <autoFilter ref="C28:D33" xr:uid="{22316987-6BEB-4FAF-9619-BF9BE9909CFA}">
    <filterColumn colId="0" hiddenButton="1"/>
    <filterColumn colId="1" hiddenButton="1"/>
  </autoFilter>
  <tableColumns count="2">
    <tableColumn id="1" xr3:uid="{589112ED-5C99-4CD7-912A-F216AEC245F3}" name="LO Number" dataDxfId="892"/>
    <tableColumn id="2" xr3:uid="{D42319CA-BEAF-49C8-8EC7-B45F24386E7A}" name="LO Description" dataDxfId="891"/>
  </tableColumns>
  <tableStyleInfo name="TableStyleMedium2"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FCAE2B91-6BD8-4529-8B59-5DB7121B1D24}" name="4094SPS_Assess" displayName="_4094SPS_Assess" ref="C37:H41" totalsRowShown="0" headerRowDxfId="890" dataDxfId="889">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6FED30EF-9DFC-4FCF-9A98-B1395296BD26}" name="Assessment No" dataDxfId="888"/>
    <tableColumn id="2" xr3:uid="{0C168E40-BC62-40F7-8494-D9D585BBF5DD}" name="Assessment Type" dataDxfId="887"/>
    <tableColumn id="7" xr3:uid="{03042C7C-BE5A-4EDB-B18A-F162688CAFDA}" name="Assessment Specific" dataDxfId="886"/>
    <tableColumn id="3" xr3:uid="{B536E57C-91CB-491F-8850-5E1F4FFB6EC2}" name="Assessment Description" dataDxfId="885"/>
    <tableColumn id="4" xr3:uid="{CFEF4DCA-7026-4AB8-9930-965F672B21EC}" name="Weighting" dataDxfId="884"/>
    <tableColumn id="5" xr3:uid="{268A91DF-58B1-43BF-A340-0E1D33705BAA}" name="Due Week" dataDxfId="883"/>
  </tableColumns>
  <tableStyleInfo name="TableStyleMedium3"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FAFDD563-D76D-4667-B964-69DE19A2F370}" name="4094SPS_Weekly" displayName="_4094SPS_Weekly" ref="B81:F105" totalsRowShown="0" headerRowDxfId="882" dataDxfId="881">
  <autoFilter ref="B81:F105" xr:uid="{3A41AF80-1AD3-44F6-93D1-6C4A16CCF943}">
    <filterColumn colId="0" hiddenButton="1"/>
    <filterColumn colId="1" hiddenButton="1"/>
    <filterColumn colId="2" hiddenButton="1"/>
    <filterColumn colId="3" hiddenButton="1"/>
    <filterColumn colId="4" hiddenButton="1"/>
  </autoFilter>
  <tableColumns count="5">
    <tableColumn id="1" xr3:uid="{2EC0DE77-F537-4352-B465-CD91C72B6257}" name="Semester " dataDxfId="880"/>
    <tableColumn id="2" xr3:uid="{916AD303-2708-4E40-8E0C-DE9D347BA8EA}" name="Week Number" dataDxfId="879"/>
    <tableColumn id="3" xr3:uid="{66580F8A-FF82-4503-9EBF-1B44DD45F9F5}" name="Weekly Content 1" dataDxfId="878"/>
    <tableColumn id="4" xr3:uid="{5E6D35EA-634F-45B1-8A96-068CB99E3BA7}" name="Weekly Content 2" dataDxfId="877"/>
    <tableColumn id="5" xr3:uid="{25F8B45E-A68A-40F6-AADD-D3228D0F228B}" name="Weekly Content 3" dataDxfId="876"/>
  </tableColumns>
  <tableStyleInfo name="TableStyleMedium4"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102355DE-CDC7-4C13-A897-B84D0D96A8FC}" name="4094SPS_Hours" displayName="_4094SPS_Hours" ref="C18:D24" totalsRowShown="0" headerRowDxfId="875" dataDxfId="874">
  <autoFilter ref="C18:D24" xr:uid="{B71A3569-AA65-4A4E-98A2-885F5C38B46D}">
    <filterColumn colId="0" hiddenButton="1"/>
    <filterColumn colId="1" hiddenButton="1"/>
  </autoFilter>
  <tableColumns count="2">
    <tableColumn id="1" xr3:uid="{E6DA5AB3-0374-477C-BB37-91CD5B04A8A7}" name="Component" dataDxfId="873"/>
    <tableColumn id="2" xr3:uid="{25171EA2-F360-4480-9A69-30F0637E5E19}" name="Contact Hours" dataDxfId="872"/>
  </tableColumns>
  <tableStyleInfo name="TableStyleMedium2"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20E05B93-0CDB-4250-BCA8-9C03D039B5AA}" name="4094SPS_Mapping" displayName="_4094SPS_Mapping" ref="C45:F75" totalsRowShown="0" headerRowDxfId="871" dataDxfId="870">
  <autoFilter ref="C45:F75" xr:uid="{E0A841BB-B6D5-4048-B5F2-18CF9F502EBA}">
    <filterColumn colId="0" hiddenButton="1"/>
    <filterColumn colId="1" hiddenButton="1"/>
    <filterColumn colId="2" hiddenButton="1"/>
    <filterColumn colId="3" hiddenButton="1"/>
  </autoFilter>
  <tableColumns count="4">
    <tableColumn id="1" xr3:uid="{5D5BD11A-55EF-4A54-875D-6C3259B55C2B}" name="Assessment No" dataDxfId="869"/>
    <tableColumn id="2" xr3:uid="{220CCF7F-D01D-41B9-83FA-AB3772B56C47}" name="LO Number" dataDxfId="868"/>
    <tableColumn id="3" xr3:uid="{35876AFA-8C5D-4EB6-A40B-8013521A5A47}" name="Graduate Skills Category" dataDxfId="867"/>
    <tableColumn id="4" xr3:uid="{8CC8B0ED-B11D-43C6-AB11-C69764FE383C}" name="Graduate Skill" dataDxfId="866"/>
  </tableColumns>
  <tableStyleInfo name="TableStyleMedium3"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AD421795-C657-4B23-85A2-74B0174B165C}" name="4094SPS_Aims" displayName="_4094SPS_Aims" ref="F6:F8" totalsRowShown="0" headerRowDxfId="865" dataDxfId="864">
  <autoFilter ref="F6:F8" xr:uid="{9552138F-2332-4BC4-A585-0E13162881A5}"/>
  <tableColumns count="1">
    <tableColumn id="1" xr3:uid="{17C9A3A3-D0C1-421C-8D52-32617D054C2E}" name="Aims" dataDxfId="863"/>
  </tableColumns>
  <tableStyleInfo name="TableStyleMedium6"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4C708692-CFFF-4D84-88A9-BCE4B09138E0}" name="4094SPS_Syllabus" displayName="_4094SPS_Syllabus" ref="F10:F13" totalsRowShown="0" headerRowDxfId="862" dataDxfId="861">
  <autoFilter ref="F10:F13" xr:uid="{94F18F67-3F10-4F6E-A953-4FE3399B07F2}"/>
  <tableColumns count="1">
    <tableColumn id="1" xr3:uid="{D7FF23A0-D568-4D96-9868-A6319DCE887A}" name="Outline Syllabus" dataDxfId="860"/>
  </tableColumns>
  <tableStyleInfo name="TableStyleMedium6"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54CADD0E-07B9-4D59-8E61-01F39F116463}" name="4094SPS_Overview" displayName="_4094SPS_Overview" ref="F15:F20" totalsRowShown="0" headerRowDxfId="859" dataDxfId="858">
  <autoFilter ref="F15:F20" xr:uid="{1B2BCD7B-6C15-4B1C-86BC-48FF83D8F225}"/>
  <tableColumns count="1">
    <tableColumn id="1" xr3:uid="{E558D902-00D8-4FEB-8431-38F38D3FD8C5}" name="Module Overview" dataDxfId="857"/>
  </tableColumns>
  <tableStyleInfo name="TableStyleMedium6"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3" xr:uid="{AF1F5DED-CF26-4C92-A936-AD81E729AA08}" name="4094SPS_Notes" displayName="_4094SPS_Notes" ref="F22:F33" totalsRowShown="0" headerRowDxfId="856" dataDxfId="855">
  <autoFilter ref="F22:F33" xr:uid="{D5968C0A-6D7E-4221-87EE-78A85A4039B3}"/>
  <tableColumns count="1">
    <tableColumn id="1" xr3:uid="{C6EF2F48-EFDC-40BF-8A10-F2C80BC78705}" name="Additional Information/Notes" dataDxfId="854"/>
  </tableColumns>
  <tableStyleInfo name="TableStyleMedium6"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9EA3E6E8-D502-4D0D-BF9C-D667FFA58F64}" name="5091SPS_Meta" displayName="_5091SPS_Meta" ref="C6:D14" totalsRowShown="0" headerRowDxfId="853" dataDxfId="852">
  <autoFilter ref="C6:D14" xr:uid="{CD75D2A7-14B1-4ABD-B64D-6E875F9BC652}">
    <filterColumn colId="0" hiddenButton="1"/>
    <filterColumn colId="1" hiddenButton="1"/>
  </autoFilter>
  <tableColumns count="2">
    <tableColumn id="1" xr3:uid="{EB65BA05-1DE9-4FD7-BDBD-BDE47DF298A4}" name="Module Data" dataDxfId="851"/>
    <tableColumn id="2" xr3:uid="{310F2A93-D88D-4CC8-AC0C-C016B97380F6}" name="Details" dataDxfId="850"/>
  </tableColumns>
  <tableStyleInfo name="TableStyleMedium6"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3739A1AF-3082-4708-961D-482478CCC574}" name="5091SPS_LO" displayName="_5091SPS_LO" ref="C28:D33" totalsRowShown="0" headerRowDxfId="849" dataDxfId="848">
  <autoFilter ref="C28:D33" xr:uid="{22316987-6BEB-4FAF-9619-BF9BE9909CFA}">
    <filterColumn colId="0" hiddenButton="1"/>
    <filterColumn colId="1" hiddenButton="1"/>
  </autoFilter>
  <tableColumns count="2">
    <tableColumn id="1" xr3:uid="{2DA2E0DF-8487-4F48-AD57-6C8EF1F6A824}" name="LO Number" dataDxfId="847"/>
    <tableColumn id="2" xr3:uid="{5F671E3D-DB5F-4A86-A8E8-215D497F640F}" name="LO Description" dataDxfId="846"/>
  </tableColumns>
  <tableStyleInfo name="TableStyleMedium2"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C623DB9F-1EDE-4183-9D4D-11543678EACB}" name="5091SPS_Assess" displayName="_5091SPS_Assess" ref="C37:H41" totalsRowShown="0" headerRowDxfId="845" dataDxfId="844">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D786E370-A6E2-472B-A06D-0B294D362273}" name="Assessment No" dataDxfId="843"/>
    <tableColumn id="2" xr3:uid="{99037CEE-E227-4DE7-AC0C-42C69784F090}" name="Assessment Type" dataDxfId="842"/>
    <tableColumn id="7" xr3:uid="{EE90A0B1-86AF-42EC-AB37-5E98D709E3E4}" name="Assessment Specific" dataDxfId="841"/>
    <tableColumn id="3" xr3:uid="{8B0C1721-2FDC-4C1A-AECE-975C6F1434A1}" name="Assessment Description" dataDxfId="840"/>
    <tableColumn id="4" xr3:uid="{876D72EC-520F-497B-8AC7-6AF0A5409783}" name="Weighting" dataDxfId="839"/>
    <tableColumn id="5" xr3:uid="{31A1A910-0DF5-428E-806F-6E026C606C3B}" name="Due Week" dataDxfId="838"/>
  </tableColumns>
  <tableStyleInfo name="TableStyleMedium3"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D82A5281-A689-4EDE-A4B7-B6DB624A199D}" name="5091SPS_Weekly" displayName="_5091SPS_Weekly" ref="B70:F94" totalsRowShown="0" headerRowDxfId="837" dataDxfId="836">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F8C77D5A-A698-44A7-A4E3-08630D8FD36A}" name="Semester " dataDxfId="835"/>
    <tableColumn id="2" xr3:uid="{8C49AFEC-B460-42E3-B373-FC0AB260F379}" name="Week Number" dataDxfId="834"/>
    <tableColumn id="3" xr3:uid="{A81B53B3-7EE2-4FDF-9110-0A8C17CA27E0}" name="Weekly Content 1" dataDxfId="833"/>
    <tableColumn id="4" xr3:uid="{362C63E5-C442-416C-9DB4-4F34D3EDDEF3}" name="Weekly Content 2" dataDxfId="832"/>
    <tableColumn id="5" xr3:uid="{E3C14089-4743-4CA8-9480-E777866BAF64}" name="Weekly Content 3" dataDxfId="831"/>
  </tableColumns>
  <tableStyleInfo name="TableStyleMedium4"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4A22E3FD-B14A-4F02-81BF-8A73E0C5EEDF}" name="5091SPS_Hours" displayName="_5091SPS_Hours" ref="C18:D24" totalsRowShown="0" headerRowDxfId="830" dataDxfId="829">
  <autoFilter ref="C18:D24" xr:uid="{B71A3569-AA65-4A4E-98A2-885F5C38B46D}">
    <filterColumn colId="0" hiddenButton="1"/>
    <filterColumn colId="1" hiddenButton="1"/>
  </autoFilter>
  <tableColumns count="2">
    <tableColumn id="1" xr3:uid="{7C918E81-2521-4CC2-B784-37E43EEC3CDD}" name="Component" dataDxfId="828"/>
    <tableColumn id="2" xr3:uid="{0D2A69D7-E2F7-4C5C-8E4D-714C66054E76}" name="Contact Hours" dataDxfId="827"/>
  </tableColumns>
  <tableStyleInfo name="TableStyleMedium2"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64C3D2CC-2E44-415A-BEA6-F4BD775A21DB}" name="5091SPS_Mapping" displayName="_5091SPS_Mapping" ref="C45:F66" totalsRowShown="0" headerRowDxfId="826" dataDxfId="825">
  <autoFilter ref="C45:F66" xr:uid="{E0A841BB-B6D5-4048-B5F2-18CF9F502EBA}">
    <filterColumn colId="0" hiddenButton="1"/>
    <filterColumn colId="1" hiddenButton="1"/>
    <filterColumn colId="2" hiddenButton="1"/>
    <filterColumn colId="3" hiddenButton="1"/>
  </autoFilter>
  <tableColumns count="4">
    <tableColumn id="1" xr3:uid="{B6420078-6983-409A-AD6E-9EAEEF45A138}" name="Assessment No" dataDxfId="824"/>
    <tableColumn id="2" xr3:uid="{8D3D6147-F8A2-4D54-BC97-772B8CE44EA3}" name="LO Number" dataDxfId="823"/>
    <tableColumn id="3" xr3:uid="{C41D8ED0-797F-45E8-B847-5F5796F9B51E}" name="Graduate Skills Category" dataDxfId="822"/>
    <tableColumn id="4" xr3:uid="{28997C86-0364-497D-A258-1C7BA682BCAA}" name="Graduate Skill" dataDxfId="821"/>
  </tableColumns>
  <tableStyleInfo name="TableStyleMedium3"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941A0E6C-8F7D-4C35-BE99-1BB2D9E19D16}" name="5091SPS_Aims" displayName="_5091SPS_Aims" ref="F6:F8" totalsRowShown="0" headerRowDxfId="820" dataDxfId="819">
  <autoFilter ref="F6:F8" xr:uid="{9552138F-2332-4BC4-A585-0E13162881A5}"/>
  <tableColumns count="1">
    <tableColumn id="1" xr3:uid="{3E728AAA-21E1-43D6-98EC-781D610D5B5C}" name="Aims" dataDxfId="818"/>
  </tableColumns>
  <tableStyleInfo name="TableStyleMedium6"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D0FC6B6-F450-489C-BD42-179CE6C51EC1}" name="5091SPS_Syllabus" displayName="_5091SPS_Syllabus" ref="F10:F13" totalsRowShown="0" headerRowDxfId="817" dataDxfId="816">
  <autoFilter ref="F10:F13" xr:uid="{94F18F67-3F10-4F6E-A953-4FE3399B07F2}"/>
  <tableColumns count="1">
    <tableColumn id="1" xr3:uid="{CAFF733E-EEBF-4C10-ACD1-A6DDCD33C63A}" name="Outline Syllabus" dataDxfId="815"/>
  </tableColumns>
  <tableStyleInfo name="TableStyleMedium6"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8020DC6C-A05E-4992-9A02-B70D3B7661B7}" name="5091SPS_Overview" displayName="_5091SPS_Overview" ref="F15:F20" totalsRowShown="0" headerRowDxfId="814" dataDxfId="813">
  <autoFilter ref="F15:F20" xr:uid="{1B2BCD7B-6C15-4B1C-86BC-48FF83D8F225}"/>
  <tableColumns count="1">
    <tableColumn id="1" xr3:uid="{3D131B43-1A6C-42C4-B635-F81D00AEF103}" name="Module Overview" dataDxfId="812"/>
  </tableColumns>
  <tableStyleInfo name="TableStyleMedium6"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FB3A6D94-9FD0-4E5B-ABB7-29067964AA80}" name="5091SPS_Notes" displayName="_5091SPS_Notes" ref="F22:F33" totalsRowShown="0" headerRowDxfId="811" dataDxfId="810">
  <autoFilter ref="F22:F33" xr:uid="{D5968C0A-6D7E-4221-87EE-78A85A4039B3}"/>
  <tableColumns count="1">
    <tableColumn id="1" xr3:uid="{DBD01D3B-64A5-4A59-96FF-8858AB682507}" name="Additional Information/Notes" dataDxfId="809"/>
  </tableColumns>
  <tableStyleInfo name="TableStyleMedium6"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4D254B34-809D-4796-B53E-C3667C63A97A}" name="5101SPS_Meta" displayName="_5101SPS_Meta" ref="C6:D14" totalsRowShown="0" headerRowDxfId="808" dataDxfId="807">
  <autoFilter ref="C6:D14" xr:uid="{CD75D2A7-14B1-4ABD-B64D-6E875F9BC652}">
    <filterColumn colId="0" hiddenButton="1"/>
    <filterColumn colId="1" hiddenButton="1"/>
  </autoFilter>
  <tableColumns count="2">
    <tableColumn id="1" xr3:uid="{A93989B6-C5A6-451F-AE89-104E146E0EF0}" name="Module Data" dataDxfId="806"/>
    <tableColumn id="2" xr3:uid="{4717CF38-7FE1-4468-A6C2-052FB6958B0C}" name="Details" dataDxfId="805"/>
  </tableColumns>
  <tableStyleInfo name="TableStyleMedium6"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D1A4B0E9-5E17-4D1C-A27E-0B18D60F1ED5}" name="5101SPS_LO" displayName="_5101SPS_LO" ref="C28:D33" totalsRowShown="0" headerRowDxfId="804" dataDxfId="803">
  <autoFilter ref="C28:D33" xr:uid="{22316987-6BEB-4FAF-9619-BF9BE9909CFA}">
    <filterColumn colId="0" hiddenButton="1"/>
    <filterColumn colId="1" hiddenButton="1"/>
  </autoFilter>
  <tableColumns count="2">
    <tableColumn id="1" xr3:uid="{6330B93C-1643-4FCC-A51A-A60DFF28F508}" name="LO Number" dataDxfId="802"/>
    <tableColumn id="2" xr3:uid="{B8FEEBD8-E561-4EC1-821D-0E8D81AFB843}" name="LO Description" dataDxfId="801"/>
  </tableColumns>
  <tableStyleInfo name="TableStyleMedium2"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BD8AC3DD-85DB-4039-839A-A666445858AB}" name="5101SPS_Assess" displayName="_5101SPS_Assess" ref="C37:H41" totalsRowShown="0" headerRowDxfId="800" dataDxfId="799">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5BC93529-97A7-42F5-81F2-8C4BA7B2B093}" name="Assessment No" dataDxfId="798"/>
    <tableColumn id="2" xr3:uid="{37DDB860-944C-49CE-BBAB-4C9965368CC2}" name="Assessment Type" dataDxfId="797"/>
    <tableColumn id="7" xr3:uid="{ED861CB4-2B63-4253-B5BE-DE88E4F73F2E}" name="Assessment Specific" dataDxfId="796"/>
    <tableColumn id="3" xr3:uid="{1DCB063F-9FB2-4041-BF76-A84A3B5663BB}" name="Assessment Description" dataDxfId="795"/>
    <tableColumn id="4" xr3:uid="{26C6EB23-C381-45B7-BCF2-AAF849B39CB2}" name="Weighting" dataDxfId="794"/>
    <tableColumn id="5" xr3:uid="{9E9E73E0-F346-4712-A521-E6CBD773E6DC}" name="Due Week" dataDxfId="793"/>
  </tableColumns>
  <tableStyleInfo name="TableStyleMedium3"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272C8C0C-B492-42EC-B8CF-8C6BB1826E54}" name="5101SPS_Weekly" displayName="_5101SPS_Weekly" ref="B71:F95" totalsRowShown="0" headerRowDxfId="792" dataDxfId="791">
  <autoFilter ref="B71:F95" xr:uid="{3A41AF80-1AD3-44F6-93D1-6C4A16CCF943}">
    <filterColumn colId="0" hiddenButton="1"/>
    <filterColumn colId="1" hiddenButton="1"/>
    <filterColumn colId="2" hiddenButton="1"/>
    <filterColumn colId="3" hiddenButton="1"/>
    <filterColumn colId="4" hiddenButton="1"/>
  </autoFilter>
  <tableColumns count="5">
    <tableColumn id="1" xr3:uid="{9330817A-9E44-438D-A321-1CFEE5D8D0A7}" name="Semester " dataDxfId="790"/>
    <tableColumn id="2" xr3:uid="{9F2CA314-7251-40AD-875D-FDBE444AE8CC}" name="Week Number" dataDxfId="789"/>
    <tableColumn id="3" xr3:uid="{46103C64-EFA8-45A5-86D1-05E1F58CDC16}" name="Weekly Content 1" dataDxfId="788"/>
    <tableColumn id="4" xr3:uid="{CD53E2F5-AA95-424B-BF40-C872C1A02C0E}" name="Weekly Content 2" dataDxfId="787"/>
    <tableColumn id="5" xr3:uid="{975461FA-2E01-4A1F-9002-F6756C0E6D27}" name="Weekly Content 3" dataDxfId="786"/>
  </tableColumns>
  <tableStyleInfo name="TableStyleMedium4"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37C49CD3-B6BF-411D-8A9C-C1B0DC1D4B5E}" name="5101SPS_Hours" displayName="_5101SPS_Hours" ref="C18:D24" totalsRowShown="0" headerRowDxfId="785" dataDxfId="784">
  <autoFilter ref="C18:D24" xr:uid="{B71A3569-AA65-4A4E-98A2-885F5C38B46D}">
    <filterColumn colId="0" hiddenButton="1"/>
    <filterColumn colId="1" hiddenButton="1"/>
  </autoFilter>
  <tableColumns count="2">
    <tableColumn id="1" xr3:uid="{84D4DC95-B091-4EC4-BD9F-E1414E1ED663}" name="Component" dataDxfId="783"/>
    <tableColumn id="2" xr3:uid="{FDF142ED-DB38-4C6B-974B-85FCB5F78A66}" name="Contact Hours" dataDxfId="782"/>
  </tableColumns>
  <tableStyleInfo name="TableStyleMedium2"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87BED6D6-D9C6-4D16-B4F8-793228B3132C}" name="5101SPS_Mapping" displayName="_5101SPS_Mapping" ref="C45:F67" totalsRowShown="0" headerRowDxfId="781" dataDxfId="780">
  <autoFilter ref="C45:F67" xr:uid="{E0A841BB-B6D5-4048-B5F2-18CF9F502EBA}">
    <filterColumn colId="0" hiddenButton="1"/>
    <filterColumn colId="1" hiddenButton="1"/>
    <filterColumn colId="2" hiddenButton="1"/>
    <filterColumn colId="3" hiddenButton="1"/>
  </autoFilter>
  <tableColumns count="4">
    <tableColumn id="1" xr3:uid="{41EF2E9F-FE80-4EA5-AB6A-B0F17268715A}" name="Assessment No" dataDxfId="779"/>
    <tableColumn id="2" xr3:uid="{52365B2B-58FF-4272-83A0-0634C708D5DA}" name="LO Number" dataDxfId="778"/>
    <tableColumn id="3" xr3:uid="{365F3B95-BB30-4DC3-B449-C011CC935255}" name="Graduate Skills Category" dataDxfId="777"/>
    <tableColumn id="4" xr3:uid="{256AA9F3-5FDE-43AA-AF06-C9277EFAE7AA}" name="Graduate Skill" dataDxfId="776"/>
  </tableColumns>
  <tableStyleInfo name="TableStyleMedium3"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9DADE969-2273-4007-B81E-6F2394E65365}" name="5101SPS_Aims" displayName="_5101SPS_Aims" ref="F6:F8" totalsRowShown="0" headerRowDxfId="775" dataDxfId="774">
  <autoFilter ref="F6:F8" xr:uid="{9552138F-2332-4BC4-A585-0E13162881A5}"/>
  <tableColumns count="1">
    <tableColumn id="1" xr3:uid="{20ACFDED-B70B-4A37-8748-E2398DA2866E}" name="Aims" dataDxfId="773"/>
  </tableColumns>
  <tableStyleInfo name="TableStyleMedium6"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258CDB4B-F40E-4880-A10E-73999D87ED5C}" name="5101SPS_Syllabus" displayName="_5101SPS_Syllabus" ref="F10:F13" totalsRowShown="0" headerRowDxfId="772" dataDxfId="771">
  <autoFilter ref="F10:F13" xr:uid="{94F18F67-3F10-4F6E-A953-4FE3399B07F2}"/>
  <tableColumns count="1">
    <tableColumn id="1" xr3:uid="{28548C89-3381-4F89-8618-132773B9AFDF}" name="Outline Syllabus" dataDxfId="770"/>
  </tableColumns>
  <tableStyleInfo name="TableStyleMedium6"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903467D8-18BB-4284-A4E9-A5C8DD5AD9A4}" name="5101SPS_Overview" displayName="_5101SPS_Overview" ref="F15:F20" totalsRowShown="0" headerRowDxfId="769" dataDxfId="768">
  <autoFilter ref="F15:F20" xr:uid="{1B2BCD7B-6C15-4B1C-86BC-48FF83D8F225}"/>
  <tableColumns count="1">
    <tableColumn id="1" xr3:uid="{E8562468-335C-46B5-B44B-DD03585A4A33}" name="Module Overview" dataDxfId="767"/>
  </tableColumns>
  <tableStyleInfo name="TableStyleMedium6"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12C70509-540F-4249-B7FB-6FA92DD2AB46}" name="5101SPS_Notes" displayName="_5101SPS_Notes" ref="F22:F33" totalsRowShown="0" headerRowDxfId="766" dataDxfId="765">
  <autoFilter ref="F22:F33" xr:uid="{D5968C0A-6D7E-4221-87EE-78A85A4039B3}"/>
  <tableColumns count="1">
    <tableColumn id="1" xr3:uid="{33EAFAF4-27B4-468B-AC97-74ABA5DAA992}" name="Additional Information/Notes" dataDxfId="764"/>
  </tableColumns>
  <tableStyleInfo name="TableStyleMedium6"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4" xr:uid="{5270F11D-EB2D-4D37-A0C7-A548812199C3}" name="5102SPS_Meta" displayName="_5102SPS_Meta" ref="C6:D14" totalsRowShown="0" headerRowDxfId="763" dataDxfId="762">
  <autoFilter ref="C6:D14" xr:uid="{CD75D2A7-14B1-4ABD-B64D-6E875F9BC652}">
    <filterColumn colId="0" hiddenButton="1"/>
    <filterColumn colId="1" hiddenButton="1"/>
  </autoFilter>
  <tableColumns count="2">
    <tableColumn id="1" xr3:uid="{29D4E0BE-5C0F-4EF3-BF95-85E95BCEF890}" name="Module Data" dataDxfId="761"/>
    <tableColumn id="2" xr3:uid="{8CF62EB8-FFB4-436A-9EE3-575FDB15387F}" name="Details" dataDxfId="760"/>
  </tableColumns>
  <tableStyleInfo name="TableStyleMedium6"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5" xr:uid="{237020EB-E434-4CF8-BA7F-AAE80EFFA7DE}" name="5102SPS_LO" displayName="_5102SPS_LO" ref="C28:D33" totalsRowShown="0" headerRowDxfId="759" dataDxfId="758">
  <autoFilter ref="C28:D33" xr:uid="{22316987-6BEB-4FAF-9619-BF9BE9909CFA}">
    <filterColumn colId="0" hiddenButton="1"/>
    <filterColumn colId="1" hiddenButton="1"/>
  </autoFilter>
  <tableColumns count="2">
    <tableColumn id="1" xr3:uid="{ABACB5F8-1C23-4668-B7BA-EF2517F6F237}" name="LO Number" dataDxfId="757"/>
    <tableColumn id="2" xr3:uid="{16EFEC94-FB26-48E6-A1CD-F272E329A036}" name="LO Description" dataDxfId="756"/>
  </tableColumns>
  <tableStyleInfo name="TableStyleMedium2"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6" xr:uid="{D1E80F96-254A-4374-9350-7B1F947FEA77}" name="5102SPS_Assess" displayName="_5102SPS_Assess" ref="C37:H41" totalsRowShown="0" headerRowDxfId="755" dataDxfId="754">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60550122-E287-466F-A05A-EEEF3BC2A7B1}" name="Assessment No" dataDxfId="753"/>
    <tableColumn id="2" xr3:uid="{2BC12B11-B6CF-4E7C-B492-9E71A2A4DCFC}" name="Assessment Type" dataDxfId="752"/>
    <tableColumn id="7" xr3:uid="{F22466C0-E91B-4130-82AB-931BDD5DAFD5}" name="Assessment Specific" dataDxfId="751"/>
    <tableColumn id="3" xr3:uid="{A2D2688F-0CD2-442B-B2C4-399FA320B460}" name="Assessment Description" dataDxfId="750"/>
    <tableColumn id="4" xr3:uid="{9C3172F4-207C-490E-A1A4-3782CCE0F62E}" name="Weighting" dataDxfId="749"/>
    <tableColumn id="5" xr3:uid="{5D552087-F8C1-4DC6-AB58-461CAA57A675}" name="Due Week" dataDxfId="748"/>
  </tableColumns>
  <tableStyleInfo name="TableStyleMedium3"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7" xr:uid="{A4E79B66-A399-44F9-AC05-30A8D8E4EFFC}" name="5102SPS_Weekly" displayName="_5102SPS_Weekly" ref="B71:F95" totalsRowShown="0" headerRowDxfId="747" dataDxfId="746">
  <autoFilter ref="B71:F95" xr:uid="{3A41AF80-1AD3-44F6-93D1-6C4A16CCF943}">
    <filterColumn colId="0" hiddenButton="1"/>
    <filterColumn colId="1" hiddenButton="1"/>
    <filterColumn colId="2" hiddenButton="1"/>
    <filterColumn colId="3" hiddenButton="1"/>
    <filterColumn colId="4" hiddenButton="1"/>
  </autoFilter>
  <tableColumns count="5">
    <tableColumn id="1" xr3:uid="{761211FD-07C5-4C60-8E49-B011DF71603B}" name="Semester " dataDxfId="745"/>
    <tableColumn id="2" xr3:uid="{C3767A97-7DDC-4C9C-BAA0-36AD5C496EEE}" name="Week Number" dataDxfId="744"/>
    <tableColumn id="3" xr3:uid="{ECEBB099-0848-4BF9-A0F1-A91B05144BDE}" name="Weekly Content 1" dataDxfId="743"/>
    <tableColumn id="4" xr3:uid="{C2073020-3A29-4533-9629-7F40A8DD2B8B}" name="Weekly Content 2" dataDxfId="742"/>
    <tableColumn id="5" xr3:uid="{6345D17D-CE7F-4BE7-9354-5B3222EE1FDE}" name="Weekly Content 3" dataDxfId="741"/>
  </tableColumns>
  <tableStyleInfo name="TableStyleMedium4"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8" xr:uid="{BDFBF6B0-B509-44BE-828C-EF93C1923EC6}" name="5102SPS_Hours" displayName="_5102SPS_Hours" ref="C18:D24" totalsRowShown="0" headerRowDxfId="740" dataDxfId="739">
  <autoFilter ref="C18:D24" xr:uid="{B71A3569-AA65-4A4E-98A2-885F5C38B46D}">
    <filterColumn colId="0" hiddenButton="1"/>
    <filterColumn colId="1" hiddenButton="1"/>
  </autoFilter>
  <tableColumns count="2">
    <tableColumn id="1" xr3:uid="{B46B0870-C95C-4D4E-B01A-05CA40485288}" name="Component" dataDxfId="738"/>
    <tableColumn id="2" xr3:uid="{A34E191B-0F4D-40A9-98C4-DFC5C0ED5B03}" name="Contact Hours" dataDxfId="737"/>
  </tableColumns>
  <tableStyleInfo name="TableStyleMedium2"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9" xr:uid="{F74075A1-DA58-473A-9E54-24D876995322}" name="5102SPS_Mapping" displayName="_5102SPS_Mapping" ref="C45:F67" totalsRowShown="0" headerRowDxfId="736" dataDxfId="735">
  <autoFilter ref="C45:F67" xr:uid="{E0A841BB-B6D5-4048-B5F2-18CF9F502EBA}">
    <filterColumn colId="0" hiddenButton="1"/>
    <filterColumn colId="1" hiddenButton="1"/>
    <filterColumn colId="2" hiddenButton="1"/>
    <filterColumn colId="3" hiddenButton="1"/>
  </autoFilter>
  <tableColumns count="4">
    <tableColumn id="1" xr3:uid="{33F03CAC-37A3-4CB5-BBBE-230DBDFC5B6B}" name="Assessment No" dataDxfId="734"/>
    <tableColumn id="2" xr3:uid="{D948967E-B1D8-422E-BC05-E5DE64BFE116}" name="LO Number" dataDxfId="733"/>
    <tableColumn id="3" xr3:uid="{41BBFD1D-FBB9-4518-8884-EB40901F4694}" name="Graduate Skills Category" dataDxfId="732"/>
    <tableColumn id="4" xr3:uid="{913662D7-6EF1-491B-A990-50699C27238F}" name="Graduate Skill" dataDxfId="731"/>
  </tableColumns>
  <tableStyleInfo name="TableStyleMedium3"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0" xr:uid="{5AE026F8-16C4-406D-B110-7288CB09E506}" name="5102SPS_Aims" displayName="_5102SPS_Aims" ref="F6:F8" totalsRowShown="0" headerRowDxfId="730" dataDxfId="729">
  <autoFilter ref="F6:F8" xr:uid="{9552138F-2332-4BC4-A585-0E13162881A5}"/>
  <tableColumns count="1">
    <tableColumn id="1" xr3:uid="{2CF6523F-40A9-456F-8FAA-4363371E379D}" name="Aims" dataDxfId="728"/>
  </tableColumns>
  <tableStyleInfo name="TableStyleMedium6"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1" xr:uid="{7E8C1BBC-E995-4B58-8CC6-9D5E3880A081}" name="5102SPS_Syllabus" displayName="_5102SPS_Syllabus" ref="F10:F13" totalsRowShown="0" headerRowDxfId="727" dataDxfId="726">
  <autoFilter ref="F10:F13" xr:uid="{94F18F67-3F10-4F6E-A953-4FE3399B07F2}"/>
  <tableColumns count="1">
    <tableColumn id="1" xr3:uid="{5BDD719A-56F8-4CFB-8C2B-B09D9EFEEBC9}" name="Outline Syllabus" dataDxfId="725"/>
  </tableColumns>
  <tableStyleInfo name="TableStyleMedium6"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2" xr:uid="{3B6B7C2B-C63A-4C91-BFC7-FEAD7D7A4AAB}" name="5102SPS_Overview" displayName="_5102SPS_Overview" ref="F15:F20" totalsRowShown="0" headerRowDxfId="724" dataDxfId="723">
  <autoFilter ref="F15:F20" xr:uid="{1B2BCD7B-6C15-4B1C-86BC-48FF83D8F225}"/>
  <tableColumns count="1">
    <tableColumn id="1" xr3:uid="{6FA2E212-5F86-4DAE-AF6E-5A52409DCB13}" name="Module Overview" dataDxfId="722"/>
  </tableColumns>
  <tableStyleInfo name="TableStyleMedium6"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3" xr:uid="{B8EDE4E8-58B3-4823-B749-470799FC0595}" name="5102SPS_Notes" displayName="_5102SPS_Notes" ref="F22:F33" totalsRowShown="0" headerRowDxfId="721" dataDxfId="720">
  <autoFilter ref="F22:F33" xr:uid="{D5968C0A-6D7E-4221-87EE-78A85A4039B3}"/>
  <tableColumns count="1">
    <tableColumn id="1" xr3:uid="{8FE8F154-AB86-4DDE-9840-555725F99393}" name="Additional Information/Notes" dataDxfId="719"/>
  </tableColumns>
  <tableStyleInfo name="TableStyleMedium6"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4" xr:uid="{1414709A-4675-4471-85EE-DA0D00B4BFD4}" name="5103SPS_Meta" displayName="_5103SPS_Meta" ref="C6:D14" totalsRowShown="0" headerRowDxfId="718" dataDxfId="717">
  <autoFilter ref="C6:D14" xr:uid="{CD75D2A7-14B1-4ABD-B64D-6E875F9BC652}">
    <filterColumn colId="0" hiddenButton="1"/>
    <filterColumn colId="1" hiddenButton="1"/>
  </autoFilter>
  <tableColumns count="2">
    <tableColumn id="1" xr3:uid="{8F10F388-99AB-4D28-B816-601553218F24}" name="Module Data" dataDxfId="716"/>
    <tableColumn id="2" xr3:uid="{AE7AA7A8-FBD0-4010-AD14-259A290F3DBF}" name="Details" dataDxfId="715"/>
  </tableColumns>
  <tableStyleInfo name="TableStyleMedium6"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5" xr:uid="{19D7E4CA-6D4B-4290-ADC9-EBD889ED7090}" name="5103SPS_LO" displayName="_5103SPS_LO" ref="C28:D33" totalsRowShown="0" headerRowDxfId="714" dataDxfId="713">
  <autoFilter ref="C28:D33" xr:uid="{22316987-6BEB-4FAF-9619-BF9BE9909CFA}">
    <filterColumn colId="0" hiddenButton="1"/>
    <filterColumn colId="1" hiddenButton="1"/>
  </autoFilter>
  <tableColumns count="2">
    <tableColumn id="1" xr3:uid="{65874036-7B81-4E0E-AD1F-388C30468A0C}" name="LO Number" dataDxfId="712"/>
    <tableColumn id="2" xr3:uid="{AB5F4256-8EBE-42B2-864C-6175401C4B94}" name="LO Description" dataDxfId="711"/>
  </tableColumns>
  <tableStyleInfo name="TableStyleMedium2"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6" xr:uid="{94DF75FA-7885-457B-A760-4C33470CB4F2}" name="5103SPS_Assess" displayName="_5103SPS_Assess" ref="C37:H41" totalsRowShown="0" headerRowDxfId="710" dataDxfId="709">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F1C107EB-6EF5-4321-A9D3-7F0F473733A9}" name="Assessment No" dataDxfId="708"/>
    <tableColumn id="2" xr3:uid="{A7D8377D-26A9-4C0C-89E5-2BBF15A2C53A}" name="Assessment Type" dataDxfId="707"/>
    <tableColumn id="7" xr3:uid="{902CD105-3E65-4D48-9EBC-28A512F14EA4}" name="Assessment Specific" dataDxfId="706"/>
    <tableColumn id="3" xr3:uid="{F0188AEF-B58B-42EE-B788-6BDBEC8A2666}" name="Assessment Description" dataDxfId="705"/>
    <tableColumn id="4" xr3:uid="{463AE76C-D818-4D0D-9C85-14C568E969CF}" name="Weighting" dataDxfId="704"/>
    <tableColumn id="5" xr3:uid="{F3A74D3A-9891-4785-8514-2F35F953399C}" name="Due Week" dataDxfId="703"/>
  </tableColumns>
  <tableStyleInfo name="TableStyleMedium3"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7" xr:uid="{134F8FF6-FA26-4083-80C6-B1D636160277}" name="5103SPS_Weekly" displayName="_5103SPS_Weekly" ref="B70:F94" totalsRowShown="0" headerRowDxfId="702" dataDxfId="701">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1B3410E0-1738-4226-A94C-CA8EF9997135}" name="Semester " dataDxfId="700"/>
    <tableColumn id="2" xr3:uid="{779570F9-536A-4051-99E1-6CF566D7A0D1}" name="Week Number" dataDxfId="699"/>
    <tableColumn id="3" xr3:uid="{B34499F2-A07D-444A-9F9C-30E044383158}" name="Weekly Content 1" dataDxfId="698"/>
    <tableColumn id="4" xr3:uid="{F39D2B5F-C444-4352-91E8-C0744DF26B06}" name="Weekly Content 2" dataDxfId="697"/>
    <tableColumn id="5" xr3:uid="{694E2C5F-AF9A-4034-8744-D2347A9BD5B9}" name="Weekly Content 3" dataDxfId="696"/>
  </tableColumns>
  <tableStyleInfo name="TableStyleMedium4"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8" xr:uid="{8667F49A-5642-4195-9AEF-E5818E9EAE7C}" name="5103SPS_Hours" displayName="_5103SPS_Hours" ref="C18:D24" totalsRowShown="0" headerRowDxfId="695" dataDxfId="694">
  <autoFilter ref="C18:D24" xr:uid="{B71A3569-AA65-4A4E-98A2-885F5C38B46D}">
    <filterColumn colId="0" hiddenButton="1"/>
    <filterColumn colId="1" hiddenButton="1"/>
  </autoFilter>
  <tableColumns count="2">
    <tableColumn id="1" xr3:uid="{AACE1E36-CD18-4943-8A94-8FD55C616649}" name="Component" dataDxfId="693"/>
    <tableColumn id="2" xr3:uid="{B1979956-177B-4D66-BF9C-2582ABBB4BF9}" name="Contact Hours" dataDxfId="692"/>
  </tableColumns>
  <tableStyleInfo name="TableStyleMedium2"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9" xr:uid="{6BC11C12-EA0A-40E7-AEE3-4C9A37EEC326}" name="5103SPS_Mapping" displayName="_5103SPS_Mapping" ref="C45:F66" totalsRowShown="0" headerRowDxfId="691" dataDxfId="690">
  <autoFilter ref="C45:F66" xr:uid="{E0A841BB-B6D5-4048-B5F2-18CF9F502EBA}">
    <filterColumn colId="0" hiddenButton="1"/>
    <filterColumn colId="1" hiddenButton="1"/>
    <filterColumn colId="2" hiddenButton="1"/>
    <filterColumn colId="3" hiddenButton="1"/>
  </autoFilter>
  <tableColumns count="4">
    <tableColumn id="1" xr3:uid="{DF7309A3-37E0-4C87-875E-A6B27799A75B}" name="Assessment No" dataDxfId="689"/>
    <tableColumn id="2" xr3:uid="{BBF5102E-4D62-467D-89A8-6878CBB973B5}" name="LO Number" dataDxfId="688"/>
    <tableColumn id="3" xr3:uid="{19F9550F-E174-446A-8CD8-FB222F828FA2}" name="Graduate Skills Category" dataDxfId="687"/>
    <tableColumn id="4" xr3:uid="{22926E4B-AB40-45D5-A07C-199AB2307121}" name="Graduate Skill" dataDxfId="686"/>
  </tableColumns>
  <tableStyleInfo name="TableStyleMedium3"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0" xr:uid="{B1B8FE6F-CFA3-45B4-9B48-293E0069DBF8}" name="5103SPS_Aims" displayName="_5103SPS_Aims" ref="F6:F8" totalsRowShown="0" headerRowDxfId="685" dataDxfId="684">
  <autoFilter ref="F6:F8" xr:uid="{9552138F-2332-4BC4-A585-0E13162881A5}"/>
  <tableColumns count="1">
    <tableColumn id="1" xr3:uid="{75179496-A8E3-4C17-A2D2-8AF29C0BD18A}" name="Aims" dataDxfId="683"/>
  </tableColumns>
  <tableStyleInfo name="TableStyleMedium6"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1" xr:uid="{50E39927-606F-4D55-95D1-99519B04C2BA}" name="5103SPS_Syllabus" displayName="_5103SPS_Syllabus" ref="F10:F13" totalsRowShown="0" headerRowDxfId="682" dataDxfId="681">
  <autoFilter ref="F10:F13" xr:uid="{94F18F67-3F10-4F6E-A953-4FE3399B07F2}"/>
  <tableColumns count="1">
    <tableColumn id="1" xr3:uid="{C11B339B-A121-4F67-998C-0EB7843C79D2}" name="Outline Syllabus" dataDxfId="680"/>
  </tableColumns>
  <tableStyleInfo name="TableStyleMedium6"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2" xr:uid="{7E5EA307-5AA4-450B-8B5B-62AEA252D8BA}" name="5103SPS_Overview" displayName="_5103SPS_Overview" ref="F15:F20" totalsRowShown="0" headerRowDxfId="679" dataDxfId="678">
  <autoFilter ref="F15:F20" xr:uid="{1B2BCD7B-6C15-4B1C-86BC-48FF83D8F225}"/>
  <tableColumns count="1">
    <tableColumn id="1" xr3:uid="{B644A5C6-F53D-4CAC-B23F-A22EE05D52F7}" name="Module Overview" dataDxfId="677"/>
  </tableColumns>
  <tableStyleInfo name="TableStyleMedium6" showFirstColumn="0" showLastColumn="0" showRowStripes="1"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3" xr:uid="{65D3AED5-41D6-4638-A570-DE51FA0102F6}" name="5103SPS_Notes" displayName="_5103SPS_Notes" ref="F22:F33" totalsRowShown="0" headerRowDxfId="676" dataDxfId="675">
  <autoFilter ref="F22:F33" xr:uid="{D5968C0A-6D7E-4221-87EE-78A85A4039B3}"/>
  <tableColumns count="1">
    <tableColumn id="1" xr3:uid="{17E3BB4C-BB7C-4827-AAED-6C9AECAD47FE}" name="Additional Information/Notes" dataDxfId="674"/>
  </tableColumns>
  <tableStyleInfo name="TableStyleMedium6" showFirstColumn="0" showLastColumn="0" showRowStripes="1"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4" xr:uid="{624550D8-3246-406D-9203-C76D3E1169A8}" name="5092SPS_Meta" displayName="_5092SPS_Meta" ref="C6:D14" totalsRowShown="0" headerRowDxfId="673" dataDxfId="672">
  <autoFilter ref="C6:D14" xr:uid="{CD75D2A7-14B1-4ABD-B64D-6E875F9BC652}">
    <filterColumn colId="0" hiddenButton="1"/>
    <filterColumn colId="1" hiddenButton="1"/>
  </autoFilter>
  <tableColumns count="2">
    <tableColumn id="1" xr3:uid="{F75C39EB-FA62-46B2-BBD7-C15273288588}" name="Module Data" dataDxfId="671"/>
    <tableColumn id="2" xr3:uid="{AFAD978E-7AB7-41A9-B9E1-ABF4834D59E6}" name="Details" dataDxfId="670"/>
  </tableColumns>
  <tableStyleInfo name="TableStyleMedium6" showFirstColumn="0" showLastColumn="0" showRowStripes="1" showColumnStripes="0"/>
</table>
</file>

<file path=xl/tables/table1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5" xr:uid="{B3A0DF70-76CC-43CC-B01A-C5B9F6018DA1}" name="5092SPS_LO" displayName="_5092SPS_LO" ref="C28:D33" totalsRowShown="0" headerRowDxfId="669" dataDxfId="668">
  <autoFilter ref="C28:D33" xr:uid="{22316987-6BEB-4FAF-9619-BF9BE9909CFA}">
    <filterColumn colId="0" hiddenButton="1"/>
    <filterColumn colId="1" hiddenButton="1"/>
  </autoFilter>
  <tableColumns count="2">
    <tableColumn id="1" xr3:uid="{03889838-3692-4CDB-B3C9-843AC2EB8510}" name="LO Number" dataDxfId="667"/>
    <tableColumn id="2" xr3:uid="{EBF4F997-F685-4171-8E33-10C81A9AA6BD}" name="LO Description" dataDxfId="666"/>
  </tableColumns>
  <tableStyleInfo name="TableStyleMedium2" showFirstColumn="0" showLastColumn="0" showRowStripes="1" showColumnStripes="0"/>
</table>
</file>

<file path=xl/tables/table1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6" xr:uid="{D5DD12BE-6599-42D1-AC02-0B9161A223C5}" name="5092SPS_Assess" displayName="_5092SPS_Assess" ref="C37:H41" totalsRowShown="0" headerRowDxfId="665" dataDxfId="664">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94894FCF-0035-4C97-A904-AD8F7449DA67}" name="Assessment No" dataDxfId="663"/>
    <tableColumn id="2" xr3:uid="{154AA898-EB51-423F-971E-2D54E7AE168D}" name="Assessment Type" dataDxfId="662"/>
    <tableColumn id="7" xr3:uid="{9983984E-B1DF-4F0D-9268-C2C69B7257DE}" name="Assessment Specific" dataDxfId="661"/>
    <tableColumn id="3" xr3:uid="{7393D08E-D15D-482F-94F5-3955E2087F8B}" name="Assessment Description" dataDxfId="660"/>
    <tableColumn id="4" xr3:uid="{A7B8D88B-748B-437A-9A1C-F9ED211ABF56}" name="Weighting" dataDxfId="659"/>
    <tableColumn id="5" xr3:uid="{79ED1616-9922-40C9-8AED-68B6819817F9}" name="Due Week" dataDxfId="658"/>
  </tableColumns>
  <tableStyleInfo name="TableStyleMedium3" showFirstColumn="0" showLastColumn="0" showRowStripes="1" showColumnStripes="0"/>
</table>
</file>

<file path=xl/tables/table1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7" xr:uid="{5549275A-166A-4CD3-9308-81EDEF3B26DB}" name="5092SPS_Weekly" displayName="_5092SPS_Weekly" ref="B70:F94" totalsRowShown="0" headerRowDxfId="657" dataDxfId="656">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B7FA3159-D6A2-414C-94D8-A2E8568CD41C}" name="Semester " dataDxfId="655"/>
    <tableColumn id="2" xr3:uid="{FFEC1971-8BF4-44B8-BD5C-805779F987C9}" name="Week Number" dataDxfId="654"/>
    <tableColumn id="3" xr3:uid="{A9F5297B-ACA7-4D9D-842B-9A24FD16BA05}" name="Weekly Content 1" dataDxfId="653"/>
    <tableColumn id="4" xr3:uid="{B96BEEEA-7F39-4C28-9F20-2E7BAC5D76C4}" name="Weekly Content 2" dataDxfId="652"/>
    <tableColumn id="5" xr3:uid="{6D853DE2-8A0D-4998-B49D-5DECC81696CA}" name="Weekly Content 3" dataDxfId="651"/>
  </tableColumns>
  <tableStyleInfo name="TableStyleMedium4" showFirstColumn="0" showLastColumn="0" showRowStripes="1" showColumnStripes="0"/>
</table>
</file>

<file path=xl/tables/table1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8" xr:uid="{C3DF0F01-A9D0-4761-8965-A2F4863E2A4E}" name="5092SPS_Hours" displayName="_5092SPS_Hours" ref="C18:D24" totalsRowShown="0" headerRowDxfId="650" dataDxfId="649">
  <autoFilter ref="C18:D24" xr:uid="{B71A3569-AA65-4A4E-98A2-885F5C38B46D}">
    <filterColumn colId="0" hiddenButton="1"/>
    <filterColumn colId="1" hiddenButton="1"/>
  </autoFilter>
  <tableColumns count="2">
    <tableColumn id="1" xr3:uid="{E1F6A0CE-A0D1-484E-806D-5F1EE294F6C5}" name="Component" dataDxfId="648"/>
    <tableColumn id="2" xr3:uid="{C29C0E16-5D02-4470-B9A3-F33C24B509D3}" name="Contact Hours" dataDxfId="647"/>
  </tableColumns>
  <tableStyleInfo name="TableStyleMedium2" showFirstColumn="0" showLastColumn="0" showRowStripes="1" showColumnStripes="0"/>
</table>
</file>

<file path=xl/tables/table1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9" xr:uid="{D55D786C-9F3A-48CE-8767-1DD44ED57855}" name="5092SPS_Mapping" displayName="_5092SPS_Mapping" ref="C45:F66" totalsRowShown="0" headerRowDxfId="646" dataDxfId="645">
  <autoFilter ref="C45:F66" xr:uid="{E0A841BB-B6D5-4048-B5F2-18CF9F502EBA}">
    <filterColumn colId="0" hiddenButton="1"/>
    <filterColumn colId="1" hiddenButton="1"/>
    <filterColumn colId="2" hiddenButton="1"/>
    <filterColumn colId="3" hiddenButton="1"/>
  </autoFilter>
  <tableColumns count="4">
    <tableColumn id="1" xr3:uid="{351B8FDB-16CD-4D24-AF2C-C5AD529DF595}" name="Assessment No" dataDxfId="644"/>
    <tableColumn id="2" xr3:uid="{9CB0238A-1328-4A0D-AAE2-50C376C7235C}" name="LO Number" dataDxfId="643"/>
    <tableColumn id="3" xr3:uid="{96B6D864-B246-4570-9A1C-3387C1ABD880}" name="Graduate Skills Category" dataDxfId="642"/>
    <tableColumn id="4" xr3:uid="{D00C4D9A-F418-40FC-AB6A-A84F0B2A9E4C}" name="Graduate Skill" dataDxfId="641"/>
  </tableColumns>
  <tableStyleInfo name="TableStyleMedium3" showFirstColumn="0" showLastColumn="0" showRowStripes="1" showColumnStripes="0"/>
</table>
</file>

<file path=xl/tables/table1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0" xr:uid="{0ABE8A2B-4753-418C-8174-04E8DA313A71}" name="5092SPS_Aims" displayName="_5092SPS_Aims" ref="F6:F8" totalsRowShown="0" headerRowDxfId="640" dataDxfId="639">
  <autoFilter ref="F6:F8" xr:uid="{9552138F-2332-4BC4-A585-0E13162881A5}"/>
  <tableColumns count="1">
    <tableColumn id="1" xr3:uid="{31A9816E-6125-4BB1-B024-023BC57E4CF3}" name="Aims" dataDxfId="638"/>
  </tableColumns>
  <tableStyleInfo name="TableStyleMedium6" showFirstColumn="0" showLastColumn="0" showRowStripes="1" showColumnStripes="0"/>
</table>
</file>

<file path=xl/tables/table1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1" xr:uid="{1747F9EA-8662-4F26-A01D-803EAD3C1FD5}" name="5092SPS_Syllabus" displayName="_5092SPS_Syllabus" ref="F10:F13" totalsRowShown="0" headerRowDxfId="637" dataDxfId="636">
  <autoFilter ref="F10:F13" xr:uid="{94F18F67-3F10-4F6E-A953-4FE3399B07F2}"/>
  <tableColumns count="1">
    <tableColumn id="1" xr3:uid="{6A2A3EA9-0D72-4A0E-A2B5-FF641EDBA034}" name="Outline Syllabus" dataDxfId="635"/>
  </tableColumns>
  <tableStyleInfo name="TableStyleMedium6" showFirstColumn="0" showLastColumn="0" showRowStripes="1" showColumnStripes="0"/>
</table>
</file>

<file path=xl/tables/table1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2" xr:uid="{26F3C05B-4EDF-47A0-9FA6-60C5FAD6ECCD}" name="5092SPS_Overview" displayName="_5092SPS_Overview" ref="F15:F20" totalsRowShown="0" headerRowDxfId="634" dataDxfId="633">
  <autoFilter ref="F15:F20" xr:uid="{1B2BCD7B-6C15-4B1C-86BC-48FF83D8F225}"/>
  <tableColumns count="1">
    <tableColumn id="1" xr3:uid="{3ECD395E-FA33-4C57-93BB-6A0232B1FB84}" name="Module Overview" dataDxfId="632"/>
  </tableColumns>
  <tableStyleInfo name="TableStyleMedium6" showFirstColumn="0" showLastColumn="0" showRowStripes="1" showColumnStripes="0"/>
</table>
</file>

<file path=xl/tables/table1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3" xr:uid="{3B1F6B96-9B9D-4196-A72D-C9C91B0E85E6}" name="5092SPS_Notes" displayName="_5092SPS_Notes" ref="F22:F33" totalsRowShown="0" headerRowDxfId="631" dataDxfId="630">
  <autoFilter ref="F22:F33" xr:uid="{D5968C0A-6D7E-4221-87EE-78A85A4039B3}"/>
  <tableColumns count="1">
    <tableColumn id="1" xr3:uid="{7082D249-848A-49C3-8DF4-B67EE67DF58C}" name="Additional Information/Notes" dataDxfId="629"/>
  </tableColumns>
  <tableStyleInfo name="TableStyleMedium6" showFirstColumn="0" showLastColumn="0" showRowStripes="1" showColumnStripes="0"/>
</table>
</file>

<file path=xl/tables/table1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6D74122E-1B7A-499D-906B-5CC560923C45}" name="6101SPS_Meta" displayName="_6101SPS_Meta" ref="C6:D14" totalsRowShown="0" headerRowDxfId="1156" dataDxfId="1155">
  <autoFilter ref="C6:D14" xr:uid="{CD75D2A7-14B1-4ABD-B64D-6E875F9BC652}">
    <filterColumn colId="0" hiddenButton="1"/>
    <filterColumn colId="1" hiddenButton="1"/>
  </autoFilter>
  <tableColumns count="2">
    <tableColumn id="1" xr3:uid="{59632FD2-ADF3-4C82-8BD5-420F294E11C7}" name="Module Data" dataDxfId="1154"/>
    <tableColumn id="2" xr3:uid="{8CCBAE8A-F2FE-41C4-ACC2-A97D717C0112}" name="Details" dataDxfId="1153"/>
  </tableColumns>
  <tableStyleInfo name="TableStyleMedium6" showFirstColumn="0" showLastColumn="0" showRowStripes="1" showColumnStripes="0"/>
</table>
</file>

<file path=xl/tables/table1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10485721-F385-4C04-84DE-34B88F81293E}" name="6101SPS_LO" displayName="_6101SPS_LO" ref="C28:D33" totalsRowShown="0" headerRowDxfId="1152" dataDxfId="1151">
  <autoFilter ref="C28:D33" xr:uid="{22316987-6BEB-4FAF-9619-BF9BE9909CFA}">
    <filterColumn colId="0" hiddenButton="1"/>
    <filterColumn colId="1" hiddenButton="1"/>
  </autoFilter>
  <tableColumns count="2">
    <tableColumn id="1" xr3:uid="{4EF000E4-780E-462E-94B9-665B9C66E80A}" name="LO Number" dataDxfId="1150"/>
    <tableColumn id="2" xr3:uid="{8DE7FF42-E93D-4882-90E1-F03BDCC7C663}" name="LO Description" dataDxfId="1149"/>
  </tableColumns>
  <tableStyleInfo name="TableStyleMedium2" showFirstColumn="0" showLastColumn="0" showRowStripes="1" showColumnStripes="0"/>
</table>
</file>

<file path=xl/tables/table1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4E63FB89-C42F-4AD7-BB3B-FCF3CA739275}" name="6101SPS_Assess" displayName="_6101SPS_Assess" ref="C37:H41" totalsRowShown="0" headerRowDxfId="1148" dataDxfId="1147">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3B9A126F-DEC0-41E6-BFC4-E3B68EFE4090}" name="Assessment No" dataDxfId="1146"/>
    <tableColumn id="2" xr3:uid="{E56CBD09-3E9D-4390-BC32-4320288ECF49}" name="Assessment Type" dataDxfId="1145"/>
    <tableColumn id="7" xr3:uid="{2042A595-88BB-48AE-8DE9-08F9843A65F4}" name="Assessment Specific" dataDxfId="1144"/>
    <tableColumn id="3" xr3:uid="{4E7A1FBA-AC92-4C49-968B-C1C40CDF45A5}" name="Assessment Description" dataDxfId="1143"/>
    <tableColumn id="4" xr3:uid="{0A8E3B7A-41B3-4C6C-BD7C-F70005A5518B}" name="Weighting" dataDxfId="1142"/>
    <tableColumn id="5" xr3:uid="{41BF57AA-9057-4D7D-B892-C99EED25778F}" name="Due Week" dataDxfId="1141"/>
  </tableColumns>
  <tableStyleInfo name="TableStyleMedium3" showFirstColumn="0" showLastColumn="0" showRowStripes="1" showColumnStripes="0"/>
</table>
</file>

<file path=xl/tables/table1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49057A16-900F-4819-9CE5-ACCA8322C193}" name="6101SPS_Weekly" displayName="_6101SPS_Weekly" ref="B70:F94" totalsRowShown="0" headerRowDxfId="1140" dataDxfId="1139">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AFAF03C6-C5B8-4CE3-BF5B-A6AF2E351492}" name="Semester " dataDxfId="1138"/>
    <tableColumn id="2" xr3:uid="{592CAF7B-B3BC-484C-9EF6-A0DBEF72E67F}" name="Week Number" dataDxfId="1137"/>
    <tableColumn id="3" xr3:uid="{C9C70C18-20BE-49C0-8CBE-BE6063301D8B}" name="Weekly Content 1" dataDxfId="1136"/>
    <tableColumn id="4" xr3:uid="{F2059AD0-6761-42AB-90EB-C1B04E0C7353}" name="Weekly Content 2" dataDxfId="1135"/>
    <tableColumn id="5" xr3:uid="{C5FF21DA-C072-4003-8733-39BDF19353FA}" name="Weekly Content 3" dataDxfId="1134"/>
  </tableColumns>
  <tableStyleInfo name="TableStyleMedium4" showFirstColumn="0" showLastColumn="0" showRowStripes="1" showColumnStripes="0"/>
</table>
</file>

<file path=xl/tables/table1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A153528-7480-476A-9D50-9B88A6E38F55}" name="6101SPS_Hours" displayName="_6101SPS_Hours" ref="C18:D24" totalsRowShown="0" headerRowDxfId="1133" dataDxfId="1132">
  <autoFilter ref="C18:D24" xr:uid="{B71A3569-AA65-4A4E-98A2-885F5C38B46D}">
    <filterColumn colId="0" hiddenButton="1"/>
    <filterColumn colId="1" hiddenButton="1"/>
  </autoFilter>
  <tableColumns count="2">
    <tableColumn id="1" xr3:uid="{E76F71CE-1496-4AF6-BD8E-AC4301E5C11C}" name="Component" dataDxfId="1131"/>
    <tableColumn id="2" xr3:uid="{10A8B829-22E5-44FA-B898-C017E70406A4}" name="Contact Hours" dataDxfId="1130"/>
  </tableColumns>
  <tableStyleInfo name="TableStyleMedium2" showFirstColumn="0" showLastColumn="0" showRowStripes="1" showColumnStripes="0"/>
</table>
</file>

<file path=xl/tables/table1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80EE851-E0D2-4482-860E-C97FC3978DED}" name="6101SPS_Mapping" displayName="_6101SPS_Mapping" ref="C45:F66" totalsRowShown="0" headerRowDxfId="1129" dataDxfId="1128">
  <autoFilter ref="C45:F66" xr:uid="{E0A841BB-B6D5-4048-B5F2-18CF9F502EBA}">
    <filterColumn colId="0" hiddenButton="1"/>
    <filterColumn colId="1" hiddenButton="1"/>
    <filterColumn colId="2" hiddenButton="1"/>
    <filterColumn colId="3" hiddenButton="1"/>
  </autoFilter>
  <tableColumns count="4">
    <tableColumn id="1" xr3:uid="{BDA1BC20-9DA6-4D2D-BE66-628F0EC23ABD}" name="Assessment No" dataDxfId="1127"/>
    <tableColumn id="2" xr3:uid="{EA5FDCD9-1E61-472D-81F9-2883B9641747}" name="LO Number" dataDxfId="1126"/>
    <tableColumn id="3" xr3:uid="{CCCF5ADA-06E0-4A91-83AE-399B900464ED}" name="Graduate Skills Category" dataDxfId="1125"/>
    <tableColumn id="4" xr3:uid="{D6FEAFFF-68F2-40EF-BDC4-92DC8AF60B0B}" name="Graduate Skill" dataDxfId="1124"/>
  </tableColumns>
  <tableStyleInfo name="TableStyleMedium3" showFirstColumn="0" showLastColumn="0" showRowStripes="1" showColumnStripes="0"/>
</table>
</file>

<file path=xl/tables/table1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CD466DF-B795-42C3-AE3B-281D11D9B2FD}" name="6101SPS_Aims" displayName="_6101SPS_Aims" ref="F6:F8" totalsRowShown="0" headerRowDxfId="1123" dataDxfId="1122">
  <autoFilter ref="F6:F8" xr:uid="{9552138F-2332-4BC4-A585-0E13162881A5}"/>
  <tableColumns count="1">
    <tableColumn id="1" xr3:uid="{805616E4-B757-49C5-8AFD-679FD1C3035C}" name="Aims" dataDxfId="1121"/>
  </tableColumns>
  <tableStyleInfo name="TableStyleMedium6" showFirstColumn="0" showLastColumn="0" showRowStripes="1" showColumnStripes="0"/>
</table>
</file>

<file path=xl/tables/table1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2672675B-2C0F-4782-AB89-559295DD13FF}" name="6101SPS_Syllabus" displayName="_6101SPS_Syllabus" ref="F10:F13" totalsRowShown="0" headerRowDxfId="1120" dataDxfId="1119">
  <autoFilter ref="F10:F13" xr:uid="{94F18F67-3F10-4F6E-A953-4FE3399B07F2}"/>
  <tableColumns count="1">
    <tableColumn id="1" xr3:uid="{AC4E006D-D99C-4E50-B5D9-56154F4430AD}" name="Outline Syllabus" dataDxfId="1118"/>
  </tableColumns>
  <tableStyleInfo name="TableStyleMedium6" showFirstColumn="0" showLastColumn="0" showRowStripes="1" showColumnStripes="0"/>
</table>
</file>

<file path=xl/tables/table1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1B5DFED8-0F85-4604-A480-EB21F372A2E2}" name="6101SPS_Overview" displayName="_6101SPS_Overview" ref="F15:F20" totalsRowShown="0" headerRowDxfId="1117" dataDxfId="1116">
  <autoFilter ref="F15:F20" xr:uid="{1B2BCD7B-6C15-4B1C-86BC-48FF83D8F225}"/>
  <tableColumns count="1">
    <tableColumn id="1" xr3:uid="{D99038A9-7472-476F-8C90-5531054233FC}" name="Module Overview" dataDxfId="1115"/>
  </tableColumns>
  <tableStyleInfo name="TableStyleMedium6" showFirstColumn="0" showLastColumn="0" showRowStripes="1" showColumnStripes="0"/>
</table>
</file>

<file path=xl/tables/table1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200D51C3-316A-46F0-BC0E-1314FD91CA13}" name="6101SPS_Notes" displayName="_6101SPS_Notes" ref="F22:F33" totalsRowShown="0" headerRowDxfId="1114" dataDxfId="1113">
  <autoFilter ref="F22:F33" xr:uid="{D5968C0A-6D7E-4221-87EE-78A85A4039B3}"/>
  <tableColumns count="1">
    <tableColumn id="1" xr3:uid="{3994805D-762E-401D-88C3-584C97999D0D}" name="Additional Information/Notes" dataDxfId="1112"/>
  </tableColumns>
  <tableStyleInfo name="TableStyleMedium6" showFirstColumn="0" showLastColumn="0" showRowStripes="1" showColumnStripes="0"/>
</table>
</file>

<file path=xl/tables/table1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4" xr:uid="{40940089-4244-43F1-B97C-810AAAE444CF}" name="6102SPS_Meta" displayName="_6102SPS_Meta" ref="C6:D14" totalsRowShown="0" headerRowDxfId="628" dataDxfId="627">
  <autoFilter ref="C6:D14" xr:uid="{CD75D2A7-14B1-4ABD-B64D-6E875F9BC652}">
    <filterColumn colId="0" hiddenButton="1"/>
    <filterColumn colId="1" hiddenButton="1"/>
  </autoFilter>
  <tableColumns count="2">
    <tableColumn id="1" xr3:uid="{070BBF13-BA41-4DE1-A713-FB0E8630711C}" name="Module Data" dataDxfId="626"/>
    <tableColumn id="2" xr3:uid="{0E3F0926-B28A-4EA7-AAE9-E35BEC0A4DF5}" name="Details" dataDxfId="625"/>
  </tableColumns>
  <tableStyleInfo name="TableStyleMedium6" showFirstColumn="0" showLastColumn="0" showRowStripes="1" showColumnStripes="0"/>
</table>
</file>

<file path=xl/tables/table1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5" xr:uid="{0696BD3D-C247-4096-9138-5992AFD94B43}" name="6102SPS_LO" displayName="_6102SPS_LO" ref="C28:D33" totalsRowShown="0" headerRowDxfId="624" dataDxfId="623">
  <autoFilter ref="C28:D33" xr:uid="{22316987-6BEB-4FAF-9619-BF9BE9909CFA}">
    <filterColumn colId="0" hiddenButton="1"/>
    <filterColumn colId="1" hiddenButton="1"/>
  </autoFilter>
  <tableColumns count="2">
    <tableColumn id="1" xr3:uid="{6088F306-C9B4-4ED7-9EEC-A674129ECCC9}" name="LO Number" dataDxfId="622"/>
    <tableColumn id="2" xr3:uid="{43834854-BE01-444E-8E1C-AE64963B358A}" name="LO Description" dataDxfId="621"/>
  </tableColumns>
  <tableStyleInfo name="TableStyleMedium2" showFirstColumn="0" showLastColumn="0" showRowStripes="1" showColumnStripes="0"/>
</table>
</file>

<file path=xl/tables/table1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6" xr:uid="{F396ADA4-3F6E-4C44-8B94-249567CBD6BD}" name="6102SPS_Assess" displayName="_6102SPS_Assess" ref="C37:H41" totalsRowShown="0" headerRowDxfId="620" dataDxfId="619">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D2E1276A-52B5-424B-9BBA-9CC123ECC641}" name="Assessment No" dataDxfId="618"/>
    <tableColumn id="2" xr3:uid="{E2407AF6-3C98-4FD1-B31B-CB85A955F2E3}" name="Assessment Type" dataDxfId="617"/>
    <tableColumn id="7" xr3:uid="{803004E8-4057-430E-BD7F-E6A122487416}" name="Assessment Specific" dataDxfId="616"/>
    <tableColumn id="3" xr3:uid="{E82EABFF-0858-4F25-A741-AD63FC636934}" name="Assessment Description" dataDxfId="615"/>
    <tableColumn id="4" xr3:uid="{C435B8B1-D65F-4F43-8C3B-45550CBDD4FC}" name="Weighting" dataDxfId="614"/>
    <tableColumn id="5" xr3:uid="{03FBD12C-63B3-45F3-8CCB-172C1C96BB7E}" name="Due Week" dataDxfId="613"/>
  </tableColumns>
  <tableStyleInfo name="TableStyleMedium3" showFirstColumn="0" showLastColumn="0" showRowStripes="1" showColumnStripes="0"/>
</table>
</file>

<file path=xl/tables/table1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7" xr:uid="{C8359A26-B512-45F8-8655-ACB9669F3576}" name="6102SPS_Weekly" displayName="_6102SPS_Weekly" ref="B70:F94" totalsRowShown="0" headerRowDxfId="612" dataDxfId="611">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92701B6C-B731-4332-A2BC-EDB90DA0F8C9}" name="Semester " dataDxfId="610"/>
    <tableColumn id="2" xr3:uid="{0DEEBD8D-895D-4DB2-9CAB-767B56867428}" name="Week Number" dataDxfId="609"/>
    <tableColumn id="3" xr3:uid="{7E2D8092-2899-4612-BA2F-D50BF49F0F02}" name="Weekly Content 1" dataDxfId="608"/>
    <tableColumn id="4" xr3:uid="{543E0828-8F90-405C-8DC4-A27DEA150475}" name="Weekly Content 2" dataDxfId="607"/>
    <tableColumn id="5" xr3:uid="{CFCB0F41-D4BE-4456-B805-D7551BF9E83C}" name="Weekly Content 3" dataDxfId="606"/>
  </tableColumns>
  <tableStyleInfo name="TableStyleMedium4" showFirstColumn="0" showLastColumn="0" showRowStripes="1" showColumnStripes="0"/>
</table>
</file>

<file path=xl/tables/table1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8" xr:uid="{AE8A534E-D29F-4551-AB97-6D70C45149F5}" name="6102SPS_Hours" displayName="_6102SPS_Hours" ref="C18:D24" totalsRowShown="0" headerRowDxfId="605" dataDxfId="604">
  <autoFilter ref="C18:D24" xr:uid="{B71A3569-AA65-4A4E-98A2-885F5C38B46D}">
    <filterColumn colId="0" hiddenButton="1"/>
    <filterColumn colId="1" hiddenButton="1"/>
  </autoFilter>
  <tableColumns count="2">
    <tableColumn id="1" xr3:uid="{A95790DB-8258-4803-8284-4A4A89FC1A81}" name="Component" dataDxfId="603"/>
    <tableColumn id="2" xr3:uid="{F8CDBB8B-28A2-40B8-8AB1-6707537C499B}" name="Contact Hours" dataDxfId="602"/>
  </tableColumns>
  <tableStyleInfo name="TableStyleMedium2" showFirstColumn="0" showLastColumn="0" showRowStripes="1" showColumnStripes="0"/>
</table>
</file>

<file path=xl/tables/table1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9" xr:uid="{56D173C9-B42C-49E7-9D87-A5745A22D1C2}" name="6102SPS_Mapping" displayName="_6102SPS_Mapping" ref="C45:F66" totalsRowShown="0" headerRowDxfId="601" dataDxfId="600">
  <autoFilter ref="C45:F66" xr:uid="{E0A841BB-B6D5-4048-B5F2-18CF9F502EBA}">
    <filterColumn colId="0" hiddenButton="1"/>
    <filterColumn colId="1" hiddenButton="1"/>
    <filterColumn colId="2" hiddenButton="1"/>
    <filterColumn colId="3" hiddenButton="1"/>
  </autoFilter>
  <tableColumns count="4">
    <tableColumn id="1" xr3:uid="{01E2F7EB-60A0-4C13-A872-0336F07EDF9F}" name="Assessment No" dataDxfId="599"/>
    <tableColumn id="2" xr3:uid="{0A9CFE48-B3C3-4D3C-9F56-3062488E96D8}" name="LO Number" dataDxfId="598"/>
    <tableColumn id="3" xr3:uid="{F14AC592-27AF-4E15-B730-92515D2D5861}" name="Graduate Skills Category" dataDxfId="597"/>
    <tableColumn id="4" xr3:uid="{33BA90E8-AAD8-435C-9AC1-A549EDBF7228}" name="Graduate Skill" dataDxfId="596"/>
  </tableColumns>
  <tableStyleInfo name="TableStyleMedium3" showFirstColumn="0" showLastColumn="0" showRowStripes="1" showColumnStripes="0"/>
</table>
</file>

<file path=xl/tables/table1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0" xr:uid="{2059C37A-58BE-4D59-894C-B91B91BF8452}" name="6102SPS_Aims" displayName="_6102SPS_Aims" ref="F6:F8" totalsRowShown="0" headerRowDxfId="595" dataDxfId="594">
  <autoFilter ref="F6:F8" xr:uid="{9552138F-2332-4BC4-A585-0E13162881A5}"/>
  <tableColumns count="1">
    <tableColumn id="1" xr3:uid="{95B55738-9EA9-42EF-9542-C1E475114357}" name="Aims" dataDxfId="593"/>
  </tableColumns>
  <tableStyleInfo name="TableStyleMedium6" showFirstColumn="0" showLastColumn="0" showRowStripes="1" showColumnStripes="0"/>
</table>
</file>

<file path=xl/tables/table1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1" xr:uid="{D10F85BC-1345-43FC-B85A-FF83FDB98376}" name="6102SPS_Syllabus" displayName="_6102SPS_Syllabus" ref="F10:F13" totalsRowShown="0" headerRowDxfId="592" dataDxfId="591">
  <autoFilter ref="F10:F13" xr:uid="{94F18F67-3F10-4F6E-A953-4FE3399B07F2}"/>
  <tableColumns count="1">
    <tableColumn id="1" xr3:uid="{773F3BC1-153C-4CA9-9626-F7014E9C09FC}" name="Outline Syllabus" dataDxfId="590"/>
  </tableColumns>
  <tableStyleInfo name="TableStyleMedium6" showFirstColumn="0" showLastColumn="0" showRowStripes="1" showColumnStripes="0"/>
</table>
</file>

<file path=xl/tables/table1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2" xr:uid="{9361160D-E085-4AC4-8943-5386B5E8545C}" name="6102SPS_Overview" displayName="_6102SPS_Overview" ref="F15:F20" totalsRowShown="0" headerRowDxfId="589" dataDxfId="588">
  <autoFilter ref="F15:F20" xr:uid="{1B2BCD7B-6C15-4B1C-86BC-48FF83D8F225}"/>
  <tableColumns count="1">
    <tableColumn id="1" xr3:uid="{5AB497BE-0287-4B15-828E-068ECF632096}" name="Module Overview" dataDxfId="587"/>
  </tableColumns>
  <tableStyleInfo name="TableStyleMedium6" showFirstColumn="0" showLastColumn="0" showRowStripes="1" showColumnStripes="0"/>
</table>
</file>

<file path=xl/tables/table1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3" xr:uid="{2BD2469B-FE6E-4B79-8C1A-DBD7F029C0E0}" name="6102SPS_Notes" displayName="_6102SPS_Notes" ref="F22:F33" totalsRowShown="0" headerRowDxfId="586" dataDxfId="585">
  <autoFilter ref="F22:F33" xr:uid="{D5968C0A-6D7E-4221-87EE-78A85A4039B3}"/>
  <tableColumns count="1">
    <tableColumn id="1" xr3:uid="{050403C8-321F-4DA4-B6C6-73EFBF9C2B3A}" name="Additional Information/Notes" dataDxfId="584"/>
  </tableColumns>
  <tableStyleInfo name="TableStyleMedium6" showFirstColumn="0" showLastColumn="0" showRowStripes="1" showColumnStripes="0"/>
</table>
</file>

<file path=xl/tables/table1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D38E0FBC-144F-4EEE-94A6-7B3ED9B43127}" name="6103SPS_Meta" displayName="_6103SPS_Meta" ref="C6:D14" totalsRowShown="0" headerRowDxfId="583" dataDxfId="582">
  <autoFilter ref="C6:D14" xr:uid="{CD75D2A7-14B1-4ABD-B64D-6E875F9BC652}">
    <filterColumn colId="0" hiddenButton="1"/>
    <filterColumn colId="1" hiddenButton="1"/>
  </autoFilter>
  <tableColumns count="2">
    <tableColumn id="1" xr3:uid="{1C097530-B4B2-49B5-9A38-694FB66998A6}" name="Module Data" dataDxfId="581"/>
    <tableColumn id="2" xr3:uid="{614B3911-F5ED-4B05-8A07-45A7AB4CFB52}" name="Details" dataDxfId="580"/>
  </tableColumns>
  <tableStyleInfo name="TableStyleMedium6" showFirstColumn="0" showLastColumn="0" showRowStripes="1" showColumnStripes="0"/>
</table>
</file>

<file path=xl/tables/table1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70207BEA-4163-4330-92BD-85D7725D2A6A}" name="6103SPS_LO" displayName="_6103SPS_LO" ref="C28:D33" totalsRowShown="0" headerRowDxfId="579" dataDxfId="578">
  <autoFilter ref="C28:D33" xr:uid="{22316987-6BEB-4FAF-9619-BF9BE9909CFA}">
    <filterColumn colId="0" hiddenButton="1"/>
    <filterColumn colId="1" hiddenButton="1"/>
  </autoFilter>
  <tableColumns count="2">
    <tableColumn id="1" xr3:uid="{35E5C1D8-FDBE-4821-B0A4-A27E42F34EF4}" name="LO Number" dataDxfId="577"/>
    <tableColumn id="2" xr3:uid="{73BDB3B5-85D4-4EC4-AD91-D458B8D1A13B}" name="LO Description" dataDxfId="576"/>
  </tableColumns>
  <tableStyleInfo name="TableStyleMedium2" showFirstColumn="0" showLastColumn="0" showRowStripes="1" showColumnStripes="0"/>
</table>
</file>

<file path=xl/tables/table1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D61084F8-276C-4CE8-AC1C-346F783040D4}" name="6103SPS_Assess" displayName="_6103SPS_Assess" ref="C37:H41" totalsRowShown="0" headerRowDxfId="575" dataDxfId="574">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BE21A1FC-02CE-4566-9AE4-6A42BD9BC513}" name="Assessment No" dataDxfId="573"/>
    <tableColumn id="2" xr3:uid="{AF86F5B1-FF29-4F6F-A5B8-A38E3BC1D030}" name="Assessment Type" dataDxfId="572"/>
    <tableColumn id="7" xr3:uid="{268D098B-B2AC-48D1-8C93-1931D4DE6AB3}" name="Assessment Specific" dataDxfId="571"/>
    <tableColumn id="3" xr3:uid="{8CE69AB0-F52A-4FCB-ABAE-8BC40377EBFE}" name="Assessment Description" dataDxfId="570"/>
    <tableColumn id="4" xr3:uid="{D5BB5EE6-FB13-43AB-8E1C-E693D40E6BF0}" name="Weighting" dataDxfId="569"/>
    <tableColumn id="5" xr3:uid="{F2049C7E-C5BD-40CF-96F7-3CF3E251AA9C}" name="Due Week" dataDxfId="568"/>
  </tableColumns>
  <tableStyleInfo name="TableStyleMedium3" showFirstColumn="0" showLastColumn="0" showRowStripes="1" showColumnStripes="0"/>
</table>
</file>

<file path=xl/tables/table1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50AAF580-B431-48A2-8BB5-B5DBED2E9A32}" name="6103SPS_Weekly" displayName="_6103SPS_Weekly" ref="B70:F94" totalsRowShown="0" headerRowDxfId="567" dataDxfId="566">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91995BF8-91FB-4B9C-B90F-9C1F2EFA18B2}" name="Semester " dataDxfId="565"/>
    <tableColumn id="2" xr3:uid="{3E5B5951-E025-4950-A5CA-C0E79C3EEC69}" name="Week Number" dataDxfId="564"/>
    <tableColumn id="3" xr3:uid="{F9C32F04-0801-43F1-8091-DC40F8686858}" name="Weekly Content 1" dataDxfId="563"/>
    <tableColumn id="4" xr3:uid="{FA80DB17-0F80-4708-8DB2-144E6C81F8FA}" name="Weekly Content 2" dataDxfId="562"/>
    <tableColumn id="5" xr3:uid="{56A4E034-2385-43D6-A3E9-53F2A39959F5}" name="Weekly Content 3" dataDxfId="561"/>
  </tableColumns>
  <tableStyleInfo name="TableStyleMedium4" showFirstColumn="0" showLastColumn="0" showRowStripes="1" showColumnStripes="0"/>
</table>
</file>

<file path=xl/tables/table1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37E1DD7B-F30D-48F1-BEB1-FA7FA5497992}" name="6103SPS_Hours" displayName="_6103SPS_Hours" ref="C18:D24" totalsRowShown="0" headerRowDxfId="560" dataDxfId="559">
  <autoFilter ref="C18:D24" xr:uid="{B71A3569-AA65-4A4E-98A2-885F5C38B46D}">
    <filterColumn colId="0" hiddenButton="1"/>
    <filterColumn colId="1" hiddenButton="1"/>
  </autoFilter>
  <tableColumns count="2">
    <tableColumn id="1" xr3:uid="{6C8E6598-2974-4356-A517-0C8CAEC4B9A6}" name="Component" dataDxfId="558"/>
    <tableColumn id="2" xr3:uid="{AC5AC74A-364C-4EEE-97C7-F5085AF8F46A}" name="Contact Hours" dataDxfId="557"/>
  </tableColumns>
  <tableStyleInfo name="TableStyleMedium2" showFirstColumn="0" showLastColumn="0" showRowStripes="1" showColumnStripes="0"/>
</table>
</file>

<file path=xl/tables/table1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E24E1607-810F-40F6-96DE-9BBFD23C52C4}" name="6103SPS_Mapping" displayName="_6103SPS_Mapping" ref="C45:F66" totalsRowShown="0" headerRowDxfId="556" dataDxfId="555">
  <autoFilter ref="C45:F66" xr:uid="{E0A841BB-B6D5-4048-B5F2-18CF9F502EBA}">
    <filterColumn colId="0" hiddenButton="1"/>
    <filterColumn colId="1" hiddenButton="1"/>
    <filterColumn colId="2" hiddenButton="1"/>
    <filterColumn colId="3" hiddenButton="1"/>
  </autoFilter>
  <tableColumns count="4">
    <tableColumn id="1" xr3:uid="{6D1F08E0-55BB-4DBA-BF37-6B7B9BE6A8DA}" name="Assessment No" dataDxfId="554"/>
    <tableColumn id="2" xr3:uid="{F343AF7C-C9D2-4A5E-A10A-9D229CB18D29}" name="LO Number" dataDxfId="553"/>
    <tableColumn id="3" xr3:uid="{64B910F9-13E3-4711-AA05-211E9CF37C70}" name="Graduate Skills Category" dataDxfId="552"/>
    <tableColumn id="4" xr3:uid="{2D114B02-AD52-4ABD-A1E0-DA14541743A0}" name="Graduate Skill" dataDxfId="551"/>
  </tableColumns>
  <tableStyleInfo name="TableStyleMedium3" showFirstColumn="0" showLastColumn="0" showRowStripes="1" showColumnStripes="0"/>
</table>
</file>

<file path=xl/tables/table1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8E700F73-9AA2-445F-8E6B-089639B178EE}" name="6103SPS_Aims" displayName="_6103SPS_Aims" ref="F6:F8" totalsRowShown="0" headerRowDxfId="550" dataDxfId="549">
  <autoFilter ref="F6:F8" xr:uid="{9552138F-2332-4BC4-A585-0E13162881A5}"/>
  <tableColumns count="1">
    <tableColumn id="1" xr3:uid="{72C0010A-7E65-4165-85B1-92F42C49D790}" name="Aims" dataDxfId="548"/>
  </tableColumns>
  <tableStyleInfo name="TableStyleMedium6" showFirstColumn="0" showLastColumn="0" showRowStripes="1" showColumnStripes="0"/>
</table>
</file>

<file path=xl/tables/table1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05D97512-DB9E-4F4D-B110-D91E98EA8473}" name="6103SPS_Syllabus" displayName="_6103SPS_Syllabus" ref="F10:F13" totalsRowShown="0" headerRowDxfId="547" dataDxfId="546">
  <autoFilter ref="F10:F13" xr:uid="{94F18F67-3F10-4F6E-A953-4FE3399B07F2}"/>
  <tableColumns count="1">
    <tableColumn id="1" xr3:uid="{40F38839-A844-4EAD-B354-606D615D253D}" name="Outline Syllabus" dataDxfId="545"/>
  </tableColumns>
  <tableStyleInfo name="TableStyleMedium6" showFirstColumn="0" showLastColumn="0" showRowStripes="1" showColumnStripes="0"/>
</table>
</file>

<file path=xl/tables/table1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6DCD1081-4AF8-4170-A8C5-1AE48475C9BF}" name="6103SPS_Overview" displayName="_6103SPS_Overview" ref="F15:F20" totalsRowShown="0" headerRowDxfId="544" dataDxfId="543">
  <autoFilter ref="F15:F20" xr:uid="{1B2BCD7B-6C15-4B1C-86BC-48FF83D8F225}"/>
  <tableColumns count="1">
    <tableColumn id="1" xr3:uid="{F0EA7A21-A240-4378-ABC5-4F4BC08223CF}" name="Module Overview" dataDxfId="542"/>
  </tableColumns>
  <tableStyleInfo name="TableStyleMedium6" showFirstColumn="0" showLastColumn="0" showRowStripes="1" showColumnStripes="0"/>
</table>
</file>

<file path=xl/tables/table1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E110D869-0C27-4050-B0EB-2117E07C5447}" name="6103SPS_Notes" displayName="_6103SPS_Notes" ref="F22:F33" totalsRowShown="0" headerRowDxfId="541" dataDxfId="540">
  <autoFilter ref="F22:F33" xr:uid="{D5968C0A-6D7E-4221-87EE-78A85A4039B3}"/>
  <tableColumns count="1">
    <tableColumn id="1" xr3:uid="{29B53D27-6E02-4157-BA49-5A597182E735}" name="Additional Information/Notes" dataDxfId="539"/>
  </tableColumns>
  <tableStyleInfo name="TableStyleMedium6" showFirstColumn="0" showLastColumn="0" showRowStripes="1" showColumnStripes="0"/>
</table>
</file>

<file path=xl/tables/table1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4" xr:uid="{EB3195DA-61BF-4DC3-AA26-8375196AC911}" name="6104SPS_Meta" displayName="_6104SPS_Meta" ref="C6:D14" totalsRowShown="0" headerRowDxfId="538" dataDxfId="537">
  <autoFilter ref="C6:D14" xr:uid="{CD75D2A7-14B1-4ABD-B64D-6E875F9BC652}">
    <filterColumn colId="0" hiddenButton="1"/>
    <filterColumn colId="1" hiddenButton="1"/>
  </autoFilter>
  <tableColumns count="2">
    <tableColumn id="1" xr3:uid="{259296C2-F94D-4D8E-8A48-375C8B32976A}" name="Module Data" dataDxfId="536"/>
    <tableColumn id="2" xr3:uid="{FBE26AB7-C871-483E-8BF5-3102A6CBA6A9}" name="Details" dataDxfId="535"/>
  </tableColumns>
  <tableStyleInfo name="TableStyleMedium6" showFirstColumn="0" showLastColumn="0" showRowStripes="1" showColumnStripes="0"/>
</table>
</file>

<file path=xl/tables/table1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5" xr:uid="{0B0C6758-C764-42DF-8334-275486F59160}" name="6104SPS_LO" displayName="_6104SPS_LO" ref="C28:D33" totalsRowShown="0" headerRowDxfId="534" dataDxfId="533">
  <autoFilter ref="C28:D33" xr:uid="{22316987-6BEB-4FAF-9619-BF9BE9909CFA}">
    <filterColumn colId="0" hiddenButton="1"/>
    <filterColumn colId="1" hiddenButton="1"/>
  </autoFilter>
  <tableColumns count="2">
    <tableColumn id="1" xr3:uid="{A4A042E5-B73A-4E95-83BE-374230EAEF75}" name="LO Number" dataDxfId="532"/>
    <tableColumn id="2" xr3:uid="{4CC50DE2-34DC-4FAA-BB54-72EB81C5A918}" name="LO Description" dataDxfId="531"/>
  </tableColumns>
  <tableStyleInfo name="TableStyleMedium2" showFirstColumn="0" showLastColumn="0" showRowStripes="1" showColumnStripes="0"/>
</table>
</file>

<file path=xl/tables/table1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6" xr:uid="{3825F8F9-FE98-45C9-AC62-4DE90913B2D5}" name="6104SPS_Assess" displayName="_6104SPS_Assess" ref="C37:H41" totalsRowShown="0" headerRowDxfId="530" dataDxfId="529">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B86A69A5-1E61-43A0-B8A8-D409B7E2AEA6}" name="Assessment No" dataDxfId="528"/>
    <tableColumn id="2" xr3:uid="{846FFE48-B8E8-4A55-98C3-5451769A8EB5}" name="Assessment Type" dataDxfId="527"/>
    <tableColumn id="7" xr3:uid="{82AE06D6-F94C-441D-B6C3-297200BD5794}" name="Assessment Specific" dataDxfId="526"/>
    <tableColumn id="3" xr3:uid="{FEAAD1E7-46DD-4E01-9EEE-AB9037A04A09}" name="Assessment Description" dataDxfId="525"/>
    <tableColumn id="4" xr3:uid="{C4BFD846-DFE3-41AB-966C-3EFB00B2A790}" name="Weighting" dataDxfId="524"/>
    <tableColumn id="5" xr3:uid="{476F5563-CB55-4B33-88F8-D363824819FD}" name="Due Week" dataDxfId="523"/>
  </tableColumns>
  <tableStyleInfo name="TableStyleMedium3" showFirstColumn="0" showLastColumn="0" showRowStripes="1" showColumnStripes="0"/>
</table>
</file>

<file path=xl/tables/table1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7" xr:uid="{D46EDFDA-9AB0-4331-B17D-30F807C2D6D5}" name="6104SPS_Weekly" displayName="_6104SPS_Weekly" ref="B70:F94" totalsRowShown="0" headerRowDxfId="522" dataDxfId="521">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A68B6C85-E233-4451-9163-94A920B533E6}" name="Semester " dataDxfId="520"/>
    <tableColumn id="2" xr3:uid="{B9620A06-7C82-4FF4-995F-02655A14B62E}" name="Week Number" dataDxfId="519"/>
    <tableColumn id="3" xr3:uid="{90BEA63A-0B10-4F26-B07B-76B2D9A73B94}" name="Weekly Content 1" dataDxfId="518"/>
    <tableColumn id="4" xr3:uid="{BA0A787E-3BAF-4419-9436-D40693419273}" name="Weekly Content 2" dataDxfId="517"/>
    <tableColumn id="5" xr3:uid="{3E95C25D-5EE2-483B-B9C6-B69D6222BD63}" name="Weekly Content 3" dataDxfId="516"/>
  </tableColumns>
  <tableStyleInfo name="TableStyleMedium4" showFirstColumn="0" showLastColumn="0" showRowStripes="1" showColumnStripes="0"/>
</table>
</file>

<file path=xl/tables/table1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8" xr:uid="{B7F0130C-63E7-417A-B41E-9C3A0D03AD17}" name="6104SPS_Hours" displayName="_6104SPS_Hours" ref="C18:D24" totalsRowShown="0" headerRowDxfId="515" dataDxfId="514">
  <autoFilter ref="C18:D24" xr:uid="{B71A3569-AA65-4A4E-98A2-885F5C38B46D}">
    <filterColumn colId="0" hiddenButton="1"/>
    <filterColumn colId="1" hiddenButton="1"/>
  </autoFilter>
  <tableColumns count="2">
    <tableColumn id="1" xr3:uid="{17D1F957-8C58-47BC-9BD8-09011C101FC1}" name="Component" dataDxfId="513"/>
    <tableColumn id="2" xr3:uid="{F76831A8-1692-44D6-9D6D-3D5E7EBE7CB7}" name="Contact Hours" dataDxfId="512"/>
  </tableColumns>
  <tableStyleInfo name="TableStyleMedium2" showFirstColumn="0" showLastColumn="0" showRowStripes="1" showColumnStripes="0"/>
</table>
</file>

<file path=xl/tables/table1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9" xr:uid="{6E2263C1-7862-4289-A529-F692C072B024}" name="6104SPS_Mapping" displayName="_6104SPS_Mapping" ref="C45:F66" totalsRowShown="0" headerRowDxfId="511" dataDxfId="510">
  <autoFilter ref="C45:F66" xr:uid="{E0A841BB-B6D5-4048-B5F2-18CF9F502EBA}">
    <filterColumn colId="0" hiddenButton="1"/>
    <filterColumn colId="1" hiddenButton="1"/>
    <filterColumn colId="2" hiddenButton="1"/>
    <filterColumn colId="3" hiddenButton="1"/>
  </autoFilter>
  <tableColumns count="4">
    <tableColumn id="1" xr3:uid="{5FF07F7A-0B59-4A66-94E8-2AA6F3FABE01}" name="Assessment No" dataDxfId="509"/>
    <tableColumn id="2" xr3:uid="{AFA09957-495C-47A6-9409-B82CF20C9FEE}" name="LO Number" dataDxfId="508"/>
    <tableColumn id="3" xr3:uid="{4A6EF506-39E0-4A77-AB9A-A419A13B11BA}" name="Graduate Skills Category" dataDxfId="507"/>
    <tableColumn id="4" xr3:uid="{1CC8553E-650D-4CC9-BCBD-8A5C77CF26BC}" name="Graduate Skill" dataDxfId="506"/>
  </tableColumns>
  <tableStyleInfo name="TableStyleMedium3" showFirstColumn="0" showLastColumn="0" showRowStripes="1" showColumnStripes="0"/>
</table>
</file>

<file path=xl/tables/table1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0" xr:uid="{F218F218-BF90-416D-B952-D9393923801D}" name="6104SPS_Aims" displayName="_6104SPS_Aims" ref="F6:F8" totalsRowShown="0" headerRowDxfId="505" dataDxfId="504">
  <autoFilter ref="F6:F8" xr:uid="{9552138F-2332-4BC4-A585-0E13162881A5}"/>
  <tableColumns count="1">
    <tableColumn id="1" xr3:uid="{8B84DA76-C73A-484B-AB85-93CE53A85FF5}" name="Aims" dataDxfId="503"/>
  </tableColumns>
  <tableStyleInfo name="TableStyleMedium6" showFirstColumn="0" showLastColumn="0" showRowStripes="1" showColumnStripes="0"/>
</table>
</file>

<file path=xl/tables/table1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1" xr:uid="{9405DABE-6D82-46AB-84E5-8BBBD87BD0BB}" name="6104SPS_Syllabus" displayName="_6104SPS_Syllabus" ref="F10:F13" totalsRowShown="0" headerRowDxfId="502" dataDxfId="501">
  <autoFilter ref="F10:F13" xr:uid="{94F18F67-3F10-4F6E-A953-4FE3399B07F2}"/>
  <tableColumns count="1">
    <tableColumn id="1" xr3:uid="{7BB23C35-AB5C-4E42-B2E9-C41B68F5AF1F}" name="Outline Syllabus" dataDxfId="500"/>
  </tableColumns>
  <tableStyleInfo name="TableStyleMedium6" showFirstColumn="0" showLastColumn="0" showRowStripes="1" showColumnStripes="0"/>
</table>
</file>

<file path=xl/tables/table1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2" xr:uid="{7AFB107C-53D3-4975-A4F4-CAB65BC99D03}" name="6104SPS_Overview" displayName="_6104SPS_Overview" ref="F15:F20" totalsRowShown="0" headerRowDxfId="499" dataDxfId="498">
  <autoFilter ref="F15:F20" xr:uid="{1B2BCD7B-6C15-4B1C-86BC-48FF83D8F225}"/>
  <tableColumns count="1">
    <tableColumn id="1" xr3:uid="{A7EAB096-E6DB-40BE-B37B-256679A7DD5C}" name="Module Overview" dataDxfId="497"/>
  </tableColumns>
  <tableStyleInfo name="TableStyleMedium6" showFirstColumn="0" showLastColumn="0" showRowStripes="1" showColumnStripes="0"/>
</table>
</file>

<file path=xl/tables/table1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3" xr:uid="{D37E2A52-3152-415A-95CE-C4D6FD7B7CAC}" name="6104SPS_Notes" displayName="_6104SPS_Notes" ref="F22:F33" totalsRowShown="0" headerRowDxfId="496" dataDxfId="495">
  <autoFilter ref="F22:F33" xr:uid="{D5968C0A-6D7E-4221-87EE-78A85A4039B3}"/>
  <tableColumns count="1">
    <tableColumn id="1" xr3:uid="{C72ADE2C-BCB8-499B-B1B7-EDB3A3B2FE5B}" name="Additional Information/Notes" dataDxfId="494"/>
  </tableColumns>
  <tableStyleInfo name="TableStyleMedium6" showFirstColumn="0" showLastColumn="0" showRowStripes="1" showColumnStripes="0"/>
</table>
</file>

<file path=xl/tables/table1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4" xr:uid="{D3D9C059-9C0F-4D85-8B52-4BE4E2F3A820}" name="6105SPS_Meta" displayName="_6105SPS_Meta" ref="C6:D14" totalsRowShown="0" headerRowDxfId="493" dataDxfId="492">
  <autoFilter ref="C6:D14" xr:uid="{CD75D2A7-14B1-4ABD-B64D-6E875F9BC652}">
    <filterColumn colId="0" hiddenButton="1"/>
    <filterColumn colId="1" hiddenButton="1"/>
  </autoFilter>
  <tableColumns count="2">
    <tableColumn id="1" xr3:uid="{294825A0-B000-4273-A73D-4BDF1B0EEF00}" name="Module Data" dataDxfId="491"/>
    <tableColumn id="2" xr3:uid="{BFFFACD7-D0A7-40F6-BF15-469686406C3F}" name="Details" dataDxfId="490"/>
  </tableColumns>
  <tableStyleInfo name="TableStyleMedium6" showFirstColumn="0" showLastColumn="0" showRowStripes="1" showColumnStripes="0"/>
</table>
</file>

<file path=xl/tables/table1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5" xr:uid="{DD0C48BE-F6F8-4E15-8EEF-3079EE79AB53}" name="6105SPS_LO" displayName="_6105SPS_LO" ref="C28:D33" totalsRowShown="0" headerRowDxfId="489" dataDxfId="488">
  <autoFilter ref="C28:D33" xr:uid="{22316987-6BEB-4FAF-9619-BF9BE9909CFA}">
    <filterColumn colId="0" hiddenButton="1"/>
    <filterColumn colId="1" hiddenButton="1"/>
  </autoFilter>
  <tableColumns count="2">
    <tableColumn id="1" xr3:uid="{EB0958A2-9E66-44D9-A8DF-610B48FE0AC6}" name="LO Number" dataDxfId="487"/>
    <tableColumn id="2" xr3:uid="{0F368925-4523-471B-A68D-184E05AABCF7}" name="LO Description" dataDxfId="486"/>
  </tableColumns>
  <tableStyleInfo name="TableStyleMedium2" showFirstColumn="0" showLastColumn="0" showRowStripes="1" showColumnStripes="0"/>
</table>
</file>

<file path=xl/tables/table1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6" xr:uid="{FBE7F226-F525-4AEE-9051-8E8C19804E49}" name="6105SPS_Assess" displayName="_6105SPS_Assess" ref="C37:H41" totalsRowShown="0" headerRowDxfId="485" dataDxfId="484">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1623195A-EACB-49C4-931F-4FDDF41A020A}" name="Assessment No" dataDxfId="483"/>
    <tableColumn id="2" xr3:uid="{1FA5C130-1C0E-45D6-8735-EA79A0166F2D}" name="Assessment Type" dataDxfId="482"/>
    <tableColumn id="7" xr3:uid="{34024CC2-5A32-45FD-95BD-978953E7F41B}" name="Assessment Specific" dataDxfId="481"/>
    <tableColumn id="3" xr3:uid="{5DA2B338-CCFE-4568-ACFD-CC8F0B883170}" name="Assessment Description" dataDxfId="480"/>
    <tableColumn id="4" xr3:uid="{597ADF95-B9B9-411B-8079-7F615E89550C}" name="Weighting" dataDxfId="479"/>
    <tableColumn id="5" xr3:uid="{A0D1FD19-8DF8-4595-ADE8-675937B4A7F4}" name="Due Week" dataDxfId="478"/>
  </tableColumns>
  <tableStyleInfo name="TableStyleMedium3" showFirstColumn="0" showLastColumn="0" showRowStripes="1" showColumnStripes="0"/>
</table>
</file>

<file path=xl/tables/table1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7" xr:uid="{7F94D071-7B51-4AEF-B4B4-033ED66B10D3}" name="6105SPS_Weekly" displayName="_6105SPS_Weekly" ref="B80:F104" totalsRowShown="0" headerRowDxfId="477" dataDxfId="476">
  <autoFilter ref="B80:F104" xr:uid="{3A41AF80-1AD3-44F6-93D1-6C4A16CCF943}">
    <filterColumn colId="0" hiddenButton="1"/>
    <filterColumn colId="1" hiddenButton="1"/>
    <filterColumn colId="2" hiddenButton="1"/>
    <filterColumn colId="3" hiddenButton="1"/>
    <filterColumn colId="4" hiddenButton="1"/>
  </autoFilter>
  <tableColumns count="5">
    <tableColumn id="1" xr3:uid="{57BA6DA9-286D-48FA-A29C-33DB01958BBC}" name="Semester " dataDxfId="475"/>
    <tableColumn id="2" xr3:uid="{633971FF-9E7F-4A44-865E-D409908313D1}" name="Week Number" dataDxfId="474"/>
    <tableColumn id="3" xr3:uid="{77413702-BFB9-4DEA-BF99-C2A188E22509}" name="Weekly Content 1" dataDxfId="473"/>
    <tableColumn id="4" xr3:uid="{DD1B7D42-32B3-4CC2-9308-AD66B052F8DB}" name="Weekly Content 2" dataDxfId="472"/>
    <tableColumn id="5" xr3:uid="{504E9A1A-C43C-49D3-BB42-E4DD5A49EFCE}" name="Weekly Content 3" dataDxfId="471"/>
  </tableColumns>
  <tableStyleInfo name="TableStyleMedium4" showFirstColumn="0" showLastColumn="0" showRowStripes="1" showColumnStripes="0"/>
</table>
</file>

<file path=xl/tables/table1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8" xr:uid="{E1658A09-6752-4A08-B64F-A2B57CA717E6}" name="6105SPS_Hours" displayName="_6105SPS_Hours" ref="C18:D24" totalsRowShown="0" headerRowDxfId="470" dataDxfId="469">
  <autoFilter ref="C18:D24" xr:uid="{B71A3569-AA65-4A4E-98A2-885F5C38B46D}">
    <filterColumn colId="0" hiddenButton="1"/>
    <filterColumn colId="1" hiddenButton="1"/>
  </autoFilter>
  <tableColumns count="2">
    <tableColumn id="1" xr3:uid="{5D165BDB-09FC-4AAA-91DB-E67A247DFF72}" name="Component" dataDxfId="468"/>
    <tableColumn id="2" xr3:uid="{E28A3B10-E692-47D9-A3AD-18128B6A4794}" name="Contact Hours" dataDxfId="467"/>
  </tableColumns>
  <tableStyleInfo name="TableStyleMedium2" showFirstColumn="0" showLastColumn="0" showRowStripes="1" showColumnStripes="0"/>
</table>
</file>

<file path=xl/tables/table1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9" xr:uid="{374EC906-9B9F-48BF-8818-9671FFE04486}" name="6105SPS_Mapping" displayName="_6105SPS_Mapping" ref="C45:F77" totalsRowShown="0" headerRowDxfId="466" dataDxfId="465">
  <autoFilter ref="C45:F77" xr:uid="{E0A841BB-B6D5-4048-B5F2-18CF9F502EBA}">
    <filterColumn colId="0" hiddenButton="1"/>
    <filterColumn colId="1" hiddenButton="1"/>
    <filterColumn colId="2" hiddenButton="1"/>
    <filterColumn colId="3" hiddenButton="1"/>
  </autoFilter>
  <tableColumns count="4">
    <tableColumn id="1" xr3:uid="{BF66E6C2-D388-4188-90AD-9408AE3ED7DA}" name="Assessment No" dataDxfId="464"/>
    <tableColumn id="2" xr3:uid="{A7D6827C-7020-4950-BD3E-00625169C68E}" name="LO Number" dataDxfId="463"/>
    <tableColumn id="3" xr3:uid="{1F68EB03-6C47-4955-9791-229A42D1A45A}" name="Graduate Skills Category" dataDxfId="462"/>
    <tableColumn id="4" xr3:uid="{1FD832D4-8E97-4B72-9B09-606CF407E6C7}" name="Graduate Skill" dataDxfId="461"/>
  </tableColumns>
  <tableStyleInfo name="TableStyleMedium3" showFirstColumn="0" showLastColumn="0" showRowStripes="1" showColumnStripes="0"/>
</table>
</file>

<file path=xl/tables/table1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0" xr:uid="{59817139-EB2F-4EEA-A5A5-14E06D17B2BD}" name="6105SPS_Aims" displayName="_6105SPS_Aims" ref="F6:F8" totalsRowShown="0" headerRowDxfId="460" dataDxfId="459">
  <autoFilter ref="F6:F8" xr:uid="{9552138F-2332-4BC4-A585-0E13162881A5}"/>
  <tableColumns count="1">
    <tableColumn id="1" xr3:uid="{2EE5D059-BB6B-4406-AF24-CB56C5C24856}" name="Aims" dataDxfId="458"/>
  </tableColumns>
  <tableStyleInfo name="TableStyleMedium6" showFirstColumn="0" showLastColumn="0" showRowStripes="1" showColumnStripes="0"/>
</table>
</file>

<file path=xl/tables/table1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1" xr:uid="{32FF468F-C8D3-4B79-9797-F22B3B7B3D03}" name="6105SPS_Syllabus" displayName="_6105SPS_Syllabus" ref="F10:F13" totalsRowShown="0" headerRowDxfId="457" dataDxfId="456">
  <autoFilter ref="F10:F13" xr:uid="{94F18F67-3F10-4F6E-A953-4FE3399B07F2}"/>
  <tableColumns count="1">
    <tableColumn id="1" xr3:uid="{CF8ACDF4-0E48-466C-AF99-EC810B28E6AF}" name="Outline Syllabus" dataDxfId="455"/>
  </tableColumns>
  <tableStyleInfo name="TableStyleMedium6" showFirstColumn="0" showLastColumn="0" showRowStripes="1" showColumnStripes="0"/>
</table>
</file>

<file path=xl/tables/table1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2" xr:uid="{38871805-3392-4A3F-AFF8-B6F3E2CBA152}" name="6105SPS_Overview" displayName="_6105SPS_Overview" ref="F15:F20" totalsRowShown="0" headerRowDxfId="454" dataDxfId="453">
  <autoFilter ref="F15:F20" xr:uid="{1B2BCD7B-6C15-4B1C-86BC-48FF83D8F225}"/>
  <tableColumns count="1">
    <tableColumn id="1" xr3:uid="{C16E0E90-DC44-4185-AB55-C39332B32B2D}" name="Module Overview" dataDxfId="452"/>
  </tableColumns>
  <tableStyleInfo name="TableStyleMedium6" showFirstColumn="0" showLastColumn="0" showRowStripes="1" showColumnStripes="0"/>
</table>
</file>

<file path=xl/tables/table1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3" xr:uid="{641172B8-C240-400A-88D4-1BDB4D30A1C9}" name="6105SPS_Notes" displayName="_6105SPS_Notes" ref="F22:F33" totalsRowShown="0" headerRowDxfId="451" dataDxfId="450">
  <autoFilter ref="F22:F33" xr:uid="{D5968C0A-6D7E-4221-87EE-78A85A4039B3}"/>
  <tableColumns count="1">
    <tableColumn id="1" xr3:uid="{719B4DA9-E67A-4094-A58E-921C645096BE}" name="Additional Information/Notes" dataDxfId="449"/>
  </tableColumns>
  <tableStyleInfo name="TableStyleMedium6" showFirstColumn="0" showLastColumn="0" showRowStripes="1" showColumnStripes="0"/>
</table>
</file>

<file path=xl/tables/table1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4" xr:uid="{6101E4E0-85EB-4155-B186-22297C98CE26}" name="6106SPS_Meta" displayName="_6106SPS_Meta" ref="C6:D14" totalsRowShown="0" headerRowDxfId="448" dataDxfId="447">
  <autoFilter ref="C6:D14" xr:uid="{CD75D2A7-14B1-4ABD-B64D-6E875F9BC652}">
    <filterColumn colId="0" hiddenButton="1"/>
    <filterColumn colId="1" hiddenButton="1"/>
  </autoFilter>
  <tableColumns count="2">
    <tableColumn id="1" xr3:uid="{B946128C-97AA-429A-BFB7-14DA62D23F93}" name="Module Data" dataDxfId="446"/>
    <tableColumn id="2" xr3:uid="{9E5B10EF-821C-4302-A35D-3F36AB2362C9}" name="Details" dataDxfId="445"/>
  </tableColumns>
  <tableStyleInfo name="TableStyleMedium6" showFirstColumn="0" showLastColumn="0" showRowStripes="1" showColumnStripes="0"/>
</table>
</file>

<file path=xl/tables/table1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5" xr:uid="{98DD26DA-5250-445B-9525-2120184BE2DD}" name="6106SPS_LO" displayName="_6106SPS_LO" ref="C28:D33" totalsRowShown="0" headerRowDxfId="444" dataDxfId="443">
  <autoFilter ref="C28:D33" xr:uid="{22316987-6BEB-4FAF-9619-BF9BE9909CFA}">
    <filterColumn colId="0" hiddenButton="1"/>
    <filterColumn colId="1" hiddenButton="1"/>
  </autoFilter>
  <tableColumns count="2">
    <tableColumn id="1" xr3:uid="{3806001B-7A24-4470-B13B-816824C48A87}" name="LO Number" dataDxfId="442"/>
    <tableColumn id="2" xr3:uid="{D801C621-044F-4B79-AEEF-83CB123A3537}" name="LO Description" dataDxfId="441"/>
  </tableColumns>
  <tableStyleInfo name="TableStyleMedium2" showFirstColumn="0" showLastColumn="0" showRowStripes="1" showColumnStripes="0"/>
</table>
</file>

<file path=xl/tables/table1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6" xr:uid="{7ABC33D0-F5B3-4FCB-B25F-FA187E50300E}" name="6106SPS_Assess" displayName="_6106SPS_Assess" ref="C37:H41" totalsRowShown="0" headerRowDxfId="440" dataDxfId="439">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CED5AE70-AB59-4814-8058-344FE8B3F393}" name="Assessment No" dataDxfId="438"/>
    <tableColumn id="2" xr3:uid="{64354A91-AE63-4D1E-BE94-8BE1D1CC7A59}" name="Assessment Type" dataDxfId="437"/>
    <tableColumn id="7" xr3:uid="{530A1FC8-EA43-41F4-BFFD-95021CCF673E}" name="Assessment Specific" dataDxfId="436"/>
    <tableColumn id="3" xr3:uid="{D7982B35-955C-4EF8-8FFF-272E5115BF74}" name="Assessment Description" dataDxfId="435"/>
    <tableColumn id="4" xr3:uid="{3D5D5D25-1897-4307-B2B9-AB9926C0783C}" name="Weighting" dataDxfId="434"/>
    <tableColumn id="5" xr3:uid="{41F93229-30BA-4DE4-BA85-1B8D0C842BE7}" name="Due Week" dataDxfId="433"/>
  </tableColumns>
  <tableStyleInfo name="TableStyleMedium3" showFirstColumn="0" showLastColumn="0" showRowStripes="1" showColumnStripes="0"/>
</table>
</file>

<file path=xl/tables/table1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7" xr:uid="{401509DF-1734-4C36-899A-ACE838CA9F81}" name="6106SPS_Weekly" displayName="_6106SPS_Weekly" ref="B70:F94" totalsRowShown="0" headerRowDxfId="432" dataDxfId="431">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2C70E742-EE79-4C66-A81C-751B73A8833B}" name="Semester " dataDxfId="430"/>
    <tableColumn id="2" xr3:uid="{6B27DC11-3985-495E-B86E-D8AEE2E81BAF}" name="Week Number" dataDxfId="429"/>
    <tableColumn id="3" xr3:uid="{B399D5B9-AB04-4B80-8627-ADE3E5852A07}" name="Weekly Content 1" dataDxfId="428"/>
    <tableColumn id="4" xr3:uid="{F9B22473-EB7D-423C-B21A-CD3C0CD2604C}" name="Weekly Content 2" dataDxfId="427"/>
    <tableColumn id="5" xr3:uid="{BDB725C3-96D9-443B-8128-47286ADCA89C}" name="Weekly Content 3" dataDxfId="426"/>
  </tableColumns>
  <tableStyleInfo name="TableStyleMedium4" showFirstColumn="0" showLastColumn="0" showRowStripes="1" showColumnStripes="0"/>
</table>
</file>

<file path=xl/tables/table1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8" xr:uid="{C13203B9-F424-4B30-984F-FF53C91916DF}" name="6106SPS_Hours" displayName="_6106SPS_Hours" ref="C18:D24" totalsRowShown="0" headerRowDxfId="425" dataDxfId="424">
  <autoFilter ref="C18:D24" xr:uid="{B71A3569-AA65-4A4E-98A2-885F5C38B46D}">
    <filterColumn colId="0" hiddenButton="1"/>
    <filterColumn colId="1" hiddenButton="1"/>
  </autoFilter>
  <tableColumns count="2">
    <tableColumn id="1" xr3:uid="{157B6D45-69F3-4709-8CC3-C24641471D5F}" name="Component" dataDxfId="423"/>
    <tableColumn id="2" xr3:uid="{99B73441-0316-4CCD-B0C7-06884A8A7754}" name="Contact Hours" dataDxfId="422"/>
  </tableColumns>
  <tableStyleInfo name="TableStyleMedium2" showFirstColumn="0" showLastColumn="0" showRowStripes="1" showColumnStripes="0"/>
</table>
</file>

<file path=xl/tables/table1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9" xr:uid="{2AB15E2B-C0B2-41FD-B483-151F09EBAD86}" name="6106SPS_Mapping" displayName="_6106SPS_Mapping" ref="C45:F66" totalsRowShown="0" headerRowDxfId="421" dataDxfId="420">
  <autoFilter ref="C45:F66" xr:uid="{E0A841BB-B6D5-4048-B5F2-18CF9F502EBA}">
    <filterColumn colId="0" hiddenButton="1"/>
    <filterColumn colId="1" hiddenButton="1"/>
    <filterColumn colId="2" hiddenButton="1"/>
    <filterColumn colId="3" hiddenButton="1"/>
  </autoFilter>
  <tableColumns count="4">
    <tableColumn id="1" xr3:uid="{88094BA4-095B-41BB-975D-D34C506E1163}" name="Assessment No" dataDxfId="419"/>
    <tableColumn id="2" xr3:uid="{EF2FFCFD-E58D-4443-B708-BCE0D7EB93E1}" name="LO Number" dataDxfId="418"/>
    <tableColumn id="3" xr3:uid="{8E20D7DD-0908-49BF-87A5-AB3FCB98D85C}" name="Graduate Skills Category" dataDxfId="417"/>
    <tableColumn id="4" xr3:uid="{C5033368-6F6A-4D25-8F22-ECB65757E12D}" name="Graduate Skill" dataDxfId="416"/>
  </tableColumns>
  <tableStyleInfo name="TableStyleMedium3" showFirstColumn="0" showLastColumn="0" showRowStripes="1" showColumnStripes="0"/>
</table>
</file>

<file path=xl/tables/table1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0" xr:uid="{9A117804-871D-49EE-A48A-BED4D08FCBF8}" name="6106SPS_Aims" displayName="_6106SPS_Aims" ref="F6:F8" totalsRowShown="0" headerRowDxfId="415" dataDxfId="414">
  <autoFilter ref="F6:F8" xr:uid="{9552138F-2332-4BC4-A585-0E13162881A5}"/>
  <tableColumns count="1">
    <tableColumn id="1" xr3:uid="{95683184-77D7-4D5F-B6CD-76493CDECA59}" name="Aims" dataDxfId="413"/>
  </tableColumns>
  <tableStyleInfo name="TableStyleMedium6" showFirstColumn="0" showLastColumn="0" showRowStripes="1" showColumnStripes="0"/>
</table>
</file>

<file path=xl/tables/table1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1" xr:uid="{8BE269B1-AE52-407F-93A1-8BE0EAF4E8FB}" name="6106SPS_Syllabus" displayName="_6106SPS_Syllabus" ref="F10:F13" totalsRowShown="0" headerRowDxfId="412" dataDxfId="411">
  <autoFilter ref="F10:F13" xr:uid="{94F18F67-3F10-4F6E-A953-4FE3399B07F2}"/>
  <tableColumns count="1">
    <tableColumn id="1" xr3:uid="{5EEDAB62-FC71-46AD-86A7-2D7304C83206}" name="Outline Syllabus" dataDxfId="410"/>
  </tableColumns>
  <tableStyleInfo name="TableStyleMedium6" showFirstColumn="0" showLastColumn="0" showRowStripes="1" showColumnStripes="0"/>
</table>
</file>

<file path=xl/tables/table1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2" xr:uid="{DA6C0AC9-4EC8-454E-A46C-6FFE57848647}" name="6106SPS_Overview" displayName="_6106SPS_Overview" ref="F15:F20" totalsRowShown="0" headerRowDxfId="409" dataDxfId="408">
  <autoFilter ref="F15:F20" xr:uid="{1B2BCD7B-6C15-4B1C-86BC-48FF83D8F225}"/>
  <tableColumns count="1">
    <tableColumn id="1" xr3:uid="{0DC5DF41-105A-41BF-AF39-34EA66DFB865}" name="Module Overview" dataDxfId="407"/>
  </tableColumns>
  <tableStyleInfo name="TableStyleMedium6" showFirstColumn="0" showLastColumn="0" showRowStripes="1" showColumnStripes="0"/>
</table>
</file>

<file path=xl/tables/table1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3" xr:uid="{3839986D-808E-4EB2-B632-76542967DDD0}" name="6106SPS_Notes" displayName="_6106SPS_Notes" ref="F22:F33" totalsRowShown="0" headerRowDxfId="406" dataDxfId="405">
  <autoFilter ref="F22:F33" xr:uid="{D5968C0A-6D7E-4221-87EE-78A85A4039B3}"/>
  <tableColumns count="1">
    <tableColumn id="1" xr3:uid="{38D613A6-4794-4339-B091-D4F707A1828F}" name="Additional Information/Notes" dataDxfId="404"/>
  </tableColumns>
  <tableStyleInfo name="TableStyleMedium6" showFirstColumn="0" showLastColumn="0" showRowStripes="1" showColumnStripes="0"/>
</table>
</file>

<file path=xl/tables/table1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6AB17149-A37D-47BC-8A11-F7655DEB8656}" name="6107SPS_Meta" displayName="_6107SPS_Meta" ref="C6:D14" totalsRowShown="0" headerRowDxfId="403" dataDxfId="402">
  <autoFilter ref="C6:D14" xr:uid="{CD75D2A7-14B1-4ABD-B64D-6E875F9BC652}">
    <filterColumn colId="0" hiddenButton="1"/>
    <filterColumn colId="1" hiddenButton="1"/>
  </autoFilter>
  <tableColumns count="2">
    <tableColumn id="1" xr3:uid="{F8338C20-999E-4297-841F-9EE93A275BC1}" name="Module Data" dataDxfId="401"/>
    <tableColumn id="2" xr3:uid="{DD3D0DAB-0512-4653-894E-2A43CB80A14F}" name="Details" dataDxfId="400"/>
  </tableColumns>
  <tableStyleInfo name="TableStyleMedium6" showFirstColumn="0" showLastColumn="0" showRowStripes="1" showColumnStripes="0"/>
</table>
</file>

<file path=xl/tables/table1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C41E90C6-BDAF-49EC-93F4-ECDC663E6BBC}" name="6107SPS_LO" displayName="_6107SPS_LO" ref="C28:D33" totalsRowShown="0" headerRowDxfId="399" dataDxfId="398">
  <autoFilter ref="C28:D33" xr:uid="{22316987-6BEB-4FAF-9619-BF9BE9909CFA}">
    <filterColumn colId="0" hiddenButton="1"/>
    <filterColumn colId="1" hiddenButton="1"/>
  </autoFilter>
  <tableColumns count="2">
    <tableColumn id="1" xr3:uid="{360A9A1C-A283-4342-B2CD-121409E92237}" name="LO Number" dataDxfId="397"/>
    <tableColumn id="2" xr3:uid="{D77336CC-4999-44E1-B85F-06159DECADC9}" name="LO Description" dataDxfId="396"/>
  </tableColumns>
  <tableStyleInfo name="TableStyleMedium2" showFirstColumn="0" showLastColumn="0" showRowStripes="1" showColumnStripes="0"/>
</table>
</file>

<file path=xl/tables/table1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D9ABDFE3-AA27-4575-B2F2-657312B5FE58}" name="6107SPS_Assess" displayName="_6107SPS_Assess" ref="C37:H41" totalsRowShown="0" headerRowDxfId="395" dataDxfId="394">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10EC8BCA-9A9C-4DC6-96C4-15B3BA26835C}" name="Assessment No" dataDxfId="393"/>
    <tableColumn id="2" xr3:uid="{D102834D-EA77-4D8D-AF03-4D1253A95943}" name="Assessment Type" dataDxfId="392"/>
    <tableColumn id="7" xr3:uid="{6A820545-0789-4C0D-A647-FC3F67E4210C}" name="Assessment Specific" dataDxfId="391"/>
    <tableColumn id="3" xr3:uid="{5D59550A-157C-41E1-B08D-4B5CA96021E8}" name="Assessment Description" dataDxfId="390"/>
    <tableColumn id="4" xr3:uid="{08D7A47C-3DFE-49EE-A529-CCB01F0D916F}" name="Weighting" dataDxfId="389"/>
    <tableColumn id="5" xr3:uid="{A42FACF0-B475-435F-8764-79130DAAEBB9}" name="Due Week" dataDxfId="388"/>
  </tableColumns>
  <tableStyleInfo name="TableStyleMedium3" showFirstColumn="0" showLastColumn="0" showRowStripes="1" showColumnStripes="0"/>
</table>
</file>

<file path=xl/tables/table1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075A3588-9122-4BE4-B3E1-5FA8CA853CC3}" name="6107SPS_Weekly" displayName="_6107SPS_Weekly" ref="B70:F94" totalsRowShown="0" headerRowDxfId="387" dataDxfId="386">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50B05C96-8427-4946-9F13-2364A3A0E57F}" name="Semester " dataDxfId="385"/>
    <tableColumn id="2" xr3:uid="{6C4F4CD8-E2EA-46BF-8EAC-7E670D3B07CA}" name="Week Number" dataDxfId="384"/>
    <tableColumn id="3" xr3:uid="{40BFBB60-729C-4EC6-A8F3-E2411EF0888B}" name="Weekly Content 1" dataDxfId="383"/>
    <tableColumn id="4" xr3:uid="{F65B9FF2-E151-4466-971C-B7438924C1A8}" name="Weekly Content 2" dataDxfId="382"/>
    <tableColumn id="5" xr3:uid="{6A2B2E4C-CB26-4F3D-B0E8-EB3063A556F7}" name="Weekly Content 3" dataDxfId="381"/>
  </tableColumns>
  <tableStyleInfo name="TableStyleMedium4" showFirstColumn="0" showLastColumn="0" showRowStripes="1" showColumnStripes="0"/>
</table>
</file>

<file path=xl/tables/table1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64F4A2EE-F8A1-462B-AE49-27B39246DF5B}" name="6107SPS_Hours" displayName="_6107SPS_Hours" ref="C18:D24" totalsRowShown="0" headerRowDxfId="380" dataDxfId="379">
  <autoFilter ref="C18:D24" xr:uid="{B71A3569-AA65-4A4E-98A2-885F5C38B46D}">
    <filterColumn colId="0" hiddenButton="1"/>
    <filterColumn colId="1" hiddenButton="1"/>
  </autoFilter>
  <tableColumns count="2">
    <tableColumn id="1" xr3:uid="{BCDF52D9-CC8A-47BD-9C49-2D01E1059F91}" name="Component" dataDxfId="378"/>
    <tableColumn id="2" xr3:uid="{BD08259C-3B56-4A0B-B83D-6944A6CB2E8C}" name="Contact Hours" dataDxfId="377"/>
  </tableColumns>
  <tableStyleInfo name="TableStyleMedium2" showFirstColumn="0" showLastColumn="0" showRowStripes="1" showColumnStripes="0"/>
</table>
</file>

<file path=xl/tables/table1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159BCC12-40F1-4160-81B2-18003B53E43E}" name="6107SPS_Mapping" displayName="_6107SPS_Mapping" ref="C45:F66" totalsRowShown="0" headerRowDxfId="376" dataDxfId="375">
  <autoFilter ref="C45:F66" xr:uid="{E0A841BB-B6D5-4048-B5F2-18CF9F502EBA}">
    <filterColumn colId="0" hiddenButton="1"/>
    <filterColumn colId="1" hiddenButton="1"/>
    <filterColumn colId="2" hiddenButton="1"/>
    <filterColumn colId="3" hiddenButton="1"/>
  </autoFilter>
  <tableColumns count="4">
    <tableColumn id="1" xr3:uid="{67625249-86C2-400E-89B4-213A09EF7ADE}" name="Assessment No" dataDxfId="374"/>
    <tableColumn id="2" xr3:uid="{6DFA238E-D9FA-4C1B-AC76-81F3134AF2FB}" name="LO Number" dataDxfId="373"/>
    <tableColumn id="3" xr3:uid="{AFADD497-E043-4C5A-9358-01FDAF376932}" name="Graduate Skills Category" dataDxfId="372"/>
    <tableColumn id="4" xr3:uid="{56BA5CBC-2213-453E-B8E7-13C7B1D96EF0}" name="Graduate Skill" dataDxfId="371"/>
  </tableColumns>
  <tableStyleInfo name="TableStyleMedium3" showFirstColumn="0" showLastColumn="0" showRowStripes="1" showColumnStripes="0"/>
</table>
</file>

<file path=xl/tables/table1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F9A82F14-3614-4473-ADFE-06BA385D8E5A}" name="6107SPS_Aims" displayName="_6107SPS_Aims" ref="F6:F8" totalsRowShown="0" headerRowDxfId="370" dataDxfId="369">
  <autoFilter ref="F6:F8" xr:uid="{9552138F-2332-4BC4-A585-0E13162881A5}"/>
  <tableColumns count="1">
    <tableColumn id="1" xr3:uid="{A0267780-C0EB-4306-AD01-D2C059ADA9E4}" name="Aims" dataDxfId="368"/>
  </tableColumns>
  <tableStyleInfo name="TableStyleMedium6" showFirstColumn="0" showLastColumn="0" showRowStripes="1" showColumnStripes="0"/>
</table>
</file>

<file path=xl/tables/table1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FD9EEB99-490E-4D58-914C-A0F311E6F502}" name="6107SPS_Syllabus" displayName="_6107SPS_Syllabus" ref="F10:F13" totalsRowShown="0" headerRowDxfId="367" dataDxfId="366">
  <autoFilter ref="F10:F13" xr:uid="{94F18F67-3F10-4F6E-A953-4FE3399B07F2}"/>
  <tableColumns count="1">
    <tableColumn id="1" xr3:uid="{BB1D3EF2-0CA6-4122-B8DF-C71EA5E06D8C}" name="Outline Syllabus" dataDxfId="365"/>
  </tableColumns>
  <tableStyleInfo name="TableStyleMedium6" showFirstColumn="0" showLastColumn="0" showRowStripes="1" showColumnStripes="0"/>
</table>
</file>

<file path=xl/tables/table1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3EBC7ACA-7097-41F4-850D-79E3A1D4FC23}" name="6107SPS_Overview" displayName="_6107SPS_Overview" ref="F15:F20" totalsRowShown="0" headerRowDxfId="364" dataDxfId="363">
  <autoFilter ref="F15:F20" xr:uid="{1B2BCD7B-6C15-4B1C-86BC-48FF83D8F225}"/>
  <tableColumns count="1">
    <tableColumn id="1" xr3:uid="{0EBC70A1-3D05-4113-BF67-EAD2BD7D7FFF}" name="Module Overview" dataDxfId="362"/>
  </tableColumns>
  <tableStyleInfo name="TableStyleMedium6" showFirstColumn="0" showLastColumn="0" showRowStripes="1" showColumnStripes="0"/>
</table>
</file>

<file path=xl/tables/table1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04AAC450-D40A-4844-8156-646A53C73FFD}" name="6107SPS_Notes" displayName="_6107SPS_Notes" ref="F22:F33" totalsRowShown="0" headerRowDxfId="361" dataDxfId="360">
  <autoFilter ref="F22:F33" xr:uid="{D5968C0A-6D7E-4221-87EE-78A85A4039B3}"/>
  <tableColumns count="1">
    <tableColumn id="1" xr3:uid="{4DADF9D2-88EE-4868-9220-536D564B2285}" name="Additional Information/Notes" dataDxfId="359"/>
  </tableColumns>
  <tableStyleInfo name="TableStyleMedium6" showFirstColumn="0" showLastColumn="0" showRowStripes="1" showColumnStripes="0"/>
</table>
</file>

<file path=xl/tables/table1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4" xr:uid="{74B2B836-FEE3-4D8C-A583-FCE8AD37DA97}" name="6108SPS_Meta" displayName="_6108SPS_Meta" ref="C6:D14" totalsRowShown="0" headerRowDxfId="358" dataDxfId="357">
  <autoFilter ref="C6:D14" xr:uid="{CD75D2A7-14B1-4ABD-B64D-6E875F9BC652}">
    <filterColumn colId="0" hiddenButton="1"/>
    <filterColumn colId="1" hiddenButton="1"/>
  </autoFilter>
  <tableColumns count="2">
    <tableColumn id="1" xr3:uid="{4312B193-D095-44A4-B0FA-8864AE0BCBEF}" name="Module Data" dataDxfId="356"/>
    <tableColumn id="2" xr3:uid="{4F08D2F7-88F2-4061-857B-CBAD6623F570}" name="Details" dataDxfId="355"/>
  </tableColumns>
  <tableStyleInfo name="TableStyleMedium6" showFirstColumn="0" showLastColumn="0" showRowStripes="1" showColumnStripes="0"/>
</table>
</file>

<file path=xl/tables/table1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5" xr:uid="{6B4EAB99-124D-42E9-8E49-DC0D3280A770}" name="6108SPS_LO" displayName="_6108SPS_LO" ref="C28:D33" totalsRowShown="0" headerRowDxfId="354" dataDxfId="353">
  <autoFilter ref="C28:D33" xr:uid="{22316987-6BEB-4FAF-9619-BF9BE9909CFA}">
    <filterColumn colId="0" hiddenButton="1"/>
    <filterColumn colId="1" hiddenButton="1"/>
  </autoFilter>
  <tableColumns count="2">
    <tableColumn id="1" xr3:uid="{87282965-A2DA-4B4E-8D06-98090F28BEEF}" name="LO Number" dataDxfId="352"/>
    <tableColumn id="2" xr3:uid="{5860F21B-133F-4A88-A61B-07CF39BC7E21}" name="LO Description" dataDxfId="351"/>
  </tableColumns>
  <tableStyleInfo name="TableStyleMedium2" showFirstColumn="0" showLastColumn="0" showRowStripes="1" showColumnStripes="0"/>
</table>
</file>

<file path=xl/tables/table1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6" xr:uid="{C3B225F4-04B9-42E5-AA5E-0B231BCFA0EF}" name="6108SPS_Assess" displayName="_6108SPS_Assess" ref="C37:H41" totalsRowShown="0" headerRowDxfId="350" dataDxfId="349">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8DF47951-A7BD-47A8-B1ED-B6F5AF65DA1D}" name="Assessment No" dataDxfId="348"/>
    <tableColumn id="2" xr3:uid="{02E86080-DD71-4108-821B-E566F188DEA2}" name="Assessment Type" dataDxfId="347"/>
    <tableColumn id="7" xr3:uid="{47CA01EB-2FAC-4F47-BB5B-4ACF9B64B490}" name="Assessment Specific" dataDxfId="346"/>
    <tableColumn id="3" xr3:uid="{FBD48AF8-7B7F-4162-9266-C7CCFD60F0E7}" name="Assessment Description" dataDxfId="345"/>
    <tableColumn id="4" xr3:uid="{B1C6A884-1B35-475C-8890-451E2B62B45B}" name="Weighting" dataDxfId="344"/>
    <tableColumn id="5" xr3:uid="{52275FFC-C744-424D-9DA8-F4384F058801}" name="Due Week" dataDxfId="343"/>
  </tableColumns>
  <tableStyleInfo name="TableStyleMedium3" showFirstColumn="0" showLastColumn="0" showRowStripes="1" showColumnStripes="0"/>
</table>
</file>

<file path=xl/tables/table1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7" xr:uid="{811C1444-7D9D-41F0-B07B-761DA8B67262}" name="6108SPS_Weekly" displayName="_6108SPS_Weekly" ref="B70:F94" totalsRowShown="0" headerRowDxfId="342" dataDxfId="341">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AA171258-098F-40B4-886F-EAA2D59C0870}" name="Semester " dataDxfId="340"/>
    <tableColumn id="2" xr3:uid="{F2C231FA-6829-4DDE-AADC-3E8FA43A1138}" name="Week Number" dataDxfId="339"/>
    <tableColumn id="3" xr3:uid="{BF2905C5-0007-47A2-850C-6A3A59009B1B}" name="Weekly Content 1" dataDxfId="338"/>
    <tableColumn id="4" xr3:uid="{87E349A9-C7DB-4B62-AE2D-73DF6FE87FF2}" name="Weekly Content 2" dataDxfId="337"/>
    <tableColumn id="5" xr3:uid="{9335E186-D4FA-4BC9-96F6-48CA2E66C8B8}" name="Weekly Content 3" dataDxfId="336"/>
  </tableColumns>
  <tableStyleInfo name="TableStyleMedium4" showFirstColumn="0" showLastColumn="0" showRowStripes="1" showColumnStripes="0"/>
</table>
</file>

<file path=xl/tables/table1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8" xr:uid="{A93C3D93-C0B3-4DC1-A2AD-C094B48CCC3E}" name="6108SPS_Hours" displayName="_6108SPS_Hours" ref="C18:D24" totalsRowShown="0" headerRowDxfId="335" dataDxfId="334">
  <autoFilter ref="C18:D24" xr:uid="{B71A3569-AA65-4A4E-98A2-885F5C38B46D}">
    <filterColumn colId="0" hiddenButton="1"/>
    <filterColumn colId="1" hiddenButton="1"/>
  </autoFilter>
  <tableColumns count="2">
    <tableColumn id="1" xr3:uid="{9CDDC04F-6E44-4B1D-B2F7-BCFB91288FF8}" name="Component" dataDxfId="333"/>
    <tableColumn id="2" xr3:uid="{0A78BA71-0A43-4908-AD5D-EAD433A8F0CB}" name="Contact Hours" dataDxfId="332"/>
  </tableColumns>
  <tableStyleInfo name="TableStyleMedium2" showFirstColumn="0" showLastColumn="0" showRowStripes="1" showColumnStripes="0"/>
</table>
</file>

<file path=xl/tables/table1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9" xr:uid="{074D72A6-497B-41F6-AEDC-764E0477FB4D}" name="6108SPS_Mapping" displayName="_6108SPS_Mapping" ref="C45:F66" totalsRowShown="0" headerRowDxfId="331" dataDxfId="330">
  <autoFilter ref="C45:F66" xr:uid="{E0A841BB-B6D5-4048-B5F2-18CF9F502EBA}">
    <filterColumn colId="0" hiddenButton="1"/>
    <filterColumn colId="1" hiddenButton="1"/>
    <filterColumn colId="2" hiddenButton="1"/>
    <filterColumn colId="3" hiddenButton="1"/>
  </autoFilter>
  <tableColumns count="4">
    <tableColumn id="1" xr3:uid="{EACDE5D0-DCC0-4C25-9632-DAE8298C79C4}" name="Assessment No" dataDxfId="329"/>
    <tableColumn id="2" xr3:uid="{38F835BE-5EB1-4FFA-8259-BEB6E39C8FA1}" name="LO Number" dataDxfId="328"/>
    <tableColumn id="3" xr3:uid="{C6B979A3-0E5A-464F-B5CD-CBA3047E98BE}" name="Graduate Skills Category" dataDxfId="327"/>
    <tableColumn id="4" xr3:uid="{2D7AD4B8-14A9-4533-A3C6-5E7125BAACC7}" name="Graduate Skill" dataDxfId="326"/>
  </tableColumns>
  <tableStyleInfo name="TableStyleMedium3" showFirstColumn="0" showLastColumn="0" showRowStripes="1" showColumnStripes="0"/>
</table>
</file>

<file path=xl/tables/table1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0" xr:uid="{03DFB63D-58AB-47FF-9208-A470E9348B6F}" name="6108SPS_Aims" displayName="_6108SPS_Aims" ref="F6:F8" totalsRowShown="0" headerRowDxfId="325" dataDxfId="324">
  <autoFilter ref="F6:F8" xr:uid="{9552138F-2332-4BC4-A585-0E13162881A5}"/>
  <tableColumns count="1">
    <tableColumn id="1" xr3:uid="{9E1F2909-CE11-40D2-90E4-0F2548AB10B2}" name="Aims" dataDxfId="323"/>
  </tableColumns>
  <tableStyleInfo name="TableStyleMedium6" showFirstColumn="0" showLastColumn="0" showRowStripes="1" showColumnStripes="0"/>
</table>
</file>

<file path=xl/tables/table1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1" xr:uid="{5CFA8ECE-8F57-4ECA-B2A5-317B767EA53F}" name="6108SPS_Syllabus" displayName="_6108SPS_Syllabus" ref="F10:F13" totalsRowShown="0" headerRowDxfId="322" dataDxfId="321">
  <autoFilter ref="F10:F13" xr:uid="{94F18F67-3F10-4F6E-A953-4FE3399B07F2}"/>
  <tableColumns count="1">
    <tableColumn id="1" xr3:uid="{454BC257-77E7-4C9C-B231-D65E8EE20325}" name="Outline Syllabus" dataDxfId="320"/>
  </tableColumns>
  <tableStyleInfo name="TableStyleMedium6" showFirstColumn="0" showLastColumn="0" showRowStripes="1" showColumnStripes="0"/>
</table>
</file>

<file path=xl/tables/table1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2" xr:uid="{3CDE255B-3A1A-451C-A13C-91436E9FCF71}" name="6108SPS_Overview" displayName="_6108SPS_Overview" ref="F15:F20" totalsRowShown="0" headerRowDxfId="319" dataDxfId="318">
  <autoFilter ref="F15:F20" xr:uid="{1B2BCD7B-6C15-4B1C-86BC-48FF83D8F225}"/>
  <tableColumns count="1">
    <tableColumn id="1" xr3:uid="{D37E1C0D-C9AF-4C78-BCFF-8B2CE993F50A}" name="Module Overview" dataDxfId="317"/>
  </tableColumns>
  <tableStyleInfo name="TableStyleMedium6" showFirstColumn="0" showLastColumn="0" showRowStripes="1" showColumnStripes="0"/>
</table>
</file>

<file path=xl/tables/table1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3" xr:uid="{1D041108-8D42-47AB-9472-C648C6F01A1B}" name="6108SPS_Notes" displayName="_6108SPS_Notes" ref="F22:F33" totalsRowShown="0" headerRowDxfId="316" dataDxfId="315">
  <autoFilter ref="F22:F33" xr:uid="{D5968C0A-6D7E-4221-87EE-78A85A4039B3}"/>
  <tableColumns count="1">
    <tableColumn id="1" xr3:uid="{E8342C1A-2B62-4E1C-B80B-B12917066000}" name="Additional Information/Notes" dataDxfId="314"/>
  </tableColumns>
  <tableStyleInfo name="TableStyleMedium6" showFirstColumn="0" showLastColumn="0" showRowStripes="1" showColumnStripes="0"/>
</table>
</file>

<file path=xl/tables/table1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4" xr:uid="{6C1815BC-3D96-4CE2-A3C0-E524ED84C584}" name="6109SPS_Meta" displayName="_6109SPS_Meta" ref="C6:D14" totalsRowShown="0" headerRowDxfId="313" dataDxfId="312">
  <autoFilter ref="C6:D14" xr:uid="{CD75D2A7-14B1-4ABD-B64D-6E875F9BC652}">
    <filterColumn colId="0" hiddenButton="1"/>
    <filterColumn colId="1" hiddenButton="1"/>
  </autoFilter>
  <tableColumns count="2">
    <tableColumn id="1" xr3:uid="{5D38FCD1-7A3F-4025-AC69-E6A90C68A79E}" name="Module Data" dataDxfId="311"/>
    <tableColumn id="2" xr3:uid="{ACE861FD-0C1D-4D19-A0A8-AC83427FA81A}" name="Details" dataDxfId="310"/>
  </tableColumns>
  <tableStyleInfo name="TableStyleMedium6" showFirstColumn="0" showLastColumn="0" showRowStripes="1" showColumnStripes="0"/>
</table>
</file>

<file path=xl/tables/table1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5" xr:uid="{D5D2633F-A72A-4EBD-BB0D-2D2560E496A6}" name="6109SPS_LO" displayName="_6109SPS_LO" ref="C28:D33" totalsRowShown="0" headerRowDxfId="309" dataDxfId="308">
  <autoFilter ref="C28:D33" xr:uid="{22316987-6BEB-4FAF-9619-BF9BE9909CFA}">
    <filterColumn colId="0" hiddenButton="1"/>
    <filterColumn colId="1" hiddenButton="1"/>
  </autoFilter>
  <tableColumns count="2">
    <tableColumn id="1" xr3:uid="{92FDE3DF-EAC0-4CA6-A5B4-E15BAAC4A01D}" name="LO Number" dataDxfId="307"/>
    <tableColumn id="2" xr3:uid="{A384CFCB-55B0-46B7-AF9A-FAAC6022096A}" name="LO Description" dataDxfId="306"/>
  </tableColumns>
  <tableStyleInfo name="TableStyleMedium2" showFirstColumn="0" showLastColumn="0" showRowStripes="1" showColumnStripes="0"/>
</table>
</file>

<file path=xl/tables/table1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6" xr:uid="{F820147B-082B-4FA1-97BA-0F1A0D69376D}" name="6109SPS_Assess" displayName="_6109SPS_Assess" ref="C37:H41" totalsRowShown="0" headerRowDxfId="305" dataDxfId="304">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2063B804-9290-4363-A24F-BA34F88A89EF}" name="Assessment No" dataDxfId="303"/>
    <tableColumn id="2" xr3:uid="{390EF809-FA62-405F-B84C-B2AD571CEBAA}" name="Assessment Type" dataDxfId="302"/>
    <tableColumn id="7" xr3:uid="{2B1618E6-AA98-4A15-AE0C-79993F1BAFB7}" name="Assessment Specific" dataDxfId="301"/>
    <tableColumn id="3" xr3:uid="{138C3352-0967-40A6-A5BE-4B32DEC01ACB}" name="Assessment Description" dataDxfId="300"/>
    <tableColumn id="4" xr3:uid="{F4B4B6BF-3460-42E3-849C-1BBE242E83C3}" name="Weighting" dataDxfId="299"/>
    <tableColumn id="5" xr3:uid="{E52307F9-F56A-42FC-9A76-6A630F2C5B71}" name="Due Week" dataDxfId="298"/>
  </tableColumns>
  <tableStyleInfo name="TableStyleMedium3" showFirstColumn="0" showLastColumn="0" showRowStripes="1" showColumnStripes="0"/>
</table>
</file>

<file path=xl/tables/table1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7" xr:uid="{036DF56C-F5DF-42FA-9C3E-466BEB6A9B25}" name="6109SPS_Weekly" displayName="_6109SPS_Weekly" ref="B76:F100" totalsRowShown="0" headerRowDxfId="297" dataDxfId="296">
  <autoFilter ref="B76:F100" xr:uid="{3A41AF80-1AD3-44F6-93D1-6C4A16CCF943}">
    <filterColumn colId="0" hiddenButton="1"/>
    <filterColumn colId="1" hiddenButton="1"/>
    <filterColumn colId="2" hiddenButton="1"/>
    <filterColumn colId="3" hiddenButton="1"/>
    <filterColumn colId="4" hiddenButton="1"/>
  </autoFilter>
  <tableColumns count="5">
    <tableColumn id="1" xr3:uid="{A5D23D0B-4E1E-44F9-A154-416BAE9F0E6A}" name="Semester " dataDxfId="295"/>
    <tableColumn id="2" xr3:uid="{1B7B234D-0DD9-4913-9C62-18CC4E0FD5D6}" name="Week Number" dataDxfId="294"/>
    <tableColumn id="3" xr3:uid="{FDA6287D-7D09-41DC-96F1-E9BCD4B11D2E}" name="Weekly Content 1" dataDxfId="293"/>
    <tableColumn id="4" xr3:uid="{C104D628-2E09-432B-BC7A-B7E29838D1BD}" name="Weekly Content 2" dataDxfId="292"/>
    <tableColumn id="5" xr3:uid="{6CD950CC-83A5-4FD3-93FC-B284F6F6350E}" name="Weekly Content 3" dataDxfId="291"/>
  </tableColumns>
  <tableStyleInfo name="TableStyleMedium4" showFirstColumn="0" showLastColumn="0" showRowStripes="1" showColumnStripes="0"/>
</table>
</file>

<file path=xl/tables/table1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8" xr:uid="{92B2FE4A-AD2A-4354-81FF-92DECA27A716}" name="6109SPS_Hours" displayName="_6109SPS_Hours" ref="C18:D24" totalsRowShown="0" headerRowDxfId="290" dataDxfId="289">
  <autoFilter ref="C18:D24" xr:uid="{B71A3569-AA65-4A4E-98A2-885F5C38B46D}">
    <filterColumn colId="0" hiddenButton="1"/>
    <filterColumn colId="1" hiddenButton="1"/>
  </autoFilter>
  <tableColumns count="2">
    <tableColumn id="1" xr3:uid="{27F817B7-6395-4976-9120-60D5C9775BA5}" name="Component" dataDxfId="288"/>
    <tableColumn id="2" xr3:uid="{D9B68E50-AFDD-4B94-80F2-BAB157C2FF40}" name="Contact Hours" dataDxfId="287"/>
  </tableColumns>
  <tableStyleInfo name="TableStyleMedium2" showFirstColumn="0" showLastColumn="0" showRowStripes="1" showColumnStripes="0"/>
</table>
</file>

<file path=xl/tables/table1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9" xr:uid="{BACD4F23-19CD-490A-863B-D357A075F62D}" name="6109SPS_Mapping" displayName="_6109SPS_Mapping" ref="C45:F72" totalsRowShown="0" headerRowDxfId="286" dataDxfId="285">
  <autoFilter ref="C45:F72" xr:uid="{E0A841BB-B6D5-4048-B5F2-18CF9F502EBA}">
    <filterColumn colId="0" hiddenButton="1"/>
    <filterColumn colId="1" hiddenButton="1"/>
    <filterColumn colId="2" hiddenButton="1"/>
    <filterColumn colId="3" hiddenButton="1"/>
  </autoFilter>
  <tableColumns count="4">
    <tableColumn id="1" xr3:uid="{4320F17F-7532-4CD6-9873-A1CBAAFA9F7C}" name="Assessment No" dataDxfId="284"/>
    <tableColumn id="2" xr3:uid="{CF29F699-8C1A-4AC4-A563-FCBB128AC8F3}" name="LO Number" dataDxfId="283"/>
    <tableColumn id="3" xr3:uid="{B1082C18-E8C1-42F9-B74D-584EBA4A0A39}" name="Graduate Skills Category" dataDxfId="282"/>
    <tableColumn id="4" xr3:uid="{BD6D6488-ABFD-45B6-B06F-748690280986}" name="Graduate Skill" dataDxfId="281"/>
  </tableColumns>
  <tableStyleInfo name="TableStyleMedium3" showFirstColumn="0" showLastColumn="0" showRowStripes="1" showColumnStripes="0"/>
</table>
</file>

<file path=xl/tables/table1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0" xr:uid="{0BD2BE49-9025-454E-A9D0-BE88D8AF0F0B}" name="6109SPS_Aims" displayName="_6109SPS_Aims" ref="F6:F8" totalsRowShown="0" headerRowDxfId="280" dataDxfId="279">
  <autoFilter ref="F6:F8" xr:uid="{9552138F-2332-4BC4-A585-0E13162881A5}"/>
  <tableColumns count="1">
    <tableColumn id="1" xr3:uid="{E2B338AF-53C9-469A-B45D-DF4BE4CCBDD0}" name="Aims" dataDxfId="278"/>
  </tableColumns>
  <tableStyleInfo name="TableStyleMedium6" showFirstColumn="0" showLastColumn="0" showRowStripes="1" showColumnStripes="0"/>
</table>
</file>

<file path=xl/tables/table1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1" xr:uid="{963A62B5-6BD6-4FF7-AC53-AE2CCA7AF0AD}" name="6109SPS_Syllabus" displayName="_6109SPS_Syllabus" ref="F10:F13" totalsRowShown="0" headerRowDxfId="277" dataDxfId="276">
  <autoFilter ref="F10:F13" xr:uid="{94F18F67-3F10-4F6E-A953-4FE3399B07F2}"/>
  <tableColumns count="1">
    <tableColumn id="1" xr3:uid="{0B585185-EFA9-44AB-A953-91DF09E1C8F4}" name="Outline Syllabus" dataDxfId="275"/>
  </tableColumns>
  <tableStyleInfo name="TableStyleMedium6" showFirstColumn="0" showLastColumn="0" showRowStripes="1" showColumnStripes="0"/>
</table>
</file>

<file path=xl/tables/table1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2" xr:uid="{49D78F64-BBE3-4F16-BBE6-34802F612A15}" name="6109SPS_Overview" displayName="_6109SPS_Overview" ref="F15:F20" totalsRowShown="0" headerRowDxfId="274" dataDxfId="273">
  <autoFilter ref="F15:F20" xr:uid="{1B2BCD7B-6C15-4B1C-86BC-48FF83D8F225}"/>
  <tableColumns count="1">
    <tableColumn id="1" xr3:uid="{8DA5C005-FC9F-4CBE-A281-B2B92A53526A}" name="Module Overview" dataDxfId="272"/>
  </tableColumns>
  <tableStyleInfo name="TableStyleMedium6" showFirstColumn="0" showLastColumn="0" showRowStripes="1" showColumnStripes="0"/>
</table>
</file>

<file path=xl/tables/table2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3" xr:uid="{3BE2516B-A7EA-432E-92EE-6643A09A6407}" name="6109SPS_Notes" displayName="_6109SPS_Notes" ref="F22:F33" totalsRowShown="0" headerRowDxfId="271" dataDxfId="270">
  <autoFilter ref="F22:F33" xr:uid="{D5968C0A-6D7E-4221-87EE-78A85A4039B3}"/>
  <tableColumns count="1">
    <tableColumn id="1" xr3:uid="{D67854B5-D179-408B-A477-7F6E3033D84B}" name="Additional Information/Notes" dataDxfId="269"/>
  </tableColumns>
  <tableStyleInfo name="TableStyleMedium6" showFirstColumn="0" showLastColumn="0" showRowStripes="1" showColumnStripes="0"/>
</table>
</file>

<file path=xl/tables/table2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4" xr:uid="{85DC69C9-BE42-468F-B2BB-4E80EFAA9DB8}" name="6091SPS_Meta" displayName="_6091SPS_Meta" ref="C6:D14" totalsRowShown="0" headerRowDxfId="268" dataDxfId="267">
  <autoFilter ref="C6:D14" xr:uid="{CD75D2A7-14B1-4ABD-B64D-6E875F9BC652}">
    <filterColumn colId="0" hiddenButton="1"/>
    <filterColumn colId="1" hiddenButton="1"/>
  </autoFilter>
  <tableColumns count="2">
    <tableColumn id="1" xr3:uid="{EB65BA05-1DE9-4FD7-BDBD-BDE47DF298A4}" name="Module Data" dataDxfId="266"/>
    <tableColumn id="2" xr3:uid="{310F2A93-D88D-4CC8-AC0C-C016B97380F6}" name="Details" dataDxfId="265"/>
  </tableColumns>
  <tableStyleInfo name="TableStyleMedium6" showFirstColumn="0" showLastColumn="0" showRowStripes="1" showColumnStripes="0"/>
</table>
</file>

<file path=xl/tables/table2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5" xr:uid="{F0EF7517-CDCA-4E4C-9047-154277CCFA43}" name="6091SPS_LO" displayName="_6091SPS_LO" ref="C28:D33" totalsRowShown="0" headerRowDxfId="264" dataDxfId="263">
  <autoFilter ref="C28:D33" xr:uid="{22316987-6BEB-4FAF-9619-BF9BE9909CFA}">
    <filterColumn colId="0" hiddenButton="1"/>
    <filterColumn colId="1" hiddenButton="1"/>
  </autoFilter>
  <tableColumns count="2">
    <tableColumn id="1" xr3:uid="{2DA2E0DF-8487-4F48-AD57-6C8EF1F6A824}" name="LO Number" dataDxfId="262"/>
    <tableColumn id="2" xr3:uid="{5F671E3D-DB5F-4A86-A8E8-215D497F640F}" name="LO Description" dataDxfId="261"/>
  </tableColumns>
  <tableStyleInfo name="TableStyleMedium2" showFirstColumn="0" showLastColumn="0" showRowStripes="1" showColumnStripes="0"/>
</table>
</file>

<file path=xl/tables/table2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6" xr:uid="{1BB2DB77-32B9-47E3-B172-5236610AB17A}" name="6091SPS_Assess" displayName="_6091SPS_Assess" ref="C37:H41" totalsRowShown="0" headerRowDxfId="260" dataDxfId="259">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D786E370-A6E2-472B-A06D-0B294D362273}" name="Assessment No" dataDxfId="258"/>
    <tableColumn id="2" xr3:uid="{99037CEE-E227-4DE7-AC0C-42C69784F090}" name="Assessment Type" dataDxfId="257"/>
    <tableColumn id="7" xr3:uid="{EE90A0B1-86AF-42EC-AB37-5E98D709E3E4}" name="Assessment Specific" dataDxfId="256"/>
    <tableColumn id="3" xr3:uid="{8B0C1721-2FDC-4C1A-AECE-975C6F1434A1}" name="Assessment Description" dataDxfId="255"/>
    <tableColumn id="4" xr3:uid="{876D72EC-520F-497B-8AC7-6AF0A5409783}" name="Weighting" dataDxfId="254"/>
    <tableColumn id="5" xr3:uid="{31A1A910-0DF5-428E-806F-6E026C606C3B}" name="Due Week" dataDxfId="253"/>
  </tableColumns>
  <tableStyleInfo name="TableStyleMedium3" showFirstColumn="0" showLastColumn="0" showRowStripes="1" showColumnStripes="0"/>
</table>
</file>

<file path=xl/tables/table2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7" xr:uid="{407C2B80-44A8-4EFD-ACE8-01F8593CF4E1}" name="6091SPS_Weekly" displayName="_6091SPS_Weekly" ref="B70:F94" totalsRowShown="0" headerRowDxfId="252" dataDxfId="251">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F8C77D5A-A698-44A7-A4E3-08630D8FD36A}" name="Semester " dataDxfId="250"/>
    <tableColumn id="2" xr3:uid="{8C49AFEC-B460-42E3-B373-FC0AB260F379}" name="Week Number" dataDxfId="249"/>
    <tableColumn id="3" xr3:uid="{A81B53B3-7EE2-4FDF-9110-0A8C17CA27E0}" name="Weekly Content 1" dataDxfId="248"/>
    <tableColumn id="4" xr3:uid="{362C63E5-C442-416C-9DB4-4F34D3EDDEF3}" name="Weekly Content 2" dataDxfId="247"/>
    <tableColumn id="5" xr3:uid="{E3C14089-4743-4CA8-9480-E777866BAF64}" name="Weekly Content 3" dataDxfId="246"/>
  </tableColumns>
  <tableStyleInfo name="TableStyleMedium4" showFirstColumn="0" showLastColumn="0" showRowStripes="1" showColumnStripes="0"/>
</table>
</file>

<file path=xl/tables/table2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8" xr:uid="{6A30B449-6643-4D56-A6EF-AE96296A3D03}" name="6091SPS_Hours" displayName="_6091SPS_Hours" ref="C18:D24" totalsRowShown="0" headerRowDxfId="245" dataDxfId="244">
  <autoFilter ref="C18:D24" xr:uid="{B71A3569-AA65-4A4E-98A2-885F5C38B46D}">
    <filterColumn colId="0" hiddenButton="1"/>
    <filterColumn colId="1" hiddenButton="1"/>
  </autoFilter>
  <tableColumns count="2">
    <tableColumn id="1" xr3:uid="{7C918E81-2521-4CC2-B784-37E43EEC3CDD}" name="Component" dataDxfId="243"/>
    <tableColumn id="2" xr3:uid="{0D2A69D7-E2F7-4C5C-8E4D-714C66054E76}" name="Contact Hours" dataDxfId="242"/>
  </tableColumns>
  <tableStyleInfo name="TableStyleMedium2" showFirstColumn="0" showLastColumn="0" showRowStripes="1" showColumnStripes="0"/>
</table>
</file>

<file path=xl/tables/table2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9" xr:uid="{0723641A-ADF0-4C69-969E-9516C86FC569}" name="6091SPS_Mapping" displayName="_6091SPS_Mapping" ref="C45:F66" totalsRowShown="0" headerRowDxfId="241" dataDxfId="240">
  <autoFilter ref="C45:F66" xr:uid="{E0A841BB-B6D5-4048-B5F2-18CF9F502EBA}">
    <filterColumn colId="0" hiddenButton="1"/>
    <filterColumn colId="1" hiddenButton="1"/>
    <filterColumn colId="2" hiddenButton="1"/>
    <filterColumn colId="3" hiddenButton="1"/>
  </autoFilter>
  <tableColumns count="4">
    <tableColumn id="1" xr3:uid="{B6420078-6983-409A-AD6E-9EAEEF45A138}" name="Assessment No" dataDxfId="239"/>
    <tableColumn id="2" xr3:uid="{8D3D6147-F8A2-4D54-BC97-772B8CE44EA3}" name="LO Number" dataDxfId="238"/>
    <tableColumn id="3" xr3:uid="{C41D8ED0-797F-45E8-B847-5F5796F9B51E}" name="Graduate Skills Category" dataDxfId="237"/>
    <tableColumn id="4" xr3:uid="{28997C86-0364-497D-A258-1C7BA682BCAA}" name="Graduate Skill" dataDxfId="236"/>
  </tableColumns>
  <tableStyleInfo name="TableStyleMedium3" showFirstColumn="0" showLastColumn="0" showRowStripes="1" showColumnStripes="0"/>
</table>
</file>

<file path=xl/tables/table2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0" xr:uid="{17BE3C87-0560-4F04-B07A-C606EE2CC56D}" name="6091SPS_Aims" displayName="_6091SPS_Aims" ref="F6:F8" totalsRowShown="0" headerRowDxfId="235" dataDxfId="234">
  <autoFilter ref="F6:F8" xr:uid="{9552138F-2332-4BC4-A585-0E13162881A5}"/>
  <tableColumns count="1">
    <tableColumn id="1" xr3:uid="{3E728AAA-21E1-43D6-98EC-781D610D5B5C}" name="Aims" dataDxfId="233"/>
  </tableColumns>
  <tableStyleInfo name="TableStyleMedium6" showFirstColumn="0" showLastColumn="0" showRowStripes="1" showColumnStripes="0"/>
</table>
</file>

<file path=xl/tables/table2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1" xr:uid="{24DBD723-9435-4154-9659-24C8E488A767}" name="6091SPS_Syllabus" displayName="_6091SPS_Syllabus" ref="F10:F13" totalsRowShown="0" headerRowDxfId="232" dataDxfId="231">
  <autoFilter ref="F10:F13" xr:uid="{94F18F67-3F10-4F6E-A953-4FE3399B07F2}"/>
  <tableColumns count="1">
    <tableColumn id="1" xr3:uid="{CAFF733E-EEBF-4C10-ACD1-A6DDCD33C63A}" name="Outline Syllabus" dataDxfId="230"/>
  </tableColumns>
  <tableStyleInfo name="TableStyleMedium6" showFirstColumn="0" showLastColumn="0" showRowStripes="1" showColumnStripes="0"/>
</table>
</file>

<file path=xl/tables/table2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2" xr:uid="{C47F6AB6-EF50-4395-B0F7-E6C315358556}" name="6091SPS_Overview" displayName="_6091SPS_Overview" ref="F15:F20" totalsRowShown="0" headerRowDxfId="229" dataDxfId="228">
  <autoFilter ref="F15:F20" xr:uid="{1B2BCD7B-6C15-4B1C-86BC-48FF83D8F225}"/>
  <tableColumns count="1">
    <tableColumn id="1" xr3:uid="{3D131B43-1A6C-42C4-B635-F81D00AEF103}" name="Module Overview" dataDxfId="227"/>
  </tableColumns>
  <tableStyleInfo name="TableStyleMedium6" showFirstColumn="0" showLastColumn="0" showRowStripes="1" showColumnStripes="0"/>
</table>
</file>

<file path=xl/tables/table2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3" xr:uid="{759B136A-3D50-4F87-9E82-4E8BACD02961}" name="6091SPS_Notes" displayName="_6091SPS_Notes" ref="F22:F33" totalsRowShown="0" headerRowDxfId="226" dataDxfId="225">
  <autoFilter ref="F22:F33" xr:uid="{D5968C0A-6D7E-4221-87EE-78A85A4039B3}"/>
  <tableColumns count="1">
    <tableColumn id="1" xr3:uid="{DBD01D3B-64A5-4A59-96FF-8858AB682507}" name="Additional Information/Notes" dataDxfId="224"/>
  </tableColumns>
  <tableStyleInfo name="TableStyleMedium6" showFirstColumn="0" showLastColumn="0" showRowStripes="1" showColumnStripes="0"/>
</table>
</file>

<file path=xl/tables/table2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4" xr:uid="{C86E48D9-F82B-402B-A44C-BC8F8F7303D0}" name="6093SPS_Meta" displayName="_6093SPS_Meta" ref="C6:D14" totalsRowShown="0" headerRowDxfId="223" dataDxfId="222">
  <autoFilter ref="C6:D14" xr:uid="{CD75D2A7-14B1-4ABD-B64D-6E875F9BC652}">
    <filterColumn colId="0" hiddenButton="1"/>
    <filterColumn colId="1" hiddenButton="1"/>
  </autoFilter>
  <tableColumns count="2">
    <tableColumn id="1" xr3:uid="{7833E623-ED87-40CE-93D2-B78B6A7D7E94}" name="Module Data" dataDxfId="221"/>
    <tableColumn id="2" xr3:uid="{0659839B-A1DA-4204-9267-1A4CC295A6EF}" name="Details" dataDxfId="220"/>
  </tableColumns>
  <tableStyleInfo name="TableStyleMedium6" showFirstColumn="0" showLastColumn="0" showRowStripes="1" showColumnStripes="0"/>
</table>
</file>

<file path=xl/tables/table2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5" xr:uid="{E32A9936-076B-4BC2-B13B-069BFBBB1804}" name="6093SPS_LO" displayName="_6093SPS_LO" ref="C28:D33" totalsRowShown="0" headerRowDxfId="219" dataDxfId="218">
  <autoFilter ref="C28:D33" xr:uid="{22316987-6BEB-4FAF-9619-BF9BE9909CFA}">
    <filterColumn colId="0" hiddenButton="1"/>
    <filterColumn colId="1" hiddenButton="1"/>
  </autoFilter>
  <tableColumns count="2">
    <tableColumn id="1" xr3:uid="{FEDC5FCD-23F6-4532-A565-C979DFEE6452}" name="LO Number" dataDxfId="217"/>
    <tableColumn id="2" xr3:uid="{1F64A8B9-B360-490C-BD12-64A29F9CF82F}" name="LO Description" dataDxfId="216"/>
  </tableColumns>
  <tableStyleInfo name="TableStyleMedium2" showFirstColumn="0" showLastColumn="0" showRowStripes="1" showColumnStripes="0"/>
</table>
</file>

<file path=xl/tables/table2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6" xr:uid="{A199E17E-33E1-438A-8DFD-E5E7B9D9B6AD}" name="6093SPS_Assess" displayName="_6093SPS_Assess" ref="C37:H41" totalsRowShown="0" headerRowDxfId="215" dataDxfId="214">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9257FCD3-320E-4A09-882E-104641C1FD58}" name="Assessment No" dataDxfId="213"/>
    <tableColumn id="2" xr3:uid="{0FE47FA8-B999-4405-B49D-E106E82A7509}" name="Assessment Type" dataDxfId="212"/>
    <tableColumn id="7" xr3:uid="{61D6D411-EDDD-4962-A754-A4B5EEB96263}" name="Assessment Specific" dataDxfId="211"/>
    <tableColumn id="3" xr3:uid="{1A288D47-FFDF-4BA0-94F1-9B647BE04DCC}" name="Assessment Description" dataDxfId="210"/>
    <tableColumn id="4" xr3:uid="{ED08857B-A938-490D-9B30-962DE64252AB}" name="Weighting" dataDxfId="209"/>
    <tableColumn id="5" xr3:uid="{581E13F4-4545-426B-8995-08E09758F5CB}" name="Due Week" dataDxfId="208"/>
  </tableColumns>
  <tableStyleInfo name="TableStyleMedium3" showFirstColumn="0" showLastColumn="0" showRowStripes="1" showColumnStripes="0"/>
</table>
</file>

<file path=xl/tables/table2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7" xr:uid="{CBF4AD49-2241-4DE3-B6F1-0E1C2F3DE17D}" name="6093SPS_Weekly" displayName="_6093SPS_Weekly" ref="B70:F94" totalsRowShown="0" headerRowDxfId="207" dataDxfId="206">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D1DA16D2-1087-49A1-9BB0-8496A2968E4A}" name="Semester " dataDxfId="205"/>
    <tableColumn id="2" xr3:uid="{BED16F5A-D8C5-4300-A763-C0065F48E598}" name="Week Number" dataDxfId="204"/>
    <tableColumn id="3" xr3:uid="{1C3278D5-9F89-43C0-84A5-ACE6AE3BF8C8}" name="Weekly Content 1" dataDxfId="203"/>
    <tableColumn id="4" xr3:uid="{8ADEF497-35DC-4945-B42C-DCA4C8DB67C9}" name="Weekly Content 2" dataDxfId="202"/>
    <tableColumn id="5" xr3:uid="{E6B69E39-A78E-4994-8E8F-40C76F0002A1}" name="Weekly Content 3" dataDxfId="201"/>
  </tableColumns>
  <tableStyleInfo name="TableStyleMedium4" showFirstColumn="0" showLastColumn="0" showRowStripes="1" showColumnStripes="0"/>
</table>
</file>

<file path=xl/tables/table2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8" xr:uid="{2E7FD2E5-9819-4DDA-9192-9962A61B1C4E}" name="6093SPS_Hours" displayName="_6093SPS_Hours" ref="C18:D24" totalsRowShown="0" headerRowDxfId="200" dataDxfId="199">
  <autoFilter ref="C18:D24" xr:uid="{B71A3569-AA65-4A4E-98A2-885F5C38B46D}">
    <filterColumn colId="0" hiddenButton="1"/>
    <filterColumn colId="1" hiddenButton="1"/>
  </autoFilter>
  <tableColumns count="2">
    <tableColumn id="1" xr3:uid="{2FFE33E1-E3D8-499A-B70C-70494FCFC11F}" name="Component" dataDxfId="198"/>
    <tableColumn id="2" xr3:uid="{D8D74B7C-DED1-4107-9D9B-A69709137AF1}" name="Contact Hours" dataDxfId="197"/>
  </tableColumns>
  <tableStyleInfo name="TableStyleMedium2" showFirstColumn="0" showLastColumn="0" showRowStripes="1" showColumnStripes="0"/>
</table>
</file>

<file path=xl/tables/table2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9" xr:uid="{568775CE-CA9A-402A-A796-7C84FDD56B4E}" name="6093SPS_Mapping" displayName="_6093SPS_Mapping" ref="C45:F66" totalsRowShown="0" headerRowDxfId="196" dataDxfId="195">
  <autoFilter ref="C45:F66" xr:uid="{E0A841BB-B6D5-4048-B5F2-18CF9F502EBA}">
    <filterColumn colId="0" hiddenButton="1"/>
    <filterColumn colId="1" hiddenButton="1"/>
    <filterColumn colId="2" hiddenButton="1"/>
    <filterColumn colId="3" hiddenButton="1"/>
  </autoFilter>
  <tableColumns count="4">
    <tableColumn id="1" xr3:uid="{1EFBBED1-A4EE-4381-813E-E578917BA7ED}" name="Assessment No" dataDxfId="194"/>
    <tableColumn id="2" xr3:uid="{3DE98FE2-3138-46D6-BD99-F2FB47042775}" name="LO Number" dataDxfId="193"/>
    <tableColumn id="3" xr3:uid="{810A03D8-C153-4962-9C3C-D761D27C4A3F}" name="Graduate Skills Category" dataDxfId="192"/>
    <tableColumn id="4" xr3:uid="{C3B0D1F6-1274-4ED1-9705-01F40BB1E2F2}" name="Graduate Skill" dataDxfId="191"/>
  </tableColumns>
  <tableStyleInfo name="TableStyleMedium3" showFirstColumn="0" showLastColumn="0" showRowStripes="1" showColumnStripes="0"/>
</table>
</file>

<file path=xl/tables/table2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0" xr:uid="{DF6D575A-6B50-40E0-9195-2B0B7EBAA31D}" name="6093SPS_Aims" displayName="_6093SPS_Aims" ref="F6:F8" totalsRowShown="0" headerRowDxfId="190" dataDxfId="189">
  <autoFilter ref="F6:F8" xr:uid="{9552138F-2332-4BC4-A585-0E13162881A5}"/>
  <tableColumns count="1">
    <tableColumn id="1" xr3:uid="{C445F0C7-61B3-46CB-A56F-67D79AE54D5C}" name="Aims" dataDxfId="188"/>
  </tableColumns>
  <tableStyleInfo name="TableStyleMedium6" showFirstColumn="0" showLastColumn="0" showRowStripes="1" showColumnStripes="0"/>
</table>
</file>

<file path=xl/tables/table2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1" xr:uid="{4737D9A0-1182-4F4B-8A02-69208479CE71}" name="6093SPS_Syllabus" displayName="_6093SPS_Syllabus" ref="F10:F13" totalsRowShown="0" headerRowDxfId="187" dataDxfId="186">
  <autoFilter ref="F10:F13" xr:uid="{94F18F67-3F10-4F6E-A953-4FE3399B07F2}"/>
  <tableColumns count="1">
    <tableColumn id="1" xr3:uid="{CAABEA9D-6FBF-459A-AD97-585A17318A01}" name="Outline Syllabus" dataDxfId="185"/>
  </tableColumns>
  <tableStyleInfo name="TableStyleMedium6" showFirstColumn="0" showLastColumn="0" showRowStripes="1" showColumnStripes="0"/>
</table>
</file>

<file path=xl/tables/table2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2" xr:uid="{235D63BF-CDCE-4B35-AC53-8391B5EC5408}" name="6093SPS_Overview" displayName="_6093SPS_Overview" ref="F15:F20" totalsRowShown="0" headerRowDxfId="184" dataDxfId="183">
  <autoFilter ref="F15:F20" xr:uid="{1B2BCD7B-6C15-4B1C-86BC-48FF83D8F225}"/>
  <tableColumns count="1">
    <tableColumn id="1" xr3:uid="{A14625FC-0807-41B3-BEF3-09E7E979EFED}" name="Module Overview" dataDxfId="182"/>
  </tableColumns>
  <tableStyleInfo name="TableStyleMedium6" showFirstColumn="0" showLastColumn="0" showRowStripes="1" showColumnStripes="0"/>
</table>
</file>

<file path=xl/tables/table2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3" xr:uid="{69E4EB89-A002-43BB-BD42-A6CBE09A1C1C}" name="6093SPS_Notes" displayName="_6093SPS_Notes" ref="F22:F33" totalsRowShown="0" headerRowDxfId="181" dataDxfId="180">
  <autoFilter ref="F22:F33" xr:uid="{D5968C0A-6D7E-4221-87EE-78A85A4039B3}"/>
  <tableColumns count="1">
    <tableColumn id="1" xr3:uid="{0F69CA79-BA33-4E25-8FA9-233F7FC95036}" name="Additional Information/Notes" dataDxfId="179"/>
  </tableColumns>
  <tableStyleInfo name="TableStyleMedium6" showFirstColumn="0" showLastColumn="0" showRowStripes="1" showColumnStripes="0"/>
</table>
</file>

<file path=xl/tables/table2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4" xr:uid="{1742E01A-4016-4567-9344-B85EF957D1B4}" name="6094SPS_Meta" displayName="_6094SPS_Meta" ref="C6:D14" totalsRowShown="0" headerRowDxfId="178" dataDxfId="177">
  <autoFilter ref="C6:D14" xr:uid="{CD75D2A7-14B1-4ABD-B64D-6E875F9BC652}">
    <filterColumn colId="0" hiddenButton="1"/>
    <filterColumn colId="1" hiddenButton="1"/>
  </autoFilter>
  <tableColumns count="2">
    <tableColumn id="1" xr3:uid="{06BDFAA3-479A-4BBC-9915-8C7BAD6E936F}" name="Module Data" dataDxfId="176"/>
    <tableColumn id="2" xr3:uid="{88C1139F-D00E-41AC-AAA3-7F947DD3692E}" name="Details" dataDxfId="175"/>
  </tableColumns>
  <tableStyleInfo name="TableStyleMedium6" showFirstColumn="0" showLastColumn="0" showRowStripes="1" showColumnStripes="0"/>
</table>
</file>

<file path=xl/tables/table2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5" xr:uid="{9444F959-C929-476E-AC1C-CAF1511057B8}" name="6094SPS_LO" displayName="_6094SPS_LO" ref="C28:D33" totalsRowShown="0" headerRowDxfId="174" dataDxfId="173">
  <autoFilter ref="C28:D33" xr:uid="{22316987-6BEB-4FAF-9619-BF9BE9909CFA}">
    <filterColumn colId="0" hiddenButton="1"/>
    <filterColumn colId="1" hiddenButton="1"/>
  </autoFilter>
  <tableColumns count="2">
    <tableColumn id="1" xr3:uid="{BD831C2D-873F-4998-A52A-F0B0FFD7968F}" name="LO Number" dataDxfId="172"/>
    <tableColumn id="2" xr3:uid="{1BA07E0C-CECD-4EA1-95B7-176525BCA192}" name="LO Description" dataDxfId="171"/>
  </tableColumns>
  <tableStyleInfo name="TableStyleMedium2" showFirstColumn="0" showLastColumn="0" showRowStripes="1" showColumnStripes="0"/>
</table>
</file>

<file path=xl/tables/table2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6" xr:uid="{1FD31010-90D0-4CE6-9C34-BFB80C458243}" name="6094SPS_Assess" displayName="_6094SPS_Assess" ref="C37:H41" totalsRowShown="0" headerRowDxfId="170" dataDxfId="169">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1B228D9B-CC97-4858-8BFD-B1CBBB2545F7}" name="Assessment No" dataDxfId="168"/>
    <tableColumn id="2" xr3:uid="{073B1C1C-0D75-4D35-9FCA-2B312A5ED358}" name="Assessment Type" dataDxfId="167"/>
    <tableColumn id="7" xr3:uid="{071C21B2-890F-443A-86AA-C710C5744CED}" name="Assessment Specific" dataDxfId="166"/>
    <tableColumn id="3" xr3:uid="{A198D730-F6D1-47E9-A6FA-E8F8BA77CD85}" name="Assessment Description" dataDxfId="165"/>
    <tableColumn id="4" xr3:uid="{862B274B-375D-412B-941A-F96D77BAB655}" name="Weighting" dataDxfId="164"/>
    <tableColumn id="5" xr3:uid="{31C4237D-6059-4BF1-AD5B-5ED6BA8C43C2}" name="Due Week" dataDxfId="163"/>
  </tableColumns>
  <tableStyleInfo name="TableStyleMedium3" showFirstColumn="0" showLastColumn="0" showRowStripes="1" showColumnStripes="0"/>
</table>
</file>

<file path=xl/tables/table2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7" xr:uid="{681D6CBF-AB61-47D2-9228-3F0244489C7F}" name="6094SPS_Weekly" displayName="_6094SPS_Weekly" ref="B70:F94" totalsRowShown="0" headerRowDxfId="162" dataDxfId="161">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3C4938FE-CF0E-4B27-A9C1-444C05E20B75}" name="Semester " dataDxfId="160"/>
    <tableColumn id="2" xr3:uid="{02F13E06-E65A-4AFE-8D67-E2133F40E94E}" name="Week Number" dataDxfId="159"/>
    <tableColumn id="3" xr3:uid="{622E2BE4-4ADC-49E4-80A5-92158A4B4565}" name="Weekly Content 1" dataDxfId="158"/>
    <tableColumn id="4" xr3:uid="{70F5763E-49CE-4BB6-AE7B-48EE4EFDF193}" name="Weekly Content 2" dataDxfId="157"/>
    <tableColumn id="5" xr3:uid="{19393265-A875-4C1F-ABDC-2C80B2BC8433}" name="Weekly Content 3" dataDxfId="156"/>
  </tableColumns>
  <tableStyleInfo name="TableStyleMedium4" showFirstColumn="0" showLastColumn="0" showRowStripes="1" showColumnStripes="0"/>
</table>
</file>

<file path=xl/tables/table2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8" xr:uid="{E6864FBC-F504-4A19-9427-5028B1703AAA}" name="6094SPS_Hours" displayName="_6094SPS_Hours" ref="C18:D24" totalsRowShown="0" headerRowDxfId="155" dataDxfId="154">
  <autoFilter ref="C18:D24" xr:uid="{B71A3569-AA65-4A4E-98A2-885F5C38B46D}">
    <filterColumn colId="0" hiddenButton="1"/>
    <filterColumn colId="1" hiddenButton="1"/>
  </autoFilter>
  <tableColumns count="2">
    <tableColumn id="1" xr3:uid="{3CB3CF83-F534-442B-BFBB-7069B2473590}" name="Component" dataDxfId="153"/>
    <tableColumn id="2" xr3:uid="{A6DA5467-53EE-43D7-9A23-DC36B887A605}" name="Contact Hours" dataDxfId="152"/>
  </tableColumns>
  <tableStyleInfo name="TableStyleMedium2" showFirstColumn="0" showLastColumn="0" showRowStripes="1" showColumnStripes="0"/>
</table>
</file>

<file path=xl/tables/table2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9" xr:uid="{3A438361-ADF9-4C82-9085-D26A66C67372}" name="6094SPS_Mapping" displayName="_6094SPS_Mapping" ref="C45:F66" totalsRowShown="0" headerRowDxfId="151" dataDxfId="150">
  <autoFilter ref="C45:F66" xr:uid="{E0A841BB-B6D5-4048-B5F2-18CF9F502EBA}">
    <filterColumn colId="0" hiddenButton="1"/>
    <filterColumn colId="1" hiddenButton="1"/>
    <filterColumn colId="2" hiddenButton="1"/>
    <filterColumn colId="3" hiddenButton="1"/>
  </autoFilter>
  <tableColumns count="4">
    <tableColumn id="1" xr3:uid="{9E24E800-2AF7-4FDC-96FE-BC44944158BC}" name="Assessment No" dataDxfId="149"/>
    <tableColumn id="2" xr3:uid="{36743B67-FBBC-4B9D-80DB-B5F4EE41B207}" name="LO Number" dataDxfId="148"/>
    <tableColumn id="3" xr3:uid="{0EA32A76-827B-4807-803F-742CBE030D84}" name="Graduate Skills Category" dataDxfId="147"/>
    <tableColumn id="4" xr3:uid="{BA130ADB-6060-40D2-9E79-B61C98C5C88F}" name="Graduate Skill" dataDxfId="146"/>
  </tableColumns>
  <tableStyleInfo name="TableStyleMedium3" showFirstColumn="0" showLastColumn="0" showRowStripes="1" showColumnStripes="0"/>
</table>
</file>

<file path=xl/tables/table2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0" xr:uid="{BFBEAC7D-3DD5-425D-90C9-4A4034B1D768}" name="6094SPS_Aims" displayName="_6094SPS_Aims" ref="F6:F8" totalsRowShown="0" headerRowDxfId="145" dataDxfId="144">
  <autoFilter ref="F6:F8" xr:uid="{9552138F-2332-4BC4-A585-0E13162881A5}"/>
  <tableColumns count="1">
    <tableColumn id="1" xr3:uid="{07962947-B408-415F-8A82-F59CCF1578AB}" name="Aims" dataDxfId="143"/>
  </tableColumns>
  <tableStyleInfo name="TableStyleMedium6" showFirstColumn="0" showLastColumn="0" showRowStripes="1" showColumnStripes="0"/>
</table>
</file>

<file path=xl/tables/table2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1" xr:uid="{F637F415-58DC-4416-9EE8-E805417A1D8C}" name="6094SPS_Syllabus" displayName="_6094SPS_Syllabus" ref="F10:F13" totalsRowShown="0" headerRowDxfId="142" dataDxfId="141">
  <autoFilter ref="F10:F13" xr:uid="{94F18F67-3F10-4F6E-A953-4FE3399B07F2}"/>
  <tableColumns count="1">
    <tableColumn id="1" xr3:uid="{25CBD8F4-D3C3-4881-AD03-3B068068E1B7}" name="Outline Syllabus" dataDxfId="140"/>
  </tableColumns>
  <tableStyleInfo name="TableStyleMedium6" showFirstColumn="0" showLastColumn="0" showRowStripes="1" showColumnStripes="0"/>
</table>
</file>

<file path=xl/tables/table2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2" xr:uid="{0F3C042F-3F79-4A8D-B2DE-C76C9776F2AF}" name="6094SPS_Overview" displayName="_6094SPS_Overview" ref="F15:F20" totalsRowShown="0" headerRowDxfId="139" dataDxfId="138">
  <autoFilter ref="F15:F20" xr:uid="{1B2BCD7B-6C15-4B1C-86BC-48FF83D8F225}"/>
  <tableColumns count="1">
    <tableColumn id="1" xr3:uid="{6CAF4282-21AD-4117-8648-19B290673EF5}" name="Module Overview" dataDxfId="137"/>
  </tableColumns>
  <tableStyleInfo name="TableStyleMedium6" showFirstColumn="0" showLastColumn="0" showRowStripes="1" showColumnStripes="0"/>
</table>
</file>

<file path=xl/tables/table2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3" xr:uid="{7D239B4D-5261-4E3B-B7BD-38D3BF85BE83}" name="6094SPS_Notes" displayName="_6094SPS_Notes" ref="F22:F33" totalsRowShown="0" headerRowDxfId="136" dataDxfId="135">
  <autoFilter ref="F22:F33" xr:uid="{D5968C0A-6D7E-4221-87EE-78A85A4039B3}"/>
  <tableColumns count="1">
    <tableColumn id="1" xr3:uid="{6C784C6F-DE98-4ADB-8DC3-84A9477FAE0C}" name="Additional Information/Notes" dataDxfId="134"/>
  </tableColumns>
  <tableStyleInfo name="TableStyleMedium6" showFirstColumn="0" showLastColumn="0" showRowStripes="1" showColumnStripes="0"/>
</table>
</file>

<file path=xl/tables/table2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4" xr:uid="{0CD881A0-2268-4505-912E-C83A30A1D9F9}" name="6095SPS_Meta" displayName="_6095SPS_Meta" ref="C6:D14" totalsRowShown="0" headerRowDxfId="133" dataDxfId="132">
  <autoFilter ref="C6:D14" xr:uid="{CD75D2A7-14B1-4ABD-B64D-6E875F9BC652}">
    <filterColumn colId="0" hiddenButton="1"/>
    <filterColumn colId="1" hiddenButton="1"/>
  </autoFilter>
  <tableColumns count="2">
    <tableColumn id="1" xr3:uid="{003D85AB-DC18-4963-8429-2D172F516B3E}" name="Module Data" dataDxfId="131"/>
    <tableColumn id="2" xr3:uid="{85139526-41CF-4CCD-BD9C-741E3F4F2920}" name="Details" dataDxfId="130"/>
  </tableColumns>
  <tableStyleInfo name="TableStyleMedium6" showFirstColumn="0" showLastColumn="0" showRowStripes="1" showColumnStripes="0"/>
</table>
</file>

<file path=xl/tables/table2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5" xr:uid="{8D1D8DC3-EF53-45AF-ACFC-D90428DAD8FE}" name="6095SPS_LO" displayName="_6095SPS_LO" ref="C28:D33" totalsRowShown="0" headerRowDxfId="129" dataDxfId="128">
  <autoFilter ref="C28:D33" xr:uid="{22316987-6BEB-4FAF-9619-BF9BE9909CFA}">
    <filterColumn colId="0" hiddenButton="1"/>
    <filterColumn colId="1" hiddenButton="1"/>
  </autoFilter>
  <tableColumns count="2">
    <tableColumn id="1" xr3:uid="{1DC30917-B49D-4C7F-9E25-FBC5CAD9C400}" name="LO Number" dataDxfId="127"/>
    <tableColumn id="2" xr3:uid="{952C1089-C63F-468E-894F-7522AA998AC3}" name="LO Description" dataDxfId="126"/>
  </tableColumns>
  <tableStyleInfo name="TableStyleMedium2" showFirstColumn="0" showLastColumn="0" showRowStripes="1" showColumnStripes="0"/>
</table>
</file>

<file path=xl/tables/table2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6" xr:uid="{54AE5102-D8BE-4DBD-AAA2-BF4D0483D285}" name="6095SPS_Assess" displayName="_6095SPS_Assess" ref="C37:H41" totalsRowShown="0" headerRowDxfId="125" dataDxfId="124">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89AF1C42-1F65-47F5-BE03-C62994CC7FB3}" name="Assessment No" dataDxfId="123"/>
    <tableColumn id="2" xr3:uid="{803C22E3-C384-4AB5-AE31-4D40460ED0A1}" name="Assessment Type" dataDxfId="122"/>
    <tableColumn id="7" xr3:uid="{C4A45769-5895-4AF4-9F31-44700B697BFD}" name="Assessment Specific" dataDxfId="121"/>
    <tableColumn id="3" xr3:uid="{FFF5B57D-0618-4003-B7E6-B03D7EC23527}" name="Assessment Description" dataDxfId="120"/>
    <tableColumn id="4" xr3:uid="{E428CF52-BDBE-4BAE-BE2E-A5A269E31391}" name="Weighting" dataDxfId="119"/>
    <tableColumn id="5" xr3:uid="{0456530C-E6FF-4AC9-BC78-1BCF9137ABEF}" name="Due Week" dataDxfId="118"/>
  </tableColumns>
  <tableStyleInfo name="TableStyleMedium3" showFirstColumn="0" showLastColumn="0" showRowStripes="1" showColumnStripes="0"/>
</table>
</file>

<file path=xl/tables/table2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7" xr:uid="{72DC79D5-3ADC-424C-A382-373BE24C67DD}" name="6095SPS_Weekly" displayName="_6095SPS_Weekly" ref="B70:F94" totalsRowShown="0" headerRowDxfId="117" dataDxfId="116">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CD4F0570-5393-4F18-BF18-0A2D7604C1ED}" name="Semester " dataDxfId="115"/>
    <tableColumn id="2" xr3:uid="{24B8FCA2-0ADD-409E-97AD-E7932ADBC4BA}" name="Week Number" dataDxfId="114"/>
    <tableColumn id="3" xr3:uid="{9A527A77-2946-4A22-B924-26F7ACB0268C}" name="Weekly Content 1" dataDxfId="113"/>
    <tableColumn id="4" xr3:uid="{11A1E556-85EB-4AE8-8856-5231CEE6EA87}" name="Weekly Content 2" dataDxfId="112"/>
    <tableColumn id="5" xr3:uid="{4E38731E-46FF-42DB-B350-4FE11BF2D6CC}" name="Weekly Content 3" dataDxfId="111"/>
  </tableColumns>
  <tableStyleInfo name="TableStyleMedium4" showFirstColumn="0" showLastColumn="0" showRowStripes="1" showColumnStripes="0"/>
</table>
</file>

<file path=xl/tables/table2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8" xr:uid="{1FC60440-344F-441F-BF0F-C9E3EA32860E}" name="6095SPS_Hours" displayName="_6095SPS_Hours" ref="C18:D24" totalsRowShown="0" headerRowDxfId="110" dataDxfId="109">
  <autoFilter ref="C18:D24" xr:uid="{B71A3569-AA65-4A4E-98A2-885F5C38B46D}">
    <filterColumn colId="0" hiddenButton="1"/>
    <filterColumn colId="1" hiddenButton="1"/>
  </autoFilter>
  <tableColumns count="2">
    <tableColumn id="1" xr3:uid="{95CDC712-3B6D-4C16-B04E-549B61DA5022}" name="Component" dataDxfId="108"/>
    <tableColumn id="2" xr3:uid="{B695C860-F8BF-48B4-9F05-9E73F12A7156}" name="Contact Hours" dataDxfId="107"/>
  </tableColumns>
  <tableStyleInfo name="TableStyleMedium2" showFirstColumn="0" showLastColumn="0" showRowStripes="1" showColumnStripes="0"/>
</table>
</file>

<file path=xl/tables/table2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9" xr:uid="{AEA4803D-D76D-4956-8FBE-DE9C3BE46189}" name="6095SPS_Mapping" displayName="_6095SPS_Mapping" ref="C45:F66" totalsRowShown="0" headerRowDxfId="106" dataDxfId="105">
  <autoFilter ref="C45:F66" xr:uid="{E0A841BB-B6D5-4048-B5F2-18CF9F502EBA}">
    <filterColumn colId="0" hiddenButton="1"/>
    <filterColumn colId="1" hiddenButton="1"/>
    <filterColumn colId="2" hiddenButton="1"/>
    <filterColumn colId="3" hiddenButton="1"/>
  </autoFilter>
  <tableColumns count="4">
    <tableColumn id="1" xr3:uid="{491EBCB7-B174-4F47-964C-124613DA615D}" name="Assessment No" dataDxfId="104"/>
    <tableColumn id="2" xr3:uid="{A2A784A6-AACE-4E36-91DF-72D5CE28095F}" name="LO Number" dataDxfId="103"/>
    <tableColumn id="3" xr3:uid="{F6F2DE07-0BDD-4A1A-941F-0DCAD01220D1}" name="Graduate Skills Category" dataDxfId="102"/>
    <tableColumn id="4" xr3:uid="{F9229346-8201-407C-9CE2-141C500E832D}" name="Graduate Skill" dataDxfId="101"/>
  </tableColumns>
  <tableStyleInfo name="TableStyleMedium3" showFirstColumn="0" showLastColumn="0" showRowStripes="1" showColumnStripes="0"/>
</table>
</file>

<file path=xl/tables/table2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0" xr:uid="{F2B69E04-16E7-4A38-8621-4447824EA35C}" name="6095SPS_Aims" displayName="_6095SPS_Aims" ref="F6:F8" totalsRowShown="0" headerRowDxfId="100" dataDxfId="99">
  <autoFilter ref="F6:F8" xr:uid="{9552138F-2332-4BC4-A585-0E13162881A5}"/>
  <tableColumns count="1">
    <tableColumn id="1" xr3:uid="{9CF71A0E-81E1-475E-97A1-21722534446B}" name="Aims" dataDxfId="98"/>
  </tableColumns>
  <tableStyleInfo name="TableStyleMedium6" showFirstColumn="0" showLastColumn="0" showRowStripes="1" showColumnStripes="0"/>
</table>
</file>

<file path=xl/tables/table2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1" xr:uid="{AEF9C42F-A09F-47DA-BE7E-CA162C33EF35}" name="6095SPS_Syllabus" displayName="_6095SPS_Syllabus" ref="F10:F13" totalsRowShown="0" headerRowDxfId="97" dataDxfId="96">
  <autoFilter ref="F10:F13" xr:uid="{94F18F67-3F10-4F6E-A953-4FE3399B07F2}"/>
  <tableColumns count="1">
    <tableColumn id="1" xr3:uid="{EAF9AC93-48F9-4BB8-A9A0-24E442041D11}" name="Outline Syllabus" dataDxfId="95"/>
  </tableColumns>
  <tableStyleInfo name="TableStyleMedium6" showFirstColumn="0" showLastColumn="0" showRowStripes="1" showColumnStripes="0"/>
</table>
</file>

<file path=xl/tables/table2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2" xr:uid="{19785D06-0E58-4E0F-8AFF-9FC97CF62824}" name="6095SPS_Overview" displayName="_6095SPS_Overview" ref="F15:F20" totalsRowShown="0" headerRowDxfId="94" dataDxfId="93">
  <autoFilter ref="F15:F20" xr:uid="{1B2BCD7B-6C15-4B1C-86BC-48FF83D8F225}"/>
  <tableColumns count="1">
    <tableColumn id="1" xr3:uid="{DDD0AB10-61E7-41E6-B8F1-8D720BC48395}" name="Module Overview" dataDxfId="92"/>
  </tableColumns>
  <tableStyleInfo name="TableStyleMedium6" showFirstColumn="0" showLastColumn="0" showRowStripes="1" showColumnStripes="0"/>
</table>
</file>

<file path=xl/tables/table2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3" xr:uid="{23E99D32-C429-486D-8709-CE5B9F94DCD2}" name="6095SPS_Notes" displayName="_6095SPS_Notes" ref="F22:F33" totalsRowShown="0" headerRowDxfId="91" dataDxfId="90">
  <autoFilter ref="F22:F33" xr:uid="{D5968C0A-6D7E-4221-87EE-78A85A4039B3}"/>
  <tableColumns count="1">
    <tableColumn id="1" xr3:uid="{3AE20833-E0CC-41C3-A178-FA35088F61A6}" name="Additional Information/Notes" dataDxfId="89"/>
  </tableColumns>
  <tableStyleInfo name="TableStyleMedium6" showFirstColumn="0" showLastColumn="0" showRowStripes="1" showColumnStripes="0"/>
</table>
</file>

<file path=xl/tables/table2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4" xr:uid="{6B022916-C94F-418A-96DF-CBA457C11D51}" name="Module (22)_Meta" displayName="Module__22__Meta" ref="C6:D14" totalsRowShown="0">
  <autoFilter ref="C6:D14" xr:uid="{CD75D2A7-14B1-4ABD-B64D-6E875F9BC652}">
    <filterColumn colId="0" hiddenButton="1"/>
    <filterColumn colId="1" hiddenButton="1"/>
  </autoFilter>
  <tableColumns count="2">
    <tableColumn id="1" xr3:uid="{8589D626-BD19-4A57-BC55-7BD93390B7E0}" name="Module Data" dataDxfId="88"/>
    <tableColumn id="2" xr3:uid="{32675E2E-11CE-466F-A203-8CBAD85B6106}" name="Details" dataDxfId="87"/>
  </tableColumns>
  <tableStyleInfo name="TableStyleMedium6" showFirstColumn="0" showLastColumn="0" showRowStripes="1" showColumnStripes="0"/>
</table>
</file>

<file path=xl/tables/table2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5" xr:uid="{0CF5979A-1250-4ABA-B04D-D211E7709252}" name="Module (22)_LO" displayName="Module__22__LO" ref="C28:D33" totalsRowShown="0" headerRowDxfId="86">
  <autoFilter ref="C28:D33" xr:uid="{22316987-6BEB-4FAF-9619-BF9BE9909CFA}">
    <filterColumn colId="0" hiddenButton="1"/>
    <filterColumn colId="1" hiddenButton="1"/>
  </autoFilter>
  <tableColumns count="2">
    <tableColumn id="1" xr3:uid="{406B4062-5346-4191-8E7D-3F30BE30CD89}" name="LO Number" dataDxfId="85"/>
    <tableColumn id="2" xr3:uid="{ECDF9592-E009-4317-AD78-8EDF29F5314D}" name="LO Description" dataDxfId="84"/>
  </tableColumns>
  <tableStyleInfo name="TableStyleMedium2" showFirstColumn="0" showLastColumn="0" showRowStripes="1" showColumnStripes="0"/>
</table>
</file>

<file path=xl/tables/table2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6" xr:uid="{19762499-B3C7-4CC1-A467-8E8F61A257A7}" name="Module (22)_Assess" displayName="Module__22__Assess" ref="C37:H41" totalsRowShown="0" headerRowDxfId="83">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999E1591-7EEA-4184-90DA-560BFC5DE2A2}" name="Assessment No" dataDxfId="82"/>
    <tableColumn id="2" xr3:uid="{9D0C9230-12A2-4CE1-AB8A-41C89C86FD6D}" name="Assessment Type" dataDxfId="81"/>
    <tableColumn id="7" xr3:uid="{CC85B4C4-D7B8-480C-8D99-2924B268E3B7}" name="Assessment Specific" dataDxfId="80"/>
    <tableColumn id="3" xr3:uid="{80BCCA64-D2D0-4773-BD53-30A11175D3FF}" name="Assessment Description" dataDxfId="79"/>
    <tableColumn id="4" xr3:uid="{FF66551B-1874-4D01-BA52-4FB7B725A9C6}" name="Weighting" dataDxfId="78"/>
    <tableColumn id="5" xr3:uid="{5C36320D-1108-4E73-A6DD-2E99CDC6AA42}" name="Due Week" dataDxfId="77"/>
  </tableColumns>
  <tableStyleInfo name="TableStyleMedium3" showFirstColumn="0" showLastColumn="0" showRowStripes="1" showColumnStripes="0"/>
</table>
</file>

<file path=xl/tables/table2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7" xr:uid="{F2016E46-EDBD-41C7-A651-70967A34E949}" name="Module (22)_Weekly" displayName="Module__22_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61FBBBFC-126A-493C-B2C2-868700A4A4E2}" name="Semester " dataDxfId="76"/>
    <tableColumn id="2" xr3:uid="{ABF01243-32FF-4D9F-A5E6-C4E4A07A3919}" name="Week Number" dataDxfId="75"/>
    <tableColumn id="3" xr3:uid="{5B208949-9811-4F2D-B05F-33A20DED36C5}" name="Weekly Content 1" dataDxfId="74"/>
    <tableColumn id="4" xr3:uid="{26B1AC14-0649-47D5-8A21-246674936AB4}" name="Weekly Content 2" dataDxfId="73"/>
    <tableColumn id="5" xr3:uid="{5B9975D5-79A7-4F7E-84FE-882367A23783}" name="Weekly Content 3" dataDxfId="72"/>
  </tableColumns>
  <tableStyleInfo name="TableStyleMedium4" showFirstColumn="0" showLastColumn="0" showRowStripes="1" showColumnStripes="0"/>
</table>
</file>

<file path=xl/tables/table2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8" xr:uid="{E444FE88-A6FA-4312-91EA-5AF6F8702F8A}" name="Module (22)_Hours" displayName="Module__22__Hours" ref="C18:D24" totalsRowShown="0">
  <autoFilter ref="C18:D24" xr:uid="{B71A3569-AA65-4A4E-98A2-885F5C38B46D}">
    <filterColumn colId="0" hiddenButton="1"/>
    <filterColumn colId="1" hiddenButton="1"/>
  </autoFilter>
  <tableColumns count="2">
    <tableColumn id="1" xr3:uid="{0A0C2499-F29C-443F-B932-A19F5E4FF06D}" name="Component" dataDxfId="71"/>
    <tableColumn id="2" xr3:uid="{C657DF13-3A82-4B4D-AC3C-87AC7DBF2362}" name="Contact Hours" dataDxfId="70"/>
  </tableColumns>
  <tableStyleInfo name="TableStyleMedium2" showFirstColumn="0" showLastColumn="0" showRowStripes="1" showColumnStripes="0"/>
</table>
</file>

<file path=xl/tables/table2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9" xr:uid="{2B2AC139-63EF-43CB-BBBD-BA466848F37C}" name="Module (22)_Mapping" displayName="Module__22__Mapping" ref="C45:F66" totalsRowShown="0" headerRowDxfId="69" dataDxfId="68">
  <autoFilter ref="C45:F66" xr:uid="{E0A841BB-B6D5-4048-B5F2-18CF9F502EBA}">
    <filterColumn colId="0" hiddenButton="1"/>
    <filterColumn colId="1" hiddenButton="1"/>
    <filterColumn colId="2" hiddenButton="1"/>
    <filterColumn colId="3" hiddenButton="1"/>
  </autoFilter>
  <tableColumns count="4">
    <tableColumn id="1" xr3:uid="{2DE1F221-75DB-43CE-9F3B-39F1118A2B14}" name="Assessment No" dataDxfId="67"/>
    <tableColumn id="2" xr3:uid="{3CC09ACF-36D5-49FE-8A29-1074730BAF04}" name="LO Number" dataDxfId="66"/>
    <tableColumn id="3" xr3:uid="{523070E8-BAE6-434E-BD26-958EC10A182B}" name="Graduate Skills Category" dataDxfId="65"/>
    <tableColumn id="4" xr3:uid="{2572A7A7-898C-4A7E-8D9C-B1F6C0FBEE94}" name="Graduate Skill" dataDxfId="64"/>
  </tableColumns>
  <tableStyleInfo name="TableStyleMedium3" showFirstColumn="0" showLastColumn="0" showRowStripes="1" showColumnStripes="0"/>
</table>
</file>

<file path=xl/tables/table2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0" xr:uid="{97B05665-6ACF-4D35-BA38-71B7958844A1}" name="Module (22)_Aims" displayName="Module__22__Aims" ref="F6:F8" totalsRowShown="0" dataDxfId="63">
  <autoFilter ref="F6:F8" xr:uid="{9552138F-2332-4BC4-A585-0E13162881A5}"/>
  <tableColumns count="1">
    <tableColumn id="1" xr3:uid="{03C505AA-48A0-4A88-9F49-B7FF5C16BCAE}" name="Aims" dataDxfId="62"/>
  </tableColumns>
  <tableStyleInfo name="TableStyleMedium6" showFirstColumn="0" showLastColumn="0" showRowStripes="1" showColumnStripes="0"/>
</table>
</file>

<file path=xl/tables/table2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1" xr:uid="{D5BA3FF3-3E35-4CBB-B045-4F42DE077FE8}" name="Module (22)_Syllabus" displayName="Module__22__Syllabus" ref="F10:F13" totalsRowShown="0" dataDxfId="61">
  <autoFilter ref="F10:F13" xr:uid="{94F18F67-3F10-4F6E-A953-4FE3399B07F2}"/>
  <tableColumns count="1">
    <tableColumn id="1" xr3:uid="{D82AB61C-3BCC-45E5-A0F7-2A8249EBEA58}" name="Outline Syllabus" dataDxfId="60"/>
  </tableColumns>
  <tableStyleInfo name="TableStyleMedium6" showFirstColumn="0" showLastColumn="0" showRowStripes="1" showColumnStripes="0"/>
</table>
</file>

<file path=xl/tables/table2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2" xr:uid="{206EC6E6-7379-4207-BFEA-7454DEF8BEDC}" name="Module (22)_Overview" displayName="Module__22__Overview" ref="F15:F20" totalsRowShown="0" dataDxfId="59">
  <autoFilter ref="F15:F20" xr:uid="{1B2BCD7B-6C15-4B1C-86BC-48FF83D8F225}"/>
  <tableColumns count="1">
    <tableColumn id="1" xr3:uid="{A736E8CD-3F0B-4824-AA95-F9779192F7D4}" name="Module Overview" dataDxfId="58"/>
  </tableColumns>
  <tableStyleInfo name="TableStyleMedium6" showFirstColumn="0" showLastColumn="0" showRowStripes="1" showColumnStripes="0"/>
</table>
</file>

<file path=xl/tables/table2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3" xr:uid="{4DF8198E-11EB-4AA9-BADB-60106759E188}" name="Module (22)_Notes" displayName="Module__22__Notes" ref="F22:F33" totalsRowShown="0" dataDxfId="57">
  <autoFilter ref="F22:F33" xr:uid="{D5968C0A-6D7E-4221-87EE-78A85A4039B3}"/>
  <tableColumns count="1">
    <tableColumn id="1" xr3:uid="{85005615-7F38-4006-93CA-9CB054C3BDFF}" name="Additional Information/Notes" dataDxfId="56"/>
  </tableColumns>
  <tableStyleInfo name="TableStyleMedium6" showFirstColumn="0" showLastColumn="0" showRowStripes="1" showColumnStripes="0"/>
</table>
</file>

<file path=xl/tables/table2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BDA15C93-7AE5-443F-BF80-B6C4734D3733}" name="Template_Meta" displayName="Template_Meta" ref="C6:D14" totalsRowShown="0">
  <autoFilter ref="C6:D14" xr:uid="{CD75D2A7-14B1-4ABD-B64D-6E875F9BC652}">
    <filterColumn colId="0" hiddenButton="1"/>
    <filterColumn colId="1" hiddenButton="1"/>
  </autoFilter>
  <tableColumns count="2">
    <tableColumn id="1" xr3:uid="{4D2BF844-9D2B-4FF1-8498-0279E04136FD}" name="Module Data" dataDxfId="55"/>
    <tableColumn id="2" xr3:uid="{7CDC44CD-A513-4579-ACC6-09E7304BB1BE}" name="Details" dataDxfId="54"/>
  </tableColumns>
  <tableStyleInfo name="TableStyleMedium6" showFirstColumn="0" showLastColumn="0" showRowStripes="1" showColumnStripes="0"/>
</table>
</file>

<file path=xl/tables/table2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F01ECD1-C3F7-4C71-876A-3C7A7FDBB474}" name="Template_LO" displayName="Template_LO" ref="C28:D33" totalsRowShown="0" headerRowDxfId="53">
  <autoFilter ref="C28:D33" xr:uid="{22316987-6BEB-4FAF-9619-BF9BE9909CFA}">
    <filterColumn colId="0" hiddenButton="1"/>
    <filterColumn colId="1" hiddenButton="1"/>
  </autoFilter>
  <tableColumns count="2">
    <tableColumn id="1" xr3:uid="{A75FADC5-DEDB-4B6C-9F57-BD04056AC57B}" name="LO Number" dataDxfId="52"/>
    <tableColumn id="2" xr3:uid="{2529C995-9CF3-46B4-B1CE-40C8315EEAF2}" name="LO Description" dataDxfId="51"/>
  </tableColumns>
  <tableStyleInfo name="TableStyleMedium2" showFirstColumn="0" showLastColumn="0" showRowStripes="1" showColumnStripes="0"/>
</table>
</file>

<file path=xl/tables/table2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4B27E036-CB6F-40EB-91EB-A39099EEB3CD}" name="Template_Assess" displayName="Template_Assess" ref="C37:H41" totalsRowShown="0" headerRowDxfId="50">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D8EBD973-01AE-4D1E-8786-915C86474423}" name="Assessment No" dataDxfId="49"/>
    <tableColumn id="2" xr3:uid="{707D2CCB-425D-48C3-A5FF-A62091BB3A56}" name="Assessment Type" dataDxfId="48"/>
    <tableColumn id="7" xr3:uid="{EB4F45BA-D8C2-4768-9796-02D50E7330DF}" name="Assessment Specific" dataDxfId="47"/>
    <tableColumn id="3" xr3:uid="{5B969136-9DE0-4A71-AF46-BE9B9C988057}" name="Assessment Description" dataDxfId="46"/>
    <tableColumn id="4" xr3:uid="{C51F8C6E-75D1-4D2A-980F-3DFD604FDE94}" name="Weighting" dataDxfId="45"/>
    <tableColumn id="5" xr3:uid="{732B8B1F-0938-4D2E-A221-A6E8EC0CEA2A}" name="Due Week" dataDxfId="44"/>
  </tableColumns>
  <tableStyleInfo name="TableStyleMedium3" showFirstColumn="0" showLastColumn="0" showRowStripes="1" showColumnStripes="0"/>
</table>
</file>

<file path=xl/tables/table2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161448E8-8EEE-4DE1-A2F9-F593D227DA0A}" name="Template_Weekly" displayName="Template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6D1B2880-FC9A-468B-B918-0197941EFFDE}" name="Semester " dataDxfId="43"/>
    <tableColumn id="2" xr3:uid="{B5886C84-F0E2-476E-B7F8-D50AED341227}" name="Week Number" dataDxfId="42"/>
    <tableColumn id="3" xr3:uid="{E72094EC-2F0A-4C32-8DE0-3CB3CF696309}" name="Weekly Content 1" dataDxfId="41"/>
    <tableColumn id="4" xr3:uid="{15BE7A5A-AEE2-4BE3-9FDF-71CA774FE739}" name="Weekly Content 2" dataDxfId="40"/>
    <tableColumn id="5" xr3:uid="{C4CF9651-D5F8-4074-B5BD-359D74967851}" name="Weekly Content 3" dataDxfId="39"/>
  </tableColumns>
  <tableStyleInfo name="TableStyleMedium4" showFirstColumn="0" showLastColumn="0" showRowStripes="1" showColumnStripes="0"/>
</table>
</file>

<file path=xl/tables/table2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5FAF6343-FF50-43D2-B96C-219B05B209B3}" name="Template_Hours" displayName="Template_Hours" ref="C18:D24" totalsRowShown="0">
  <autoFilter ref="C18:D24" xr:uid="{B71A3569-AA65-4A4E-98A2-885F5C38B46D}">
    <filterColumn colId="0" hiddenButton="1"/>
    <filterColumn colId="1" hiddenButton="1"/>
  </autoFilter>
  <tableColumns count="2">
    <tableColumn id="1" xr3:uid="{DD613D1A-331B-4FD0-91B2-3BB01F5B1F40}" name="Component" dataDxfId="38"/>
    <tableColumn id="2" xr3:uid="{C0E95D7F-8DB9-4A30-B523-E4812C2D666C}" name="Contact Hours" dataDxfId="37"/>
  </tableColumns>
  <tableStyleInfo name="TableStyleMedium2" showFirstColumn="0" showLastColumn="0" showRowStripes="1" showColumnStripes="0"/>
</table>
</file>

<file path=xl/tables/table2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64905AEA-21AC-416A-8A59-FDBFEB2C673E}" name="Template_Mapping" displayName="Template_Mapping" ref="C45:F66" totalsRowShown="0" headerRowDxfId="36" dataDxfId="35">
  <autoFilter ref="C45:F66" xr:uid="{E0A841BB-B6D5-4048-B5F2-18CF9F502EBA}">
    <filterColumn colId="0" hiddenButton="1"/>
    <filterColumn colId="1" hiddenButton="1"/>
    <filterColumn colId="2" hiddenButton="1"/>
    <filterColumn colId="3" hiddenButton="1"/>
  </autoFilter>
  <tableColumns count="4">
    <tableColumn id="1" xr3:uid="{68FEA8A1-EEF2-48EA-ACC7-4E78BA6DFA99}" name="Assessment No" dataDxfId="34"/>
    <tableColumn id="2" xr3:uid="{2008E8A1-90F0-4A5C-A0CF-4F307DD2E2D8}" name="LO Number" dataDxfId="33"/>
    <tableColumn id="3" xr3:uid="{3A4DD78F-A393-4DAB-8994-3FEC28769F43}" name="Graduate Skills Category" dataDxfId="32"/>
    <tableColumn id="4" xr3:uid="{3CC06E09-AB6C-4DEE-8FEB-FEE7643702C5}" name="Graduate Skill" dataDxfId="31"/>
  </tableColumns>
  <tableStyleInfo name="TableStyleMedium3" showFirstColumn="0" showLastColumn="0" showRowStripes="1" showColumnStripes="0"/>
</table>
</file>

<file path=xl/tables/table2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52138F-2332-4BC4-A585-0E13162881A5}" name="Template_Aims" displayName="Template_Aims" ref="F6:F8" totalsRowShown="0" dataDxfId="30">
  <autoFilter ref="F6:F8" xr:uid="{9552138F-2332-4BC4-A585-0E13162881A5}"/>
  <tableColumns count="1">
    <tableColumn id="1" xr3:uid="{71044305-7275-4074-BD40-FFAF45A8E291}" name="Aims" dataDxfId="29"/>
  </tableColumns>
  <tableStyleInfo name="TableStyleMedium6" showFirstColumn="0" showLastColumn="0" showRowStripes="1" showColumnStripes="0"/>
</table>
</file>

<file path=xl/tables/table2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4F18F67-3F10-4F6E-A953-4FE3399B07F2}" name="Template_Syllabus" displayName="Template_Syllabus" ref="F10:F13" totalsRowShown="0" dataDxfId="28">
  <autoFilter ref="F10:F13" xr:uid="{94F18F67-3F10-4F6E-A953-4FE3399B07F2}"/>
  <tableColumns count="1">
    <tableColumn id="1" xr3:uid="{409A0DF2-4B7A-4C37-A61C-CA2805617B9D}" name="Outline Syllabus" dataDxfId="27"/>
  </tableColumns>
  <tableStyleInfo name="TableStyleMedium6" showFirstColumn="0" showLastColumn="0" showRowStripes="1" showColumnStripes="0"/>
</table>
</file>

<file path=xl/tables/table2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B2BCD7B-6C15-4B1C-86BC-48FF83D8F225}" name="Template_Overview" displayName="Template_Overview" ref="F15:F20" totalsRowShown="0" dataDxfId="26">
  <autoFilter ref="F15:F20" xr:uid="{1B2BCD7B-6C15-4B1C-86BC-48FF83D8F225}"/>
  <tableColumns count="1">
    <tableColumn id="1" xr3:uid="{5E6F0374-DB3C-4DCF-968A-D7EB3D575A6B}" name="Module Overview" dataDxfId="25"/>
  </tableColumns>
  <tableStyleInfo name="TableStyleMedium6" showFirstColumn="0" showLastColumn="0" showRowStripes="1" showColumnStripes="0"/>
</table>
</file>

<file path=xl/tables/table2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5968C0A-6D7E-4221-87EE-78A85A4039B3}" name="Template_Notes" displayName="Template_Notes" ref="F22:F33" totalsRowShown="0" dataDxfId="24">
  <autoFilter ref="F22:F33" xr:uid="{D5968C0A-6D7E-4221-87EE-78A85A4039B3}"/>
  <tableColumns count="1">
    <tableColumn id="1" xr3:uid="{EBE60D7D-4BB5-4F06-A2E4-CFAAE9F14014}" name="Additional Information/Notes" dataDxfId="23"/>
  </tableColumns>
  <tableStyleInfo name="TableStyleMedium6" showFirstColumn="0" showLastColumn="0" showRowStripes="1" showColumnStripes="0"/>
</table>
</file>

<file path=xl/tables/table2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A28D849E-6EFC-4A5A-932B-B6AE93050561}" name="LISTS_Assess" displayName="LISTS_Assess" ref="G14:G28" totalsRowShown="0" headerRowDxfId="22" dataDxfId="21">
  <autoFilter ref="G14:G28" xr:uid="{A28D849E-6EFC-4A5A-932B-B6AE93050561}"/>
  <tableColumns count="1">
    <tableColumn id="1" xr3:uid="{F9243E19-CFCD-47CF-90F4-B3457FC6A715}" name="Assessment Specific" dataDxfId="20"/>
  </tableColumns>
  <tableStyleInfo name="TableStyleMedium2" showFirstColumn="0" showLastColumn="0" showRowStripes="1" showColumnStripes="0"/>
</table>
</file>

<file path=xl/tables/table2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BD39377-1E4D-4F11-AC33-A85FBA00A712}" name="LISTS_Table" displayName="LISTS_Table" ref="J19:K83" totalsRowShown="0" headerRowDxfId="19" dataDxfId="18">
  <autoFilter ref="J19:K83" xr:uid="{EBD39377-1E4D-4F11-AC33-A85FBA00A712}"/>
  <tableColumns count="2">
    <tableColumn id="1" xr3:uid="{88D4BEFB-0FE7-43D9-9144-A385F91AD367}" name="Category" dataDxfId="17"/>
    <tableColumn id="2" xr3:uid="{F16DBD3E-74AC-4DBC-9629-934DF2FB76A6}" name="Skill" dataDxfId="16"/>
  </tableColumns>
  <tableStyleInfo name="TableStyleMedium2" showFirstColumn="0" showLastColumn="0" showRowStripes="1" showColumnStripes="0"/>
</table>
</file>

<file path=xl/tables/table2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D6785227-D60F-4766-B278-5A6312774D6F}" name="SES_Hours_Wide" displayName="SES_Hours_Wide" ref="A1:L29" tableType="queryTable" totalsRowShown="0">
  <autoFilter ref="A1:L29" xr:uid="{D6785227-D60F-4766-B278-5A6312774D6F}"/>
  <tableColumns count="12">
    <tableColumn id="1" xr3:uid="{5E81213E-02E7-4E0A-8205-43825740BCF6}" uniqueName="1" name="SourceWorkbook" queryTableFieldId="1" dataDxfId="15"/>
    <tableColumn id="2" xr3:uid="{E91B9743-5C25-4A37-B6A7-7892A75F3DC1}" uniqueName="2" name="ModuleCode" queryTableFieldId="2"/>
    <tableColumn id="3" xr3:uid="{31850A1F-DC7C-4434-BE60-B044F1DC48DD}" uniqueName="3" name="ModuleTitle" queryTableFieldId="3" dataDxfId="14"/>
    <tableColumn id="4" xr3:uid="{4A4120D2-4B85-42E2-9CA2-90C32C09823A}" uniqueName="4" name="Programme" queryTableFieldId="4"/>
    <tableColumn id="5" xr3:uid="{EA3A31D8-EA49-40C7-AFA1-85577AE4B10D}" uniqueName="5" name="TableName" queryTableFieldId="5"/>
    <tableColumn id="6" xr3:uid="{BBB37545-1C37-410A-B9B9-EA90C1546F5E}" uniqueName="6" name="ProgCode" queryTableFieldId="6"/>
    <tableColumn id="7" xr3:uid="{C0EA9878-C47F-410F-AE2E-6B3EF4842A7C}" uniqueName="7" name="Lecture" queryTableFieldId="7"/>
    <tableColumn id="8" xr3:uid="{DB0369E9-40AF-47F4-8E71-AD9C3574F25A}" uniqueName="8" name="Seminar" queryTableFieldId="8"/>
    <tableColumn id="9" xr3:uid="{C9572734-6430-4AB1-B23C-8D3D18053234}" uniqueName="9" name="Practical" queryTableFieldId="9"/>
    <tableColumn id="10" xr3:uid="{EE25BDEF-11F4-422D-8832-8B290D98C1A8}" uniqueName="10" name="Workshop" queryTableFieldId="10"/>
    <tableColumn id="11" xr3:uid="{0C1B48BF-FBB0-40FE-84B1-860646E08CB3}" uniqueName="11" name="Online" queryTableFieldId="11"/>
    <tableColumn id="12" xr3:uid="{FD6093B6-FEBB-419B-BC48-B5D8B189DCA1}" uniqueName="12" name="Total" queryTableFieldId="12"/>
  </tableColumns>
  <tableStyleInfo name="TableStyleMedium7" showFirstColumn="0" showLastColumn="0" showRowStripes="1" showColumnStripes="0"/>
</table>
</file>

<file path=xl/tables/table2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8FDDDAE3-DC87-4DD4-AFF1-E425457EB99C}" name="SES_SkillsCoverage" displayName="SES_SkillsCoverage" ref="A1:E69" tableType="queryTable" totalsRowShown="0">
  <autoFilter ref="A1:E69" xr:uid="{8FDDDAE3-DC87-4DD4-AFF1-E425457EB99C}"/>
  <sortState xmlns:xlrd2="http://schemas.microsoft.com/office/spreadsheetml/2017/richdata2" ref="A2:E69">
    <sortCondition ref="A1:A69"/>
  </sortState>
  <tableColumns count="5">
    <tableColumn id="1" xr3:uid="{5AE411E0-8F77-4C34-B986-CE2224B85471}" uniqueName="1" name="Category" queryTableFieldId="1"/>
    <tableColumn id="2" xr3:uid="{17ABEB65-CBE4-4DB3-ADC9-305B6D312048}" uniqueName="2" name="Skill" queryTableFieldId="2"/>
    <tableColumn id="3" xr3:uid="{E8E5D18D-BAF4-4F9D-BCB7-30B36DC58600}" uniqueName="3" name="Modules Covering" queryTableFieldId="3" dataDxfId="13"/>
    <tableColumn id="4" xr3:uid="{78A0F983-2896-44D8-A55A-51B59951D5C9}" uniqueName="4" name="Module Count" queryTableFieldId="4"/>
    <tableColumn id="5" xr3:uid="{46599D7A-1402-482F-9EA0-42ED8603B187}" uniqueName="5" name="Covered" queryTableFieldId="5"/>
  </tableColumns>
  <tableStyleInfo name="TableStyleMedium7" showFirstColumn="0" showLastColumn="0" showRowStripes="1" showColumnStripes="0"/>
</table>
</file>

<file path=xl/tables/table2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F5E66F18-FB4F-4FDC-9E52-A325B3FEE1F1}" name="SES_Module_Overview" displayName="SES_Module_Overview" ref="A1:I29" tableType="queryTable" totalsRowShown="0">
  <autoFilter ref="A1:I29" xr:uid="{F5E66F18-FB4F-4FDC-9E52-A325B3FEE1F1}"/>
  <sortState xmlns:xlrd2="http://schemas.microsoft.com/office/spreadsheetml/2017/richdata2" ref="A2:I29">
    <sortCondition ref="A1:A29"/>
  </sortState>
  <tableColumns count="9">
    <tableColumn id="1" xr3:uid="{D1CBA8CE-221E-4B3C-9FFA-777E45A76316}" uniqueName="1" name="ModuleCode" queryTableFieldId="1"/>
    <tableColumn id="2" xr3:uid="{7EDD0D29-06E7-4AF7-9D6B-3A0ED7210DB1}" uniqueName="2" name="ModuleTitle" queryTableFieldId="2" dataDxfId="12"/>
    <tableColumn id="3" xr3:uid="{ABFF4355-14FD-4EF2-879C-C03E0D2EB89D}" uniqueName="3" name="Level" queryTableFieldId="3"/>
    <tableColumn id="4" xr3:uid="{EB88786D-5952-425F-BF95-DD8B31024CCA}" uniqueName="4" name="Semester" queryTableFieldId="4"/>
    <tableColumn id="5" xr3:uid="{D8FE3694-61E3-4B5C-B8FD-BB2AE6C49FB1}" uniqueName="5" name="Credits" queryTableFieldId="5"/>
    <tableColumn id="6" xr3:uid="{6DC7F283-A5CC-4857-B226-74196F21D333}" uniqueName="6" name="Module Leader" queryTableFieldId="6"/>
    <tableColumn id="7" xr3:uid="{D04C6315-5F2E-4CD7-B5E9-84CD7A4E50F1}" uniqueName="7" name="Module Type" queryTableFieldId="7"/>
    <tableColumn id="8" xr3:uid="{AF58861A-7525-46D6-B1EA-F3F90E752BC6}" uniqueName="8" name="Total Contact Hours" queryTableFieldId="8"/>
    <tableColumn id="9" xr3:uid="{8B413035-46E5-4345-918A-7436D721F646}" uniqueName="9" name="Hours per Credit" queryTableFieldId="9"/>
  </tableColumns>
  <tableStyleInfo name="TableStyleMedium7" showFirstColumn="0" showLastColumn="0" showRowStripes="1" showColumnStripes="0"/>
</table>
</file>

<file path=xl/tables/table2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AA2F7CA6-41EF-4506-8B38-32EBD8F24EE3}" name="SES_Meta_Wide" displayName="SES_Meta_Wide" ref="A1:N29" tableType="queryTable" totalsRowShown="0">
  <autoFilter ref="A1:N29" xr:uid="{AA2F7CA6-41EF-4506-8B38-32EBD8F24EE3}"/>
  <tableColumns count="14">
    <tableColumn id="1" xr3:uid="{E0BE8BD3-A713-41EC-8CA7-9BCC6FDAB23B}" uniqueName="1" name="SourceWorkbook" queryTableFieldId="1" dataDxfId="11"/>
    <tableColumn id="2" xr3:uid="{11345748-D206-4427-997F-09D43349D608}" uniqueName="2" name="ModuleCode" queryTableFieldId="2"/>
    <tableColumn id="3" xr3:uid="{B9896065-CC87-43F2-B609-555D89B08EE8}" uniqueName="3" name="ModuleTitle" queryTableFieldId="3" dataDxfId="10"/>
    <tableColumn id="4" xr3:uid="{C18D1D58-B2AF-4481-9997-85503F3B9299}" uniqueName="4" name="Module Title" queryTableFieldId="4"/>
    <tableColumn id="5" xr3:uid="{1A99511B-9138-4E5C-8497-B954A1C402C9}" uniqueName="5" name="Credits" queryTableFieldId="5"/>
    <tableColumn id="6" xr3:uid="{616E8227-BADF-47CD-8B4B-EA75AA5D5DFC}" uniqueName="6" name="Semester" queryTableFieldId="6"/>
    <tableColumn id="7" xr3:uid="{6A748FFA-A25A-47A7-8879-CE818F73D4DB}" uniqueName="7" name="Level" queryTableFieldId="7"/>
    <tableColumn id="8" xr3:uid="{BF860947-A0DE-41D5-BC8C-087B8F556718}" uniqueName="8" name="Module Leader" queryTableFieldId="8"/>
    <tableColumn id="9" xr3:uid="{ECCF9095-1C33-450A-9C9E-2FB48C4883E0}" uniqueName="9" name="Module Type" queryTableFieldId="9"/>
    <tableColumn id="10" xr3:uid="{3D1626AA-C62F-48C9-8073-E4E933D4824F}" uniqueName="10" name="Programme(s)" queryTableFieldId="10"/>
    <tableColumn id="11" xr3:uid="{5FFF5A03-E8A1-4968-98E8-BD2803568281}" uniqueName="11" name="TableName" queryTableFieldId="11"/>
    <tableColumn id="12" xr3:uid="{74541E47-A9A4-40B3-80DC-2F7EB35A60A1}" uniqueName="12" name="ItemSuffix" queryTableFieldId="12"/>
    <tableColumn id="13" xr3:uid="{2E3CBA5D-CB5A-4D22-89EF-D8480BF093AB}" uniqueName="13" name="Programme" queryTableFieldId="13"/>
    <tableColumn id="14" xr3:uid="{F07882AD-E58D-45D5-B061-FE95CDE98811}" uniqueName="14" name="ProgCode" queryTableFieldId="14"/>
  </tableColumns>
  <tableStyleInfo name="TableStyleMedium7" showFirstColumn="0" showLastColumn="0" showRowStripes="1" showColumnStripes="0"/>
</table>
</file>

<file path=xl/tables/table2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70EF03B2-3323-448C-8F4A-15CE0435B0D0}" name="SES_Mapping" displayName="SES_Mapping" ref="A1:K313" tableType="queryTable" totalsRowShown="0">
  <autoFilter ref="A1:K313" xr:uid="{70EF03B2-3323-448C-8F4A-15CE0435B0D0}"/>
  <tableColumns count="11">
    <tableColumn id="1" xr3:uid="{7C769416-8F6C-494F-889A-E3EBED31CD48}" uniqueName="1" name="SourceWorkbook" queryTableFieldId="1" dataDxfId="9"/>
    <tableColumn id="2" xr3:uid="{BDC69B99-98CD-4D74-AADE-DCD89AD5B6A6}" uniqueName="2" name="TableName" queryTableFieldId="2"/>
    <tableColumn id="3" xr3:uid="{E443FEA5-956B-4E42-8AFC-5746D9ED7939}" uniqueName="3" name="Assessment No" queryTableFieldId="3"/>
    <tableColumn id="4" xr3:uid="{230F0490-A4A8-4FCD-8E52-7B4F3A98F521}" uniqueName="4" name="LO Number" queryTableFieldId="4"/>
    <tableColumn id="5" xr3:uid="{28672339-1235-4379-9079-5051D90362CF}" uniqueName="5" name="Graduate Skills Category" queryTableFieldId="5"/>
    <tableColumn id="6" xr3:uid="{431EB83C-DC59-43F3-87CC-53BC37D31B0C}" uniqueName="6" name="Graduate Skill" queryTableFieldId="6"/>
    <tableColumn id="7" xr3:uid="{30D67A1E-7AA2-4052-8074-8D0D8F06FD7A}" uniqueName="7" name="ModuleCode" queryTableFieldId="7"/>
    <tableColumn id="8" xr3:uid="{1C2948B3-39BE-4796-B39B-626689792004}" uniqueName="8" name="ItemSuffix" queryTableFieldId="8"/>
    <tableColumn id="9" xr3:uid="{41A9F0EF-48E2-4276-B713-C56EA4B2FD18}" uniqueName="9" name="Programme" queryTableFieldId="9"/>
    <tableColumn id="10" xr3:uid="{2FB3223F-BCA8-49C1-8BA3-3651B9B6D30D}" uniqueName="10" name="ProgCode" queryTableFieldId="10"/>
    <tableColumn id="11" xr3:uid="{1B50A280-F9EF-4522-BA8B-06BF06F97B78}" uniqueName="11" name="ModuleTitle" queryTableFieldId="11" dataDxfId="8"/>
  </tableColumns>
  <tableStyleInfo name="TableStyleMedium7" showFirstColumn="0" showLastColumn="0" showRowStripes="1" showColumnStripes="0"/>
</table>
</file>

<file path=xl/tables/table2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CC60294A-E386-4BD2-9639-E17260AA2058}" name="SES_Hours" displayName="SES_Hours" ref="A1:I169" tableType="queryTable" totalsRowShown="0">
  <autoFilter ref="A1:I169" xr:uid="{CC60294A-E386-4BD2-9639-E17260AA2058}"/>
  <tableColumns count="9">
    <tableColumn id="1" xr3:uid="{1B75B73D-A5D5-4929-8012-6182F8224A85}" uniqueName="1" name="SourceWorkbook" queryTableFieldId="1" dataDxfId="7"/>
    <tableColumn id="2" xr3:uid="{00B48005-1D22-44E7-A84F-1FF8DBDC0189}" uniqueName="2" name="ModuleCode" queryTableFieldId="2"/>
    <tableColumn id="3" xr3:uid="{B24A4CC2-0578-4BFD-851C-9A3A6B970806}" uniqueName="3" name="ModuleTitle" queryTableFieldId="3" dataDxfId="6"/>
    <tableColumn id="4" xr3:uid="{66663B38-12CA-4BCF-98A5-359358E20EA1}" uniqueName="4" name="Component" queryTableFieldId="4"/>
    <tableColumn id="5" xr3:uid="{0BBCC954-9D9D-4A0E-B21F-E01B79629238}" uniqueName="5" name="Contact Hours" queryTableFieldId="5"/>
    <tableColumn id="6" xr3:uid="{5A643085-9E6B-4010-9C9E-B0A3FA7D53A5}" uniqueName="6" name="ItemSuffix" queryTableFieldId="6"/>
    <tableColumn id="7" xr3:uid="{3C12BE2F-E97A-4ED6-ADCF-4F983F8D8F26}" uniqueName="7" name="Programme" queryTableFieldId="7"/>
    <tableColumn id="8" xr3:uid="{BD346F61-F444-4F61-8D34-51B9B67C9158}" uniqueName="8" name="TableName" queryTableFieldId="8"/>
    <tableColumn id="9" xr3:uid="{E5A8865A-6F4B-4FEE-8DC5-75419476F45D}" uniqueName="9" name="ProgCode" queryTableFieldId="9"/>
  </tableColumns>
  <tableStyleInfo name="TableStyleMedium7" showFirstColumn="0" showLastColumn="0" showRowStripes="1" showColumnStripes="0"/>
</table>
</file>

<file path=xl/tables/table2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DD38DBAB-D585-475B-9CA1-67DE02D2D7C1}" name="SES_Assess" displayName="SES_Assess" ref="A1:M57" tableType="queryTable" totalsRowShown="0">
  <autoFilter ref="A1:M57" xr:uid="{DD38DBAB-D585-475B-9CA1-67DE02D2D7C1}"/>
  <tableColumns count="13">
    <tableColumn id="1" xr3:uid="{F6165DBE-9012-4E67-AC64-530DA0AED0E7}" uniqueName="1" name="SourceWorkbook" queryTableFieldId="1" dataDxfId="5"/>
    <tableColumn id="2" xr3:uid="{0629D98C-5D5D-423F-AEB9-B8B91DF726CB}" uniqueName="2" name="ModuleCode" queryTableFieldId="2"/>
    <tableColumn id="3" xr3:uid="{1745D6FF-EB96-48CB-B3D4-E578E83E25C0}" uniqueName="3" name="ModuleTitle" queryTableFieldId="3" dataDxfId="4"/>
    <tableColumn id="4" xr3:uid="{980597F4-0832-477F-A503-4C2851DC908C}" uniqueName="4" name="Assessment No" queryTableFieldId="4"/>
    <tableColumn id="5" xr3:uid="{532091D0-E5C3-4918-8857-C30E28C80035}" uniqueName="5" name="Assessment Type" queryTableFieldId="5"/>
    <tableColumn id="6" xr3:uid="{6C0B6905-5720-4D19-ABD6-5B38DCE35F68}" uniqueName="6" name="Assessment Specific" queryTableFieldId="6"/>
    <tableColumn id="7" xr3:uid="{9BF41F83-FB76-40A8-B8CA-0EAF521615A7}" uniqueName="7" name="Assessment Description" queryTableFieldId="7"/>
    <tableColumn id="8" xr3:uid="{20E46A77-2F7C-466C-82C3-522006D21CA2}" uniqueName="8" name="Weighting" queryTableFieldId="8"/>
    <tableColumn id="9" xr3:uid="{727ECD05-662F-4376-8E51-88D77EF02B04}" uniqueName="9" name="Due Week" queryTableFieldId="9"/>
    <tableColumn id="10" xr3:uid="{5E66AF3D-FD0B-4EB5-95DD-E7E7261AD105}" uniqueName="10" name="TableName" queryTableFieldId="10"/>
    <tableColumn id="11" xr3:uid="{88BFA8F2-EFFF-48F6-A8D4-47063D5F3361}" uniqueName="11" name="ItemSuffix" queryTableFieldId="11"/>
    <tableColumn id="12" xr3:uid="{3AC278C2-40D1-4F72-851A-8B5AE4687EE8}" uniqueName="12" name="Programme" queryTableFieldId="12"/>
    <tableColumn id="13" xr3:uid="{17610F6D-3B31-405C-98DF-282F0FAC2A85}" uniqueName="13" name="ProgCode" queryTableFieldId="13"/>
  </tableColumns>
  <tableStyleInfo name="TableStyleMedium7" showFirstColumn="0" showLastColumn="0" showRowStripes="1" showColumnStripes="0"/>
</table>
</file>

<file path=xl/tables/table2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9E50A83D-239A-4755-A176-04DE7B57A721}" name="SES_LO" displayName="SES_LO" ref="A1:I80" tableType="queryTable" totalsRowShown="0">
  <autoFilter ref="A1:I80" xr:uid="{9E50A83D-239A-4755-A176-04DE7B57A721}"/>
  <sortState xmlns:xlrd2="http://schemas.microsoft.com/office/spreadsheetml/2017/richdata2" ref="A2:I80">
    <sortCondition ref="C1:C80"/>
  </sortState>
  <tableColumns count="9">
    <tableColumn id="1" xr3:uid="{AD8361CE-9CFF-443F-8D3E-BEB0CE2ED17C}" uniqueName="1" name="SourceWorkbook" queryTableFieldId="1" dataDxfId="3"/>
    <tableColumn id="2" xr3:uid="{4C0AE08B-8404-405A-96A9-4CD70364850E}" uniqueName="2" name="Programme" queryTableFieldId="2"/>
    <tableColumn id="3" xr3:uid="{178F9A24-08B8-4D5B-8190-481359B814D1}" uniqueName="3" name="ModuleCode" queryTableFieldId="3"/>
    <tableColumn id="4" xr3:uid="{39177534-A188-41BA-9E18-E7AB1A047309}" uniqueName="4" name="ModuleTitle" queryTableFieldId="4" dataDxfId="2"/>
    <tableColumn id="5" xr3:uid="{C35E10C0-C320-417F-8AAC-E1C3AE4DBD2D}" uniqueName="5" name="LO Number" queryTableFieldId="5"/>
    <tableColumn id="6" xr3:uid="{B8BE1DA2-69BE-4588-BBA0-EE3B54B16615}" uniqueName="6" name="LO Description" queryTableFieldId="6"/>
    <tableColumn id="7" xr3:uid="{669EE8EF-B230-42EF-8A7E-066E612C7CA7}" uniqueName="7" name="TableName" queryTableFieldId="7"/>
    <tableColumn id="8" xr3:uid="{EEDCDD53-FA99-4D1C-A48D-7640BC2C8DB3}" uniqueName="8" name="ItemSuffix" queryTableFieldId="8"/>
    <tableColumn id="9" xr3:uid="{EBC287BA-8DB6-41BB-8763-EFD2A05299F4}" uniqueName="9" name="ProgCode" queryTableFieldId="9"/>
  </tableColumns>
  <tableStyleInfo name="TableStyleMedium7" showFirstColumn="0" showLastColumn="0" showRowStripes="1" showColumnStripes="0"/>
</table>
</file>

<file path=xl/tables/table2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35525DF9-E6DD-4EBC-8B04-44F5FCB60200}" name="SES_Meta" displayName="SES_Meta" ref="A1:I225" tableType="queryTable" totalsRowShown="0">
  <autoFilter ref="A1:I225" xr:uid="{35525DF9-E6DD-4EBC-8B04-44F5FCB60200}"/>
  <tableColumns count="9">
    <tableColumn id="1" xr3:uid="{C196002C-9013-415A-898C-2AE018F783AE}" uniqueName="1" name="SourceWorkbook" queryTableFieldId="1" dataDxfId="1"/>
    <tableColumn id="2" xr3:uid="{FD878126-0444-4A97-9E58-8CA95087B087}" uniqueName="2" name="TableName" queryTableFieldId="2"/>
    <tableColumn id="3" xr3:uid="{3B87AE51-CCBD-457D-8684-FC34904253DD}" uniqueName="3" name="Module Data" queryTableFieldId="3"/>
    <tableColumn id="4" xr3:uid="{E023D3A4-E24C-47BD-A617-B7EEDBB7E305}" uniqueName="4" name="Details" queryTableFieldId="4"/>
    <tableColumn id="5" xr3:uid="{0D41F6A2-86C8-4639-81CA-B48AB720E582}" uniqueName="5" name="ModuleCode" queryTableFieldId="5"/>
    <tableColumn id="6" xr3:uid="{32EC0B32-C2D1-4E49-8E85-790600FB4270}" uniqueName="6" name="ItemSuffix" queryTableFieldId="6"/>
    <tableColumn id="7" xr3:uid="{72F01C2C-451D-4DD7-B489-4AE9723138D2}" uniqueName="7" name="Programme" queryTableFieldId="7"/>
    <tableColumn id="8" xr3:uid="{8FC56DD0-8A8A-43E2-851E-33DEFB094026}" uniqueName="8" name="ProgCode" queryTableFieldId="8"/>
    <tableColumn id="9" xr3:uid="{787A3EA6-8EC3-4377-8646-B1B50AA780AB}" uniqueName="9" name="ModuleTitle" queryTableFieldId="9" dataDxfId="0"/>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D20" dT="2026-07-31T07:48:42.38" personId="{51414E2E-ADDB-4659-9E0D-35850923C808}" id="{3645A966-E75C-4267-9C38-FBA7FE00828B}">
    <text>Peer Review Seminar</text>
  </threadedComment>
  <threadedComment ref="D22" dT="2026-07-31T07:48:54.10" personId="{51414E2E-ADDB-4659-9E0D-35850923C808}" id="{F66AD8D5-B5C5-4755-B548-7270B05FF0CB}">
    <text>Data Analysis Computer Practical</text>
  </threadedComment>
  <threadedComment ref="D23" dT="2026-07-31T07:49:16.83" personId="{51414E2E-ADDB-4659-9E0D-35850923C808}" id="{3E8F4BD7-486E-4104-BC82-62579504483E}">
    <text>Synchronous</text>
  </threadedComment>
</ThreadedComments>
</file>

<file path=xl/threadedComments/threadedComment2.xml><?xml version="1.0" encoding="utf-8"?>
<ThreadedComments xmlns="http://schemas.microsoft.com/office/spreadsheetml/2018/threadedcomments" xmlns:x="http://schemas.openxmlformats.org/spreadsheetml/2006/main">
  <threadedComment ref="D23" dT="2026-07-28T09:32:33.58" personId="{DA93A651-29F7-4AAC-A835-71CACA86DFCA}" id="{F774FFA2-D32D-41DE-B3AB-B5AECE8B6F5D}">
    <text>asynchronous tasks</text>
  </threadedComment>
</ThreadedComments>
</file>

<file path=xl/threadedComments/threadedComment3.xml><?xml version="1.0" encoding="utf-8"?>
<ThreadedComments xmlns="http://schemas.microsoft.com/office/spreadsheetml/2018/threadedcomments" xmlns:x="http://schemas.openxmlformats.org/spreadsheetml/2006/main">
  <threadedComment ref="D20" dT="2026-10-08T09:34:35.24" personId="{02468CA8-E19A-4AF1-B522-9F4654B8473C}" id="{CF96CFBA-D202-EA45-BC96-05784F2960B9}">
    <text>These refer to the online drop in classes each week, should these be listed as online?</text>
  </threadedComment>
  <threadedComment ref="D23" dT="2026-10-08T09:34:53.61" personId="{02468CA8-E19A-4AF1-B522-9F4654B8473C}" id="{3AB5123D-DF87-9644-840C-6807885DA646}">
    <text>These refer to the flipped lecture content- should these be listed as lectures?</text>
  </threadedComment>
  <threadedComment ref="D24" dT="2026-10-08T09:36:50.66" personId="{02468CA8-E19A-4AF1-B522-9F4654B8473C}" id="{3DBEF854-8471-DF46-B18D-AC05DB307F33}">
    <text xml:space="preserve">Is this too high now? If so the online drop ins can be swapped to 2 x 30min sessions, rather than 2 x 60min sessions. (divided into 2 sessions to accomodate the L6 timetable). </text>
  </threadedComment>
  <threadedComment ref="E38" dT="2026-07-27T12:59:14.78" personId="{14AE07FE-F738-4266-B42F-DFD851BB43E4}" id="{5C5F7A89-0EDA-48CB-819D-1968E0B25D3B}">
    <text>This is a portfolio made up of three mini essays.</text>
  </threadedComment>
</ThreadedComments>
</file>

<file path=xl/threadedComments/threadedComment4.xml><?xml version="1.0" encoding="utf-8"?>
<ThreadedComments xmlns="http://schemas.microsoft.com/office/spreadsheetml/2018/threadedcomments" xmlns:x="http://schemas.openxmlformats.org/spreadsheetml/2006/main">
  <threadedComment ref="E39" dT="2026-09-07T13:01:21.74" personId="{38634D3B-70C4-8F44-856B-2B4869DA4869}" id="{4E91AFC5-1741-4F40-9C85-8F128F5276C2}">
    <text>In person exam - cant edit this box sorry</text>
  </threadedComment>
</ThreadedComments>
</file>

<file path=xl/worksheets/_rels/sheet1.xml.rels><?xml version="1.0" encoding="UTF-8" standalone="yes"?>
<Relationships xmlns="http://schemas.openxmlformats.org/package/2006/relationships"><Relationship Id="rId8" Type="http://schemas.openxmlformats.org/officeDocument/2006/relationships/table" Target="../tables/table7.xml"/><Relationship Id="rId3" Type="http://schemas.openxmlformats.org/officeDocument/2006/relationships/table" Target="../tables/table2.xml"/><Relationship Id="rId7" Type="http://schemas.openxmlformats.org/officeDocument/2006/relationships/table" Target="../tables/table6.xml"/><Relationship Id="rId2" Type="http://schemas.openxmlformats.org/officeDocument/2006/relationships/table" Target="../tables/table1.xml"/><Relationship Id="rId1" Type="http://schemas.openxmlformats.org/officeDocument/2006/relationships/printerSettings" Target="../printerSettings/printerSettings1.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s>
</file>

<file path=xl/worksheets/_rels/sheet2.xml.rels><?xml version="1.0" encoding="UTF-8" standalone="yes"?>
<Relationships xmlns="http://schemas.openxmlformats.org/package/2006/relationships"><Relationship Id="rId8" Type="http://schemas.openxmlformats.org/officeDocument/2006/relationships/table" Target="../tables/table17.xml"/><Relationship Id="rId3" Type="http://schemas.openxmlformats.org/officeDocument/2006/relationships/table" Target="../tables/table12.xml"/><Relationship Id="rId7" Type="http://schemas.openxmlformats.org/officeDocument/2006/relationships/table" Target="../tables/table16.xml"/><Relationship Id="rId2" Type="http://schemas.openxmlformats.org/officeDocument/2006/relationships/table" Target="../tables/table11.xml"/><Relationship Id="rId1" Type="http://schemas.openxmlformats.org/officeDocument/2006/relationships/printerSettings" Target="../printerSettings/printerSettings2.bin"/><Relationship Id="rId6" Type="http://schemas.openxmlformats.org/officeDocument/2006/relationships/table" Target="../tables/table15.xml"/><Relationship Id="rId11" Type="http://schemas.openxmlformats.org/officeDocument/2006/relationships/table" Target="../tables/table20.xml"/><Relationship Id="rId5" Type="http://schemas.openxmlformats.org/officeDocument/2006/relationships/table" Target="../tables/table14.xml"/><Relationship Id="rId10" Type="http://schemas.openxmlformats.org/officeDocument/2006/relationships/table" Target="../tables/table19.xml"/><Relationship Id="rId4" Type="http://schemas.openxmlformats.org/officeDocument/2006/relationships/table" Target="../tables/table13.xml"/><Relationship Id="rId9" Type="http://schemas.openxmlformats.org/officeDocument/2006/relationships/table" Target="../tables/table18.xml"/></Relationships>
</file>

<file path=xl/worksheets/_rels/sheet3.xml.rels><?xml version="1.0" encoding="UTF-8" standalone="yes"?>
<Relationships xmlns="http://schemas.openxmlformats.org/package/2006/relationships"><Relationship Id="rId8" Type="http://schemas.openxmlformats.org/officeDocument/2006/relationships/table" Target="../tables/table27.xml"/><Relationship Id="rId3" Type="http://schemas.openxmlformats.org/officeDocument/2006/relationships/table" Target="../tables/table22.xml"/><Relationship Id="rId7" Type="http://schemas.openxmlformats.org/officeDocument/2006/relationships/table" Target="../tables/table26.xml"/><Relationship Id="rId2" Type="http://schemas.openxmlformats.org/officeDocument/2006/relationships/table" Target="../tables/table21.xml"/><Relationship Id="rId1" Type="http://schemas.openxmlformats.org/officeDocument/2006/relationships/printerSettings" Target="../printerSettings/printerSettings3.bin"/><Relationship Id="rId6" Type="http://schemas.openxmlformats.org/officeDocument/2006/relationships/table" Target="../tables/table25.xml"/><Relationship Id="rId11" Type="http://schemas.openxmlformats.org/officeDocument/2006/relationships/table" Target="../tables/table30.xml"/><Relationship Id="rId5" Type="http://schemas.openxmlformats.org/officeDocument/2006/relationships/table" Target="../tables/table24.xml"/><Relationship Id="rId10" Type="http://schemas.openxmlformats.org/officeDocument/2006/relationships/table" Target="../tables/table29.xml"/><Relationship Id="rId4" Type="http://schemas.openxmlformats.org/officeDocument/2006/relationships/table" Target="../tables/table23.xml"/><Relationship Id="rId9" Type="http://schemas.openxmlformats.org/officeDocument/2006/relationships/table" Target="../tables/table28.xml"/></Relationships>
</file>

<file path=xl/worksheets/_rels/sheet4.xml.rels><?xml version="1.0" encoding="UTF-8" standalone="yes"?>
<Relationships xmlns="http://schemas.openxmlformats.org/package/2006/relationships"><Relationship Id="rId8" Type="http://schemas.openxmlformats.org/officeDocument/2006/relationships/table" Target="../tables/table37.xml"/><Relationship Id="rId3" Type="http://schemas.openxmlformats.org/officeDocument/2006/relationships/table" Target="../tables/table32.xml"/><Relationship Id="rId7" Type="http://schemas.openxmlformats.org/officeDocument/2006/relationships/table" Target="../tables/table36.xml"/><Relationship Id="rId2" Type="http://schemas.openxmlformats.org/officeDocument/2006/relationships/table" Target="../tables/table31.xml"/><Relationship Id="rId1" Type="http://schemas.openxmlformats.org/officeDocument/2006/relationships/printerSettings" Target="../printerSettings/printerSettings4.bin"/><Relationship Id="rId6" Type="http://schemas.openxmlformats.org/officeDocument/2006/relationships/table" Target="../tables/table35.xml"/><Relationship Id="rId11" Type="http://schemas.openxmlformats.org/officeDocument/2006/relationships/table" Target="../tables/table40.xml"/><Relationship Id="rId5" Type="http://schemas.openxmlformats.org/officeDocument/2006/relationships/table" Target="../tables/table34.xml"/><Relationship Id="rId10" Type="http://schemas.openxmlformats.org/officeDocument/2006/relationships/table" Target="../tables/table39.xml"/><Relationship Id="rId4" Type="http://schemas.openxmlformats.org/officeDocument/2006/relationships/table" Target="../tables/table33.xml"/><Relationship Id="rId9" Type="http://schemas.openxmlformats.org/officeDocument/2006/relationships/table" Target="../tables/table38.xml"/></Relationships>
</file>

<file path=xl/worksheets/_rels/sheet5.xml.rels><?xml version="1.0" encoding="UTF-8" standalone="yes"?>
<Relationships xmlns="http://schemas.openxmlformats.org/package/2006/relationships"><Relationship Id="rId8" Type="http://schemas.openxmlformats.org/officeDocument/2006/relationships/table" Target="../tables/table46.xml"/><Relationship Id="rId13" Type="http://schemas.openxmlformats.org/officeDocument/2006/relationships/comments" Target="../comments1.xml"/><Relationship Id="rId3" Type="http://schemas.openxmlformats.org/officeDocument/2006/relationships/table" Target="../tables/table41.xml"/><Relationship Id="rId7" Type="http://schemas.openxmlformats.org/officeDocument/2006/relationships/table" Target="../tables/table45.xml"/><Relationship Id="rId12" Type="http://schemas.openxmlformats.org/officeDocument/2006/relationships/table" Target="../tables/table50.xml"/><Relationship Id="rId2" Type="http://schemas.openxmlformats.org/officeDocument/2006/relationships/vmlDrawing" Target="../drawings/vmlDrawing1.vml"/><Relationship Id="rId1" Type="http://schemas.openxmlformats.org/officeDocument/2006/relationships/printerSettings" Target="../printerSettings/printerSettings5.bin"/><Relationship Id="rId6" Type="http://schemas.openxmlformats.org/officeDocument/2006/relationships/table" Target="../tables/table44.xml"/><Relationship Id="rId11" Type="http://schemas.openxmlformats.org/officeDocument/2006/relationships/table" Target="../tables/table49.xml"/><Relationship Id="rId5" Type="http://schemas.openxmlformats.org/officeDocument/2006/relationships/table" Target="../tables/table43.xml"/><Relationship Id="rId10" Type="http://schemas.openxmlformats.org/officeDocument/2006/relationships/table" Target="../tables/table48.xml"/><Relationship Id="rId4" Type="http://schemas.openxmlformats.org/officeDocument/2006/relationships/table" Target="../tables/table42.xml"/><Relationship Id="rId9" Type="http://schemas.openxmlformats.org/officeDocument/2006/relationships/table" Target="../tables/table47.xml"/><Relationship Id="rId14" Type="http://schemas.microsoft.com/office/2017/10/relationships/threadedComment" Target="../threadedComments/threadedComment1.xml"/></Relationships>
</file>

<file path=xl/worksheets/_rels/sheet6.xml.rels><?xml version="1.0" encoding="UTF-8" standalone="yes"?>
<Relationships xmlns="http://schemas.openxmlformats.org/package/2006/relationships"><Relationship Id="rId8" Type="http://schemas.openxmlformats.org/officeDocument/2006/relationships/table" Target="../tables/table56.xml"/><Relationship Id="rId13" Type="http://schemas.openxmlformats.org/officeDocument/2006/relationships/comments" Target="../comments2.xml"/><Relationship Id="rId3" Type="http://schemas.openxmlformats.org/officeDocument/2006/relationships/table" Target="../tables/table51.xml"/><Relationship Id="rId7" Type="http://schemas.openxmlformats.org/officeDocument/2006/relationships/table" Target="../tables/table55.xml"/><Relationship Id="rId12" Type="http://schemas.openxmlformats.org/officeDocument/2006/relationships/table" Target="../tables/table60.xml"/><Relationship Id="rId2" Type="http://schemas.openxmlformats.org/officeDocument/2006/relationships/vmlDrawing" Target="../drawings/vmlDrawing2.vml"/><Relationship Id="rId1" Type="http://schemas.openxmlformats.org/officeDocument/2006/relationships/printerSettings" Target="../printerSettings/printerSettings6.bin"/><Relationship Id="rId6" Type="http://schemas.openxmlformats.org/officeDocument/2006/relationships/table" Target="../tables/table54.xml"/><Relationship Id="rId11" Type="http://schemas.openxmlformats.org/officeDocument/2006/relationships/table" Target="../tables/table59.xml"/><Relationship Id="rId5" Type="http://schemas.openxmlformats.org/officeDocument/2006/relationships/table" Target="../tables/table53.xml"/><Relationship Id="rId10" Type="http://schemas.openxmlformats.org/officeDocument/2006/relationships/table" Target="../tables/table58.xml"/><Relationship Id="rId4" Type="http://schemas.openxmlformats.org/officeDocument/2006/relationships/table" Target="../tables/table52.xml"/><Relationship Id="rId9" Type="http://schemas.openxmlformats.org/officeDocument/2006/relationships/table" Target="../tables/table57.xml"/><Relationship Id="rId14" Type="http://schemas.microsoft.com/office/2017/10/relationships/threadedComment" Target="../threadedComments/threadedComment2.xml"/></Relationships>
</file>

<file path=xl/worksheets/_rels/sheet7.xml.rels><?xml version="1.0" encoding="UTF-8" standalone="yes"?>
<Relationships xmlns="http://schemas.openxmlformats.org/package/2006/relationships"><Relationship Id="rId8" Type="http://schemas.openxmlformats.org/officeDocument/2006/relationships/table" Target="../tables/table67.xml"/><Relationship Id="rId3" Type="http://schemas.openxmlformats.org/officeDocument/2006/relationships/table" Target="../tables/table62.xml"/><Relationship Id="rId7" Type="http://schemas.openxmlformats.org/officeDocument/2006/relationships/table" Target="../tables/table66.xml"/><Relationship Id="rId2" Type="http://schemas.openxmlformats.org/officeDocument/2006/relationships/table" Target="../tables/table61.xml"/><Relationship Id="rId1" Type="http://schemas.openxmlformats.org/officeDocument/2006/relationships/printerSettings" Target="../printerSettings/printerSettings7.bin"/><Relationship Id="rId6" Type="http://schemas.openxmlformats.org/officeDocument/2006/relationships/table" Target="../tables/table65.xml"/><Relationship Id="rId11" Type="http://schemas.openxmlformats.org/officeDocument/2006/relationships/table" Target="../tables/table70.xml"/><Relationship Id="rId5" Type="http://schemas.openxmlformats.org/officeDocument/2006/relationships/table" Target="../tables/table64.xml"/><Relationship Id="rId10" Type="http://schemas.openxmlformats.org/officeDocument/2006/relationships/table" Target="../tables/table69.xml"/><Relationship Id="rId4" Type="http://schemas.openxmlformats.org/officeDocument/2006/relationships/table" Target="../tables/table63.xml"/><Relationship Id="rId9" Type="http://schemas.openxmlformats.org/officeDocument/2006/relationships/table" Target="../tables/table68.xml"/></Relationships>
</file>

<file path=xl/worksheets/_rels/sheet8.xml.rels><?xml version="1.0" encoding="UTF-8" standalone="yes"?>
<Relationships xmlns="http://schemas.openxmlformats.org/package/2006/relationships"><Relationship Id="rId8" Type="http://schemas.openxmlformats.org/officeDocument/2006/relationships/table" Target="../tables/table77.xml"/><Relationship Id="rId3" Type="http://schemas.openxmlformats.org/officeDocument/2006/relationships/table" Target="../tables/table72.xml"/><Relationship Id="rId7" Type="http://schemas.openxmlformats.org/officeDocument/2006/relationships/table" Target="../tables/table76.xml"/><Relationship Id="rId2" Type="http://schemas.openxmlformats.org/officeDocument/2006/relationships/table" Target="../tables/table71.xml"/><Relationship Id="rId1" Type="http://schemas.openxmlformats.org/officeDocument/2006/relationships/printerSettings" Target="../printerSettings/printerSettings8.bin"/><Relationship Id="rId6" Type="http://schemas.openxmlformats.org/officeDocument/2006/relationships/table" Target="../tables/table75.xml"/><Relationship Id="rId11" Type="http://schemas.openxmlformats.org/officeDocument/2006/relationships/table" Target="../tables/table80.xml"/><Relationship Id="rId5" Type="http://schemas.openxmlformats.org/officeDocument/2006/relationships/table" Target="../tables/table74.xml"/><Relationship Id="rId10" Type="http://schemas.openxmlformats.org/officeDocument/2006/relationships/table" Target="../tables/table79.xml"/><Relationship Id="rId4" Type="http://schemas.openxmlformats.org/officeDocument/2006/relationships/table" Target="../tables/table73.xml"/><Relationship Id="rId9" Type="http://schemas.openxmlformats.org/officeDocument/2006/relationships/table" Target="../tables/table78.xml"/></Relationships>
</file>

<file path=xl/worksheets/_rels/sheet9.xml.rels><?xml version="1.0" encoding="UTF-8" standalone="yes"?>
<Relationships xmlns="http://schemas.openxmlformats.org/package/2006/relationships"><Relationship Id="rId8" Type="http://schemas.openxmlformats.org/officeDocument/2006/relationships/table" Target="../tables/table87.xml"/><Relationship Id="rId3" Type="http://schemas.openxmlformats.org/officeDocument/2006/relationships/table" Target="../tables/table82.xml"/><Relationship Id="rId7" Type="http://schemas.openxmlformats.org/officeDocument/2006/relationships/table" Target="../tables/table86.xml"/><Relationship Id="rId2" Type="http://schemas.openxmlformats.org/officeDocument/2006/relationships/table" Target="../tables/table81.xml"/><Relationship Id="rId1" Type="http://schemas.openxmlformats.org/officeDocument/2006/relationships/printerSettings" Target="../printerSettings/printerSettings9.bin"/><Relationship Id="rId6" Type="http://schemas.openxmlformats.org/officeDocument/2006/relationships/table" Target="../tables/table85.xml"/><Relationship Id="rId11" Type="http://schemas.openxmlformats.org/officeDocument/2006/relationships/table" Target="../tables/table90.xml"/><Relationship Id="rId5" Type="http://schemas.openxmlformats.org/officeDocument/2006/relationships/table" Target="../tables/table84.xml"/><Relationship Id="rId10" Type="http://schemas.openxmlformats.org/officeDocument/2006/relationships/table" Target="../tables/table89.xml"/><Relationship Id="rId4" Type="http://schemas.openxmlformats.org/officeDocument/2006/relationships/table" Target="../tables/table83.xml"/><Relationship Id="rId9" Type="http://schemas.openxmlformats.org/officeDocument/2006/relationships/table" Target="../tables/table88.xml"/></Relationships>
</file>

<file path=xl/worksheets/_rels/sheet10.xml.rels><?xml version="1.0" encoding="UTF-8" standalone="yes"?>
<Relationships xmlns="http://schemas.openxmlformats.org/package/2006/relationships"><Relationship Id="rId8" Type="http://schemas.openxmlformats.org/officeDocument/2006/relationships/table" Target="../tables/table97.xml"/><Relationship Id="rId3" Type="http://schemas.openxmlformats.org/officeDocument/2006/relationships/table" Target="../tables/table92.xml"/><Relationship Id="rId7" Type="http://schemas.openxmlformats.org/officeDocument/2006/relationships/table" Target="../tables/table96.xml"/><Relationship Id="rId2" Type="http://schemas.openxmlformats.org/officeDocument/2006/relationships/table" Target="../tables/table91.xml"/><Relationship Id="rId1" Type="http://schemas.openxmlformats.org/officeDocument/2006/relationships/printerSettings" Target="../printerSettings/printerSettings10.bin"/><Relationship Id="rId6" Type="http://schemas.openxmlformats.org/officeDocument/2006/relationships/table" Target="../tables/table95.xml"/><Relationship Id="rId11" Type="http://schemas.openxmlformats.org/officeDocument/2006/relationships/table" Target="../tables/table100.xml"/><Relationship Id="rId5" Type="http://schemas.openxmlformats.org/officeDocument/2006/relationships/table" Target="../tables/table94.xml"/><Relationship Id="rId10" Type="http://schemas.openxmlformats.org/officeDocument/2006/relationships/table" Target="../tables/table99.xml"/><Relationship Id="rId4" Type="http://schemas.openxmlformats.org/officeDocument/2006/relationships/table" Target="../tables/table93.xml"/><Relationship Id="rId9" Type="http://schemas.openxmlformats.org/officeDocument/2006/relationships/table" Target="../tables/table98.xml"/></Relationships>
</file>

<file path=xl/worksheets/_rels/sheet11.xml.rels><?xml version="1.0" encoding="UTF-8" standalone="yes"?>
<Relationships xmlns="http://schemas.openxmlformats.org/package/2006/relationships"><Relationship Id="rId8" Type="http://schemas.openxmlformats.org/officeDocument/2006/relationships/table" Target="../tables/table107.xml"/><Relationship Id="rId3" Type="http://schemas.openxmlformats.org/officeDocument/2006/relationships/table" Target="../tables/table102.xml"/><Relationship Id="rId7" Type="http://schemas.openxmlformats.org/officeDocument/2006/relationships/table" Target="../tables/table106.xml"/><Relationship Id="rId2" Type="http://schemas.openxmlformats.org/officeDocument/2006/relationships/table" Target="../tables/table101.xml"/><Relationship Id="rId1" Type="http://schemas.openxmlformats.org/officeDocument/2006/relationships/printerSettings" Target="../printerSettings/printerSettings11.bin"/><Relationship Id="rId6" Type="http://schemas.openxmlformats.org/officeDocument/2006/relationships/table" Target="../tables/table105.xml"/><Relationship Id="rId11" Type="http://schemas.openxmlformats.org/officeDocument/2006/relationships/table" Target="../tables/table110.xml"/><Relationship Id="rId5" Type="http://schemas.openxmlformats.org/officeDocument/2006/relationships/table" Target="../tables/table104.xml"/><Relationship Id="rId10" Type="http://schemas.openxmlformats.org/officeDocument/2006/relationships/table" Target="../tables/table109.xml"/><Relationship Id="rId4" Type="http://schemas.openxmlformats.org/officeDocument/2006/relationships/table" Target="../tables/table103.xml"/><Relationship Id="rId9" Type="http://schemas.openxmlformats.org/officeDocument/2006/relationships/table" Target="../tables/table108.xml"/></Relationships>
</file>

<file path=xl/worksheets/_rels/sheet12.xml.rels><?xml version="1.0" encoding="UTF-8" standalone="yes"?>
<Relationships xmlns="http://schemas.openxmlformats.org/package/2006/relationships"><Relationship Id="rId8" Type="http://schemas.openxmlformats.org/officeDocument/2006/relationships/table" Target="../tables/table117.xml"/><Relationship Id="rId3" Type="http://schemas.openxmlformats.org/officeDocument/2006/relationships/table" Target="../tables/table112.xml"/><Relationship Id="rId7" Type="http://schemas.openxmlformats.org/officeDocument/2006/relationships/table" Target="../tables/table116.xml"/><Relationship Id="rId2" Type="http://schemas.openxmlformats.org/officeDocument/2006/relationships/table" Target="../tables/table111.xml"/><Relationship Id="rId1" Type="http://schemas.openxmlformats.org/officeDocument/2006/relationships/printerSettings" Target="../printerSettings/printerSettings12.bin"/><Relationship Id="rId6" Type="http://schemas.openxmlformats.org/officeDocument/2006/relationships/table" Target="../tables/table115.xml"/><Relationship Id="rId11" Type="http://schemas.openxmlformats.org/officeDocument/2006/relationships/table" Target="../tables/table120.xml"/><Relationship Id="rId5" Type="http://schemas.openxmlformats.org/officeDocument/2006/relationships/table" Target="../tables/table114.xml"/><Relationship Id="rId10" Type="http://schemas.openxmlformats.org/officeDocument/2006/relationships/table" Target="../tables/table119.xml"/><Relationship Id="rId4" Type="http://schemas.openxmlformats.org/officeDocument/2006/relationships/table" Target="../tables/table113.xml"/><Relationship Id="rId9" Type="http://schemas.openxmlformats.org/officeDocument/2006/relationships/table" Target="../tables/table118.xml"/></Relationships>
</file>

<file path=xl/worksheets/_rels/sheet13.xml.rels><?xml version="1.0" encoding="UTF-8" standalone="yes"?>
<Relationships xmlns="http://schemas.openxmlformats.org/package/2006/relationships"><Relationship Id="rId8" Type="http://schemas.openxmlformats.org/officeDocument/2006/relationships/table" Target="../tables/table126.xml"/><Relationship Id="rId13" Type="http://schemas.openxmlformats.org/officeDocument/2006/relationships/comments" Target="../comments3.xml"/><Relationship Id="rId3" Type="http://schemas.openxmlformats.org/officeDocument/2006/relationships/table" Target="../tables/table121.xml"/><Relationship Id="rId7" Type="http://schemas.openxmlformats.org/officeDocument/2006/relationships/table" Target="../tables/table125.xml"/><Relationship Id="rId12" Type="http://schemas.openxmlformats.org/officeDocument/2006/relationships/table" Target="../tables/table130.xml"/><Relationship Id="rId2" Type="http://schemas.openxmlformats.org/officeDocument/2006/relationships/vmlDrawing" Target="../drawings/vmlDrawing3.vml"/><Relationship Id="rId1" Type="http://schemas.openxmlformats.org/officeDocument/2006/relationships/printerSettings" Target="../printerSettings/printerSettings13.bin"/><Relationship Id="rId6" Type="http://schemas.openxmlformats.org/officeDocument/2006/relationships/table" Target="../tables/table124.xml"/><Relationship Id="rId11" Type="http://schemas.openxmlformats.org/officeDocument/2006/relationships/table" Target="../tables/table129.xml"/><Relationship Id="rId5" Type="http://schemas.openxmlformats.org/officeDocument/2006/relationships/table" Target="../tables/table123.xml"/><Relationship Id="rId10" Type="http://schemas.openxmlformats.org/officeDocument/2006/relationships/table" Target="../tables/table128.xml"/><Relationship Id="rId4" Type="http://schemas.openxmlformats.org/officeDocument/2006/relationships/table" Target="../tables/table122.xml"/><Relationship Id="rId9" Type="http://schemas.openxmlformats.org/officeDocument/2006/relationships/table" Target="../tables/table127.xml"/><Relationship Id="rId14" Type="http://schemas.microsoft.com/office/2017/10/relationships/threadedComment" Target="../threadedComments/threadedComment3.xml"/></Relationships>
</file>

<file path=xl/worksheets/_rels/sheet14.xml.rels><?xml version="1.0" encoding="UTF-8" standalone="yes"?>
<Relationships xmlns="http://schemas.openxmlformats.org/package/2006/relationships"><Relationship Id="rId8" Type="http://schemas.openxmlformats.org/officeDocument/2006/relationships/table" Target="../tables/table136.xml"/><Relationship Id="rId13" Type="http://schemas.openxmlformats.org/officeDocument/2006/relationships/comments" Target="../comments4.xml"/><Relationship Id="rId3" Type="http://schemas.openxmlformats.org/officeDocument/2006/relationships/table" Target="../tables/table131.xml"/><Relationship Id="rId7" Type="http://schemas.openxmlformats.org/officeDocument/2006/relationships/table" Target="../tables/table135.xml"/><Relationship Id="rId12" Type="http://schemas.openxmlformats.org/officeDocument/2006/relationships/table" Target="../tables/table140.xml"/><Relationship Id="rId2" Type="http://schemas.openxmlformats.org/officeDocument/2006/relationships/vmlDrawing" Target="../drawings/vmlDrawing4.vml"/><Relationship Id="rId1" Type="http://schemas.openxmlformats.org/officeDocument/2006/relationships/printerSettings" Target="../printerSettings/printerSettings14.bin"/><Relationship Id="rId6" Type="http://schemas.openxmlformats.org/officeDocument/2006/relationships/table" Target="../tables/table134.xml"/><Relationship Id="rId11" Type="http://schemas.openxmlformats.org/officeDocument/2006/relationships/table" Target="../tables/table139.xml"/><Relationship Id="rId5" Type="http://schemas.openxmlformats.org/officeDocument/2006/relationships/table" Target="../tables/table133.xml"/><Relationship Id="rId10" Type="http://schemas.openxmlformats.org/officeDocument/2006/relationships/table" Target="../tables/table138.xml"/><Relationship Id="rId4" Type="http://schemas.openxmlformats.org/officeDocument/2006/relationships/table" Target="../tables/table132.xml"/><Relationship Id="rId9" Type="http://schemas.openxmlformats.org/officeDocument/2006/relationships/table" Target="../tables/table137.xml"/><Relationship Id="rId14" Type="http://schemas.microsoft.com/office/2017/10/relationships/threadedComment" Target="../threadedComments/threadedComment4.xml"/></Relationships>
</file>

<file path=xl/worksheets/_rels/sheet15.xml.rels><?xml version="1.0" encoding="UTF-8" standalone="yes"?>
<Relationships xmlns="http://schemas.openxmlformats.org/package/2006/relationships"><Relationship Id="rId8" Type="http://schemas.openxmlformats.org/officeDocument/2006/relationships/table" Target="../tables/table147.xml"/><Relationship Id="rId3" Type="http://schemas.openxmlformats.org/officeDocument/2006/relationships/table" Target="../tables/table142.xml"/><Relationship Id="rId7" Type="http://schemas.openxmlformats.org/officeDocument/2006/relationships/table" Target="../tables/table146.xml"/><Relationship Id="rId2" Type="http://schemas.openxmlformats.org/officeDocument/2006/relationships/table" Target="../tables/table141.xml"/><Relationship Id="rId1" Type="http://schemas.openxmlformats.org/officeDocument/2006/relationships/printerSettings" Target="../printerSettings/printerSettings15.bin"/><Relationship Id="rId6" Type="http://schemas.openxmlformats.org/officeDocument/2006/relationships/table" Target="../tables/table145.xml"/><Relationship Id="rId11" Type="http://schemas.openxmlformats.org/officeDocument/2006/relationships/table" Target="../tables/table150.xml"/><Relationship Id="rId5" Type="http://schemas.openxmlformats.org/officeDocument/2006/relationships/table" Target="../tables/table144.xml"/><Relationship Id="rId10" Type="http://schemas.openxmlformats.org/officeDocument/2006/relationships/table" Target="../tables/table149.xml"/><Relationship Id="rId4" Type="http://schemas.openxmlformats.org/officeDocument/2006/relationships/table" Target="../tables/table143.xml"/><Relationship Id="rId9" Type="http://schemas.openxmlformats.org/officeDocument/2006/relationships/table" Target="../tables/table148.xml"/></Relationships>
</file>

<file path=xl/worksheets/_rels/sheet16.xml.rels><?xml version="1.0" encoding="UTF-8" standalone="yes"?>
<Relationships xmlns="http://schemas.openxmlformats.org/package/2006/relationships"><Relationship Id="rId8" Type="http://schemas.openxmlformats.org/officeDocument/2006/relationships/table" Target="../tables/table157.xml"/><Relationship Id="rId3" Type="http://schemas.openxmlformats.org/officeDocument/2006/relationships/table" Target="../tables/table152.xml"/><Relationship Id="rId7" Type="http://schemas.openxmlformats.org/officeDocument/2006/relationships/table" Target="../tables/table156.xml"/><Relationship Id="rId2" Type="http://schemas.openxmlformats.org/officeDocument/2006/relationships/table" Target="../tables/table151.xml"/><Relationship Id="rId1" Type="http://schemas.openxmlformats.org/officeDocument/2006/relationships/printerSettings" Target="../printerSettings/printerSettings16.bin"/><Relationship Id="rId6" Type="http://schemas.openxmlformats.org/officeDocument/2006/relationships/table" Target="../tables/table155.xml"/><Relationship Id="rId11" Type="http://schemas.openxmlformats.org/officeDocument/2006/relationships/table" Target="../tables/table160.xml"/><Relationship Id="rId5" Type="http://schemas.openxmlformats.org/officeDocument/2006/relationships/table" Target="../tables/table154.xml"/><Relationship Id="rId10" Type="http://schemas.openxmlformats.org/officeDocument/2006/relationships/table" Target="../tables/table159.xml"/><Relationship Id="rId4" Type="http://schemas.openxmlformats.org/officeDocument/2006/relationships/table" Target="../tables/table153.xml"/><Relationship Id="rId9" Type="http://schemas.openxmlformats.org/officeDocument/2006/relationships/table" Target="../tables/table158.xml"/></Relationships>
</file>

<file path=xl/worksheets/_rels/sheet17.xml.rels><?xml version="1.0" encoding="UTF-8" standalone="yes"?>
<Relationships xmlns="http://schemas.openxmlformats.org/package/2006/relationships"><Relationship Id="rId8" Type="http://schemas.openxmlformats.org/officeDocument/2006/relationships/table" Target="../tables/table167.xml"/><Relationship Id="rId3" Type="http://schemas.openxmlformats.org/officeDocument/2006/relationships/table" Target="../tables/table162.xml"/><Relationship Id="rId7" Type="http://schemas.openxmlformats.org/officeDocument/2006/relationships/table" Target="../tables/table166.xml"/><Relationship Id="rId2" Type="http://schemas.openxmlformats.org/officeDocument/2006/relationships/table" Target="../tables/table161.xml"/><Relationship Id="rId1" Type="http://schemas.openxmlformats.org/officeDocument/2006/relationships/printerSettings" Target="../printerSettings/printerSettings17.bin"/><Relationship Id="rId6" Type="http://schemas.openxmlformats.org/officeDocument/2006/relationships/table" Target="../tables/table165.xml"/><Relationship Id="rId11" Type="http://schemas.openxmlformats.org/officeDocument/2006/relationships/table" Target="../tables/table170.xml"/><Relationship Id="rId5" Type="http://schemas.openxmlformats.org/officeDocument/2006/relationships/table" Target="../tables/table164.xml"/><Relationship Id="rId10" Type="http://schemas.openxmlformats.org/officeDocument/2006/relationships/table" Target="../tables/table169.xml"/><Relationship Id="rId4" Type="http://schemas.openxmlformats.org/officeDocument/2006/relationships/table" Target="../tables/table163.xml"/><Relationship Id="rId9" Type="http://schemas.openxmlformats.org/officeDocument/2006/relationships/table" Target="../tables/table168.xml"/></Relationships>
</file>

<file path=xl/worksheets/_rels/sheet18.xml.rels><?xml version="1.0" encoding="UTF-8" standalone="yes"?>
<Relationships xmlns="http://schemas.openxmlformats.org/package/2006/relationships"><Relationship Id="rId8" Type="http://schemas.openxmlformats.org/officeDocument/2006/relationships/table" Target="../tables/table177.xml"/><Relationship Id="rId3" Type="http://schemas.openxmlformats.org/officeDocument/2006/relationships/table" Target="../tables/table172.xml"/><Relationship Id="rId7" Type="http://schemas.openxmlformats.org/officeDocument/2006/relationships/table" Target="../tables/table176.xml"/><Relationship Id="rId2" Type="http://schemas.openxmlformats.org/officeDocument/2006/relationships/table" Target="../tables/table171.xml"/><Relationship Id="rId1" Type="http://schemas.openxmlformats.org/officeDocument/2006/relationships/printerSettings" Target="../printerSettings/printerSettings18.bin"/><Relationship Id="rId6" Type="http://schemas.openxmlformats.org/officeDocument/2006/relationships/table" Target="../tables/table175.xml"/><Relationship Id="rId11" Type="http://schemas.openxmlformats.org/officeDocument/2006/relationships/table" Target="../tables/table180.xml"/><Relationship Id="rId5" Type="http://schemas.openxmlformats.org/officeDocument/2006/relationships/table" Target="../tables/table174.xml"/><Relationship Id="rId10" Type="http://schemas.openxmlformats.org/officeDocument/2006/relationships/table" Target="../tables/table179.xml"/><Relationship Id="rId4" Type="http://schemas.openxmlformats.org/officeDocument/2006/relationships/table" Target="../tables/table173.xml"/><Relationship Id="rId9" Type="http://schemas.openxmlformats.org/officeDocument/2006/relationships/table" Target="../tables/table178.xml"/></Relationships>
</file>

<file path=xl/worksheets/_rels/sheet19.xml.rels><?xml version="1.0" encoding="UTF-8" standalone="yes"?>
<Relationships xmlns="http://schemas.openxmlformats.org/package/2006/relationships"><Relationship Id="rId8" Type="http://schemas.openxmlformats.org/officeDocument/2006/relationships/table" Target="../tables/table187.xml"/><Relationship Id="rId3" Type="http://schemas.openxmlformats.org/officeDocument/2006/relationships/table" Target="../tables/table182.xml"/><Relationship Id="rId7" Type="http://schemas.openxmlformats.org/officeDocument/2006/relationships/table" Target="../tables/table186.xml"/><Relationship Id="rId2" Type="http://schemas.openxmlformats.org/officeDocument/2006/relationships/table" Target="../tables/table181.xml"/><Relationship Id="rId1" Type="http://schemas.openxmlformats.org/officeDocument/2006/relationships/printerSettings" Target="../printerSettings/printerSettings19.bin"/><Relationship Id="rId6" Type="http://schemas.openxmlformats.org/officeDocument/2006/relationships/table" Target="../tables/table185.xml"/><Relationship Id="rId11" Type="http://schemas.openxmlformats.org/officeDocument/2006/relationships/table" Target="../tables/table190.xml"/><Relationship Id="rId5" Type="http://schemas.openxmlformats.org/officeDocument/2006/relationships/table" Target="../tables/table184.xml"/><Relationship Id="rId10" Type="http://schemas.openxmlformats.org/officeDocument/2006/relationships/table" Target="../tables/table189.xml"/><Relationship Id="rId4" Type="http://schemas.openxmlformats.org/officeDocument/2006/relationships/table" Target="../tables/table183.xml"/><Relationship Id="rId9" Type="http://schemas.openxmlformats.org/officeDocument/2006/relationships/table" Target="../tables/table188.xml"/></Relationships>
</file>

<file path=xl/worksheets/_rels/sheet20.xml.rels><?xml version="1.0" encoding="UTF-8" standalone="yes"?>
<Relationships xmlns="http://schemas.openxmlformats.org/package/2006/relationships"><Relationship Id="rId8" Type="http://schemas.openxmlformats.org/officeDocument/2006/relationships/table" Target="../tables/table197.xml"/><Relationship Id="rId3" Type="http://schemas.openxmlformats.org/officeDocument/2006/relationships/table" Target="../tables/table192.xml"/><Relationship Id="rId7" Type="http://schemas.openxmlformats.org/officeDocument/2006/relationships/table" Target="../tables/table196.xml"/><Relationship Id="rId2" Type="http://schemas.openxmlformats.org/officeDocument/2006/relationships/table" Target="../tables/table191.xml"/><Relationship Id="rId1" Type="http://schemas.openxmlformats.org/officeDocument/2006/relationships/printerSettings" Target="../printerSettings/printerSettings20.bin"/><Relationship Id="rId6" Type="http://schemas.openxmlformats.org/officeDocument/2006/relationships/table" Target="../tables/table195.xml"/><Relationship Id="rId11" Type="http://schemas.openxmlformats.org/officeDocument/2006/relationships/table" Target="../tables/table200.xml"/><Relationship Id="rId5" Type="http://schemas.openxmlformats.org/officeDocument/2006/relationships/table" Target="../tables/table194.xml"/><Relationship Id="rId10" Type="http://schemas.openxmlformats.org/officeDocument/2006/relationships/table" Target="../tables/table199.xml"/><Relationship Id="rId4" Type="http://schemas.openxmlformats.org/officeDocument/2006/relationships/table" Target="../tables/table193.xml"/><Relationship Id="rId9" Type="http://schemas.openxmlformats.org/officeDocument/2006/relationships/table" Target="../tables/table198.xml"/></Relationships>
</file>

<file path=xl/worksheets/_rels/sheet21.xml.rels><?xml version="1.0" encoding="UTF-8" standalone="yes"?>
<Relationships xmlns="http://schemas.openxmlformats.org/package/2006/relationships"><Relationship Id="rId8" Type="http://schemas.openxmlformats.org/officeDocument/2006/relationships/table" Target="../tables/table207.xml"/><Relationship Id="rId3" Type="http://schemas.openxmlformats.org/officeDocument/2006/relationships/table" Target="../tables/table202.xml"/><Relationship Id="rId7" Type="http://schemas.openxmlformats.org/officeDocument/2006/relationships/table" Target="../tables/table206.xml"/><Relationship Id="rId2" Type="http://schemas.openxmlformats.org/officeDocument/2006/relationships/table" Target="../tables/table201.xml"/><Relationship Id="rId1" Type="http://schemas.openxmlformats.org/officeDocument/2006/relationships/printerSettings" Target="../printerSettings/printerSettings21.bin"/><Relationship Id="rId6" Type="http://schemas.openxmlformats.org/officeDocument/2006/relationships/table" Target="../tables/table205.xml"/><Relationship Id="rId11" Type="http://schemas.openxmlformats.org/officeDocument/2006/relationships/table" Target="../tables/table210.xml"/><Relationship Id="rId5" Type="http://schemas.openxmlformats.org/officeDocument/2006/relationships/table" Target="../tables/table204.xml"/><Relationship Id="rId10" Type="http://schemas.openxmlformats.org/officeDocument/2006/relationships/table" Target="../tables/table209.xml"/><Relationship Id="rId4" Type="http://schemas.openxmlformats.org/officeDocument/2006/relationships/table" Target="../tables/table203.xml"/><Relationship Id="rId9" Type="http://schemas.openxmlformats.org/officeDocument/2006/relationships/table" Target="../tables/table208.xml"/></Relationships>
</file>

<file path=xl/worksheets/_rels/sheet22.xml.rels><?xml version="1.0" encoding="UTF-8" standalone="yes"?>
<Relationships xmlns="http://schemas.openxmlformats.org/package/2006/relationships"><Relationship Id="rId8" Type="http://schemas.openxmlformats.org/officeDocument/2006/relationships/table" Target="../tables/table217.xml"/><Relationship Id="rId3" Type="http://schemas.openxmlformats.org/officeDocument/2006/relationships/table" Target="../tables/table212.xml"/><Relationship Id="rId7" Type="http://schemas.openxmlformats.org/officeDocument/2006/relationships/table" Target="../tables/table216.xml"/><Relationship Id="rId2" Type="http://schemas.openxmlformats.org/officeDocument/2006/relationships/table" Target="../tables/table211.xml"/><Relationship Id="rId1" Type="http://schemas.openxmlformats.org/officeDocument/2006/relationships/printerSettings" Target="../printerSettings/printerSettings22.bin"/><Relationship Id="rId6" Type="http://schemas.openxmlformats.org/officeDocument/2006/relationships/table" Target="../tables/table215.xml"/><Relationship Id="rId11" Type="http://schemas.openxmlformats.org/officeDocument/2006/relationships/table" Target="../tables/table220.xml"/><Relationship Id="rId5" Type="http://schemas.openxmlformats.org/officeDocument/2006/relationships/table" Target="../tables/table214.xml"/><Relationship Id="rId10" Type="http://schemas.openxmlformats.org/officeDocument/2006/relationships/table" Target="../tables/table219.xml"/><Relationship Id="rId4" Type="http://schemas.openxmlformats.org/officeDocument/2006/relationships/table" Target="../tables/table213.xml"/><Relationship Id="rId9" Type="http://schemas.openxmlformats.org/officeDocument/2006/relationships/table" Target="../tables/table218.xml"/></Relationships>
</file>

<file path=xl/worksheets/_rels/sheet23.xml.rels><?xml version="1.0" encoding="UTF-8" standalone="yes"?>
<Relationships xmlns="http://schemas.openxmlformats.org/package/2006/relationships"><Relationship Id="rId8" Type="http://schemas.openxmlformats.org/officeDocument/2006/relationships/table" Target="../tables/table227.xml"/><Relationship Id="rId3" Type="http://schemas.openxmlformats.org/officeDocument/2006/relationships/table" Target="../tables/table222.xml"/><Relationship Id="rId7" Type="http://schemas.openxmlformats.org/officeDocument/2006/relationships/table" Target="../tables/table226.xml"/><Relationship Id="rId2" Type="http://schemas.openxmlformats.org/officeDocument/2006/relationships/table" Target="../tables/table221.xml"/><Relationship Id="rId1" Type="http://schemas.openxmlformats.org/officeDocument/2006/relationships/printerSettings" Target="../printerSettings/printerSettings23.bin"/><Relationship Id="rId6" Type="http://schemas.openxmlformats.org/officeDocument/2006/relationships/table" Target="../tables/table225.xml"/><Relationship Id="rId11" Type="http://schemas.openxmlformats.org/officeDocument/2006/relationships/table" Target="../tables/table230.xml"/><Relationship Id="rId5" Type="http://schemas.openxmlformats.org/officeDocument/2006/relationships/table" Target="../tables/table224.xml"/><Relationship Id="rId10" Type="http://schemas.openxmlformats.org/officeDocument/2006/relationships/table" Target="../tables/table229.xml"/><Relationship Id="rId4" Type="http://schemas.openxmlformats.org/officeDocument/2006/relationships/table" Target="../tables/table223.xml"/><Relationship Id="rId9" Type="http://schemas.openxmlformats.org/officeDocument/2006/relationships/table" Target="../tables/table228.xml"/></Relationships>
</file>

<file path=xl/worksheets/_rels/sheet24.xml.rels><?xml version="1.0" encoding="UTF-8" standalone="yes"?>
<Relationships xmlns="http://schemas.openxmlformats.org/package/2006/relationships"><Relationship Id="rId8" Type="http://schemas.openxmlformats.org/officeDocument/2006/relationships/table" Target="../tables/table237.xml"/><Relationship Id="rId3" Type="http://schemas.openxmlformats.org/officeDocument/2006/relationships/table" Target="../tables/table232.xml"/><Relationship Id="rId7" Type="http://schemas.openxmlformats.org/officeDocument/2006/relationships/table" Target="../tables/table236.xml"/><Relationship Id="rId2" Type="http://schemas.openxmlformats.org/officeDocument/2006/relationships/table" Target="../tables/table231.xml"/><Relationship Id="rId1" Type="http://schemas.openxmlformats.org/officeDocument/2006/relationships/printerSettings" Target="../printerSettings/printerSettings24.bin"/><Relationship Id="rId6" Type="http://schemas.openxmlformats.org/officeDocument/2006/relationships/table" Target="../tables/table235.xml"/><Relationship Id="rId11" Type="http://schemas.openxmlformats.org/officeDocument/2006/relationships/table" Target="../tables/table240.xml"/><Relationship Id="rId5" Type="http://schemas.openxmlformats.org/officeDocument/2006/relationships/table" Target="../tables/table234.xml"/><Relationship Id="rId10" Type="http://schemas.openxmlformats.org/officeDocument/2006/relationships/table" Target="../tables/table239.xml"/><Relationship Id="rId4" Type="http://schemas.openxmlformats.org/officeDocument/2006/relationships/table" Target="../tables/table233.xml"/><Relationship Id="rId9" Type="http://schemas.openxmlformats.org/officeDocument/2006/relationships/table" Target="../tables/table238.xml"/></Relationships>
</file>

<file path=xl/worksheets/_rels/sheet25.xml.rels><?xml version="1.0" encoding="UTF-8" standalone="yes"?>
<Relationships xmlns="http://schemas.openxmlformats.org/package/2006/relationships"><Relationship Id="rId8" Type="http://schemas.openxmlformats.org/officeDocument/2006/relationships/table" Target="../tables/table247.xml"/><Relationship Id="rId3" Type="http://schemas.openxmlformats.org/officeDocument/2006/relationships/table" Target="../tables/table242.xml"/><Relationship Id="rId7" Type="http://schemas.openxmlformats.org/officeDocument/2006/relationships/table" Target="../tables/table246.xml"/><Relationship Id="rId2" Type="http://schemas.openxmlformats.org/officeDocument/2006/relationships/table" Target="../tables/table241.xml"/><Relationship Id="rId1" Type="http://schemas.openxmlformats.org/officeDocument/2006/relationships/printerSettings" Target="../printerSettings/printerSettings25.bin"/><Relationship Id="rId6" Type="http://schemas.openxmlformats.org/officeDocument/2006/relationships/table" Target="../tables/table245.xml"/><Relationship Id="rId11" Type="http://schemas.openxmlformats.org/officeDocument/2006/relationships/table" Target="../tables/table250.xml"/><Relationship Id="rId5" Type="http://schemas.openxmlformats.org/officeDocument/2006/relationships/table" Target="../tables/table244.xml"/><Relationship Id="rId10" Type="http://schemas.openxmlformats.org/officeDocument/2006/relationships/table" Target="../tables/table249.xml"/><Relationship Id="rId4" Type="http://schemas.openxmlformats.org/officeDocument/2006/relationships/table" Target="../tables/table243.xml"/><Relationship Id="rId9" Type="http://schemas.openxmlformats.org/officeDocument/2006/relationships/table" Target="../tables/table248.xml"/></Relationships>
</file>

<file path=xl/worksheets/_rels/sheet26.xml.rels><?xml version="1.0" encoding="UTF-8" standalone="yes"?>
<Relationships xmlns="http://schemas.openxmlformats.org/package/2006/relationships"><Relationship Id="rId8" Type="http://schemas.openxmlformats.org/officeDocument/2006/relationships/table" Target="../tables/table257.xml"/><Relationship Id="rId3" Type="http://schemas.openxmlformats.org/officeDocument/2006/relationships/table" Target="../tables/table252.xml"/><Relationship Id="rId7" Type="http://schemas.openxmlformats.org/officeDocument/2006/relationships/table" Target="../tables/table256.xml"/><Relationship Id="rId2" Type="http://schemas.openxmlformats.org/officeDocument/2006/relationships/table" Target="../tables/table251.xml"/><Relationship Id="rId1" Type="http://schemas.openxmlformats.org/officeDocument/2006/relationships/printerSettings" Target="../printerSettings/printerSettings26.bin"/><Relationship Id="rId6" Type="http://schemas.openxmlformats.org/officeDocument/2006/relationships/table" Target="../tables/table255.xml"/><Relationship Id="rId11" Type="http://schemas.openxmlformats.org/officeDocument/2006/relationships/table" Target="../tables/table260.xml"/><Relationship Id="rId5" Type="http://schemas.openxmlformats.org/officeDocument/2006/relationships/table" Target="../tables/table254.xml"/><Relationship Id="rId10" Type="http://schemas.openxmlformats.org/officeDocument/2006/relationships/table" Target="../tables/table259.xml"/><Relationship Id="rId4" Type="http://schemas.openxmlformats.org/officeDocument/2006/relationships/table" Target="../tables/table253.xml"/><Relationship Id="rId9" Type="http://schemas.openxmlformats.org/officeDocument/2006/relationships/table" Target="../tables/table258.xml"/></Relationships>
</file>

<file path=xl/worksheets/_rels/sheet27.xml.rels><?xml version="1.0" encoding="UTF-8" standalone="yes"?>
<Relationships xmlns="http://schemas.openxmlformats.org/package/2006/relationships"><Relationship Id="rId2" Type="http://schemas.openxmlformats.org/officeDocument/2006/relationships/table" Target="../tables/table262.xml"/><Relationship Id="rId1" Type="http://schemas.openxmlformats.org/officeDocument/2006/relationships/table" Target="../tables/table261.xml"/></Relationships>
</file>

<file path=xl/worksheets/_rels/sheet28.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263.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264.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265.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266.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267.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268.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269.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270.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27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5B45A9-AC63-4333-865C-D4B13C7A4426}">
  <sheetPr codeName="Sheet1"/>
  <dimension ref="B2:H94"/>
  <sheetViews>
    <sheetView showGridLines="0" topLeftCell="B1" zoomScale="85" zoomScaleNormal="85" workbookViewId="0">
      <selection activeCell="F54" sqref="F54"/>
    </sheetView>
  </sheetViews>
  <sheetFormatPr defaultColWidth="8.85546875" defaultRowHeight="1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c r="C2" s="9" t="str">
        <f>D7</f>
        <v>SEM401</v>
      </c>
      <c r="D2" s="9" t="str">
        <f>D8</f>
        <v>Module Title</v>
      </c>
    </row>
    <row r="3" spans="2:6">
      <c r="B3" s="1"/>
      <c r="C3" s="1"/>
    </row>
    <row r="4" spans="2:6">
      <c r="B4" s="2"/>
      <c r="C4" s="2"/>
    </row>
    <row r="5" spans="2:6" ht="18.75">
      <c r="B5" s="2"/>
      <c r="C5" s="5" t="s">
        <v>0</v>
      </c>
    </row>
    <row r="6" spans="2:6">
      <c r="B6" s="2"/>
      <c r="C6" s="3" t="s">
        <v>1</v>
      </c>
      <c r="D6" s="4" t="s">
        <v>2</v>
      </c>
      <c r="E6" s="4"/>
      <c r="F6" t="s">
        <v>3</v>
      </c>
    </row>
    <row r="7" spans="2:6">
      <c r="B7" s="2"/>
      <c r="C7" s="3" t="s">
        <v>4</v>
      </c>
      <c r="D7" s="10" t="s">
        <v>5</v>
      </c>
      <c r="E7" s="4"/>
      <c r="F7" s="13"/>
    </row>
    <row r="8" spans="2:6">
      <c r="B8" s="2"/>
      <c r="C8" s="3" t="s">
        <v>6</v>
      </c>
      <c r="D8" s="10" t="s">
        <v>6</v>
      </c>
      <c r="E8" s="4"/>
      <c r="F8" s="13"/>
    </row>
    <row r="9" spans="2:6">
      <c r="C9" s="3" t="s">
        <v>7</v>
      </c>
      <c r="D9" s="10"/>
      <c r="E9" s="4"/>
    </row>
    <row r="10" spans="2:6">
      <c r="C10" s="3" t="s">
        <v>8</v>
      </c>
      <c r="D10" s="10"/>
      <c r="E10" s="4"/>
      <c r="F10" t="s">
        <v>9</v>
      </c>
    </row>
    <row r="11" spans="2:6">
      <c r="C11" s="3" t="s">
        <v>10</v>
      </c>
      <c r="D11" s="10"/>
      <c r="E11" s="4"/>
      <c r="F11" s="13"/>
    </row>
    <row r="12" spans="2:6">
      <c r="C12" s="3" t="s">
        <v>11</v>
      </c>
      <c r="D12" s="10"/>
      <c r="E12" s="4"/>
      <c r="F12" s="13"/>
    </row>
    <row r="13" spans="2:6">
      <c r="C13" s="3" t="s">
        <v>12</v>
      </c>
      <c r="D13" s="10"/>
      <c r="E13" s="4"/>
      <c r="F13" s="13"/>
    </row>
    <row r="14" spans="2:6">
      <c r="C14" s="3" t="s">
        <v>13</v>
      </c>
      <c r="D14" s="10"/>
      <c r="E14" s="4"/>
    </row>
    <row r="15" spans="2:6">
      <c r="C15" s="3"/>
      <c r="D15" s="4"/>
      <c r="E15" s="4"/>
      <c r="F15" t="s">
        <v>14</v>
      </c>
    </row>
    <row r="16" spans="2:6">
      <c r="C16" s="3"/>
      <c r="D16" s="4"/>
      <c r="E16" s="4"/>
      <c r="F16" s="13"/>
    </row>
    <row r="17" spans="3:6" ht="18.75">
      <c r="C17" s="5" t="s">
        <v>15</v>
      </c>
      <c r="D17" s="4"/>
      <c r="E17" s="4"/>
      <c r="F17" s="13"/>
    </row>
    <row r="18" spans="3:6">
      <c r="C18" s="3" t="s">
        <v>16</v>
      </c>
      <c r="D18" s="1" t="s">
        <v>15</v>
      </c>
      <c r="E18" s="4"/>
      <c r="F18" s="13"/>
    </row>
    <row r="19" spans="3:6">
      <c r="C19" s="3" t="s">
        <v>17</v>
      </c>
      <c r="D19" s="11"/>
      <c r="E19" s="4"/>
      <c r="F19" s="13"/>
    </row>
    <row r="20" spans="3:6">
      <c r="C20" s="3" t="s">
        <v>18</v>
      </c>
      <c r="D20" s="11"/>
      <c r="E20" s="4"/>
      <c r="F20" s="13"/>
    </row>
    <row r="21" spans="3:6">
      <c r="C21" s="3" t="s">
        <v>19</v>
      </c>
      <c r="D21" s="11"/>
      <c r="E21" s="4"/>
    </row>
    <row r="22" spans="3:6">
      <c r="C22" s="3" t="s">
        <v>20</v>
      </c>
      <c r="D22" s="11"/>
      <c r="E22" s="4"/>
      <c r="F22" t="s">
        <v>21</v>
      </c>
    </row>
    <row r="23" spans="3:6">
      <c r="C23" s="3" t="s">
        <v>22</v>
      </c>
      <c r="D23" s="11"/>
      <c r="E23" s="4"/>
      <c r="F23" s="13"/>
    </row>
    <row r="24" spans="3:6">
      <c r="C24" s="3" t="s">
        <v>23</v>
      </c>
      <c r="D24" s="1">
        <f>SUM(D19:D23)</f>
        <v>0</v>
      </c>
      <c r="E24" s="4"/>
      <c r="F24" s="13"/>
    </row>
    <row r="25" spans="3:6">
      <c r="F25" s="13"/>
    </row>
    <row r="26" spans="3:6">
      <c r="F26" s="13"/>
    </row>
    <row r="27" spans="3:6" ht="18.75">
      <c r="C27" s="5" t="s">
        <v>24</v>
      </c>
      <c r="D27" s="8" t="s">
        <v>25</v>
      </c>
      <c r="F27" s="13"/>
    </row>
    <row r="28" spans="3:6">
      <c r="C28" s="3" t="s">
        <v>26</v>
      </c>
      <c r="D28" s="3" t="s">
        <v>27</v>
      </c>
      <c r="E28" s="3"/>
      <c r="F28" s="13"/>
    </row>
    <row r="29" spans="3:6">
      <c r="C29" s="3" t="s">
        <v>28</v>
      </c>
      <c r="D29" s="10"/>
      <c r="E29" s="4"/>
      <c r="F29" s="13"/>
    </row>
    <row r="30" spans="3:6">
      <c r="C30" s="3" t="s">
        <v>29</v>
      </c>
      <c r="D30" s="10"/>
      <c r="E30" s="4"/>
      <c r="F30" s="13"/>
    </row>
    <row r="31" spans="3:6">
      <c r="C31" s="3" t="s">
        <v>30</v>
      </c>
      <c r="D31" s="10"/>
      <c r="E31" s="4"/>
      <c r="F31" s="13"/>
    </row>
    <row r="32" spans="3:6">
      <c r="C32" s="3" t="s">
        <v>31</v>
      </c>
      <c r="D32" s="10"/>
      <c r="E32" s="4"/>
      <c r="F32" s="13"/>
    </row>
    <row r="33" spans="3:8">
      <c r="C33" s="3" t="s">
        <v>32</v>
      </c>
      <c r="D33" s="10"/>
      <c r="E33" s="4"/>
      <c r="F33" s="13"/>
    </row>
    <row r="36" spans="3:8" ht="18.75">
      <c r="C36" s="5" t="s">
        <v>33</v>
      </c>
    </row>
    <row r="37" spans="3:8">
      <c r="C37" s="3" t="s">
        <v>34</v>
      </c>
      <c r="D37" s="3" t="s">
        <v>35</v>
      </c>
      <c r="E37" s="3" t="s">
        <v>36</v>
      </c>
      <c r="F37" s="3" t="s">
        <v>37</v>
      </c>
      <c r="G37" s="3" t="s">
        <v>38</v>
      </c>
      <c r="H37" s="3" t="s">
        <v>39</v>
      </c>
    </row>
    <row r="38" spans="3:8">
      <c r="C38" s="3" t="s">
        <v>40</v>
      </c>
      <c r="D38" s="10" t="s">
        <v>41</v>
      </c>
      <c r="E38" s="10" t="s">
        <v>42</v>
      </c>
      <c r="F38" s="10" t="s">
        <v>43</v>
      </c>
      <c r="G38" s="12">
        <v>0.5</v>
      </c>
      <c r="H38" s="10">
        <v>6</v>
      </c>
    </row>
    <row r="39" spans="3:8">
      <c r="C39" s="3" t="s">
        <v>44</v>
      </c>
      <c r="D39" s="10"/>
      <c r="E39" s="10"/>
      <c r="F39" s="10"/>
      <c r="G39" s="12">
        <v>0.5</v>
      </c>
      <c r="H39" s="10">
        <v>12</v>
      </c>
    </row>
    <row r="40" spans="3:8">
      <c r="C40" s="3" t="s">
        <v>45</v>
      </c>
      <c r="D40" s="13"/>
      <c r="E40" s="13"/>
      <c r="F40" s="13"/>
      <c r="G40" s="13"/>
      <c r="H40" s="13"/>
    </row>
    <row r="41" spans="3:8">
      <c r="C41" s="3" t="s">
        <v>46</v>
      </c>
      <c r="D41" s="13"/>
      <c r="E41" s="13"/>
      <c r="F41" s="13"/>
      <c r="G41" s="13"/>
      <c r="H41" s="13"/>
    </row>
    <row r="42" spans="3:8">
      <c r="C42" s="3"/>
    </row>
    <row r="44" spans="3:8" ht="18.75">
      <c r="C44" s="5" t="s">
        <v>47</v>
      </c>
      <c r="D44" s="8"/>
    </row>
    <row r="45" spans="3:8">
      <c r="C45" s="1" t="s">
        <v>34</v>
      </c>
      <c r="D45" s="1" t="s">
        <v>26</v>
      </c>
      <c r="E45" s="1" t="s">
        <v>48</v>
      </c>
      <c r="F45" s="1" t="s">
        <v>49</v>
      </c>
    </row>
    <row r="46" spans="3:8">
      <c r="C46" s="14" t="s">
        <v>40</v>
      </c>
      <c r="D46" s="13" t="s">
        <v>28</v>
      </c>
      <c r="E46" s="13" t="s">
        <v>50</v>
      </c>
      <c r="F46" s="13" t="s">
        <v>51</v>
      </c>
    </row>
    <row r="47" spans="3:8">
      <c r="C47" s="14" t="s">
        <v>40</v>
      </c>
      <c r="D47" s="13" t="s">
        <v>28</v>
      </c>
      <c r="E47" s="13" t="s">
        <v>50</v>
      </c>
      <c r="F47" s="13" t="s">
        <v>52</v>
      </c>
    </row>
    <row r="48" spans="3:8">
      <c r="C48" s="14" t="s">
        <v>40</v>
      </c>
      <c r="D48" s="13" t="s">
        <v>28</v>
      </c>
      <c r="E48" s="13" t="s">
        <v>53</v>
      </c>
      <c r="F48" s="13" t="s">
        <v>54</v>
      </c>
    </row>
    <row r="49" spans="3:6">
      <c r="C49" s="14" t="s">
        <v>44</v>
      </c>
      <c r="D49" s="13" t="s">
        <v>29</v>
      </c>
      <c r="E49" s="13" t="s">
        <v>55</v>
      </c>
      <c r="F49" s="13" t="s">
        <v>56</v>
      </c>
    </row>
    <row r="50" spans="3:6">
      <c r="C50" s="14" t="s">
        <v>44</v>
      </c>
      <c r="D50" s="13" t="s">
        <v>29</v>
      </c>
      <c r="E50" s="13" t="s">
        <v>57</v>
      </c>
      <c r="F50" s="13" t="s">
        <v>58</v>
      </c>
    </row>
    <row r="51" spans="3:6">
      <c r="C51" s="14" t="s">
        <v>44</v>
      </c>
      <c r="D51" s="13"/>
      <c r="E51" s="13"/>
      <c r="F51" s="13"/>
    </row>
    <row r="52" spans="3:6">
      <c r="C52" s="14" t="s">
        <v>45</v>
      </c>
      <c r="D52" s="13"/>
      <c r="E52" s="13"/>
      <c r="F52" s="13"/>
    </row>
    <row r="53" spans="3:6">
      <c r="C53" s="14" t="s">
        <v>45</v>
      </c>
      <c r="D53" s="13"/>
      <c r="E53" s="13"/>
      <c r="F53" s="13"/>
    </row>
    <row r="54" spans="3:6">
      <c r="C54" s="14" t="s">
        <v>45</v>
      </c>
      <c r="D54" s="13"/>
      <c r="E54" s="13"/>
      <c r="F54" s="13"/>
    </row>
    <row r="55" spans="3:6">
      <c r="C55" s="14" t="s">
        <v>46</v>
      </c>
      <c r="D55" s="13"/>
      <c r="E55" s="13"/>
      <c r="F55" s="13"/>
    </row>
    <row r="56" spans="3:6">
      <c r="C56" s="14" t="s">
        <v>46</v>
      </c>
      <c r="D56" s="13"/>
      <c r="E56" s="13"/>
      <c r="F56" s="13"/>
    </row>
    <row r="57" spans="3:6">
      <c r="C57" s="14"/>
      <c r="D57" s="13"/>
      <c r="E57" s="13"/>
      <c r="F57" s="13"/>
    </row>
    <row r="58" spans="3:6">
      <c r="C58" s="14"/>
      <c r="D58" s="13"/>
      <c r="E58" s="13"/>
      <c r="F58" s="13"/>
    </row>
    <row r="59" spans="3:6">
      <c r="C59" s="14"/>
      <c r="D59" s="13"/>
      <c r="E59" s="13"/>
      <c r="F59" s="13"/>
    </row>
    <row r="60" spans="3:6">
      <c r="C60" s="14"/>
      <c r="D60" s="13"/>
      <c r="E60" s="13"/>
      <c r="F60" s="13"/>
    </row>
    <row r="61" spans="3:6">
      <c r="C61" s="14"/>
      <c r="D61" s="13"/>
      <c r="E61" s="13"/>
      <c r="F61" s="13"/>
    </row>
    <row r="62" spans="3:6">
      <c r="C62" s="14"/>
      <c r="D62" s="13"/>
      <c r="E62" s="13"/>
      <c r="F62" s="13"/>
    </row>
    <row r="63" spans="3:6">
      <c r="C63" s="14"/>
      <c r="D63" s="13"/>
      <c r="E63" s="13"/>
      <c r="F63" s="13"/>
    </row>
    <row r="64" spans="3:6">
      <c r="C64" s="14"/>
      <c r="D64" s="13"/>
      <c r="E64" s="13"/>
      <c r="F64" s="13"/>
    </row>
    <row r="65" spans="2:6">
      <c r="C65" s="14"/>
      <c r="D65" s="13"/>
      <c r="E65" s="13"/>
      <c r="F65" s="13"/>
    </row>
    <row r="66" spans="2:6">
      <c r="C66" s="14"/>
      <c r="D66" s="13"/>
      <c r="E66" s="13"/>
      <c r="F66" s="13"/>
    </row>
    <row r="69" spans="2:6" ht="18.75">
      <c r="C69" s="5" t="s">
        <v>59</v>
      </c>
    </row>
    <row r="70" spans="2:6">
      <c r="B70" t="s">
        <v>60</v>
      </c>
      <c r="C70" s="1" t="s">
        <v>61</v>
      </c>
      <c r="D70" s="1" t="s">
        <v>62</v>
      </c>
      <c r="E70" s="1" t="s">
        <v>63</v>
      </c>
      <c r="F70" s="1" t="s">
        <v>64</v>
      </c>
    </row>
    <row r="71" spans="2:6">
      <c r="B71" s="7">
        <v>1</v>
      </c>
      <c r="C71" s="1">
        <v>1</v>
      </c>
      <c r="D71" s="10" t="s">
        <v>65</v>
      </c>
      <c r="E71" s="10"/>
      <c r="F71" s="10"/>
    </row>
    <row r="72" spans="2:6">
      <c r="B72" s="7">
        <v>1</v>
      </c>
      <c r="C72" s="1">
        <v>2</v>
      </c>
      <c r="D72" s="10" t="s">
        <v>66</v>
      </c>
      <c r="E72" s="10" t="s">
        <v>67</v>
      </c>
      <c r="F72" s="10" t="s">
        <v>18</v>
      </c>
    </row>
    <row r="73" spans="2:6">
      <c r="B73" s="7">
        <v>1</v>
      </c>
      <c r="C73" s="1">
        <v>3</v>
      </c>
      <c r="D73" s="10" t="s">
        <v>68</v>
      </c>
      <c r="E73" s="10"/>
      <c r="F73" s="10"/>
    </row>
    <row r="74" spans="2:6">
      <c r="B74" s="7">
        <v>1</v>
      </c>
      <c r="C74" s="1">
        <v>4</v>
      </c>
      <c r="D74" s="10" t="s">
        <v>69</v>
      </c>
      <c r="E74" s="10" t="s">
        <v>70</v>
      </c>
      <c r="F74" s="10" t="s">
        <v>18</v>
      </c>
    </row>
    <row r="75" spans="2:6">
      <c r="B75" s="7">
        <v>1</v>
      </c>
      <c r="C75" s="1">
        <v>5</v>
      </c>
      <c r="D75" s="10" t="s">
        <v>71</v>
      </c>
      <c r="E75" s="10"/>
      <c r="F75" s="10"/>
    </row>
    <row r="76" spans="2:6">
      <c r="B76" s="7">
        <v>1</v>
      </c>
      <c r="C76" s="1">
        <v>6</v>
      </c>
      <c r="D76" s="10" t="s">
        <v>72</v>
      </c>
      <c r="E76" s="10"/>
      <c r="F76" s="10" t="s">
        <v>18</v>
      </c>
    </row>
    <row r="77" spans="2:6">
      <c r="B77" s="7">
        <v>1</v>
      </c>
      <c r="C77" s="1">
        <v>7</v>
      </c>
      <c r="D77" s="10" t="s">
        <v>73</v>
      </c>
      <c r="E77" s="10"/>
      <c r="F77" s="10"/>
    </row>
    <row r="78" spans="2:6">
      <c r="B78" s="7">
        <v>1</v>
      </c>
      <c r="C78" s="1">
        <v>8</v>
      </c>
      <c r="D78" s="10" t="s">
        <v>74</v>
      </c>
      <c r="E78" s="10"/>
      <c r="F78" s="10" t="s">
        <v>18</v>
      </c>
    </row>
    <row r="79" spans="2:6">
      <c r="B79" s="7">
        <v>1</v>
      </c>
      <c r="C79" s="1">
        <v>9</v>
      </c>
      <c r="D79" s="10" t="s">
        <v>75</v>
      </c>
      <c r="E79" s="10"/>
      <c r="F79" s="10"/>
    </row>
    <row r="80" spans="2:6">
      <c r="B80" s="7">
        <v>1</v>
      </c>
      <c r="C80" s="1">
        <v>10</v>
      </c>
      <c r="D80" s="10" t="s">
        <v>76</v>
      </c>
      <c r="E80" s="10" t="s">
        <v>77</v>
      </c>
      <c r="F80" s="10" t="s">
        <v>18</v>
      </c>
    </row>
    <row r="81" spans="2:6">
      <c r="B81" s="7">
        <v>1</v>
      </c>
      <c r="C81" s="1">
        <v>11</v>
      </c>
      <c r="D81" s="10" t="s">
        <v>78</v>
      </c>
      <c r="E81" s="10"/>
      <c r="F81" s="10"/>
    </row>
    <row r="82" spans="2:6">
      <c r="B82" s="7">
        <v>1</v>
      </c>
      <c r="C82" s="1">
        <v>12</v>
      </c>
      <c r="D82" s="10" t="s">
        <v>79</v>
      </c>
      <c r="E82" s="10"/>
      <c r="F82" s="10" t="s">
        <v>18</v>
      </c>
    </row>
    <row r="83" spans="2:6">
      <c r="B83" s="7">
        <v>2</v>
      </c>
      <c r="C83" s="1">
        <v>1</v>
      </c>
      <c r="D83" s="10"/>
      <c r="E83" s="10"/>
      <c r="F83" s="10"/>
    </row>
    <row r="84" spans="2:6">
      <c r="B84" s="7">
        <v>2</v>
      </c>
      <c r="C84" s="1">
        <v>2</v>
      </c>
      <c r="D84" s="10"/>
      <c r="E84" s="10"/>
      <c r="F84" s="10"/>
    </row>
    <row r="85" spans="2:6">
      <c r="B85" s="7">
        <v>2</v>
      </c>
      <c r="C85" s="1">
        <v>3</v>
      </c>
      <c r="D85" s="10"/>
      <c r="E85" s="10"/>
      <c r="F85" s="10"/>
    </row>
    <row r="86" spans="2:6">
      <c r="B86" s="7">
        <v>2</v>
      </c>
      <c r="C86" s="1">
        <v>4</v>
      </c>
      <c r="D86" s="10"/>
      <c r="E86" s="10"/>
      <c r="F86" s="10"/>
    </row>
    <row r="87" spans="2:6">
      <c r="B87" s="7">
        <v>2</v>
      </c>
      <c r="C87" s="1">
        <v>5</v>
      </c>
      <c r="D87" s="10"/>
      <c r="E87" s="10"/>
      <c r="F87" s="10"/>
    </row>
    <row r="88" spans="2:6">
      <c r="B88" s="7">
        <v>2</v>
      </c>
      <c r="C88" s="1">
        <v>6</v>
      </c>
      <c r="D88" s="10"/>
      <c r="E88" s="10"/>
      <c r="F88" s="10"/>
    </row>
    <row r="89" spans="2:6">
      <c r="B89" s="7">
        <v>2</v>
      </c>
      <c r="C89" s="1">
        <v>7</v>
      </c>
      <c r="D89" s="10"/>
      <c r="E89" s="10"/>
      <c r="F89" s="10"/>
    </row>
    <row r="90" spans="2:6">
      <c r="B90" s="7">
        <v>2</v>
      </c>
      <c r="C90" s="1">
        <v>8</v>
      </c>
      <c r="D90" s="10"/>
      <c r="E90" s="10"/>
      <c r="F90" s="10"/>
    </row>
    <row r="91" spans="2:6">
      <c r="B91" s="7">
        <v>2</v>
      </c>
      <c r="C91" s="1">
        <v>9</v>
      </c>
      <c r="D91" s="10"/>
      <c r="E91" s="10"/>
      <c r="F91" s="10"/>
    </row>
    <row r="92" spans="2:6">
      <c r="B92" s="7">
        <v>2</v>
      </c>
      <c r="C92" s="1">
        <v>10</v>
      </c>
      <c r="D92" s="10"/>
      <c r="E92" s="10"/>
      <c r="F92" s="10"/>
    </row>
    <row r="93" spans="2:6">
      <c r="B93" s="7">
        <v>2</v>
      </c>
      <c r="C93" s="1">
        <v>11</v>
      </c>
      <c r="D93" s="10"/>
      <c r="E93" s="10"/>
      <c r="F93" s="10"/>
    </row>
    <row r="94" spans="2:6">
      <c r="B94" s="7">
        <v>2</v>
      </c>
      <c r="C94" s="1">
        <v>12</v>
      </c>
      <c r="D94" s="10"/>
      <c r="E94" s="10"/>
      <c r="F94" s="10"/>
    </row>
  </sheetData>
  <sheetProtection selectLockedCells="1" sort="0" autoFilter="0" pivotTables="0"/>
  <dataValidations count="4">
    <dataValidation type="whole" showInputMessage="1" showErrorMessage="1" error="This is not a realistic number of contact hours please reduce" sqref="D20:D23" xr:uid="{EABA9475-595C-4986-ACB3-2B03E9611389}">
      <formula1>0</formula1>
      <formula2>80</formula2>
    </dataValidation>
    <dataValidation type="whole" showInputMessage="1" showErrorMessage="1" error="This is not a realistic number of contact hours please change" sqref="D19" xr:uid="{6DEAC130-25D7-46E1-9A78-571866E64E9D}">
      <formula1>0</formula1>
      <formula2>80</formula2>
    </dataValidation>
    <dataValidation type="list" allowBlank="1" showInputMessage="1" showErrorMessage="1" sqref="E38:E41" xr:uid="{0DB2D524-94AD-40F2-A499-A222D2B8D15F}">
      <formula1>INDIRECT("LISTAssess[Assessment Specific]")</formula1>
    </dataValidation>
    <dataValidation type="list" allowBlank="1" showInputMessage="1" showErrorMessage="1" sqref="F46:F66" xr:uid="{C50ABEDB-8163-4FC5-B679-6468E42D1DD9}">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93AA01AF-B1EF-4507-B697-CCEBAB31CA7E}">
          <x14:formula1>
            <xm:f>LISTS!$C$26:$C$37</xm:f>
          </x14:formula1>
          <xm:sqref>D14</xm:sqref>
        </x14:dataValidation>
        <x14:dataValidation type="list" allowBlank="1" showInputMessage="1" showErrorMessage="1" xr:uid="{591B513E-05C3-435C-813F-26A60432C203}">
          <x14:formula1>
            <xm:f>LISTS!$C$17:$C$22</xm:f>
          </x14:formula1>
          <xm:sqref>D13</xm:sqref>
        </x14:dataValidation>
        <x14:dataValidation type="list" allowBlank="1" showInputMessage="1" showErrorMessage="1" xr:uid="{7CC409A8-6354-405F-8333-F463E1CAD86E}">
          <x14:formula1>
            <xm:f>LISTS!$C$7:$C$9</xm:f>
          </x14:formula1>
          <xm:sqref>D10</xm:sqref>
        </x14:dataValidation>
        <x14:dataValidation type="list" allowBlank="1" showInputMessage="1" showErrorMessage="1" xr:uid="{9306451D-6D0D-4680-87B3-1AD89B932998}">
          <x14:formula1>
            <xm:f>LISTS!$C$11:$C$15</xm:f>
          </x14:formula1>
          <xm:sqref>D11</xm:sqref>
        </x14:dataValidation>
        <x14:dataValidation type="list" allowBlank="1" showInputMessage="1" showErrorMessage="1" xr:uid="{B6C0BF8E-CA1A-44B7-8E19-D14A23F2ECD8}">
          <x14:formula1>
            <xm:f>LISTS!$G$7:$G$11</xm:f>
          </x14:formula1>
          <xm:sqref>D38:D42</xm:sqref>
        </x14:dataValidation>
        <x14:dataValidation type="list" allowBlank="1" showInputMessage="1" showErrorMessage="1" xr:uid="{D179A474-A86E-41E5-9898-8B49B0B60399}">
          <x14:formula1>
            <xm:f>LISTS!$E$7:$E$11</xm:f>
          </x14:formula1>
          <xm:sqref>D46:D66</xm:sqref>
        </x14:dataValidation>
        <x14:dataValidation type="list" allowBlank="1" showInputMessage="1" showErrorMessage="1" xr:uid="{C4F92686-9322-4C4E-8993-76138DE80E0B}">
          <x14:formula1>
            <xm:f>LISTS!$J$7:$J$16</xm:f>
          </x14:formula1>
          <xm:sqref>E46:E66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B23168-6B81-47CF-B045-12BB97D9E5BE}">
  <sheetPr codeName="Sheet4"/>
  <dimension ref="B2:H94"/>
  <sheetViews>
    <sheetView showGridLines="0" topLeftCell="A7" zoomScale="60" zoomScaleNormal="85" workbookViewId="0">
      <selection activeCell="H78" sqref="H78"/>
    </sheetView>
  </sheetViews>
  <sheetFormatPr defaultColWidth="8.85546875" defaultRowHeight="1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c r="C2" s="9" t="str">
        <f>D7</f>
        <v>4101SPS</v>
      </c>
      <c r="D2" s="9" t="str">
        <f>D8</f>
        <v>Professional Practice in Sport and Exercise Science 1</v>
      </c>
    </row>
    <row r="3" spans="2:6">
      <c r="B3" s="1"/>
      <c r="C3" s="1"/>
    </row>
    <row r="4" spans="2:6">
      <c r="B4" s="2"/>
      <c r="C4" s="2"/>
    </row>
    <row r="5" spans="2:6" ht="18.75">
      <c r="B5" s="2"/>
      <c r="C5" s="5" t="s">
        <v>0</v>
      </c>
    </row>
    <row r="6" spans="2:6">
      <c r="B6" s="2"/>
      <c r="C6" s="3" t="s">
        <v>1</v>
      </c>
      <c r="D6" s="4" t="s">
        <v>2</v>
      </c>
      <c r="E6" s="4"/>
      <c r="F6" t="s">
        <v>3</v>
      </c>
    </row>
    <row r="7" spans="2:6" ht="105">
      <c r="B7" s="2"/>
      <c r="C7" s="63" t="s">
        <v>4</v>
      </c>
      <c r="D7" s="10" t="s">
        <v>80</v>
      </c>
      <c r="E7" s="4"/>
      <c r="F7" s="30" t="s">
        <v>81</v>
      </c>
    </row>
    <row r="8" spans="2:6">
      <c r="B8" s="2"/>
      <c r="C8" s="63" t="s">
        <v>6</v>
      </c>
      <c r="D8" s="10" t="s">
        <v>82</v>
      </c>
      <c r="E8" s="4"/>
      <c r="F8" s="13"/>
    </row>
    <row r="9" spans="2:6">
      <c r="C9" s="63" t="s">
        <v>7</v>
      </c>
      <c r="D9" s="10">
        <v>20</v>
      </c>
      <c r="E9" s="4"/>
    </row>
    <row r="10" spans="2:6">
      <c r="C10" s="63" t="s">
        <v>8</v>
      </c>
      <c r="D10" s="10">
        <v>1</v>
      </c>
      <c r="E10" s="4"/>
      <c r="F10" t="s">
        <v>9</v>
      </c>
    </row>
    <row r="11" spans="2:6" ht="180">
      <c r="C11" s="63" t="s">
        <v>10</v>
      </c>
      <c r="D11" s="10">
        <v>4</v>
      </c>
      <c r="E11" s="4"/>
      <c r="F11" s="20" t="s">
        <v>83</v>
      </c>
    </row>
    <row r="12" spans="2:6">
      <c r="C12" s="63" t="s">
        <v>11</v>
      </c>
      <c r="D12" s="10" t="s">
        <v>84</v>
      </c>
      <c r="E12" s="4"/>
      <c r="F12" s="13"/>
    </row>
    <row r="13" spans="2:6">
      <c r="C13" s="63" t="s">
        <v>12</v>
      </c>
      <c r="D13" s="10" t="s">
        <v>85</v>
      </c>
      <c r="E13" s="4"/>
      <c r="F13" s="13"/>
    </row>
    <row r="14" spans="2:6">
      <c r="C14" s="63" t="s">
        <v>13</v>
      </c>
      <c r="D14" s="10" t="s">
        <v>86</v>
      </c>
      <c r="E14" s="4"/>
    </row>
    <row r="15" spans="2:6">
      <c r="C15" s="3"/>
      <c r="D15" s="4"/>
      <c r="E15" s="4"/>
      <c r="F15" t="s">
        <v>14</v>
      </c>
    </row>
    <row r="16" spans="2:6" ht="90">
      <c r="C16" s="3"/>
      <c r="D16" s="4"/>
      <c r="E16" s="4"/>
      <c r="F16" s="30" t="s">
        <v>87</v>
      </c>
    </row>
    <row r="17" spans="3:6" ht="18.75">
      <c r="C17" s="5" t="s">
        <v>15</v>
      </c>
      <c r="D17" s="4"/>
      <c r="E17" s="4"/>
      <c r="F17" s="13"/>
    </row>
    <row r="18" spans="3:6">
      <c r="C18" s="3" t="s">
        <v>16</v>
      </c>
      <c r="D18" s="1" t="s">
        <v>15</v>
      </c>
      <c r="E18" s="4"/>
      <c r="F18" s="13"/>
    </row>
    <row r="19" spans="3:6">
      <c r="C19" s="63" t="s">
        <v>17</v>
      </c>
      <c r="D19" s="11">
        <v>22</v>
      </c>
      <c r="E19" s="4"/>
      <c r="F19" s="13"/>
    </row>
    <row r="20" spans="3:6">
      <c r="C20" s="63" t="s">
        <v>18</v>
      </c>
      <c r="D20" s="11">
        <v>5</v>
      </c>
      <c r="E20" s="4"/>
      <c r="F20" s="13"/>
    </row>
    <row r="21" spans="3:6">
      <c r="C21" s="63" t="s">
        <v>19</v>
      </c>
      <c r="D21" s="11">
        <v>3</v>
      </c>
      <c r="E21" s="4"/>
    </row>
    <row r="22" spans="3:6">
      <c r="C22" s="63" t="s">
        <v>20</v>
      </c>
      <c r="D22" s="11">
        <v>10</v>
      </c>
      <c r="E22" s="4"/>
      <c r="F22" t="s">
        <v>21</v>
      </c>
    </row>
    <row r="23" spans="3:6">
      <c r="C23" s="63" t="s">
        <v>22</v>
      </c>
      <c r="D23" s="11">
        <v>4</v>
      </c>
      <c r="E23" s="4"/>
      <c r="F23" s="13" t="s">
        <v>88</v>
      </c>
    </row>
    <row r="24" spans="3:6">
      <c r="C24" s="63" t="s">
        <v>23</v>
      </c>
      <c r="D24" s="1">
        <f>SUM(D19:D23)</f>
        <v>44</v>
      </c>
      <c r="E24" s="4"/>
      <c r="F24" s="13" t="s">
        <v>89</v>
      </c>
    </row>
    <row r="25" spans="3:6">
      <c r="F25" s="13" t="s">
        <v>90</v>
      </c>
    </row>
    <row r="26" spans="3:6">
      <c r="F26" s="13"/>
    </row>
    <row r="27" spans="3:6" ht="18.75">
      <c r="C27" s="5" t="s">
        <v>24</v>
      </c>
      <c r="D27" s="8" t="s">
        <v>25</v>
      </c>
      <c r="F27" s="13" t="s">
        <v>91</v>
      </c>
    </row>
    <row r="28" spans="3:6">
      <c r="C28" s="3" t="s">
        <v>26</v>
      </c>
      <c r="D28" s="3" t="s">
        <v>27</v>
      </c>
      <c r="E28" s="3"/>
      <c r="F28" s="13"/>
    </row>
    <row r="29" spans="3:6" ht="60">
      <c r="C29" s="63" t="s">
        <v>28</v>
      </c>
      <c r="D29" s="20" t="s">
        <v>92</v>
      </c>
      <c r="E29" s="4"/>
      <c r="F29" s="13"/>
    </row>
    <row r="30" spans="3:6" ht="45">
      <c r="C30" s="63" t="s">
        <v>29</v>
      </c>
      <c r="D30" s="20" t="s">
        <v>93</v>
      </c>
      <c r="E30" s="4"/>
      <c r="F30" s="13"/>
    </row>
    <row r="31" spans="3:6" ht="60">
      <c r="C31" s="63" t="s">
        <v>30</v>
      </c>
      <c r="D31" s="20" t="s">
        <v>94</v>
      </c>
      <c r="E31" s="4"/>
      <c r="F31" s="13"/>
    </row>
    <row r="32" spans="3:6">
      <c r="C32" s="63"/>
      <c r="D32" s="10"/>
      <c r="E32" s="4"/>
      <c r="F32" s="13"/>
    </row>
    <row r="33" spans="3:8">
      <c r="C33" s="63"/>
      <c r="D33" s="10"/>
      <c r="E33" s="4"/>
      <c r="F33" s="13"/>
    </row>
    <row r="36" spans="3:8" ht="18.75">
      <c r="C36" s="5" t="s">
        <v>33</v>
      </c>
    </row>
    <row r="37" spans="3:8">
      <c r="C37" s="3" t="s">
        <v>34</v>
      </c>
      <c r="D37" s="3" t="s">
        <v>35</v>
      </c>
      <c r="E37" s="3" t="s">
        <v>36</v>
      </c>
      <c r="F37" s="3" t="s">
        <v>37</v>
      </c>
      <c r="G37" s="3" t="s">
        <v>38</v>
      </c>
      <c r="H37" s="3" t="s">
        <v>39</v>
      </c>
    </row>
    <row r="38" spans="3:8" ht="60">
      <c r="C38" s="63" t="s">
        <v>40</v>
      </c>
      <c r="D38" s="10" t="s">
        <v>41</v>
      </c>
      <c r="E38" s="10" t="s">
        <v>95</v>
      </c>
      <c r="F38" s="10" t="s">
        <v>96</v>
      </c>
      <c r="G38" s="12">
        <v>0.4</v>
      </c>
      <c r="H38" s="10">
        <v>8</v>
      </c>
    </row>
    <row r="39" spans="3:8" ht="75">
      <c r="C39" s="63" t="s">
        <v>44</v>
      </c>
      <c r="D39" s="10" t="s">
        <v>97</v>
      </c>
      <c r="E39" s="10" t="s">
        <v>98</v>
      </c>
      <c r="F39" s="30" t="s">
        <v>99</v>
      </c>
      <c r="G39" s="12">
        <v>0.6</v>
      </c>
      <c r="H39" s="10">
        <v>12</v>
      </c>
    </row>
    <row r="40" spans="3:8">
      <c r="C40" s="63" t="s">
        <v>45</v>
      </c>
      <c r="D40" s="13"/>
      <c r="E40" s="13"/>
      <c r="F40" s="13"/>
      <c r="G40" s="13"/>
      <c r="H40" s="13"/>
    </row>
    <row r="41" spans="3:8">
      <c r="C41" s="63" t="s">
        <v>46</v>
      </c>
      <c r="D41" s="13"/>
      <c r="E41" s="13"/>
      <c r="F41" s="13"/>
      <c r="G41" s="13"/>
      <c r="H41" s="13"/>
    </row>
    <row r="42" spans="3:8">
      <c r="C42" s="3"/>
    </row>
    <row r="44" spans="3:8" ht="18.75">
      <c r="C44" s="5" t="s">
        <v>47</v>
      </c>
      <c r="D44" s="8"/>
    </row>
    <row r="45" spans="3:8">
      <c r="C45" s="1" t="s">
        <v>34</v>
      </c>
      <c r="D45" s="1" t="s">
        <v>26</v>
      </c>
      <c r="E45" s="1" t="s">
        <v>48</v>
      </c>
      <c r="F45" s="1" t="s">
        <v>49</v>
      </c>
    </row>
    <row r="46" spans="3:8">
      <c r="C46" s="14" t="s">
        <v>40</v>
      </c>
      <c r="D46" s="13" t="s">
        <v>28</v>
      </c>
      <c r="E46" s="13" t="s">
        <v>100</v>
      </c>
      <c r="F46" s="13" t="s">
        <v>101</v>
      </c>
    </row>
    <row r="47" spans="3:8">
      <c r="C47" s="14" t="s">
        <v>40</v>
      </c>
      <c r="D47" s="13" t="s">
        <v>28</v>
      </c>
      <c r="E47" s="13" t="s">
        <v>102</v>
      </c>
      <c r="F47" s="13" t="s">
        <v>103</v>
      </c>
    </row>
    <row r="48" spans="3:8">
      <c r="C48" s="14" t="s">
        <v>40</v>
      </c>
      <c r="D48" s="13" t="s">
        <v>28</v>
      </c>
      <c r="E48" s="13" t="s">
        <v>55</v>
      </c>
      <c r="F48" s="13" t="s">
        <v>56</v>
      </c>
    </row>
    <row r="49" spans="3:6">
      <c r="C49" s="14"/>
      <c r="D49" s="13"/>
      <c r="E49" s="13"/>
      <c r="F49" s="13"/>
    </row>
    <row r="50" spans="3:6">
      <c r="C50" s="14" t="s">
        <v>44</v>
      </c>
      <c r="D50" s="13" t="s">
        <v>29</v>
      </c>
      <c r="E50" s="13" t="s">
        <v>55</v>
      </c>
      <c r="F50" s="13" t="s">
        <v>104</v>
      </c>
    </row>
    <row r="51" spans="3:6">
      <c r="C51" s="14" t="s">
        <v>44</v>
      </c>
      <c r="D51" s="13" t="s">
        <v>30</v>
      </c>
      <c r="E51" s="13" t="s">
        <v>100</v>
      </c>
      <c r="F51" s="13" t="s">
        <v>105</v>
      </c>
    </row>
    <row r="52" spans="3:6">
      <c r="C52" s="14" t="s">
        <v>44</v>
      </c>
      <c r="D52" s="13" t="s">
        <v>30</v>
      </c>
      <c r="E52" s="13" t="s">
        <v>106</v>
      </c>
      <c r="F52" s="13" t="s">
        <v>107</v>
      </c>
    </row>
    <row r="53" spans="3:6">
      <c r="C53" s="14"/>
      <c r="D53" s="13"/>
      <c r="E53" s="13"/>
      <c r="F53" s="13"/>
    </row>
    <row r="54" spans="3:6">
      <c r="C54" s="14"/>
      <c r="D54" s="13"/>
      <c r="E54" s="13"/>
      <c r="F54" s="13"/>
    </row>
    <row r="55" spans="3:6">
      <c r="C55" s="14"/>
      <c r="D55" s="13"/>
      <c r="E55" s="13"/>
      <c r="F55" s="13"/>
    </row>
    <row r="56" spans="3:6">
      <c r="C56" s="14"/>
      <c r="D56" s="13"/>
      <c r="E56" s="13"/>
      <c r="F56" s="13"/>
    </row>
    <row r="57" spans="3:6">
      <c r="C57" s="14"/>
      <c r="D57" s="13"/>
      <c r="E57" s="13"/>
      <c r="F57" s="13"/>
    </row>
    <row r="58" spans="3:6">
      <c r="C58" s="14"/>
      <c r="D58" s="13"/>
      <c r="E58" s="13"/>
      <c r="F58" s="13"/>
    </row>
    <row r="59" spans="3:6">
      <c r="C59" s="14"/>
      <c r="D59" s="13"/>
      <c r="E59" s="13"/>
      <c r="F59" s="13"/>
    </row>
    <row r="60" spans="3:6">
      <c r="C60" s="14"/>
      <c r="D60" s="13"/>
      <c r="E60" s="13"/>
      <c r="F60" s="13"/>
    </row>
    <row r="61" spans="3:6">
      <c r="C61" s="14"/>
      <c r="D61" s="13"/>
      <c r="E61" s="13"/>
      <c r="F61" s="13"/>
    </row>
    <row r="62" spans="3:6">
      <c r="C62" s="14"/>
      <c r="D62" s="13"/>
      <c r="E62" s="13"/>
      <c r="F62" s="13"/>
    </row>
    <row r="63" spans="3:6">
      <c r="C63" s="14"/>
      <c r="D63" s="13"/>
      <c r="E63" s="13"/>
      <c r="F63" s="13"/>
    </row>
    <row r="64" spans="3:6">
      <c r="C64" s="14"/>
      <c r="D64" s="13"/>
      <c r="E64" s="13"/>
      <c r="F64" s="13"/>
    </row>
    <row r="65" spans="2:6">
      <c r="C65" s="14"/>
      <c r="D65" s="13"/>
      <c r="E65" s="13"/>
      <c r="F65" s="13"/>
    </row>
    <row r="66" spans="2:6">
      <c r="C66" s="14"/>
      <c r="D66" s="13"/>
      <c r="E66" s="13"/>
      <c r="F66" s="13"/>
    </row>
    <row r="69" spans="2:6" ht="18.75">
      <c r="C69" s="5" t="s">
        <v>59</v>
      </c>
    </row>
    <row r="70" spans="2:6">
      <c r="B70" t="s">
        <v>60</v>
      </c>
      <c r="C70" s="1" t="s">
        <v>61</v>
      </c>
      <c r="D70" s="1" t="s">
        <v>62</v>
      </c>
      <c r="E70" s="1" t="s">
        <v>63</v>
      </c>
      <c r="F70" s="1" t="s">
        <v>64</v>
      </c>
    </row>
    <row r="71" spans="2:6" ht="75">
      <c r="B71" s="64">
        <v>1</v>
      </c>
      <c r="C71" s="65">
        <v>1</v>
      </c>
      <c r="D71" s="20" t="s">
        <v>108</v>
      </c>
      <c r="E71" s="24" t="s">
        <v>109</v>
      </c>
      <c r="F71" s="10" t="s">
        <v>110</v>
      </c>
    </row>
    <row r="72" spans="2:6" ht="75">
      <c r="B72" s="64">
        <v>1</v>
      </c>
      <c r="C72" s="65">
        <v>2</v>
      </c>
      <c r="D72" s="24" t="s">
        <v>111</v>
      </c>
      <c r="E72" s="20" t="s">
        <v>112</v>
      </c>
      <c r="F72" s="20" t="s">
        <v>113</v>
      </c>
    </row>
    <row r="73" spans="2:6" ht="45">
      <c r="B73" s="64">
        <v>1</v>
      </c>
      <c r="C73" s="65">
        <v>3</v>
      </c>
      <c r="D73" s="20" t="s">
        <v>114</v>
      </c>
      <c r="E73" s="20" t="s">
        <v>115</v>
      </c>
      <c r="F73" s="20" t="s">
        <v>116</v>
      </c>
    </row>
    <row r="74" spans="2:6" ht="45">
      <c r="B74" s="64">
        <v>1</v>
      </c>
      <c r="C74" s="65">
        <v>4</v>
      </c>
      <c r="D74" s="30" t="s">
        <v>117</v>
      </c>
      <c r="E74" s="30" t="s">
        <v>118</v>
      </c>
      <c r="F74" s="10" t="s">
        <v>119</v>
      </c>
    </row>
    <row r="75" spans="2:6" ht="45">
      <c r="B75" s="64">
        <v>1</v>
      </c>
      <c r="C75" s="65">
        <v>5</v>
      </c>
      <c r="D75" s="56" t="s">
        <v>120</v>
      </c>
      <c r="E75" s="10" t="s">
        <v>121</v>
      </c>
      <c r="F75" s="10" t="s">
        <v>122</v>
      </c>
    </row>
    <row r="76" spans="2:6" ht="45">
      <c r="B76" s="64">
        <v>1</v>
      </c>
      <c r="C76" s="65">
        <v>6</v>
      </c>
      <c r="D76" s="24" t="s">
        <v>123</v>
      </c>
      <c r="E76" s="10" t="s">
        <v>124</v>
      </c>
      <c r="F76" s="13" t="s">
        <v>125</v>
      </c>
    </row>
    <row r="77" spans="2:6">
      <c r="B77" s="64">
        <v>1</v>
      </c>
      <c r="C77" s="65">
        <v>7</v>
      </c>
      <c r="D77" s="10" t="s">
        <v>126</v>
      </c>
      <c r="E77" s="10"/>
      <c r="F77" s="10"/>
    </row>
    <row r="78" spans="2:6" ht="45">
      <c r="B78" s="64">
        <v>1</v>
      </c>
      <c r="C78" s="65">
        <v>8</v>
      </c>
      <c r="D78" s="30" t="s">
        <v>127</v>
      </c>
      <c r="E78" s="10" t="s">
        <v>128</v>
      </c>
      <c r="F78" s="10" t="s">
        <v>129</v>
      </c>
    </row>
    <row r="79" spans="2:6" ht="45">
      <c r="B79" s="64">
        <v>1</v>
      </c>
      <c r="C79" s="65">
        <v>9</v>
      </c>
      <c r="D79" s="20" t="s">
        <v>130</v>
      </c>
      <c r="E79" s="20" t="s">
        <v>131</v>
      </c>
      <c r="F79" s="20" t="s">
        <v>132</v>
      </c>
    </row>
    <row r="80" spans="2:6" ht="60">
      <c r="B80" s="64">
        <v>1</v>
      </c>
      <c r="C80" s="65">
        <v>10</v>
      </c>
      <c r="D80" s="10" t="s">
        <v>133</v>
      </c>
      <c r="E80" s="10" t="s">
        <v>134</v>
      </c>
      <c r="F80" s="10" t="s">
        <v>135</v>
      </c>
    </row>
    <row r="81" spans="2:6" ht="60">
      <c r="B81" s="64">
        <v>1</v>
      </c>
      <c r="C81" s="65">
        <v>11</v>
      </c>
      <c r="D81" s="10" t="s">
        <v>136</v>
      </c>
      <c r="E81" s="10" t="s">
        <v>137</v>
      </c>
      <c r="F81" s="10" t="s">
        <v>138</v>
      </c>
    </row>
    <row r="82" spans="2:6" ht="60">
      <c r="B82" s="64">
        <v>1</v>
      </c>
      <c r="C82" s="65">
        <v>12</v>
      </c>
      <c r="D82" s="20" t="s">
        <v>139</v>
      </c>
      <c r="E82" s="20"/>
      <c r="F82" s="20" t="s">
        <v>140</v>
      </c>
    </row>
    <row r="83" spans="2:6">
      <c r="B83" s="64">
        <v>2</v>
      </c>
      <c r="C83" s="65">
        <v>1</v>
      </c>
      <c r="D83" s="10"/>
      <c r="E83" s="10"/>
      <c r="F83" s="10"/>
    </row>
    <row r="84" spans="2:6">
      <c r="B84" s="64">
        <v>2</v>
      </c>
      <c r="C84" s="65">
        <v>2</v>
      </c>
      <c r="D84" s="10"/>
      <c r="E84" s="10"/>
      <c r="F84" s="10"/>
    </row>
    <row r="85" spans="2:6">
      <c r="B85" s="64">
        <v>2</v>
      </c>
      <c r="C85" s="65">
        <v>3</v>
      </c>
      <c r="D85" s="10"/>
      <c r="E85" s="10"/>
      <c r="F85" s="10"/>
    </row>
    <row r="86" spans="2:6">
      <c r="B86" s="64">
        <v>2</v>
      </c>
      <c r="C86" s="65">
        <v>4</v>
      </c>
      <c r="D86" s="10"/>
      <c r="E86" s="10"/>
      <c r="F86" s="10"/>
    </row>
    <row r="87" spans="2:6">
      <c r="B87" s="64">
        <v>2</v>
      </c>
      <c r="C87" s="65">
        <v>5</v>
      </c>
      <c r="D87" s="10"/>
      <c r="E87" s="10"/>
      <c r="F87" s="10"/>
    </row>
    <row r="88" spans="2:6">
      <c r="B88" s="64">
        <v>2</v>
      </c>
      <c r="C88" s="65">
        <v>6</v>
      </c>
      <c r="D88" s="10"/>
      <c r="E88" s="10"/>
      <c r="F88" s="10"/>
    </row>
    <row r="89" spans="2:6">
      <c r="B89" s="64">
        <v>2</v>
      </c>
      <c r="C89" s="65">
        <v>7</v>
      </c>
      <c r="D89" s="10"/>
      <c r="E89" s="10"/>
      <c r="F89" s="10"/>
    </row>
    <row r="90" spans="2:6">
      <c r="B90" s="64">
        <v>2</v>
      </c>
      <c r="C90" s="65">
        <v>8</v>
      </c>
      <c r="D90" s="10"/>
      <c r="E90" s="10"/>
      <c r="F90" s="10"/>
    </row>
    <row r="91" spans="2:6">
      <c r="B91" s="64">
        <v>2</v>
      </c>
      <c r="C91" s="65">
        <v>9</v>
      </c>
      <c r="D91" s="10"/>
      <c r="E91" s="10"/>
      <c r="F91" s="10"/>
    </row>
    <row r="92" spans="2:6">
      <c r="B92" s="64">
        <v>2</v>
      </c>
      <c r="C92" s="65">
        <v>10</v>
      </c>
      <c r="D92" s="10"/>
      <c r="E92" s="10"/>
      <c r="F92" s="10"/>
    </row>
    <row r="93" spans="2:6">
      <c r="B93" s="64">
        <v>2</v>
      </c>
      <c r="C93" s="65">
        <v>11</v>
      </c>
      <c r="D93" s="10"/>
      <c r="E93" s="10"/>
      <c r="F93" s="10"/>
    </row>
    <row r="94" spans="2:6">
      <c r="B94" s="64">
        <v>2</v>
      </c>
      <c r="C94" s="65">
        <v>12</v>
      </c>
      <c r="D94" s="10"/>
      <c r="E94" s="10"/>
      <c r="F94" s="10"/>
    </row>
  </sheetData>
  <sheetProtection sheet="1" objects="1" scenarios="1" formatCells="0" formatColumns="0" formatRows="0" insertHyperlinks="0"/>
  <dataValidations count="4">
    <dataValidation type="whole" showInputMessage="1" showErrorMessage="1" error="This is not a realistic number of contact hours please reduce" sqref="D20:D23" xr:uid="{DCF1D4CF-AD13-4549-94DF-DAD7372507FF}">
      <formula1>0</formula1>
      <formula2>80</formula2>
    </dataValidation>
    <dataValidation type="whole" showInputMessage="1" showErrorMessage="1" error="This is not a realistic number of contact hours please change" sqref="D19" xr:uid="{2EFE7054-9BF0-4E34-9260-CE2CA4E53AC1}">
      <formula1>0</formula1>
      <formula2>80</formula2>
    </dataValidation>
    <dataValidation type="list" allowBlank="1" showInputMessage="1" showErrorMessage="1" sqref="E38:E41" xr:uid="{8FAAA275-BBC0-49B8-8FE4-71328DF55B6F}">
      <formula1>INDIRECT("LISTAssess[Assessment Specific]")</formula1>
    </dataValidation>
    <dataValidation type="list" allowBlank="1" showInputMessage="1" showErrorMessage="1" sqref="F46:F66" xr:uid="{E1682273-6EEC-4437-BA8D-462547C84EF8}">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3D8F5AA3-C895-4B95-9912-EF67DA280821}">
          <x14:formula1>
            <xm:f>LISTS!$C$26:$C$37</xm:f>
          </x14:formula1>
          <xm:sqref>D14</xm:sqref>
        </x14:dataValidation>
        <x14:dataValidation type="list" allowBlank="1" showInputMessage="1" showErrorMessage="1" xr:uid="{703F0AA5-3DD9-4205-B10E-84D20D77F5DF}">
          <x14:formula1>
            <xm:f>LISTS!$C$17:$C$22</xm:f>
          </x14:formula1>
          <xm:sqref>D13</xm:sqref>
        </x14:dataValidation>
        <x14:dataValidation type="list" allowBlank="1" showInputMessage="1" showErrorMessage="1" xr:uid="{204C63EF-139E-4DCF-87C5-C1413D76F08F}">
          <x14:formula1>
            <xm:f>LISTS!$C$7:$C$9</xm:f>
          </x14:formula1>
          <xm:sqref>D10</xm:sqref>
        </x14:dataValidation>
        <x14:dataValidation type="list" allowBlank="1" showInputMessage="1" showErrorMessage="1" xr:uid="{02A4F4B2-CA44-4C0F-951D-7C349BD7AFEB}">
          <x14:formula1>
            <xm:f>LISTS!$C$11:$C$15</xm:f>
          </x14:formula1>
          <xm:sqref>D11</xm:sqref>
        </x14:dataValidation>
        <x14:dataValidation type="list" allowBlank="1" showInputMessage="1" showErrorMessage="1" xr:uid="{D6C3DA59-44C9-4E4B-8893-5EEB7E17375D}">
          <x14:formula1>
            <xm:f>LISTS!$G$7:$G$11</xm:f>
          </x14:formula1>
          <xm:sqref>D38:D42</xm:sqref>
        </x14:dataValidation>
        <x14:dataValidation type="list" allowBlank="1" showInputMessage="1" showErrorMessage="1" xr:uid="{1A267CA5-0348-4F32-BF79-432FCFC02438}">
          <x14:formula1>
            <xm:f>LISTS!$E$7:$E$11</xm:f>
          </x14:formula1>
          <xm:sqref>D46:D66</xm:sqref>
        </x14:dataValidation>
        <x14:dataValidation type="list" allowBlank="1" showInputMessage="1" showErrorMessage="1" xr:uid="{BE7A30BD-1760-4896-BACE-8BCA87088F96}">
          <x14:formula1>
            <xm:f>LISTS!$J$7:$J$16</xm:f>
          </x14:formula1>
          <xm:sqref>E46:E66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7D0FC-41A0-4C14-8EED-5C94ECF53341}">
  <sheetPr codeName="Sheet5"/>
  <dimension ref="B2:H94"/>
  <sheetViews>
    <sheetView showGridLines="0" topLeftCell="B2" zoomScale="85" zoomScaleNormal="85" workbookViewId="0">
      <selection activeCell="F23" sqref="F23"/>
    </sheetView>
  </sheetViews>
  <sheetFormatPr defaultColWidth="8.85546875" defaultRowHeight="15"/>
  <cols>
    <col min="3" max="3" width="33.28515625" customWidth="1"/>
    <col min="4" max="4" width="55.140625" customWidth="1"/>
    <col min="5" max="5" width="67.28515625" customWidth="1"/>
    <col min="6" max="6" width="63.140625" customWidth="1"/>
    <col min="7" max="7" width="12.42578125" customWidth="1"/>
    <col min="8" max="8" width="15.42578125" customWidth="1"/>
    <col min="9" max="9" width="14.7109375" customWidth="1"/>
  </cols>
  <sheetData>
    <row r="2" spans="2:6" ht="26.25">
      <c r="C2" s="9" t="str">
        <f>D7</f>
        <v>4102SPS</v>
      </c>
      <c r="D2" s="9" t="str">
        <f>D8</f>
        <v>Understanding Physical Activity and Sedentary Behaviour</v>
      </c>
    </row>
    <row r="3" spans="2:6">
      <c r="B3" s="1"/>
      <c r="C3" s="1"/>
    </row>
    <row r="4" spans="2:6">
      <c r="B4" s="2"/>
      <c r="C4" s="2"/>
    </row>
    <row r="5" spans="2:6" ht="18.75">
      <c r="B5" s="2"/>
      <c r="C5" s="5" t="s">
        <v>0</v>
      </c>
    </row>
    <row r="6" spans="2:6">
      <c r="B6" s="2"/>
      <c r="C6" s="3" t="s">
        <v>1</v>
      </c>
      <c r="D6" s="4" t="s">
        <v>2</v>
      </c>
      <c r="E6" s="4"/>
      <c r="F6" t="s">
        <v>3</v>
      </c>
    </row>
    <row r="7" spans="2:6" ht="45">
      <c r="B7" s="2"/>
      <c r="C7" s="63" t="s">
        <v>4</v>
      </c>
      <c r="D7" s="10" t="s">
        <v>141</v>
      </c>
      <c r="E7" s="4"/>
      <c r="F7" s="20" t="s">
        <v>142</v>
      </c>
    </row>
    <row r="8" spans="2:6" ht="30">
      <c r="B8" s="2"/>
      <c r="C8" s="63" t="s">
        <v>6</v>
      </c>
      <c r="D8" s="10" t="s">
        <v>143</v>
      </c>
      <c r="E8" s="4"/>
      <c r="F8" s="20" t="s">
        <v>144</v>
      </c>
    </row>
    <row r="9" spans="2:6">
      <c r="C9" s="63" t="s">
        <v>7</v>
      </c>
      <c r="D9" s="10">
        <v>20</v>
      </c>
      <c r="E9" s="4"/>
    </row>
    <row r="10" spans="2:6">
      <c r="C10" s="63" t="s">
        <v>8</v>
      </c>
      <c r="D10" s="10">
        <v>2</v>
      </c>
      <c r="E10" s="4"/>
      <c r="F10" t="s">
        <v>9</v>
      </c>
    </row>
    <row r="11" spans="2:6" ht="90">
      <c r="C11" s="63" t="s">
        <v>10</v>
      </c>
      <c r="D11" s="10">
        <v>4</v>
      </c>
      <c r="E11" s="4"/>
      <c r="F11" s="37" t="s">
        <v>145</v>
      </c>
    </row>
    <row r="12" spans="2:6">
      <c r="C12" s="63" t="s">
        <v>11</v>
      </c>
      <c r="D12" s="10" t="s">
        <v>146</v>
      </c>
      <c r="E12" s="4"/>
      <c r="F12" s="13"/>
    </row>
    <row r="13" spans="2:6">
      <c r="C13" s="63" t="s">
        <v>12</v>
      </c>
      <c r="D13" s="10" t="s">
        <v>147</v>
      </c>
      <c r="E13" s="4"/>
      <c r="F13" s="13"/>
    </row>
    <row r="14" spans="2:6">
      <c r="C14" s="63" t="s">
        <v>13</v>
      </c>
      <c r="D14" s="10" t="s">
        <v>86</v>
      </c>
      <c r="E14" s="4"/>
    </row>
    <row r="15" spans="2:6">
      <c r="C15" s="3"/>
      <c r="D15" s="4"/>
      <c r="E15" s="4"/>
      <c r="F15" t="s">
        <v>14</v>
      </c>
    </row>
    <row r="16" spans="2:6" ht="75">
      <c r="C16" s="3"/>
      <c r="D16" s="4"/>
      <c r="E16" s="4"/>
      <c r="F16" s="37" t="s">
        <v>148</v>
      </c>
    </row>
    <row r="17" spans="3:6" ht="18.75">
      <c r="C17" s="5" t="s">
        <v>15</v>
      </c>
      <c r="D17" s="4"/>
      <c r="E17" s="4"/>
      <c r="F17" s="13"/>
    </row>
    <row r="18" spans="3:6">
      <c r="C18" s="3" t="s">
        <v>16</v>
      </c>
      <c r="D18" s="1" t="s">
        <v>15</v>
      </c>
      <c r="E18" s="4"/>
      <c r="F18" s="13"/>
    </row>
    <row r="19" spans="3:6">
      <c r="C19" s="63" t="s">
        <v>17</v>
      </c>
      <c r="D19" s="11">
        <v>23</v>
      </c>
      <c r="E19" s="4"/>
      <c r="F19" s="13"/>
    </row>
    <row r="20" spans="3:6">
      <c r="C20" s="63" t="s">
        <v>18</v>
      </c>
      <c r="D20" s="11"/>
      <c r="E20" s="4"/>
      <c r="F20" s="13"/>
    </row>
    <row r="21" spans="3:6">
      <c r="C21" s="63" t="s">
        <v>19</v>
      </c>
      <c r="D21" s="11"/>
      <c r="E21" s="4"/>
    </row>
    <row r="22" spans="3:6">
      <c r="C22" s="63" t="s">
        <v>20</v>
      </c>
      <c r="D22" s="11">
        <v>17</v>
      </c>
      <c r="E22" s="4"/>
      <c r="F22" t="s">
        <v>21</v>
      </c>
    </row>
    <row r="23" spans="3:6">
      <c r="C23" s="63" t="s">
        <v>22</v>
      </c>
      <c r="D23" s="11"/>
      <c r="E23" s="4"/>
      <c r="F23" s="20" t="s">
        <v>149</v>
      </c>
    </row>
    <row r="24" spans="3:6" ht="30">
      <c r="C24" s="63" t="s">
        <v>23</v>
      </c>
      <c r="D24" s="1">
        <f>SUM(D19:D23)</f>
        <v>40</v>
      </c>
      <c r="E24" s="4"/>
      <c r="F24" s="20" t="s">
        <v>150</v>
      </c>
    </row>
    <row r="25" spans="3:6" ht="30">
      <c r="F25" s="20" t="s">
        <v>151</v>
      </c>
    </row>
    <row r="26" spans="3:6" ht="30">
      <c r="F26" s="20" t="s">
        <v>152</v>
      </c>
    </row>
    <row r="27" spans="3:6" ht="18.75">
      <c r="C27" s="5" t="s">
        <v>24</v>
      </c>
      <c r="D27" s="8" t="s">
        <v>25</v>
      </c>
      <c r="F27" s="13" t="s">
        <v>153</v>
      </c>
    </row>
    <row r="28" spans="3:6" ht="30">
      <c r="C28" s="3" t="s">
        <v>26</v>
      </c>
      <c r="D28" s="3" t="s">
        <v>27</v>
      </c>
      <c r="E28" s="3"/>
      <c r="F28" s="20" t="s">
        <v>154</v>
      </c>
    </row>
    <row r="29" spans="3:6" ht="45">
      <c r="C29" s="63" t="s">
        <v>28</v>
      </c>
      <c r="D29" s="10" t="s">
        <v>155</v>
      </c>
      <c r="E29" s="4"/>
      <c r="F29" s="13"/>
    </row>
    <row r="30" spans="3:6" ht="30">
      <c r="C30" s="63" t="s">
        <v>29</v>
      </c>
      <c r="D30" s="10" t="s">
        <v>156</v>
      </c>
      <c r="E30" s="4"/>
      <c r="F30" s="13"/>
    </row>
    <row r="31" spans="3:6">
      <c r="C31" s="63" t="s">
        <v>30</v>
      </c>
      <c r="D31" s="10"/>
      <c r="E31" s="4"/>
      <c r="F31" s="13"/>
    </row>
    <row r="32" spans="3:6">
      <c r="C32" s="63" t="s">
        <v>31</v>
      </c>
      <c r="D32" s="10"/>
      <c r="E32" s="4"/>
      <c r="F32" s="13"/>
    </row>
    <row r="33" spans="3:8">
      <c r="C33" s="63" t="s">
        <v>32</v>
      </c>
      <c r="D33" s="10"/>
      <c r="E33" s="4"/>
      <c r="F33" s="13"/>
    </row>
    <row r="36" spans="3:8" ht="18.75">
      <c r="C36" s="5" t="s">
        <v>33</v>
      </c>
    </row>
    <row r="37" spans="3:8">
      <c r="C37" s="3" t="s">
        <v>34</v>
      </c>
      <c r="D37" s="3" t="s">
        <v>35</v>
      </c>
      <c r="E37" s="3" t="s">
        <v>36</v>
      </c>
      <c r="F37" s="3" t="s">
        <v>37</v>
      </c>
      <c r="G37" s="3" t="s">
        <v>38</v>
      </c>
      <c r="H37" s="3" t="s">
        <v>39</v>
      </c>
    </row>
    <row r="38" spans="3:8">
      <c r="C38" s="63" t="s">
        <v>40</v>
      </c>
      <c r="D38" s="10" t="s">
        <v>157</v>
      </c>
      <c r="E38" s="10" t="s">
        <v>158</v>
      </c>
      <c r="F38" s="10" t="s">
        <v>159</v>
      </c>
      <c r="G38" s="12">
        <v>0.5</v>
      </c>
      <c r="H38" s="10">
        <v>6</v>
      </c>
    </row>
    <row r="39" spans="3:8" ht="45">
      <c r="C39" s="63" t="s">
        <v>44</v>
      </c>
      <c r="D39" s="10" t="s">
        <v>41</v>
      </c>
      <c r="E39" s="10" t="s">
        <v>42</v>
      </c>
      <c r="F39" s="10" t="s">
        <v>160</v>
      </c>
      <c r="G39" s="12">
        <v>0.5</v>
      </c>
      <c r="H39" s="10">
        <v>12</v>
      </c>
    </row>
    <row r="40" spans="3:8">
      <c r="C40" s="63" t="s">
        <v>45</v>
      </c>
      <c r="D40" s="13"/>
      <c r="E40" s="13"/>
      <c r="F40" s="13"/>
      <c r="G40" s="13"/>
      <c r="H40" s="13"/>
    </row>
    <row r="41" spans="3:8">
      <c r="C41" s="63" t="s">
        <v>46</v>
      </c>
      <c r="D41" s="13"/>
      <c r="E41" s="13"/>
      <c r="F41" s="13"/>
      <c r="G41" s="13"/>
      <c r="H41" s="13"/>
    </row>
    <row r="42" spans="3:8">
      <c r="C42" s="3"/>
    </row>
    <row r="44" spans="3:8" ht="18.75">
      <c r="C44" s="5" t="s">
        <v>47</v>
      </c>
      <c r="D44" s="8"/>
    </row>
    <row r="45" spans="3:8">
      <c r="C45" s="1" t="s">
        <v>34</v>
      </c>
      <c r="D45" s="1" t="s">
        <v>26</v>
      </c>
      <c r="E45" s="1" t="s">
        <v>48</v>
      </c>
      <c r="F45" s="1" t="s">
        <v>49</v>
      </c>
    </row>
    <row r="46" spans="3:8">
      <c r="C46" s="14" t="s">
        <v>40</v>
      </c>
      <c r="D46" s="13" t="s">
        <v>28</v>
      </c>
      <c r="E46" s="13" t="s">
        <v>50</v>
      </c>
      <c r="F46" s="13" t="s">
        <v>51</v>
      </c>
    </row>
    <row r="47" spans="3:8">
      <c r="C47" s="14" t="s">
        <v>40</v>
      </c>
      <c r="D47" s="13" t="s">
        <v>28</v>
      </c>
      <c r="E47" s="13" t="s">
        <v>50</v>
      </c>
      <c r="F47" s="13" t="s">
        <v>52</v>
      </c>
    </row>
    <row r="48" spans="3:8">
      <c r="C48" s="14" t="s">
        <v>44</v>
      </c>
      <c r="D48" s="13" t="s">
        <v>29</v>
      </c>
      <c r="E48" s="13" t="s">
        <v>50</v>
      </c>
      <c r="F48" s="13" t="s">
        <v>51</v>
      </c>
    </row>
    <row r="49" spans="3:6">
      <c r="C49" s="14" t="s">
        <v>44</v>
      </c>
      <c r="D49" s="13" t="s">
        <v>29</v>
      </c>
      <c r="E49" s="13" t="s">
        <v>55</v>
      </c>
      <c r="F49" s="13" t="s">
        <v>56</v>
      </c>
    </row>
    <row r="50" spans="3:6">
      <c r="C50" s="14" t="s">
        <v>44</v>
      </c>
      <c r="D50" s="13" t="s">
        <v>29</v>
      </c>
      <c r="E50" s="13" t="s">
        <v>57</v>
      </c>
      <c r="F50" s="13" t="s">
        <v>58</v>
      </c>
    </row>
    <row r="51" spans="3:6">
      <c r="C51" s="14" t="s">
        <v>44</v>
      </c>
      <c r="D51" s="13" t="s">
        <v>29</v>
      </c>
      <c r="E51" s="13" t="s">
        <v>53</v>
      </c>
      <c r="F51" s="13" t="s">
        <v>161</v>
      </c>
    </row>
    <row r="52" spans="3:6">
      <c r="C52" s="14" t="s">
        <v>44</v>
      </c>
      <c r="D52" s="13" t="s">
        <v>29</v>
      </c>
      <c r="E52" s="13" t="s">
        <v>162</v>
      </c>
      <c r="F52" s="13" t="s">
        <v>163</v>
      </c>
    </row>
    <row r="53" spans="3:6">
      <c r="C53" s="14" t="s">
        <v>44</v>
      </c>
      <c r="D53" s="13" t="s">
        <v>29</v>
      </c>
      <c r="E53" s="13" t="s">
        <v>162</v>
      </c>
      <c r="F53" s="13" t="s">
        <v>164</v>
      </c>
    </row>
    <row r="54" spans="3:6">
      <c r="C54" s="14" t="s">
        <v>44</v>
      </c>
      <c r="D54" s="13" t="s">
        <v>29</v>
      </c>
      <c r="E54" s="13" t="s">
        <v>106</v>
      </c>
      <c r="F54" s="13"/>
    </row>
    <row r="55" spans="3:6">
      <c r="C55" s="14" t="s">
        <v>44</v>
      </c>
      <c r="D55" s="13" t="s">
        <v>29</v>
      </c>
      <c r="E55" s="13" t="s">
        <v>100</v>
      </c>
      <c r="F55" s="13" t="s">
        <v>101</v>
      </c>
    </row>
    <row r="56" spans="3:6">
      <c r="C56" s="14"/>
      <c r="D56" s="13"/>
      <c r="E56" s="13"/>
      <c r="F56" s="13"/>
    </row>
    <row r="57" spans="3:6">
      <c r="C57" s="14"/>
      <c r="D57" s="13"/>
      <c r="E57" s="13"/>
      <c r="F57" s="13"/>
    </row>
    <row r="58" spans="3:6">
      <c r="C58" s="14"/>
      <c r="D58" s="13"/>
      <c r="E58" s="13"/>
      <c r="F58" s="13"/>
    </row>
    <row r="59" spans="3:6">
      <c r="C59" s="14"/>
      <c r="D59" s="13"/>
      <c r="E59" s="13"/>
      <c r="F59" s="13"/>
    </row>
    <row r="60" spans="3:6">
      <c r="C60" s="14"/>
      <c r="D60" s="13"/>
      <c r="E60" s="13"/>
      <c r="F60" s="13"/>
    </row>
    <row r="61" spans="3:6">
      <c r="C61" s="14"/>
      <c r="D61" s="13"/>
      <c r="E61" s="13"/>
      <c r="F61" s="13"/>
    </row>
    <row r="62" spans="3:6">
      <c r="C62" s="14"/>
      <c r="D62" s="13"/>
      <c r="E62" s="13"/>
      <c r="F62" s="13"/>
    </row>
    <row r="63" spans="3:6">
      <c r="C63" s="14"/>
      <c r="D63" s="13"/>
      <c r="E63" s="13"/>
      <c r="F63" s="13"/>
    </row>
    <row r="64" spans="3:6">
      <c r="C64" s="14"/>
      <c r="D64" s="13"/>
      <c r="E64" s="13"/>
      <c r="F64" s="13"/>
    </row>
    <row r="65" spans="2:6">
      <c r="C65" s="14"/>
      <c r="D65" s="13"/>
      <c r="E65" s="13"/>
      <c r="F65" s="13"/>
    </row>
    <row r="66" spans="2:6">
      <c r="C66" s="14"/>
      <c r="D66" s="13"/>
      <c r="E66" s="13"/>
      <c r="F66" s="13"/>
    </row>
    <row r="69" spans="2:6" ht="18.75">
      <c r="C69" s="5" t="s">
        <v>59</v>
      </c>
    </row>
    <row r="70" spans="2:6">
      <c r="B70" t="s">
        <v>60</v>
      </c>
      <c r="C70" s="1" t="s">
        <v>61</v>
      </c>
      <c r="D70" s="1" t="s">
        <v>62</v>
      </c>
      <c r="E70" s="1" t="s">
        <v>63</v>
      </c>
      <c r="F70" s="1" t="s">
        <v>64</v>
      </c>
    </row>
    <row r="71" spans="2:6">
      <c r="B71" s="64">
        <v>1</v>
      </c>
      <c r="C71" s="65">
        <v>1</v>
      </c>
      <c r="D71" s="10"/>
      <c r="E71" s="10"/>
      <c r="F71" s="10"/>
    </row>
    <row r="72" spans="2:6">
      <c r="B72" s="64">
        <v>1</v>
      </c>
      <c r="C72" s="65">
        <v>2</v>
      </c>
      <c r="D72" s="10"/>
      <c r="E72" s="10"/>
      <c r="F72" s="10"/>
    </row>
    <row r="73" spans="2:6">
      <c r="B73" s="64">
        <v>1</v>
      </c>
      <c r="C73" s="65">
        <v>3</v>
      </c>
      <c r="D73" s="10"/>
      <c r="E73" s="10"/>
      <c r="F73" s="10"/>
    </row>
    <row r="74" spans="2:6">
      <c r="B74" s="64">
        <v>1</v>
      </c>
      <c r="C74" s="65">
        <v>4</v>
      </c>
      <c r="D74" s="10"/>
      <c r="E74" s="10"/>
      <c r="F74" s="10"/>
    </row>
    <row r="75" spans="2:6">
      <c r="B75" s="64">
        <v>1</v>
      </c>
      <c r="C75" s="65">
        <v>5</v>
      </c>
      <c r="D75" s="10"/>
      <c r="E75" s="10"/>
      <c r="F75" s="10"/>
    </row>
    <row r="76" spans="2:6">
      <c r="B76" s="64">
        <v>1</v>
      </c>
      <c r="C76" s="65">
        <v>6</v>
      </c>
      <c r="D76" s="10"/>
      <c r="E76" s="10"/>
      <c r="F76" s="10"/>
    </row>
    <row r="77" spans="2:6">
      <c r="B77" s="64">
        <v>1</v>
      </c>
      <c r="C77" s="65">
        <v>7</v>
      </c>
      <c r="D77" s="10"/>
      <c r="E77" s="10"/>
      <c r="F77" s="10"/>
    </row>
    <row r="78" spans="2:6">
      <c r="B78" s="64">
        <v>1</v>
      </c>
      <c r="C78" s="65">
        <v>8</v>
      </c>
      <c r="D78" s="10"/>
      <c r="E78" s="10"/>
      <c r="F78" s="10"/>
    </row>
    <row r="79" spans="2:6">
      <c r="B79" s="64">
        <v>1</v>
      </c>
      <c r="C79" s="65">
        <v>9</v>
      </c>
      <c r="D79" s="10"/>
      <c r="E79" s="10"/>
      <c r="F79" s="10"/>
    </row>
    <row r="80" spans="2:6">
      <c r="B80" s="64">
        <v>1</v>
      </c>
      <c r="C80" s="65">
        <v>10</v>
      </c>
      <c r="D80" s="10"/>
      <c r="E80" s="10"/>
      <c r="F80" s="10"/>
    </row>
    <row r="81" spans="2:6">
      <c r="B81" s="64">
        <v>1</v>
      </c>
      <c r="C81" s="65">
        <v>11</v>
      </c>
      <c r="D81" s="10"/>
      <c r="E81" s="10"/>
      <c r="F81" s="10"/>
    </row>
    <row r="82" spans="2:6">
      <c r="B82" s="64">
        <v>1</v>
      </c>
      <c r="C82" s="65">
        <v>12</v>
      </c>
      <c r="D82" s="10"/>
      <c r="E82" s="10"/>
      <c r="F82" s="10"/>
    </row>
    <row r="83" spans="2:6" ht="30">
      <c r="B83" s="64">
        <v>2</v>
      </c>
      <c r="C83" s="65">
        <v>1</v>
      </c>
      <c r="D83" s="10" t="s">
        <v>165</v>
      </c>
      <c r="E83" s="10" t="s">
        <v>166</v>
      </c>
      <c r="F83" s="10"/>
    </row>
    <row r="84" spans="2:6" ht="30">
      <c r="B84" s="64">
        <v>2</v>
      </c>
      <c r="C84" s="65">
        <v>2</v>
      </c>
      <c r="D84" s="10" t="s">
        <v>167</v>
      </c>
      <c r="E84" s="10" t="s">
        <v>166</v>
      </c>
      <c r="F84" s="10"/>
    </row>
    <row r="85" spans="2:6" ht="30">
      <c r="B85" s="64">
        <v>2</v>
      </c>
      <c r="C85" s="65">
        <v>3</v>
      </c>
      <c r="D85" s="10" t="s">
        <v>168</v>
      </c>
      <c r="E85" s="10" t="s">
        <v>166</v>
      </c>
      <c r="F85" s="10"/>
    </row>
    <row r="86" spans="2:6" ht="30">
      <c r="B86" s="64">
        <v>2</v>
      </c>
      <c r="C86" s="65">
        <v>4</v>
      </c>
      <c r="D86" s="10" t="s">
        <v>169</v>
      </c>
      <c r="E86" s="10" t="s">
        <v>166</v>
      </c>
      <c r="F86" s="10"/>
    </row>
    <row r="87" spans="2:6">
      <c r="B87" s="64">
        <v>2</v>
      </c>
      <c r="C87" s="65">
        <v>5</v>
      </c>
      <c r="D87" s="10" t="s">
        <v>170</v>
      </c>
      <c r="E87" s="10" t="s">
        <v>166</v>
      </c>
      <c r="F87" s="10"/>
    </row>
    <row r="88" spans="2:6">
      <c r="B88" s="64">
        <v>2</v>
      </c>
      <c r="C88" s="65">
        <v>6</v>
      </c>
      <c r="D88" s="10" t="s">
        <v>171</v>
      </c>
      <c r="E88" s="10"/>
      <c r="F88" s="10"/>
    </row>
    <row r="89" spans="2:6">
      <c r="B89" s="64">
        <v>2</v>
      </c>
      <c r="C89" s="65">
        <v>7</v>
      </c>
      <c r="D89" s="10" t="s">
        <v>172</v>
      </c>
      <c r="E89" s="10"/>
      <c r="F89" s="10"/>
    </row>
    <row r="90" spans="2:6">
      <c r="B90" s="64">
        <v>2</v>
      </c>
      <c r="C90" s="65">
        <v>8</v>
      </c>
      <c r="D90" s="10" t="s">
        <v>173</v>
      </c>
      <c r="E90" s="10"/>
      <c r="F90" s="10"/>
    </row>
    <row r="91" spans="2:6">
      <c r="B91" s="64">
        <v>2</v>
      </c>
      <c r="C91" s="65">
        <v>9</v>
      </c>
      <c r="D91" s="10" t="s">
        <v>174</v>
      </c>
      <c r="E91" s="10"/>
      <c r="F91" s="10"/>
    </row>
    <row r="92" spans="2:6">
      <c r="B92" s="64">
        <v>2</v>
      </c>
      <c r="C92" s="65">
        <v>10</v>
      </c>
      <c r="D92" s="10" t="s">
        <v>175</v>
      </c>
      <c r="E92" s="10"/>
      <c r="F92" s="10"/>
    </row>
    <row r="93" spans="2:6">
      <c r="B93" s="64">
        <v>2</v>
      </c>
      <c r="C93" s="65">
        <v>11</v>
      </c>
      <c r="D93" s="10" t="s">
        <v>176</v>
      </c>
      <c r="E93" s="10"/>
      <c r="F93" s="10"/>
    </row>
    <row r="94" spans="2:6">
      <c r="B94" s="64">
        <v>2</v>
      </c>
      <c r="C94" s="65">
        <v>12</v>
      </c>
      <c r="D94" s="10" t="s">
        <v>177</v>
      </c>
      <c r="E94" s="10"/>
      <c r="F94" s="10"/>
    </row>
  </sheetData>
  <sheetProtection sheet="1" objects="1" scenarios="1" formatCells="0" formatColumns="0" formatRows="0" insertHyperlinks="0"/>
  <dataValidations count="5">
    <dataValidation type="list" allowBlank="1" showInputMessage="1" showErrorMessage="1" sqref="E38:E41" xr:uid="{4F61FD83-BA76-4846-8A76-A0D69183BC96}">
      <formula1>INDIRECT("LISTAssess[Assessment Specific]")</formula1>
    </dataValidation>
    <dataValidation type="whole" showInputMessage="1" showErrorMessage="1" error="This is not a realistic number of contact hours please change" sqref="D19" xr:uid="{DAAE5C88-557B-4B2E-B555-15451962B166}">
      <formula1>0</formula1>
      <formula2>80</formula2>
    </dataValidation>
    <dataValidation type="whole" showInputMessage="1" showErrorMessage="1" error="This is not a realistic number of contact hours please reduce" sqref="D20:D23" xr:uid="{0037F989-4B02-4A07-9D18-1C12B5698F5C}">
      <formula1>0</formula1>
      <formula2>80</formula2>
    </dataValidation>
    <dataValidation type="list" allowBlank="1" showInputMessage="1" showErrorMessage="1" sqref="F46:F53 F57:F66 F55" xr:uid="{CC6FA5B0-B561-4B67-AE2B-413382372808}">
      <formula1>INDIRECT(VLOOKUP($E46, SkillNameMap, 2, FALSE))</formula1>
    </dataValidation>
    <dataValidation type="list" allowBlank="1" showInputMessage="1" showErrorMessage="1" sqref="F54" xr:uid="{67B4E250-629A-4AC6-B02E-139C5B313312}">
      <formula1>INDIRECT(VLOOKUP(#REF!,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7B592A70-256C-4167-AEF1-D2B740D9164E}">
          <x14:formula1>
            <xm:f>LISTS!$E$7:$E$11</xm:f>
          </x14:formula1>
          <xm:sqref>D46:D66</xm:sqref>
        </x14:dataValidation>
        <x14:dataValidation type="list" allowBlank="1" showInputMessage="1" showErrorMessage="1" xr:uid="{97F9B76B-627B-40C0-BFF7-FF4C15C7CBB3}">
          <x14:formula1>
            <xm:f>LISTS!$G$7:$G$11</xm:f>
          </x14:formula1>
          <xm:sqref>D38:D42</xm:sqref>
        </x14:dataValidation>
        <x14:dataValidation type="list" allowBlank="1" showInputMessage="1" showErrorMessage="1" xr:uid="{2A43FFD7-7A18-496A-A290-A5641D9764E4}">
          <x14:formula1>
            <xm:f>LISTS!$C$11:$C$15</xm:f>
          </x14:formula1>
          <xm:sqref>D11</xm:sqref>
        </x14:dataValidation>
        <x14:dataValidation type="list" allowBlank="1" showInputMessage="1" showErrorMessage="1" xr:uid="{4073EADC-0402-4A34-84BF-8F25DBD0A3AD}">
          <x14:formula1>
            <xm:f>LISTS!$C$7:$C$9</xm:f>
          </x14:formula1>
          <xm:sqref>D10</xm:sqref>
        </x14:dataValidation>
        <x14:dataValidation type="list" allowBlank="1" showInputMessage="1" showErrorMessage="1" xr:uid="{B5E775B6-58BD-4A92-8BE7-141D2A114B67}">
          <x14:formula1>
            <xm:f>LISTS!$C$17:$C$22</xm:f>
          </x14:formula1>
          <xm:sqref>D13</xm:sqref>
        </x14:dataValidation>
        <x14:dataValidation type="list" allowBlank="1" showInputMessage="1" showErrorMessage="1" xr:uid="{5BE6E84D-09F0-4F84-B2C6-30F070F3A0E8}">
          <x14:formula1>
            <xm:f>LISTS!$C$26:$C$37</xm:f>
          </x14:formula1>
          <xm:sqref>D14</xm:sqref>
        </x14:dataValidation>
        <x14:dataValidation type="list" allowBlank="1" showInputMessage="1" showErrorMessage="1" xr:uid="{31B018F6-4745-40E1-AEE9-5B11A4FA6382}">
          <x14:formula1>
            <xm:f>LISTS!$J$7:$J$16</xm:f>
          </x14:formula1>
          <xm:sqref>E46:E55 E57:E66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74201E-C1C9-4F7F-8205-AF7BE74FA433}">
  <sheetPr codeName="Sheet13"/>
  <dimension ref="B2:H85"/>
  <sheetViews>
    <sheetView showGridLines="0" topLeftCell="B17" zoomScaleNormal="85" workbookViewId="0">
      <selection activeCell="I31" sqref="I31"/>
    </sheetView>
  </sheetViews>
  <sheetFormatPr defaultColWidth="8.85546875" defaultRowHeight="15"/>
  <cols>
    <col min="3" max="3" width="33.28515625" customWidth="1"/>
    <col min="4" max="4" width="55.140625" customWidth="1"/>
    <col min="5" max="5" width="67.28515625" customWidth="1"/>
    <col min="6" max="6" width="63.140625" customWidth="1"/>
    <col min="7" max="7" width="12.42578125" customWidth="1"/>
    <col min="8" max="8" width="15.42578125" customWidth="1"/>
    <col min="9" max="9" width="14.7109375" customWidth="1"/>
  </cols>
  <sheetData>
    <row r="2" spans="2:6" ht="26.25">
      <c r="C2" s="9" t="str">
        <f>D7</f>
        <v>4091SPS</v>
      </c>
      <c r="D2" s="9" t="str">
        <f>D8</f>
        <v>Research Methods 1</v>
      </c>
    </row>
    <row r="3" spans="2:6">
      <c r="B3" s="1"/>
      <c r="C3" s="1"/>
    </row>
    <row r="4" spans="2:6">
      <c r="B4" s="2"/>
      <c r="C4" s="2"/>
    </row>
    <row r="5" spans="2:6" ht="18.75">
      <c r="B5" s="2"/>
      <c r="C5" s="5" t="s">
        <v>0</v>
      </c>
    </row>
    <row r="6" spans="2:6">
      <c r="B6" s="2"/>
      <c r="C6" s="3" t="s">
        <v>1</v>
      </c>
      <c r="D6" s="4" t="s">
        <v>2</v>
      </c>
      <c r="E6" s="4"/>
      <c r="F6" t="s">
        <v>3</v>
      </c>
    </row>
    <row r="7" spans="2:6">
      <c r="B7" s="2"/>
      <c r="C7" s="63" t="s">
        <v>4</v>
      </c>
      <c r="D7" s="10" t="s">
        <v>178</v>
      </c>
      <c r="E7" s="4"/>
      <c r="F7" s="10"/>
    </row>
    <row r="8" spans="2:6" ht="45">
      <c r="B8" s="2"/>
      <c r="C8" s="63" t="s">
        <v>6</v>
      </c>
      <c r="D8" s="10" t="s">
        <v>179</v>
      </c>
      <c r="E8" s="4"/>
      <c r="F8" s="10" t="s">
        <v>180</v>
      </c>
    </row>
    <row r="9" spans="2:6">
      <c r="C9" s="63" t="s">
        <v>7</v>
      </c>
      <c r="D9" s="10">
        <v>20</v>
      </c>
      <c r="E9" s="4"/>
    </row>
    <row r="10" spans="2:6">
      <c r="C10" s="63" t="s">
        <v>8</v>
      </c>
      <c r="D10" s="10">
        <v>2</v>
      </c>
      <c r="E10" s="4"/>
      <c r="F10" t="s">
        <v>9</v>
      </c>
    </row>
    <row r="11" spans="2:6" ht="30">
      <c r="C11" s="63" t="s">
        <v>10</v>
      </c>
      <c r="D11" s="10">
        <v>4</v>
      </c>
      <c r="E11" s="4"/>
      <c r="F11" s="37" t="s">
        <v>181</v>
      </c>
    </row>
    <row r="12" spans="2:6" ht="30">
      <c r="C12" s="63" t="s">
        <v>11</v>
      </c>
      <c r="D12" s="10" t="s">
        <v>182</v>
      </c>
      <c r="E12" s="4"/>
      <c r="F12" s="10" t="s">
        <v>183</v>
      </c>
    </row>
    <row r="13" spans="2:6">
      <c r="C13" s="63" t="s">
        <v>12</v>
      </c>
      <c r="D13" s="10" t="s">
        <v>184</v>
      </c>
      <c r="E13" s="4"/>
      <c r="F13" s="13" t="s">
        <v>185</v>
      </c>
    </row>
    <row r="14" spans="2:6">
      <c r="C14" s="63" t="s">
        <v>13</v>
      </c>
      <c r="D14" s="10" t="s">
        <v>186</v>
      </c>
      <c r="E14" s="4"/>
    </row>
    <row r="15" spans="2:6">
      <c r="C15" s="3"/>
      <c r="D15" s="4"/>
      <c r="E15" s="4"/>
      <c r="F15" t="s">
        <v>14</v>
      </c>
    </row>
    <row r="16" spans="2:6">
      <c r="C16" s="3"/>
      <c r="D16" s="4"/>
      <c r="E16" s="4"/>
      <c r="F16" s="37"/>
    </row>
    <row r="17" spans="3:6" ht="150">
      <c r="C17" s="5" t="s">
        <v>15</v>
      </c>
      <c r="D17" s="4"/>
      <c r="E17" s="4"/>
      <c r="F17" s="10" t="s">
        <v>187</v>
      </c>
    </row>
    <row r="18" spans="3:6">
      <c r="C18" s="3" t="s">
        <v>16</v>
      </c>
      <c r="D18" s="1" t="s">
        <v>15</v>
      </c>
      <c r="E18" s="4"/>
      <c r="F18" s="13"/>
    </row>
    <row r="19" spans="3:6">
      <c r="C19" s="63" t="s">
        <v>17</v>
      </c>
      <c r="D19" s="11">
        <v>34</v>
      </c>
      <c r="E19" s="4"/>
      <c r="F19" s="13"/>
    </row>
    <row r="20" spans="3:6">
      <c r="C20" s="63" t="s">
        <v>18</v>
      </c>
      <c r="D20" s="11">
        <v>6</v>
      </c>
      <c r="E20" s="4"/>
      <c r="F20" s="13"/>
    </row>
    <row r="21" spans="3:6">
      <c r="C21" s="63" t="s">
        <v>19</v>
      </c>
      <c r="D21" s="11"/>
      <c r="E21" s="4"/>
    </row>
    <row r="22" spans="3:6">
      <c r="C22" s="63" t="s">
        <v>20</v>
      </c>
      <c r="D22" s="11">
        <v>4</v>
      </c>
      <c r="E22" s="4"/>
      <c r="F22" t="s">
        <v>21</v>
      </c>
    </row>
    <row r="23" spans="3:6" ht="90">
      <c r="C23" s="63" t="s">
        <v>22</v>
      </c>
      <c r="D23" s="11"/>
      <c r="E23" s="4"/>
      <c r="F23" s="20" t="s">
        <v>188</v>
      </c>
    </row>
    <row r="24" spans="3:6">
      <c r="C24" s="63" t="s">
        <v>23</v>
      </c>
      <c r="D24" s="1">
        <f>SUM(D19:D23)</f>
        <v>44</v>
      </c>
      <c r="E24" s="4"/>
      <c r="F24" s="13"/>
    </row>
    <row r="25" spans="3:6">
      <c r="F25" s="13"/>
    </row>
    <row r="26" spans="3:6">
      <c r="F26" s="13"/>
    </row>
    <row r="27" spans="3:6" ht="18.75">
      <c r="C27" s="5" t="s">
        <v>24</v>
      </c>
      <c r="D27" s="8" t="s">
        <v>25</v>
      </c>
      <c r="F27" s="13"/>
    </row>
    <row r="28" spans="3:6">
      <c r="C28" s="3" t="s">
        <v>26</v>
      </c>
      <c r="D28" s="3" t="s">
        <v>27</v>
      </c>
      <c r="E28" s="3"/>
      <c r="F28" s="13"/>
    </row>
    <row r="29" spans="3:6">
      <c r="C29" s="63" t="s">
        <v>28</v>
      </c>
      <c r="D29" s="66" t="s">
        <v>189</v>
      </c>
      <c r="E29" s="4"/>
      <c r="F29" s="13"/>
    </row>
    <row r="30" spans="3:6">
      <c r="C30" s="63" t="s">
        <v>29</v>
      </c>
      <c r="D30" s="66" t="s">
        <v>190</v>
      </c>
      <c r="E30" s="4"/>
      <c r="F30" s="13"/>
    </row>
    <row r="31" spans="3:6">
      <c r="C31" s="63" t="s">
        <v>30</v>
      </c>
      <c r="D31" s="10"/>
      <c r="E31" s="4"/>
      <c r="F31" s="13"/>
    </row>
    <row r="32" spans="3:6">
      <c r="C32" s="63" t="s">
        <v>31</v>
      </c>
      <c r="D32" s="10"/>
      <c r="E32" s="4"/>
      <c r="F32" s="13"/>
    </row>
    <row r="33" spans="3:8">
      <c r="C33" s="63" t="s">
        <v>32</v>
      </c>
      <c r="D33" s="10"/>
      <c r="E33" s="4"/>
      <c r="F33" s="13"/>
    </row>
    <row r="36" spans="3:8" ht="18.75">
      <c r="C36" s="5" t="s">
        <v>33</v>
      </c>
    </row>
    <row r="37" spans="3:8">
      <c r="C37" s="3" t="s">
        <v>34</v>
      </c>
      <c r="D37" s="3" t="s">
        <v>35</v>
      </c>
      <c r="E37" s="3" t="s">
        <v>36</v>
      </c>
      <c r="F37" s="3" t="s">
        <v>37</v>
      </c>
      <c r="G37" s="3" t="s">
        <v>38</v>
      </c>
      <c r="H37" s="3" t="s">
        <v>39</v>
      </c>
    </row>
    <row r="38" spans="3:8" ht="45">
      <c r="C38" s="63" t="s">
        <v>40</v>
      </c>
      <c r="D38" s="10" t="s">
        <v>157</v>
      </c>
      <c r="E38" s="10"/>
      <c r="F38" s="10" t="s">
        <v>191</v>
      </c>
      <c r="G38" s="12">
        <v>0.3</v>
      </c>
      <c r="H38" s="10">
        <v>7</v>
      </c>
    </row>
    <row r="39" spans="3:8" ht="60">
      <c r="C39" s="63" t="s">
        <v>44</v>
      </c>
      <c r="D39" s="10" t="s">
        <v>157</v>
      </c>
      <c r="E39" s="10"/>
      <c r="F39" s="10" t="s">
        <v>192</v>
      </c>
      <c r="G39" s="12">
        <v>0.7</v>
      </c>
      <c r="H39" s="10" t="s">
        <v>193</v>
      </c>
    </row>
    <row r="40" spans="3:8">
      <c r="C40" s="63" t="s">
        <v>45</v>
      </c>
      <c r="D40" s="13"/>
      <c r="E40" s="13"/>
      <c r="F40" s="13"/>
      <c r="G40" s="13"/>
      <c r="H40" s="13"/>
    </row>
    <row r="41" spans="3:8">
      <c r="C41" s="63" t="s">
        <v>46</v>
      </c>
      <c r="D41" s="13"/>
      <c r="E41" s="13"/>
      <c r="F41" s="13"/>
      <c r="G41" s="13"/>
      <c r="H41" s="13"/>
    </row>
    <row r="42" spans="3:8">
      <c r="C42" s="3"/>
    </row>
    <row r="44" spans="3:8" ht="18.75">
      <c r="C44" s="5" t="s">
        <v>47</v>
      </c>
      <c r="D44" s="8"/>
    </row>
    <row r="45" spans="3:8">
      <c r="C45" s="1" t="s">
        <v>34</v>
      </c>
      <c r="D45" s="1" t="s">
        <v>26</v>
      </c>
      <c r="E45" s="1" t="s">
        <v>48</v>
      </c>
      <c r="F45" s="1" t="s">
        <v>49</v>
      </c>
    </row>
    <row r="46" spans="3:8">
      <c r="C46" s="14" t="s">
        <v>40</v>
      </c>
      <c r="D46" s="13" t="s">
        <v>28</v>
      </c>
      <c r="E46" s="13" t="s">
        <v>50</v>
      </c>
      <c r="F46" s="13" t="s">
        <v>51</v>
      </c>
    </row>
    <row r="47" spans="3:8">
      <c r="C47" s="14" t="s">
        <v>40</v>
      </c>
      <c r="D47" s="13" t="s">
        <v>28</v>
      </c>
      <c r="E47" s="13" t="s">
        <v>50</v>
      </c>
      <c r="F47" s="13" t="s">
        <v>52</v>
      </c>
    </row>
    <row r="48" spans="3:8">
      <c r="C48" s="14" t="s">
        <v>40</v>
      </c>
      <c r="D48" s="13" t="s">
        <v>29</v>
      </c>
      <c r="E48" s="13" t="s">
        <v>57</v>
      </c>
      <c r="F48" s="13" t="s">
        <v>58</v>
      </c>
    </row>
    <row r="49" spans="2:6">
      <c r="C49" s="14" t="s">
        <v>40</v>
      </c>
      <c r="D49" s="13" t="s">
        <v>29</v>
      </c>
      <c r="E49" s="13" t="s">
        <v>53</v>
      </c>
      <c r="F49" s="13" t="s">
        <v>161</v>
      </c>
    </row>
    <row r="50" spans="2:6">
      <c r="C50" s="14" t="s">
        <v>40</v>
      </c>
      <c r="D50" s="13" t="s">
        <v>28</v>
      </c>
      <c r="E50" s="13" t="s">
        <v>162</v>
      </c>
      <c r="F50" s="13" t="s">
        <v>164</v>
      </c>
    </row>
    <row r="51" spans="2:6">
      <c r="C51" s="14" t="s">
        <v>40</v>
      </c>
      <c r="D51" s="13" t="s">
        <v>29</v>
      </c>
      <c r="E51" s="13" t="s">
        <v>100</v>
      </c>
      <c r="F51" s="13" t="s">
        <v>101</v>
      </c>
    </row>
    <row r="52" spans="2:6">
      <c r="C52" s="14" t="s">
        <v>44</v>
      </c>
      <c r="D52" s="13" t="s">
        <v>28</v>
      </c>
      <c r="E52" s="13" t="s">
        <v>50</v>
      </c>
      <c r="F52" s="13" t="s">
        <v>51</v>
      </c>
    </row>
    <row r="53" spans="2:6">
      <c r="C53" s="14" t="s">
        <v>44</v>
      </c>
      <c r="D53" s="13" t="s">
        <v>28</v>
      </c>
      <c r="E53" s="13" t="s">
        <v>50</v>
      </c>
      <c r="F53" s="13" t="s">
        <v>52</v>
      </c>
    </row>
    <row r="54" spans="2:6">
      <c r="C54" s="14" t="s">
        <v>44</v>
      </c>
      <c r="D54" s="13" t="s">
        <v>29</v>
      </c>
      <c r="E54" s="13" t="s">
        <v>57</v>
      </c>
      <c r="F54" s="13" t="s">
        <v>58</v>
      </c>
    </row>
    <row r="55" spans="2:6">
      <c r="C55" s="14" t="s">
        <v>44</v>
      </c>
      <c r="D55" s="13" t="s">
        <v>29</v>
      </c>
      <c r="E55" s="13" t="s">
        <v>53</v>
      </c>
      <c r="F55" s="13" t="s">
        <v>161</v>
      </c>
    </row>
    <row r="56" spans="2:6">
      <c r="C56" s="14" t="s">
        <v>44</v>
      </c>
      <c r="D56" s="13" t="s">
        <v>28</v>
      </c>
      <c r="E56" s="13" t="s">
        <v>162</v>
      </c>
      <c r="F56" s="13" t="s">
        <v>164</v>
      </c>
    </row>
    <row r="57" spans="2:6">
      <c r="C57" s="14" t="s">
        <v>44</v>
      </c>
      <c r="D57" s="13" t="s">
        <v>29</v>
      </c>
      <c r="E57" s="13" t="s">
        <v>100</v>
      </c>
      <c r="F57" s="13" t="s">
        <v>101</v>
      </c>
    </row>
    <row r="58" spans="2:6">
      <c r="C58" s="6"/>
    </row>
    <row r="59" spans="2:6">
      <c r="C59" s="6"/>
    </row>
    <row r="60" spans="2:6" ht="18.75">
      <c r="C60" s="5" t="s">
        <v>59</v>
      </c>
    </row>
    <row r="61" spans="2:6">
      <c r="B61" t="s">
        <v>60</v>
      </c>
      <c r="C61" s="1" t="s">
        <v>61</v>
      </c>
      <c r="D61" s="1" t="s">
        <v>62</v>
      </c>
      <c r="E61" s="1" t="s">
        <v>63</v>
      </c>
      <c r="F61" s="1" t="s">
        <v>64</v>
      </c>
    </row>
    <row r="62" spans="2:6">
      <c r="B62" s="64">
        <v>1</v>
      </c>
      <c r="C62" s="65">
        <v>1</v>
      </c>
      <c r="D62" s="10"/>
      <c r="E62" s="10"/>
      <c r="F62" s="10"/>
    </row>
    <row r="63" spans="2:6">
      <c r="B63" s="64">
        <v>1</v>
      </c>
      <c r="C63" s="65">
        <v>2</v>
      </c>
      <c r="D63" s="10"/>
      <c r="E63" s="10"/>
      <c r="F63" s="10"/>
    </row>
    <row r="64" spans="2:6">
      <c r="B64" s="64">
        <v>1</v>
      </c>
      <c r="C64" s="65">
        <v>3</v>
      </c>
      <c r="D64" s="10"/>
      <c r="E64" s="10"/>
      <c r="F64" s="10"/>
    </row>
    <row r="65" spans="2:6">
      <c r="B65" s="64">
        <v>1</v>
      </c>
      <c r="C65" s="65">
        <v>4</v>
      </c>
      <c r="D65" s="10"/>
      <c r="E65" s="10"/>
      <c r="F65" s="10"/>
    </row>
    <row r="66" spans="2:6">
      <c r="B66" s="64">
        <v>1</v>
      </c>
      <c r="C66" s="65">
        <v>5</v>
      </c>
      <c r="D66" s="10"/>
      <c r="E66" s="10"/>
      <c r="F66" s="10"/>
    </row>
    <row r="67" spans="2:6">
      <c r="B67" s="64">
        <v>1</v>
      </c>
      <c r="C67" s="65">
        <v>6</v>
      </c>
      <c r="D67" s="10"/>
      <c r="E67" s="10"/>
      <c r="F67" s="10"/>
    </row>
    <row r="68" spans="2:6">
      <c r="B68" s="64">
        <v>1</v>
      </c>
      <c r="C68" s="65">
        <v>7</v>
      </c>
      <c r="D68" s="10"/>
      <c r="E68" s="10"/>
      <c r="F68" s="10"/>
    </row>
    <row r="69" spans="2:6">
      <c r="B69" s="64">
        <v>1</v>
      </c>
      <c r="C69" s="65">
        <v>8</v>
      </c>
      <c r="D69" s="10"/>
      <c r="E69" s="10"/>
      <c r="F69" s="10"/>
    </row>
    <row r="70" spans="2:6">
      <c r="B70" s="64">
        <v>1</v>
      </c>
      <c r="C70" s="65">
        <v>9</v>
      </c>
      <c r="D70" s="10"/>
      <c r="E70" s="10"/>
      <c r="F70" s="10"/>
    </row>
    <row r="71" spans="2:6">
      <c r="B71" s="64">
        <v>1</v>
      </c>
      <c r="C71" s="65">
        <v>10</v>
      </c>
      <c r="D71" s="10"/>
      <c r="E71" s="10"/>
      <c r="F71" s="10"/>
    </row>
    <row r="72" spans="2:6">
      <c r="B72" s="64">
        <v>1</v>
      </c>
      <c r="C72" s="65">
        <v>11</v>
      </c>
      <c r="D72" s="10"/>
      <c r="E72" s="10"/>
      <c r="F72" s="10"/>
    </row>
    <row r="73" spans="2:6">
      <c r="B73" s="64">
        <v>1</v>
      </c>
      <c r="C73" s="65">
        <v>12</v>
      </c>
      <c r="D73" s="10"/>
      <c r="E73" s="10"/>
      <c r="F73" s="10"/>
    </row>
    <row r="74" spans="2:6">
      <c r="B74" s="64">
        <v>2</v>
      </c>
      <c r="C74" s="65">
        <v>1</v>
      </c>
      <c r="D74" s="10" t="s">
        <v>194</v>
      </c>
      <c r="E74" s="10" t="s">
        <v>195</v>
      </c>
      <c r="F74" s="10" t="s">
        <v>196</v>
      </c>
    </row>
    <row r="75" spans="2:6">
      <c r="B75" s="64">
        <v>2</v>
      </c>
      <c r="C75" s="65">
        <v>2</v>
      </c>
      <c r="D75" s="10" t="s">
        <v>197</v>
      </c>
      <c r="E75" s="10" t="s">
        <v>198</v>
      </c>
      <c r="F75" s="10"/>
    </row>
    <row r="76" spans="2:6">
      <c r="B76" s="64">
        <v>2</v>
      </c>
      <c r="C76" s="65">
        <v>3</v>
      </c>
      <c r="D76" s="10" t="s">
        <v>199</v>
      </c>
      <c r="E76" s="10" t="s">
        <v>199</v>
      </c>
      <c r="F76" s="10"/>
    </row>
    <row r="77" spans="2:6">
      <c r="B77" s="64">
        <v>2</v>
      </c>
      <c r="C77" s="65">
        <v>4</v>
      </c>
      <c r="D77" s="10" t="s">
        <v>200</v>
      </c>
      <c r="E77" s="10" t="s">
        <v>201</v>
      </c>
      <c r="F77" s="10"/>
    </row>
    <row r="78" spans="2:6">
      <c r="B78" s="64">
        <v>2</v>
      </c>
      <c r="C78" s="65">
        <v>5</v>
      </c>
      <c r="D78" s="10" t="s">
        <v>202</v>
      </c>
      <c r="E78" s="10" t="s">
        <v>203</v>
      </c>
      <c r="F78" s="10"/>
    </row>
    <row r="79" spans="2:6">
      <c r="B79" s="64">
        <v>2</v>
      </c>
      <c r="C79" s="65">
        <v>6</v>
      </c>
      <c r="D79" s="10" t="s">
        <v>204</v>
      </c>
      <c r="E79" s="10" t="s">
        <v>205</v>
      </c>
      <c r="F79" s="10"/>
    </row>
    <row r="80" spans="2:6">
      <c r="B80" s="64">
        <v>2</v>
      </c>
      <c r="C80" s="65">
        <v>7</v>
      </c>
      <c r="D80" s="10" t="s">
        <v>206</v>
      </c>
      <c r="E80" s="10"/>
      <c r="F80" s="10"/>
    </row>
    <row r="81" spans="2:6">
      <c r="B81" s="64">
        <v>2</v>
      </c>
      <c r="C81" s="65">
        <v>8</v>
      </c>
      <c r="D81" s="10" t="s">
        <v>207</v>
      </c>
      <c r="E81" s="10"/>
      <c r="F81" s="10" t="s">
        <v>208</v>
      </c>
    </row>
    <row r="82" spans="2:6">
      <c r="B82" s="64">
        <v>2</v>
      </c>
      <c r="C82" s="65">
        <v>9</v>
      </c>
      <c r="D82" s="10" t="s">
        <v>209</v>
      </c>
      <c r="E82" s="10"/>
      <c r="F82" s="10" t="s">
        <v>210</v>
      </c>
    </row>
    <row r="83" spans="2:6">
      <c r="B83" s="64">
        <v>2</v>
      </c>
      <c r="C83" s="65">
        <v>10</v>
      </c>
      <c r="D83" s="10" t="s">
        <v>211</v>
      </c>
      <c r="E83" s="10"/>
      <c r="F83" s="10" t="s">
        <v>212</v>
      </c>
    </row>
    <row r="84" spans="2:6">
      <c r="B84" s="64">
        <v>2</v>
      </c>
      <c r="C84" s="65">
        <v>11</v>
      </c>
      <c r="D84" s="10" t="s">
        <v>213</v>
      </c>
      <c r="E84" s="10"/>
      <c r="F84" s="10" t="s">
        <v>214</v>
      </c>
    </row>
    <row r="85" spans="2:6">
      <c r="B85" s="64">
        <v>2</v>
      </c>
      <c r="C85" s="65">
        <v>12</v>
      </c>
      <c r="D85" s="10" t="s">
        <v>215</v>
      </c>
      <c r="E85" s="10" t="s">
        <v>216</v>
      </c>
      <c r="F85" s="10"/>
    </row>
  </sheetData>
  <sheetProtection sheet="1" objects="1" scenarios="1" formatCells="0" formatColumns="0" formatRows="0" insertHyperlinks="0"/>
  <dataValidations count="4">
    <dataValidation type="whole" showInputMessage="1" showErrorMessage="1" error="This is not a realistic number of contact hours please reduce" sqref="D20:D23" xr:uid="{D797E750-E182-4FD7-B87B-8BCA98B34C95}">
      <formula1>0</formula1>
      <formula2>80</formula2>
    </dataValidation>
    <dataValidation type="whole" showInputMessage="1" showErrorMessage="1" error="This is not a realistic number of contact hours please change" sqref="D19" xr:uid="{D5DB0AE1-4076-47C8-B6DE-8DD76FB65EE8}">
      <formula1>0</formula1>
      <formula2>80</formula2>
    </dataValidation>
    <dataValidation type="list" allowBlank="1" showInputMessage="1" showErrorMessage="1" sqref="E38:E41" xr:uid="{DD9CC5CE-494B-4C56-AF64-4B2426BC2656}">
      <formula1>INDIRECT("LISTAssess[Assessment Specific]")</formula1>
    </dataValidation>
    <dataValidation type="list" allowBlank="1" showInputMessage="1" showErrorMessage="1" sqref="F46:F59" xr:uid="{C9707995-2020-4DF5-93A9-9BA3C5DD0AB2}">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A60CFDE6-68E7-4DBD-90B4-553E521F6320}">
          <x14:formula1>
            <xm:f>LISTS!$C$26:$C$37</xm:f>
          </x14:formula1>
          <xm:sqref>D14</xm:sqref>
        </x14:dataValidation>
        <x14:dataValidation type="list" allowBlank="1" showInputMessage="1" showErrorMessage="1" xr:uid="{E7E27F05-4B3F-4911-B6A4-BBB5F8A9A0C3}">
          <x14:formula1>
            <xm:f>LISTS!$C$17:$C$22</xm:f>
          </x14:formula1>
          <xm:sqref>D13</xm:sqref>
        </x14:dataValidation>
        <x14:dataValidation type="list" allowBlank="1" showInputMessage="1" showErrorMessage="1" xr:uid="{49E8CF06-C4B5-4353-97B4-38579B6F15E7}">
          <x14:formula1>
            <xm:f>LISTS!$C$7:$C$9</xm:f>
          </x14:formula1>
          <xm:sqref>D10</xm:sqref>
        </x14:dataValidation>
        <x14:dataValidation type="list" allowBlank="1" showInputMessage="1" showErrorMessage="1" xr:uid="{9DE00856-E09E-49E6-A87E-5501597D07E5}">
          <x14:formula1>
            <xm:f>LISTS!$C$11:$C$15</xm:f>
          </x14:formula1>
          <xm:sqref>D11</xm:sqref>
        </x14:dataValidation>
        <x14:dataValidation type="list" allowBlank="1" showInputMessage="1" showErrorMessage="1" xr:uid="{C5598C0A-5E51-465C-B2A1-E73F321DF045}">
          <x14:formula1>
            <xm:f>LISTS!$G$7:$G$11</xm:f>
          </x14:formula1>
          <xm:sqref>D38:D42</xm:sqref>
        </x14:dataValidation>
        <x14:dataValidation type="list" allowBlank="1" showInputMessage="1" showErrorMessage="1" xr:uid="{13F225B6-6DE7-4A57-BD8D-E6C16A3E5D7A}">
          <x14:formula1>
            <xm:f>LISTS!$E$7:$E$11</xm:f>
          </x14:formula1>
          <xm:sqref>D46:D59</xm:sqref>
        </x14:dataValidation>
        <x14:dataValidation type="list" allowBlank="1" showInputMessage="1" showErrorMessage="1" xr:uid="{3B0702EA-71A6-4767-BBE4-F0BCC8D665AF}">
          <x14:formula1>
            <xm:f>LISTS!$J$7:$J$16</xm:f>
          </x14:formula1>
          <xm:sqref>E46:E59</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CC00FC-8231-4109-A87E-EAF31E13D407}">
  <sheetPr codeName="Sheet2"/>
  <dimension ref="B2:H94"/>
  <sheetViews>
    <sheetView showGridLines="0" topLeftCell="C15" zoomScale="85" zoomScaleNormal="85" workbookViewId="0">
      <selection activeCell="F77" sqref="F77"/>
    </sheetView>
  </sheetViews>
  <sheetFormatPr defaultColWidth="8.85546875" defaultRowHeight="15"/>
  <cols>
    <col min="3" max="3" width="33.28515625" customWidth="1"/>
    <col min="4" max="4" width="51.42578125" customWidth="1"/>
    <col min="5" max="5" width="82.7109375" bestFit="1" customWidth="1"/>
    <col min="6" max="6" width="126.85546875" customWidth="1"/>
    <col min="7" max="7" width="12.42578125" customWidth="1"/>
    <col min="8" max="8" width="15.42578125" customWidth="1"/>
    <col min="9" max="9" width="14.7109375" customWidth="1"/>
  </cols>
  <sheetData>
    <row r="2" spans="2:6" ht="26.25">
      <c r="C2" s="9" t="str">
        <f>D7</f>
        <v>4092SPS</v>
      </c>
      <c r="D2" s="9" t="str">
        <f>D8</f>
        <v>Fundamentals of Exercise Physiology</v>
      </c>
    </row>
    <row r="3" spans="2:6">
      <c r="B3" s="1"/>
      <c r="C3" s="1"/>
    </row>
    <row r="4" spans="2:6">
      <c r="B4" s="2"/>
      <c r="C4" s="2"/>
    </row>
    <row r="5" spans="2:6" ht="18.75">
      <c r="B5" s="2"/>
      <c r="C5" s="5" t="s">
        <v>0</v>
      </c>
    </row>
    <row r="6" spans="2:6">
      <c r="B6" s="2"/>
      <c r="C6" s="3" t="s">
        <v>1</v>
      </c>
      <c r="D6" s="4" t="s">
        <v>2</v>
      </c>
      <c r="E6" s="4"/>
      <c r="F6" t="s">
        <v>3</v>
      </c>
    </row>
    <row r="7" spans="2:6" ht="45">
      <c r="B7" s="2"/>
      <c r="C7" s="63" t="s">
        <v>4</v>
      </c>
      <c r="D7" s="10" t="s">
        <v>217</v>
      </c>
      <c r="E7" s="4"/>
      <c r="F7" s="20" t="s">
        <v>218</v>
      </c>
    </row>
    <row r="8" spans="2:6" ht="30">
      <c r="B8" s="2"/>
      <c r="C8" s="63" t="s">
        <v>6</v>
      </c>
      <c r="D8" s="10" t="s">
        <v>219</v>
      </c>
      <c r="E8" s="4"/>
      <c r="F8" s="20" t="s">
        <v>220</v>
      </c>
    </row>
    <row r="9" spans="2:6">
      <c r="C9" s="63" t="s">
        <v>7</v>
      </c>
      <c r="D9" s="10">
        <v>20</v>
      </c>
      <c r="E9" s="4"/>
    </row>
    <row r="10" spans="2:6">
      <c r="C10" s="63" t="s">
        <v>8</v>
      </c>
      <c r="D10" s="10">
        <v>1</v>
      </c>
      <c r="E10" s="4"/>
      <c r="F10" t="s">
        <v>9</v>
      </c>
    </row>
    <row r="11" spans="2:6" ht="30">
      <c r="C11" s="63" t="s">
        <v>10</v>
      </c>
      <c r="D11" s="10">
        <v>4</v>
      </c>
      <c r="E11" s="4"/>
      <c r="F11" s="31" t="s">
        <v>221</v>
      </c>
    </row>
    <row r="12" spans="2:6" ht="45">
      <c r="C12" s="63" t="s">
        <v>11</v>
      </c>
      <c r="D12" s="10" t="s">
        <v>222</v>
      </c>
      <c r="E12" s="4"/>
      <c r="F12" s="31" t="s">
        <v>223</v>
      </c>
    </row>
    <row r="13" spans="2:6" ht="75">
      <c r="C13" s="63" t="s">
        <v>12</v>
      </c>
      <c r="D13" s="10" t="s">
        <v>147</v>
      </c>
      <c r="E13" s="4"/>
      <c r="F13" s="31" t="s">
        <v>224</v>
      </c>
    </row>
    <row r="14" spans="2:6">
      <c r="C14" s="63" t="s">
        <v>13</v>
      </c>
      <c r="D14" s="10" t="s">
        <v>225</v>
      </c>
      <c r="E14" s="4"/>
    </row>
    <row r="15" spans="2:6">
      <c r="C15" s="3"/>
      <c r="D15" s="4"/>
      <c r="E15" s="4"/>
      <c r="F15" t="s">
        <v>14</v>
      </c>
    </row>
    <row r="16" spans="2:6" ht="165">
      <c r="C16" s="3"/>
      <c r="D16" s="4"/>
      <c r="E16" s="4"/>
      <c r="F16" s="41" t="s">
        <v>226</v>
      </c>
    </row>
    <row r="17" spans="3:6" ht="18.75">
      <c r="C17" s="5" t="s">
        <v>15</v>
      </c>
      <c r="D17" s="4"/>
      <c r="E17" s="4"/>
      <c r="F17" s="13"/>
    </row>
    <row r="18" spans="3:6">
      <c r="C18" s="3" t="s">
        <v>16</v>
      </c>
      <c r="D18" s="1" t="s">
        <v>15</v>
      </c>
      <c r="E18" s="4"/>
      <c r="F18" s="13"/>
    </row>
    <row r="19" spans="3:6">
      <c r="C19" s="63" t="s">
        <v>17</v>
      </c>
      <c r="D19" s="11">
        <v>33</v>
      </c>
      <c r="E19" s="4"/>
      <c r="F19" s="13"/>
    </row>
    <row r="20" spans="3:6">
      <c r="C20" s="63" t="s">
        <v>18</v>
      </c>
      <c r="D20" s="11">
        <v>1</v>
      </c>
      <c r="E20" s="4"/>
      <c r="F20" s="13"/>
    </row>
    <row r="21" spans="3:6">
      <c r="C21" s="63" t="s">
        <v>19</v>
      </c>
      <c r="D21" s="11">
        <v>6</v>
      </c>
      <c r="E21" s="4"/>
    </row>
    <row r="22" spans="3:6">
      <c r="C22" s="63" t="s">
        <v>20</v>
      </c>
      <c r="D22" s="11">
        <v>1</v>
      </c>
      <c r="E22" s="4"/>
      <c r="F22" t="s">
        <v>21</v>
      </c>
    </row>
    <row r="23" spans="3:6">
      <c r="C23" s="63" t="s">
        <v>22</v>
      </c>
      <c r="D23" s="11">
        <v>3</v>
      </c>
      <c r="E23" s="4"/>
      <c r="F23" s="13" t="s">
        <v>227</v>
      </c>
    </row>
    <row r="24" spans="3:6">
      <c r="C24" s="63" t="s">
        <v>23</v>
      </c>
      <c r="D24" s="1">
        <f>SUM(D19:D23)</f>
        <v>44</v>
      </c>
      <c r="E24" s="4"/>
      <c r="F24" s="13" t="s">
        <v>228</v>
      </c>
    </row>
    <row r="25" spans="3:6">
      <c r="F25" s="13" t="s">
        <v>229</v>
      </c>
    </row>
    <row r="26" spans="3:6">
      <c r="F26" s="13" t="s">
        <v>230</v>
      </c>
    </row>
    <row r="27" spans="3:6" ht="18.75">
      <c r="C27" s="5" t="s">
        <v>24</v>
      </c>
      <c r="D27" s="8" t="s">
        <v>25</v>
      </c>
      <c r="F27" s="13" t="s">
        <v>231</v>
      </c>
    </row>
    <row r="28" spans="3:6">
      <c r="C28" s="3" t="s">
        <v>26</v>
      </c>
      <c r="D28" s="3" t="s">
        <v>27</v>
      </c>
      <c r="E28" s="3"/>
      <c r="F28" s="13" t="s">
        <v>232</v>
      </c>
    </row>
    <row r="29" spans="3:6" ht="30">
      <c r="C29" s="63" t="s">
        <v>28</v>
      </c>
      <c r="D29" s="20" t="s">
        <v>233</v>
      </c>
      <c r="E29" s="4"/>
      <c r="F29" s="13"/>
    </row>
    <row r="30" spans="3:6" ht="30">
      <c r="C30" s="63" t="s">
        <v>29</v>
      </c>
      <c r="D30" s="20" t="s">
        <v>234</v>
      </c>
      <c r="E30" s="4"/>
      <c r="F30" s="13"/>
    </row>
    <row r="31" spans="3:6" ht="30">
      <c r="C31" s="63" t="s">
        <v>30</v>
      </c>
      <c r="D31" s="20" t="s">
        <v>235</v>
      </c>
      <c r="E31" s="4"/>
      <c r="F31" s="13"/>
    </row>
    <row r="32" spans="3:6">
      <c r="C32" s="63" t="s">
        <v>31</v>
      </c>
      <c r="D32" s="10"/>
      <c r="E32" s="4"/>
      <c r="F32" s="13"/>
    </row>
    <row r="33" spans="3:8">
      <c r="C33" s="63" t="s">
        <v>32</v>
      </c>
      <c r="D33" s="10"/>
      <c r="E33" s="4"/>
      <c r="F33" s="13"/>
    </row>
    <row r="36" spans="3:8" ht="18.75">
      <c r="C36" s="5" t="s">
        <v>33</v>
      </c>
    </row>
    <row r="37" spans="3:8">
      <c r="C37" s="3" t="s">
        <v>34</v>
      </c>
      <c r="D37" s="3" t="s">
        <v>35</v>
      </c>
      <c r="E37" s="3" t="s">
        <v>36</v>
      </c>
      <c r="F37" s="3" t="s">
        <v>37</v>
      </c>
      <c r="G37" s="3" t="s">
        <v>38</v>
      </c>
      <c r="H37" s="3" t="s">
        <v>39</v>
      </c>
    </row>
    <row r="38" spans="3:8">
      <c r="C38" s="63" t="s">
        <v>40</v>
      </c>
      <c r="D38" s="10" t="s">
        <v>97</v>
      </c>
      <c r="E38" s="10" t="s">
        <v>236</v>
      </c>
      <c r="F38" s="10" t="s">
        <v>237</v>
      </c>
      <c r="G38" s="12">
        <v>0.5</v>
      </c>
      <c r="H38" s="10">
        <v>6</v>
      </c>
    </row>
    <row r="39" spans="3:8">
      <c r="C39" s="63" t="s">
        <v>44</v>
      </c>
      <c r="D39" s="10" t="s">
        <v>157</v>
      </c>
      <c r="E39" s="10" t="s">
        <v>158</v>
      </c>
      <c r="F39" s="10" t="s">
        <v>238</v>
      </c>
      <c r="G39" s="12">
        <v>0.5</v>
      </c>
      <c r="H39" s="10">
        <v>12</v>
      </c>
    </row>
    <row r="40" spans="3:8">
      <c r="C40" s="63" t="s">
        <v>45</v>
      </c>
      <c r="D40" s="13"/>
      <c r="E40" s="13"/>
      <c r="F40" s="13"/>
      <c r="G40" s="13"/>
      <c r="H40" s="13"/>
    </row>
    <row r="41" spans="3:8">
      <c r="C41" s="63" t="s">
        <v>46</v>
      </c>
      <c r="D41" s="13"/>
      <c r="E41" s="13"/>
      <c r="F41" s="13"/>
      <c r="G41" s="13"/>
      <c r="H41" s="13"/>
    </row>
    <row r="42" spans="3:8">
      <c r="C42" s="3"/>
    </row>
    <row r="44" spans="3:8" ht="18.75">
      <c r="C44" s="5" t="s">
        <v>47</v>
      </c>
      <c r="D44" s="8"/>
    </row>
    <row r="45" spans="3:8">
      <c r="C45" s="1" t="s">
        <v>34</v>
      </c>
      <c r="D45" s="1" t="s">
        <v>26</v>
      </c>
      <c r="E45" s="1" t="s">
        <v>48</v>
      </c>
      <c r="F45" s="1" t="s">
        <v>49</v>
      </c>
    </row>
    <row r="46" spans="3:8">
      <c r="C46" s="14" t="s">
        <v>40</v>
      </c>
      <c r="D46" s="13" t="s">
        <v>28</v>
      </c>
      <c r="E46" s="13" t="s">
        <v>50</v>
      </c>
      <c r="F46" s="13" t="s">
        <v>52</v>
      </c>
    </row>
    <row r="47" spans="3:8">
      <c r="C47" s="14" t="s">
        <v>40</v>
      </c>
      <c r="D47" s="13" t="s">
        <v>28</v>
      </c>
      <c r="E47" s="13" t="s">
        <v>50</v>
      </c>
      <c r="F47" s="13" t="s">
        <v>239</v>
      </c>
    </row>
    <row r="48" spans="3:8">
      <c r="C48" s="14" t="s">
        <v>40</v>
      </c>
      <c r="D48" s="13" t="s">
        <v>29</v>
      </c>
      <c r="E48" s="13" t="s">
        <v>57</v>
      </c>
      <c r="F48" s="13" t="s">
        <v>240</v>
      </c>
    </row>
    <row r="49" spans="3:6">
      <c r="C49" s="14" t="s">
        <v>40</v>
      </c>
      <c r="D49" s="13" t="s">
        <v>29</v>
      </c>
      <c r="E49" s="13" t="s">
        <v>162</v>
      </c>
      <c r="F49" s="13" t="s">
        <v>164</v>
      </c>
    </row>
    <row r="50" spans="3:6">
      <c r="C50" s="14" t="s">
        <v>40</v>
      </c>
      <c r="D50" s="13" t="s">
        <v>29</v>
      </c>
      <c r="E50" s="13" t="s">
        <v>55</v>
      </c>
      <c r="F50" s="13" t="s">
        <v>241</v>
      </c>
    </row>
    <row r="51" spans="3:6">
      <c r="C51" s="14" t="s">
        <v>40</v>
      </c>
      <c r="D51" s="13" t="s">
        <v>30</v>
      </c>
      <c r="E51" s="13" t="s">
        <v>100</v>
      </c>
      <c r="F51" s="13" t="s">
        <v>101</v>
      </c>
    </row>
    <row r="52" spans="3:6">
      <c r="C52" s="14" t="s">
        <v>44</v>
      </c>
      <c r="D52" s="13" t="s">
        <v>28</v>
      </c>
      <c r="E52" s="13" t="s">
        <v>50</v>
      </c>
      <c r="F52" s="13" t="s">
        <v>52</v>
      </c>
    </row>
    <row r="53" spans="3:6">
      <c r="C53" s="14" t="s">
        <v>44</v>
      </c>
      <c r="D53" s="13" t="s">
        <v>29</v>
      </c>
      <c r="E53" s="13" t="s">
        <v>50</v>
      </c>
      <c r="F53" s="13" t="s">
        <v>52</v>
      </c>
    </row>
    <row r="54" spans="3:6">
      <c r="C54" s="14" t="s">
        <v>44</v>
      </c>
      <c r="D54" s="13" t="s">
        <v>29</v>
      </c>
      <c r="E54" s="13" t="s">
        <v>50</v>
      </c>
      <c r="F54" s="13" t="s">
        <v>239</v>
      </c>
    </row>
    <row r="55" spans="3:6">
      <c r="C55" s="14" t="s">
        <v>44</v>
      </c>
      <c r="D55" s="13" t="s">
        <v>30</v>
      </c>
      <c r="E55" s="13" t="s">
        <v>53</v>
      </c>
      <c r="F55" s="13" t="s">
        <v>242</v>
      </c>
    </row>
    <row r="56" spans="3:6">
      <c r="C56" s="14"/>
      <c r="D56" s="13"/>
      <c r="E56" s="13"/>
      <c r="F56" s="13"/>
    </row>
    <row r="57" spans="3:6">
      <c r="C57" s="14"/>
      <c r="D57" s="13"/>
      <c r="E57" s="13"/>
      <c r="F57" s="13"/>
    </row>
    <row r="58" spans="3:6">
      <c r="C58" s="14"/>
      <c r="D58" s="13"/>
      <c r="E58" s="13"/>
      <c r="F58" s="13"/>
    </row>
    <row r="59" spans="3:6">
      <c r="C59" s="14"/>
      <c r="D59" s="13"/>
      <c r="E59" s="13"/>
      <c r="F59" s="13"/>
    </row>
    <row r="60" spans="3:6">
      <c r="C60" s="14"/>
      <c r="D60" s="13"/>
      <c r="E60" s="13"/>
      <c r="F60" s="13"/>
    </row>
    <row r="61" spans="3:6">
      <c r="C61" s="14"/>
      <c r="D61" s="13"/>
      <c r="E61" s="13"/>
      <c r="F61" s="13"/>
    </row>
    <row r="62" spans="3:6">
      <c r="C62" s="14"/>
      <c r="D62" s="13"/>
      <c r="E62" s="13"/>
      <c r="F62" s="13"/>
    </row>
    <row r="63" spans="3:6">
      <c r="C63" s="14"/>
      <c r="D63" s="13"/>
      <c r="E63" s="13"/>
      <c r="F63" s="13"/>
    </row>
    <row r="64" spans="3:6">
      <c r="C64" s="14"/>
      <c r="D64" s="13"/>
      <c r="E64" s="13"/>
      <c r="F64" s="13"/>
    </row>
    <row r="65" spans="2:6">
      <c r="C65" s="14"/>
      <c r="D65" s="13"/>
      <c r="E65" s="13"/>
      <c r="F65" s="13"/>
    </row>
    <row r="66" spans="2:6">
      <c r="C66" s="14"/>
      <c r="D66" s="13"/>
      <c r="E66" s="13"/>
      <c r="F66" s="13"/>
    </row>
    <row r="69" spans="2:6" ht="18.75">
      <c r="C69" s="5" t="s">
        <v>59</v>
      </c>
    </row>
    <row r="70" spans="2:6">
      <c r="B70" t="s">
        <v>60</v>
      </c>
      <c r="C70" s="1" t="s">
        <v>61</v>
      </c>
      <c r="D70" s="1" t="s">
        <v>62</v>
      </c>
      <c r="E70" s="1" t="s">
        <v>63</v>
      </c>
      <c r="F70" s="1" t="s">
        <v>64</v>
      </c>
    </row>
    <row r="71" spans="2:6" ht="45">
      <c r="B71" s="64">
        <v>1</v>
      </c>
      <c r="C71" s="65">
        <v>1</v>
      </c>
      <c r="D71" s="39" t="s">
        <v>243</v>
      </c>
      <c r="E71" s="39" t="s">
        <v>244</v>
      </c>
      <c r="F71" s="41" t="s">
        <v>245</v>
      </c>
    </row>
    <row r="72" spans="2:6" ht="30">
      <c r="B72" s="64">
        <v>1</v>
      </c>
      <c r="C72" s="65">
        <v>2</v>
      </c>
      <c r="D72" s="38" t="s">
        <v>246</v>
      </c>
      <c r="E72" s="39" t="s">
        <v>247</v>
      </c>
      <c r="F72" s="40" t="s">
        <v>248</v>
      </c>
    </row>
    <row r="73" spans="2:6" ht="30">
      <c r="B73" s="64">
        <v>1</v>
      </c>
      <c r="C73" s="65">
        <v>3</v>
      </c>
      <c r="D73" s="38" t="s">
        <v>249</v>
      </c>
      <c r="E73" s="38" t="s">
        <v>250</v>
      </c>
      <c r="F73" s="42" t="s">
        <v>251</v>
      </c>
    </row>
    <row r="74" spans="2:6" ht="30">
      <c r="B74" s="64">
        <v>1</v>
      </c>
      <c r="C74" s="65">
        <v>4</v>
      </c>
      <c r="D74" s="38" t="s">
        <v>252</v>
      </c>
      <c r="E74" s="38" t="s">
        <v>253</v>
      </c>
      <c r="F74" s="10" t="s">
        <v>254</v>
      </c>
    </row>
    <row r="75" spans="2:6">
      <c r="B75" s="64">
        <v>1</v>
      </c>
      <c r="C75" s="65">
        <v>5</v>
      </c>
      <c r="D75" s="38" t="s">
        <v>255</v>
      </c>
      <c r="E75" s="38" t="s">
        <v>256</v>
      </c>
      <c r="F75" s="13" t="s">
        <v>257</v>
      </c>
    </row>
    <row r="76" spans="2:6" ht="30">
      <c r="B76" s="64">
        <v>1</v>
      </c>
      <c r="C76" s="65">
        <v>6</v>
      </c>
      <c r="D76" s="38" t="s">
        <v>258</v>
      </c>
      <c r="E76" s="38" t="s">
        <v>259</v>
      </c>
      <c r="F76" s="43" t="s">
        <v>260</v>
      </c>
    </row>
    <row r="77" spans="2:6">
      <c r="B77" s="64">
        <v>1</v>
      </c>
      <c r="C77" s="65">
        <v>7</v>
      </c>
      <c r="D77" s="38" t="s">
        <v>261</v>
      </c>
      <c r="E77" s="38" t="s">
        <v>262</v>
      </c>
      <c r="F77" s="10" t="s">
        <v>263</v>
      </c>
    </row>
    <row r="78" spans="2:6" ht="45">
      <c r="B78" s="64">
        <v>1</v>
      </c>
      <c r="C78" s="65">
        <v>8</v>
      </c>
      <c r="D78" s="38" t="s">
        <v>264</v>
      </c>
      <c r="E78" s="38" t="s">
        <v>265</v>
      </c>
      <c r="F78" s="10" t="s">
        <v>266</v>
      </c>
    </row>
    <row r="79" spans="2:6" ht="30">
      <c r="B79" s="64">
        <v>1</v>
      </c>
      <c r="C79" s="65">
        <v>9</v>
      </c>
      <c r="D79" s="38" t="s">
        <v>267</v>
      </c>
      <c r="E79" s="38" t="s">
        <v>268</v>
      </c>
      <c r="F79" s="44" t="s">
        <v>269</v>
      </c>
    </row>
    <row r="80" spans="2:6" ht="30">
      <c r="B80" s="64">
        <v>1</v>
      </c>
      <c r="C80" s="65">
        <v>10</v>
      </c>
      <c r="D80" s="38" t="s">
        <v>270</v>
      </c>
      <c r="E80" s="38" t="s">
        <v>271</v>
      </c>
      <c r="F80" s="10" t="s">
        <v>272</v>
      </c>
    </row>
    <row r="81" spans="2:6" ht="30">
      <c r="B81" s="64">
        <v>1</v>
      </c>
      <c r="C81" s="65">
        <v>11</v>
      </c>
      <c r="D81" s="38" t="s">
        <v>273</v>
      </c>
      <c r="E81" s="38" t="s">
        <v>274</v>
      </c>
      <c r="F81" s="10" t="s">
        <v>275</v>
      </c>
    </row>
    <row r="82" spans="2:6" ht="45">
      <c r="B82" s="64">
        <v>1</v>
      </c>
      <c r="C82" s="65">
        <v>12</v>
      </c>
      <c r="D82" s="20" t="s">
        <v>276</v>
      </c>
      <c r="E82" s="20" t="s">
        <v>277</v>
      </c>
      <c r="F82" s="10" t="s">
        <v>278</v>
      </c>
    </row>
    <row r="83" spans="2:6">
      <c r="B83" s="64">
        <v>2</v>
      </c>
      <c r="C83" s="65">
        <v>1</v>
      </c>
      <c r="D83" s="10"/>
      <c r="E83" s="10"/>
      <c r="F83" s="10"/>
    </row>
    <row r="84" spans="2:6">
      <c r="B84" s="64">
        <v>2</v>
      </c>
      <c r="C84" s="65">
        <v>2</v>
      </c>
      <c r="D84" s="10"/>
      <c r="E84" s="10"/>
      <c r="F84" s="10"/>
    </row>
    <row r="85" spans="2:6">
      <c r="B85" s="64">
        <v>2</v>
      </c>
      <c r="C85" s="65">
        <v>3</v>
      </c>
      <c r="D85" s="10"/>
      <c r="E85" s="10"/>
      <c r="F85" s="10"/>
    </row>
    <row r="86" spans="2:6">
      <c r="B86" s="64">
        <v>2</v>
      </c>
      <c r="C86" s="65">
        <v>4</v>
      </c>
      <c r="D86" s="10"/>
      <c r="E86" s="10"/>
      <c r="F86" s="10"/>
    </row>
    <row r="87" spans="2:6">
      <c r="B87" s="64">
        <v>2</v>
      </c>
      <c r="C87" s="65">
        <v>5</v>
      </c>
      <c r="D87" s="10"/>
      <c r="E87" s="10"/>
      <c r="F87" s="10"/>
    </row>
    <row r="88" spans="2:6">
      <c r="B88" s="64">
        <v>2</v>
      </c>
      <c r="C88" s="65">
        <v>6</v>
      </c>
      <c r="D88" s="10"/>
      <c r="E88" s="10"/>
      <c r="F88" s="10"/>
    </row>
    <row r="89" spans="2:6">
      <c r="B89" s="64">
        <v>2</v>
      </c>
      <c r="C89" s="65">
        <v>7</v>
      </c>
      <c r="D89" s="10"/>
      <c r="E89" s="10"/>
      <c r="F89" s="10"/>
    </row>
    <row r="90" spans="2:6">
      <c r="B90" s="64">
        <v>2</v>
      </c>
      <c r="C90" s="65">
        <v>8</v>
      </c>
      <c r="D90" s="10"/>
      <c r="E90" s="10"/>
      <c r="F90" s="10"/>
    </row>
    <row r="91" spans="2:6">
      <c r="B91" s="64">
        <v>2</v>
      </c>
      <c r="C91" s="65">
        <v>9</v>
      </c>
      <c r="D91" s="10"/>
      <c r="E91" s="10"/>
      <c r="F91" s="10"/>
    </row>
    <row r="92" spans="2:6">
      <c r="B92" s="64">
        <v>2</v>
      </c>
      <c r="C92" s="65">
        <v>10</v>
      </c>
      <c r="D92" s="10"/>
      <c r="E92" s="10"/>
      <c r="F92" s="10"/>
    </row>
    <row r="93" spans="2:6">
      <c r="B93" s="64">
        <v>2</v>
      </c>
      <c r="C93" s="65">
        <v>11</v>
      </c>
      <c r="D93" s="10"/>
      <c r="E93" s="10"/>
      <c r="F93" s="10"/>
    </row>
    <row r="94" spans="2:6">
      <c r="B94" s="64">
        <v>2</v>
      </c>
      <c r="C94" s="65">
        <v>12</v>
      </c>
      <c r="D94" s="10"/>
      <c r="E94" s="10"/>
      <c r="F94" s="10"/>
    </row>
  </sheetData>
  <sheetProtection sheet="1" objects="1" scenarios="1" formatCells="0" formatColumns="0" formatRows="0" insertHyperlinks="0"/>
  <dataValidations count="4">
    <dataValidation type="whole" showInputMessage="1" showErrorMessage="1" error="This is not a realistic number of contact hours please reduce" sqref="D20:D23" xr:uid="{B7B2864D-75D1-4E60-B98B-96DFE08B851A}">
      <formula1>0</formula1>
      <formula2>80</formula2>
    </dataValidation>
    <dataValidation type="whole" showInputMessage="1" showErrorMessage="1" error="This is not a realistic number of contact hours please change" sqref="D19" xr:uid="{18353793-6C6F-4EAB-B14B-E1F7C115249C}">
      <formula1>0</formula1>
      <formula2>80</formula2>
    </dataValidation>
    <dataValidation type="list" allowBlank="1" showInputMessage="1" showErrorMessage="1" sqref="E38:E41" xr:uid="{E48AA713-552B-4105-B48D-5C23BD3FB028}">
      <formula1>INDIRECT("LISTAssess[Assessment Specific]")</formula1>
    </dataValidation>
    <dataValidation type="list" allowBlank="1" showInputMessage="1" showErrorMessage="1" sqref="F46:F66" xr:uid="{CF941901-AFF0-43A8-AC94-17835B2EA3F2}">
      <formula1>INDIRECT(VLOOKUP($E46, SkillNameMap, 2, FALSE))</formula1>
    </dataValidation>
  </dataValidations>
  <pageMargins left="0.7" right="0.7" top="0.75" bottom="0.75" header="0.3" footer="0.3"/>
  <pageSetup paperSize="9" orientation="portrait" horizontalDpi="4294967293" verticalDpi="0" r:id="rId1"/>
  <legacyDrawing r:id="rId2"/>
  <tableParts count="10">
    <tablePart r:id="rId3"/>
    <tablePart r:id="rId4"/>
    <tablePart r:id="rId5"/>
    <tablePart r:id="rId6"/>
    <tablePart r:id="rId7"/>
    <tablePart r:id="rId8"/>
    <tablePart r:id="rId9"/>
    <tablePart r:id="rId10"/>
    <tablePart r:id="rId11"/>
    <tablePart r:id="rId12"/>
  </tableParts>
  <extLst>
    <ext xmlns:x14="http://schemas.microsoft.com/office/spreadsheetml/2009/9/main" uri="{CCE6A557-97BC-4b89-ADB6-D9C93CAAB3DF}">
      <x14:dataValidations xmlns:xm="http://schemas.microsoft.com/office/excel/2006/main" count="7">
        <x14:dataValidation type="list" allowBlank="1" showInputMessage="1" showErrorMessage="1" xr:uid="{78B63D05-B215-4367-BE7A-CB2C39083BC6}">
          <x14:formula1>
            <xm:f>LISTS!$C$26:$C$37</xm:f>
          </x14:formula1>
          <xm:sqref>D14</xm:sqref>
        </x14:dataValidation>
        <x14:dataValidation type="list" allowBlank="1" showInputMessage="1" showErrorMessage="1" xr:uid="{5CAEC015-0179-4647-8196-7D4CDC9EF10B}">
          <x14:formula1>
            <xm:f>LISTS!$C$17:$C$22</xm:f>
          </x14:formula1>
          <xm:sqref>D13</xm:sqref>
        </x14:dataValidation>
        <x14:dataValidation type="list" allowBlank="1" showInputMessage="1" showErrorMessage="1" xr:uid="{32CB5521-4789-4A4F-B884-47DF1E8B92DF}">
          <x14:formula1>
            <xm:f>LISTS!$C$7:$C$9</xm:f>
          </x14:formula1>
          <xm:sqref>D10</xm:sqref>
        </x14:dataValidation>
        <x14:dataValidation type="list" allowBlank="1" showInputMessage="1" showErrorMessage="1" xr:uid="{3C7D0972-AABE-4BE2-A9AF-2A9F84C36EE5}">
          <x14:formula1>
            <xm:f>LISTS!$C$11:$C$15</xm:f>
          </x14:formula1>
          <xm:sqref>D11</xm:sqref>
        </x14:dataValidation>
        <x14:dataValidation type="list" allowBlank="1" showInputMessage="1" showErrorMessage="1" xr:uid="{F651B19D-C96B-45CD-AEB2-C0A9D79F5FC9}">
          <x14:formula1>
            <xm:f>LISTS!$G$7:$G$11</xm:f>
          </x14:formula1>
          <xm:sqref>D38:D42</xm:sqref>
        </x14:dataValidation>
        <x14:dataValidation type="list" allowBlank="1" showInputMessage="1" showErrorMessage="1" xr:uid="{CD263751-D63C-4730-9CCD-6E6FCB903867}">
          <x14:formula1>
            <xm:f>LISTS!$E$7:$E$11</xm:f>
          </x14:formula1>
          <xm:sqref>D46:D66</xm:sqref>
        </x14:dataValidation>
        <x14:dataValidation type="list" allowBlank="1" showInputMessage="1" showErrorMessage="1" xr:uid="{95157A6A-B091-4F3A-8EF6-A3BE869FBEBC}">
          <x14:formula1>
            <xm:f>LISTS!$J$7:$J$16</xm:f>
          </x14:formula1>
          <xm:sqref>E46:E66</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215F39-4768-4BDC-BBAF-EDA933F6EC41}">
  <sheetPr codeName="Sheet3"/>
  <dimension ref="B2:H105"/>
  <sheetViews>
    <sheetView showGridLines="0" topLeftCell="B17" zoomScale="55" zoomScaleNormal="55" workbookViewId="0">
      <selection activeCell="F32" sqref="F32"/>
    </sheetView>
  </sheetViews>
  <sheetFormatPr defaultColWidth="8.85546875" defaultRowHeight="1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c r="C2" s="9" t="str">
        <f>D7</f>
        <v>4094SPS</v>
      </c>
      <c r="D2" s="9" t="str">
        <f>D8</f>
        <v>Human Movement</v>
      </c>
    </row>
    <row r="3" spans="2:6">
      <c r="B3" s="1"/>
      <c r="C3" s="1"/>
    </row>
    <row r="4" spans="2:6">
      <c r="B4" s="2"/>
      <c r="C4" s="2"/>
    </row>
    <row r="5" spans="2:6" ht="18.75">
      <c r="B5" s="2"/>
      <c r="C5" s="5" t="s">
        <v>0</v>
      </c>
    </row>
    <row r="6" spans="2:6">
      <c r="B6" s="2"/>
      <c r="C6" s="3" t="s">
        <v>1</v>
      </c>
      <c r="D6" s="4" t="s">
        <v>2</v>
      </c>
      <c r="E6" s="4"/>
      <c r="F6" t="s">
        <v>3</v>
      </c>
    </row>
    <row r="7" spans="2:6" ht="64.5">
      <c r="B7" s="2"/>
      <c r="C7" s="63" t="s">
        <v>4</v>
      </c>
      <c r="D7" s="10" t="s">
        <v>279</v>
      </c>
      <c r="E7" s="4"/>
      <c r="F7" s="22" t="s">
        <v>280</v>
      </c>
    </row>
    <row r="8" spans="2:6">
      <c r="B8" s="2"/>
      <c r="C8" s="63" t="s">
        <v>6</v>
      </c>
      <c r="D8" s="10" t="s">
        <v>281</v>
      </c>
      <c r="E8" s="4"/>
      <c r="F8" s="13"/>
    </row>
    <row r="9" spans="2:6">
      <c r="C9" s="63" t="s">
        <v>7</v>
      </c>
      <c r="D9" s="10">
        <v>20</v>
      </c>
      <c r="E9" s="4"/>
    </row>
    <row r="10" spans="2:6">
      <c r="C10" s="63" t="s">
        <v>8</v>
      </c>
      <c r="D10" s="10">
        <v>2</v>
      </c>
      <c r="E10" s="4"/>
      <c r="F10" t="s">
        <v>9</v>
      </c>
    </row>
    <row r="11" spans="2:6">
      <c r="C11" s="63" t="s">
        <v>10</v>
      </c>
      <c r="D11" s="10">
        <v>4</v>
      </c>
      <c r="E11" s="4"/>
      <c r="F11" s="13" t="s">
        <v>282</v>
      </c>
    </row>
    <row r="12" spans="2:6">
      <c r="C12" s="63" t="s">
        <v>11</v>
      </c>
      <c r="D12" s="10" t="s">
        <v>283</v>
      </c>
      <c r="E12" s="4"/>
      <c r="F12" s="13" t="s">
        <v>284</v>
      </c>
    </row>
    <row r="13" spans="2:6">
      <c r="C13" s="63" t="s">
        <v>12</v>
      </c>
      <c r="D13" s="10" t="s">
        <v>147</v>
      </c>
      <c r="E13" s="4"/>
      <c r="F13" s="13" t="s">
        <v>285</v>
      </c>
    </row>
    <row r="14" spans="2:6">
      <c r="C14" s="63" t="s">
        <v>13</v>
      </c>
      <c r="D14" s="10" t="s">
        <v>225</v>
      </c>
      <c r="E14" s="4"/>
    </row>
    <row r="15" spans="2:6">
      <c r="C15" s="3"/>
      <c r="D15" s="4"/>
      <c r="E15" s="4"/>
      <c r="F15" t="s">
        <v>14</v>
      </c>
    </row>
    <row r="16" spans="2:6" ht="153.75">
      <c r="C16" s="3"/>
      <c r="D16" s="4"/>
      <c r="E16" s="4"/>
      <c r="F16" s="22" t="s">
        <v>286</v>
      </c>
    </row>
    <row r="17" spans="3:6" ht="18.75">
      <c r="C17" s="5" t="s">
        <v>15</v>
      </c>
      <c r="D17" s="4"/>
      <c r="E17" s="4"/>
      <c r="F17" s="13"/>
    </row>
    <row r="18" spans="3:6">
      <c r="C18" s="3" t="s">
        <v>16</v>
      </c>
      <c r="D18" s="1" t="s">
        <v>15</v>
      </c>
      <c r="E18" s="4"/>
      <c r="F18" s="13"/>
    </row>
    <row r="19" spans="3:6">
      <c r="C19" s="63" t="s">
        <v>17</v>
      </c>
      <c r="D19" s="11">
        <v>13</v>
      </c>
      <c r="E19" s="4"/>
      <c r="F19" s="13"/>
    </row>
    <row r="20" spans="3:6">
      <c r="C20" s="63" t="s">
        <v>18</v>
      </c>
      <c r="D20" s="11">
        <v>0</v>
      </c>
      <c r="E20" s="4"/>
      <c r="F20" s="13"/>
    </row>
    <row r="21" spans="3:6">
      <c r="C21" s="63" t="s">
        <v>19</v>
      </c>
      <c r="D21" s="11">
        <v>7</v>
      </c>
      <c r="E21" s="4"/>
    </row>
    <row r="22" spans="3:6">
      <c r="C22" s="63" t="s">
        <v>20</v>
      </c>
      <c r="D22" s="11">
        <v>13</v>
      </c>
      <c r="E22" s="4"/>
      <c r="F22" t="s">
        <v>21</v>
      </c>
    </row>
    <row r="23" spans="3:6" ht="81" customHeight="1">
      <c r="C23" s="63" t="s">
        <v>22</v>
      </c>
      <c r="D23" s="11">
        <v>3</v>
      </c>
      <c r="E23" s="4"/>
      <c r="F23" s="20" t="s">
        <v>287</v>
      </c>
    </row>
    <row r="24" spans="3:6" ht="45">
      <c r="C24" s="63" t="s">
        <v>23</v>
      </c>
      <c r="D24" s="1">
        <f>SUM(D19:D23)</f>
        <v>36</v>
      </c>
      <c r="E24" s="4"/>
      <c r="F24" s="20" t="s">
        <v>288</v>
      </c>
    </row>
    <row r="25" spans="3:6" ht="30">
      <c r="F25" s="20" t="s">
        <v>289</v>
      </c>
    </row>
    <row r="26" spans="3:6" ht="60">
      <c r="F26" s="20" t="s">
        <v>290</v>
      </c>
    </row>
    <row r="27" spans="3:6" ht="30">
      <c r="C27" s="5" t="s">
        <v>24</v>
      </c>
      <c r="D27" s="8" t="s">
        <v>25</v>
      </c>
      <c r="F27" s="20" t="s">
        <v>291</v>
      </c>
    </row>
    <row r="28" spans="3:6">
      <c r="C28" s="3" t="s">
        <v>26</v>
      </c>
      <c r="D28" s="3" t="s">
        <v>27</v>
      </c>
      <c r="E28" s="3"/>
      <c r="F28" s="13" t="s">
        <v>292</v>
      </c>
    </row>
    <row r="29" spans="3:6" ht="60">
      <c r="C29" s="63" t="s">
        <v>28</v>
      </c>
      <c r="D29" s="21" t="s">
        <v>293</v>
      </c>
      <c r="E29" s="4"/>
      <c r="F29" s="20" t="s">
        <v>294</v>
      </c>
    </row>
    <row r="30" spans="3:6" ht="75">
      <c r="C30" s="63" t="s">
        <v>29</v>
      </c>
      <c r="D30" s="21" t="s">
        <v>295</v>
      </c>
      <c r="E30" s="4"/>
      <c r="F30" s="20" t="s">
        <v>296</v>
      </c>
    </row>
    <row r="31" spans="3:6" ht="30">
      <c r="C31" s="63" t="s">
        <v>30</v>
      </c>
      <c r="D31" s="21" t="s">
        <v>297</v>
      </c>
      <c r="E31" s="4"/>
      <c r="F31" s="20" t="s">
        <v>298</v>
      </c>
    </row>
    <row r="32" spans="3:6" ht="177" customHeight="1">
      <c r="C32" s="63" t="s">
        <v>31</v>
      </c>
      <c r="D32" s="10"/>
      <c r="E32" s="4"/>
      <c r="F32" s="30" t="s">
        <v>299</v>
      </c>
    </row>
    <row r="33" spans="3:8">
      <c r="C33" s="63" t="s">
        <v>32</v>
      </c>
      <c r="D33" s="10"/>
      <c r="E33" s="4"/>
      <c r="F33" s="13"/>
    </row>
    <row r="36" spans="3:8" ht="18.75">
      <c r="C36" s="5" t="s">
        <v>33</v>
      </c>
    </row>
    <row r="37" spans="3:8">
      <c r="C37" s="3" t="s">
        <v>34</v>
      </c>
      <c r="D37" s="3" t="s">
        <v>35</v>
      </c>
      <c r="E37" s="3" t="s">
        <v>36</v>
      </c>
      <c r="F37" s="3" t="s">
        <v>37</v>
      </c>
      <c r="G37" s="3" t="s">
        <v>38</v>
      </c>
      <c r="H37" s="3" t="s">
        <v>39</v>
      </c>
    </row>
    <row r="38" spans="3:8" ht="45">
      <c r="C38" s="63" t="s">
        <v>40</v>
      </c>
      <c r="D38" s="10" t="s">
        <v>157</v>
      </c>
      <c r="E38" s="10" t="s">
        <v>300</v>
      </c>
      <c r="F38" s="94" t="s">
        <v>301</v>
      </c>
      <c r="G38" s="12">
        <v>0.35</v>
      </c>
      <c r="H38" s="10">
        <v>6</v>
      </c>
    </row>
    <row r="39" spans="3:8" ht="105">
      <c r="C39" s="63" t="s">
        <v>44</v>
      </c>
      <c r="D39" s="10" t="s">
        <v>41</v>
      </c>
      <c r="E39" s="10" t="s">
        <v>302</v>
      </c>
      <c r="F39" s="10" t="s">
        <v>303</v>
      </c>
      <c r="G39" s="12">
        <v>0.65</v>
      </c>
      <c r="H39" s="10">
        <v>13</v>
      </c>
    </row>
    <row r="40" spans="3:8">
      <c r="C40" s="63" t="s">
        <v>45</v>
      </c>
      <c r="D40" s="13"/>
      <c r="E40" s="13"/>
      <c r="F40" s="13"/>
      <c r="G40" s="13"/>
      <c r="H40" s="13"/>
    </row>
    <row r="41" spans="3:8">
      <c r="C41" s="63" t="s">
        <v>46</v>
      </c>
      <c r="D41" s="13"/>
      <c r="E41" s="13"/>
      <c r="F41" s="13"/>
      <c r="G41" s="13"/>
      <c r="H41" s="13"/>
    </row>
    <row r="42" spans="3:8">
      <c r="C42" s="3"/>
    </row>
    <row r="44" spans="3:8" ht="18.75">
      <c r="C44" s="5" t="s">
        <v>47</v>
      </c>
      <c r="D44" s="8"/>
    </row>
    <row r="45" spans="3:8">
      <c r="C45" s="1" t="s">
        <v>34</v>
      </c>
      <c r="D45" s="1" t="s">
        <v>26</v>
      </c>
      <c r="E45" s="1" t="s">
        <v>48</v>
      </c>
      <c r="F45" s="1" t="s">
        <v>49</v>
      </c>
    </row>
    <row r="46" spans="3:8">
      <c r="C46" s="14" t="s">
        <v>40</v>
      </c>
      <c r="D46" s="13" t="s">
        <v>28</v>
      </c>
      <c r="E46" s="13" t="s">
        <v>50</v>
      </c>
      <c r="F46" s="13" t="s">
        <v>51</v>
      </c>
    </row>
    <row r="47" spans="3:8">
      <c r="C47" s="14" t="s">
        <v>40</v>
      </c>
      <c r="D47" s="13" t="s">
        <v>28</v>
      </c>
      <c r="E47" s="13" t="s">
        <v>53</v>
      </c>
      <c r="F47" s="13" t="s">
        <v>161</v>
      </c>
    </row>
    <row r="48" spans="3:8">
      <c r="C48" s="14" t="s">
        <v>44</v>
      </c>
      <c r="D48" s="13" t="s">
        <v>29</v>
      </c>
      <c r="E48" s="13" t="s">
        <v>50</v>
      </c>
      <c r="F48" s="13" t="s">
        <v>304</v>
      </c>
    </row>
    <row r="49" spans="3:6">
      <c r="C49" s="14" t="s">
        <v>44</v>
      </c>
      <c r="D49" s="13" t="s">
        <v>29</v>
      </c>
      <c r="E49" s="13" t="s">
        <v>55</v>
      </c>
      <c r="F49" s="13" t="s">
        <v>305</v>
      </c>
    </row>
    <row r="50" spans="3:6">
      <c r="C50" s="14" t="s">
        <v>44</v>
      </c>
      <c r="D50" s="13" t="s">
        <v>29</v>
      </c>
      <c r="E50" s="13" t="s">
        <v>57</v>
      </c>
      <c r="F50" s="13" t="s">
        <v>240</v>
      </c>
    </row>
    <row r="51" spans="3:6">
      <c r="C51" s="14" t="s">
        <v>44</v>
      </c>
      <c r="D51" s="13" t="s">
        <v>29</v>
      </c>
      <c r="E51" s="13" t="s">
        <v>53</v>
      </c>
      <c r="F51" s="13" t="s">
        <v>161</v>
      </c>
    </row>
    <row r="52" spans="3:6">
      <c r="C52" s="14" t="s">
        <v>44</v>
      </c>
      <c r="D52" s="13" t="s">
        <v>29</v>
      </c>
      <c r="E52" s="13" t="s">
        <v>106</v>
      </c>
      <c r="F52" s="13" t="s">
        <v>306</v>
      </c>
    </row>
    <row r="53" spans="3:6">
      <c r="C53" s="14" t="s">
        <v>44</v>
      </c>
      <c r="D53" s="13" t="s">
        <v>29</v>
      </c>
      <c r="E53" s="13" t="s">
        <v>106</v>
      </c>
      <c r="F53" s="13" t="s">
        <v>307</v>
      </c>
    </row>
    <row r="54" spans="3:6">
      <c r="C54" s="14" t="s">
        <v>44</v>
      </c>
      <c r="D54" s="13" t="s">
        <v>29</v>
      </c>
      <c r="E54" s="13" t="s">
        <v>106</v>
      </c>
      <c r="F54" s="13" t="s">
        <v>308</v>
      </c>
    </row>
    <row r="55" spans="3:6">
      <c r="C55" s="14" t="s">
        <v>44</v>
      </c>
      <c r="D55" s="13" t="s">
        <v>29</v>
      </c>
      <c r="E55" s="13" t="s">
        <v>106</v>
      </c>
      <c r="F55" s="13" t="s">
        <v>309</v>
      </c>
    </row>
    <row r="56" spans="3:6">
      <c r="C56" s="14" t="s">
        <v>44</v>
      </c>
      <c r="D56" s="13" t="s">
        <v>29</v>
      </c>
      <c r="E56" s="13" t="s">
        <v>310</v>
      </c>
      <c r="F56" s="13" t="s">
        <v>311</v>
      </c>
    </row>
    <row r="57" spans="3:6">
      <c r="C57" s="14" t="s">
        <v>44</v>
      </c>
      <c r="D57" s="13" t="s">
        <v>30</v>
      </c>
      <c r="E57" s="13" t="s">
        <v>50</v>
      </c>
      <c r="F57" s="13" t="s">
        <v>304</v>
      </c>
    </row>
    <row r="58" spans="3:6">
      <c r="C58" s="14" t="s">
        <v>44</v>
      </c>
      <c r="D58" s="13" t="s">
        <v>30</v>
      </c>
      <c r="E58" s="13" t="s">
        <v>55</v>
      </c>
      <c r="F58" s="13" t="s">
        <v>305</v>
      </c>
    </row>
    <row r="59" spans="3:6">
      <c r="C59" s="14" t="s">
        <v>44</v>
      </c>
      <c r="D59" s="13" t="s">
        <v>30</v>
      </c>
      <c r="E59" s="13" t="s">
        <v>57</v>
      </c>
      <c r="F59" s="13" t="s">
        <v>240</v>
      </c>
    </row>
    <row r="60" spans="3:6">
      <c r="C60" s="14" t="s">
        <v>44</v>
      </c>
      <c r="D60" s="13" t="s">
        <v>30</v>
      </c>
      <c r="E60" s="13" t="s">
        <v>53</v>
      </c>
      <c r="F60" s="13" t="s">
        <v>161</v>
      </c>
    </row>
    <row r="61" spans="3:6">
      <c r="C61" s="14" t="s">
        <v>44</v>
      </c>
      <c r="D61" s="13" t="s">
        <v>30</v>
      </c>
      <c r="E61" s="13" t="s">
        <v>106</v>
      </c>
      <c r="F61" s="13" t="s">
        <v>306</v>
      </c>
    </row>
    <row r="62" spans="3:6">
      <c r="C62" s="14" t="s">
        <v>44</v>
      </c>
      <c r="D62" s="13" t="s">
        <v>30</v>
      </c>
      <c r="E62" s="13" t="s">
        <v>106</v>
      </c>
      <c r="F62" s="13" t="s">
        <v>307</v>
      </c>
    </row>
    <row r="63" spans="3:6">
      <c r="C63" s="14" t="s">
        <v>44</v>
      </c>
      <c r="D63" s="13" t="s">
        <v>30</v>
      </c>
      <c r="E63" s="13" t="s">
        <v>106</v>
      </c>
      <c r="F63" s="13" t="s">
        <v>308</v>
      </c>
    </row>
    <row r="64" spans="3:6">
      <c r="C64" s="14" t="s">
        <v>44</v>
      </c>
      <c r="D64" s="13" t="s">
        <v>30</v>
      </c>
      <c r="E64" s="13" t="s">
        <v>106</v>
      </c>
      <c r="F64" s="13" t="s">
        <v>309</v>
      </c>
    </row>
    <row r="65" spans="3:6">
      <c r="C65" s="14" t="s">
        <v>44</v>
      </c>
      <c r="D65" s="13" t="s">
        <v>30</v>
      </c>
      <c r="E65" s="13" t="s">
        <v>310</v>
      </c>
      <c r="F65" s="13" t="s">
        <v>311</v>
      </c>
    </row>
    <row r="66" spans="3:6">
      <c r="C66" s="14"/>
      <c r="D66" s="13"/>
      <c r="E66" s="13"/>
      <c r="F66" s="13"/>
    </row>
    <row r="67" spans="3:6">
      <c r="C67" s="14"/>
      <c r="D67" s="13"/>
      <c r="E67" s="13"/>
      <c r="F67" s="13"/>
    </row>
    <row r="68" spans="3:6">
      <c r="C68" s="14"/>
      <c r="D68" s="13"/>
      <c r="E68" s="13"/>
      <c r="F68" s="13"/>
    </row>
    <row r="69" spans="3:6">
      <c r="C69" s="14"/>
      <c r="D69" s="13"/>
      <c r="E69" s="13"/>
      <c r="F69" s="13"/>
    </row>
    <row r="70" spans="3:6">
      <c r="C70" s="14"/>
      <c r="D70" s="13"/>
      <c r="E70" s="13"/>
      <c r="F70" s="13"/>
    </row>
    <row r="71" spans="3:6">
      <c r="C71" s="14"/>
      <c r="D71" s="13"/>
      <c r="E71" s="13"/>
      <c r="F71" s="13"/>
    </row>
    <row r="72" spans="3:6">
      <c r="C72" s="14"/>
      <c r="D72" s="13"/>
      <c r="E72" s="13"/>
      <c r="F72" s="13"/>
    </row>
    <row r="73" spans="3:6">
      <c r="C73" s="14"/>
      <c r="D73" s="13"/>
      <c r="E73" s="13"/>
      <c r="F73" s="13"/>
    </row>
    <row r="74" spans="3:6">
      <c r="C74" s="14"/>
      <c r="D74" s="13"/>
      <c r="E74" s="13"/>
      <c r="F74" s="13"/>
    </row>
    <row r="75" spans="3:6">
      <c r="C75" s="14"/>
      <c r="D75" s="13"/>
      <c r="E75" s="13"/>
      <c r="F75" s="13"/>
    </row>
    <row r="76" spans="3:6">
      <c r="C76" s="6"/>
    </row>
    <row r="77" spans="3:6">
      <c r="C77" s="6"/>
    </row>
    <row r="80" spans="3:6" ht="18.75">
      <c r="C80" s="5" t="s">
        <v>59</v>
      </c>
    </row>
    <row r="81" spans="2:6">
      <c r="B81" t="s">
        <v>60</v>
      </c>
      <c r="C81" s="1" t="s">
        <v>61</v>
      </c>
      <c r="D81" s="1" t="s">
        <v>62</v>
      </c>
      <c r="E81" s="1" t="s">
        <v>63</v>
      </c>
      <c r="F81" s="1" t="s">
        <v>64</v>
      </c>
    </row>
    <row r="82" spans="2:6">
      <c r="B82" s="64">
        <v>1</v>
      </c>
      <c r="C82" s="65">
        <v>1</v>
      </c>
      <c r="D82" s="10"/>
      <c r="E82" s="10"/>
      <c r="F82" s="10"/>
    </row>
    <row r="83" spans="2:6">
      <c r="B83" s="64">
        <v>1</v>
      </c>
      <c r="C83" s="65">
        <v>2</v>
      </c>
      <c r="D83" s="10"/>
      <c r="E83" s="10"/>
      <c r="F83" s="10"/>
    </row>
    <row r="84" spans="2:6">
      <c r="B84" s="64">
        <v>1</v>
      </c>
      <c r="C84" s="65">
        <v>3</v>
      </c>
      <c r="D84" s="10"/>
      <c r="E84" s="10"/>
      <c r="F84" s="10"/>
    </row>
    <row r="85" spans="2:6">
      <c r="B85" s="64">
        <v>1</v>
      </c>
      <c r="C85" s="65">
        <v>4</v>
      </c>
      <c r="D85" s="10"/>
      <c r="E85" s="10"/>
      <c r="F85" s="10"/>
    </row>
    <row r="86" spans="2:6">
      <c r="B86" s="64">
        <v>1</v>
      </c>
      <c r="C86" s="65">
        <v>5</v>
      </c>
      <c r="D86" s="10"/>
      <c r="E86" s="10"/>
      <c r="F86" s="10"/>
    </row>
    <row r="87" spans="2:6">
      <c r="B87" s="64">
        <v>1</v>
      </c>
      <c r="C87" s="65">
        <v>6</v>
      </c>
      <c r="D87" s="10"/>
      <c r="E87" s="10"/>
      <c r="F87" s="10"/>
    </row>
    <row r="88" spans="2:6">
      <c r="B88" s="64">
        <v>1</v>
      </c>
      <c r="C88" s="65">
        <v>7</v>
      </c>
      <c r="D88" s="10"/>
      <c r="E88" s="10"/>
      <c r="F88" s="10"/>
    </row>
    <row r="89" spans="2:6">
      <c r="B89" s="64">
        <v>1</v>
      </c>
      <c r="C89" s="65">
        <v>8</v>
      </c>
      <c r="D89" s="10"/>
      <c r="E89" s="10"/>
      <c r="F89" s="10"/>
    </row>
    <row r="90" spans="2:6">
      <c r="B90" s="64">
        <v>1</v>
      </c>
      <c r="C90" s="65">
        <v>9</v>
      </c>
      <c r="D90" s="10"/>
      <c r="E90" s="10"/>
      <c r="F90" s="10"/>
    </row>
    <row r="91" spans="2:6">
      <c r="B91" s="64">
        <v>1</v>
      </c>
      <c r="C91" s="65">
        <v>10</v>
      </c>
      <c r="D91" s="10"/>
      <c r="E91" s="10"/>
      <c r="F91" s="10"/>
    </row>
    <row r="92" spans="2:6">
      <c r="B92" s="64">
        <v>1</v>
      </c>
      <c r="C92" s="65">
        <v>11</v>
      </c>
      <c r="D92" s="10"/>
      <c r="E92" s="10"/>
      <c r="F92" s="10"/>
    </row>
    <row r="93" spans="2:6">
      <c r="B93" s="64">
        <v>1</v>
      </c>
      <c r="C93" s="65">
        <v>12</v>
      </c>
      <c r="D93" s="10"/>
      <c r="E93" s="10"/>
      <c r="F93" s="10"/>
    </row>
    <row r="94" spans="2:6" ht="75">
      <c r="B94" s="64">
        <v>2</v>
      </c>
      <c r="C94" s="65">
        <v>1</v>
      </c>
      <c r="D94" s="10" t="s">
        <v>312</v>
      </c>
      <c r="E94" s="10" t="s">
        <v>313</v>
      </c>
      <c r="F94" s="10" t="s">
        <v>314</v>
      </c>
    </row>
    <row r="95" spans="2:6" ht="75">
      <c r="B95" s="64">
        <v>2</v>
      </c>
      <c r="C95" s="65">
        <v>2</v>
      </c>
      <c r="D95" s="24" t="s">
        <v>315</v>
      </c>
      <c r="E95" s="10" t="s">
        <v>316</v>
      </c>
      <c r="F95" s="10" t="s">
        <v>314</v>
      </c>
    </row>
    <row r="96" spans="2:6">
      <c r="B96" s="64">
        <v>2</v>
      </c>
      <c r="C96" s="65">
        <v>3</v>
      </c>
      <c r="D96" s="24" t="s">
        <v>317</v>
      </c>
      <c r="E96" s="82" t="s">
        <v>318</v>
      </c>
      <c r="F96" s="10" t="s">
        <v>319</v>
      </c>
    </row>
    <row r="97" spans="2:6">
      <c r="B97" s="64">
        <v>2</v>
      </c>
      <c r="C97" s="65">
        <v>4</v>
      </c>
      <c r="D97" s="10" t="s">
        <v>320</v>
      </c>
      <c r="E97" s="82" t="s">
        <v>321</v>
      </c>
      <c r="F97" s="10" t="s">
        <v>322</v>
      </c>
    </row>
    <row r="98" spans="2:6">
      <c r="B98" s="64">
        <v>2</v>
      </c>
      <c r="C98" s="65">
        <v>5</v>
      </c>
      <c r="D98" s="10" t="s">
        <v>323</v>
      </c>
      <c r="E98" s="82" t="s">
        <v>324</v>
      </c>
      <c r="F98" s="10" t="s">
        <v>325</v>
      </c>
    </row>
    <row r="99" spans="2:6" ht="30">
      <c r="B99" s="64">
        <v>2</v>
      </c>
      <c r="C99" s="65">
        <v>6</v>
      </c>
      <c r="D99" s="10" t="s">
        <v>326</v>
      </c>
      <c r="E99" s="31" t="s">
        <v>327</v>
      </c>
      <c r="F99" s="44" t="s">
        <v>322</v>
      </c>
    </row>
    <row r="100" spans="2:6">
      <c r="B100" s="64">
        <v>2</v>
      </c>
      <c r="C100" s="65">
        <v>7</v>
      </c>
      <c r="D100" s="10" t="s">
        <v>328</v>
      </c>
      <c r="E100" s="10" t="s">
        <v>329</v>
      </c>
      <c r="F100" s="10" t="s">
        <v>330</v>
      </c>
    </row>
    <row r="101" spans="2:6" ht="45">
      <c r="B101" s="64">
        <v>2</v>
      </c>
      <c r="C101" s="65">
        <v>8</v>
      </c>
      <c r="D101" s="10" t="s">
        <v>331</v>
      </c>
      <c r="E101" s="10" t="s">
        <v>332</v>
      </c>
      <c r="F101" s="10" t="s">
        <v>325</v>
      </c>
    </row>
    <row r="102" spans="2:6" ht="30">
      <c r="B102" s="64">
        <v>2</v>
      </c>
      <c r="C102" s="65">
        <v>9</v>
      </c>
      <c r="D102" s="10" t="s">
        <v>333</v>
      </c>
      <c r="E102" s="31" t="s">
        <v>334</v>
      </c>
      <c r="F102" s="10" t="s">
        <v>325</v>
      </c>
    </row>
    <row r="103" spans="2:6" ht="30">
      <c r="B103" s="64">
        <v>2</v>
      </c>
      <c r="C103" s="65">
        <v>10</v>
      </c>
      <c r="D103" s="10" t="s">
        <v>335</v>
      </c>
      <c r="E103" s="10" t="s">
        <v>329</v>
      </c>
      <c r="F103" s="10" t="s">
        <v>336</v>
      </c>
    </row>
    <row r="104" spans="2:6">
      <c r="B104" s="64">
        <v>2</v>
      </c>
      <c r="C104" s="65">
        <v>11</v>
      </c>
      <c r="D104" s="10" t="s">
        <v>337</v>
      </c>
      <c r="E104" s="10" t="s">
        <v>338</v>
      </c>
      <c r="F104" s="10" t="s">
        <v>330</v>
      </c>
    </row>
    <row r="105" spans="2:6">
      <c r="B105" s="64">
        <v>2</v>
      </c>
      <c r="C105" s="65">
        <v>12</v>
      </c>
      <c r="D105" s="10"/>
      <c r="E105" s="10"/>
      <c r="F105" s="10"/>
    </row>
  </sheetData>
  <sheetProtection sheet="1" objects="1" scenarios="1" formatCells="0" formatColumns="0" formatRows="0" insertHyperlinks="0"/>
  <dataValidations disablePrompts="1" count="4">
    <dataValidation type="whole" showInputMessage="1" showErrorMessage="1" error="This is not a realistic number of contact hours please change" sqref="D19" xr:uid="{7B949394-BE34-4CC9-A9D6-7A75315A2DBB}">
      <formula1>0</formula1>
      <formula2>80</formula2>
    </dataValidation>
    <dataValidation type="list" allowBlank="1" showInputMessage="1" showErrorMessage="1" sqref="E38:E41" xr:uid="{B9D0113D-C789-41AE-B9C8-690F6C7A67B0}">
      <formula1>INDIRECT("LISTAssess[Assessment Specific]")</formula1>
    </dataValidation>
    <dataValidation type="whole" showInputMessage="1" showErrorMessage="1" error="This is not a realistic number of contact hours please reduce" sqref="D21:D23" xr:uid="{06524273-2360-4C43-9154-4A480587EC5E}">
      <formula1>0</formula1>
      <formula2>80</formula2>
    </dataValidation>
    <dataValidation type="list" allowBlank="1" showInputMessage="1" showErrorMessage="1" sqref="F46:F77" xr:uid="{3D662EF6-94E1-4350-B3D5-9F339CA0FD80}">
      <formula1>INDIRECT(VLOOKUP($E46, SkillNameMap, 2, FALSE))</formula1>
    </dataValidation>
  </dataValidations>
  <pageMargins left="0.7" right="0.7" top="0.75" bottom="0.75" header="0.3" footer="0.3"/>
  <pageSetup paperSize="9" orientation="portrait" horizontalDpi="4294967293" verticalDpi="0" r:id="rId1"/>
  <legacyDrawing r:id="rId2"/>
  <tableParts count="10">
    <tablePart r:id="rId3"/>
    <tablePart r:id="rId4"/>
    <tablePart r:id="rId5"/>
    <tablePart r:id="rId6"/>
    <tablePart r:id="rId7"/>
    <tablePart r:id="rId8"/>
    <tablePart r:id="rId9"/>
    <tablePart r:id="rId10"/>
    <tablePart r:id="rId11"/>
    <tablePart r:id="rId12"/>
  </tableParts>
  <extLst>
    <ext xmlns:x14="http://schemas.microsoft.com/office/spreadsheetml/2009/9/main" uri="{CCE6A557-97BC-4b89-ADB6-D9C93CAAB3DF}">
      <x14:dataValidations xmlns:xm="http://schemas.microsoft.com/office/excel/2006/main" disablePrompts="1" count="7">
        <x14:dataValidation type="list" allowBlank="1" showInputMessage="1" showErrorMessage="1" xr:uid="{D03A4CC7-9A30-452E-97E5-E03FCC9419A4}">
          <x14:formula1>
            <xm:f>LISTS!$C$26:$C$37</xm:f>
          </x14:formula1>
          <xm:sqref>D14</xm:sqref>
        </x14:dataValidation>
        <x14:dataValidation type="list" allowBlank="1" showInputMessage="1" showErrorMessage="1" xr:uid="{B7DB85EB-DFB5-437F-BA0C-32D4D2070C4D}">
          <x14:formula1>
            <xm:f>LISTS!$C$17:$C$22</xm:f>
          </x14:formula1>
          <xm:sqref>D13</xm:sqref>
        </x14:dataValidation>
        <x14:dataValidation type="list" allowBlank="1" showInputMessage="1" showErrorMessage="1" xr:uid="{82DFBB4E-D28E-4403-815A-4704BBB7702D}">
          <x14:formula1>
            <xm:f>LISTS!$C$7:$C$9</xm:f>
          </x14:formula1>
          <xm:sqref>D10</xm:sqref>
        </x14:dataValidation>
        <x14:dataValidation type="list" allowBlank="1" showInputMessage="1" showErrorMessage="1" xr:uid="{D8278727-60ED-4240-AED9-43FB98158BAE}">
          <x14:formula1>
            <xm:f>LISTS!$C$11:$C$15</xm:f>
          </x14:formula1>
          <xm:sqref>D11</xm:sqref>
        </x14:dataValidation>
        <x14:dataValidation type="list" allowBlank="1" showInputMessage="1" showErrorMessage="1" xr:uid="{7F080A95-6299-4905-8FCE-548941111CEB}">
          <x14:formula1>
            <xm:f>LISTS!$G$7:$G$11</xm:f>
          </x14:formula1>
          <xm:sqref>D38:D42</xm:sqref>
        </x14:dataValidation>
        <x14:dataValidation type="list" allowBlank="1" showInputMessage="1" showErrorMessage="1" xr:uid="{DD24076C-D431-4B83-8FB6-3800945C7C90}">
          <x14:formula1>
            <xm:f>LISTS!$E$7:$E$11</xm:f>
          </x14:formula1>
          <xm:sqref>D46:D77</xm:sqref>
        </x14:dataValidation>
        <x14:dataValidation type="list" allowBlank="1" showInputMessage="1" showErrorMessage="1" xr:uid="{C1ACB768-367A-4765-AEE3-B6D50718CC09}">
          <x14:formula1>
            <xm:f>LISTS!$J$7:$J$16</xm:f>
          </x14:formula1>
          <xm:sqref>E46:E77</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179172-432E-44AC-9B75-64041E072D7A}">
  <sheetPr codeName="Sheet21"/>
  <dimension ref="B2:H94"/>
  <sheetViews>
    <sheetView showGridLines="0" topLeftCell="A13" zoomScale="85" zoomScaleNormal="85" workbookViewId="0">
      <selection activeCell="D34" sqref="D34"/>
    </sheetView>
  </sheetViews>
  <sheetFormatPr defaultColWidth="8.85546875" defaultRowHeight="1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c r="C2" s="9" t="str">
        <f>D7</f>
        <v>5091SPS</v>
      </c>
      <c r="D2" s="9" t="str">
        <f>D8</f>
        <v>Research Methods 2</v>
      </c>
    </row>
    <row r="3" spans="2:6">
      <c r="B3" s="1"/>
      <c r="C3" s="1"/>
    </row>
    <row r="4" spans="2:6">
      <c r="B4" s="2"/>
      <c r="C4" s="2"/>
    </row>
    <row r="5" spans="2:6" ht="18.75">
      <c r="B5" s="2"/>
      <c r="C5" s="5" t="s">
        <v>0</v>
      </c>
    </row>
    <row r="6" spans="2:6">
      <c r="B6" s="2"/>
      <c r="C6" s="3" t="s">
        <v>1</v>
      </c>
      <c r="D6" s="4" t="s">
        <v>2</v>
      </c>
      <c r="E6" s="4"/>
      <c r="F6" t="s">
        <v>3</v>
      </c>
    </row>
    <row r="7" spans="2:6">
      <c r="B7" s="2"/>
      <c r="C7" s="63" t="s">
        <v>4</v>
      </c>
      <c r="D7" s="10" t="s">
        <v>339</v>
      </c>
      <c r="E7" s="4"/>
      <c r="F7" s="13" t="s">
        <v>340</v>
      </c>
    </row>
    <row r="8" spans="2:6">
      <c r="B8" s="2"/>
      <c r="C8" s="63" t="s">
        <v>6</v>
      </c>
      <c r="D8" s="10" t="s">
        <v>341</v>
      </c>
      <c r="E8" s="4"/>
      <c r="F8" s="13"/>
    </row>
    <row r="9" spans="2:6">
      <c r="C9" s="63" t="s">
        <v>7</v>
      </c>
      <c r="D9" s="10">
        <v>20</v>
      </c>
      <c r="E9" s="4"/>
    </row>
    <row r="10" spans="2:6">
      <c r="C10" s="63" t="s">
        <v>8</v>
      </c>
      <c r="D10" s="10">
        <v>2</v>
      </c>
      <c r="E10" s="4"/>
      <c r="F10" t="s">
        <v>9</v>
      </c>
    </row>
    <row r="11" spans="2:6">
      <c r="C11" s="63" t="s">
        <v>10</v>
      </c>
      <c r="D11" s="10">
        <v>5</v>
      </c>
      <c r="E11" s="4"/>
      <c r="F11" s="13" t="s">
        <v>342</v>
      </c>
    </row>
    <row r="12" spans="2:6">
      <c r="C12" s="63" t="s">
        <v>11</v>
      </c>
      <c r="D12" s="10" t="s">
        <v>343</v>
      </c>
      <c r="E12" s="4"/>
      <c r="F12" s="13" t="s">
        <v>344</v>
      </c>
    </row>
    <row r="13" spans="2:6">
      <c r="C13" s="63" t="s">
        <v>12</v>
      </c>
      <c r="D13" s="10" t="s">
        <v>184</v>
      </c>
      <c r="E13" s="4"/>
      <c r="F13" s="13" t="s">
        <v>345</v>
      </c>
    </row>
    <row r="14" spans="2:6">
      <c r="C14" s="63" t="s">
        <v>13</v>
      </c>
      <c r="D14" s="10" t="s">
        <v>186</v>
      </c>
      <c r="E14" s="4"/>
    </row>
    <row r="15" spans="2:6">
      <c r="C15" s="3"/>
      <c r="D15" s="4"/>
      <c r="E15" s="4"/>
      <c r="F15" t="s">
        <v>14</v>
      </c>
    </row>
    <row r="16" spans="2:6">
      <c r="C16" s="3"/>
      <c r="D16" s="4"/>
      <c r="E16" s="4"/>
      <c r="F16" s="13" t="s">
        <v>346</v>
      </c>
    </row>
    <row r="17" spans="3:6" ht="18.75">
      <c r="C17" s="5" t="s">
        <v>15</v>
      </c>
      <c r="D17" s="4"/>
      <c r="E17" s="4"/>
      <c r="F17" s="13"/>
    </row>
    <row r="18" spans="3:6">
      <c r="C18" s="3" t="s">
        <v>16</v>
      </c>
      <c r="D18" s="1" t="s">
        <v>15</v>
      </c>
      <c r="E18" s="4"/>
      <c r="F18" s="13"/>
    </row>
    <row r="19" spans="3:6">
      <c r="C19" s="63" t="s">
        <v>17</v>
      </c>
      <c r="D19" s="11">
        <v>34</v>
      </c>
      <c r="E19" s="4"/>
      <c r="F19" s="13"/>
    </row>
    <row r="20" spans="3:6">
      <c r="C20" s="63" t="s">
        <v>18</v>
      </c>
      <c r="D20" s="11">
        <v>12</v>
      </c>
      <c r="E20" s="4"/>
      <c r="F20" s="13"/>
    </row>
    <row r="21" spans="3:6">
      <c r="C21" s="63" t="s">
        <v>19</v>
      </c>
      <c r="D21" s="11"/>
      <c r="E21" s="4"/>
    </row>
    <row r="22" spans="3:6">
      <c r="C22" s="63" t="s">
        <v>20</v>
      </c>
      <c r="D22" s="11">
        <v>2</v>
      </c>
      <c r="E22" s="4"/>
      <c r="F22" t="s">
        <v>21</v>
      </c>
    </row>
    <row r="23" spans="3:6" ht="75">
      <c r="C23" s="63" t="s">
        <v>22</v>
      </c>
      <c r="D23" s="11"/>
      <c r="E23" s="4"/>
      <c r="F23" s="20" t="s">
        <v>347</v>
      </c>
    </row>
    <row r="24" spans="3:6" ht="105">
      <c r="C24" s="63" t="s">
        <v>23</v>
      </c>
      <c r="D24" s="1">
        <f>SUM(D19:D23)</f>
        <v>48</v>
      </c>
      <c r="E24" s="4"/>
      <c r="F24" s="20" t="s">
        <v>348</v>
      </c>
    </row>
    <row r="25" spans="3:6" ht="45">
      <c r="F25" s="100" t="s">
        <v>349</v>
      </c>
    </row>
    <row r="26" spans="3:6" ht="75">
      <c r="F26" s="20" t="s">
        <v>350</v>
      </c>
    </row>
    <row r="27" spans="3:6" ht="18.75">
      <c r="C27" s="5" t="s">
        <v>24</v>
      </c>
      <c r="D27" s="8" t="s">
        <v>25</v>
      </c>
      <c r="F27" s="13"/>
    </row>
    <row r="28" spans="3:6">
      <c r="C28" s="3" t="s">
        <v>26</v>
      </c>
      <c r="D28" s="3" t="s">
        <v>27</v>
      </c>
      <c r="E28" s="3"/>
      <c r="F28" s="13"/>
    </row>
    <row r="29" spans="3:6" ht="30">
      <c r="C29" s="63" t="s">
        <v>28</v>
      </c>
      <c r="D29" s="10" t="s">
        <v>351</v>
      </c>
      <c r="E29" s="4"/>
      <c r="F29" s="13"/>
    </row>
    <row r="30" spans="3:6" ht="45">
      <c r="C30" s="63" t="s">
        <v>29</v>
      </c>
      <c r="D30" s="10" t="s">
        <v>352</v>
      </c>
      <c r="E30" s="4"/>
      <c r="F30" s="13"/>
    </row>
    <row r="31" spans="3:6" ht="60">
      <c r="C31" s="63" t="s">
        <v>30</v>
      </c>
      <c r="D31" s="94" t="s">
        <v>353</v>
      </c>
      <c r="E31" s="4"/>
      <c r="F31" s="13"/>
    </row>
    <row r="32" spans="3:6">
      <c r="C32" s="63" t="s">
        <v>31</v>
      </c>
      <c r="D32" s="10"/>
      <c r="E32" s="4"/>
      <c r="F32" s="13"/>
    </row>
    <row r="33" spans="3:8">
      <c r="C33" s="63" t="s">
        <v>32</v>
      </c>
      <c r="D33" s="10"/>
      <c r="E33" s="4"/>
      <c r="F33" s="13"/>
    </row>
    <row r="36" spans="3:8" ht="18.75">
      <c r="C36" s="5" t="s">
        <v>33</v>
      </c>
    </row>
    <row r="37" spans="3:8">
      <c r="C37" s="3" t="s">
        <v>34</v>
      </c>
      <c r="D37" s="3" t="s">
        <v>35</v>
      </c>
      <c r="E37" s="3" t="s">
        <v>36</v>
      </c>
      <c r="F37" s="3" t="s">
        <v>37</v>
      </c>
      <c r="G37" s="3" t="s">
        <v>38</v>
      </c>
      <c r="H37" s="3" t="s">
        <v>39</v>
      </c>
    </row>
    <row r="38" spans="3:8" ht="30">
      <c r="C38" s="63" t="s">
        <v>40</v>
      </c>
      <c r="D38" s="10" t="s">
        <v>41</v>
      </c>
      <c r="E38" s="10" t="s">
        <v>42</v>
      </c>
      <c r="F38" s="10" t="s">
        <v>354</v>
      </c>
      <c r="G38" s="12">
        <v>0.6</v>
      </c>
      <c r="H38" s="10">
        <v>6</v>
      </c>
    </row>
    <row r="39" spans="3:8" ht="45">
      <c r="C39" s="63" t="s">
        <v>44</v>
      </c>
      <c r="D39" s="10" t="s">
        <v>355</v>
      </c>
      <c r="E39" s="10" t="s">
        <v>356</v>
      </c>
      <c r="F39" s="10" t="s">
        <v>357</v>
      </c>
      <c r="G39" s="12">
        <v>0.4</v>
      </c>
      <c r="H39" s="10" t="s">
        <v>358</v>
      </c>
    </row>
    <row r="40" spans="3:8">
      <c r="C40" s="63" t="s">
        <v>45</v>
      </c>
      <c r="D40" s="13"/>
      <c r="E40" s="13"/>
      <c r="F40" s="13"/>
      <c r="G40" s="13"/>
      <c r="H40" s="13"/>
    </row>
    <row r="41" spans="3:8">
      <c r="C41" s="63" t="s">
        <v>46</v>
      </c>
      <c r="D41" s="13"/>
      <c r="E41" s="13"/>
      <c r="F41" s="13"/>
      <c r="G41" s="13"/>
      <c r="H41" s="13"/>
    </row>
    <row r="42" spans="3:8">
      <c r="C42" s="3"/>
    </row>
    <row r="44" spans="3:8" ht="18.75">
      <c r="C44" s="5" t="s">
        <v>47</v>
      </c>
      <c r="D44" s="8"/>
    </row>
    <row r="45" spans="3:8">
      <c r="C45" s="1" t="s">
        <v>34</v>
      </c>
      <c r="D45" s="1" t="s">
        <v>26</v>
      </c>
      <c r="E45" s="1" t="s">
        <v>48</v>
      </c>
      <c r="F45" s="1" t="s">
        <v>49</v>
      </c>
    </row>
    <row r="46" spans="3:8">
      <c r="C46" s="14" t="s">
        <v>40</v>
      </c>
      <c r="D46" s="13" t="s">
        <v>28</v>
      </c>
      <c r="E46" s="13" t="s">
        <v>50</v>
      </c>
      <c r="F46" s="13" t="s">
        <v>51</v>
      </c>
    </row>
    <row r="47" spans="3:8">
      <c r="C47" s="14" t="s">
        <v>40</v>
      </c>
      <c r="D47" s="13" t="s">
        <v>28</v>
      </c>
      <c r="E47" s="13" t="s">
        <v>50</v>
      </c>
      <c r="F47" s="13" t="s">
        <v>52</v>
      </c>
    </row>
    <row r="48" spans="3:8">
      <c r="C48" s="14" t="s">
        <v>40</v>
      </c>
      <c r="D48" s="13" t="s">
        <v>28</v>
      </c>
      <c r="E48" s="13" t="s">
        <v>53</v>
      </c>
      <c r="F48" s="13" t="s">
        <v>54</v>
      </c>
    </row>
    <row r="49" spans="3:6">
      <c r="C49" s="14" t="s">
        <v>40</v>
      </c>
      <c r="D49" s="13" t="s">
        <v>29</v>
      </c>
      <c r="E49" s="13" t="s">
        <v>55</v>
      </c>
      <c r="F49" s="13" t="s">
        <v>56</v>
      </c>
    </row>
    <row r="50" spans="3:6">
      <c r="C50" s="14" t="s">
        <v>40</v>
      </c>
      <c r="D50" s="13" t="s">
        <v>29</v>
      </c>
      <c r="E50" s="13" t="s">
        <v>57</v>
      </c>
      <c r="F50" s="13" t="s">
        <v>58</v>
      </c>
    </row>
    <row r="51" spans="3:6">
      <c r="C51" s="14" t="s">
        <v>40</v>
      </c>
      <c r="D51" s="13" t="s">
        <v>30</v>
      </c>
      <c r="E51" s="13" t="s">
        <v>162</v>
      </c>
      <c r="F51" s="13" t="s">
        <v>164</v>
      </c>
    </row>
    <row r="52" spans="3:6">
      <c r="C52" s="14" t="s">
        <v>44</v>
      </c>
      <c r="D52" s="13" t="s">
        <v>29</v>
      </c>
      <c r="E52" s="13" t="s">
        <v>50</v>
      </c>
      <c r="F52" s="13" t="s">
        <v>52</v>
      </c>
    </row>
    <row r="53" spans="3:6">
      <c r="C53" s="14" t="s">
        <v>44</v>
      </c>
      <c r="D53" s="13" t="s">
        <v>29</v>
      </c>
      <c r="E53" s="13" t="s">
        <v>53</v>
      </c>
      <c r="F53" s="13" t="s">
        <v>54</v>
      </c>
    </row>
    <row r="54" spans="3:6">
      <c r="C54" s="14" t="s">
        <v>44</v>
      </c>
      <c r="D54" s="13" t="s">
        <v>30</v>
      </c>
      <c r="E54" s="13" t="s">
        <v>162</v>
      </c>
      <c r="F54" s="13" t="s">
        <v>163</v>
      </c>
    </row>
    <row r="55" spans="3:6">
      <c r="C55" s="14" t="s">
        <v>44</v>
      </c>
      <c r="D55" s="13" t="s">
        <v>30</v>
      </c>
      <c r="E55" s="13" t="s">
        <v>55</v>
      </c>
      <c r="F55" s="13" t="s">
        <v>359</v>
      </c>
    </row>
    <row r="56" spans="3:6">
      <c r="C56" s="14"/>
      <c r="D56" s="13"/>
      <c r="E56" s="13"/>
      <c r="F56" s="13"/>
    </row>
    <row r="57" spans="3:6">
      <c r="C57" s="14"/>
      <c r="D57" s="13"/>
      <c r="E57" s="13"/>
      <c r="F57" s="13"/>
    </row>
    <row r="58" spans="3:6">
      <c r="C58" s="14"/>
      <c r="D58" s="13"/>
      <c r="E58" s="13"/>
      <c r="F58" s="13"/>
    </row>
    <row r="59" spans="3:6">
      <c r="C59" s="14"/>
      <c r="D59" s="13"/>
      <c r="E59" s="13"/>
      <c r="F59" s="13"/>
    </row>
    <row r="60" spans="3:6">
      <c r="C60" s="14"/>
      <c r="D60" s="13"/>
      <c r="E60" s="13"/>
      <c r="F60" s="13"/>
    </row>
    <row r="61" spans="3:6">
      <c r="C61" s="14"/>
      <c r="D61" s="13"/>
      <c r="E61" s="13"/>
      <c r="F61" s="13"/>
    </row>
    <row r="62" spans="3:6">
      <c r="C62" s="14"/>
      <c r="D62" s="13"/>
      <c r="E62" s="13"/>
      <c r="F62" s="13"/>
    </row>
    <row r="63" spans="3:6">
      <c r="C63" s="14"/>
      <c r="D63" s="13"/>
      <c r="E63" s="13"/>
      <c r="F63" s="13"/>
    </row>
    <row r="64" spans="3:6">
      <c r="C64" s="14"/>
      <c r="D64" s="13"/>
      <c r="E64" s="13"/>
      <c r="F64" s="13"/>
    </row>
    <row r="65" spans="2:6">
      <c r="C65" s="14"/>
      <c r="D65" s="13"/>
      <c r="E65" s="13"/>
      <c r="F65" s="13"/>
    </row>
    <row r="66" spans="2:6">
      <c r="C66" s="14"/>
      <c r="D66" s="13"/>
      <c r="E66" s="13"/>
      <c r="F66" s="13"/>
    </row>
    <row r="69" spans="2:6" ht="18.75">
      <c r="C69" s="5" t="s">
        <v>59</v>
      </c>
    </row>
    <row r="70" spans="2:6">
      <c r="B70" t="s">
        <v>60</v>
      </c>
      <c r="C70" s="1" t="s">
        <v>61</v>
      </c>
      <c r="D70" s="1" t="s">
        <v>62</v>
      </c>
      <c r="E70" s="1" t="s">
        <v>63</v>
      </c>
      <c r="F70" s="1" t="s">
        <v>64</v>
      </c>
    </row>
    <row r="71" spans="2:6">
      <c r="B71" s="64">
        <v>1</v>
      </c>
      <c r="C71" s="65">
        <v>1</v>
      </c>
      <c r="D71" s="10" t="s">
        <v>360</v>
      </c>
      <c r="E71" s="10" t="s">
        <v>361</v>
      </c>
      <c r="F71" s="10"/>
    </row>
    <row r="72" spans="2:6">
      <c r="B72" s="64">
        <v>1</v>
      </c>
      <c r="C72" s="65">
        <v>2</v>
      </c>
      <c r="D72" s="10" t="s">
        <v>360</v>
      </c>
      <c r="E72" s="10"/>
      <c r="F72" s="10"/>
    </row>
    <row r="73" spans="2:6">
      <c r="B73" s="64">
        <v>1</v>
      </c>
      <c r="C73" s="65">
        <v>3</v>
      </c>
      <c r="D73" s="10" t="s">
        <v>360</v>
      </c>
      <c r="E73" s="10" t="s">
        <v>361</v>
      </c>
      <c r="F73" s="10" t="s">
        <v>362</v>
      </c>
    </row>
    <row r="74" spans="2:6">
      <c r="B74" s="64">
        <v>1</v>
      </c>
      <c r="C74" s="65">
        <v>4</v>
      </c>
      <c r="D74" s="10" t="s">
        <v>360</v>
      </c>
      <c r="E74" s="10"/>
      <c r="F74" s="10" t="s">
        <v>362</v>
      </c>
    </row>
    <row r="75" spans="2:6">
      <c r="B75" s="64">
        <v>1</v>
      </c>
      <c r="C75" s="65">
        <v>5</v>
      </c>
      <c r="D75" s="10" t="s">
        <v>360</v>
      </c>
      <c r="E75" s="10" t="s">
        <v>361</v>
      </c>
      <c r="F75" s="10"/>
    </row>
    <row r="76" spans="2:6">
      <c r="B76" s="64">
        <v>1</v>
      </c>
      <c r="C76" s="65">
        <v>6</v>
      </c>
      <c r="D76" s="10" t="s">
        <v>360</v>
      </c>
      <c r="E76" s="10"/>
      <c r="F76" s="10"/>
    </row>
    <row r="77" spans="2:6">
      <c r="B77" s="64">
        <v>1</v>
      </c>
      <c r="C77" s="65">
        <v>7</v>
      </c>
      <c r="D77" s="10"/>
      <c r="E77" s="10"/>
      <c r="F77" s="10"/>
    </row>
    <row r="78" spans="2:6">
      <c r="B78" s="64">
        <v>1</v>
      </c>
      <c r="C78" s="65">
        <v>8</v>
      </c>
      <c r="D78" s="10" t="s">
        <v>363</v>
      </c>
      <c r="E78" s="10" t="s">
        <v>361</v>
      </c>
      <c r="F78" s="10"/>
    </row>
    <row r="79" spans="2:6">
      <c r="B79" s="64">
        <v>1</v>
      </c>
      <c r="C79" s="65">
        <v>9</v>
      </c>
      <c r="D79" s="10" t="s">
        <v>364</v>
      </c>
      <c r="E79" s="10"/>
      <c r="F79" s="10"/>
    </row>
    <row r="80" spans="2:6">
      <c r="B80" s="64">
        <v>1</v>
      </c>
      <c r="C80" s="65">
        <v>10</v>
      </c>
      <c r="D80" s="10" t="s">
        <v>365</v>
      </c>
      <c r="E80" s="10" t="s">
        <v>361</v>
      </c>
      <c r="F80" s="10"/>
    </row>
    <row r="81" spans="2:6">
      <c r="B81" s="64">
        <v>1</v>
      </c>
      <c r="C81" s="65">
        <v>11</v>
      </c>
      <c r="D81" s="10" t="s">
        <v>366</v>
      </c>
      <c r="E81" s="10"/>
      <c r="F81" s="10"/>
    </row>
    <row r="82" spans="2:6">
      <c r="B82" s="64">
        <v>1</v>
      </c>
      <c r="C82" s="65">
        <v>12</v>
      </c>
      <c r="D82" s="10" t="s">
        <v>367</v>
      </c>
      <c r="E82" s="10" t="s">
        <v>361</v>
      </c>
      <c r="F82" s="10"/>
    </row>
    <row r="83" spans="2:6">
      <c r="B83" s="64">
        <v>2</v>
      </c>
      <c r="C83" s="65">
        <v>1</v>
      </c>
      <c r="D83" s="10"/>
      <c r="E83" s="10"/>
      <c r="F83" s="10"/>
    </row>
    <row r="84" spans="2:6">
      <c r="B84" s="64">
        <v>2</v>
      </c>
      <c r="C84" s="65">
        <v>2</v>
      </c>
      <c r="D84" s="10"/>
      <c r="E84" s="10"/>
      <c r="F84" s="10"/>
    </row>
    <row r="85" spans="2:6">
      <c r="B85" s="64">
        <v>2</v>
      </c>
      <c r="C85" s="65">
        <v>3</v>
      </c>
      <c r="D85" s="10"/>
      <c r="E85" s="10"/>
      <c r="F85" s="10"/>
    </row>
    <row r="86" spans="2:6">
      <c r="B86" s="64">
        <v>2</v>
      </c>
      <c r="C86" s="65">
        <v>4</v>
      </c>
      <c r="D86" s="10"/>
      <c r="E86" s="10"/>
      <c r="F86" s="10"/>
    </row>
    <row r="87" spans="2:6">
      <c r="B87" s="64">
        <v>2</v>
      </c>
      <c r="C87" s="65">
        <v>5</v>
      </c>
      <c r="D87" s="10"/>
      <c r="E87" s="10"/>
      <c r="F87" s="10"/>
    </row>
    <row r="88" spans="2:6">
      <c r="B88" s="64">
        <v>2</v>
      </c>
      <c r="C88" s="65">
        <v>6</v>
      </c>
      <c r="D88" s="10"/>
      <c r="E88" s="10"/>
      <c r="F88" s="10"/>
    </row>
    <row r="89" spans="2:6">
      <c r="B89" s="64">
        <v>2</v>
      </c>
      <c r="C89" s="65">
        <v>7</v>
      </c>
      <c r="D89" s="10"/>
      <c r="E89" s="10"/>
      <c r="F89" s="10"/>
    </row>
    <row r="90" spans="2:6">
      <c r="B90" s="64">
        <v>2</v>
      </c>
      <c r="C90" s="65">
        <v>8</v>
      </c>
      <c r="D90" s="10"/>
      <c r="E90" s="10"/>
      <c r="F90" s="10"/>
    </row>
    <row r="91" spans="2:6">
      <c r="B91" s="64">
        <v>2</v>
      </c>
      <c r="C91" s="65">
        <v>9</v>
      </c>
      <c r="D91" s="10"/>
      <c r="E91" s="10"/>
      <c r="F91" s="10"/>
    </row>
    <row r="92" spans="2:6">
      <c r="B92" s="64">
        <v>2</v>
      </c>
      <c r="C92" s="65">
        <v>10</v>
      </c>
      <c r="D92" s="10"/>
      <c r="E92" s="10"/>
      <c r="F92" s="10"/>
    </row>
    <row r="93" spans="2:6">
      <c r="B93" s="64">
        <v>2</v>
      </c>
      <c r="C93" s="65">
        <v>11</v>
      </c>
      <c r="D93" s="10"/>
      <c r="E93" s="10"/>
      <c r="F93" s="10"/>
    </row>
    <row r="94" spans="2:6">
      <c r="B94" s="64">
        <v>2</v>
      </c>
      <c r="C94" s="65">
        <v>12</v>
      </c>
      <c r="D94" s="10"/>
      <c r="E94" s="10"/>
      <c r="F94" s="10"/>
    </row>
  </sheetData>
  <sheetProtection sheet="1" objects="1" scenarios="1" formatCells="0" formatColumns="0" formatRows="0" insertHyperlinks="0"/>
  <phoneticPr fontId="2" type="noConversion"/>
  <dataValidations count="4">
    <dataValidation type="list" allowBlank="1" showInputMessage="1" showErrorMessage="1" sqref="E38:E41" xr:uid="{A62A3AA1-D3B0-45A3-A998-2D56857427B0}">
      <formula1>INDIRECT("LISTAssess[Assessment Specific]")</formula1>
    </dataValidation>
    <dataValidation type="whole" showInputMessage="1" showErrorMessage="1" error="This is not a realistic number of contact hours please change" sqref="D19" xr:uid="{FBECA4FB-7A34-4FDD-80A9-474CB8B74418}">
      <formula1>0</formula1>
      <formula2>80</formula2>
    </dataValidation>
    <dataValidation type="whole" showInputMessage="1" showErrorMessage="1" error="This is not a realistic number of contact hours please reduce" sqref="D20:D23" xr:uid="{739D2576-B862-4853-8753-8DF65DD1B8E0}">
      <formula1>0</formula1>
      <formula2>80</formula2>
    </dataValidation>
    <dataValidation type="list" allowBlank="1" showInputMessage="1" showErrorMessage="1" sqref="F46:F66" xr:uid="{70ACACFF-AE30-4743-9BF8-AD88937CBFB3}">
      <formula1>INDIRECT(VLOOKUP($E46,SkillNameMap,2,FALSE))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1">
        <x14:dataValidation type="list" allowBlank="1" showInputMessage="1" showErrorMessage="1" xr:uid="{A0E54470-2C60-430D-8248-9D02AB0B56EE}">
          <x14:formula1>
            <xm:f>LISTS!$J$7:$J$16</xm:f>
          </x14:formula1>
          <xm:sqref>E46:E66</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B9CE35-482D-49B2-A7F4-55CDB527A6FE}">
  <sheetPr codeName="Sheet23"/>
  <dimension ref="B2:H95"/>
  <sheetViews>
    <sheetView showGridLines="0" topLeftCell="A7" zoomScale="85" zoomScaleNormal="85" workbookViewId="0">
      <selection activeCell="F23" sqref="F23"/>
    </sheetView>
  </sheetViews>
  <sheetFormatPr defaultColWidth="8.85546875" defaultRowHeight="15"/>
  <cols>
    <col min="3" max="3" width="33.28515625" customWidth="1"/>
    <col min="4" max="4" width="55.140625" customWidth="1"/>
    <col min="5" max="5" width="67.28515625" customWidth="1"/>
    <col min="6" max="6" width="63.7109375" customWidth="1"/>
    <col min="7" max="7" width="12.42578125" customWidth="1"/>
    <col min="8" max="8" width="15.42578125" customWidth="1"/>
    <col min="9" max="9" width="14.7109375" customWidth="1"/>
  </cols>
  <sheetData>
    <row r="2" spans="2:6" ht="26.25">
      <c r="C2" s="9" t="str">
        <f>D7</f>
        <v>5101SPS</v>
      </c>
      <c r="D2" s="9" t="str">
        <f>D8</f>
        <v>Professional Practice in Sport and Exercise Science 2</v>
      </c>
    </row>
    <row r="3" spans="2:6">
      <c r="B3" s="1"/>
      <c r="C3" s="1"/>
    </row>
    <row r="4" spans="2:6">
      <c r="B4" s="2"/>
      <c r="C4" s="2"/>
    </row>
    <row r="5" spans="2:6" ht="18.75">
      <c r="B5" s="2"/>
      <c r="C5" s="5" t="s">
        <v>0</v>
      </c>
    </row>
    <row r="6" spans="2:6">
      <c r="B6" s="2"/>
      <c r="C6" s="3" t="s">
        <v>1</v>
      </c>
      <c r="D6" s="4" t="s">
        <v>2</v>
      </c>
      <c r="E6" s="4"/>
      <c r="F6" t="s">
        <v>3</v>
      </c>
    </row>
    <row r="7" spans="2:6" ht="105">
      <c r="B7" s="2"/>
      <c r="C7" s="63" t="s">
        <v>4</v>
      </c>
      <c r="D7" s="10" t="s">
        <v>368</v>
      </c>
      <c r="E7" s="4"/>
      <c r="F7" s="20" t="s">
        <v>369</v>
      </c>
    </row>
    <row r="8" spans="2:6">
      <c r="B8" s="2"/>
      <c r="C8" s="63" t="s">
        <v>6</v>
      </c>
      <c r="D8" s="10" t="s">
        <v>370</v>
      </c>
      <c r="E8" s="4"/>
      <c r="F8" s="13"/>
    </row>
    <row r="9" spans="2:6">
      <c r="C9" s="63" t="s">
        <v>7</v>
      </c>
      <c r="D9" s="10">
        <v>20</v>
      </c>
      <c r="E9" s="4"/>
    </row>
    <row r="10" spans="2:6">
      <c r="C10" s="63" t="s">
        <v>8</v>
      </c>
      <c r="D10" s="10">
        <v>1</v>
      </c>
      <c r="E10" s="4"/>
      <c r="F10" t="s">
        <v>9</v>
      </c>
    </row>
    <row r="11" spans="2:6">
      <c r="C11" s="63" t="s">
        <v>10</v>
      </c>
      <c r="D11" s="10">
        <v>5</v>
      </c>
      <c r="E11" s="4"/>
      <c r="F11" s="13" t="s">
        <v>371</v>
      </c>
    </row>
    <row r="12" spans="2:6">
      <c r="C12" s="63" t="s">
        <v>11</v>
      </c>
      <c r="D12" s="10" t="s">
        <v>372</v>
      </c>
      <c r="E12" s="4"/>
      <c r="F12" s="20" t="s">
        <v>373</v>
      </c>
    </row>
    <row r="13" spans="2:6">
      <c r="C13" s="63" t="s">
        <v>12</v>
      </c>
      <c r="D13" s="10" t="s">
        <v>85</v>
      </c>
      <c r="E13" s="4"/>
      <c r="F13" s="13" t="s">
        <v>374</v>
      </c>
    </row>
    <row r="14" spans="2:6">
      <c r="C14" s="63" t="s">
        <v>13</v>
      </c>
      <c r="D14" s="10" t="s">
        <v>86</v>
      </c>
      <c r="E14" s="4"/>
    </row>
    <row r="15" spans="2:6">
      <c r="C15" s="3"/>
      <c r="D15" s="4"/>
      <c r="E15" s="4"/>
      <c r="F15" t="s">
        <v>14</v>
      </c>
    </row>
    <row r="16" spans="2:6" ht="120">
      <c r="C16" s="3"/>
      <c r="D16" s="4"/>
      <c r="E16" s="4"/>
      <c r="F16" s="24" t="s">
        <v>375</v>
      </c>
    </row>
    <row r="17" spans="3:6" ht="18.75">
      <c r="C17" s="5" t="s">
        <v>15</v>
      </c>
      <c r="D17" s="4"/>
      <c r="E17" s="4"/>
      <c r="F17" s="20"/>
    </row>
    <row r="18" spans="3:6">
      <c r="C18" s="3" t="s">
        <v>16</v>
      </c>
      <c r="D18" s="1" t="s">
        <v>15</v>
      </c>
      <c r="E18" s="4"/>
      <c r="F18" s="20"/>
    </row>
    <row r="19" spans="3:6">
      <c r="C19" s="63" t="s">
        <v>17</v>
      </c>
      <c r="D19" s="11">
        <v>22</v>
      </c>
      <c r="E19" s="4"/>
      <c r="F19" s="20"/>
    </row>
    <row r="20" spans="3:6">
      <c r="C20" s="63" t="s">
        <v>18</v>
      </c>
      <c r="D20" s="11">
        <v>12</v>
      </c>
      <c r="E20" s="4"/>
      <c r="F20" s="20"/>
    </row>
    <row r="21" spans="3:6">
      <c r="C21" s="63" t="s">
        <v>19</v>
      </c>
      <c r="D21" s="11">
        <v>0</v>
      </c>
      <c r="E21" s="4"/>
    </row>
    <row r="22" spans="3:6">
      <c r="C22" s="63" t="s">
        <v>20</v>
      </c>
      <c r="D22" s="11">
        <v>0</v>
      </c>
      <c r="E22" s="4"/>
      <c r="F22" t="s">
        <v>21</v>
      </c>
    </row>
    <row r="23" spans="3:6" ht="60">
      <c r="C23" s="63" t="s">
        <v>22</v>
      </c>
      <c r="D23" s="11">
        <v>6</v>
      </c>
      <c r="E23" s="4"/>
      <c r="F23" s="20" t="s">
        <v>376</v>
      </c>
    </row>
    <row r="24" spans="3:6">
      <c r="C24" s="63" t="s">
        <v>23</v>
      </c>
      <c r="D24" s="1">
        <f>SUM(D19:D23)</f>
        <v>40</v>
      </c>
      <c r="E24" s="4"/>
      <c r="F24" s="13"/>
    </row>
    <row r="25" spans="3:6">
      <c r="F25" s="13"/>
    </row>
    <row r="26" spans="3:6">
      <c r="F26" s="13"/>
    </row>
    <row r="27" spans="3:6" ht="18.75">
      <c r="C27" s="5" t="s">
        <v>24</v>
      </c>
      <c r="D27" s="8" t="s">
        <v>25</v>
      </c>
      <c r="F27" s="13"/>
    </row>
    <row r="28" spans="3:6">
      <c r="C28" s="3" t="s">
        <v>26</v>
      </c>
      <c r="D28" s="3" t="s">
        <v>27</v>
      </c>
      <c r="E28" s="3"/>
      <c r="F28" s="13"/>
    </row>
    <row r="29" spans="3:6">
      <c r="C29" s="63" t="s">
        <v>28</v>
      </c>
      <c r="D29" s="67" t="s">
        <v>377</v>
      </c>
      <c r="E29" s="4"/>
      <c r="F29" s="13"/>
    </row>
    <row r="30" spans="3:6">
      <c r="C30" s="63" t="s">
        <v>29</v>
      </c>
      <c r="D30" s="67" t="s">
        <v>378</v>
      </c>
      <c r="E30" s="4"/>
      <c r="F30" s="13"/>
    </row>
    <row r="31" spans="3:6" ht="39">
      <c r="C31" s="63" t="s">
        <v>30</v>
      </c>
      <c r="D31" s="68" t="s">
        <v>379</v>
      </c>
      <c r="E31" s="4"/>
      <c r="F31" s="13"/>
    </row>
    <row r="32" spans="3:6">
      <c r="C32" s="63" t="s">
        <v>31</v>
      </c>
      <c r="D32" s="10"/>
      <c r="E32" s="4"/>
      <c r="F32" s="13"/>
    </row>
    <row r="33" spans="3:8">
      <c r="C33" s="63" t="s">
        <v>32</v>
      </c>
      <c r="D33" s="10"/>
      <c r="E33" s="4"/>
      <c r="F33" s="13"/>
    </row>
    <row r="36" spans="3:8" ht="18.75">
      <c r="C36" s="5" t="s">
        <v>33</v>
      </c>
    </row>
    <row r="37" spans="3:8">
      <c r="C37" s="3" t="s">
        <v>34</v>
      </c>
      <c r="D37" s="3" t="s">
        <v>35</v>
      </c>
      <c r="E37" s="3" t="s">
        <v>36</v>
      </c>
      <c r="F37" s="3" t="s">
        <v>37</v>
      </c>
      <c r="G37" s="3" t="s">
        <v>38</v>
      </c>
      <c r="H37" s="3" t="s">
        <v>39</v>
      </c>
    </row>
    <row r="38" spans="3:8" ht="30">
      <c r="C38" s="63" t="s">
        <v>40</v>
      </c>
      <c r="D38" s="10" t="s">
        <v>97</v>
      </c>
      <c r="E38" s="10"/>
      <c r="F38" s="10" t="s">
        <v>380</v>
      </c>
      <c r="G38" s="12">
        <v>0.6</v>
      </c>
      <c r="H38" s="10">
        <v>6</v>
      </c>
    </row>
    <row r="39" spans="3:8" ht="45">
      <c r="C39" s="63" t="s">
        <v>44</v>
      </c>
      <c r="D39" s="10" t="s">
        <v>41</v>
      </c>
      <c r="E39" s="10"/>
      <c r="F39" s="35" t="s">
        <v>381</v>
      </c>
      <c r="G39" s="12">
        <v>0.4</v>
      </c>
      <c r="H39" s="10">
        <v>12</v>
      </c>
    </row>
    <row r="40" spans="3:8">
      <c r="C40" s="63" t="s">
        <v>45</v>
      </c>
      <c r="D40" s="13"/>
      <c r="E40" s="13"/>
      <c r="F40" s="20"/>
      <c r="G40" s="13"/>
      <c r="H40" s="13"/>
    </row>
    <row r="41" spans="3:8">
      <c r="C41" s="63" t="s">
        <v>46</v>
      </c>
      <c r="D41" s="13"/>
      <c r="E41" s="13"/>
      <c r="F41" s="13"/>
      <c r="G41" s="13"/>
      <c r="H41" s="13"/>
    </row>
    <row r="42" spans="3:8">
      <c r="C42" s="3"/>
    </row>
    <row r="44" spans="3:8" ht="18.75">
      <c r="C44" s="5" t="s">
        <v>47</v>
      </c>
      <c r="D44" s="8"/>
    </row>
    <row r="45" spans="3:8">
      <c r="C45" s="1" t="s">
        <v>34</v>
      </c>
      <c r="D45" s="1" t="s">
        <v>26</v>
      </c>
      <c r="E45" s="1" t="s">
        <v>48</v>
      </c>
      <c r="F45" s="1" t="s">
        <v>49</v>
      </c>
    </row>
    <row r="46" spans="3:8">
      <c r="C46" s="14" t="s">
        <v>40</v>
      </c>
      <c r="D46" s="13" t="s">
        <v>28</v>
      </c>
      <c r="E46" s="13" t="s">
        <v>50</v>
      </c>
      <c r="F46" s="13" t="s">
        <v>239</v>
      </c>
    </row>
    <row r="47" spans="3:8">
      <c r="C47" s="14" t="s">
        <v>40</v>
      </c>
      <c r="D47" s="13" t="s">
        <v>28</v>
      </c>
      <c r="E47" s="13" t="s">
        <v>57</v>
      </c>
      <c r="F47" s="13" t="s">
        <v>78</v>
      </c>
    </row>
    <row r="48" spans="3:8">
      <c r="C48" s="14" t="s">
        <v>40</v>
      </c>
      <c r="D48" s="13" t="s">
        <v>29</v>
      </c>
      <c r="E48" s="13" t="s">
        <v>100</v>
      </c>
      <c r="F48" s="13" t="s">
        <v>101</v>
      </c>
    </row>
    <row r="49" spans="3:6">
      <c r="C49" s="14" t="s">
        <v>40</v>
      </c>
      <c r="D49" s="13" t="s">
        <v>29</v>
      </c>
      <c r="E49" s="13" t="s">
        <v>100</v>
      </c>
      <c r="F49" s="13" t="s">
        <v>382</v>
      </c>
    </row>
    <row r="50" spans="3:6">
      <c r="C50" s="14" t="s">
        <v>40</v>
      </c>
      <c r="D50" s="13" t="s">
        <v>30</v>
      </c>
      <c r="E50" s="13" t="s">
        <v>53</v>
      </c>
      <c r="F50" s="13" t="s">
        <v>54</v>
      </c>
    </row>
    <row r="51" spans="3:6">
      <c r="C51" s="14" t="s">
        <v>44</v>
      </c>
      <c r="D51" s="13" t="s">
        <v>30</v>
      </c>
      <c r="E51" s="13" t="s">
        <v>162</v>
      </c>
      <c r="F51" s="13" t="s">
        <v>383</v>
      </c>
    </row>
    <row r="52" spans="3:6">
      <c r="C52" s="14" t="s">
        <v>44</v>
      </c>
      <c r="D52" s="13" t="s">
        <v>28</v>
      </c>
      <c r="E52" s="13" t="s">
        <v>55</v>
      </c>
      <c r="F52" s="13" t="s">
        <v>56</v>
      </c>
    </row>
    <row r="53" spans="3:6">
      <c r="C53" s="14" t="s">
        <v>44</v>
      </c>
      <c r="D53" s="13" t="s">
        <v>30</v>
      </c>
      <c r="E53" s="13" t="s">
        <v>106</v>
      </c>
      <c r="F53" s="13" t="s">
        <v>309</v>
      </c>
    </row>
    <row r="54" spans="3:6">
      <c r="C54" s="14"/>
      <c r="D54" s="13"/>
      <c r="E54" s="13"/>
      <c r="F54" s="13"/>
    </row>
    <row r="55" spans="3:6">
      <c r="C55" s="14"/>
      <c r="D55" s="13"/>
      <c r="E55" s="13"/>
      <c r="F55" s="13"/>
    </row>
    <row r="56" spans="3:6">
      <c r="C56" s="14"/>
      <c r="D56" s="13"/>
      <c r="E56" s="13"/>
      <c r="F56" s="13"/>
    </row>
    <row r="57" spans="3:6">
      <c r="C57" s="14"/>
      <c r="D57" s="13"/>
      <c r="E57" s="13"/>
      <c r="F57" s="13"/>
    </row>
    <row r="58" spans="3:6">
      <c r="C58" s="14"/>
      <c r="D58" s="13"/>
      <c r="E58" s="13"/>
      <c r="F58" s="13"/>
    </row>
    <row r="59" spans="3:6">
      <c r="C59" s="14"/>
      <c r="D59" s="13"/>
      <c r="E59" s="13"/>
      <c r="F59" s="13"/>
    </row>
    <row r="60" spans="3:6">
      <c r="C60" s="14"/>
      <c r="D60" s="13"/>
      <c r="E60" s="13"/>
      <c r="F60" s="13"/>
    </row>
    <row r="61" spans="3:6">
      <c r="C61" s="14"/>
      <c r="D61" s="13"/>
      <c r="E61" s="13"/>
      <c r="F61" s="13"/>
    </row>
    <row r="62" spans="3:6">
      <c r="C62" s="14"/>
      <c r="D62" s="13"/>
      <c r="E62" s="13"/>
      <c r="F62" s="13"/>
    </row>
    <row r="63" spans="3:6">
      <c r="C63" s="14"/>
      <c r="D63" s="13"/>
      <c r="E63" s="13"/>
      <c r="F63" s="13"/>
    </row>
    <row r="64" spans="3:6">
      <c r="C64" s="14"/>
      <c r="D64" s="13"/>
      <c r="E64" s="13"/>
      <c r="F64" s="13"/>
    </row>
    <row r="65" spans="2:6">
      <c r="C65" s="14"/>
      <c r="D65" s="13"/>
      <c r="E65" s="13"/>
      <c r="F65" s="13"/>
    </row>
    <row r="66" spans="2:6">
      <c r="C66" s="14"/>
      <c r="D66" s="13"/>
      <c r="E66" s="13"/>
      <c r="F66" s="13"/>
    </row>
    <row r="67" spans="2:6">
      <c r="C67" s="14"/>
      <c r="D67" s="13"/>
      <c r="E67" s="13"/>
      <c r="F67" s="13"/>
    </row>
    <row r="70" spans="2:6" ht="18.75">
      <c r="C70" s="5" t="s">
        <v>59</v>
      </c>
    </row>
    <row r="71" spans="2:6">
      <c r="B71" t="s">
        <v>60</v>
      </c>
      <c r="C71" s="1" t="s">
        <v>61</v>
      </c>
      <c r="D71" s="1" t="s">
        <v>62</v>
      </c>
      <c r="E71" s="1" t="s">
        <v>63</v>
      </c>
      <c r="F71" s="1" t="s">
        <v>64</v>
      </c>
    </row>
    <row r="72" spans="2:6">
      <c r="B72" s="64">
        <v>1</v>
      </c>
      <c r="C72" s="65">
        <v>1</v>
      </c>
      <c r="D72" s="10" t="s">
        <v>384</v>
      </c>
      <c r="E72" s="10" t="s">
        <v>18</v>
      </c>
      <c r="F72" s="10" t="s">
        <v>385</v>
      </c>
    </row>
    <row r="73" spans="2:6">
      <c r="B73" s="64">
        <v>1</v>
      </c>
      <c r="C73" s="65">
        <v>2</v>
      </c>
      <c r="D73" s="10" t="s">
        <v>386</v>
      </c>
      <c r="E73" s="10" t="s">
        <v>18</v>
      </c>
      <c r="F73" s="10" t="s">
        <v>385</v>
      </c>
    </row>
    <row r="74" spans="2:6">
      <c r="B74" s="64">
        <v>1</v>
      </c>
      <c r="C74" s="65">
        <v>3</v>
      </c>
      <c r="D74" s="10" t="s">
        <v>387</v>
      </c>
      <c r="E74" s="10" t="s">
        <v>18</v>
      </c>
      <c r="F74" s="10" t="s">
        <v>385</v>
      </c>
    </row>
    <row r="75" spans="2:6">
      <c r="B75" s="64">
        <v>1</v>
      </c>
      <c r="C75" s="65">
        <v>4</v>
      </c>
      <c r="D75" s="10" t="s">
        <v>388</v>
      </c>
      <c r="E75" s="10" t="s">
        <v>18</v>
      </c>
      <c r="F75" s="10" t="s">
        <v>385</v>
      </c>
    </row>
    <row r="76" spans="2:6">
      <c r="B76" s="64">
        <v>1</v>
      </c>
      <c r="C76" s="65">
        <v>5</v>
      </c>
      <c r="D76" s="10" t="s">
        <v>389</v>
      </c>
      <c r="E76" s="10" t="s">
        <v>18</v>
      </c>
      <c r="F76" s="10" t="s">
        <v>385</v>
      </c>
    </row>
    <row r="77" spans="2:6">
      <c r="B77" s="64">
        <v>1</v>
      </c>
      <c r="C77" s="65">
        <v>6</v>
      </c>
      <c r="D77" s="10" t="s">
        <v>390</v>
      </c>
      <c r="E77" s="10" t="s">
        <v>18</v>
      </c>
      <c r="F77" s="10" t="s">
        <v>385</v>
      </c>
    </row>
    <row r="78" spans="2:6">
      <c r="B78" s="64">
        <v>1</v>
      </c>
      <c r="C78" s="65">
        <v>7</v>
      </c>
      <c r="D78" s="10" t="s">
        <v>391</v>
      </c>
      <c r="E78" s="10" t="s">
        <v>18</v>
      </c>
      <c r="F78" s="10" t="s">
        <v>385</v>
      </c>
    </row>
    <row r="79" spans="2:6">
      <c r="B79" s="64">
        <v>1</v>
      </c>
      <c r="C79" s="65">
        <v>8</v>
      </c>
      <c r="D79" s="10" t="s">
        <v>392</v>
      </c>
      <c r="E79" s="10" t="s">
        <v>18</v>
      </c>
      <c r="F79" s="10" t="s">
        <v>385</v>
      </c>
    </row>
    <row r="80" spans="2:6">
      <c r="B80" s="64">
        <v>1</v>
      </c>
      <c r="C80" s="65">
        <v>9</v>
      </c>
      <c r="D80" s="10" t="s">
        <v>393</v>
      </c>
      <c r="E80" s="10" t="s">
        <v>18</v>
      </c>
      <c r="F80" s="10" t="s">
        <v>385</v>
      </c>
    </row>
    <row r="81" spans="2:6">
      <c r="B81" s="64">
        <v>1</v>
      </c>
      <c r="C81" s="65">
        <v>10</v>
      </c>
      <c r="D81" s="10" t="s">
        <v>394</v>
      </c>
      <c r="E81" s="10" t="s">
        <v>18</v>
      </c>
      <c r="F81" s="10" t="s">
        <v>385</v>
      </c>
    </row>
    <row r="82" spans="2:6">
      <c r="B82" s="64">
        <v>1</v>
      </c>
      <c r="C82" s="65">
        <v>11</v>
      </c>
      <c r="D82" s="10" t="s">
        <v>395</v>
      </c>
      <c r="E82" s="10" t="s">
        <v>18</v>
      </c>
      <c r="F82" s="10" t="s">
        <v>385</v>
      </c>
    </row>
    <row r="83" spans="2:6">
      <c r="B83" s="64">
        <v>1</v>
      </c>
      <c r="C83" s="65">
        <v>12</v>
      </c>
      <c r="D83" s="10"/>
      <c r="E83" s="10"/>
      <c r="F83" s="10"/>
    </row>
    <row r="84" spans="2:6">
      <c r="B84" s="64">
        <v>2</v>
      </c>
      <c r="C84" s="65">
        <v>1</v>
      </c>
      <c r="D84" s="10"/>
      <c r="E84" s="10"/>
      <c r="F84" s="10"/>
    </row>
    <row r="85" spans="2:6">
      <c r="B85" s="64">
        <v>2</v>
      </c>
      <c r="C85" s="65">
        <v>2</v>
      </c>
      <c r="D85" s="10"/>
      <c r="E85" s="10"/>
      <c r="F85" s="10"/>
    </row>
    <row r="86" spans="2:6">
      <c r="B86" s="64">
        <v>2</v>
      </c>
      <c r="C86" s="65">
        <v>3</v>
      </c>
      <c r="D86" s="10"/>
      <c r="E86" s="10"/>
      <c r="F86" s="10"/>
    </row>
    <row r="87" spans="2:6">
      <c r="B87" s="64">
        <v>2</v>
      </c>
      <c r="C87" s="65">
        <v>4</v>
      </c>
      <c r="D87" s="10"/>
      <c r="E87" s="10"/>
      <c r="F87" s="10"/>
    </row>
    <row r="88" spans="2:6">
      <c r="B88" s="64">
        <v>2</v>
      </c>
      <c r="C88" s="65">
        <v>5</v>
      </c>
      <c r="D88" s="10"/>
      <c r="E88" s="10"/>
      <c r="F88" s="10"/>
    </row>
    <row r="89" spans="2:6">
      <c r="B89" s="64">
        <v>2</v>
      </c>
      <c r="C89" s="65">
        <v>6</v>
      </c>
      <c r="D89" s="10"/>
      <c r="E89" s="10"/>
      <c r="F89" s="10"/>
    </row>
    <row r="90" spans="2:6">
      <c r="B90" s="64">
        <v>2</v>
      </c>
      <c r="C90" s="65">
        <v>7</v>
      </c>
      <c r="D90" s="10"/>
      <c r="E90" s="10"/>
      <c r="F90" s="10"/>
    </row>
    <row r="91" spans="2:6">
      <c r="B91" s="64">
        <v>2</v>
      </c>
      <c r="C91" s="65">
        <v>8</v>
      </c>
      <c r="D91" s="10"/>
      <c r="E91" s="10"/>
      <c r="F91" s="10"/>
    </row>
    <row r="92" spans="2:6">
      <c r="B92" s="64">
        <v>2</v>
      </c>
      <c r="C92" s="65">
        <v>9</v>
      </c>
      <c r="D92" s="10"/>
      <c r="E92" s="10"/>
      <c r="F92" s="10"/>
    </row>
    <row r="93" spans="2:6">
      <c r="B93" s="64">
        <v>2</v>
      </c>
      <c r="C93" s="65">
        <v>10</v>
      </c>
      <c r="D93" s="10"/>
      <c r="E93" s="10"/>
      <c r="F93" s="10"/>
    </row>
    <row r="94" spans="2:6">
      <c r="B94" s="64">
        <v>2</v>
      </c>
      <c r="C94" s="65">
        <v>11</v>
      </c>
      <c r="D94" s="10"/>
      <c r="E94" s="10"/>
      <c r="F94" s="10"/>
    </row>
    <row r="95" spans="2:6">
      <c r="B95" s="64">
        <v>2</v>
      </c>
      <c r="C95" s="65">
        <v>12</v>
      </c>
      <c r="D95" s="10"/>
      <c r="E95" s="10"/>
      <c r="F95" s="10"/>
    </row>
  </sheetData>
  <sheetProtection sheet="1" objects="1" scenarios="1" formatCells="0" formatColumns="0" formatRows="0" insertHyperlinks="0"/>
  <dataValidations count="4">
    <dataValidation type="whole" showInputMessage="1" showErrorMessage="1" error="This is not a realistic number of contact hours please reduce" sqref="D20:D23" xr:uid="{4D23FC23-F098-43D4-A312-2FFADDC9A3E9}">
      <formula1>0</formula1>
      <formula2>80</formula2>
    </dataValidation>
    <dataValidation type="whole" showInputMessage="1" showErrorMessage="1" error="This is not a realistic number of contact hours please change" sqref="D19" xr:uid="{F8046F38-862C-449D-BBE8-394153A8B087}">
      <formula1>0</formula1>
      <formula2>80</formula2>
    </dataValidation>
    <dataValidation type="list" allowBlank="1" showInputMessage="1" showErrorMessage="1" sqref="E38:E41" xr:uid="{C47D745F-9DA8-4E01-9BD6-736F3AF2A926}">
      <formula1>INDIRECT("LISTAssess[Assessment Specific]")</formula1>
    </dataValidation>
    <dataValidation type="list" allowBlank="1" showInputMessage="1" showErrorMessage="1" sqref="F46:F67" xr:uid="{2A3A7258-D04B-485B-B11C-D9165BB9C050}">
      <formula1>INDIRECT(VLOOKUP($E46,SkillNameMap,2,FALSE))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3B7AD50D-D83F-4FF0-8A6E-08E1458944D4}">
          <x14:formula1>
            <xm:f>LISTS!$E$7:$E$11</xm:f>
          </x14:formula1>
          <xm:sqref>D46:D53 D55:D67</xm:sqref>
        </x14:dataValidation>
        <x14:dataValidation type="list" allowBlank="1" showInputMessage="1" showErrorMessage="1" xr:uid="{6C49387A-3B2B-4A59-8085-7E9548B36300}">
          <x14:formula1>
            <xm:f>LISTS!$J$7:$J$16</xm:f>
          </x14:formula1>
          <xm:sqref>E46:E67</xm:sqref>
        </x14:dataValidation>
        <x14:dataValidation type="list" allowBlank="1" showInputMessage="1" showErrorMessage="1" xr:uid="{2000BD89-1C43-42A6-A8B2-7D7CD86956FD}">
          <x14:formula1>
            <xm:f>LISTS!$C$26:$C$37</xm:f>
          </x14:formula1>
          <xm:sqref>D14</xm:sqref>
        </x14:dataValidation>
        <x14:dataValidation type="list" allowBlank="1" showInputMessage="1" showErrorMessage="1" xr:uid="{53701699-E8C8-4683-8EAF-DF721821E5E2}">
          <x14:formula1>
            <xm:f>LISTS!$C$17:$C$22</xm:f>
          </x14:formula1>
          <xm:sqref>D13</xm:sqref>
        </x14:dataValidation>
        <x14:dataValidation type="list" allowBlank="1" showInputMessage="1" showErrorMessage="1" xr:uid="{5669D6A7-73E8-4EFD-B322-CEF76264B1E0}">
          <x14:formula1>
            <xm:f>LISTS!$C$7:$C$9</xm:f>
          </x14:formula1>
          <xm:sqref>D10</xm:sqref>
        </x14:dataValidation>
        <x14:dataValidation type="list" allowBlank="1" showInputMessage="1" showErrorMessage="1" xr:uid="{CFC4CF1F-0352-40A1-A20A-1BF81A6E67C3}">
          <x14:formula1>
            <xm:f>LISTS!$C$11:$C$15</xm:f>
          </x14:formula1>
          <xm:sqref>D11</xm:sqref>
        </x14:dataValidation>
        <x14:dataValidation type="list" allowBlank="1" showInputMessage="1" showErrorMessage="1" xr:uid="{F5484114-D0FD-491C-8A2C-ED82876F7420}">
          <x14:formula1>
            <xm:f>LISTS!$G$7:$G$11</xm:f>
          </x14:formula1>
          <xm:sqref>D38:D42</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5D08AE-A3E7-4649-AF94-9902578E541A}">
  <sheetPr codeName="Sheet7"/>
  <dimension ref="B2:H95"/>
  <sheetViews>
    <sheetView showGridLines="0" topLeftCell="B17" zoomScale="85" zoomScaleNormal="85" workbookViewId="0">
      <selection activeCell="F25" sqref="F25"/>
    </sheetView>
  </sheetViews>
  <sheetFormatPr defaultColWidth="8.85546875" defaultRowHeight="15"/>
  <cols>
    <col min="3" max="3" width="33.28515625" customWidth="1"/>
    <col min="4" max="4" width="55.140625" customWidth="1"/>
    <col min="5" max="5" width="67.28515625" customWidth="1"/>
    <col min="6" max="6" width="63.7109375" customWidth="1"/>
    <col min="7" max="7" width="12.42578125" customWidth="1"/>
    <col min="8" max="8" width="15.42578125" customWidth="1"/>
    <col min="9" max="9" width="14.7109375" customWidth="1"/>
  </cols>
  <sheetData>
    <row r="2" spans="2:6" ht="26.25">
      <c r="C2" s="9" t="str">
        <f>D7</f>
        <v>5102SPS</v>
      </c>
      <c r="D2" s="9" t="str">
        <f>D8</f>
        <v>Influences and Assessment of Physical Activity and Sedentary Behaviour</v>
      </c>
    </row>
    <row r="3" spans="2:6">
      <c r="B3" s="1"/>
      <c r="C3" s="1"/>
    </row>
    <row r="4" spans="2:6">
      <c r="B4" s="2"/>
      <c r="C4" s="2"/>
    </row>
    <row r="5" spans="2:6" ht="18.75">
      <c r="B5" s="2"/>
      <c r="C5" s="5" t="s">
        <v>0</v>
      </c>
    </row>
    <row r="6" spans="2:6">
      <c r="B6" s="2"/>
      <c r="C6" s="3" t="s">
        <v>1</v>
      </c>
      <c r="D6" s="4" t="s">
        <v>2</v>
      </c>
      <c r="E6" s="4"/>
      <c r="F6" t="s">
        <v>3</v>
      </c>
    </row>
    <row r="7" spans="2:6" ht="135">
      <c r="B7" s="2"/>
      <c r="C7" s="63" t="s">
        <v>4</v>
      </c>
      <c r="D7" s="10" t="s">
        <v>396</v>
      </c>
      <c r="E7" s="4"/>
      <c r="F7" s="20" t="s">
        <v>397</v>
      </c>
    </row>
    <row r="8" spans="2:6" ht="30">
      <c r="B8" s="2"/>
      <c r="C8" s="63" t="s">
        <v>6</v>
      </c>
      <c r="D8" s="10" t="s">
        <v>398</v>
      </c>
      <c r="E8" s="4"/>
      <c r="F8" s="13"/>
    </row>
    <row r="9" spans="2:6">
      <c r="C9" s="63" t="s">
        <v>7</v>
      </c>
      <c r="D9" s="10">
        <v>20</v>
      </c>
      <c r="E9" s="4"/>
    </row>
    <row r="10" spans="2:6">
      <c r="C10" s="63" t="s">
        <v>8</v>
      </c>
      <c r="D10" s="10">
        <v>1</v>
      </c>
      <c r="E10" s="4"/>
      <c r="F10" t="s">
        <v>9</v>
      </c>
    </row>
    <row r="11" spans="2:6">
      <c r="C11" s="63" t="s">
        <v>10</v>
      </c>
      <c r="D11" s="10">
        <v>5</v>
      </c>
      <c r="E11" s="4"/>
      <c r="F11" s="13" t="s">
        <v>399</v>
      </c>
    </row>
    <row r="12" spans="2:6" ht="45">
      <c r="C12" s="63" t="s">
        <v>11</v>
      </c>
      <c r="D12" s="10" t="s">
        <v>400</v>
      </c>
      <c r="E12" s="4"/>
      <c r="F12" s="20" t="s">
        <v>401</v>
      </c>
    </row>
    <row r="13" spans="2:6">
      <c r="C13" s="63" t="s">
        <v>12</v>
      </c>
      <c r="D13" s="10" t="s">
        <v>147</v>
      </c>
      <c r="E13" s="4"/>
      <c r="F13" s="13"/>
    </row>
    <row r="14" spans="2:6">
      <c r="C14" s="63" t="s">
        <v>13</v>
      </c>
      <c r="D14" s="10" t="s">
        <v>86</v>
      </c>
      <c r="E14" s="4"/>
    </row>
    <row r="15" spans="2:6">
      <c r="C15" s="3"/>
      <c r="D15" s="4"/>
      <c r="E15" s="4"/>
      <c r="F15" t="s">
        <v>14</v>
      </c>
    </row>
    <row r="16" spans="2:6" ht="135">
      <c r="C16" s="3"/>
      <c r="D16" s="4"/>
      <c r="E16" s="4"/>
      <c r="F16" s="20" t="s">
        <v>402</v>
      </c>
    </row>
    <row r="17" spans="3:6" ht="18.75">
      <c r="C17" s="5" t="s">
        <v>15</v>
      </c>
      <c r="D17" s="4"/>
      <c r="E17" s="4"/>
      <c r="F17" s="13"/>
    </row>
    <row r="18" spans="3:6">
      <c r="C18" s="3" t="s">
        <v>16</v>
      </c>
      <c r="D18" s="1" t="s">
        <v>15</v>
      </c>
      <c r="E18" s="4"/>
      <c r="F18" s="13"/>
    </row>
    <row r="19" spans="3:6">
      <c r="C19" s="63" t="s">
        <v>17</v>
      </c>
      <c r="D19" s="11">
        <v>22</v>
      </c>
      <c r="E19" s="4"/>
      <c r="F19" s="13"/>
    </row>
    <row r="20" spans="3:6">
      <c r="C20" s="63" t="s">
        <v>18</v>
      </c>
      <c r="D20" s="11">
        <v>14</v>
      </c>
      <c r="E20" s="4"/>
      <c r="F20" s="13"/>
    </row>
    <row r="21" spans="3:6">
      <c r="C21" s="63" t="s">
        <v>19</v>
      </c>
      <c r="D21" s="11">
        <v>2</v>
      </c>
      <c r="E21" s="4"/>
    </row>
    <row r="22" spans="3:6">
      <c r="C22" s="63" t="s">
        <v>20</v>
      </c>
      <c r="D22" s="11">
        <v>0</v>
      </c>
      <c r="E22" s="4"/>
      <c r="F22" t="s">
        <v>21</v>
      </c>
    </row>
    <row r="23" spans="3:6" ht="45">
      <c r="C23" s="63" t="s">
        <v>22</v>
      </c>
      <c r="D23" s="11">
        <v>11</v>
      </c>
      <c r="E23" s="4"/>
      <c r="F23" s="20" t="s">
        <v>403</v>
      </c>
    </row>
    <row r="24" spans="3:6" ht="75">
      <c r="C24" s="63" t="s">
        <v>23</v>
      </c>
      <c r="D24" s="1">
        <f>SUM(D19:D23)</f>
        <v>49</v>
      </c>
      <c r="E24" s="4"/>
      <c r="F24" s="20" t="s">
        <v>404</v>
      </c>
    </row>
    <row r="25" spans="3:6">
      <c r="F25" s="13" t="s">
        <v>405</v>
      </c>
    </row>
    <row r="26" spans="3:6">
      <c r="F26" s="13" t="s">
        <v>406</v>
      </c>
    </row>
    <row r="27" spans="3:6" ht="18.75">
      <c r="C27" s="5" t="s">
        <v>24</v>
      </c>
      <c r="D27" s="8" t="s">
        <v>25</v>
      </c>
      <c r="F27" s="13" t="s">
        <v>407</v>
      </c>
    </row>
    <row r="28" spans="3:6">
      <c r="C28" s="3" t="s">
        <v>26</v>
      </c>
      <c r="D28" s="3" t="s">
        <v>27</v>
      </c>
      <c r="E28" s="3"/>
      <c r="F28" s="13" t="s">
        <v>408</v>
      </c>
    </row>
    <row r="29" spans="3:6" ht="30">
      <c r="C29" s="63" t="s">
        <v>28</v>
      </c>
      <c r="D29" s="10" t="s">
        <v>409</v>
      </c>
      <c r="E29" s="4"/>
      <c r="F29" s="13" t="s">
        <v>410</v>
      </c>
    </row>
    <row r="30" spans="3:6" ht="30">
      <c r="C30" s="63" t="s">
        <v>29</v>
      </c>
      <c r="D30" s="10" t="s">
        <v>411</v>
      </c>
      <c r="E30" s="4"/>
      <c r="F30" s="13" t="s">
        <v>412</v>
      </c>
    </row>
    <row r="31" spans="3:6" ht="30">
      <c r="C31" s="63" t="s">
        <v>30</v>
      </c>
      <c r="D31" s="10" t="s">
        <v>413</v>
      </c>
      <c r="E31" s="4"/>
      <c r="F31" s="13" t="s">
        <v>414</v>
      </c>
    </row>
    <row r="32" spans="3:6">
      <c r="C32" s="63" t="s">
        <v>31</v>
      </c>
      <c r="D32" s="10"/>
      <c r="E32" s="4"/>
      <c r="F32" s="101" t="s">
        <v>415</v>
      </c>
    </row>
    <row r="33" spans="3:8">
      <c r="C33" s="63" t="s">
        <v>32</v>
      </c>
      <c r="D33" s="10"/>
      <c r="E33" s="4"/>
      <c r="F33" s="13"/>
    </row>
    <row r="36" spans="3:8" ht="18.75">
      <c r="C36" s="5" t="s">
        <v>33</v>
      </c>
    </row>
    <row r="37" spans="3:8">
      <c r="C37" s="3" t="s">
        <v>34</v>
      </c>
      <c r="D37" s="3" t="s">
        <v>35</v>
      </c>
      <c r="E37" s="3" t="s">
        <v>36</v>
      </c>
      <c r="F37" s="3" t="s">
        <v>37</v>
      </c>
      <c r="G37" s="3" t="s">
        <v>38</v>
      </c>
      <c r="H37" s="3" t="s">
        <v>39</v>
      </c>
    </row>
    <row r="38" spans="3:8" ht="75">
      <c r="C38" s="63" t="s">
        <v>40</v>
      </c>
      <c r="D38" s="10" t="s">
        <v>41</v>
      </c>
      <c r="E38" s="10" t="s">
        <v>42</v>
      </c>
      <c r="F38" s="10" t="s">
        <v>416</v>
      </c>
      <c r="G38" s="12">
        <v>0.5</v>
      </c>
      <c r="H38" s="10">
        <v>7</v>
      </c>
    </row>
    <row r="39" spans="3:8" ht="75">
      <c r="C39" s="63" t="s">
        <v>44</v>
      </c>
      <c r="D39" s="10" t="s">
        <v>97</v>
      </c>
      <c r="E39" s="10"/>
      <c r="F39" s="35" t="s">
        <v>417</v>
      </c>
      <c r="G39" s="12">
        <v>0.5</v>
      </c>
      <c r="H39" s="10" t="s">
        <v>418</v>
      </c>
    </row>
    <row r="40" spans="3:8">
      <c r="C40" s="63" t="s">
        <v>45</v>
      </c>
      <c r="D40" s="13"/>
      <c r="E40" s="13"/>
      <c r="F40" s="20"/>
      <c r="G40" s="13"/>
      <c r="H40" s="13"/>
    </row>
    <row r="41" spans="3:8">
      <c r="C41" s="63" t="s">
        <v>46</v>
      </c>
      <c r="D41" s="13"/>
      <c r="E41" s="13"/>
      <c r="F41" s="13"/>
      <c r="G41" s="13"/>
      <c r="H41" s="13"/>
    </row>
    <row r="42" spans="3:8">
      <c r="C42" s="3"/>
    </row>
    <row r="44" spans="3:8" ht="18.75">
      <c r="C44" s="5" t="s">
        <v>47</v>
      </c>
      <c r="D44" s="8"/>
    </row>
    <row r="45" spans="3:8">
      <c r="C45" s="1" t="s">
        <v>34</v>
      </c>
      <c r="D45" s="1" t="s">
        <v>26</v>
      </c>
      <c r="E45" s="1" t="s">
        <v>48</v>
      </c>
      <c r="F45" s="1" t="s">
        <v>49</v>
      </c>
    </row>
    <row r="46" spans="3:8">
      <c r="C46" s="14" t="s">
        <v>40</v>
      </c>
      <c r="D46" s="13" t="s">
        <v>28</v>
      </c>
      <c r="E46" s="13" t="s">
        <v>50</v>
      </c>
      <c r="F46" s="13" t="s">
        <v>51</v>
      </c>
    </row>
    <row r="47" spans="3:8">
      <c r="C47" s="14" t="s">
        <v>40</v>
      </c>
      <c r="D47" s="13" t="s">
        <v>28</v>
      </c>
      <c r="E47" s="13" t="s">
        <v>162</v>
      </c>
      <c r="F47" s="13" t="s">
        <v>164</v>
      </c>
    </row>
    <row r="48" spans="3:8">
      <c r="C48" s="14" t="s">
        <v>40</v>
      </c>
      <c r="D48" s="13" t="s">
        <v>28</v>
      </c>
      <c r="E48" s="13" t="s">
        <v>162</v>
      </c>
      <c r="F48" s="13" t="s">
        <v>163</v>
      </c>
    </row>
    <row r="49" spans="3:6">
      <c r="C49" s="14" t="s">
        <v>40</v>
      </c>
      <c r="D49" s="13" t="s">
        <v>28</v>
      </c>
      <c r="E49" s="13" t="s">
        <v>55</v>
      </c>
      <c r="F49" s="13" t="s">
        <v>56</v>
      </c>
    </row>
    <row r="50" spans="3:6">
      <c r="C50" s="14" t="s">
        <v>40</v>
      </c>
      <c r="D50" s="13" t="s">
        <v>28</v>
      </c>
      <c r="E50" s="13" t="s">
        <v>419</v>
      </c>
      <c r="F50" s="13" t="s">
        <v>420</v>
      </c>
    </row>
    <row r="51" spans="3:6">
      <c r="C51" s="14" t="s">
        <v>44</v>
      </c>
      <c r="D51" s="13" t="s">
        <v>29</v>
      </c>
      <c r="E51" s="13" t="s">
        <v>53</v>
      </c>
      <c r="F51" s="13" t="s">
        <v>161</v>
      </c>
    </row>
    <row r="52" spans="3:6">
      <c r="C52" s="14" t="s">
        <v>44</v>
      </c>
      <c r="D52" s="13" t="s">
        <v>29</v>
      </c>
      <c r="E52" s="13" t="s">
        <v>57</v>
      </c>
      <c r="F52" s="13" t="s">
        <v>58</v>
      </c>
    </row>
    <row r="53" spans="3:6">
      <c r="C53" s="14" t="s">
        <v>44</v>
      </c>
      <c r="D53" s="13" t="s">
        <v>30</v>
      </c>
      <c r="E53" s="13" t="s">
        <v>55</v>
      </c>
      <c r="F53" s="13" t="s">
        <v>104</v>
      </c>
    </row>
    <row r="54" spans="3:6">
      <c r="C54" s="14"/>
      <c r="D54" s="13"/>
      <c r="E54" s="13"/>
      <c r="F54" s="13"/>
    </row>
    <row r="55" spans="3:6">
      <c r="C55" s="14"/>
      <c r="D55" s="13"/>
      <c r="E55" s="13"/>
      <c r="F55" s="13"/>
    </row>
    <row r="56" spans="3:6">
      <c r="C56" s="14"/>
      <c r="D56" s="13"/>
      <c r="E56" s="13"/>
      <c r="F56" s="13"/>
    </row>
    <row r="57" spans="3:6">
      <c r="C57" s="14"/>
      <c r="D57" s="13"/>
      <c r="E57" s="13"/>
      <c r="F57" s="13"/>
    </row>
    <row r="58" spans="3:6">
      <c r="C58" s="14"/>
      <c r="D58" s="13"/>
      <c r="E58" s="13"/>
      <c r="F58" s="13"/>
    </row>
    <row r="59" spans="3:6">
      <c r="C59" s="14"/>
      <c r="D59" s="13"/>
      <c r="E59" s="13"/>
      <c r="F59" s="13"/>
    </row>
    <row r="60" spans="3:6">
      <c r="C60" s="14"/>
      <c r="D60" s="13"/>
      <c r="E60" s="13"/>
      <c r="F60" s="13"/>
    </row>
    <row r="61" spans="3:6">
      <c r="C61" s="14"/>
      <c r="D61" s="13"/>
      <c r="E61" s="13"/>
      <c r="F61" s="13"/>
    </row>
    <row r="62" spans="3:6">
      <c r="C62" s="14"/>
      <c r="D62" s="13"/>
      <c r="E62" s="13"/>
      <c r="F62" s="13"/>
    </row>
    <row r="63" spans="3:6">
      <c r="C63" s="14"/>
      <c r="D63" s="13"/>
      <c r="E63" s="13"/>
      <c r="F63" s="13"/>
    </row>
    <row r="64" spans="3:6">
      <c r="C64" s="14"/>
      <c r="D64" s="13"/>
      <c r="E64" s="13"/>
      <c r="F64" s="13"/>
    </row>
    <row r="65" spans="2:6">
      <c r="C65" s="14"/>
      <c r="D65" s="13"/>
      <c r="E65" s="13"/>
      <c r="F65" s="13"/>
    </row>
    <row r="66" spans="2:6">
      <c r="C66" s="14"/>
      <c r="D66" s="13"/>
      <c r="E66" s="13"/>
      <c r="F66" s="13"/>
    </row>
    <row r="67" spans="2:6">
      <c r="C67" s="14"/>
      <c r="D67" s="13"/>
      <c r="E67" s="13"/>
      <c r="F67" s="13"/>
    </row>
    <row r="70" spans="2:6" ht="18.75">
      <c r="C70" s="5" t="s">
        <v>59</v>
      </c>
    </row>
    <row r="71" spans="2:6">
      <c r="B71" t="s">
        <v>60</v>
      </c>
      <c r="C71" s="1" t="s">
        <v>61</v>
      </c>
      <c r="D71" s="1" t="s">
        <v>62</v>
      </c>
      <c r="E71" s="1" t="s">
        <v>63</v>
      </c>
      <c r="F71" s="1" t="s">
        <v>64</v>
      </c>
    </row>
    <row r="72" spans="2:6" ht="30">
      <c r="B72" s="64">
        <v>1</v>
      </c>
      <c r="C72" s="65">
        <v>1</v>
      </c>
      <c r="D72" s="10" t="s">
        <v>421</v>
      </c>
      <c r="E72" s="10" t="s">
        <v>422</v>
      </c>
      <c r="F72" s="10"/>
    </row>
    <row r="73" spans="2:6">
      <c r="B73" s="64">
        <v>1</v>
      </c>
      <c r="C73" s="65">
        <v>2</v>
      </c>
      <c r="D73" s="10" t="s">
        <v>423</v>
      </c>
      <c r="E73" s="10" t="s">
        <v>424</v>
      </c>
      <c r="F73" s="10" t="s">
        <v>422</v>
      </c>
    </row>
    <row r="74" spans="2:6">
      <c r="B74" s="64">
        <v>1</v>
      </c>
      <c r="C74" s="65">
        <v>3</v>
      </c>
      <c r="D74" s="10" t="s">
        <v>425</v>
      </c>
      <c r="E74" s="10" t="s">
        <v>424</v>
      </c>
      <c r="F74" s="10" t="s">
        <v>422</v>
      </c>
    </row>
    <row r="75" spans="2:6">
      <c r="B75" s="64">
        <v>1</v>
      </c>
      <c r="C75" s="65">
        <v>4</v>
      </c>
      <c r="D75" s="10" t="s">
        <v>426</v>
      </c>
      <c r="E75" s="10" t="s">
        <v>424</v>
      </c>
      <c r="F75" s="10" t="s">
        <v>422</v>
      </c>
    </row>
    <row r="76" spans="2:6" ht="30">
      <c r="B76" s="64">
        <v>1</v>
      </c>
      <c r="C76" s="65">
        <v>5</v>
      </c>
      <c r="D76" s="10" t="s">
        <v>427</v>
      </c>
      <c r="E76" s="10" t="s">
        <v>428</v>
      </c>
      <c r="F76" s="10" t="s">
        <v>422</v>
      </c>
    </row>
    <row r="77" spans="2:6">
      <c r="B77" s="64">
        <v>1</v>
      </c>
      <c r="C77" s="65">
        <v>6</v>
      </c>
      <c r="D77" s="10" t="s">
        <v>429</v>
      </c>
      <c r="E77" s="10" t="s">
        <v>422</v>
      </c>
      <c r="F77" s="10"/>
    </row>
    <row r="78" spans="2:6">
      <c r="B78" s="64">
        <v>1</v>
      </c>
      <c r="C78" s="65">
        <v>7</v>
      </c>
      <c r="D78" s="10"/>
      <c r="E78" s="10"/>
      <c r="F78" s="10"/>
    </row>
    <row r="79" spans="2:6">
      <c r="B79" s="64">
        <v>1</v>
      </c>
      <c r="C79" s="65">
        <v>8</v>
      </c>
      <c r="D79" s="10" t="s">
        <v>430</v>
      </c>
      <c r="E79" s="10" t="s">
        <v>431</v>
      </c>
      <c r="F79" s="10" t="s">
        <v>422</v>
      </c>
    </row>
    <row r="80" spans="2:6">
      <c r="B80" s="64">
        <v>1</v>
      </c>
      <c r="C80" s="65">
        <v>9</v>
      </c>
      <c r="D80" s="10" t="s">
        <v>432</v>
      </c>
      <c r="E80" s="10" t="s">
        <v>433</v>
      </c>
      <c r="F80" s="10" t="s">
        <v>422</v>
      </c>
    </row>
    <row r="81" spans="2:6">
      <c r="B81" s="64">
        <v>1</v>
      </c>
      <c r="C81" s="65">
        <v>10</v>
      </c>
      <c r="D81" s="10" t="s">
        <v>434</v>
      </c>
      <c r="E81" s="10" t="s">
        <v>435</v>
      </c>
      <c r="F81" s="10" t="s">
        <v>422</v>
      </c>
    </row>
    <row r="82" spans="2:6">
      <c r="B82" s="64">
        <v>1</v>
      </c>
      <c r="C82" s="65">
        <v>11</v>
      </c>
      <c r="D82" s="10" t="s">
        <v>436</v>
      </c>
      <c r="E82" s="10" t="s">
        <v>437</v>
      </c>
      <c r="F82" s="10" t="s">
        <v>422</v>
      </c>
    </row>
    <row r="83" spans="2:6">
      <c r="B83" s="64">
        <v>1</v>
      </c>
      <c r="C83" s="65">
        <v>12</v>
      </c>
      <c r="D83" s="10" t="s">
        <v>429</v>
      </c>
      <c r="E83" s="10" t="s">
        <v>422</v>
      </c>
      <c r="F83" s="10"/>
    </row>
    <row r="84" spans="2:6">
      <c r="B84" s="64">
        <v>2</v>
      </c>
      <c r="C84" s="65">
        <v>1</v>
      </c>
      <c r="D84" s="10"/>
      <c r="E84" s="10"/>
      <c r="F84" s="10"/>
    </row>
    <row r="85" spans="2:6">
      <c r="B85" s="64">
        <v>2</v>
      </c>
      <c r="C85" s="65">
        <v>2</v>
      </c>
      <c r="D85" s="10"/>
      <c r="E85" s="10"/>
      <c r="F85" s="10"/>
    </row>
    <row r="86" spans="2:6">
      <c r="B86" s="64">
        <v>2</v>
      </c>
      <c r="C86" s="65">
        <v>3</v>
      </c>
      <c r="D86" s="10"/>
      <c r="E86" s="10"/>
      <c r="F86" s="10"/>
    </row>
    <row r="87" spans="2:6">
      <c r="B87" s="64">
        <v>2</v>
      </c>
      <c r="C87" s="65">
        <v>4</v>
      </c>
      <c r="D87" s="10"/>
      <c r="E87" s="10"/>
      <c r="F87" s="10"/>
    </row>
    <row r="88" spans="2:6">
      <c r="B88" s="64">
        <v>2</v>
      </c>
      <c r="C88" s="65">
        <v>5</v>
      </c>
      <c r="D88" s="10"/>
      <c r="E88" s="10"/>
      <c r="F88" s="10"/>
    </row>
    <row r="89" spans="2:6">
      <c r="B89" s="64">
        <v>2</v>
      </c>
      <c r="C89" s="65">
        <v>6</v>
      </c>
      <c r="D89" s="10"/>
      <c r="E89" s="10"/>
      <c r="F89" s="10"/>
    </row>
    <row r="90" spans="2:6">
      <c r="B90" s="64">
        <v>2</v>
      </c>
      <c r="C90" s="65">
        <v>7</v>
      </c>
      <c r="D90" s="10"/>
      <c r="E90" s="10"/>
      <c r="F90" s="10"/>
    </row>
    <row r="91" spans="2:6">
      <c r="B91" s="64">
        <v>2</v>
      </c>
      <c r="C91" s="65">
        <v>8</v>
      </c>
      <c r="D91" s="10"/>
      <c r="E91" s="10"/>
      <c r="F91" s="10"/>
    </row>
    <row r="92" spans="2:6">
      <c r="B92" s="64">
        <v>2</v>
      </c>
      <c r="C92" s="65">
        <v>9</v>
      </c>
      <c r="D92" s="10"/>
      <c r="E92" s="10"/>
      <c r="F92" s="10"/>
    </row>
    <row r="93" spans="2:6">
      <c r="B93" s="64">
        <v>2</v>
      </c>
      <c r="C93" s="65">
        <v>10</v>
      </c>
      <c r="D93" s="10"/>
      <c r="E93" s="10"/>
      <c r="F93" s="10"/>
    </row>
    <row r="94" spans="2:6">
      <c r="B94" s="64">
        <v>2</v>
      </c>
      <c r="C94" s="65">
        <v>11</v>
      </c>
      <c r="D94" s="10"/>
      <c r="E94" s="10"/>
      <c r="F94" s="10"/>
    </row>
    <row r="95" spans="2:6">
      <c r="B95" s="64">
        <v>2</v>
      </c>
      <c r="C95" s="65">
        <v>12</v>
      </c>
      <c r="D95" s="10"/>
      <c r="E95" s="10"/>
      <c r="F95" s="10"/>
    </row>
  </sheetData>
  <sheetProtection sheet="1" objects="1" scenarios="1" formatCells="0" formatColumns="0" formatRows="0" insertHyperlinks="0"/>
  <dataValidations count="4">
    <dataValidation type="list" allowBlank="1" showInputMessage="1" showErrorMessage="1" sqref="E38:E41" xr:uid="{7994DC66-9754-47D3-A28B-C0A83A2EAC89}">
      <formula1>INDIRECT("LISTAssess[Assessment Specific]")</formula1>
    </dataValidation>
    <dataValidation type="whole" showInputMessage="1" showErrorMessage="1" error="This is not a realistic number of contact hours please change" sqref="D19" xr:uid="{5229BE75-B0E0-4077-8EF0-412E4F64E78E}">
      <formula1>0</formula1>
      <formula2>80</formula2>
    </dataValidation>
    <dataValidation type="whole" showInputMessage="1" showErrorMessage="1" error="This is not a realistic number of contact hours please reduce" sqref="D20:D23" xr:uid="{9C89F6C0-59B0-40A4-AD9B-FF2ACAB06DA5}">
      <formula1>0</formula1>
      <formula2>80</formula2>
    </dataValidation>
    <dataValidation type="list" allowBlank="1" showInputMessage="1" showErrorMessage="1" sqref="F46:F67" xr:uid="{F85C2AC9-6449-433E-8A32-B9FD0FCF9282}">
      <formula1>INDIRECT(VLOOKUP($E46,SkillNameMap,2,FALSE))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A8E27691-70AC-4099-A10F-63879CDC28C5}">
          <x14:formula1>
            <xm:f>LISTS!$G$7:$G$11</xm:f>
          </x14:formula1>
          <xm:sqref>D38:D42</xm:sqref>
        </x14:dataValidation>
        <x14:dataValidation type="list" allowBlank="1" showInputMessage="1" showErrorMessage="1" xr:uid="{762F8CE2-7D51-4572-9F70-B773F934E29C}">
          <x14:formula1>
            <xm:f>LISTS!$C$11:$C$15</xm:f>
          </x14:formula1>
          <xm:sqref>D11</xm:sqref>
        </x14:dataValidation>
        <x14:dataValidation type="list" allowBlank="1" showInputMessage="1" showErrorMessage="1" xr:uid="{15E0481E-98A1-407D-8DFA-141CA07D0DE7}">
          <x14:formula1>
            <xm:f>LISTS!$C$7:$C$9</xm:f>
          </x14:formula1>
          <xm:sqref>D10</xm:sqref>
        </x14:dataValidation>
        <x14:dataValidation type="list" allowBlank="1" showInputMessage="1" showErrorMessage="1" xr:uid="{B3565A50-A55E-4ECA-ADB3-330480BE2D6B}">
          <x14:formula1>
            <xm:f>LISTS!$C$17:$C$22</xm:f>
          </x14:formula1>
          <xm:sqref>D13</xm:sqref>
        </x14:dataValidation>
        <x14:dataValidation type="list" allowBlank="1" showInputMessage="1" showErrorMessage="1" xr:uid="{37A004BF-BEA8-4BF2-93ED-5C37361A1B7D}">
          <x14:formula1>
            <xm:f>LISTS!$C$26:$C$37</xm:f>
          </x14:formula1>
          <xm:sqref>D14</xm:sqref>
        </x14:dataValidation>
        <x14:dataValidation type="list" allowBlank="1" showInputMessage="1" showErrorMessage="1" xr:uid="{7B9F6B16-6FF5-4E56-841A-1AD40DF95F22}">
          <x14:formula1>
            <xm:f>LISTS!$J$7:$J$16</xm:f>
          </x14:formula1>
          <xm:sqref>E46:E67</xm:sqref>
        </x14:dataValidation>
        <x14:dataValidation type="list" allowBlank="1" showInputMessage="1" showErrorMessage="1" xr:uid="{4F387FE4-F215-4DCB-AA99-F2CB3B064FA3}">
          <x14:formula1>
            <xm:f>LISTS!$E$7:$E$11</xm:f>
          </x14:formula1>
          <xm:sqref>D46:D53 D55:D67</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D79C83-4B63-438B-8ADB-C2BAECC10A91}">
  <sheetPr codeName="Sheet8"/>
  <dimension ref="B2:H94"/>
  <sheetViews>
    <sheetView showGridLines="0" topLeftCell="A61" zoomScaleNormal="100" workbookViewId="0">
      <selection activeCell="F28" sqref="F28"/>
    </sheetView>
  </sheetViews>
  <sheetFormatPr defaultColWidth="8.85546875" defaultRowHeight="1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c r="C2" s="9" t="str">
        <f>D7</f>
        <v>5103SPS</v>
      </c>
      <c r="D2" s="9" t="str">
        <f>D8</f>
        <v xml:space="preserve">Biomechanics </v>
      </c>
    </row>
    <row r="3" spans="2:6">
      <c r="B3" s="1"/>
      <c r="C3" s="1"/>
    </row>
    <row r="4" spans="2:6">
      <c r="B4" s="2"/>
      <c r="C4" s="2"/>
    </row>
    <row r="5" spans="2:6" ht="18.75">
      <c r="B5" s="2"/>
      <c r="C5" s="5" t="s">
        <v>0</v>
      </c>
    </row>
    <row r="6" spans="2:6">
      <c r="B6" s="2"/>
      <c r="C6" s="3" t="s">
        <v>1</v>
      </c>
      <c r="D6" s="4" t="s">
        <v>2</v>
      </c>
      <c r="E6" s="4"/>
      <c r="F6" t="s">
        <v>3</v>
      </c>
    </row>
    <row r="7" spans="2:6" ht="90">
      <c r="B7" s="2"/>
      <c r="C7" s="63" t="s">
        <v>4</v>
      </c>
      <c r="D7" s="10" t="s">
        <v>438</v>
      </c>
      <c r="E7" s="4"/>
      <c r="F7" s="20" t="s">
        <v>439</v>
      </c>
    </row>
    <row r="8" spans="2:6">
      <c r="B8" s="2"/>
      <c r="C8" s="63" t="s">
        <v>6</v>
      </c>
      <c r="D8" s="10" t="s">
        <v>440</v>
      </c>
      <c r="E8" s="4"/>
      <c r="F8" s="13"/>
    </row>
    <row r="9" spans="2:6">
      <c r="C9" s="63" t="s">
        <v>7</v>
      </c>
      <c r="D9" s="10">
        <v>20</v>
      </c>
      <c r="E9" s="4"/>
    </row>
    <row r="10" spans="2:6">
      <c r="C10" s="63" t="s">
        <v>8</v>
      </c>
      <c r="D10" s="10"/>
      <c r="E10" s="4"/>
      <c r="F10" t="s">
        <v>9</v>
      </c>
    </row>
    <row r="11" spans="2:6" ht="45">
      <c r="C11" s="63" t="s">
        <v>10</v>
      </c>
      <c r="D11" s="10">
        <v>5</v>
      </c>
      <c r="E11" s="4"/>
      <c r="F11" s="20" t="s">
        <v>441</v>
      </c>
    </row>
    <row r="12" spans="2:6">
      <c r="C12" s="63" t="s">
        <v>11</v>
      </c>
      <c r="D12" s="10" t="s">
        <v>442</v>
      </c>
      <c r="E12" s="4"/>
      <c r="F12" s="13"/>
    </row>
    <row r="13" spans="2:6">
      <c r="C13" s="63" t="s">
        <v>12</v>
      </c>
      <c r="D13" s="10" t="s">
        <v>147</v>
      </c>
      <c r="E13" s="4"/>
      <c r="F13" s="13"/>
    </row>
    <row r="14" spans="2:6">
      <c r="C14" s="63" t="s">
        <v>13</v>
      </c>
      <c r="D14" s="10" t="s">
        <v>443</v>
      </c>
      <c r="E14" s="4"/>
    </row>
    <row r="15" spans="2:6">
      <c r="C15" s="3"/>
      <c r="D15" s="4"/>
      <c r="E15" s="4"/>
      <c r="F15" t="s">
        <v>14</v>
      </c>
    </row>
    <row r="16" spans="2:6" ht="227.25" customHeight="1">
      <c r="C16" s="3"/>
      <c r="D16" s="4"/>
      <c r="E16" s="4"/>
      <c r="F16" s="20" t="s">
        <v>444</v>
      </c>
    </row>
    <row r="17" spans="3:6" ht="18.75">
      <c r="C17" s="5" t="s">
        <v>15</v>
      </c>
      <c r="D17" s="4"/>
      <c r="E17" s="4"/>
      <c r="F17" s="13"/>
    </row>
    <row r="18" spans="3:6">
      <c r="C18" s="3" t="s">
        <v>16</v>
      </c>
      <c r="D18" s="1" t="s">
        <v>15</v>
      </c>
      <c r="E18" s="4"/>
      <c r="F18" s="13"/>
    </row>
    <row r="19" spans="3:6">
      <c r="C19" s="63" t="s">
        <v>17</v>
      </c>
      <c r="D19" s="11">
        <v>24</v>
      </c>
      <c r="E19" s="4"/>
      <c r="F19" s="13"/>
    </row>
    <row r="20" spans="3:6">
      <c r="C20" s="63" t="s">
        <v>18</v>
      </c>
      <c r="D20" s="11">
        <v>5</v>
      </c>
      <c r="E20" s="4"/>
      <c r="F20" s="13"/>
    </row>
    <row r="21" spans="3:6">
      <c r="C21" s="63" t="s">
        <v>19</v>
      </c>
      <c r="D21" s="11">
        <v>5</v>
      </c>
      <c r="E21" s="4"/>
    </row>
    <row r="22" spans="3:6">
      <c r="C22" s="63" t="s">
        <v>20</v>
      </c>
      <c r="D22" s="11"/>
      <c r="E22" s="4"/>
      <c r="F22" t="s">
        <v>21</v>
      </c>
    </row>
    <row r="23" spans="3:6">
      <c r="C23" s="63" t="s">
        <v>22</v>
      </c>
      <c r="D23" s="11">
        <v>1</v>
      </c>
      <c r="E23" s="4"/>
      <c r="F23" s="13"/>
    </row>
    <row r="24" spans="3:6">
      <c r="C24" s="63" t="s">
        <v>23</v>
      </c>
      <c r="D24" s="1">
        <f>SUM(D19:D23)</f>
        <v>35</v>
      </c>
      <c r="E24" s="4"/>
      <c r="F24" s="13"/>
    </row>
    <row r="25" spans="3:6">
      <c r="F25" s="13"/>
    </row>
    <row r="26" spans="3:6">
      <c r="F26" s="13"/>
    </row>
    <row r="27" spans="3:6" ht="18.75">
      <c r="C27" s="5" t="s">
        <v>24</v>
      </c>
      <c r="D27" s="8" t="s">
        <v>25</v>
      </c>
      <c r="F27" s="13"/>
    </row>
    <row r="28" spans="3:6">
      <c r="C28" s="3" t="s">
        <v>26</v>
      </c>
      <c r="D28" s="3" t="s">
        <v>27</v>
      </c>
      <c r="E28" s="3"/>
      <c r="F28" s="13"/>
    </row>
    <row r="29" spans="3:6" ht="30">
      <c r="C29" s="63" t="s">
        <v>28</v>
      </c>
      <c r="D29" s="10" t="s">
        <v>445</v>
      </c>
      <c r="E29" s="4"/>
      <c r="F29" s="13"/>
    </row>
    <row r="30" spans="3:6" ht="30">
      <c r="C30" s="63" t="s">
        <v>29</v>
      </c>
      <c r="D30" s="10" t="s">
        <v>446</v>
      </c>
      <c r="E30" s="4"/>
      <c r="F30" s="13"/>
    </row>
    <row r="31" spans="3:6">
      <c r="C31" s="63" t="s">
        <v>30</v>
      </c>
      <c r="D31" s="10"/>
      <c r="E31" s="4"/>
      <c r="F31" s="13"/>
    </row>
    <row r="32" spans="3:6">
      <c r="C32" s="63" t="s">
        <v>31</v>
      </c>
      <c r="D32" s="10"/>
      <c r="E32" s="4"/>
      <c r="F32" s="13"/>
    </row>
    <row r="33" spans="3:8">
      <c r="C33" s="63" t="s">
        <v>32</v>
      </c>
      <c r="D33" s="10"/>
      <c r="E33" s="4"/>
      <c r="F33" s="13"/>
    </row>
    <row r="36" spans="3:8" ht="18.75">
      <c r="C36" s="5" t="s">
        <v>33</v>
      </c>
    </row>
    <row r="37" spans="3:8">
      <c r="C37" s="3" t="s">
        <v>34</v>
      </c>
      <c r="D37" s="3" t="s">
        <v>35</v>
      </c>
      <c r="E37" s="3" t="s">
        <v>36</v>
      </c>
      <c r="F37" s="3" t="s">
        <v>37</v>
      </c>
      <c r="G37" s="3" t="s">
        <v>38</v>
      </c>
      <c r="H37" s="3" t="s">
        <v>39</v>
      </c>
    </row>
    <row r="38" spans="3:8" ht="30">
      <c r="C38" s="63" t="s">
        <v>40</v>
      </c>
      <c r="D38" s="10" t="s">
        <v>97</v>
      </c>
      <c r="E38" s="10" t="s">
        <v>236</v>
      </c>
      <c r="F38" s="10" t="s">
        <v>447</v>
      </c>
      <c r="G38" s="12">
        <v>0.5</v>
      </c>
      <c r="H38" s="10">
        <v>9</v>
      </c>
    </row>
    <row r="39" spans="3:8" ht="30">
      <c r="C39" s="63" t="s">
        <v>44</v>
      </c>
      <c r="D39" s="10" t="s">
        <v>157</v>
      </c>
      <c r="E39" s="10" t="s">
        <v>158</v>
      </c>
      <c r="F39" s="10" t="s">
        <v>448</v>
      </c>
      <c r="G39" s="12">
        <v>0.5</v>
      </c>
      <c r="H39" s="10">
        <v>12</v>
      </c>
    </row>
    <row r="40" spans="3:8">
      <c r="C40" s="63" t="s">
        <v>45</v>
      </c>
      <c r="D40" s="13"/>
      <c r="E40" s="13"/>
      <c r="F40" s="13"/>
      <c r="G40" s="13"/>
      <c r="H40" s="13"/>
    </row>
    <row r="41" spans="3:8">
      <c r="C41" s="63" t="s">
        <v>46</v>
      </c>
      <c r="D41" s="13"/>
      <c r="E41" s="13"/>
      <c r="F41" s="13"/>
      <c r="G41" s="13"/>
      <c r="H41" s="13"/>
    </row>
    <row r="42" spans="3:8">
      <c r="C42" s="3"/>
    </row>
    <row r="44" spans="3:8" ht="18.75">
      <c r="C44" s="5" t="s">
        <v>47</v>
      </c>
      <c r="D44" s="8"/>
    </row>
    <row r="45" spans="3:8">
      <c r="C45" s="1" t="s">
        <v>34</v>
      </c>
      <c r="D45" s="1" t="s">
        <v>26</v>
      </c>
      <c r="E45" s="1" t="s">
        <v>48</v>
      </c>
      <c r="F45" s="1" t="s">
        <v>49</v>
      </c>
    </row>
    <row r="46" spans="3:8">
      <c r="C46" s="14" t="s">
        <v>40</v>
      </c>
      <c r="D46" s="13" t="s">
        <v>28</v>
      </c>
      <c r="E46" s="13" t="s">
        <v>50</v>
      </c>
      <c r="F46" s="13"/>
    </row>
    <row r="47" spans="3:8">
      <c r="C47" s="14" t="s">
        <v>40</v>
      </c>
      <c r="D47" s="13" t="s">
        <v>28</v>
      </c>
      <c r="E47" s="13" t="s">
        <v>57</v>
      </c>
      <c r="F47" s="13"/>
    </row>
    <row r="48" spans="3:8">
      <c r="C48" s="14" t="s">
        <v>40</v>
      </c>
      <c r="D48" s="13" t="s">
        <v>28</v>
      </c>
      <c r="E48" s="13" t="s">
        <v>53</v>
      </c>
      <c r="F48" s="13"/>
    </row>
    <row r="49" spans="3:6">
      <c r="C49" s="14" t="s">
        <v>44</v>
      </c>
      <c r="D49" s="13" t="s">
        <v>29</v>
      </c>
      <c r="E49" s="13" t="s">
        <v>50</v>
      </c>
      <c r="F49" s="13"/>
    </row>
    <row r="50" spans="3:6">
      <c r="C50" s="14" t="s">
        <v>44</v>
      </c>
      <c r="D50" s="13" t="s">
        <v>29</v>
      </c>
      <c r="E50" s="13" t="s">
        <v>53</v>
      </c>
      <c r="F50" s="13"/>
    </row>
    <row r="51" spans="3:6">
      <c r="C51" s="14" t="s">
        <v>44</v>
      </c>
      <c r="D51" s="13" t="s">
        <v>29</v>
      </c>
      <c r="E51" s="13" t="s">
        <v>162</v>
      </c>
      <c r="F51" s="13"/>
    </row>
    <row r="52" spans="3:6">
      <c r="C52" s="14" t="s">
        <v>45</v>
      </c>
      <c r="D52" s="13"/>
      <c r="E52" s="13"/>
      <c r="F52" s="13"/>
    </row>
    <row r="53" spans="3:6">
      <c r="C53" s="14" t="s">
        <v>45</v>
      </c>
      <c r="D53" s="13"/>
      <c r="E53" s="13"/>
      <c r="F53" s="13"/>
    </row>
    <row r="54" spans="3:6">
      <c r="C54" s="14" t="s">
        <v>45</v>
      </c>
      <c r="D54" s="13"/>
      <c r="E54" s="13"/>
      <c r="F54" s="13"/>
    </row>
    <row r="55" spans="3:6">
      <c r="C55" s="14" t="s">
        <v>46</v>
      </c>
      <c r="D55" s="13"/>
      <c r="E55" s="13"/>
      <c r="F55" s="13"/>
    </row>
    <row r="56" spans="3:6">
      <c r="C56" s="14" t="s">
        <v>46</v>
      </c>
      <c r="D56" s="13"/>
      <c r="E56" s="13"/>
      <c r="F56" s="13"/>
    </row>
    <row r="57" spans="3:6">
      <c r="C57" s="14"/>
      <c r="D57" s="13"/>
      <c r="E57" s="13"/>
      <c r="F57" s="13"/>
    </row>
    <row r="58" spans="3:6">
      <c r="C58" s="14"/>
      <c r="D58" s="13"/>
      <c r="E58" s="13"/>
      <c r="F58" s="13"/>
    </row>
    <row r="59" spans="3:6">
      <c r="C59" s="14"/>
      <c r="D59" s="13"/>
      <c r="E59" s="13"/>
      <c r="F59" s="13"/>
    </row>
    <row r="60" spans="3:6">
      <c r="C60" s="14"/>
      <c r="D60" s="13"/>
      <c r="E60" s="13"/>
      <c r="F60" s="13"/>
    </row>
    <row r="61" spans="3:6">
      <c r="C61" s="14"/>
      <c r="D61" s="13"/>
      <c r="E61" s="13"/>
      <c r="F61" s="13"/>
    </row>
    <row r="62" spans="3:6">
      <c r="C62" s="14"/>
      <c r="D62" s="13"/>
      <c r="E62" s="13"/>
      <c r="F62" s="13"/>
    </row>
    <row r="63" spans="3:6">
      <c r="C63" s="14"/>
      <c r="D63" s="13"/>
      <c r="E63" s="13"/>
      <c r="F63" s="13"/>
    </row>
    <row r="64" spans="3:6">
      <c r="C64" s="14"/>
      <c r="D64" s="13"/>
      <c r="E64" s="13"/>
      <c r="F64" s="13"/>
    </row>
    <row r="65" spans="2:6">
      <c r="C65" s="14"/>
      <c r="D65" s="13"/>
      <c r="E65" s="13"/>
      <c r="F65" s="13"/>
    </row>
    <row r="66" spans="2:6">
      <c r="C66" s="14"/>
      <c r="D66" s="13"/>
      <c r="E66" s="13"/>
      <c r="F66" s="13"/>
    </row>
    <row r="69" spans="2:6" ht="18.75">
      <c r="C69" s="5" t="s">
        <v>59</v>
      </c>
    </row>
    <row r="70" spans="2:6">
      <c r="B70" t="s">
        <v>60</v>
      </c>
      <c r="C70" s="1" t="s">
        <v>61</v>
      </c>
      <c r="D70" s="1" t="s">
        <v>62</v>
      </c>
      <c r="E70" s="1" t="s">
        <v>63</v>
      </c>
      <c r="F70" s="1" t="s">
        <v>64</v>
      </c>
    </row>
    <row r="71" spans="2:6">
      <c r="B71" s="64">
        <v>1</v>
      </c>
      <c r="C71" s="65">
        <v>1</v>
      </c>
      <c r="D71" s="10" t="s">
        <v>449</v>
      </c>
      <c r="E71" s="10" t="s">
        <v>450</v>
      </c>
      <c r="F71" s="10"/>
    </row>
    <row r="72" spans="2:6">
      <c r="B72" s="64">
        <v>1</v>
      </c>
      <c r="C72" s="65">
        <v>2</v>
      </c>
      <c r="D72" s="10" t="s">
        <v>451</v>
      </c>
      <c r="E72" s="10" t="s">
        <v>452</v>
      </c>
      <c r="F72" s="10" t="s">
        <v>453</v>
      </c>
    </row>
    <row r="73" spans="2:6">
      <c r="B73" s="64">
        <v>1</v>
      </c>
      <c r="C73" s="65">
        <v>3</v>
      </c>
      <c r="D73" s="10" t="s">
        <v>454</v>
      </c>
      <c r="E73" s="10" t="s">
        <v>455</v>
      </c>
      <c r="F73" s="10" t="s">
        <v>453</v>
      </c>
    </row>
    <row r="74" spans="2:6">
      <c r="B74" s="64">
        <v>1</v>
      </c>
      <c r="C74" s="65">
        <v>4</v>
      </c>
      <c r="D74" s="10" t="s">
        <v>456</v>
      </c>
      <c r="E74" s="10" t="s">
        <v>457</v>
      </c>
      <c r="F74" s="10" t="s">
        <v>453</v>
      </c>
    </row>
    <row r="75" spans="2:6">
      <c r="B75" s="64">
        <v>1</v>
      </c>
      <c r="C75" s="65">
        <v>5</v>
      </c>
      <c r="D75" s="10" t="s">
        <v>458</v>
      </c>
      <c r="E75" s="10" t="s">
        <v>459</v>
      </c>
      <c r="F75" s="10" t="s">
        <v>453</v>
      </c>
    </row>
    <row r="76" spans="2:6">
      <c r="B76" s="64">
        <v>1</v>
      </c>
      <c r="C76" s="65">
        <v>6</v>
      </c>
      <c r="D76" s="10" t="s">
        <v>460</v>
      </c>
      <c r="E76" s="10" t="s">
        <v>461</v>
      </c>
      <c r="F76" s="10" t="s">
        <v>453</v>
      </c>
    </row>
    <row r="77" spans="2:6">
      <c r="B77" s="64">
        <v>1</v>
      </c>
      <c r="C77" s="65">
        <v>7</v>
      </c>
      <c r="D77" s="10" t="s">
        <v>462</v>
      </c>
      <c r="E77" s="10" t="s">
        <v>463</v>
      </c>
      <c r="F77" s="10" t="s">
        <v>453</v>
      </c>
    </row>
    <row r="78" spans="2:6">
      <c r="B78" s="64">
        <v>1</v>
      </c>
      <c r="C78" s="65">
        <v>8</v>
      </c>
      <c r="D78" s="10"/>
      <c r="E78" s="10"/>
      <c r="F78" s="10" t="s">
        <v>453</v>
      </c>
    </row>
    <row r="79" spans="2:6">
      <c r="B79" s="64">
        <v>1</v>
      </c>
      <c r="C79" s="65">
        <v>9</v>
      </c>
      <c r="D79" s="10" t="s">
        <v>464</v>
      </c>
      <c r="E79" s="10" t="s">
        <v>465</v>
      </c>
      <c r="F79" s="10" t="s">
        <v>453</v>
      </c>
    </row>
    <row r="80" spans="2:6">
      <c r="B80" s="64">
        <v>1</v>
      </c>
      <c r="C80" s="65">
        <v>10</v>
      </c>
      <c r="D80" s="10" t="s">
        <v>466</v>
      </c>
      <c r="E80" s="10" t="s">
        <v>467</v>
      </c>
      <c r="F80" s="10" t="s">
        <v>453</v>
      </c>
    </row>
    <row r="81" spans="2:6">
      <c r="B81" s="64">
        <v>1</v>
      </c>
      <c r="C81" s="65">
        <v>11</v>
      </c>
      <c r="D81" s="10" t="s">
        <v>468</v>
      </c>
      <c r="E81" s="10" t="s">
        <v>469</v>
      </c>
      <c r="F81" s="10" t="s">
        <v>453</v>
      </c>
    </row>
    <row r="82" spans="2:6">
      <c r="B82" s="64">
        <v>1</v>
      </c>
      <c r="C82" s="65">
        <v>12</v>
      </c>
      <c r="D82" s="10" t="s">
        <v>470</v>
      </c>
      <c r="E82" s="10" t="s">
        <v>471</v>
      </c>
      <c r="F82" s="10" t="s">
        <v>472</v>
      </c>
    </row>
    <row r="83" spans="2:6">
      <c r="B83" s="64">
        <v>2</v>
      </c>
      <c r="C83" s="65">
        <v>1</v>
      </c>
      <c r="D83" s="10"/>
      <c r="E83" s="10"/>
      <c r="F83" s="10"/>
    </row>
    <row r="84" spans="2:6">
      <c r="B84" s="64">
        <v>2</v>
      </c>
      <c r="C84" s="65">
        <v>2</v>
      </c>
      <c r="D84" s="10"/>
      <c r="E84" s="10"/>
      <c r="F84" s="10"/>
    </row>
    <row r="85" spans="2:6">
      <c r="B85" s="64">
        <v>2</v>
      </c>
      <c r="C85" s="65">
        <v>3</v>
      </c>
      <c r="D85" s="10"/>
      <c r="E85" s="10"/>
      <c r="F85" s="10"/>
    </row>
    <row r="86" spans="2:6">
      <c r="B86" s="64">
        <v>2</v>
      </c>
      <c r="C86" s="65">
        <v>4</v>
      </c>
      <c r="D86" s="10"/>
      <c r="E86" s="10"/>
      <c r="F86" s="10"/>
    </row>
    <row r="87" spans="2:6">
      <c r="B87" s="64">
        <v>2</v>
      </c>
      <c r="C87" s="65">
        <v>5</v>
      </c>
      <c r="D87" s="10"/>
      <c r="E87" s="10"/>
      <c r="F87" s="10"/>
    </row>
    <row r="88" spans="2:6">
      <c r="B88" s="64">
        <v>2</v>
      </c>
      <c r="C88" s="65">
        <v>6</v>
      </c>
      <c r="D88" s="10"/>
      <c r="E88" s="10"/>
      <c r="F88" s="10"/>
    </row>
    <row r="89" spans="2:6">
      <c r="B89" s="64">
        <v>2</v>
      </c>
      <c r="C89" s="65">
        <v>7</v>
      </c>
      <c r="D89" s="10"/>
      <c r="E89" s="10"/>
      <c r="F89" s="10"/>
    </row>
    <row r="90" spans="2:6">
      <c r="B90" s="64">
        <v>2</v>
      </c>
      <c r="C90" s="65">
        <v>8</v>
      </c>
      <c r="D90" s="10"/>
      <c r="E90" s="10"/>
      <c r="F90" s="10"/>
    </row>
    <row r="91" spans="2:6">
      <c r="B91" s="64">
        <v>2</v>
      </c>
      <c r="C91" s="65">
        <v>9</v>
      </c>
      <c r="D91" s="10"/>
      <c r="E91" s="10"/>
      <c r="F91" s="10"/>
    </row>
    <row r="92" spans="2:6">
      <c r="B92" s="64">
        <v>2</v>
      </c>
      <c r="C92" s="65">
        <v>10</v>
      </c>
      <c r="D92" s="10"/>
      <c r="E92" s="10"/>
      <c r="F92" s="10"/>
    </row>
    <row r="93" spans="2:6">
      <c r="B93" s="64">
        <v>2</v>
      </c>
      <c r="C93" s="65">
        <v>11</v>
      </c>
      <c r="D93" s="10"/>
      <c r="E93" s="10"/>
      <c r="F93" s="10"/>
    </row>
    <row r="94" spans="2:6">
      <c r="B94" s="64">
        <v>2</v>
      </c>
      <c r="C94" s="65">
        <v>12</v>
      </c>
      <c r="D94" s="10"/>
      <c r="E94" s="10"/>
      <c r="F94" s="10"/>
    </row>
  </sheetData>
  <sheetProtection sheet="1" objects="1" scenarios="1" formatCells="0" formatColumns="0" formatRows="0" insertHyperlinks="0"/>
  <dataValidations count="4">
    <dataValidation type="list" allowBlank="1" showInputMessage="1" showErrorMessage="1" sqref="F46:F66" xr:uid="{E384A8D8-2515-4FB4-9A11-39224E1C065B}">
      <formula1>INDIRECT(VLOOKUP($E46, SkillNameMap, 2, FALSE))</formula1>
    </dataValidation>
    <dataValidation type="list" allowBlank="1" showInputMessage="1" showErrorMessage="1" sqref="E38:E41" xr:uid="{42DE33D6-5230-4EAD-911F-BB5BD54277F2}">
      <formula1>INDIRECT("LISTAssess[Assessment Specific]")</formula1>
    </dataValidation>
    <dataValidation type="whole" showInputMessage="1" showErrorMessage="1" error="This is not a realistic number of contact hours please change" sqref="D19" xr:uid="{10DA0BDB-6881-4DE2-8527-3C1CEEABB2A7}">
      <formula1>0</formula1>
      <formula2>80</formula2>
    </dataValidation>
    <dataValidation type="whole" showInputMessage="1" showErrorMessage="1" error="This is not a realistic number of contact hours please reduce" sqref="D20:D23" xr:uid="{E48C1905-2C10-4874-A717-610D2C32F199}">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49E86CF4-8108-4F51-B073-02276940F342}">
          <x14:formula1>
            <xm:f>LISTS!$J$7:$J$16</xm:f>
          </x14:formula1>
          <xm:sqref>E46:E66</xm:sqref>
        </x14:dataValidation>
        <x14:dataValidation type="list" allowBlank="1" showInputMessage="1" showErrorMessage="1" xr:uid="{06465257-54DA-440C-A18F-A20A74E289A8}">
          <x14:formula1>
            <xm:f>LISTS!$E$7:$E$11</xm:f>
          </x14:formula1>
          <xm:sqref>D46:D66</xm:sqref>
        </x14:dataValidation>
        <x14:dataValidation type="list" allowBlank="1" showInputMessage="1" showErrorMessage="1" xr:uid="{92190BF3-9D32-4DB4-A8BA-763515453B32}">
          <x14:formula1>
            <xm:f>LISTS!$G$7:$G$11</xm:f>
          </x14:formula1>
          <xm:sqref>D38:D42</xm:sqref>
        </x14:dataValidation>
        <x14:dataValidation type="list" allowBlank="1" showInputMessage="1" showErrorMessage="1" xr:uid="{9C410528-EEF6-42C6-92FD-9BC401213F1A}">
          <x14:formula1>
            <xm:f>LISTS!$C$11:$C$15</xm:f>
          </x14:formula1>
          <xm:sqref>D11</xm:sqref>
        </x14:dataValidation>
        <x14:dataValidation type="list" allowBlank="1" showInputMessage="1" showErrorMessage="1" xr:uid="{5F355864-A09D-4BF0-A234-3B9D71AC5817}">
          <x14:formula1>
            <xm:f>LISTS!$C$7:$C$9</xm:f>
          </x14:formula1>
          <xm:sqref>D10</xm:sqref>
        </x14:dataValidation>
        <x14:dataValidation type="list" allowBlank="1" showInputMessage="1" showErrorMessage="1" xr:uid="{3E88FD4F-65B0-4FA6-855E-DADD7E372352}">
          <x14:formula1>
            <xm:f>LISTS!$C$17:$C$22</xm:f>
          </x14:formula1>
          <xm:sqref>D13</xm:sqref>
        </x14:dataValidation>
        <x14:dataValidation type="list" allowBlank="1" showInputMessage="1" showErrorMessage="1" xr:uid="{D7C64E59-53DD-4059-A4BB-E06393A734C2}">
          <x14:formula1>
            <xm:f>LISTS!$C$26:$C$37</xm:f>
          </x14:formula1>
          <xm:sqref>D14</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AF1524-9C3B-440D-AEC2-FAF3E738013E}">
  <sheetPr codeName="Sheet6"/>
  <dimension ref="B2:H94"/>
  <sheetViews>
    <sheetView showGridLines="0" topLeftCell="A78" zoomScale="85" zoomScaleNormal="85" workbookViewId="0">
      <selection activeCell="D29" sqref="D29"/>
    </sheetView>
  </sheetViews>
  <sheetFormatPr defaultColWidth="8.85546875" defaultRowHeight="1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c r="C2" s="9" t="str">
        <f>D7</f>
        <v>5092SPS</v>
      </c>
      <c r="D2" s="9" t="str">
        <f>D8</f>
        <v>Physiological adaptations to exercise</v>
      </c>
    </row>
    <row r="3" spans="2:6">
      <c r="B3" s="1"/>
      <c r="C3" s="1"/>
    </row>
    <row r="4" spans="2:6">
      <c r="B4" s="2"/>
      <c r="C4" s="2"/>
    </row>
    <row r="5" spans="2:6" ht="18.75">
      <c r="B5" s="2"/>
      <c r="C5" s="5" t="s">
        <v>0</v>
      </c>
    </row>
    <row r="6" spans="2:6">
      <c r="B6" s="2"/>
      <c r="C6" s="3" t="s">
        <v>1</v>
      </c>
      <c r="D6" s="4" t="s">
        <v>2</v>
      </c>
      <c r="E6" s="4"/>
      <c r="F6" t="s">
        <v>3</v>
      </c>
    </row>
    <row r="7" spans="2:6">
      <c r="B7" s="2"/>
      <c r="C7" s="63" t="s">
        <v>4</v>
      </c>
      <c r="D7" s="10" t="s">
        <v>473</v>
      </c>
      <c r="E7" s="4"/>
      <c r="F7" s="13"/>
    </row>
    <row r="8" spans="2:6" ht="60">
      <c r="B8" s="2"/>
      <c r="C8" s="63" t="s">
        <v>6</v>
      </c>
      <c r="D8" s="10" t="s">
        <v>474</v>
      </c>
      <c r="E8" s="4"/>
      <c r="F8" s="31" t="s">
        <v>475</v>
      </c>
    </row>
    <row r="9" spans="2:6">
      <c r="C9" s="63" t="s">
        <v>7</v>
      </c>
      <c r="D9" s="10">
        <v>20</v>
      </c>
      <c r="E9" s="4"/>
    </row>
    <row r="10" spans="2:6">
      <c r="C10" s="63" t="s">
        <v>8</v>
      </c>
      <c r="D10" s="10">
        <v>2</v>
      </c>
      <c r="E10" s="4"/>
      <c r="F10" t="s">
        <v>9</v>
      </c>
    </row>
    <row r="11" spans="2:6" ht="45">
      <c r="C11" s="63" t="s">
        <v>10</v>
      </c>
      <c r="D11" s="10">
        <v>5</v>
      </c>
      <c r="E11" s="4"/>
      <c r="F11" s="20" t="s">
        <v>476</v>
      </c>
    </row>
    <row r="12" spans="2:6" ht="45">
      <c r="C12" s="63" t="s">
        <v>11</v>
      </c>
      <c r="D12" s="10" t="s">
        <v>477</v>
      </c>
      <c r="E12" s="4"/>
      <c r="F12" s="20" t="s">
        <v>478</v>
      </c>
    </row>
    <row r="13" spans="2:6" ht="30">
      <c r="C13" s="63" t="s">
        <v>12</v>
      </c>
      <c r="D13" s="10" t="s">
        <v>147</v>
      </c>
      <c r="E13" s="4"/>
      <c r="F13" s="20" t="s">
        <v>479</v>
      </c>
    </row>
    <row r="14" spans="2:6">
      <c r="C14" s="63" t="s">
        <v>13</v>
      </c>
      <c r="D14" s="10" t="s">
        <v>186</v>
      </c>
      <c r="E14" s="4"/>
    </row>
    <row r="15" spans="2:6">
      <c r="C15" s="3"/>
      <c r="D15" s="4"/>
      <c r="E15" s="4"/>
      <c r="F15" t="s">
        <v>14</v>
      </c>
    </row>
    <row r="16" spans="2:6" ht="170.25" customHeight="1">
      <c r="C16" s="3"/>
      <c r="D16" s="4"/>
      <c r="E16" s="4"/>
      <c r="F16" s="20" t="s">
        <v>480</v>
      </c>
    </row>
    <row r="17" spans="3:6" ht="18.75">
      <c r="C17" s="5" t="s">
        <v>15</v>
      </c>
      <c r="D17" s="4"/>
      <c r="E17" s="4"/>
      <c r="F17" s="13"/>
    </row>
    <row r="18" spans="3:6">
      <c r="C18" s="3" t="s">
        <v>16</v>
      </c>
      <c r="D18" s="1" t="s">
        <v>15</v>
      </c>
      <c r="E18" s="4"/>
      <c r="F18" s="13"/>
    </row>
    <row r="19" spans="3:6">
      <c r="C19" s="63" t="s">
        <v>17</v>
      </c>
      <c r="D19" s="11">
        <v>16</v>
      </c>
      <c r="E19" s="4"/>
      <c r="F19" s="13"/>
    </row>
    <row r="20" spans="3:6">
      <c r="C20" s="63" t="s">
        <v>18</v>
      </c>
      <c r="D20" s="11">
        <v>5</v>
      </c>
      <c r="E20" s="4"/>
      <c r="F20" s="13"/>
    </row>
    <row r="21" spans="3:6">
      <c r="C21" s="63" t="s">
        <v>19</v>
      </c>
      <c r="D21" s="11">
        <v>6</v>
      </c>
      <c r="E21" s="4"/>
    </row>
    <row r="22" spans="3:6">
      <c r="C22" s="63" t="s">
        <v>20</v>
      </c>
      <c r="D22" s="11">
        <v>7</v>
      </c>
      <c r="E22" s="4"/>
      <c r="F22" t="s">
        <v>21</v>
      </c>
    </row>
    <row r="23" spans="3:6" ht="90">
      <c r="C23" s="63" t="s">
        <v>481</v>
      </c>
      <c r="D23" s="11">
        <v>6</v>
      </c>
      <c r="E23" s="4"/>
      <c r="F23" s="20" t="s">
        <v>482</v>
      </c>
    </row>
    <row r="24" spans="3:6" ht="45">
      <c r="C24" s="63" t="s">
        <v>23</v>
      </c>
      <c r="D24" s="1">
        <f>SUM(D19:D23)</f>
        <v>40</v>
      </c>
      <c r="E24" s="4"/>
      <c r="F24" s="20" t="s">
        <v>483</v>
      </c>
    </row>
    <row r="25" spans="3:6" ht="45">
      <c r="F25" s="20" t="s">
        <v>484</v>
      </c>
    </row>
    <row r="26" spans="3:6" ht="204.75" customHeight="1">
      <c r="F26" s="20" t="s">
        <v>485</v>
      </c>
    </row>
    <row r="27" spans="3:6" ht="18.75">
      <c r="C27" s="5" t="s">
        <v>24</v>
      </c>
      <c r="D27" s="8" t="s">
        <v>25</v>
      </c>
      <c r="F27" s="88"/>
    </row>
    <row r="28" spans="3:6">
      <c r="C28" s="3" t="s">
        <v>26</v>
      </c>
      <c r="D28" s="3" t="s">
        <v>27</v>
      </c>
      <c r="E28" s="3"/>
      <c r="F28" s="87"/>
    </row>
    <row r="29" spans="3:6" ht="45">
      <c r="C29" s="63" t="s">
        <v>28</v>
      </c>
      <c r="D29" s="32" t="s">
        <v>486</v>
      </c>
      <c r="E29" s="4"/>
      <c r="F29" s="20"/>
    </row>
    <row r="30" spans="3:6" ht="60">
      <c r="C30" s="63" t="s">
        <v>29</v>
      </c>
      <c r="D30" s="31" t="s">
        <v>487</v>
      </c>
      <c r="E30" s="4"/>
      <c r="F30" s="20"/>
    </row>
    <row r="31" spans="3:6">
      <c r="C31" s="63" t="s">
        <v>30</v>
      </c>
      <c r="D31" s="10"/>
      <c r="E31" s="4"/>
      <c r="F31" s="13"/>
    </row>
    <row r="32" spans="3:6">
      <c r="C32" s="63" t="s">
        <v>31</v>
      </c>
      <c r="D32" s="10"/>
      <c r="E32" s="4"/>
      <c r="F32" s="13"/>
    </row>
    <row r="33" spans="3:8">
      <c r="C33" s="63" t="s">
        <v>32</v>
      </c>
      <c r="D33" s="10"/>
      <c r="E33" s="4"/>
      <c r="F33" s="13"/>
    </row>
    <row r="36" spans="3:8" ht="18.75">
      <c r="C36" s="5" t="s">
        <v>33</v>
      </c>
    </row>
    <row r="37" spans="3:8">
      <c r="C37" s="3" t="s">
        <v>34</v>
      </c>
      <c r="D37" s="3" t="s">
        <v>35</v>
      </c>
      <c r="E37" s="3" t="s">
        <v>36</v>
      </c>
      <c r="F37" s="3" t="s">
        <v>37</v>
      </c>
      <c r="G37" s="3" t="s">
        <v>38</v>
      </c>
      <c r="H37" s="3" t="s">
        <v>39</v>
      </c>
    </row>
    <row r="38" spans="3:8" ht="60">
      <c r="C38" s="63" t="s">
        <v>40</v>
      </c>
      <c r="D38" s="10" t="s">
        <v>355</v>
      </c>
      <c r="E38" s="10" t="s">
        <v>236</v>
      </c>
      <c r="F38" s="10" t="s">
        <v>488</v>
      </c>
      <c r="G38" s="12">
        <v>0.5</v>
      </c>
      <c r="H38" s="10">
        <v>8</v>
      </c>
    </row>
    <row r="39" spans="3:8" ht="45">
      <c r="C39" s="63" t="s">
        <v>44</v>
      </c>
      <c r="D39" s="10" t="s">
        <v>41</v>
      </c>
      <c r="E39" s="10" t="s">
        <v>42</v>
      </c>
      <c r="F39" s="10" t="s">
        <v>489</v>
      </c>
      <c r="G39" s="12">
        <v>0.5</v>
      </c>
      <c r="H39" s="10" t="s">
        <v>490</v>
      </c>
    </row>
    <row r="40" spans="3:8">
      <c r="C40" s="63" t="s">
        <v>45</v>
      </c>
      <c r="D40" s="13"/>
      <c r="E40" s="13"/>
      <c r="F40" s="13"/>
      <c r="G40" s="13"/>
      <c r="H40" s="13"/>
    </row>
    <row r="41" spans="3:8">
      <c r="C41" s="63" t="s">
        <v>46</v>
      </c>
      <c r="D41" s="13"/>
      <c r="E41" s="13"/>
      <c r="F41" s="13"/>
      <c r="G41" s="13"/>
      <c r="H41" s="13"/>
    </row>
    <row r="42" spans="3:8">
      <c r="C42" s="3"/>
    </row>
    <row r="44" spans="3:8" ht="18.75">
      <c r="C44" s="5" t="s">
        <v>47</v>
      </c>
      <c r="D44" s="8"/>
    </row>
    <row r="45" spans="3:8">
      <c r="C45" s="1" t="s">
        <v>34</v>
      </c>
      <c r="D45" s="1" t="s">
        <v>26</v>
      </c>
      <c r="E45" s="1" t="s">
        <v>48</v>
      </c>
      <c r="F45" s="1" t="s">
        <v>49</v>
      </c>
    </row>
    <row r="46" spans="3:8">
      <c r="C46" s="14" t="s">
        <v>40</v>
      </c>
      <c r="D46" s="13" t="s">
        <v>28</v>
      </c>
      <c r="E46" s="13" t="s">
        <v>50</v>
      </c>
      <c r="F46" s="13" t="s">
        <v>52</v>
      </c>
    </row>
    <row r="47" spans="3:8">
      <c r="C47" s="14" t="s">
        <v>40</v>
      </c>
      <c r="D47" s="13" t="s">
        <v>28</v>
      </c>
      <c r="E47" s="13" t="s">
        <v>50</v>
      </c>
      <c r="F47" s="13" t="s">
        <v>239</v>
      </c>
    </row>
    <row r="48" spans="3:8">
      <c r="C48" s="14" t="s">
        <v>40</v>
      </c>
      <c r="D48" s="13" t="s">
        <v>28</v>
      </c>
      <c r="E48" s="13" t="s">
        <v>57</v>
      </c>
      <c r="F48" s="13" t="s">
        <v>78</v>
      </c>
    </row>
    <row r="49" spans="3:6">
      <c r="C49" s="14" t="s">
        <v>40</v>
      </c>
      <c r="D49" s="13" t="s">
        <v>28</v>
      </c>
      <c r="E49" s="13" t="s">
        <v>162</v>
      </c>
      <c r="F49" s="13" t="s">
        <v>164</v>
      </c>
    </row>
    <row r="50" spans="3:6">
      <c r="C50" s="14" t="s">
        <v>40</v>
      </c>
      <c r="D50" s="13" t="s">
        <v>28</v>
      </c>
      <c r="E50" s="13" t="s">
        <v>55</v>
      </c>
      <c r="F50" s="13" t="s">
        <v>359</v>
      </c>
    </row>
    <row r="51" spans="3:6">
      <c r="C51" s="14" t="s">
        <v>44</v>
      </c>
      <c r="D51" s="13" t="s">
        <v>29</v>
      </c>
      <c r="E51" s="13" t="s">
        <v>50</v>
      </c>
      <c r="F51" s="13" t="s">
        <v>491</v>
      </c>
    </row>
    <row r="52" spans="3:6">
      <c r="C52" s="14" t="s">
        <v>44</v>
      </c>
      <c r="D52" s="13" t="s">
        <v>29</v>
      </c>
      <c r="E52" s="13" t="s">
        <v>55</v>
      </c>
      <c r="F52" s="13" t="s">
        <v>56</v>
      </c>
    </row>
    <row r="53" spans="3:6">
      <c r="C53" s="14" t="s">
        <v>44</v>
      </c>
      <c r="D53" s="13" t="s">
        <v>29</v>
      </c>
      <c r="E53" s="13" t="s">
        <v>55</v>
      </c>
      <c r="F53" s="13" t="s">
        <v>492</v>
      </c>
    </row>
    <row r="54" spans="3:6">
      <c r="C54" s="14" t="s">
        <v>44</v>
      </c>
      <c r="D54" s="13" t="s">
        <v>29</v>
      </c>
      <c r="E54" s="13" t="s">
        <v>106</v>
      </c>
      <c r="F54" s="13" t="s">
        <v>306</v>
      </c>
    </row>
    <row r="55" spans="3:6">
      <c r="C55" s="14" t="s">
        <v>44</v>
      </c>
      <c r="D55" s="13" t="s">
        <v>29</v>
      </c>
      <c r="E55" s="13" t="s">
        <v>162</v>
      </c>
      <c r="F55" s="13" t="s">
        <v>493</v>
      </c>
    </row>
    <row r="56" spans="3:6">
      <c r="C56" s="14" t="s">
        <v>46</v>
      </c>
      <c r="D56" s="13"/>
      <c r="E56" s="13"/>
      <c r="F56" s="13"/>
    </row>
    <row r="57" spans="3:6">
      <c r="C57" s="14"/>
      <c r="D57" s="13"/>
      <c r="E57" s="13"/>
      <c r="F57" s="13"/>
    </row>
    <row r="58" spans="3:6">
      <c r="C58" s="14"/>
      <c r="D58" s="13"/>
      <c r="E58" s="13"/>
      <c r="F58" s="13"/>
    </row>
    <row r="59" spans="3:6">
      <c r="C59" s="14"/>
      <c r="D59" s="13"/>
      <c r="E59" s="13"/>
      <c r="F59" s="13"/>
    </row>
    <row r="60" spans="3:6">
      <c r="C60" s="14"/>
      <c r="D60" s="13"/>
      <c r="E60" s="13"/>
      <c r="F60" s="13"/>
    </row>
    <row r="61" spans="3:6">
      <c r="C61" s="14"/>
      <c r="D61" s="13"/>
      <c r="E61" s="13"/>
      <c r="F61" s="13"/>
    </row>
    <row r="62" spans="3:6">
      <c r="C62" s="14"/>
      <c r="D62" s="13"/>
      <c r="E62" s="13"/>
      <c r="F62" s="13"/>
    </row>
    <row r="63" spans="3:6">
      <c r="C63" s="14"/>
      <c r="D63" s="13"/>
      <c r="E63" s="13"/>
      <c r="F63" s="13"/>
    </row>
    <row r="64" spans="3:6">
      <c r="C64" s="14"/>
      <c r="D64" s="13"/>
      <c r="E64" s="13"/>
      <c r="F64" s="13"/>
    </row>
    <row r="65" spans="2:6">
      <c r="C65" s="14"/>
      <c r="D65" s="13"/>
      <c r="E65" s="13"/>
      <c r="F65" s="13"/>
    </row>
    <row r="66" spans="2:6">
      <c r="C66" s="14"/>
      <c r="D66" s="13"/>
      <c r="E66" s="13"/>
      <c r="F66" s="13"/>
    </row>
    <row r="69" spans="2:6" ht="18.75">
      <c r="C69" s="5" t="s">
        <v>59</v>
      </c>
    </row>
    <row r="70" spans="2:6">
      <c r="B70" t="s">
        <v>60</v>
      </c>
      <c r="C70" s="1" t="s">
        <v>61</v>
      </c>
      <c r="D70" s="1" t="s">
        <v>62</v>
      </c>
      <c r="E70" s="1" t="s">
        <v>63</v>
      </c>
      <c r="F70" s="1" t="s">
        <v>64</v>
      </c>
    </row>
    <row r="71" spans="2:6">
      <c r="B71" s="64">
        <v>1</v>
      </c>
      <c r="C71" s="65">
        <v>1</v>
      </c>
      <c r="D71" s="10"/>
      <c r="E71" s="10"/>
      <c r="F71" s="10"/>
    </row>
    <row r="72" spans="2:6">
      <c r="B72" s="64">
        <v>1</v>
      </c>
      <c r="C72" s="65">
        <v>2</v>
      </c>
      <c r="D72" s="10"/>
      <c r="E72" s="10"/>
      <c r="F72" s="10"/>
    </row>
    <row r="73" spans="2:6">
      <c r="B73" s="64">
        <v>1</v>
      </c>
      <c r="C73" s="65">
        <v>3</v>
      </c>
      <c r="D73" s="10"/>
      <c r="E73" s="10"/>
      <c r="F73" s="10"/>
    </row>
    <row r="74" spans="2:6">
      <c r="B74" s="64">
        <v>1</v>
      </c>
      <c r="C74" s="65">
        <v>4</v>
      </c>
      <c r="D74" s="10"/>
      <c r="E74" s="10"/>
      <c r="F74" s="10"/>
    </row>
    <row r="75" spans="2:6">
      <c r="B75" s="64">
        <v>1</v>
      </c>
      <c r="C75" s="65">
        <v>5</v>
      </c>
      <c r="D75" s="10"/>
      <c r="E75" s="10"/>
      <c r="F75" s="10"/>
    </row>
    <row r="76" spans="2:6">
      <c r="B76" s="64">
        <v>1</v>
      </c>
      <c r="C76" s="65">
        <v>6</v>
      </c>
      <c r="D76" s="10"/>
      <c r="E76" s="10"/>
      <c r="F76" s="10"/>
    </row>
    <row r="77" spans="2:6">
      <c r="B77" s="64">
        <v>1</v>
      </c>
      <c r="C77" s="65">
        <v>7</v>
      </c>
      <c r="D77" s="10"/>
      <c r="E77" s="10"/>
      <c r="F77" s="10"/>
    </row>
    <row r="78" spans="2:6">
      <c r="B78" s="64">
        <v>1</v>
      </c>
      <c r="C78" s="65">
        <v>8</v>
      </c>
      <c r="D78" s="10"/>
      <c r="E78" s="10"/>
      <c r="F78" s="10"/>
    </row>
    <row r="79" spans="2:6">
      <c r="B79" s="64">
        <v>1</v>
      </c>
      <c r="C79" s="65">
        <v>9</v>
      </c>
      <c r="D79" s="10"/>
      <c r="E79" s="10"/>
      <c r="F79" s="10"/>
    </row>
    <row r="80" spans="2:6">
      <c r="B80" s="64">
        <v>1</v>
      </c>
      <c r="C80" s="65">
        <v>10</v>
      </c>
      <c r="D80" s="10"/>
      <c r="E80" s="10"/>
      <c r="F80" s="10"/>
    </row>
    <row r="81" spans="2:6">
      <c r="B81" s="64">
        <v>1</v>
      </c>
      <c r="C81" s="65">
        <v>11</v>
      </c>
      <c r="D81" s="10"/>
      <c r="E81" s="10"/>
      <c r="F81" s="10"/>
    </row>
    <row r="82" spans="2:6">
      <c r="B82" s="64">
        <v>1</v>
      </c>
      <c r="C82" s="65">
        <v>12</v>
      </c>
      <c r="D82" s="10"/>
      <c r="E82" s="10"/>
      <c r="F82" s="10"/>
    </row>
    <row r="83" spans="2:6">
      <c r="B83" s="64">
        <v>2</v>
      </c>
      <c r="C83" s="65">
        <v>1</v>
      </c>
      <c r="D83" s="10" t="s">
        <v>494</v>
      </c>
      <c r="E83" s="10" t="s">
        <v>495</v>
      </c>
      <c r="F83" s="44" t="s">
        <v>496</v>
      </c>
    </row>
    <row r="84" spans="2:6" ht="30">
      <c r="B84" s="64">
        <v>2</v>
      </c>
      <c r="C84" s="65">
        <v>2</v>
      </c>
      <c r="D84" s="10" t="s">
        <v>497</v>
      </c>
      <c r="E84" s="10" t="s">
        <v>498</v>
      </c>
      <c r="F84" s="44" t="s">
        <v>499</v>
      </c>
    </row>
    <row r="85" spans="2:6" ht="30">
      <c r="B85" s="64">
        <v>2</v>
      </c>
      <c r="C85" s="65">
        <v>3</v>
      </c>
      <c r="D85" s="10" t="s">
        <v>500</v>
      </c>
      <c r="E85" s="10" t="s">
        <v>501</v>
      </c>
      <c r="F85" s="44" t="s">
        <v>502</v>
      </c>
    </row>
    <row r="86" spans="2:6" ht="30">
      <c r="B86" s="64">
        <v>2</v>
      </c>
      <c r="C86" s="65">
        <v>4</v>
      </c>
      <c r="D86" s="10" t="s">
        <v>503</v>
      </c>
      <c r="E86" s="10" t="s">
        <v>504</v>
      </c>
      <c r="F86" s="10" t="s">
        <v>505</v>
      </c>
    </row>
    <row r="87" spans="2:6" ht="30">
      <c r="B87" s="64">
        <v>2</v>
      </c>
      <c r="C87" s="65">
        <v>5</v>
      </c>
      <c r="D87" s="10" t="s">
        <v>506</v>
      </c>
      <c r="E87" s="10" t="s">
        <v>507</v>
      </c>
      <c r="F87" s="10" t="s">
        <v>508</v>
      </c>
    </row>
    <row r="88" spans="2:6" ht="30">
      <c r="B88" s="64">
        <v>2</v>
      </c>
      <c r="C88" s="65">
        <v>6</v>
      </c>
      <c r="D88" s="10" t="s">
        <v>509</v>
      </c>
      <c r="E88" s="10" t="s">
        <v>510</v>
      </c>
      <c r="F88" s="10" t="s">
        <v>511</v>
      </c>
    </row>
    <row r="89" spans="2:6">
      <c r="B89" s="64">
        <v>2</v>
      </c>
      <c r="C89" s="65">
        <v>7</v>
      </c>
      <c r="D89" s="10" t="s">
        <v>512</v>
      </c>
      <c r="E89" s="10"/>
      <c r="F89" s="10"/>
    </row>
    <row r="90" spans="2:6" ht="30">
      <c r="B90" s="64">
        <v>2</v>
      </c>
      <c r="C90" s="65">
        <v>8</v>
      </c>
      <c r="D90" s="10" t="s">
        <v>513</v>
      </c>
      <c r="E90" s="10" t="s">
        <v>514</v>
      </c>
      <c r="F90" s="10"/>
    </row>
    <row r="91" spans="2:6" ht="30">
      <c r="B91" s="64">
        <v>2</v>
      </c>
      <c r="C91" s="65">
        <v>9</v>
      </c>
      <c r="D91" s="10" t="s">
        <v>515</v>
      </c>
      <c r="E91" s="10" t="s">
        <v>516</v>
      </c>
      <c r="F91" s="30" t="s">
        <v>517</v>
      </c>
    </row>
    <row r="92" spans="2:6" ht="30">
      <c r="B92" s="64">
        <v>2</v>
      </c>
      <c r="C92" s="65">
        <v>10</v>
      </c>
      <c r="D92" s="10" t="s">
        <v>518</v>
      </c>
      <c r="E92" s="10" t="s">
        <v>519</v>
      </c>
      <c r="F92" s="10" t="s">
        <v>520</v>
      </c>
    </row>
    <row r="93" spans="2:6" ht="45">
      <c r="B93" s="64">
        <v>2</v>
      </c>
      <c r="C93" s="65">
        <v>11</v>
      </c>
      <c r="D93" s="10" t="s">
        <v>521</v>
      </c>
      <c r="E93" s="10" t="s">
        <v>522</v>
      </c>
      <c r="F93" s="10"/>
    </row>
    <row r="94" spans="2:6" ht="30">
      <c r="B94" s="64">
        <v>2</v>
      </c>
      <c r="C94" s="65">
        <v>12</v>
      </c>
      <c r="D94" s="10" t="s">
        <v>523</v>
      </c>
      <c r="E94" s="10" t="s">
        <v>524</v>
      </c>
      <c r="F94" s="44" t="s">
        <v>525</v>
      </c>
    </row>
  </sheetData>
  <sheetProtection sheet="1" objects="1" scenarios="1" formatCells="0" formatColumns="0" formatRows="0" insertHyperlinks="0"/>
  <dataValidations count="4">
    <dataValidation type="whole" showInputMessage="1" showErrorMessage="1" error="This is not a realistic number of contact hours please reduce" sqref="D20:D23" xr:uid="{3229C256-ABBC-47F3-8625-F41A5BABAC1F}">
      <formula1>0</formula1>
      <formula2>80</formula2>
    </dataValidation>
    <dataValidation type="whole" showInputMessage="1" showErrorMessage="1" error="This is not a realistic number of contact hours please change" sqref="D19" xr:uid="{AD4AC72D-916F-4382-B2A7-05CD7B2226A8}">
      <formula1>0</formula1>
      <formula2>80</formula2>
    </dataValidation>
    <dataValidation type="list" allowBlank="1" showInputMessage="1" showErrorMessage="1" sqref="E38:E41" xr:uid="{FDB67476-1D11-4DC5-B446-B8E66599A2C2}">
      <formula1>INDIRECT("LISTAssess[Assessment Specific]")</formula1>
    </dataValidation>
    <dataValidation type="list" allowBlank="1" showInputMessage="1" showErrorMessage="1" sqref="F46:F66" xr:uid="{1C21621D-7473-4C52-AA89-3A2F9E5BB565}">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B022925A-1C00-4AFA-A060-FE394763B53C}">
          <x14:formula1>
            <xm:f>LISTS!$C$26:$C$37</xm:f>
          </x14:formula1>
          <xm:sqref>D14</xm:sqref>
        </x14:dataValidation>
        <x14:dataValidation type="list" allowBlank="1" showInputMessage="1" showErrorMessage="1" xr:uid="{E147FE3C-0EDB-444D-84A8-E77F42E7C5D8}">
          <x14:formula1>
            <xm:f>LISTS!$C$17:$C$22</xm:f>
          </x14:formula1>
          <xm:sqref>D13</xm:sqref>
        </x14:dataValidation>
        <x14:dataValidation type="list" allowBlank="1" showInputMessage="1" showErrorMessage="1" xr:uid="{C4EDA730-38D3-4AEC-9B1B-4808FDB3AEE6}">
          <x14:formula1>
            <xm:f>LISTS!$C$7:$C$9</xm:f>
          </x14:formula1>
          <xm:sqref>D10</xm:sqref>
        </x14:dataValidation>
        <x14:dataValidation type="list" allowBlank="1" showInputMessage="1" showErrorMessage="1" xr:uid="{71ECC980-EB9A-4145-9F8B-52F5DED821C4}">
          <x14:formula1>
            <xm:f>LISTS!$C$11:$C$15</xm:f>
          </x14:formula1>
          <xm:sqref>D11</xm:sqref>
        </x14:dataValidation>
        <x14:dataValidation type="list" allowBlank="1" showInputMessage="1" showErrorMessage="1" xr:uid="{AC1D00FA-03B3-4BC1-87FD-4FB7D7C0F51E}">
          <x14:formula1>
            <xm:f>LISTS!$G$7:$G$11</xm:f>
          </x14:formula1>
          <xm:sqref>D38:D42</xm:sqref>
        </x14:dataValidation>
        <x14:dataValidation type="list" allowBlank="1" showInputMessage="1" showErrorMessage="1" xr:uid="{96A48C9E-FB8E-44C9-885B-243CD753BD9E}">
          <x14:formula1>
            <xm:f>LISTS!$E$7:$E$11</xm:f>
          </x14:formula1>
          <xm:sqref>D46:D66</xm:sqref>
        </x14:dataValidation>
        <x14:dataValidation type="list" allowBlank="1" showInputMessage="1" showErrorMessage="1" xr:uid="{5036F22C-DC1A-45C2-ACC5-04A85C0867A2}">
          <x14:formula1>
            <xm:f>LISTS!$J$7:$J$16</xm:f>
          </x14:formula1>
          <xm:sqref>E46:E66</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B43E8D-F412-44DE-A325-53EE89405F38}">
  <sheetPr codeName="Sheet14"/>
  <dimension ref="B2:H94"/>
  <sheetViews>
    <sheetView showGridLines="0" tabSelected="1" topLeftCell="A9" zoomScaleNormal="85" workbookViewId="0">
      <selection activeCell="F24" sqref="F24"/>
    </sheetView>
  </sheetViews>
  <sheetFormatPr defaultColWidth="8.85546875" defaultRowHeight="1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c r="C2" s="9" t="str">
        <f>D7</f>
        <v>6101SPS</v>
      </c>
      <c r="D2" s="9" t="str">
        <f>D8</f>
        <v>Sports Biomechanics</v>
      </c>
    </row>
    <row r="3" spans="2:6">
      <c r="B3" s="1"/>
      <c r="C3" s="1"/>
    </row>
    <row r="4" spans="2:6">
      <c r="B4" s="2"/>
      <c r="C4" s="2"/>
    </row>
    <row r="5" spans="2:6" ht="18.75">
      <c r="B5" s="2"/>
      <c r="C5" s="5" t="s">
        <v>0</v>
      </c>
    </row>
    <row r="6" spans="2:6">
      <c r="B6" s="2"/>
      <c r="C6" s="3" t="s">
        <v>1</v>
      </c>
      <c r="D6" s="4" t="s">
        <v>2</v>
      </c>
      <c r="E6" s="4"/>
      <c r="F6" t="s">
        <v>3</v>
      </c>
    </row>
    <row r="7" spans="2:6">
      <c r="B7" s="2"/>
      <c r="C7" s="63" t="s">
        <v>4</v>
      </c>
      <c r="D7" s="10" t="s">
        <v>526</v>
      </c>
      <c r="E7" s="4"/>
      <c r="F7" s="13" t="s">
        <v>527</v>
      </c>
    </row>
    <row r="8" spans="2:6">
      <c r="B8" s="2"/>
      <c r="C8" s="63" t="s">
        <v>6</v>
      </c>
      <c r="D8" s="10" t="s">
        <v>528</v>
      </c>
      <c r="E8" s="4"/>
      <c r="F8" s="13"/>
    </row>
    <row r="9" spans="2:6">
      <c r="C9" s="63" t="s">
        <v>7</v>
      </c>
      <c r="D9" s="10">
        <v>20</v>
      </c>
      <c r="E9" s="4"/>
    </row>
    <row r="10" spans="2:6">
      <c r="C10" s="63" t="s">
        <v>8</v>
      </c>
      <c r="D10" s="10">
        <v>1</v>
      </c>
      <c r="E10" s="4"/>
      <c r="F10" t="s">
        <v>9</v>
      </c>
    </row>
    <row r="11" spans="2:6" ht="30">
      <c r="C11" s="63" t="s">
        <v>10</v>
      </c>
      <c r="D11" s="10">
        <v>6</v>
      </c>
      <c r="E11" s="4"/>
      <c r="F11" s="20" t="s">
        <v>529</v>
      </c>
    </row>
    <row r="12" spans="2:6" ht="30">
      <c r="C12" s="63" t="s">
        <v>11</v>
      </c>
      <c r="D12" s="10" t="s">
        <v>530</v>
      </c>
      <c r="E12" s="4"/>
      <c r="F12" s="20" t="s">
        <v>531</v>
      </c>
    </row>
    <row r="13" spans="2:6">
      <c r="C13" s="63" t="s">
        <v>12</v>
      </c>
      <c r="D13" s="10" t="s">
        <v>532</v>
      </c>
      <c r="E13" s="4"/>
      <c r="F13" s="20" t="s">
        <v>533</v>
      </c>
    </row>
    <row r="14" spans="2:6">
      <c r="C14" s="63" t="s">
        <v>13</v>
      </c>
      <c r="D14" s="10" t="s">
        <v>86</v>
      </c>
      <c r="E14" s="4"/>
    </row>
    <row r="15" spans="2:6">
      <c r="C15" s="3"/>
      <c r="D15" s="4"/>
      <c r="E15" s="4"/>
      <c r="F15" t="s">
        <v>14</v>
      </c>
    </row>
    <row r="16" spans="2:6">
      <c r="C16" s="3"/>
      <c r="D16" s="4"/>
      <c r="E16" s="4"/>
      <c r="F16" s="13"/>
    </row>
    <row r="17" spans="3:6" ht="18.75">
      <c r="C17" s="5" t="s">
        <v>15</v>
      </c>
      <c r="D17" s="4"/>
      <c r="E17" s="4"/>
      <c r="F17" s="13"/>
    </row>
    <row r="18" spans="3:6">
      <c r="C18" s="3" t="s">
        <v>16</v>
      </c>
      <c r="D18" s="1" t="s">
        <v>15</v>
      </c>
      <c r="E18" s="4"/>
      <c r="F18" s="13"/>
    </row>
    <row r="19" spans="3:6">
      <c r="C19" s="63" t="s">
        <v>17</v>
      </c>
      <c r="D19" s="11">
        <v>20</v>
      </c>
      <c r="E19" s="4"/>
      <c r="F19" s="13"/>
    </row>
    <row r="20" spans="3:6">
      <c r="C20" s="63" t="s">
        <v>18</v>
      </c>
      <c r="D20" s="11">
        <v>9</v>
      </c>
      <c r="E20" s="4"/>
      <c r="F20" s="13"/>
    </row>
    <row r="21" spans="3:6">
      <c r="C21" s="63" t="s">
        <v>19</v>
      </c>
      <c r="D21" s="11">
        <v>13</v>
      </c>
      <c r="E21" s="4"/>
    </row>
    <row r="22" spans="3:6">
      <c r="C22" s="63" t="s">
        <v>20</v>
      </c>
      <c r="D22" s="11">
        <v>0</v>
      </c>
      <c r="E22" s="4"/>
      <c r="F22" t="s">
        <v>21</v>
      </c>
    </row>
    <row r="23" spans="3:6">
      <c r="C23" s="63" t="s">
        <v>22</v>
      </c>
      <c r="D23" s="11">
        <v>0</v>
      </c>
      <c r="E23" s="4"/>
      <c r="F23" s="13" t="s">
        <v>1363</v>
      </c>
    </row>
    <row r="24" spans="3:6">
      <c r="C24" s="63" t="s">
        <v>23</v>
      </c>
      <c r="D24" s="1">
        <f>SUM(D19:D23)</f>
        <v>42</v>
      </c>
      <c r="E24" s="4"/>
      <c r="F24" s="13"/>
    </row>
    <row r="25" spans="3:6">
      <c r="F25" s="13"/>
    </row>
    <row r="26" spans="3:6">
      <c r="F26" s="13"/>
    </row>
    <row r="27" spans="3:6" ht="18.75">
      <c r="C27" s="5" t="s">
        <v>24</v>
      </c>
      <c r="D27" s="8" t="s">
        <v>25</v>
      </c>
      <c r="F27" s="13"/>
    </row>
    <row r="28" spans="3:6">
      <c r="C28" s="3" t="s">
        <v>26</v>
      </c>
      <c r="D28" s="3" t="s">
        <v>27</v>
      </c>
      <c r="E28" s="3"/>
      <c r="F28" s="13"/>
    </row>
    <row r="29" spans="3:6" ht="30">
      <c r="C29" s="63" t="s">
        <v>28</v>
      </c>
      <c r="D29" s="20" t="s">
        <v>534</v>
      </c>
      <c r="E29" s="4"/>
      <c r="F29" s="13"/>
    </row>
    <row r="30" spans="3:6" ht="30">
      <c r="C30" s="63" t="s">
        <v>29</v>
      </c>
      <c r="D30" s="20" t="s">
        <v>535</v>
      </c>
      <c r="E30" s="4"/>
      <c r="F30" s="13"/>
    </row>
    <row r="31" spans="3:6" ht="30">
      <c r="C31" s="63" t="s">
        <v>30</v>
      </c>
      <c r="D31" s="20" t="s">
        <v>536</v>
      </c>
      <c r="E31" s="4"/>
      <c r="F31" s="13"/>
    </row>
    <row r="32" spans="3:6">
      <c r="C32" s="63" t="s">
        <v>31</v>
      </c>
      <c r="D32" s="10"/>
      <c r="E32" s="4"/>
      <c r="F32" s="13"/>
    </row>
    <row r="33" spans="3:8">
      <c r="C33" s="63" t="s">
        <v>32</v>
      </c>
      <c r="D33" s="10"/>
      <c r="E33" s="4"/>
      <c r="F33" s="13"/>
    </row>
    <row r="36" spans="3:8" ht="18.75">
      <c r="C36" s="5" t="s">
        <v>33</v>
      </c>
    </row>
    <row r="37" spans="3:8">
      <c r="C37" s="3" t="s">
        <v>34</v>
      </c>
      <c r="D37" s="3" t="s">
        <v>35</v>
      </c>
      <c r="E37" s="3" t="s">
        <v>36</v>
      </c>
      <c r="F37" s="3" t="s">
        <v>37</v>
      </c>
      <c r="G37" s="3" t="s">
        <v>38</v>
      </c>
      <c r="H37" s="3" t="s">
        <v>39</v>
      </c>
    </row>
    <row r="38" spans="3:8">
      <c r="C38" s="63" t="s">
        <v>40</v>
      </c>
      <c r="D38" s="10" t="s">
        <v>355</v>
      </c>
      <c r="E38" s="10" t="s">
        <v>537</v>
      </c>
      <c r="F38" s="10" t="s">
        <v>1362</v>
      </c>
      <c r="G38" s="12">
        <v>0.5</v>
      </c>
      <c r="H38" s="10">
        <v>6</v>
      </c>
    </row>
    <row r="39" spans="3:8">
      <c r="C39" s="63" t="s">
        <v>44</v>
      </c>
      <c r="D39" s="10" t="s">
        <v>355</v>
      </c>
      <c r="E39" s="10" t="s">
        <v>539</v>
      </c>
      <c r="F39" s="10" t="s">
        <v>538</v>
      </c>
      <c r="G39" s="12">
        <v>0.5</v>
      </c>
      <c r="H39" s="10">
        <v>12</v>
      </c>
    </row>
    <row r="40" spans="3:8">
      <c r="C40" s="63" t="s">
        <v>45</v>
      </c>
      <c r="D40" s="13"/>
      <c r="E40" s="13"/>
      <c r="F40" s="13"/>
      <c r="G40" s="13"/>
      <c r="H40" s="13"/>
    </row>
    <row r="41" spans="3:8">
      <c r="C41" s="63" t="s">
        <v>46</v>
      </c>
      <c r="D41" s="13"/>
      <c r="E41" s="13"/>
      <c r="F41" s="13"/>
      <c r="G41" s="13"/>
      <c r="H41" s="13"/>
    </row>
    <row r="42" spans="3:8">
      <c r="C42" s="3"/>
    </row>
    <row r="44" spans="3:8" ht="18.75">
      <c r="C44" s="5" t="s">
        <v>47</v>
      </c>
      <c r="D44" s="8"/>
    </row>
    <row r="45" spans="3:8">
      <c r="C45" s="1" t="s">
        <v>34</v>
      </c>
      <c r="D45" s="1" t="s">
        <v>26</v>
      </c>
      <c r="E45" s="1" t="s">
        <v>48</v>
      </c>
      <c r="F45" s="1" t="s">
        <v>49</v>
      </c>
    </row>
    <row r="46" spans="3:8">
      <c r="C46" s="14" t="s">
        <v>40</v>
      </c>
      <c r="D46" s="13" t="s">
        <v>28</v>
      </c>
      <c r="E46" s="13" t="s">
        <v>50</v>
      </c>
      <c r="F46" s="13" t="s">
        <v>239</v>
      </c>
    </row>
    <row r="47" spans="3:8">
      <c r="C47" s="14" t="s">
        <v>40</v>
      </c>
      <c r="D47" s="13" t="s">
        <v>28</v>
      </c>
      <c r="E47" s="13" t="s">
        <v>57</v>
      </c>
      <c r="F47" s="13" t="s">
        <v>240</v>
      </c>
    </row>
    <row r="48" spans="3:8">
      <c r="C48" s="14" t="s">
        <v>40</v>
      </c>
      <c r="D48" s="13" t="s">
        <v>28</v>
      </c>
      <c r="E48" s="13" t="s">
        <v>57</v>
      </c>
      <c r="F48" s="13" t="s">
        <v>78</v>
      </c>
    </row>
    <row r="49" spans="3:6">
      <c r="C49" s="14" t="s">
        <v>40</v>
      </c>
      <c r="D49" s="13" t="s">
        <v>28</v>
      </c>
      <c r="E49" s="13" t="s">
        <v>57</v>
      </c>
      <c r="F49" s="13" t="s">
        <v>58</v>
      </c>
    </row>
    <row r="50" spans="3:6">
      <c r="C50" s="14" t="s">
        <v>40</v>
      </c>
      <c r="D50" s="13" t="s">
        <v>28</v>
      </c>
      <c r="E50" s="13" t="s">
        <v>53</v>
      </c>
      <c r="F50" s="13" t="s">
        <v>541</v>
      </c>
    </row>
    <row r="51" spans="3:6">
      <c r="C51" s="14" t="s">
        <v>40</v>
      </c>
      <c r="D51" s="13" t="s">
        <v>28</v>
      </c>
      <c r="E51" s="13" t="s">
        <v>55</v>
      </c>
      <c r="F51" s="13" t="s">
        <v>241</v>
      </c>
    </row>
    <row r="52" spans="3:6">
      <c r="C52" s="14" t="s">
        <v>40</v>
      </c>
      <c r="D52" s="13" t="s">
        <v>28</v>
      </c>
      <c r="E52" s="13" t="s">
        <v>102</v>
      </c>
      <c r="F52" s="13" t="s">
        <v>542</v>
      </c>
    </row>
    <row r="53" spans="3:6">
      <c r="C53" s="14" t="s">
        <v>40</v>
      </c>
      <c r="D53" s="13" t="s">
        <v>29</v>
      </c>
      <c r="E53" s="13" t="s">
        <v>50</v>
      </c>
      <c r="F53" s="13" t="s">
        <v>239</v>
      </c>
    </row>
    <row r="54" spans="3:6">
      <c r="C54" s="14" t="s">
        <v>40</v>
      </c>
      <c r="D54" s="13" t="s">
        <v>29</v>
      </c>
      <c r="E54" s="13" t="s">
        <v>53</v>
      </c>
      <c r="F54" s="13" t="s">
        <v>161</v>
      </c>
    </row>
    <row r="55" spans="3:6">
      <c r="C55" s="14" t="s">
        <v>44</v>
      </c>
      <c r="D55" s="13" t="s">
        <v>30</v>
      </c>
      <c r="E55" s="13" t="s">
        <v>57</v>
      </c>
      <c r="F55" s="13" t="s">
        <v>543</v>
      </c>
    </row>
    <row r="56" spans="3:6">
      <c r="C56" s="14" t="s">
        <v>44</v>
      </c>
      <c r="D56" s="13" t="s">
        <v>30</v>
      </c>
      <c r="E56" s="13" t="s">
        <v>55</v>
      </c>
      <c r="F56" s="13" t="s">
        <v>305</v>
      </c>
    </row>
    <row r="57" spans="3:6">
      <c r="C57" s="14" t="s">
        <v>44</v>
      </c>
      <c r="D57" s="13" t="s">
        <v>30</v>
      </c>
      <c r="E57" s="13" t="s">
        <v>50</v>
      </c>
      <c r="F57" s="13" t="s">
        <v>544</v>
      </c>
    </row>
    <row r="58" spans="3:6">
      <c r="C58" s="14"/>
      <c r="D58" s="13"/>
      <c r="E58" s="13"/>
      <c r="F58" s="13"/>
    </row>
    <row r="59" spans="3:6">
      <c r="C59" s="14"/>
      <c r="D59" s="13"/>
      <c r="E59" s="13"/>
      <c r="F59" s="13"/>
    </row>
    <row r="60" spans="3:6">
      <c r="C60" s="14"/>
      <c r="D60" s="13"/>
      <c r="E60" s="13"/>
      <c r="F60" s="13"/>
    </row>
    <row r="61" spans="3:6">
      <c r="C61" s="14"/>
      <c r="D61" s="13"/>
      <c r="E61" s="13"/>
      <c r="F61" s="13"/>
    </row>
    <row r="62" spans="3:6">
      <c r="C62" s="14"/>
      <c r="D62" s="13"/>
      <c r="E62" s="13"/>
      <c r="F62" s="13"/>
    </row>
    <row r="63" spans="3:6">
      <c r="C63" s="14"/>
      <c r="D63" s="13"/>
      <c r="E63" s="13"/>
      <c r="F63" s="13"/>
    </row>
    <row r="64" spans="3:6">
      <c r="C64" s="14"/>
      <c r="D64" s="13"/>
      <c r="E64" s="13"/>
      <c r="F64" s="13"/>
    </row>
    <row r="65" spans="2:6">
      <c r="C65" s="14"/>
      <c r="D65" s="13"/>
      <c r="E65" s="13"/>
      <c r="F65" s="13"/>
    </row>
    <row r="66" spans="2:6">
      <c r="C66" s="14"/>
      <c r="D66" s="13"/>
      <c r="E66" s="13"/>
      <c r="F66" s="13"/>
    </row>
    <row r="69" spans="2:6" ht="18.75">
      <c r="C69" s="5" t="s">
        <v>59</v>
      </c>
    </row>
    <row r="70" spans="2:6">
      <c r="B70" t="s">
        <v>60</v>
      </c>
      <c r="C70" s="1" t="s">
        <v>61</v>
      </c>
      <c r="D70" s="1" t="s">
        <v>62</v>
      </c>
      <c r="E70" s="1" t="s">
        <v>63</v>
      </c>
      <c r="F70" s="1" t="s">
        <v>64</v>
      </c>
    </row>
    <row r="71" spans="2:6">
      <c r="B71" s="64">
        <v>1</v>
      </c>
      <c r="C71" s="65">
        <v>1</v>
      </c>
      <c r="D71" s="10" t="s">
        <v>65</v>
      </c>
      <c r="E71" s="10"/>
      <c r="F71" s="10"/>
    </row>
    <row r="72" spans="2:6">
      <c r="B72" s="64">
        <v>1</v>
      </c>
      <c r="C72" s="65">
        <v>2</v>
      </c>
      <c r="D72" s="10" t="s">
        <v>66</v>
      </c>
      <c r="E72" s="10" t="s">
        <v>67</v>
      </c>
      <c r="F72" s="10" t="s">
        <v>18</v>
      </c>
    </row>
    <row r="73" spans="2:6">
      <c r="B73" s="64">
        <v>1</v>
      </c>
      <c r="C73" s="65">
        <v>3</v>
      </c>
      <c r="D73" s="10" t="s">
        <v>68</v>
      </c>
      <c r="E73" s="10"/>
      <c r="F73" s="10"/>
    </row>
    <row r="74" spans="2:6">
      <c r="B74" s="64">
        <v>1</v>
      </c>
      <c r="C74" s="65">
        <v>4</v>
      </c>
      <c r="D74" s="10" t="s">
        <v>69</v>
      </c>
      <c r="E74" s="10" t="s">
        <v>70</v>
      </c>
      <c r="F74" s="10" t="s">
        <v>18</v>
      </c>
    </row>
    <row r="75" spans="2:6">
      <c r="B75" s="64">
        <v>1</v>
      </c>
      <c r="C75" s="65">
        <v>5</v>
      </c>
      <c r="D75" s="10" t="s">
        <v>71</v>
      </c>
      <c r="E75" s="10"/>
      <c r="F75" s="10"/>
    </row>
    <row r="76" spans="2:6">
      <c r="B76" s="64">
        <v>1</v>
      </c>
      <c r="C76" s="65">
        <v>6</v>
      </c>
      <c r="D76" s="10" t="s">
        <v>72</v>
      </c>
      <c r="E76" s="10"/>
      <c r="F76" s="10" t="s">
        <v>18</v>
      </c>
    </row>
    <row r="77" spans="2:6">
      <c r="B77" s="64">
        <v>1</v>
      </c>
      <c r="C77" s="65">
        <v>7</v>
      </c>
      <c r="D77" s="10" t="s">
        <v>73</v>
      </c>
      <c r="E77" s="10"/>
      <c r="F77" s="10"/>
    </row>
    <row r="78" spans="2:6">
      <c r="B78" s="64">
        <v>1</v>
      </c>
      <c r="C78" s="65">
        <v>8</v>
      </c>
      <c r="D78" s="10" t="s">
        <v>74</v>
      </c>
      <c r="E78" s="10"/>
      <c r="F78" s="10" t="s">
        <v>18</v>
      </c>
    </row>
    <row r="79" spans="2:6">
      <c r="B79" s="64">
        <v>1</v>
      </c>
      <c r="C79" s="65">
        <v>9</v>
      </c>
      <c r="D79" s="10" t="s">
        <v>75</v>
      </c>
      <c r="E79" s="10"/>
      <c r="F79" s="10"/>
    </row>
    <row r="80" spans="2:6">
      <c r="B80" s="64">
        <v>1</v>
      </c>
      <c r="C80" s="65">
        <v>10</v>
      </c>
      <c r="D80" s="10" t="s">
        <v>76</v>
      </c>
      <c r="E80" s="10" t="s">
        <v>77</v>
      </c>
      <c r="F80" s="10" t="s">
        <v>18</v>
      </c>
    </row>
    <row r="81" spans="2:6">
      <c r="B81" s="64">
        <v>1</v>
      </c>
      <c r="C81" s="65">
        <v>11</v>
      </c>
      <c r="D81" s="10" t="s">
        <v>78</v>
      </c>
      <c r="E81" s="10"/>
      <c r="F81" s="10"/>
    </row>
    <row r="82" spans="2:6">
      <c r="B82" s="64">
        <v>1</v>
      </c>
      <c r="C82" s="65">
        <v>12</v>
      </c>
      <c r="D82" s="10" t="s">
        <v>79</v>
      </c>
      <c r="E82" s="10"/>
      <c r="F82" s="10" t="s">
        <v>18</v>
      </c>
    </row>
    <row r="83" spans="2:6">
      <c r="B83" s="64">
        <v>2</v>
      </c>
      <c r="C83" s="65">
        <v>1</v>
      </c>
      <c r="D83" s="10"/>
      <c r="E83" s="10"/>
      <c r="F83" s="10"/>
    </row>
    <row r="84" spans="2:6">
      <c r="B84" s="64">
        <v>2</v>
      </c>
      <c r="C84" s="65">
        <v>2</v>
      </c>
      <c r="D84" s="10"/>
      <c r="E84" s="10"/>
      <c r="F84" s="10"/>
    </row>
    <row r="85" spans="2:6">
      <c r="B85" s="64">
        <v>2</v>
      </c>
      <c r="C85" s="65">
        <v>3</v>
      </c>
      <c r="D85" s="10"/>
      <c r="E85" s="10"/>
      <c r="F85" s="10"/>
    </row>
    <row r="86" spans="2:6">
      <c r="B86" s="64">
        <v>2</v>
      </c>
      <c r="C86" s="65">
        <v>4</v>
      </c>
      <c r="D86" s="10"/>
      <c r="E86" s="10"/>
      <c r="F86" s="10"/>
    </row>
    <row r="87" spans="2:6">
      <c r="B87" s="64">
        <v>2</v>
      </c>
      <c r="C87" s="65">
        <v>5</v>
      </c>
      <c r="D87" s="10"/>
      <c r="E87" s="10"/>
      <c r="F87" s="10"/>
    </row>
    <row r="88" spans="2:6">
      <c r="B88" s="64">
        <v>2</v>
      </c>
      <c r="C88" s="65">
        <v>6</v>
      </c>
      <c r="D88" s="10"/>
      <c r="E88" s="10"/>
      <c r="F88" s="10"/>
    </row>
    <row r="89" spans="2:6">
      <c r="B89" s="64">
        <v>2</v>
      </c>
      <c r="C89" s="65">
        <v>7</v>
      </c>
      <c r="D89" s="10"/>
      <c r="E89" s="10"/>
      <c r="F89" s="10"/>
    </row>
    <row r="90" spans="2:6">
      <c r="B90" s="64">
        <v>2</v>
      </c>
      <c r="C90" s="65">
        <v>8</v>
      </c>
      <c r="D90" s="10"/>
      <c r="E90" s="10"/>
      <c r="F90" s="10"/>
    </row>
    <row r="91" spans="2:6">
      <c r="B91" s="64">
        <v>2</v>
      </c>
      <c r="C91" s="65">
        <v>9</v>
      </c>
      <c r="D91" s="10"/>
      <c r="E91" s="10"/>
      <c r="F91" s="10"/>
    </row>
    <row r="92" spans="2:6">
      <c r="B92" s="64">
        <v>2</v>
      </c>
      <c r="C92" s="65">
        <v>10</v>
      </c>
      <c r="D92" s="10"/>
      <c r="E92" s="10"/>
      <c r="F92" s="10"/>
    </row>
    <row r="93" spans="2:6">
      <c r="B93" s="64">
        <v>2</v>
      </c>
      <c r="C93" s="65">
        <v>11</v>
      </c>
      <c r="D93" s="10"/>
      <c r="E93" s="10"/>
      <c r="F93" s="10"/>
    </row>
    <row r="94" spans="2:6">
      <c r="B94" s="64">
        <v>2</v>
      </c>
      <c r="C94" s="65">
        <v>12</v>
      </c>
      <c r="D94" s="10"/>
      <c r="E94" s="10"/>
      <c r="F94" s="10"/>
    </row>
  </sheetData>
  <sheetProtection sheet="1" objects="1" scenarios="1" formatCells="0" formatColumns="0" formatRows="0" insertHyperlinks="0"/>
  <phoneticPr fontId="2" type="noConversion"/>
  <dataValidations count="4">
    <dataValidation type="whole" showInputMessage="1" showErrorMessage="1" error="This is not a realistic number of contact hours please reduce" sqref="D20:D23" xr:uid="{FB8A7DFE-7170-44AE-A913-6B0E7E2E34F3}">
      <formula1>0</formula1>
      <formula2>80</formula2>
    </dataValidation>
    <dataValidation type="whole" showInputMessage="1" showErrorMessage="1" error="This is not a realistic number of contact hours please change" sqref="D19" xr:uid="{C9D27B5D-07F6-4E23-A315-71AFAD4C892F}">
      <formula1>0</formula1>
      <formula2>80</formula2>
    </dataValidation>
    <dataValidation type="list" allowBlank="1" showInputMessage="1" showErrorMessage="1" sqref="E38:E41" xr:uid="{A1F2A5AF-6BE1-45E0-9856-B8AF9AA4CEE3}">
      <formula1>INDIRECT("LISTAssess[Assessment Specific]")</formula1>
    </dataValidation>
    <dataValidation type="list" allowBlank="1" showInputMessage="1" showErrorMessage="1" sqref="F46:F66" xr:uid="{0564942D-FA29-4033-B12E-655C92F1D63F}">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1">
        <x14:dataValidation type="list" allowBlank="1" showInputMessage="1" showErrorMessage="1" xr:uid="{BEC9D08E-BE46-4C20-8D35-38B254EB0637}">
          <x14:formula1>
            <xm:f>LISTS!$J$7:$J$16</xm:f>
          </x14:formula1>
          <xm:sqref>E46:E66</xm:sqref>
        </x14:dataValidation>
      </x14:dataValidations>
    </ext>
  </extLst>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B88F2-57F5-49DF-8E52-0E95DE3CFAC4}">
  <sheetPr codeName="Sheet15"/>
  <dimension ref="B2:H94"/>
  <sheetViews>
    <sheetView showGridLines="0" topLeftCell="A38" zoomScaleNormal="100" workbookViewId="0">
      <selection activeCell="E74" sqref="E74"/>
    </sheetView>
  </sheetViews>
  <sheetFormatPr defaultColWidth="8.85546875" defaultRowHeight="1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c r="C2" s="9" t="str">
        <f>D7</f>
        <v>6102SPS</v>
      </c>
      <c r="D2" s="9" t="str">
        <f>D8</f>
        <v>Physical activity and sedentary behaviour across the life course</v>
      </c>
    </row>
    <row r="3" spans="2:6">
      <c r="B3" s="1"/>
      <c r="C3" s="1"/>
    </row>
    <row r="4" spans="2:6">
      <c r="B4" s="2"/>
      <c r="C4" s="2"/>
    </row>
    <row r="5" spans="2:6" ht="18.75">
      <c r="B5" s="2"/>
      <c r="C5" s="5" t="s">
        <v>0</v>
      </c>
    </row>
    <row r="6" spans="2:6">
      <c r="B6" s="2"/>
      <c r="C6" s="3" t="s">
        <v>1</v>
      </c>
      <c r="D6" s="4" t="s">
        <v>2</v>
      </c>
      <c r="E6" s="4"/>
      <c r="F6" t="s">
        <v>3</v>
      </c>
    </row>
    <row r="7" spans="2:6">
      <c r="B7" s="2"/>
      <c r="C7" s="63" t="s">
        <v>4</v>
      </c>
      <c r="D7" s="10" t="s">
        <v>545</v>
      </c>
      <c r="E7" s="4"/>
      <c r="F7" s="13"/>
    </row>
    <row r="8" spans="2:6" ht="90">
      <c r="B8" s="2"/>
      <c r="C8" s="63" t="s">
        <v>6</v>
      </c>
      <c r="D8" s="10" t="s">
        <v>546</v>
      </c>
      <c r="E8" s="4"/>
      <c r="F8" s="30" t="s">
        <v>547</v>
      </c>
    </row>
    <row r="9" spans="2:6">
      <c r="C9" s="63" t="s">
        <v>7</v>
      </c>
      <c r="D9" s="10">
        <v>20</v>
      </c>
      <c r="E9" s="4"/>
    </row>
    <row r="10" spans="2:6">
      <c r="C10" s="63" t="s">
        <v>8</v>
      </c>
      <c r="D10" s="10">
        <v>1</v>
      </c>
      <c r="E10" s="4"/>
      <c r="F10" t="s">
        <v>9</v>
      </c>
    </row>
    <row r="11" spans="2:6">
      <c r="C11" s="63" t="s">
        <v>10</v>
      </c>
      <c r="D11" s="10">
        <v>6</v>
      </c>
      <c r="E11" s="4"/>
      <c r="F11" s="13" t="s">
        <v>548</v>
      </c>
    </row>
    <row r="12" spans="2:6">
      <c r="C12" s="63" t="s">
        <v>11</v>
      </c>
      <c r="D12" s="10" t="s">
        <v>549</v>
      </c>
      <c r="E12" s="4"/>
      <c r="F12" s="13" t="s">
        <v>550</v>
      </c>
    </row>
    <row r="13" spans="2:6">
      <c r="C13" s="63" t="s">
        <v>12</v>
      </c>
      <c r="D13" s="10" t="s">
        <v>532</v>
      </c>
      <c r="E13" s="4"/>
      <c r="F13" s="13"/>
    </row>
    <row r="14" spans="2:6">
      <c r="C14" s="63" t="s">
        <v>13</v>
      </c>
      <c r="D14" s="10" t="s">
        <v>86</v>
      </c>
      <c r="E14" s="4"/>
    </row>
    <row r="15" spans="2:6">
      <c r="C15" s="3"/>
      <c r="D15" s="4"/>
      <c r="E15" s="4"/>
      <c r="F15" t="s">
        <v>14</v>
      </c>
    </row>
    <row r="16" spans="2:6">
      <c r="C16" s="3"/>
      <c r="D16" s="4"/>
      <c r="E16" s="4"/>
      <c r="F16" s="13" t="s">
        <v>551</v>
      </c>
    </row>
    <row r="17" spans="3:6" ht="18.75">
      <c r="C17" s="5" t="s">
        <v>15</v>
      </c>
      <c r="D17" s="4"/>
      <c r="E17" s="4"/>
      <c r="F17" s="13" t="s">
        <v>552</v>
      </c>
    </row>
    <row r="18" spans="3:6">
      <c r="C18" s="3" t="s">
        <v>16</v>
      </c>
      <c r="D18" s="1" t="s">
        <v>15</v>
      </c>
      <c r="E18" s="4"/>
      <c r="F18" s="13"/>
    </row>
    <row r="19" spans="3:6">
      <c r="C19" s="63" t="s">
        <v>17</v>
      </c>
      <c r="D19" s="11">
        <v>20</v>
      </c>
      <c r="E19" s="4"/>
      <c r="F19" s="13"/>
    </row>
    <row r="20" spans="3:6">
      <c r="C20" s="63" t="s">
        <v>18</v>
      </c>
      <c r="D20" s="11">
        <v>20</v>
      </c>
      <c r="E20" s="4"/>
      <c r="F20" s="13"/>
    </row>
    <row r="21" spans="3:6">
      <c r="C21" s="63" t="s">
        <v>19</v>
      </c>
      <c r="D21" s="11">
        <v>4</v>
      </c>
      <c r="E21" s="4"/>
    </row>
    <row r="22" spans="3:6">
      <c r="C22" s="63" t="s">
        <v>20</v>
      </c>
      <c r="D22" s="11"/>
      <c r="E22" s="4"/>
      <c r="F22" t="s">
        <v>21</v>
      </c>
    </row>
    <row r="23" spans="3:6">
      <c r="C23" s="63" t="s">
        <v>22</v>
      </c>
      <c r="D23" s="11">
        <v>11</v>
      </c>
      <c r="E23" s="4"/>
      <c r="F23" s="13" t="s">
        <v>553</v>
      </c>
    </row>
    <row r="24" spans="3:6">
      <c r="C24" s="63" t="s">
        <v>23</v>
      </c>
      <c r="D24" s="1">
        <f>SUM(D19:D23)</f>
        <v>55</v>
      </c>
      <c r="E24" s="4"/>
      <c r="F24" s="13" t="s">
        <v>554</v>
      </c>
    </row>
    <row r="25" spans="3:6">
      <c r="F25" s="13" t="s">
        <v>555</v>
      </c>
    </row>
    <row r="26" spans="3:6">
      <c r="F26" s="13"/>
    </row>
    <row r="27" spans="3:6" ht="18.75">
      <c r="C27" s="5" t="s">
        <v>24</v>
      </c>
      <c r="D27" s="8" t="s">
        <v>25</v>
      </c>
      <c r="F27" s="13" t="s">
        <v>556</v>
      </c>
    </row>
    <row r="28" spans="3:6">
      <c r="C28" s="3" t="s">
        <v>26</v>
      </c>
      <c r="D28" s="3" t="s">
        <v>27</v>
      </c>
      <c r="E28" s="3"/>
      <c r="F28" s="13" t="s">
        <v>557</v>
      </c>
    </row>
    <row r="29" spans="3:6">
      <c r="C29" s="63" t="s">
        <v>28</v>
      </c>
      <c r="D29" s="29" t="s">
        <v>558</v>
      </c>
      <c r="E29" s="4"/>
      <c r="F29" s="13" t="s">
        <v>559</v>
      </c>
    </row>
    <row r="30" spans="3:6" ht="45">
      <c r="C30" s="63" t="s">
        <v>29</v>
      </c>
      <c r="D30" s="10" t="s">
        <v>560</v>
      </c>
      <c r="E30" s="4"/>
      <c r="F30" s="13" t="s">
        <v>561</v>
      </c>
    </row>
    <row r="31" spans="3:6" ht="60">
      <c r="C31" s="63" t="s">
        <v>30</v>
      </c>
      <c r="D31" s="10" t="s">
        <v>562</v>
      </c>
      <c r="E31" s="4"/>
      <c r="F31" s="13" t="s">
        <v>563</v>
      </c>
    </row>
    <row r="32" spans="3:6" ht="45">
      <c r="C32" s="63" t="s">
        <v>31</v>
      </c>
      <c r="D32" s="10" t="s">
        <v>564</v>
      </c>
      <c r="E32" s="4"/>
      <c r="F32" s="13" t="s">
        <v>565</v>
      </c>
    </row>
    <row r="33" spans="3:8">
      <c r="C33" s="63" t="s">
        <v>32</v>
      </c>
      <c r="D33" s="10"/>
      <c r="E33" s="4"/>
      <c r="F33" s="13"/>
    </row>
    <row r="36" spans="3:8" ht="18.75">
      <c r="C36" s="5" t="s">
        <v>33</v>
      </c>
    </row>
    <row r="37" spans="3:8">
      <c r="C37" s="3" t="s">
        <v>34</v>
      </c>
      <c r="D37" s="3" t="s">
        <v>35</v>
      </c>
      <c r="E37" s="3" t="s">
        <v>36</v>
      </c>
      <c r="F37" s="3" t="s">
        <v>37</v>
      </c>
      <c r="G37" s="3" t="s">
        <v>38</v>
      </c>
      <c r="H37" s="3" t="s">
        <v>39</v>
      </c>
    </row>
    <row r="38" spans="3:8" ht="45">
      <c r="C38" s="63" t="s">
        <v>40</v>
      </c>
      <c r="D38" s="10" t="s">
        <v>97</v>
      </c>
      <c r="E38" s="10" t="s">
        <v>356</v>
      </c>
      <c r="F38" s="10" t="s">
        <v>566</v>
      </c>
      <c r="G38" s="12">
        <v>0.5</v>
      </c>
      <c r="H38" s="10">
        <v>7</v>
      </c>
    </row>
    <row r="39" spans="3:8" ht="30">
      <c r="C39" s="63" t="s">
        <v>44</v>
      </c>
      <c r="D39" s="10" t="s">
        <v>41</v>
      </c>
      <c r="E39" s="10" t="s">
        <v>95</v>
      </c>
      <c r="F39" s="10" t="s">
        <v>567</v>
      </c>
      <c r="G39" s="12">
        <v>0.5</v>
      </c>
      <c r="H39" s="10">
        <v>12</v>
      </c>
    </row>
    <row r="40" spans="3:8">
      <c r="C40" s="63" t="s">
        <v>45</v>
      </c>
      <c r="D40" s="13"/>
      <c r="E40" s="13"/>
      <c r="F40" s="13"/>
      <c r="G40" s="13"/>
      <c r="H40" s="13"/>
    </row>
    <row r="41" spans="3:8">
      <c r="C41" s="63" t="s">
        <v>46</v>
      </c>
      <c r="D41" s="13"/>
      <c r="E41" s="13"/>
      <c r="F41" s="13"/>
      <c r="G41" s="13"/>
      <c r="H41" s="13"/>
    </row>
    <row r="42" spans="3:8">
      <c r="C42" s="3"/>
    </row>
    <row r="44" spans="3:8" ht="18.75">
      <c r="C44" s="5" t="s">
        <v>47</v>
      </c>
      <c r="D44" s="8"/>
    </row>
    <row r="45" spans="3:8">
      <c r="C45" s="1" t="s">
        <v>34</v>
      </c>
      <c r="D45" s="1" t="s">
        <v>26</v>
      </c>
      <c r="E45" s="1" t="s">
        <v>48</v>
      </c>
      <c r="F45" s="1" t="s">
        <v>49</v>
      </c>
    </row>
    <row r="46" spans="3:8">
      <c r="C46" s="14" t="s">
        <v>40</v>
      </c>
      <c r="D46" s="13" t="s">
        <v>28</v>
      </c>
      <c r="E46" s="13" t="s">
        <v>50</v>
      </c>
      <c r="F46" s="13" t="s">
        <v>304</v>
      </c>
    </row>
    <row r="47" spans="3:8">
      <c r="C47" s="14" t="s">
        <v>40</v>
      </c>
      <c r="D47" s="13" t="s">
        <v>29</v>
      </c>
      <c r="E47" s="13" t="s">
        <v>162</v>
      </c>
      <c r="F47" s="13" t="s">
        <v>493</v>
      </c>
    </row>
    <row r="48" spans="3:8">
      <c r="C48" s="14" t="s">
        <v>40</v>
      </c>
      <c r="D48" s="13" t="s">
        <v>31</v>
      </c>
      <c r="E48" s="13" t="s">
        <v>50</v>
      </c>
      <c r="F48" s="13" t="s">
        <v>304</v>
      </c>
    </row>
    <row r="49" spans="3:6">
      <c r="C49" s="14" t="s">
        <v>44</v>
      </c>
      <c r="D49" s="13" t="s">
        <v>29</v>
      </c>
      <c r="E49" s="13" t="s">
        <v>162</v>
      </c>
      <c r="F49" s="13" t="s">
        <v>493</v>
      </c>
    </row>
    <row r="50" spans="3:6">
      <c r="C50" s="14" t="s">
        <v>44</v>
      </c>
      <c r="D50" s="13" t="s">
        <v>30</v>
      </c>
      <c r="E50" s="13" t="s">
        <v>50</v>
      </c>
      <c r="F50" s="13" t="s">
        <v>544</v>
      </c>
    </row>
    <row r="51" spans="3:6">
      <c r="C51" s="14" t="s">
        <v>44</v>
      </c>
      <c r="D51" s="13"/>
      <c r="E51" s="13"/>
      <c r="F51" s="13"/>
    </row>
    <row r="52" spans="3:6">
      <c r="C52" s="14" t="s">
        <v>45</v>
      </c>
      <c r="D52" s="13"/>
      <c r="E52" s="13"/>
      <c r="F52" s="13"/>
    </row>
    <row r="53" spans="3:6">
      <c r="C53" s="14" t="s">
        <v>45</v>
      </c>
      <c r="D53" s="13"/>
      <c r="E53" s="13"/>
      <c r="F53" s="13"/>
    </row>
    <row r="54" spans="3:6">
      <c r="C54" s="14" t="s">
        <v>45</v>
      </c>
      <c r="D54" s="13"/>
      <c r="E54" s="13"/>
      <c r="F54" s="13"/>
    </row>
    <row r="55" spans="3:6">
      <c r="C55" s="14" t="s">
        <v>46</v>
      </c>
      <c r="D55" s="13"/>
      <c r="E55" s="13"/>
      <c r="F55" s="13"/>
    </row>
    <row r="56" spans="3:6">
      <c r="C56" s="14" t="s">
        <v>46</v>
      </c>
      <c r="D56" s="13"/>
      <c r="E56" s="13"/>
      <c r="F56" s="13"/>
    </row>
    <row r="57" spans="3:6">
      <c r="C57" s="14"/>
      <c r="D57" s="13"/>
      <c r="E57" s="13"/>
      <c r="F57" s="13"/>
    </row>
    <row r="58" spans="3:6">
      <c r="C58" s="14"/>
      <c r="D58" s="13"/>
      <c r="E58" s="13"/>
      <c r="F58" s="13"/>
    </row>
    <row r="59" spans="3:6">
      <c r="C59" s="14"/>
      <c r="D59" s="13"/>
      <c r="E59" s="13"/>
      <c r="F59" s="13"/>
    </row>
    <row r="60" spans="3:6">
      <c r="C60" s="14"/>
      <c r="D60" s="13"/>
      <c r="E60" s="13"/>
      <c r="F60" s="13"/>
    </row>
    <row r="61" spans="3:6">
      <c r="C61" s="14"/>
      <c r="D61" s="13"/>
      <c r="E61" s="13"/>
      <c r="F61" s="13"/>
    </row>
    <row r="62" spans="3:6">
      <c r="C62" s="14"/>
      <c r="D62" s="13"/>
      <c r="E62" s="13"/>
      <c r="F62" s="13"/>
    </row>
    <row r="63" spans="3:6">
      <c r="C63" s="14"/>
      <c r="D63" s="13"/>
      <c r="E63" s="13"/>
      <c r="F63" s="13"/>
    </row>
    <row r="64" spans="3:6">
      <c r="C64" s="14"/>
      <c r="D64" s="13"/>
      <c r="E64" s="13"/>
      <c r="F64" s="13"/>
    </row>
    <row r="65" spans="2:6">
      <c r="C65" s="14"/>
      <c r="D65" s="13"/>
      <c r="E65" s="13"/>
      <c r="F65" s="13"/>
    </row>
    <row r="66" spans="2:6">
      <c r="C66" s="14"/>
      <c r="D66" s="13"/>
      <c r="E66" s="13"/>
      <c r="F66" s="13"/>
    </row>
    <row r="69" spans="2:6" ht="18.75">
      <c r="C69" s="5" t="s">
        <v>59</v>
      </c>
    </row>
    <row r="70" spans="2:6">
      <c r="B70" t="s">
        <v>60</v>
      </c>
      <c r="C70" s="1" t="s">
        <v>61</v>
      </c>
      <c r="D70" s="1" t="s">
        <v>62</v>
      </c>
      <c r="E70" s="1" t="s">
        <v>63</v>
      </c>
      <c r="F70" s="1" t="s">
        <v>64</v>
      </c>
    </row>
    <row r="71" spans="2:6" ht="30">
      <c r="B71" s="64">
        <v>1</v>
      </c>
      <c r="C71" s="65">
        <v>1</v>
      </c>
      <c r="D71" s="10" t="s">
        <v>568</v>
      </c>
      <c r="E71" s="10" t="s">
        <v>569</v>
      </c>
      <c r="F71" s="10" t="s">
        <v>570</v>
      </c>
    </row>
    <row r="72" spans="2:6">
      <c r="B72" s="64">
        <v>1</v>
      </c>
      <c r="C72" s="65">
        <v>2</v>
      </c>
      <c r="D72" s="10" t="s">
        <v>571</v>
      </c>
      <c r="E72" s="10" t="s">
        <v>572</v>
      </c>
      <c r="F72" s="10" t="s">
        <v>573</v>
      </c>
    </row>
    <row r="73" spans="2:6" ht="30">
      <c r="B73" s="64">
        <v>1</v>
      </c>
      <c r="C73" s="65">
        <v>3</v>
      </c>
      <c r="D73" s="10" t="s">
        <v>574</v>
      </c>
      <c r="E73" s="10" t="s">
        <v>575</v>
      </c>
      <c r="F73" s="10" t="s">
        <v>576</v>
      </c>
    </row>
    <row r="74" spans="2:6">
      <c r="B74" s="64">
        <v>1</v>
      </c>
      <c r="C74" s="65">
        <v>4</v>
      </c>
      <c r="D74" s="10" t="s">
        <v>577</v>
      </c>
      <c r="E74" s="10" t="s">
        <v>578</v>
      </c>
      <c r="F74" s="10" t="s">
        <v>579</v>
      </c>
    </row>
    <row r="75" spans="2:6">
      <c r="B75" s="64">
        <v>1</v>
      </c>
      <c r="C75" s="65">
        <v>5</v>
      </c>
      <c r="D75" s="10" t="s">
        <v>580</v>
      </c>
      <c r="E75" s="10" t="s">
        <v>581</v>
      </c>
      <c r="F75" s="10" t="s">
        <v>582</v>
      </c>
    </row>
    <row r="76" spans="2:6">
      <c r="B76" s="64">
        <v>1</v>
      </c>
      <c r="C76" s="65">
        <v>6</v>
      </c>
      <c r="D76" s="10" t="s">
        <v>583</v>
      </c>
      <c r="E76" s="10" t="s">
        <v>584</v>
      </c>
      <c r="F76" s="10" t="s">
        <v>585</v>
      </c>
    </row>
    <row r="77" spans="2:6">
      <c r="B77" s="64">
        <v>1</v>
      </c>
      <c r="C77" s="65">
        <v>7</v>
      </c>
      <c r="D77" s="10" t="s">
        <v>172</v>
      </c>
      <c r="E77" s="10" t="s">
        <v>586</v>
      </c>
      <c r="F77" s="10"/>
    </row>
    <row r="78" spans="2:6" ht="30">
      <c r="B78" s="64">
        <v>1</v>
      </c>
      <c r="C78" s="65">
        <v>8</v>
      </c>
      <c r="D78" s="10" t="s">
        <v>587</v>
      </c>
      <c r="E78" s="10" t="s">
        <v>588</v>
      </c>
      <c r="F78" s="10" t="s">
        <v>589</v>
      </c>
    </row>
    <row r="79" spans="2:6" ht="30">
      <c r="B79" s="64">
        <v>1</v>
      </c>
      <c r="C79" s="65">
        <v>9</v>
      </c>
      <c r="D79" s="10" t="s">
        <v>590</v>
      </c>
      <c r="E79" s="10" t="s">
        <v>591</v>
      </c>
      <c r="F79" s="10" t="s">
        <v>592</v>
      </c>
    </row>
    <row r="80" spans="2:6">
      <c r="B80" s="64">
        <v>1</v>
      </c>
      <c r="C80" s="65">
        <v>10</v>
      </c>
      <c r="D80" s="10" t="s">
        <v>593</v>
      </c>
      <c r="E80" s="10" t="s">
        <v>594</v>
      </c>
      <c r="F80" s="10" t="s">
        <v>595</v>
      </c>
    </row>
    <row r="81" spans="2:6">
      <c r="B81" s="64">
        <v>1</v>
      </c>
      <c r="C81" s="65">
        <v>11</v>
      </c>
      <c r="D81" s="10" t="s">
        <v>596</v>
      </c>
      <c r="E81" s="10" t="s">
        <v>597</v>
      </c>
      <c r="F81" s="10" t="s">
        <v>598</v>
      </c>
    </row>
    <row r="82" spans="2:6">
      <c r="B82" s="64">
        <v>1</v>
      </c>
      <c r="C82" s="65">
        <v>12</v>
      </c>
      <c r="D82" s="10" t="s">
        <v>599</v>
      </c>
      <c r="E82" s="10" t="s">
        <v>600</v>
      </c>
      <c r="F82" s="10"/>
    </row>
    <row r="83" spans="2:6">
      <c r="B83" s="64">
        <v>2</v>
      </c>
      <c r="C83" s="65">
        <v>1</v>
      </c>
      <c r="D83" s="10"/>
      <c r="E83" s="10"/>
      <c r="F83" s="10"/>
    </row>
    <row r="84" spans="2:6">
      <c r="B84" s="64">
        <v>2</v>
      </c>
      <c r="C84" s="65">
        <v>2</v>
      </c>
      <c r="D84" s="10"/>
      <c r="E84" s="10"/>
      <c r="F84" s="10"/>
    </row>
    <row r="85" spans="2:6">
      <c r="B85" s="64">
        <v>2</v>
      </c>
      <c r="C85" s="65">
        <v>3</v>
      </c>
      <c r="D85" s="10"/>
      <c r="E85" s="10"/>
      <c r="F85" s="10"/>
    </row>
    <row r="86" spans="2:6">
      <c r="B86" s="64">
        <v>2</v>
      </c>
      <c r="C86" s="65">
        <v>4</v>
      </c>
      <c r="D86" s="10"/>
      <c r="E86" s="10"/>
      <c r="F86" s="10"/>
    </row>
    <row r="87" spans="2:6">
      <c r="B87" s="64">
        <v>2</v>
      </c>
      <c r="C87" s="65">
        <v>5</v>
      </c>
      <c r="D87" s="10"/>
      <c r="E87" s="10"/>
      <c r="F87" s="10"/>
    </row>
    <row r="88" spans="2:6">
      <c r="B88" s="64">
        <v>2</v>
      </c>
      <c r="C88" s="65">
        <v>6</v>
      </c>
      <c r="D88" s="10"/>
      <c r="E88" s="10"/>
      <c r="F88" s="10"/>
    </row>
    <row r="89" spans="2:6">
      <c r="B89" s="64">
        <v>2</v>
      </c>
      <c r="C89" s="65">
        <v>7</v>
      </c>
      <c r="D89" s="10"/>
      <c r="E89" s="10"/>
      <c r="F89" s="10"/>
    </row>
    <row r="90" spans="2:6">
      <c r="B90" s="64">
        <v>2</v>
      </c>
      <c r="C90" s="65">
        <v>8</v>
      </c>
      <c r="D90" s="10"/>
      <c r="E90" s="10"/>
      <c r="F90" s="10"/>
    </row>
    <row r="91" spans="2:6">
      <c r="B91" s="64">
        <v>2</v>
      </c>
      <c r="C91" s="65">
        <v>9</v>
      </c>
      <c r="D91" s="10"/>
      <c r="E91" s="10"/>
      <c r="F91" s="10"/>
    </row>
    <row r="92" spans="2:6">
      <c r="B92" s="64">
        <v>2</v>
      </c>
      <c r="C92" s="65">
        <v>10</v>
      </c>
      <c r="D92" s="10"/>
      <c r="E92" s="10"/>
      <c r="F92" s="10"/>
    </row>
    <row r="93" spans="2:6">
      <c r="B93" s="64">
        <v>2</v>
      </c>
      <c r="C93" s="65">
        <v>11</v>
      </c>
      <c r="D93" s="10"/>
      <c r="E93" s="10"/>
      <c r="F93" s="10"/>
    </row>
    <row r="94" spans="2:6">
      <c r="B94" s="64">
        <v>2</v>
      </c>
      <c r="C94" s="65">
        <v>12</v>
      </c>
      <c r="D94" s="10"/>
      <c r="E94" s="10"/>
      <c r="F94" s="10"/>
    </row>
  </sheetData>
  <sheetProtection sheet="1" objects="1" scenarios="1" formatCells="0" formatColumns="0" formatRows="0" insertHyperlinks="0"/>
  <dataValidations count="4">
    <dataValidation type="list" allowBlank="1" showInputMessage="1" showErrorMessage="1" sqref="F46:F66" xr:uid="{FBDDC197-4A14-47FE-ADCC-676A78692ED8}">
      <formula1>INDIRECT(VLOOKUP($E46, SkillNameMap, 2, FALSE))</formula1>
    </dataValidation>
    <dataValidation type="list" allowBlank="1" showInputMessage="1" showErrorMessage="1" sqref="E38:E41" xr:uid="{68DC1710-8FBD-4C96-BEFB-29EEA2B38DF9}">
      <formula1>INDIRECT("LISTAssess[Assessment Specific]")</formula1>
    </dataValidation>
    <dataValidation type="whole" showInputMessage="1" showErrorMessage="1" error="This is not a realistic number of contact hours please change" sqref="D19" xr:uid="{FF705AB8-F0B5-4944-B4DB-BA562CE03F41}">
      <formula1>0</formula1>
      <formula2>80</formula2>
    </dataValidation>
    <dataValidation type="whole" showInputMessage="1" showErrorMessage="1" error="This is not a realistic number of contact hours please reduce" sqref="D20:D23" xr:uid="{B3470EF4-EDE1-4AA2-BF4E-C5217F91B39A}">
      <formula1>0</formula1>
      <formula2>80</formula2>
    </dataValidation>
  </dataValidations>
  <pageMargins left="0.7" right="0.7" top="0.75" bottom="0.75" header="0.3" footer="0.3"/>
  <pageSetup paperSize="9" orientation="portrait" horizontalDpi="4294967293" verticalDpi="0" r:id="rId1"/>
  <legacyDrawing r:id="rId2"/>
  <tableParts count="10">
    <tablePart r:id="rId3"/>
    <tablePart r:id="rId4"/>
    <tablePart r:id="rId5"/>
    <tablePart r:id="rId6"/>
    <tablePart r:id="rId7"/>
    <tablePart r:id="rId8"/>
    <tablePart r:id="rId9"/>
    <tablePart r:id="rId10"/>
    <tablePart r:id="rId11"/>
    <tablePart r:id="rId12"/>
  </tableParts>
  <extLst>
    <ext xmlns:x14="http://schemas.microsoft.com/office/spreadsheetml/2009/9/main" uri="{CCE6A557-97BC-4b89-ADB6-D9C93CAAB3DF}">
      <x14:dataValidations xmlns:xm="http://schemas.microsoft.com/office/excel/2006/main" count="7">
        <x14:dataValidation type="list" allowBlank="1" showInputMessage="1" showErrorMessage="1" xr:uid="{F82EBEA9-5922-4C07-934E-470BFDA49DA7}">
          <x14:formula1>
            <xm:f>LISTS!$J$7:$J$16</xm:f>
          </x14:formula1>
          <xm:sqref>E46:E66</xm:sqref>
        </x14:dataValidation>
        <x14:dataValidation type="list" allowBlank="1" showInputMessage="1" showErrorMessage="1" xr:uid="{14DAA443-23DD-4C34-A97A-3ECF7C0E8C55}">
          <x14:formula1>
            <xm:f>LISTS!$E$7:$E$11</xm:f>
          </x14:formula1>
          <xm:sqref>D46:D66</xm:sqref>
        </x14:dataValidation>
        <x14:dataValidation type="list" allowBlank="1" showInputMessage="1" showErrorMessage="1" xr:uid="{32C1AEC8-992B-4A37-AC70-FCFCDCEAE5AF}">
          <x14:formula1>
            <xm:f>LISTS!$G$7:$G$11</xm:f>
          </x14:formula1>
          <xm:sqref>D38:D42</xm:sqref>
        </x14:dataValidation>
        <x14:dataValidation type="list" allowBlank="1" showInputMessage="1" showErrorMessage="1" xr:uid="{079859AC-8D6D-42CE-8DCE-FB75C2DF13B7}">
          <x14:formula1>
            <xm:f>LISTS!$C$11:$C$15</xm:f>
          </x14:formula1>
          <xm:sqref>D11</xm:sqref>
        </x14:dataValidation>
        <x14:dataValidation type="list" allowBlank="1" showInputMessage="1" showErrorMessage="1" xr:uid="{95BE0675-0791-40D0-9E9D-AB48C0DB89D4}">
          <x14:formula1>
            <xm:f>LISTS!$C$7:$C$9</xm:f>
          </x14:formula1>
          <xm:sqref>D10</xm:sqref>
        </x14:dataValidation>
        <x14:dataValidation type="list" allowBlank="1" showInputMessage="1" showErrorMessage="1" xr:uid="{6B48D045-2AC6-4AB5-8461-E9008DA71EAB}">
          <x14:formula1>
            <xm:f>LISTS!$C$17:$C$22</xm:f>
          </x14:formula1>
          <xm:sqref>D13</xm:sqref>
        </x14:dataValidation>
        <x14:dataValidation type="list" allowBlank="1" showInputMessage="1" showErrorMessage="1" xr:uid="{A9720BD0-513F-4B9A-9AB4-400D7A5FAEF6}">
          <x14:formula1>
            <xm:f>LISTS!$C$26:$C$37</xm:f>
          </x14:formula1>
          <xm:sqref>D14</xm:sqref>
        </x14:dataValidation>
      </x14:dataValidations>
    </ext>
  </extLst>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9BE32B-C13E-43E7-B873-E387D17625D7}">
  <sheetPr codeName="Sheet24"/>
  <dimension ref="B2:H94"/>
  <sheetViews>
    <sheetView showGridLines="0" topLeftCell="B66" zoomScale="62" zoomScaleNormal="85" workbookViewId="0">
      <selection activeCell="F16" sqref="F16"/>
    </sheetView>
  </sheetViews>
  <sheetFormatPr defaultColWidth="8.85546875" defaultRowHeight="1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c r="C2" s="9" t="str">
        <f>D7</f>
        <v>6103SPS</v>
      </c>
      <c r="D2" s="9" t="str">
        <f>D8</f>
        <v>Exercise Metabolism</v>
      </c>
    </row>
    <row r="3" spans="2:6">
      <c r="B3" s="1"/>
      <c r="C3" s="1"/>
    </row>
    <row r="4" spans="2:6">
      <c r="B4" s="2"/>
      <c r="C4" s="2"/>
    </row>
    <row r="5" spans="2:6" ht="18.75">
      <c r="B5" s="2"/>
      <c r="C5" s="5" t="s">
        <v>0</v>
      </c>
    </row>
    <row r="6" spans="2:6">
      <c r="B6" s="2"/>
      <c r="C6" s="3" t="s">
        <v>1</v>
      </c>
      <c r="D6" s="4" t="s">
        <v>2</v>
      </c>
      <c r="E6" s="4"/>
      <c r="F6" t="s">
        <v>3</v>
      </c>
    </row>
    <row r="7" spans="2:6">
      <c r="B7" s="2"/>
      <c r="C7" s="63" t="s">
        <v>4</v>
      </c>
      <c r="D7" s="10" t="s">
        <v>601</v>
      </c>
      <c r="E7" s="4"/>
      <c r="F7" s="13" t="s">
        <v>602</v>
      </c>
    </row>
    <row r="8" spans="2:6">
      <c r="B8" s="2"/>
      <c r="C8" s="63" t="s">
        <v>6</v>
      </c>
      <c r="D8" s="10" t="s">
        <v>603</v>
      </c>
      <c r="E8" s="4"/>
      <c r="F8" s="30"/>
    </row>
    <row r="9" spans="2:6">
      <c r="C9" s="63" t="s">
        <v>7</v>
      </c>
      <c r="D9" s="10">
        <v>20</v>
      </c>
      <c r="E9" s="4"/>
    </row>
    <row r="10" spans="2:6">
      <c r="C10" s="63" t="s">
        <v>8</v>
      </c>
      <c r="D10" s="10">
        <v>1</v>
      </c>
      <c r="E10" s="4"/>
      <c r="F10" t="s">
        <v>9</v>
      </c>
    </row>
    <row r="11" spans="2:6">
      <c r="C11" s="63" t="s">
        <v>10</v>
      </c>
      <c r="D11" s="10">
        <v>6</v>
      </c>
      <c r="E11" s="4"/>
      <c r="F11" s="13" t="s">
        <v>604</v>
      </c>
    </row>
    <row r="12" spans="2:6">
      <c r="C12" s="63" t="s">
        <v>11</v>
      </c>
      <c r="D12" s="10" t="s">
        <v>605</v>
      </c>
      <c r="E12" s="4"/>
      <c r="F12" s="13" t="s">
        <v>606</v>
      </c>
    </row>
    <row r="13" spans="2:6">
      <c r="C13" s="63" t="s">
        <v>12</v>
      </c>
      <c r="D13" s="10" t="s">
        <v>532</v>
      </c>
      <c r="E13" s="4"/>
      <c r="F13" s="13" t="s">
        <v>607</v>
      </c>
    </row>
    <row r="14" spans="2:6">
      <c r="C14" s="63" t="s">
        <v>13</v>
      </c>
      <c r="D14" s="10" t="s">
        <v>86</v>
      </c>
      <c r="E14" s="4"/>
    </row>
    <row r="15" spans="2:6">
      <c r="C15" s="3"/>
      <c r="D15" s="4"/>
      <c r="E15" s="4"/>
      <c r="F15" t="s">
        <v>14</v>
      </c>
    </row>
    <row r="16" spans="2:6">
      <c r="C16" s="3"/>
      <c r="D16" s="4"/>
      <c r="E16" s="4"/>
      <c r="F16" s="13" t="s">
        <v>608</v>
      </c>
    </row>
    <row r="17" spans="3:6" ht="18.75">
      <c r="C17" s="5" t="s">
        <v>15</v>
      </c>
      <c r="D17" s="4"/>
      <c r="E17" s="4"/>
      <c r="F17" s="13"/>
    </row>
    <row r="18" spans="3:6">
      <c r="C18" s="3" t="s">
        <v>16</v>
      </c>
      <c r="D18" s="1" t="s">
        <v>15</v>
      </c>
      <c r="E18" s="4"/>
      <c r="F18" s="13"/>
    </row>
    <row r="19" spans="3:6">
      <c r="C19" s="63" t="s">
        <v>17</v>
      </c>
      <c r="D19" s="11">
        <v>22</v>
      </c>
      <c r="E19" s="4"/>
      <c r="F19" s="13"/>
    </row>
    <row r="20" spans="3:6">
      <c r="C20" s="63" t="s">
        <v>18</v>
      </c>
      <c r="D20" s="11">
        <v>18</v>
      </c>
      <c r="E20" s="4"/>
      <c r="F20" s="13"/>
    </row>
    <row r="21" spans="3:6">
      <c r="C21" s="63" t="s">
        <v>19</v>
      </c>
      <c r="D21" s="11">
        <v>4</v>
      </c>
      <c r="E21" s="4"/>
    </row>
    <row r="22" spans="3:6">
      <c r="C22" s="63" t="s">
        <v>20</v>
      </c>
      <c r="D22" s="11"/>
      <c r="E22" s="4"/>
      <c r="F22" t="s">
        <v>21</v>
      </c>
    </row>
    <row r="23" spans="3:6">
      <c r="C23" s="63" t="s">
        <v>22</v>
      </c>
      <c r="D23" s="11"/>
      <c r="E23" s="4"/>
      <c r="F23" s="13"/>
    </row>
    <row r="24" spans="3:6">
      <c r="C24" s="63" t="s">
        <v>23</v>
      </c>
      <c r="D24" s="1">
        <f>SUM(D19:D23)</f>
        <v>44</v>
      </c>
      <c r="E24" s="4"/>
      <c r="F24" s="13"/>
    </row>
    <row r="25" spans="3:6">
      <c r="F25" s="13"/>
    </row>
    <row r="26" spans="3:6">
      <c r="F26" s="13"/>
    </row>
    <row r="27" spans="3:6" ht="18.75">
      <c r="C27" s="5" t="s">
        <v>24</v>
      </c>
      <c r="D27" s="8" t="s">
        <v>25</v>
      </c>
      <c r="F27" s="13"/>
    </row>
    <row r="28" spans="3:6">
      <c r="C28" s="3" t="s">
        <v>26</v>
      </c>
      <c r="D28" s="3" t="s">
        <v>27</v>
      </c>
      <c r="E28" s="3"/>
      <c r="F28" s="13"/>
    </row>
    <row r="29" spans="3:6" ht="60">
      <c r="C29" s="63" t="s">
        <v>28</v>
      </c>
      <c r="D29" s="85" t="s">
        <v>609</v>
      </c>
      <c r="E29" s="4"/>
      <c r="F29" s="13"/>
    </row>
    <row r="30" spans="3:6" ht="45">
      <c r="C30" s="63" t="s">
        <v>29</v>
      </c>
      <c r="D30" s="10" t="s">
        <v>610</v>
      </c>
      <c r="E30" s="4"/>
      <c r="F30" s="13"/>
    </row>
    <row r="31" spans="3:6" ht="45">
      <c r="C31" s="63" t="s">
        <v>30</v>
      </c>
      <c r="D31" s="10" t="s">
        <v>611</v>
      </c>
      <c r="E31" s="4"/>
      <c r="F31" s="13"/>
    </row>
    <row r="32" spans="3:6">
      <c r="C32" s="63" t="s">
        <v>31</v>
      </c>
      <c r="D32" s="10"/>
      <c r="E32" s="4"/>
      <c r="F32" s="13"/>
    </row>
    <row r="33" spans="3:8">
      <c r="C33" s="63" t="s">
        <v>32</v>
      </c>
      <c r="D33" s="10"/>
      <c r="E33" s="4"/>
      <c r="F33" s="13"/>
    </row>
    <row r="36" spans="3:8" ht="18.75">
      <c r="C36" s="5" t="s">
        <v>33</v>
      </c>
    </row>
    <row r="37" spans="3:8">
      <c r="C37" s="3" t="s">
        <v>34</v>
      </c>
      <c r="D37" s="3" t="s">
        <v>35</v>
      </c>
      <c r="E37" s="3" t="s">
        <v>36</v>
      </c>
      <c r="F37" s="3" t="s">
        <v>37</v>
      </c>
      <c r="G37" s="3" t="s">
        <v>38</v>
      </c>
      <c r="H37" s="3" t="s">
        <v>39</v>
      </c>
    </row>
    <row r="38" spans="3:8" ht="45">
      <c r="C38" s="63" t="s">
        <v>40</v>
      </c>
      <c r="D38" s="10" t="s">
        <v>355</v>
      </c>
      <c r="E38" s="13" t="s">
        <v>612</v>
      </c>
      <c r="F38" s="10" t="s">
        <v>613</v>
      </c>
      <c r="G38" s="12">
        <v>0.5</v>
      </c>
      <c r="H38" s="10">
        <v>6</v>
      </c>
    </row>
    <row r="39" spans="3:8">
      <c r="C39" s="63" t="s">
        <v>44</v>
      </c>
      <c r="D39" s="10" t="s">
        <v>157</v>
      </c>
      <c r="E39" s="13"/>
      <c r="F39" s="10" t="s">
        <v>614</v>
      </c>
      <c r="G39" s="12">
        <v>0.5</v>
      </c>
      <c r="H39" s="10">
        <v>12</v>
      </c>
    </row>
    <row r="40" spans="3:8">
      <c r="C40" s="63" t="s">
        <v>45</v>
      </c>
      <c r="D40" s="13"/>
      <c r="E40" s="13"/>
      <c r="F40" s="13"/>
      <c r="G40" s="13"/>
      <c r="H40" s="13"/>
    </row>
    <row r="41" spans="3:8">
      <c r="C41" s="63" t="s">
        <v>46</v>
      </c>
      <c r="D41" s="13"/>
      <c r="E41" s="13"/>
      <c r="F41" s="13"/>
      <c r="G41" s="13"/>
      <c r="H41" s="13"/>
    </row>
    <row r="42" spans="3:8">
      <c r="C42" s="3"/>
    </row>
    <row r="44" spans="3:8" ht="18.75">
      <c r="C44" s="5" t="s">
        <v>47</v>
      </c>
      <c r="D44" s="8"/>
    </row>
    <row r="45" spans="3:8">
      <c r="C45" s="1" t="s">
        <v>34</v>
      </c>
      <c r="D45" s="1" t="s">
        <v>26</v>
      </c>
      <c r="E45" s="1" t="s">
        <v>48</v>
      </c>
      <c r="F45" s="1" t="s">
        <v>49</v>
      </c>
    </row>
    <row r="46" spans="3:8">
      <c r="C46" s="14" t="s">
        <v>40</v>
      </c>
      <c r="D46" s="13" t="s">
        <v>28</v>
      </c>
      <c r="E46" s="13" t="s">
        <v>50</v>
      </c>
      <c r="F46" s="13" t="s">
        <v>239</v>
      </c>
    </row>
    <row r="47" spans="3:8">
      <c r="C47" s="14" t="s">
        <v>40</v>
      </c>
      <c r="D47" s="13" t="s">
        <v>28</v>
      </c>
      <c r="E47" s="13" t="s">
        <v>162</v>
      </c>
      <c r="F47" s="13" t="s">
        <v>493</v>
      </c>
    </row>
    <row r="48" spans="3:8">
      <c r="C48" s="14" t="s">
        <v>40</v>
      </c>
      <c r="D48" s="13" t="s">
        <v>30</v>
      </c>
      <c r="E48" s="13" t="s">
        <v>162</v>
      </c>
      <c r="F48" s="13" t="s">
        <v>164</v>
      </c>
    </row>
    <row r="49" spans="3:6">
      <c r="C49" s="14" t="s">
        <v>40</v>
      </c>
      <c r="D49" s="13" t="s">
        <v>30</v>
      </c>
      <c r="E49" s="13" t="s">
        <v>50</v>
      </c>
      <c r="F49" s="13" t="s">
        <v>544</v>
      </c>
    </row>
    <row r="50" spans="3:6">
      <c r="C50" s="14" t="s">
        <v>44</v>
      </c>
      <c r="D50" s="13" t="s">
        <v>28</v>
      </c>
      <c r="E50" s="13" t="s">
        <v>50</v>
      </c>
      <c r="F50" s="13" t="s">
        <v>304</v>
      </c>
    </row>
    <row r="51" spans="3:6">
      <c r="C51" s="14" t="s">
        <v>44</v>
      </c>
      <c r="D51" s="13" t="s">
        <v>29</v>
      </c>
      <c r="E51" s="13" t="s">
        <v>162</v>
      </c>
      <c r="F51" s="13" t="s">
        <v>615</v>
      </c>
    </row>
    <row r="52" spans="3:6">
      <c r="C52" s="14" t="s">
        <v>44</v>
      </c>
      <c r="D52" s="13" t="s">
        <v>30</v>
      </c>
      <c r="E52" s="13" t="s">
        <v>50</v>
      </c>
      <c r="F52" s="13" t="s">
        <v>52</v>
      </c>
    </row>
    <row r="53" spans="3:6">
      <c r="C53" s="14" t="s">
        <v>45</v>
      </c>
      <c r="D53" s="13"/>
      <c r="E53" s="13"/>
      <c r="F53" s="13"/>
    </row>
    <row r="54" spans="3:6">
      <c r="C54" s="14" t="s">
        <v>45</v>
      </c>
      <c r="D54" s="13"/>
      <c r="E54" s="13"/>
      <c r="F54" s="13"/>
    </row>
    <row r="55" spans="3:6">
      <c r="C55" s="14" t="s">
        <v>46</v>
      </c>
      <c r="D55" s="13"/>
      <c r="E55" s="13"/>
      <c r="F55" s="13"/>
    </row>
    <row r="56" spans="3:6">
      <c r="C56" s="14" t="s">
        <v>46</v>
      </c>
      <c r="D56" s="13"/>
      <c r="E56" s="13"/>
      <c r="F56" s="13"/>
    </row>
    <row r="57" spans="3:6">
      <c r="C57" s="14"/>
      <c r="D57" s="13"/>
      <c r="E57" s="13"/>
      <c r="F57" s="13"/>
    </row>
    <row r="58" spans="3:6">
      <c r="C58" s="14"/>
      <c r="D58" s="13"/>
      <c r="E58" s="13"/>
      <c r="F58" s="13"/>
    </row>
    <row r="59" spans="3:6">
      <c r="C59" s="14"/>
      <c r="D59" s="13"/>
      <c r="E59" s="13"/>
      <c r="F59" s="13"/>
    </row>
    <row r="60" spans="3:6">
      <c r="C60" s="14"/>
      <c r="D60" s="13"/>
      <c r="E60" s="13"/>
      <c r="F60" s="13"/>
    </row>
    <row r="61" spans="3:6">
      <c r="C61" s="14"/>
      <c r="D61" s="13"/>
      <c r="E61" s="13"/>
      <c r="F61" s="13"/>
    </row>
    <row r="62" spans="3:6">
      <c r="C62" s="14"/>
      <c r="D62" s="13"/>
      <c r="E62" s="13"/>
      <c r="F62" s="13"/>
    </row>
    <row r="63" spans="3:6">
      <c r="C63" s="14"/>
      <c r="D63" s="13"/>
      <c r="E63" s="13"/>
      <c r="F63" s="13"/>
    </row>
    <row r="64" spans="3:6">
      <c r="C64" s="14"/>
      <c r="D64" s="13"/>
      <c r="E64" s="13"/>
      <c r="F64" s="13"/>
    </row>
    <row r="65" spans="2:6">
      <c r="C65" s="14"/>
      <c r="D65" s="13"/>
      <c r="E65" s="13"/>
      <c r="F65" s="13"/>
    </row>
    <row r="66" spans="2:6">
      <c r="C66" s="14"/>
      <c r="D66" s="13"/>
      <c r="E66" s="13"/>
      <c r="F66" s="13"/>
    </row>
    <row r="69" spans="2:6" ht="18.75">
      <c r="C69" s="5" t="s">
        <v>59</v>
      </c>
    </row>
    <row r="70" spans="2:6">
      <c r="B70" t="s">
        <v>60</v>
      </c>
      <c r="C70" s="1" t="s">
        <v>61</v>
      </c>
      <c r="D70" s="1" t="s">
        <v>62</v>
      </c>
      <c r="E70" s="1" t="s">
        <v>63</v>
      </c>
      <c r="F70" s="1" t="s">
        <v>64</v>
      </c>
    </row>
    <row r="71" spans="2:6" ht="30">
      <c r="B71" s="64">
        <v>1</v>
      </c>
      <c r="C71" s="65">
        <v>1</v>
      </c>
      <c r="D71" s="10" t="s">
        <v>616</v>
      </c>
      <c r="E71" s="10"/>
      <c r="F71" s="10"/>
    </row>
    <row r="72" spans="2:6" ht="30">
      <c r="B72" s="64">
        <v>1</v>
      </c>
      <c r="C72" s="65">
        <v>2</v>
      </c>
      <c r="D72" s="10" t="s">
        <v>617</v>
      </c>
      <c r="E72" s="10" t="s">
        <v>618</v>
      </c>
      <c r="F72" s="10" t="s">
        <v>619</v>
      </c>
    </row>
    <row r="73" spans="2:6">
      <c r="B73" s="64">
        <v>1</v>
      </c>
      <c r="C73" s="65">
        <v>3</v>
      </c>
      <c r="D73" s="10" t="s">
        <v>620</v>
      </c>
      <c r="E73" s="10" t="s">
        <v>621</v>
      </c>
      <c r="F73" s="10" t="s">
        <v>619</v>
      </c>
    </row>
    <row r="74" spans="2:6">
      <c r="B74" s="64">
        <v>1</v>
      </c>
      <c r="C74" s="65">
        <v>4</v>
      </c>
      <c r="D74" s="10" t="s">
        <v>622</v>
      </c>
      <c r="E74" s="10" t="s">
        <v>623</v>
      </c>
      <c r="F74" s="10" t="s">
        <v>619</v>
      </c>
    </row>
    <row r="75" spans="2:6">
      <c r="B75" s="64">
        <v>1</v>
      </c>
      <c r="C75" s="65">
        <v>5</v>
      </c>
      <c r="D75" s="10" t="s">
        <v>624</v>
      </c>
      <c r="E75" s="10" t="s">
        <v>625</v>
      </c>
      <c r="F75" s="10" t="s">
        <v>626</v>
      </c>
    </row>
    <row r="76" spans="2:6">
      <c r="B76" s="64">
        <v>1</v>
      </c>
      <c r="C76" s="65">
        <v>6</v>
      </c>
      <c r="D76" s="10" t="s">
        <v>627</v>
      </c>
      <c r="E76" s="10" t="s">
        <v>628</v>
      </c>
      <c r="F76" s="10" t="s">
        <v>626</v>
      </c>
    </row>
    <row r="77" spans="2:6">
      <c r="B77" s="64">
        <v>1</v>
      </c>
      <c r="C77" s="65">
        <v>7</v>
      </c>
      <c r="D77" s="10"/>
      <c r="E77" s="10"/>
      <c r="F77" s="10"/>
    </row>
    <row r="78" spans="2:6">
      <c r="B78" s="64">
        <v>1</v>
      </c>
      <c r="C78" s="65">
        <v>8</v>
      </c>
      <c r="D78" s="10" t="s">
        <v>629</v>
      </c>
      <c r="E78" s="10" t="s">
        <v>630</v>
      </c>
      <c r="F78" s="10" t="s">
        <v>626</v>
      </c>
    </row>
    <row r="79" spans="2:6">
      <c r="B79" s="64">
        <v>1</v>
      </c>
      <c r="C79" s="65">
        <v>9</v>
      </c>
      <c r="D79" s="10" t="s">
        <v>631</v>
      </c>
      <c r="E79" s="10" t="s">
        <v>632</v>
      </c>
      <c r="F79" s="10" t="s">
        <v>626</v>
      </c>
    </row>
    <row r="80" spans="2:6">
      <c r="B80" s="64">
        <v>1</v>
      </c>
      <c r="C80" s="65">
        <v>10</v>
      </c>
      <c r="D80" s="10" t="s">
        <v>633</v>
      </c>
      <c r="E80" s="10" t="s">
        <v>634</v>
      </c>
      <c r="F80" s="10" t="s">
        <v>635</v>
      </c>
    </row>
    <row r="81" spans="2:6" ht="30">
      <c r="B81" s="64">
        <v>1</v>
      </c>
      <c r="C81" s="65">
        <v>11</v>
      </c>
      <c r="D81" s="10" t="s">
        <v>636</v>
      </c>
      <c r="E81" s="10" t="s">
        <v>637</v>
      </c>
      <c r="F81" s="10" t="s">
        <v>635</v>
      </c>
    </row>
    <row r="82" spans="2:6">
      <c r="B82" s="64">
        <v>1</v>
      </c>
      <c r="C82" s="65">
        <v>12</v>
      </c>
      <c r="D82" s="10" t="s">
        <v>638</v>
      </c>
      <c r="E82" s="10" t="s">
        <v>639</v>
      </c>
      <c r="F82" s="10" t="s">
        <v>640</v>
      </c>
    </row>
    <row r="83" spans="2:6">
      <c r="B83" s="64">
        <v>2</v>
      </c>
      <c r="C83" s="65">
        <v>1</v>
      </c>
      <c r="D83" s="10"/>
      <c r="E83" s="10"/>
      <c r="F83" s="10"/>
    </row>
    <row r="84" spans="2:6">
      <c r="B84" s="64">
        <v>2</v>
      </c>
      <c r="C84" s="65">
        <v>2</v>
      </c>
      <c r="D84" s="10"/>
      <c r="E84" s="10"/>
      <c r="F84" s="10"/>
    </row>
    <row r="85" spans="2:6">
      <c r="B85" s="64">
        <v>2</v>
      </c>
      <c r="C85" s="65">
        <v>3</v>
      </c>
      <c r="D85" s="10"/>
      <c r="E85" s="10"/>
      <c r="F85" s="10"/>
    </row>
    <row r="86" spans="2:6">
      <c r="B86" s="64">
        <v>2</v>
      </c>
      <c r="C86" s="65">
        <v>4</v>
      </c>
      <c r="D86" s="10"/>
      <c r="E86" s="10"/>
      <c r="F86" s="10"/>
    </row>
    <row r="87" spans="2:6">
      <c r="B87" s="64">
        <v>2</v>
      </c>
      <c r="C87" s="65">
        <v>5</v>
      </c>
      <c r="D87" s="10"/>
      <c r="E87" s="10"/>
      <c r="F87" s="10"/>
    </row>
    <row r="88" spans="2:6">
      <c r="B88" s="64">
        <v>2</v>
      </c>
      <c r="C88" s="65">
        <v>6</v>
      </c>
      <c r="D88" s="10"/>
      <c r="E88" s="10"/>
      <c r="F88" s="10"/>
    </row>
    <row r="89" spans="2:6">
      <c r="B89" s="64">
        <v>2</v>
      </c>
      <c r="C89" s="65">
        <v>7</v>
      </c>
      <c r="D89" s="10"/>
      <c r="E89" s="10"/>
      <c r="F89" s="10"/>
    </row>
    <row r="90" spans="2:6">
      <c r="B90" s="64">
        <v>2</v>
      </c>
      <c r="C90" s="65">
        <v>8</v>
      </c>
      <c r="D90" s="10"/>
      <c r="E90" s="10"/>
      <c r="F90" s="10"/>
    </row>
    <row r="91" spans="2:6">
      <c r="B91" s="64">
        <v>2</v>
      </c>
      <c r="C91" s="65">
        <v>9</v>
      </c>
      <c r="D91" s="10"/>
      <c r="E91" s="10"/>
      <c r="F91" s="10"/>
    </row>
    <row r="92" spans="2:6">
      <c r="B92" s="64">
        <v>2</v>
      </c>
      <c r="C92" s="65">
        <v>10</v>
      </c>
      <c r="D92" s="10"/>
      <c r="E92" s="10"/>
      <c r="F92" s="10"/>
    </row>
    <row r="93" spans="2:6">
      <c r="B93" s="64">
        <v>2</v>
      </c>
      <c r="C93" s="65">
        <v>11</v>
      </c>
      <c r="D93" s="10"/>
      <c r="E93" s="10"/>
      <c r="F93" s="10"/>
    </row>
    <row r="94" spans="2:6">
      <c r="B94" s="64">
        <v>2</v>
      </c>
      <c r="C94" s="65">
        <v>12</v>
      </c>
      <c r="D94" s="10"/>
      <c r="E94" s="10"/>
      <c r="F94" s="10"/>
    </row>
  </sheetData>
  <sheetProtection sheet="1" objects="1" scenarios="1" formatCells="0" formatColumns="0" formatRows="0" insertHyperlinks="0"/>
  <dataValidations count="4">
    <dataValidation type="whole" showInputMessage="1" showErrorMessage="1" error="This is not a realistic number of contact hours please reduce" sqref="D20:D23" xr:uid="{3486FC8B-8A92-4E2B-B905-1BA3EF0508BE}">
      <formula1>0</formula1>
      <formula2>80</formula2>
    </dataValidation>
    <dataValidation type="whole" showInputMessage="1" showErrorMessage="1" error="This is not a realistic number of contact hours please change" sqref="D19" xr:uid="{BA94A3D8-CF5C-4BF1-9B00-15AD136B2A41}">
      <formula1>0</formula1>
      <formula2>80</formula2>
    </dataValidation>
    <dataValidation type="list" allowBlank="1" showInputMessage="1" showErrorMessage="1" sqref="F46:F66" xr:uid="{3C579B9B-EFA1-4369-AAE0-F4DE0D5D3082}">
      <formula1>INDIRECT(VLOOKUP($E46, SkillNameMap, 2, FALSE))</formula1>
    </dataValidation>
    <dataValidation type="list" allowBlank="1" showInputMessage="1" showErrorMessage="1" sqref="E41 E39" xr:uid="{F70CFF68-430D-4C69-8888-63611FF54652}">
      <formula1>INDIRECT("LISTAssess[Assessment Specific]")</formula1>
    </dataValidation>
  </dataValidations>
  <pageMargins left="0.7" right="0.7" top="0.75" bottom="0.75" header="0.3" footer="0.3"/>
  <pageSetup paperSize="9" orientation="portrait" horizontalDpi="4294967293" verticalDpi="0" r:id="rId1"/>
  <legacyDrawing r:id="rId2"/>
  <tableParts count="10">
    <tablePart r:id="rId3"/>
    <tablePart r:id="rId4"/>
    <tablePart r:id="rId5"/>
    <tablePart r:id="rId6"/>
    <tablePart r:id="rId7"/>
    <tablePart r:id="rId8"/>
    <tablePart r:id="rId9"/>
    <tablePart r:id="rId10"/>
    <tablePart r:id="rId11"/>
    <tablePart r:id="rId12"/>
  </tableParts>
  <extLst>
    <ext xmlns:x14="http://schemas.microsoft.com/office/spreadsheetml/2009/9/main" uri="{CCE6A557-97BC-4b89-ADB6-D9C93CAAB3DF}">
      <x14:dataValidations xmlns:xm="http://schemas.microsoft.com/office/excel/2006/main" count="7">
        <x14:dataValidation type="list" allowBlank="1" showInputMessage="1" showErrorMessage="1" xr:uid="{AA28AD4F-9AC0-4331-AD9A-D2D6A4C1AF0C}">
          <x14:formula1>
            <xm:f>LISTS!$C$26:$C$37</xm:f>
          </x14:formula1>
          <xm:sqref>D14</xm:sqref>
        </x14:dataValidation>
        <x14:dataValidation type="list" allowBlank="1" showInputMessage="1" showErrorMessage="1" xr:uid="{214D7BA0-B7B9-443D-8174-C52E0B5FDCEF}">
          <x14:formula1>
            <xm:f>LISTS!$C$17:$C$22</xm:f>
          </x14:formula1>
          <xm:sqref>D13</xm:sqref>
        </x14:dataValidation>
        <x14:dataValidation type="list" allowBlank="1" showInputMessage="1" showErrorMessage="1" xr:uid="{AB8D69B5-AB75-4417-8B79-E014DDC7098A}">
          <x14:formula1>
            <xm:f>LISTS!$C$7:$C$9</xm:f>
          </x14:formula1>
          <xm:sqref>D10</xm:sqref>
        </x14:dataValidation>
        <x14:dataValidation type="list" allowBlank="1" showInputMessage="1" showErrorMessage="1" xr:uid="{F1CC1A27-0155-4269-A192-ADEC80B557D1}">
          <x14:formula1>
            <xm:f>LISTS!$C$11:$C$15</xm:f>
          </x14:formula1>
          <xm:sqref>D11</xm:sqref>
        </x14:dataValidation>
        <x14:dataValidation type="list" allowBlank="1" showInputMessage="1" showErrorMessage="1" xr:uid="{90529BE8-F495-439A-A20F-7AECE27D394E}">
          <x14:formula1>
            <xm:f>LISTS!$G$7:$G$11</xm:f>
          </x14:formula1>
          <xm:sqref>D38:D42</xm:sqref>
        </x14:dataValidation>
        <x14:dataValidation type="list" allowBlank="1" showInputMessage="1" showErrorMessage="1" xr:uid="{523B183E-E1B3-4729-8DDB-BC7550523583}">
          <x14:formula1>
            <xm:f>LISTS!$E$7:$E$11</xm:f>
          </x14:formula1>
          <xm:sqref>D46:D66</xm:sqref>
        </x14:dataValidation>
        <x14:dataValidation type="list" allowBlank="1" showInputMessage="1" showErrorMessage="1" xr:uid="{D8A55508-8652-4F73-9662-266E699057AC}">
          <x14:formula1>
            <xm:f>LISTS!$J$7:$J$16</xm:f>
          </x14:formula1>
          <xm:sqref>E46:E66</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FA408C-EE1F-4BE4-988C-DF001F53BEA1}">
  <sheetPr codeName="Sheet16"/>
  <dimension ref="B2:H94"/>
  <sheetViews>
    <sheetView showGridLines="0" topLeftCell="B1" zoomScale="85" zoomScaleNormal="85" workbookViewId="0">
      <selection activeCell="E65" sqref="E65"/>
    </sheetView>
  </sheetViews>
  <sheetFormatPr defaultColWidth="8.85546875" defaultRowHeight="1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c r="C2" s="9" t="str">
        <f>D7</f>
        <v>6104SPS</v>
      </c>
      <c r="D2" s="9" t="str">
        <f>D8</f>
        <v>Cardiovascular Physiology</v>
      </c>
    </row>
    <row r="3" spans="2:6">
      <c r="B3" s="1"/>
      <c r="C3" s="1"/>
    </row>
    <row r="4" spans="2:6">
      <c r="B4" s="2"/>
      <c r="C4" s="2"/>
    </row>
    <row r="5" spans="2:6" ht="18.75">
      <c r="B5" s="2"/>
      <c r="C5" s="5" t="s">
        <v>0</v>
      </c>
    </row>
    <row r="6" spans="2:6">
      <c r="B6" s="2"/>
      <c r="C6" s="3" t="s">
        <v>1</v>
      </c>
      <c r="D6" s="4" t="s">
        <v>2</v>
      </c>
      <c r="E6" s="4"/>
      <c r="F6" t="s">
        <v>3</v>
      </c>
    </row>
    <row r="7" spans="2:6">
      <c r="B7" s="2"/>
      <c r="C7" s="63" t="s">
        <v>4</v>
      </c>
      <c r="D7" s="10" t="s">
        <v>641</v>
      </c>
      <c r="E7" s="4"/>
      <c r="F7" s="13" t="s">
        <v>642</v>
      </c>
    </row>
    <row r="8" spans="2:6">
      <c r="B8" s="2"/>
      <c r="C8" s="63" t="s">
        <v>6</v>
      </c>
      <c r="D8" s="10" t="s">
        <v>643</v>
      </c>
      <c r="E8" s="4"/>
      <c r="F8" s="13"/>
    </row>
    <row r="9" spans="2:6">
      <c r="C9" s="63" t="s">
        <v>7</v>
      </c>
      <c r="D9" s="10">
        <v>20</v>
      </c>
      <c r="E9" s="4"/>
    </row>
    <row r="10" spans="2:6">
      <c r="C10" s="63" t="s">
        <v>8</v>
      </c>
      <c r="D10" s="10">
        <v>1</v>
      </c>
      <c r="E10" s="4"/>
      <c r="F10" t="s">
        <v>9</v>
      </c>
    </row>
    <row r="11" spans="2:6">
      <c r="C11" s="63" t="s">
        <v>10</v>
      </c>
      <c r="D11" s="10">
        <v>6</v>
      </c>
      <c r="E11" s="4"/>
      <c r="F11" s="13" t="s">
        <v>644</v>
      </c>
    </row>
    <row r="12" spans="2:6">
      <c r="C12" s="63" t="s">
        <v>11</v>
      </c>
      <c r="D12" s="10" t="s">
        <v>645</v>
      </c>
      <c r="E12" s="4"/>
      <c r="F12" s="13" t="s">
        <v>646</v>
      </c>
    </row>
    <row r="13" spans="2:6">
      <c r="C13" s="63" t="s">
        <v>12</v>
      </c>
      <c r="D13" s="10" t="s">
        <v>532</v>
      </c>
      <c r="E13" s="4"/>
      <c r="F13" s="13" t="s">
        <v>647</v>
      </c>
    </row>
    <row r="14" spans="2:6">
      <c r="C14" s="63" t="s">
        <v>13</v>
      </c>
      <c r="D14" s="10" t="s">
        <v>86</v>
      </c>
      <c r="E14" s="4"/>
    </row>
    <row r="15" spans="2:6">
      <c r="C15" s="3"/>
      <c r="D15" s="4"/>
      <c r="E15" s="4"/>
      <c r="F15" t="s">
        <v>14</v>
      </c>
    </row>
    <row r="16" spans="2:6">
      <c r="C16" s="3"/>
      <c r="D16" s="4"/>
      <c r="E16" s="4"/>
      <c r="F16" s="13" t="s">
        <v>648</v>
      </c>
    </row>
    <row r="17" spans="3:6" ht="18.75">
      <c r="C17" s="5" t="s">
        <v>15</v>
      </c>
      <c r="D17" s="4"/>
      <c r="E17" s="4"/>
      <c r="F17" s="13" t="s">
        <v>649</v>
      </c>
    </row>
    <row r="18" spans="3:6">
      <c r="C18" s="3" t="s">
        <v>16</v>
      </c>
      <c r="D18" s="1" t="s">
        <v>15</v>
      </c>
      <c r="E18" s="4"/>
      <c r="F18" s="13"/>
    </row>
    <row r="19" spans="3:6">
      <c r="C19" s="63" t="s">
        <v>17</v>
      </c>
      <c r="D19" s="11">
        <v>20</v>
      </c>
      <c r="E19" s="4"/>
      <c r="F19" s="13"/>
    </row>
    <row r="20" spans="3:6">
      <c r="C20" s="63" t="s">
        <v>18</v>
      </c>
      <c r="D20" s="11">
        <v>4</v>
      </c>
      <c r="E20" s="4"/>
      <c r="F20" s="13"/>
    </row>
    <row r="21" spans="3:6">
      <c r="C21" s="63" t="s">
        <v>19</v>
      </c>
      <c r="D21" s="11">
        <v>16</v>
      </c>
      <c r="E21" s="4"/>
    </row>
    <row r="22" spans="3:6">
      <c r="C22" s="63" t="s">
        <v>20</v>
      </c>
      <c r="D22" s="11"/>
      <c r="E22" s="4"/>
      <c r="F22" t="s">
        <v>21</v>
      </c>
    </row>
    <row r="23" spans="3:6">
      <c r="C23" s="63" t="s">
        <v>22</v>
      </c>
      <c r="D23" s="11"/>
      <c r="E23" s="4"/>
      <c r="F23" s="13"/>
    </row>
    <row r="24" spans="3:6">
      <c r="C24" s="63" t="s">
        <v>23</v>
      </c>
      <c r="D24" s="1">
        <f>SUM(D19:D23)</f>
        <v>40</v>
      </c>
      <c r="E24" s="4"/>
      <c r="F24" s="13"/>
    </row>
    <row r="25" spans="3:6">
      <c r="F25" s="13"/>
    </row>
    <row r="26" spans="3:6">
      <c r="F26" s="13"/>
    </row>
    <row r="27" spans="3:6" ht="18.75">
      <c r="C27" s="5" t="s">
        <v>24</v>
      </c>
      <c r="D27" s="8" t="s">
        <v>25</v>
      </c>
      <c r="F27" s="13"/>
    </row>
    <row r="28" spans="3:6">
      <c r="C28" s="3" t="s">
        <v>26</v>
      </c>
      <c r="D28" s="3" t="s">
        <v>27</v>
      </c>
      <c r="E28" s="3"/>
      <c r="F28" s="13"/>
    </row>
    <row r="29" spans="3:6" ht="45">
      <c r="C29" s="63" t="s">
        <v>28</v>
      </c>
      <c r="D29" s="10" t="s">
        <v>650</v>
      </c>
      <c r="E29" s="4"/>
      <c r="F29" s="13"/>
    </row>
    <row r="30" spans="3:6" ht="30">
      <c r="C30" s="63" t="s">
        <v>29</v>
      </c>
      <c r="D30" s="10" t="s">
        <v>651</v>
      </c>
      <c r="E30" s="4"/>
      <c r="F30" s="13"/>
    </row>
    <row r="31" spans="3:6" ht="45">
      <c r="C31" s="63" t="s">
        <v>30</v>
      </c>
      <c r="D31" s="10" t="s">
        <v>652</v>
      </c>
      <c r="E31" s="4"/>
      <c r="F31" s="13"/>
    </row>
    <row r="32" spans="3:6">
      <c r="C32" s="63" t="s">
        <v>31</v>
      </c>
      <c r="D32" s="10"/>
      <c r="E32" s="4"/>
      <c r="F32" s="13"/>
    </row>
    <row r="33" spans="3:8">
      <c r="C33" s="63" t="s">
        <v>32</v>
      </c>
      <c r="D33" s="10"/>
      <c r="E33" s="4"/>
      <c r="F33" s="13"/>
    </row>
    <row r="36" spans="3:8" ht="18.75">
      <c r="C36" s="5" t="s">
        <v>33</v>
      </c>
    </row>
    <row r="37" spans="3:8">
      <c r="C37" s="3" t="s">
        <v>34</v>
      </c>
      <c r="D37" s="3" t="s">
        <v>35</v>
      </c>
      <c r="E37" s="3" t="s">
        <v>36</v>
      </c>
      <c r="F37" s="3" t="s">
        <v>37</v>
      </c>
      <c r="G37" s="3" t="s">
        <v>38</v>
      </c>
      <c r="H37" s="3" t="s">
        <v>39</v>
      </c>
    </row>
    <row r="38" spans="3:8">
      <c r="C38" s="63" t="s">
        <v>40</v>
      </c>
      <c r="D38" s="10" t="s">
        <v>41</v>
      </c>
      <c r="E38" s="10" t="s">
        <v>95</v>
      </c>
      <c r="F38" s="10" t="s">
        <v>653</v>
      </c>
      <c r="G38" s="12">
        <v>0.5</v>
      </c>
      <c r="H38" s="10">
        <v>8</v>
      </c>
    </row>
    <row r="39" spans="3:8">
      <c r="C39" s="63" t="s">
        <v>44</v>
      </c>
      <c r="D39" s="10" t="s">
        <v>157</v>
      </c>
      <c r="E39" s="10" t="s">
        <v>158</v>
      </c>
      <c r="F39" s="10" t="s">
        <v>654</v>
      </c>
      <c r="G39" s="12">
        <v>0.5</v>
      </c>
      <c r="H39" s="10">
        <v>18</v>
      </c>
    </row>
    <row r="40" spans="3:8">
      <c r="C40" s="63" t="s">
        <v>45</v>
      </c>
      <c r="D40" s="13"/>
      <c r="E40" s="13"/>
      <c r="F40" s="13"/>
      <c r="G40" s="13"/>
      <c r="H40" s="13"/>
    </row>
    <row r="41" spans="3:8">
      <c r="C41" s="63" t="s">
        <v>46</v>
      </c>
      <c r="D41" s="13"/>
      <c r="E41" s="13"/>
      <c r="F41" s="13"/>
      <c r="G41" s="13"/>
      <c r="H41" s="13"/>
    </row>
    <row r="42" spans="3:8">
      <c r="C42" s="3"/>
    </row>
    <row r="44" spans="3:8" ht="18.75">
      <c r="C44" s="5" t="s">
        <v>47</v>
      </c>
      <c r="D44" s="8"/>
    </row>
    <row r="45" spans="3:8">
      <c r="C45" s="1" t="s">
        <v>34</v>
      </c>
      <c r="D45" s="1" t="s">
        <v>26</v>
      </c>
      <c r="E45" s="1" t="s">
        <v>48</v>
      </c>
      <c r="F45" s="1" t="s">
        <v>49</v>
      </c>
    </row>
    <row r="46" spans="3:8" ht="15.75">
      <c r="C46" s="25" t="s">
        <v>40</v>
      </c>
      <c r="D46" s="25" t="s">
        <v>28</v>
      </c>
      <c r="E46" s="25" t="s">
        <v>57</v>
      </c>
      <c r="F46" s="25" t="s">
        <v>655</v>
      </c>
    </row>
    <row r="47" spans="3:8" ht="15.75">
      <c r="C47" s="25" t="s">
        <v>40</v>
      </c>
      <c r="D47" s="25" t="s">
        <v>28</v>
      </c>
      <c r="E47" s="25" t="s">
        <v>55</v>
      </c>
      <c r="F47" s="25" t="s">
        <v>56</v>
      </c>
    </row>
    <row r="48" spans="3:8" ht="15.75">
      <c r="C48" s="25" t="s">
        <v>40</v>
      </c>
      <c r="D48" s="25" t="s">
        <v>29</v>
      </c>
      <c r="E48" s="25" t="s">
        <v>50</v>
      </c>
      <c r="F48" s="25" t="s">
        <v>544</v>
      </c>
    </row>
    <row r="49" spans="3:6" ht="15.75">
      <c r="C49" s="25" t="s">
        <v>40</v>
      </c>
      <c r="D49" s="25" t="s">
        <v>29</v>
      </c>
      <c r="E49" s="25" t="s">
        <v>50</v>
      </c>
      <c r="F49" s="25" t="s">
        <v>239</v>
      </c>
    </row>
    <row r="50" spans="3:6" ht="15.75">
      <c r="C50" s="25" t="s">
        <v>40</v>
      </c>
      <c r="D50" s="25" t="s">
        <v>30</v>
      </c>
      <c r="E50" s="25" t="s">
        <v>50</v>
      </c>
      <c r="F50" s="25" t="s">
        <v>304</v>
      </c>
    </row>
    <row r="51" spans="3:6" ht="15.75">
      <c r="C51" s="25" t="s">
        <v>40</v>
      </c>
      <c r="D51" s="25" t="s">
        <v>30</v>
      </c>
      <c r="E51" s="25" t="s">
        <v>50</v>
      </c>
      <c r="F51" s="25" t="s">
        <v>544</v>
      </c>
    </row>
    <row r="52" spans="3:6" ht="15.75">
      <c r="C52" s="25" t="s">
        <v>44</v>
      </c>
      <c r="D52" s="25" t="s">
        <v>28</v>
      </c>
      <c r="E52" s="25" t="s">
        <v>50</v>
      </c>
      <c r="F52" s="25" t="s">
        <v>491</v>
      </c>
    </row>
    <row r="53" spans="3:6" ht="15.75">
      <c r="C53" s="25" t="s">
        <v>44</v>
      </c>
      <c r="D53" s="25" t="s">
        <v>28</v>
      </c>
      <c r="E53" s="25" t="s">
        <v>50</v>
      </c>
      <c r="F53" s="25" t="s">
        <v>52</v>
      </c>
    </row>
    <row r="54" spans="3:6" ht="15.75">
      <c r="C54" s="25" t="s">
        <v>44</v>
      </c>
      <c r="D54" s="25" t="s">
        <v>29</v>
      </c>
      <c r="E54" s="25" t="s">
        <v>50</v>
      </c>
      <c r="F54" s="25" t="s">
        <v>239</v>
      </c>
    </row>
    <row r="55" spans="3:6" ht="15.75">
      <c r="C55" s="25" t="s">
        <v>44</v>
      </c>
      <c r="D55" s="25" t="s">
        <v>30</v>
      </c>
      <c r="E55" s="25" t="s">
        <v>50</v>
      </c>
      <c r="F55" s="25" t="s">
        <v>304</v>
      </c>
    </row>
    <row r="56" spans="3:6" ht="15.75">
      <c r="C56" s="25" t="s">
        <v>44</v>
      </c>
      <c r="D56" s="25" t="s">
        <v>30</v>
      </c>
      <c r="E56" s="25" t="s">
        <v>50</v>
      </c>
      <c r="F56" s="25" t="s">
        <v>544</v>
      </c>
    </row>
    <row r="57" spans="3:6" ht="15.75">
      <c r="C57" s="25" t="s">
        <v>40</v>
      </c>
      <c r="D57" s="25" t="s">
        <v>29</v>
      </c>
      <c r="E57" s="25" t="s">
        <v>162</v>
      </c>
      <c r="F57" s="25" t="s">
        <v>383</v>
      </c>
    </row>
    <row r="58" spans="3:6" ht="15.75">
      <c r="C58" s="25" t="s">
        <v>40</v>
      </c>
      <c r="D58" s="25" t="s">
        <v>29</v>
      </c>
      <c r="E58" s="25" t="s">
        <v>419</v>
      </c>
      <c r="F58" s="25" t="s">
        <v>656</v>
      </c>
    </row>
    <row r="59" spans="3:6" ht="15.75">
      <c r="C59" s="25" t="s">
        <v>40</v>
      </c>
      <c r="D59" s="25" t="s">
        <v>29</v>
      </c>
      <c r="E59" s="25" t="s">
        <v>419</v>
      </c>
      <c r="F59" s="25" t="s">
        <v>420</v>
      </c>
    </row>
    <row r="60" spans="3:6" ht="15.75">
      <c r="C60" s="25"/>
      <c r="D60" s="25"/>
      <c r="E60" s="25"/>
      <c r="F60" s="25"/>
    </row>
    <row r="61" spans="3:6" ht="15.75">
      <c r="C61" s="25"/>
      <c r="D61" s="25"/>
      <c r="E61" s="25"/>
      <c r="F61" s="25"/>
    </row>
    <row r="62" spans="3:6" ht="15.75">
      <c r="C62" s="25"/>
      <c r="D62" s="25"/>
      <c r="E62" s="25"/>
      <c r="F62" s="25"/>
    </row>
    <row r="63" spans="3:6" ht="15.75">
      <c r="C63" s="25"/>
      <c r="D63" s="25"/>
      <c r="E63" s="25"/>
      <c r="F63" s="25"/>
    </row>
    <row r="64" spans="3:6" ht="15.75">
      <c r="C64" s="25"/>
      <c r="D64" s="25"/>
      <c r="E64" s="25"/>
      <c r="F64" s="25"/>
    </row>
    <row r="65" spans="2:6" ht="15.75">
      <c r="C65" s="25"/>
      <c r="D65" s="25"/>
      <c r="E65" s="25"/>
      <c r="F65" s="25"/>
    </row>
    <row r="66" spans="2:6" ht="15.75">
      <c r="C66" s="25"/>
      <c r="D66" s="25"/>
      <c r="E66" s="25"/>
      <c r="F66" s="25"/>
    </row>
    <row r="69" spans="2:6" ht="18.75">
      <c r="C69" s="5" t="s">
        <v>59</v>
      </c>
    </row>
    <row r="70" spans="2:6">
      <c r="B70" t="s">
        <v>60</v>
      </c>
      <c r="C70" s="1" t="s">
        <v>61</v>
      </c>
      <c r="D70" s="1" t="s">
        <v>62</v>
      </c>
      <c r="E70" s="1" t="s">
        <v>63</v>
      </c>
      <c r="F70" s="1" t="s">
        <v>64</v>
      </c>
    </row>
    <row r="71" spans="2:6" ht="15.75">
      <c r="B71" s="64">
        <v>1</v>
      </c>
      <c r="C71" s="65">
        <v>1</v>
      </c>
      <c r="D71" s="25" t="s">
        <v>657</v>
      </c>
      <c r="E71" s="25" t="s">
        <v>658</v>
      </c>
      <c r="F71" s="10"/>
    </row>
    <row r="72" spans="2:6" ht="15.75">
      <c r="B72" s="64">
        <v>1</v>
      </c>
      <c r="C72" s="65">
        <v>2</v>
      </c>
      <c r="D72" s="25" t="s">
        <v>659</v>
      </c>
      <c r="E72" s="25" t="s">
        <v>658</v>
      </c>
      <c r="F72" s="10"/>
    </row>
    <row r="73" spans="2:6" ht="15.75">
      <c r="B73" s="64">
        <v>1</v>
      </c>
      <c r="C73" s="65">
        <v>3</v>
      </c>
      <c r="D73" s="25" t="s">
        <v>660</v>
      </c>
      <c r="E73" s="25" t="s">
        <v>661</v>
      </c>
      <c r="F73" s="10"/>
    </row>
    <row r="74" spans="2:6" ht="15.75">
      <c r="B74" s="64">
        <v>1</v>
      </c>
      <c r="C74" s="65">
        <v>4</v>
      </c>
      <c r="D74" s="25" t="s">
        <v>662</v>
      </c>
      <c r="E74" s="25" t="s">
        <v>663</v>
      </c>
      <c r="F74" s="10"/>
    </row>
    <row r="75" spans="2:6" ht="15.75">
      <c r="B75" s="64">
        <v>1</v>
      </c>
      <c r="C75" s="65">
        <v>5</v>
      </c>
      <c r="D75" s="25" t="s">
        <v>664</v>
      </c>
      <c r="E75" s="25" t="s">
        <v>665</v>
      </c>
      <c r="F75" s="10"/>
    </row>
    <row r="76" spans="2:6" ht="15.75">
      <c r="B76" s="64">
        <v>1</v>
      </c>
      <c r="C76" s="65">
        <v>6</v>
      </c>
      <c r="D76" s="25" t="s">
        <v>666</v>
      </c>
      <c r="E76" s="25" t="s">
        <v>667</v>
      </c>
      <c r="F76" s="10"/>
    </row>
    <row r="77" spans="2:6" ht="15.75">
      <c r="B77" s="64">
        <v>1</v>
      </c>
      <c r="C77" s="65">
        <v>7</v>
      </c>
      <c r="D77" s="25" t="s">
        <v>668</v>
      </c>
      <c r="E77" s="30"/>
      <c r="F77" s="10"/>
    </row>
    <row r="78" spans="2:6" ht="15.75">
      <c r="B78" s="64">
        <v>1</v>
      </c>
      <c r="C78" s="65">
        <v>8</v>
      </c>
      <c r="D78" s="25" t="s">
        <v>669</v>
      </c>
      <c r="E78" s="30"/>
      <c r="F78" s="10"/>
    </row>
    <row r="79" spans="2:6" ht="15.75">
      <c r="B79" s="64">
        <v>1</v>
      </c>
      <c r="C79" s="65">
        <v>9</v>
      </c>
      <c r="D79" s="25" t="s">
        <v>670</v>
      </c>
      <c r="E79" s="25" t="s">
        <v>671</v>
      </c>
      <c r="F79" s="10"/>
    </row>
    <row r="80" spans="2:6" ht="15.75">
      <c r="B80" s="64">
        <v>1</v>
      </c>
      <c r="C80" s="65">
        <v>10</v>
      </c>
      <c r="D80" s="25" t="s">
        <v>672</v>
      </c>
      <c r="E80" s="25" t="s">
        <v>673</v>
      </c>
      <c r="F80" s="10"/>
    </row>
    <row r="81" spans="2:6" ht="15.75">
      <c r="B81" s="64">
        <v>1</v>
      </c>
      <c r="C81" s="65">
        <v>11</v>
      </c>
      <c r="D81" s="25" t="s">
        <v>674</v>
      </c>
      <c r="E81" s="25" t="s">
        <v>675</v>
      </c>
      <c r="F81" s="10"/>
    </row>
    <row r="82" spans="2:6" ht="15.75">
      <c r="B82" s="64">
        <v>1</v>
      </c>
      <c r="C82" s="65">
        <v>12</v>
      </c>
      <c r="D82" s="25" t="s">
        <v>676</v>
      </c>
      <c r="E82" s="25" t="s">
        <v>677</v>
      </c>
      <c r="F82" s="10"/>
    </row>
    <row r="83" spans="2:6">
      <c r="B83" s="64">
        <v>2</v>
      </c>
      <c r="C83" s="65">
        <v>1</v>
      </c>
      <c r="D83" s="10"/>
      <c r="E83" s="10"/>
      <c r="F83" s="10"/>
    </row>
    <row r="84" spans="2:6">
      <c r="B84" s="64">
        <v>2</v>
      </c>
      <c r="C84" s="65">
        <v>2</v>
      </c>
      <c r="D84" s="10"/>
      <c r="E84" s="10"/>
      <c r="F84" s="10"/>
    </row>
    <row r="85" spans="2:6">
      <c r="B85" s="64">
        <v>2</v>
      </c>
      <c r="C85" s="65">
        <v>3</v>
      </c>
      <c r="D85" s="10"/>
      <c r="E85" s="10"/>
      <c r="F85" s="10"/>
    </row>
    <row r="86" spans="2:6">
      <c r="B86" s="64">
        <v>2</v>
      </c>
      <c r="C86" s="65">
        <v>4</v>
      </c>
      <c r="D86" s="10"/>
      <c r="E86" s="10"/>
      <c r="F86" s="10"/>
    </row>
    <row r="87" spans="2:6">
      <c r="B87" s="64">
        <v>2</v>
      </c>
      <c r="C87" s="65">
        <v>5</v>
      </c>
      <c r="D87" s="10"/>
      <c r="E87" s="10"/>
      <c r="F87" s="10"/>
    </row>
    <row r="88" spans="2:6">
      <c r="B88" s="64">
        <v>2</v>
      </c>
      <c r="C88" s="65">
        <v>6</v>
      </c>
      <c r="D88" s="10"/>
      <c r="E88" s="10"/>
      <c r="F88" s="10"/>
    </row>
    <row r="89" spans="2:6">
      <c r="B89" s="64">
        <v>2</v>
      </c>
      <c r="C89" s="65">
        <v>7</v>
      </c>
      <c r="D89" s="10"/>
      <c r="E89" s="10"/>
      <c r="F89" s="10"/>
    </row>
    <row r="90" spans="2:6">
      <c r="B90" s="64">
        <v>2</v>
      </c>
      <c r="C90" s="65">
        <v>8</v>
      </c>
      <c r="D90" s="10"/>
      <c r="E90" s="10"/>
      <c r="F90" s="10"/>
    </row>
    <row r="91" spans="2:6">
      <c r="B91" s="64">
        <v>2</v>
      </c>
      <c r="C91" s="65">
        <v>9</v>
      </c>
      <c r="D91" s="10"/>
      <c r="E91" s="10"/>
      <c r="F91" s="10"/>
    </row>
    <row r="92" spans="2:6">
      <c r="B92" s="64">
        <v>2</v>
      </c>
      <c r="C92" s="65">
        <v>10</v>
      </c>
      <c r="D92" s="10"/>
      <c r="E92" s="10"/>
      <c r="F92" s="10"/>
    </row>
    <row r="93" spans="2:6">
      <c r="B93" s="64">
        <v>2</v>
      </c>
      <c r="C93" s="65">
        <v>11</v>
      </c>
      <c r="D93" s="10"/>
      <c r="E93" s="10"/>
      <c r="F93" s="10"/>
    </row>
    <row r="94" spans="2:6">
      <c r="B94" s="64">
        <v>2</v>
      </c>
      <c r="C94" s="65">
        <v>12</v>
      </c>
      <c r="D94" s="10"/>
      <c r="E94" s="10"/>
      <c r="F94" s="10"/>
    </row>
  </sheetData>
  <sheetProtection sheet="1" objects="1" scenarios="1" formatCells="0" formatColumns="0" formatRows="0" insertHyperlinks="0"/>
  <dataValidations count="4">
    <dataValidation type="whole" showInputMessage="1" showErrorMessage="1" error="This is not a realistic number of contact hours please reduce" sqref="D20:D23" xr:uid="{228872C6-6A06-4732-B8A1-E6B94CB81102}">
      <formula1>0</formula1>
      <formula2>80</formula2>
    </dataValidation>
    <dataValidation type="whole" showInputMessage="1" showErrorMessage="1" error="This is not a realistic number of contact hours please change" sqref="D19" xr:uid="{F79CE569-989B-479F-8826-338510A79154}">
      <formula1>0</formula1>
      <formula2>80</formula2>
    </dataValidation>
    <dataValidation type="list" allowBlank="1" showInputMessage="1" showErrorMessage="1" sqref="E38:E41" xr:uid="{6E90B7E5-5035-4F89-B270-578FA2975164}">
      <formula1>INDIRECT("LISTAssess[Assessment Specific]")</formula1>
    </dataValidation>
    <dataValidation type="list" allowBlank="1" showInputMessage="1" showErrorMessage="1" sqref="F46:F66" xr:uid="{1FA19C05-E919-4562-B380-BC052F5A91A0}">
      <formula1>INDIRECT(VLOOKUP($E46,SkillNameMap,2,FALSE))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6">
        <x14:dataValidation type="list" allowBlank="1" showInputMessage="1" showErrorMessage="1" xr:uid="{261BA6EE-88F7-427A-BCD6-8C9348F9245C}">
          <x14:formula1>
            <xm:f>LISTS!$C$26:$C$37</xm:f>
          </x14:formula1>
          <xm:sqref>D14</xm:sqref>
        </x14:dataValidation>
        <x14:dataValidation type="list" allowBlank="1" showInputMessage="1" showErrorMessage="1" xr:uid="{BE38852D-057D-456A-8583-51979A3F9408}">
          <x14:formula1>
            <xm:f>LISTS!$C$17:$C$22</xm:f>
          </x14:formula1>
          <xm:sqref>D13</xm:sqref>
        </x14:dataValidation>
        <x14:dataValidation type="list" allowBlank="1" showInputMessage="1" showErrorMessage="1" xr:uid="{09331423-59E2-4171-9695-7BE4C02AFE53}">
          <x14:formula1>
            <xm:f>LISTS!$C$7:$C$9</xm:f>
          </x14:formula1>
          <xm:sqref>D10</xm:sqref>
        </x14:dataValidation>
        <x14:dataValidation type="list" allowBlank="1" showInputMessage="1" showErrorMessage="1" xr:uid="{2507034E-37B5-446A-AFCD-F99DE72488BA}">
          <x14:formula1>
            <xm:f>LISTS!$C$11:$C$15</xm:f>
          </x14:formula1>
          <xm:sqref>D11</xm:sqref>
        </x14:dataValidation>
        <x14:dataValidation type="list" allowBlank="1" showInputMessage="1" showErrorMessage="1" xr:uid="{A7BB251E-C289-4AFE-837E-75E3985C6AC4}">
          <x14:formula1>
            <xm:f>LISTS!$G$7:$G$11</xm:f>
          </x14:formula1>
          <xm:sqref>D38:D42</xm:sqref>
        </x14:dataValidation>
        <x14:dataValidation type="list" allowBlank="1" showInputMessage="1" showErrorMessage="1" xr:uid="{73C80C1B-BC69-4CE3-8E83-F99E93027D67}">
          <x14:formula1>
            <xm:f>LISTS!$J$7:$J$16</xm:f>
          </x14:formula1>
          <xm:sqref>E46:E66</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CED139-4EE0-4CD6-B60A-E51D5ED74DE8}">
  <sheetPr codeName="Sheet17"/>
  <dimension ref="B2:H104"/>
  <sheetViews>
    <sheetView showGridLines="0" topLeftCell="A94" zoomScale="80" zoomScaleNormal="80" workbookViewId="0">
      <selection activeCell="E27" sqref="E27"/>
    </sheetView>
  </sheetViews>
  <sheetFormatPr defaultColWidth="8.85546875" defaultRowHeight="1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c r="C2" s="9" t="str">
        <f>D7</f>
        <v>6105SPS</v>
      </c>
      <c r="D2" s="9" t="str">
        <f>D8</f>
        <v>Clinical Biomechanics</v>
      </c>
    </row>
    <row r="3" spans="2:6">
      <c r="B3" s="1"/>
      <c r="C3" s="1"/>
    </row>
    <row r="4" spans="2:6">
      <c r="B4" s="2"/>
      <c r="C4" s="2"/>
    </row>
    <row r="5" spans="2:6" ht="18.75">
      <c r="B5" s="2"/>
      <c r="C5" s="5" t="s">
        <v>0</v>
      </c>
    </row>
    <row r="6" spans="2:6">
      <c r="B6" s="2"/>
      <c r="C6" s="3" t="s">
        <v>1</v>
      </c>
      <c r="D6" s="4" t="s">
        <v>2</v>
      </c>
      <c r="E6" s="4"/>
      <c r="F6" t="s">
        <v>3</v>
      </c>
    </row>
    <row r="7" spans="2:6" ht="30">
      <c r="B7" s="2"/>
      <c r="C7" s="63" t="s">
        <v>4</v>
      </c>
      <c r="D7" s="10" t="s">
        <v>678</v>
      </c>
      <c r="E7" s="4"/>
      <c r="F7" s="20" t="s">
        <v>679</v>
      </c>
    </row>
    <row r="8" spans="2:6" ht="45">
      <c r="B8" s="2"/>
      <c r="C8" s="63" t="s">
        <v>6</v>
      </c>
      <c r="D8" s="10" t="s">
        <v>680</v>
      </c>
      <c r="E8" s="4"/>
      <c r="F8" s="20" t="s">
        <v>681</v>
      </c>
    </row>
    <row r="9" spans="2:6">
      <c r="C9" s="63" t="s">
        <v>7</v>
      </c>
      <c r="D9" s="10">
        <v>20</v>
      </c>
      <c r="E9" s="4"/>
      <c r="F9" s="97"/>
    </row>
    <row r="10" spans="2:6">
      <c r="C10" s="63" t="s">
        <v>8</v>
      </c>
      <c r="D10" s="10">
        <v>2</v>
      </c>
      <c r="E10" s="4"/>
      <c r="F10" s="97" t="s">
        <v>9</v>
      </c>
    </row>
    <row r="11" spans="2:6" ht="105">
      <c r="C11" s="63" t="s">
        <v>10</v>
      </c>
      <c r="D11" s="10">
        <v>6</v>
      </c>
      <c r="E11" s="4"/>
      <c r="F11" s="20" t="s">
        <v>682</v>
      </c>
    </row>
    <row r="12" spans="2:6">
      <c r="C12" s="63" t="s">
        <v>11</v>
      </c>
      <c r="D12" s="10" t="s">
        <v>683</v>
      </c>
      <c r="E12" s="4"/>
      <c r="F12" s="20"/>
    </row>
    <row r="13" spans="2:6">
      <c r="C13" s="63" t="s">
        <v>12</v>
      </c>
      <c r="D13" s="10" t="s">
        <v>532</v>
      </c>
      <c r="E13" s="4"/>
      <c r="F13" s="20"/>
    </row>
    <row r="14" spans="2:6">
      <c r="C14" s="63" t="s">
        <v>13</v>
      </c>
      <c r="D14" s="10" t="s">
        <v>86</v>
      </c>
      <c r="E14" s="4"/>
      <c r="F14" s="97"/>
    </row>
    <row r="15" spans="2:6">
      <c r="C15" s="3"/>
      <c r="D15" s="4"/>
      <c r="E15" s="4"/>
      <c r="F15" s="97" t="s">
        <v>14</v>
      </c>
    </row>
    <row r="16" spans="2:6" ht="75">
      <c r="C16" s="3"/>
      <c r="D16" s="4"/>
      <c r="E16" s="4"/>
      <c r="F16" s="20" t="s">
        <v>684</v>
      </c>
    </row>
    <row r="17" spans="3:6" ht="18.75">
      <c r="C17" s="5" t="s">
        <v>15</v>
      </c>
      <c r="D17" s="4"/>
      <c r="E17" s="4"/>
      <c r="F17" s="13"/>
    </row>
    <row r="18" spans="3:6">
      <c r="C18" s="3" t="s">
        <v>16</v>
      </c>
      <c r="D18" s="1" t="s">
        <v>15</v>
      </c>
      <c r="E18" s="4"/>
      <c r="F18" s="13"/>
    </row>
    <row r="19" spans="3:6">
      <c r="C19" s="63" t="s">
        <v>17</v>
      </c>
      <c r="D19" s="11">
        <v>18</v>
      </c>
      <c r="E19" s="4"/>
      <c r="F19" s="13"/>
    </row>
    <row r="20" spans="3:6">
      <c r="C20" s="63" t="s">
        <v>18</v>
      </c>
      <c r="D20" s="11">
        <v>4</v>
      </c>
      <c r="E20" s="4"/>
      <c r="F20" s="13"/>
    </row>
    <row r="21" spans="3:6">
      <c r="C21" s="63" t="s">
        <v>19</v>
      </c>
      <c r="D21" s="11">
        <v>8</v>
      </c>
      <c r="E21" s="4"/>
    </row>
    <row r="22" spans="3:6">
      <c r="C22" s="63" t="s">
        <v>20</v>
      </c>
      <c r="D22" s="11">
        <v>10</v>
      </c>
      <c r="E22" s="4"/>
      <c r="F22" t="s">
        <v>21</v>
      </c>
    </row>
    <row r="23" spans="3:6" ht="45">
      <c r="C23" s="63" t="s">
        <v>22</v>
      </c>
      <c r="D23" s="11">
        <v>0</v>
      </c>
      <c r="E23" s="4"/>
      <c r="F23" s="20" t="s">
        <v>685</v>
      </c>
    </row>
    <row r="24" spans="3:6" ht="45">
      <c r="C24" s="63" t="s">
        <v>23</v>
      </c>
      <c r="D24" s="1">
        <f>SUM(D19:D23)</f>
        <v>40</v>
      </c>
      <c r="E24" s="4"/>
      <c r="F24" s="20" t="s">
        <v>686</v>
      </c>
    </row>
    <row r="25" spans="3:6" ht="165">
      <c r="F25" s="20" t="s">
        <v>687</v>
      </c>
    </row>
    <row r="26" spans="3:6" ht="135">
      <c r="F26" s="20" t="s">
        <v>688</v>
      </c>
    </row>
    <row r="27" spans="3:6" ht="409.6">
      <c r="C27" s="86" t="s">
        <v>24</v>
      </c>
      <c r="D27" s="8" t="s">
        <v>25</v>
      </c>
      <c r="F27" s="20" t="s">
        <v>689</v>
      </c>
    </row>
    <row r="28" spans="3:6" ht="30">
      <c r="C28" s="3" t="s">
        <v>26</v>
      </c>
      <c r="D28" s="3" t="s">
        <v>27</v>
      </c>
      <c r="E28" s="3"/>
      <c r="F28" s="99" t="s">
        <v>690</v>
      </c>
    </row>
    <row r="29" spans="3:6" ht="30">
      <c r="C29" s="63" t="s">
        <v>28</v>
      </c>
      <c r="D29" s="10" t="s">
        <v>691</v>
      </c>
      <c r="E29" s="4"/>
      <c r="F29" s="99" t="s">
        <v>692</v>
      </c>
    </row>
    <row r="30" spans="3:6" ht="30">
      <c r="C30" s="63" t="s">
        <v>29</v>
      </c>
      <c r="D30" s="10" t="s">
        <v>693</v>
      </c>
      <c r="E30" s="4"/>
      <c r="F30" s="13"/>
    </row>
    <row r="31" spans="3:6">
      <c r="C31" s="63" t="s">
        <v>30</v>
      </c>
      <c r="D31" s="10"/>
      <c r="E31" s="4"/>
      <c r="F31" s="13"/>
    </row>
    <row r="32" spans="3:6">
      <c r="C32" s="63" t="s">
        <v>31</v>
      </c>
      <c r="D32" s="10"/>
      <c r="E32" s="4"/>
      <c r="F32" s="13"/>
    </row>
    <row r="33" spans="3:8">
      <c r="C33" s="63" t="s">
        <v>32</v>
      </c>
      <c r="D33" s="10"/>
      <c r="E33" s="4"/>
      <c r="F33" s="13"/>
    </row>
    <row r="36" spans="3:8" ht="18.75">
      <c r="C36" s="5" t="s">
        <v>33</v>
      </c>
    </row>
    <row r="37" spans="3:8">
      <c r="C37" s="3" t="s">
        <v>34</v>
      </c>
      <c r="D37" s="3" t="s">
        <v>35</v>
      </c>
      <c r="E37" s="3" t="s">
        <v>36</v>
      </c>
      <c r="F37" s="3" t="s">
        <v>37</v>
      </c>
      <c r="G37" s="3" t="s">
        <v>38</v>
      </c>
      <c r="H37" s="3" t="s">
        <v>39</v>
      </c>
    </row>
    <row r="38" spans="3:8">
      <c r="C38" s="63" t="s">
        <v>40</v>
      </c>
      <c r="D38" s="10" t="s">
        <v>355</v>
      </c>
      <c r="E38" s="10" t="s">
        <v>537</v>
      </c>
      <c r="F38" s="10" t="s">
        <v>694</v>
      </c>
      <c r="G38" s="12">
        <v>0.5</v>
      </c>
      <c r="H38" s="10">
        <v>7</v>
      </c>
    </row>
    <row r="39" spans="3:8" ht="30">
      <c r="C39" s="63" t="s">
        <v>44</v>
      </c>
      <c r="D39" s="10" t="s">
        <v>157</v>
      </c>
      <c r="E39" s="10" t="s">
        <v>356</v>
      </c>
      <c r="F39" s="10" t="s">
        <v>695</v>
      </c>
      <c r="G39" s="12">
        <v>0.5</v>
      </c>
      <c r="H39" s="10">
        <v>12</v>
      </c>
    </row>
    <row r="40" spans="3:8">
      <c r="C40" s="63" t="s">
        <v>45</v>
      </c>
      <c r="D40" s="13"/>
      <c r="E40" s="13"/>
      <c r="F40" s="13"/>
      <c r="G40" s="13"/>
      <c r="H40" s="13"/>
    </row>
    <row r="41" spans="3:8">
      <c r="C41" s="63" t="s">
        <v>46</v>
      </c>
      <c r="D41" s="13"/>
      <c r="E41" s="13"/>
      <c r="F41" s="13"/>
      <c r="G41" s="13"/>
      <c r="H41" s="13"/>
    </row>
    <row r="42" spans="3:8">
      <c r="C42" s="3"/>
    </row>
    <row r="44" spans="3:8" ht="18.75">
      <c r="C44" s="5" t="s">
        <v>47</v>
      </c>
      <c r="D44" s="8"/>
    </row>
    <row r="45" spans="3:8">
      <c r="C45" s="1" t="s">
        <v>34</v>
      </c>
      <c r="D45" s="1" t="s">
        <v>26</v>
      </c>
      <c r="E45" s="1" t="s">
        <v>48</v>
      </c>
      <c r="F45" s="1" t="s">
        <v>49</v>
      </c>
    </row>
    <row r="46" spans="3:8">
      <c r="C46" s="14" t="s">
        <v>40</v>
      </c>
      <c r="D46" s="13" t="s">
        <v>28</v>
      </c>
      <c r="E46" s="13" t="s">
        <v>50</v>
      </c>
      <c r="F46" s="13" t="s">
        <v>239</v>
      </c>
    </row>
    <row r="47" spans="3:8">
      <c r="C47" s="14" t="s">
        <v>40</v>
      </c>
      <c r="D47" s="13" t="s">
        <v>28</v>
      </c>
      <c r="E47" s="13" t="s">
        <v>57</v>
      </c>
      <c r="F47" s="13" t="s">
        <v>78</v>
      </c>
    </row>
    <row r="48" spans="3:8">
      <c r="C48" s="14" t="s">
        <v>40</v>
      </c>
      <c r="D48" s="13" t="s">
        <v>28</v>
      </c>
      <c r="E48" s="13" t="s">
        <v>53</v>
      </c>
      <c r="F48" s="13" t="s">
        <v>242</v>
      </c>
    </row>
    <row r="49" spans="3:6">
      <c r="C49" s="14" t="s">
        <v>40</v>
      </c>
      <c r="D49" s="13" t="s">
        <v>28</v>
      </c>
      <c r="E49" s="13" t="s">
        <v>162</v>
      </c>
      <c r="F49" s="13" t="s">
        <v>163</v>
      </c>
    </row>
    <row r="50" spans="3:6">
      <c r="C50" s="14" t="s">
        <v>40</v>
      </c>
      <c r="D50" s="13" t="s">
        <v>28</v>
      </c>
      <c r="E50" s="13" t="s">
        <v>55</v>
      </c>
      <c r="F50" s="13" t="s">
        <v>359</v>
      </c>
    </row>
    <row r="51" spans="3:6">
      <c r="C51" s="83" t="s">
        <v>696</v>
      </c>
      <c r="D51" s="84" t="s">
        <v>29</v>
      </c>
      <c r="E51" s="84"/>
      <c r="F51" s="84"/>
    </row>
    <row r="52" spans="3:6">
      <c r="C52" s="83" t="s">
        <v>44</v>
      </c>
      <c r="D52" s="84" t="s">
        <v>29</v>
      </c>
      <c r="E52" s="84"/>
      <c r="F52" s="84"/>
    </row>
    <row r="53" spans="3:6">
      <c r="C53" s="83" t="s">
        <v>44</v>
      </c>
      <c r="D53" s="84" t="s">
        <v>29</v>
      </c>
      <c r="E53" s="84"/>
      <c r="F53" s="84"/>
    </row>
    <row r="54" spans="3:6">
      <c r="C54" s="83" t="s">
        <v>44</v>
      </c>
      <c r="D54" s="84" t="s">
        <v>29</v>
      </c>
      <c r="E54" s="84"/>
      <c r="F54" s="84"/>
    </row>
    <row r="55" spans="3:6">
      <c r="C55" s="83" t="s">
        <v>44</v>
      </c>
      <c r="D55" s="84" t="s">
        <v>29</v>
      </c>
      <c r="E55" s="84"/>
      <c r="F55" s="84"/>
    </row>
    <row r="56" spans="3:6">
      <c r="C56" s="14"/>
      <c r="D56" s="13"/>
      <c r="E56" s="13"/>
      <c r="F56" s="13"/>
    </row>
    <row r="57" spans="3:6">
      <c r="C57" s="14"/>
      <c r="D57" s="13"/>
      <c r="E57" s="13"/>
      <c r="F57" s="13"/>
    </row>
    <row r="58" spans="3:6">
      <c r="C58" s="14"/>
      <c r="D58" s="13"/>
      <c r="E58" s="13"/>
      <c r="F58" s="13"/>
    </row>
    <row r="59" spans="3:6">
      <c r="C59" s="14"/>
      <c r="D59" s="13"/>
      <c r="E59" s="13"/>
      <c r="F59" s="13"/>
    </row>
    <row r="60" spans="3:6">
      <c r="C60" s="14"/>
      <c r="D60" s="13"/>
      <c r="E60" s="13"/>
      <c r="F60" s="13"/>
    </row>
    <row r="61" spans="3:6">
      <c r="C61" s="14"/>
      <c r="D61" s="13"/>
      <c r="E61" s="13"/>
      <c r="F61" s="13"/>
    </row>
    <row r="62" spans="3:6">
      <c r="C62" s="14"/>
      <c r="D62" s="13"/>
      <c r="E62" s="13"/>
      <c r="F62" s="13"/>
    </row>
    <row r="63" spans="3:6">
      <c r="C63" s="14"/>
      <c r="D63" s="13"/>
      <c r="E63" s="13"/>
      <c r="F63" s="13"/>
    </row>
    <row r="64" spans="3:6">
      <c r="C64" s="14"/>
      <c r="D64" s="13"/>
      <c r="E64" s="13"/>
      <c r="F64" s="13"/>
    </row>
    <row r="65" spans="2:6">
      <c r="C65" s="14"/>
      <c r="D65" s="13"/>
      <c r="E65" s="13"/>
      <c r="F65" s="13"/>
    </row>
    <row r="66" spans="2:6">
      <c r="C66" s="14"/>
      <c r="D66" s="13"/>
      <c r="E66" s="13"/>
      <c r="F66" s="13"/>
    </row>
    <row r="67" spans="2:6">
      <c r="C67" s="14"/>
      <c r="D67" s="13"/>
      <c r="E67" s="13"/>
      <c r="F67" s="13"/>
    </row>
    <row r="68" spans="2:6">
      <c r="C68" s="14"/>
      <c r="D68" s="13"/>
      <c r="E68" s="13"/>
      <c r="F68" s="13"/>
    </row>
    <row r="69" spans="2:6">
      <c r="C69" s="14"/>
      <c r="D69" s="13"/>
      <c r="E69" s="13"/>
      <c r="F69" s="13"/>
    </row>
    <row r="70" spans="2:6">
      <c r="C70" s="14"/>
      <c r="D70" s="13"/>
      <c r="E70" s="13"/>
      <c r="F70" s="13"/>
    </row>
    <row r="71" spans="2:6">
      <c r="C71" s="14"/>
      <c r="D71" s="13"/>
      <c r="E71" s="13"/>
      <c r="F71" s="13"/>
    </row>
    <row r="72" spans="2:6">
      <c r="C72" s="14"/>
      <c r="D72" s="13"/>
      <c r="E72" s="13"/>
      <c r="F72" s="13"/>
    </row>
    <row r="73" spans="2:6">
      <c r="C73" s="14"/>
      <c r="D73" s="13"/>
      <c r="E73" s="13"/>
      <c r="F73" s="13"/>
    </row>
    <row r="74" spans="2:6">
      <c r="C74" s="14"/>
      <c r="D74" s="13"/>
      <c r="E74" s="13"/>
      <c r="F74" s="13"/>
    </row>
    <row r="75" spans="2:6">
      <c r="C75" s="14"/>
      <c r="D75" s="13"/>
      <c r="E75" s="13"/>
      <c r="F75" s="13"/>
    </row>
    <row r="76" spans="2:6">
      <c r="C76" s="14"/>
      <c r="D76" s="13"/>
      <c r="E76" s="13"/>
      <c r="F76" s="13"/>
    </row>
    <row r="77" spans="2:6">
      <c r="C77" s="14"/>
      <c r="D77" s="13"/>
      <c r="E77" s="13"/>
      <c r="F77" s="13"/>
    </row>
    <row r="79" spans="2:6" ht="18.75">
      <c r="C79" s="5" t="s">
        <v>59</v>
      </c>
    </row>
    <row r="80" spans="2:6">
      <c r="B80" t="s">
        <v>60</v>
      </c>
      <c r="C80" s="1" t="s">
        <v>61</v>
      </c>
      <c r="D80" s="1" t="s">
        <v>62</v>
      </c>
      <c r="E80" s="1" t="s">
        <v>63</v>
      </c>
      <c r="F80" s="1" t="s">
        <v>64</v>
      </c>
    </row>
    <row r="81" spans="2:6">
      <c r="B81" s="64">
        <v>1</v>
      </c>
      <c r="C81" s="65">
        <v>1</v>
      </c>
      <c r="D81" s="10"/>
      <c r="E81" s="10"/>
      <c r="F81" s="10"/>
    </row>
    <row r="82" spans="2:6">
      <c r="B82" s="64">
        <v>1</v>
      </c>
      <c r="C82" s="65">
        <v>2</v>
      </c>
      <c r="D82" s="10"/>
      <c r="E82" s="10"/>
      <c r="F82" s="10"/>
    </row>
    <row r="83" spans="2:6">
      <c r="B83" s="64">
        <v>1</v>
      </c>
      <c r="C83" s="65">
        <v>3</v>
      </c>
      <c r="D83" s="10"/>
      <c r="E83" s="10"/>
      <c r="F83" s="10"/>
    </row>
    <row r="84" spans="2:6">
      <c r="B84" s="64">
        <v>1</v>
      </c>
      <c r="C84" s="65">
        <v>4</v>
      </c>
      <c r="D84" s="10"/>
      <c r="E84" s="10"/>
      <c r="F84" s="10"/>
    </row>
    <row r="85" spans="2:6">
      <c r="B85" s="64">
        <v>1</v>
      </c>
      <c r="C85" s="65">
        <v>5</v>
      </c>
      <c r="D85" s="10"/>
      <c r="E85" s="10"/>
      <c r="F85" s="10"/>
    </row>
    <row r="86" spans="2:6">
      <c r="B86" s="64">
        <v>1</v>
      </c>
      <c r="C86" s="65">
        <v>6</v>
      </c>
      <c r="D86" s="10"/>
      <c r="E86" s="10"/>
      <c r="F86" s="10"/>
    </row>
    <row r="87" spans="2:6">
      <c r="B87" s="64">
        <v>1</v>
      </c>
      <c r="C87" s="65">
        <v>7</v>
      </c>
      <c r="D87" s="10"/>
      <c r="E87" s="10"/>
      <c r="F87" s="10"/>
    </row>
    <row r="88" spans="2:6">
      <c r="B88" s="64">
        <v>1</v>
      </c>
      <c r="C88" s="65">
        <v>8</v>
      </c>
      <c r="D88" s="10"/>
      <c r="E88" s="10"/>
      <c r="F88" s="10"/>
    </row>
    <row r="89" spans="2:6">
      <c r="B89" s="64">
        <v>1</v>
      </c>
      <c r="C89" s="65">
        <v>9</v>
      </c>
      <c r="D89" s="10"/>
      <c r="E89" s="10"/>
      <c r="F89" s="10"/>
    </row>
    <row r="90" spans="2:6">
      <c r="B90" s="64">
        <v>1</v>
      </c>
      <c r="C90" s="65">
        <v>10</v>
      </c>
      <c r="D90" s="10"/>
      <c r="E90" s="10"/>
      <c r="F90" s="10"/>
    </row>
    <row r="91" spans="2:6">
      <c r="B91" s="64">
        <v>1</v>
      </c>
      <c r="C91" s="65">
        <v>11</v>
      </c>
      <c r="D91" s="10"/>
      <c r="E91" s="10"/>
      <c r="F91" s="10"/>
    </row>
    <row r="92" spans="2:6">
      <c r="B92" s="64">
        <v>1</v>
      </c>
      <c r="C92" s="65">
        <v>12</v>
      </c>
      <c r="D92" s="10"/>
      <c r="E92" s="10"/>
      <c r="F92" s="10"/>
    </row>
    <row r="93" spans="2:6" ht="30">
      <c r="B93" s="64">
        <v>2</v>
      </c>
      <c r="C93" s="65">
        <v>1</v>
      </c>
      <c r="D93" s="10" t="s">
        <v>697</v>
      </c>
      <c r="E93" s="10" t="s">
        <v>698</v>
      </c>
      <c r="F93" s="10"/>
    </row>
    <row r="94" spans="2:6" ht="30">
      <c r="B94" s="64">
        <v>2</v>
      </c>
      <c r="C94" s="65">
        <v>2</v>
      </c>
      <c r="D94" s="10" t="s">
        <v>699</v>
      </c>
      <c r="E94" s="10" t="s">
        <v>700</v>
      </c>
      <c r="F94" s="10"/>
    </row>
    <row r="95" spans="2:6" ht="45">
      <c r="B95" s="64">
        <v>2</v>
      </c>
      <c r="C95" s="65">
        <v>3</v>
      </c>
      <c r="D95" s="10" t="s">
        <v>701</v>
      </c>
      <c r="E95" s="10" t="s">
        <v>702</v>
      </c>
      <c r="F95" s="10"/>
    </row>
    <row r="96" spans="2:6">
      <c r="B96" s="64">
        <v>2</v>
      </c>
      <c r="C96" s="65">
        <v>4</v>
      </c>
      <c r="D96" s="10" t="s">
        <v>703</v>
      </c>
      <c r="E96" s="10" t="s">
        <v>704</v>
      </c>
      <c r="F96" s="10"/>
    </row>
    <row r="97" spans="2:6">
      <c r="B97" s="64">
        <v>2</v>
      </c>
      <c r="C97" s="65">
        <v>5</v>
      </c>
      <c r="D97" s="10" t="s">
        <v>705</v>
      </c>
      <c r="E97" s="10" t="s">
        <v>706</v>
      </c>
      <c r="F97" s="10"/>
    </row>
    <row r="98" spans="2:6" ht="30">
      <c r="B98" s="64">
        <v>2</v>
      </c>
      <c r="C98" s="65">
        <v>6</v>
      </c>
      <c r="D98" s="10" t="s">
        <v>707</v>
      </c>
      <c r="E98" s="10" t="s">
        <v>708</v>
      </c>
      <c r="F98" s="10"/>
    </row>
    <row r="99" spans="2:6" ht="27.75">
      <c r="B99" s="64">
        <v>2</v>
      </c>
      <c r="C99" s="65">
        <v>7</v>
      </c>
      <c r="D99" s="10" t="s">
        <v>709</v>
      </c>
      <c r="E99" s="10" t="s">
        <v>710</v>
      </c>
      <c r="F99" s="10"/>
    </row>
    <row r="100" spans="2:6">
      <c r="B100" s="64">
        <v>2</v>
      </c>
      <c r="C100" s="65">
        <v>8</v>
      </c>
      <c r="D100" s="10" t="s">
        <v>711</v>
      </c>
      <c r="E100" s="10" t="s">
        <v>712</v>
      </c>
      <c r="F100" s="10"/>
    </row>
    <row r="101" spans="2:6" ht="30">
      <c r="B101" s="64">
        <v>2</v>
      </c>
      <c r="C101" s="65">
        <v>9</v>
      </c>
      <c r="D101" s="10" t="s">
        <v>713</v>
      </c>
      <c r="E101" s="10" t="s">
        <v>714</v>
      </c>
      <c r="F101" s="10"/>
    </row>
    <row r="102" spans="2:6" ht="30">
      <c r="B102" s="64">
        <v>2</v>
      </c>
      <c r="C102" s="65">
        <v>10</v>
      </c>
      <c r="D102" s="10" t="s">
        <v>715</v>
      </c>
      <c r="E102" s="10" t="s">
        <v>716</v>
      </c>
      <c r="F102" s="10"/>
    </row>
    <row r="103" spans="2:6">
      <c r="B103" s="64">
        <v>2</v>
      </c>
      <c r="C103" s="65">
        <v>11</v>
      </c>
      <c r="D103" s="10" t="s">
        <v>717</v>
      </c>
      <c r="E103" s="10" t="s">
        <v>718</v>
      </c>
      <c r="F103" s="10"/>
    </row>
    <row r="104" spans="2:6">
      <c r="B104" s="64">
        <v>2</v>
      </c>
      <c r="C104" s="65">
        <v>12</v>
      </c>
      <c r="D104" s="10" t="s">
        <v>719</v>
      </c>
      <c r="E104" s="10"/>
      <c r="F104" s="10"/>
    </row>
  </sheetData>
  <sheetProtection sheet="1" objects="1" scenarios="1" formatCells="0" formatColumns="0" formatRows="0" insertHyperlinks="0"/>
  <phoneticPr fontId="2" type="noConversion"/>
  <dataValidations count="4">
    <dataValidation type="whole" showInputMessage="1" showErrorMessage="1" error="This is not a realistic number of contact hours please reduce" sqref="D20:D23" xr:uid="{4CD06D9F-B01B-4457-970D-A06930C54E93}">
      <formula1>0</formula1>
      <formula2>80</formula2>
    </dataValidation>
    <dataValidation type="whole" showInputMessage="1" showErrorMessage="1" error="This is not a realistic number of contact hours please change" sqref="D19" xr:uid="{63F672F2-9C2D-49E0-B21F-66A62EA27310}">
      <formula1>0</formula1>
      <formula2>80</formula2>
    </dataValidation>
    <dataValidation type="list" allowBlank="1" showInputMessage="1" showErrorMessage="1" sqref="E38:E41" xr:uid="{DFA2EEE3-AB9D-4F7C-8E30-3C3C00872C8A}">
      <formula1>INDIRECT("LISTAssess[Assessment Specific]")</formula1>
    </dataValidation>
    <dataValidation type="list" allowBlank="1" showInputMessage="1" showErrorMessage="1" sqref="F46:F77" xr:uid="{5ADC4BDE-C6F2-44AE-808B-B0FC9446A4CF}">
      <formula1>INDIRECT(VLOOKUP($E46,SkillNameMap,2,FALSE))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39735843-EE1A-45FF-B467-A90D5F8EC861}">
          <x14:formula1>
            <xm:f>LISTS!$C$26:$C$37</xm:f>
          </x14:formula1>
          <xm:sqref>D14</xm:sqref>
        </x14:dataValidation>
        <x14:dataValidation type="list" allowBlank="1" showInputMessage="1" showErrorMessage="1" xr:uid="{681495C4-F231-4E60-A408-2A29AE659913}">
          <x14:formula1>
            <xm:f>LISTS!$C$17:$C$22</xm:f>
          </x14:formula1>
          <xm:sqref>D13</xm:sqref>
        </x14:dataValidation>
        <x14:dataValidation type="list" allowBlank="1" showInputMessage="1" showErrorMessage="1" xr:uid="{F64EA1C2-314E-47D2-98EB-EB9128A71684}">
          <x14:formula1>
            <xm:f>LISTS!$C$7:$C$9</xm:f>
          </x14:formula1>
          <xm:sqref>D10</xm:sqref>
        </x14:dataValidation>
        <x14:dataValidation type="list" allowBlank="1" showInputMessage="1" showErrorMessage="1" xr:uid="{983858DF-F117-4ABC-BB76-AC82A216171D}">
          <x14:formula1>
            <xm:f>LISTS!$C$11:$C$15</xm:f>
          </x14:formula1>
          <xm:sqref>D11</xm:sqref>
        </x14:dataValidation>
        <x14:dataValidation type="list" allowBlank="1" showInputMessage="1" showErrorMessage="1" xr:uid="{20095D0C-07FE-4EE7-BFEC-317D253839B4}">
          <x14:formula1>
            <xm:f>LISTS!$G$7:$G$11</xm:f>
          </x14:formula1>
          <xm:sqref>D38:D42</xm:sqref>
        </x14:dataValidation>
        <x14:dataValidation type="list" allowBlank="1" showInputMessage="1" showErrorMessage="1" xr:uid="{1AB77DFB-5427-40D4-BAEB-24C786FA7A86}">
          <x14:formula1>
            <xm:f>LISTS!$E$7:$E$11</xm:f>
          </x14:formula1>
          <xm:sqref>D46:D66</xm:sqref>
        </x14:dataValidation>
        <x14:dataValidation type="list" allowBlank="1" showInputMessage="1" showErrorMessage="1" xr:uid="{EB948922-0A22-4BD6-8094-4C6953146F85}">
          <x14:formula1>
            <xm:f>LISTS!$J$7:$J$16</xm:f>
          </x14:formula1>
          <xm:sqref>E46:E77</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D17647-D39B-4FA1-BBF1-01060A665837}">
  <sheetPr codeName="Sheet18"/>
  <dimension ref="B2:H94"/>
  <sheetViews>
    <sheetView showGridLines="0" topLeftCell="B68" zoomScale="85" zoomScaleNormal="85" workbookViewId="0">
      <selection activeCell="F83" sqref="F83:F94"/>
    </sheetView>
  </sheetViews>
  <sheetFormatPr defaultColWidth="8.85546875" defaultRowHeight="15"/>
  <cols>
    <col min="3" max="3" width="33.28515625" customWidth="1"/>
    <col min="4" max="4" width="51.42578125" customWidth="1"/>
    <col min="5" max="5" width="42.42578125" customWidth="1"/>
    <col min="6" max="6" width="71" customWidth="1"/>
    <col min="7" max="7" width="12.42578125" customWidth="1"/>
    <col min="8" max="8" width="15.42578125" customWidth="1"/>
    <col min="9" max="9" width="14.7109375" customWidth="1"/>
  </cols>
  <sheetData>
    <row r="2" spans="2:6" ht="26.25">
      <c r="C2" s="9" t="str">
        <f>D7</f>
        <v>6106SPS</v>
      </c>
      <c r="D2" s="9" t="str">
        <f>D8</f>
        <v>Physical Activity in Healthcare</v>
      </c>
    </row>
    <row r="3" spans="2:6">
      <c r="B3" s="1"/>
      <c r="C3" s="1"/>
    </row>
    <row r="4" spans="2:6">
      <c r="B4" s="2"/>
      <c r="C4" s="2"/>
    </row>
    <row r="5" spans="2:6" ht="18.75">
      <c r="B5" s="2"/>
      <c r="C5" s="5" t="s">
        <v>0</v>
      </c>
    </row>
    <row r="6" spans="2:6">
      <c r="B6" s="2"/>
      <c r="C6" s="3" t="s">
        <v>1</v>
      </c>
      <c r="D6" s="4" t="s">
        <v>2</v>
      </c>
      <c r="E6" s="4"/>
      <c r="F6" t="s">
        <v>3</v>
      </c>
    </row>
    <row r="7" spans="2:6" ht="165">
      <c r="B7" s="2"/>
      <c r="C7" s="63" t="s">
        <v>4</v>
      </c>
      <c r="D7" s="10" t="s">
        <v>720</v>
      </c>
      <c r="E7" s="4"/>
      <c r="F7" s="20" t="s">
        <v>721</v>
      </c>
    </row>
    <row r="8" spans="2:6">
      <c r="B8" s="2"/>
      <c r="C8" s="63" t="s">
        <v>6</v>
      </c>
      <c r="D8" s="10" t="s">
        <v>722</v>
      </c>
      <c r="E8" s="4"/>
      <c r="F8" s="13"/>
    </row>
    <row r="9" spans="2:6">
      <c r="C9" s="63" t="s">
        <v>7</v>
      </c>
      <c r="D9" s="10">
        <v>20</v>
      </c>
      <c r="E9" s="4"/>
    </row>
    <row r="10" spans="2:6">
      <c r="C10" s="63" t="s">
        <v>8</v>
      </c>
      <c r="D10" s="10">
        <v>2</v>
      </c>
      <c r="E10" s="4"/>
      <c r="F10" t="s">
        <v>9</v>
      </c>
    </row>
    <row r="11" spans="2:6" ht="75">
      <c r="C11" s="63" t="s">
        <v>10</v>
      </c>
      <c r="D11" s="10">
        <v>6</v>
      </c>
      <c r="E11" s="4"/>
      <c r="F11" s="20" t="s">
        <v>723</v>
      </c>
    </row>
    <row r="12" spans="2:6" ht="60">
      <c r="C12" s="63" t="s">
        <v>11</v>
      </c>
      <c r="D12" s="10" t="s">
        <v>724</v>
      </c>
      <c r="E12" s="4"/>
      <c r="F12" s="20" t="s">
        <v>725</v>
      </c>
    </row>
    <row r="13" spans="2:6" ht="75">
      <c r="C13" s="63" t="s">
        <v>12</v>
      </c>
      <c r="D13" s="10" t="s">
        <v>532</v>
      </c>
      <c r="E13" s="4"/>
      <c r="F13" s="37" t="s">
        <v>726</v>
      </c>
    </row>
    <row r="14" spans="2:6">
      <c r="C14" s="63" t="s">
        <v>13</v>
      </c>
      <c r="D14" s="10" t="s">
        <v>86</v>
      </c>
      <c r="E14" s="4"/>
    </row>
    <row r="15" spans="2:6">
      <c r="C15" s="3"/>
      <c r="D15" s="4"/>
      <c r="E15" s="4"/>
      <c r="F15" t="s">
        <v>14</v>
      </c>
    </row>
    <row r="16" spans="2:6" ht="90">
      <c r="C16" s="3"/>
      <c r="D16" s="4"/>
      <c r="E16" s="4"/>
      <c r="F16" s="20" t="s">
        <v>727</v>
      </c>
    </row>
    <row r="17" spans="3:6" ht="90">
      <c r="C17" s="5" t="s">
        <v>15</v>
      </c>
      <c r="D17" s="4"/>
      <c r="E17" s="4"/>
      <c r="F17" s="20" t="s">
        <v>728</v>
      </c>
    </row>
    <row r="18" spans="3:6" ht="60">
      <c r="C18" s="3" t="s">
        <v>16</v>
      </c>
      <c r="D18" s="1" t="s">
        <v>15</v>
      </c>
      <c r="E18" s="4"/>
      <c r="F18" s="20" t="s">
        <v>729</v>
      </c>
    </row>
    <row r="19" spans="3:6">
      <c r="C19" s="63" t="s">
        <v>17</v>
      </c>
      <c r="D19" s="11">
        <v>22</v>
      </c>
      <c r="E19" s="4"/>
      <c r="F19" s="13"/>
    </row>
    <row r="20" spans="3:6">
      <c r="C20" s="63" t="s">
        <v>18</v>
      </c>
      <c r="D20" s="11">
        <v>16</v>
      </c>
      <c r="E20" s="4"/>
      <c r="F20" s="13"/>
    </row>
    <row r="21" spans="3:6">
      <c r="C21" s="63" t="s">
        <v>19</v>
      </c>
      <c r="D21" s="11"/>
      <c r="E21" s="4"/>
    </row>
    <row r="22" spans="3:6">
      <c r="C22" s="63" t="s">
        <v>20</v>
      </c>
      <c r="D22" s="11">
        <v>8</v>
      </c>
      <c r="E22" s="4"/>
      <c r="F22" t="s">
        <v>21</v>
      </c>
    </row>
    <row r="23" spans="3:6" ht="150">
      <c r="C23" s="63" t="s">
        <v>22</v>
      </c>
      <c r="D23" s="11"/>
      <c r="E23" s="4"/>
      <c r="F23" s="90" t="s">
        <v>730</v>
      </c>
    </row>
    <row r="24" spans="3:6" ht="45">
      <c r="C24" s="63" t="s">
        <v>23</v>
      </c>
      <c r="D24" s="1">
        <f>SUM(D19:D23)</f>
        <v>46</v>
      </c>
      <c r="E24" s="4"/>
      <c r="F24" s="89" t="s">
        <v>731</v>
      </c>
    </row>
    <row r="25" spans="3:6" ht="75">
      <c r="F25" s="91" t="s">
        <v>732</v>
      </c>
    </row>
    <row r="26" spans="3:6">
      <c r="F26" s="13"/>
    </row>
    <row r="27" spans="3:6" ht="18.75">
      <c r="C27" s="5" t="s">
        <v>24</v>
      </c>
      <c r="D27" s="8" t="s">
        <v>25</v>
      </c>
      <c r="F27" s="13"/>
    </row>
    <row r="28" spans="3:6">
      <c r="C28" s="3" t="s">
        <v>26</v>
      </c>
      <c r="D28" s="3" t="s">
        <v>27</v>
      </c>
      <c r="E28" s="3"/>
      <c r="F28" s="13"/>
    </row>
    <row r="29" spans="3:6" ht="75">
      <c r="C29" s="63" t="s">
        <v>28</v>
      </c>
      <c r="D29" s="20" t="s">
        <v>733</v>
      </c>
      <c r="E29" s="4"/>
      <c r="F29" s="13"/>
    </row>
    <row r="30" spans="3:6" ht="75">
      <c r="C30" s="63" t="s">
        <v>29</v>
      </c>
      <c r="D30" s="20" t="s">
        <v>734</v>
      </c>
      <c r="E30" s="4"/>
      <c r="F30" s="13"/>
    </row>
    <row r="31" spans="3:6" ht="60">
      <c r="C31" s="63" t="s">
        <v>30</v>
      </c>
      <c r="D31" s="20" t="s">
        <v>735</v>
      </c>
      <c r="E31" s="4"/>
      <c r="F31" s="13"/>
    </row>
    <row r="32" spans="3:6" ht="60">
      <c r="C32" s="63" t="s">
        <v>31</v>
      </c>
      <c r="D32" s="20" t="s">
        <v>736</v>
      </c>
      <c r="E32" s="4"/>
      <c r="F32" s="13"/>
    </row>
    <row r="33" spans="3:8" ht="60">
      <c r="C33" s="63" t="s">
        <v>32</v>
      </c>
      <c r="D33" s="20" t="s">
        <v>737</v>
      </c>
      <c r="E33" s="4"/>
      <c r="F33" s="13"/>
    </row>
    <row r="36" spans="3:8" ht="18.75">
      <c r="C36" s="5" t="s">
        <v>33</v>
      </c>
    </row>
    <row r="37" spans="3:8">
      <c r="C37" s="3" t="s">
        <v>34</v>
      </c>
      <c r="D37" s="3" t="s">
        <v>35</v>
      </c>
      <c r="E37" s="3" t="s">
        <v>36</v>
      </c>
      <c r="F37" s="3" t="s">
        <v>37</v>
      </c>
      <c r="G37" s="3" t="s">
        <v>38</v>
      </c>
      <c r="H37" s="3" t="s">
        <v>39</v>
      </c>
    </row>
    <row r="38" spans="3:8" ht="120">
      <c r="C38" s="63" t="s">
        <v>40</v>
      </c>
      <c r="D38" s="10" t="s">
        <v>355</v>
      </c>
      <c r="E38" s="10" t="s">
        <v>356</v>
      </c>
      <c r="F38" s="36" t="s">
        <v>738</v>
      </c>
      <c r="G38" s="12">
        <v>0.4</v>
      </c>
      <c r="H38" s="10" t="s">
        <v>739</v>
      </c>
    </row>
    <row r="39" spans="3:8" ht="165">
      <c r="C39" s="63" t="s">
        <v>44</v>
      </c>
      <c r="D39" s="10" t="s">
        <v>41</v>
      </c>
      <c r="E39" s="10" t="s">
        <v>95</v>
      </c>
      <c r="F39" s="10" t="s">
        <v>740</v>
      </c>
      <c r="G39" s="12">
        <v>0.6</v>
      </c>
      <c r="H39" s="10" t="s">
        <v>741</v>
      </c>
    </row>
    <row r="40" spans="3:8">
      <c r="C40" s="63" t="s">
        <v>45</v>
      </c>
      <c r="D40" s="13"/>
      <c r="E40" s="13"/>
      <c r="F40" s="13"/>
      <c r="G40" s="13"/>
      <c r="H40" s="13"/>
    </row>
    <row r="41" spans="3:8">
      <c r="C41" s="63" t="s">
        <v>46</v>
      </c>
      <c r="D41" s="13"/>
      <c r="E41" s="13"/>
      <c r="F41" s="13"/>
      <c r="G41" s="13"/>
      <c r="H41" s="13"/>
    </row>
    <row r="42" spans="3:8">
      <c r="C42" s="3"/>
    </row>
    <row r="44" spans="3:8" ht="18.75">
      <c r="C44" s="5" t="s">
        <v>47</v>
      </c>
      <c r="D44" s="8"/>
    </row>
    <row r="45" spans="3:8">
      <c r="C45" s="1" t="s">
        <v>34</v>
      </c>
      <c r="D45" s="1" t="s">
        <v>26</v>
      </c>
      <c r="E45" s="1" t="s">
        <v>48</v>
      </c>
      <c r="F45" s="1" t="s">
        <v>49</v>
      </c>
    </row>
    <row r="46" spans="3:8">
      <c r="C46" s="14" t="s">
        <v>40</v>
      </c>
      <c r="D46" s="13" t="s">
        <v>28</v>
      </c>
      <c r="E46" s="13" t="s">
        <v>50</v>
      </c>
      <c r="F46" s="13" t="s">
        <v>304</v>
      </c>
    </row>
    <row r="47" spans="3:8">
      <c r="C47" s="14" t="s">
        <v>40</v>
      </c>
      <c r="D47" s="13" t="s">
        <v>29</v>
      </c>
      <c r="E47" s="13" t="s">
        <v>162</v>
      </c>
      <c r="F47" s="13" t="s">
        <v>493</v>
      </c>
    </row>
    <row r="48" spans="3:8">
      <c r="C48" s="14" t="s">
        <v>40</v>
      </c>
      <c r="D48" s="13" t="s">
        <v>30</v>
      </c>
      <c r="E48" s="13" t="s">
        <v>53</v>
      </c>
      <c r="F48" s="13" t="s">
        <v>161</v>
      </c>
    </row>
    <row r="49" spans="3:6">
      <c r="C49" s="14" t="s">
        <v>40</v>
      </c>
      <c r="D49" s="13" t="s">
        <v>31</v>
      </c>
      <c r="E49" s="13" t="s">
        <v>102</v>
      </c>
      <c r="F49" s="13" t="s">
        <v>542</v>
      </c>
    </row>
    <row r="50" spans="3:6">
      <c r="C50" s="14" t="s">
        <v>40</v>
      </c>
      <c r="D50" s="13" t="s">
        <v>32</v>
      </c>
      <c r="E50" s="13" t="s">
        <v>55</v>
      </c>
      <c r="F50" s="13" t="s">
        <v>241</v>
      </c>
    </row>
    <row r="51" spans="3:6">
      <c r="C51" s="14" t="s">
        <v>44</v>
      </c>
      <c r="D51" s="13" t="s">
        <v>28</v>
      </c>
      <c r="E51" s="13" t="s">
        <v>310</v>
      </c>
      <c r="F51" s="13" t="s">
        <v>742</v>
      </c>
    </row>
    <row r="52" spans="3:6">
      <c r="C52" s="14" t="s">
        <v>44</v>
      </c>
      <c r="D52" s="13" t="s">
        <v>29</v>
      </c>
      <c r="E52" s="13" t="s">
        <v>162</v>
      </c>
      <c r="F52" s="13" t="s">
        <v>163</v>
      </c>
    </row>
    <row r="53" spans="3:6">
      <c r="C53" s="14" t="s">
        <v>44</v>
      </c>
      <c r="D53" s="13" t="s">
        <v>30</v>
      </c>
      <c r="E53" s="13" t="s">
        <v>50</v>
      </c>
      <c r="F53" s="13" t="s">
        <v>239</v>
      </c>
    </row>
    <row r="54" spans="3:6">
      <c r="C54" s="14" t="s">
        <v>44</v>
      </c>
      <c r="D54" s="13" t="s">
        <v>31</v>
      </c>
      <c r="E54" s="13" t="s">
        <v>310</v>
      </c>
      <c r="F54" s="13" t="s">
        <v>742</v>
      </c>
    </row>
    <row r="55" spans="3:6">
      <c r="C55" s="14" t="s">
        <v>44</v>
      </c>
      <c r="D55" s="13" t="s">
        <v>32</v>
      </c>
      <c r="E55" s="13" t="s">
        <v>55</v>
      </c>
      <c r="F55" s="13" t="s">
        <v>56</v>
      </c>
    </row>
    <row r="56" spans="3:6">
      <c r="C56" s="14"/>
      <c r="D56" s="13"/>
      <c r="E56" s="13"/>
      <c r="F56" s="13"/>
    </row>
    <row r="57" spans="3:6">
      <c r="C57" s="14"/>
      <c r="D57" s="13"/>
      <c r="E57" s="13"/>
      <c r="F57" s="13"/>
    </row>
    <row r="58" spans="3:6">
      <c r="C58" s="14"/>
      <c r="D58" s="13"/>
      <c r="E58" s="13"/>
      <c r="F58" s="13"/>
    </row>
    <row r="59" spans="3:6">
      <c r="C59" s="14"/>
      <c r="D59" s="13"/>
      <c r="E59" s="13"/>
      <c r="F59" s="13"/>
    </row>
    <row r="60" spans="3:6">
      <c r="C60" s="14"/>
      <c r="D60" s="13"/>
      <c r="E60" s="13"/>
      <c r="F60" s="13"/>
    </row>
    <row r="61" spans="3:6">
      <c r="C61" s="14"/>
      <c r="D61" s="13"/>
      <c r="E61" s="13"/>
      <c r="F61" s="13"/>
    </row>
    <row r="62" spans="3:6">
      <c r="C62" s="14"/>
      <c r="D62" s="13"/>
      <c r="E62" s="13"/>
      <c r="F62" s="13"/>
    </row>
    <row r="63" spans="3:6">
      <c r="C63" s="14"/>
      <c r="D63" s="13"/>
      <c r="E63" s="13"/>
      <c r="F63" s="13"/>
    </row>
    <row r="64" spans="3:6">
      <c r="C64" s="14"/>
      <c r="D64" s="13"/>
      <c r="E64" s="13"/>
      <c r="F64" s="13"/>
    </row>
    <row r="65" spans="2:6">
      <c r="C65" s="14"/>
      <c r="D65" s="13"/>
      <c r="E65" s="13"/>
      <c r="F65" s="13"/>
    </row>
    <row r="66" spans="2:6">
      <c r="C66" s="14"/>
      <c r="D66" s="13"/>
      <c r="E66" s="13"/>
      <c r="F66" s="13"/>
    </row>
    <row r="69" spans="2:6" ht="18.75">
      <c r="C69" s="5" t="s">
        <v>59</v>
      </c>
    </row>
    <row r="70" spans="2:6">
      <c r="B70" t="s">
        <v>60</v>
      </c>
      <c r="C70" s="1" t="s">
        <v>61</v>
      </c>
      <c r="D70" s="1" t="s">
        <v>62</v>
      </c>
      <c r="E70" s="1" t="s">
        <v>63</v>
      </c>
      <c r="F70" s="1" t="s">
        <v>64</v>
      </c>
    </row>
    <row r="71" spans="2:6">
      <c r="B71" s="64">
        <v>1</v>
      </c>
      <c r="C71" s="65">
        <v>1</v>
      </c>
      <c r="D71" s="10"/>
      <c r="E71" s="10"/>
      <c r="F71" s="10"/>
    </row>
    <row r="72" spans="2:6">
      <c r="B72" s="64">
        <v>1</v>
      </c>
      <c r="C72" s="65">
        <v>2</v>
      </c>
      <c r="D72" s="10"/>
      <c r="E72" s="10"/>
      <c r="F72" s="10"/>
    </row>
    <row r="73" spans="2:6">
      <c r="B73" s="64">
        <v>1</v>
      </c>
      <c r="C73" s="65">
        <v>3</v>
      </c>
      <c r="D73" s="10"/>
      <c r="E73" s="10"/>
      <c r="F73" s="10"/>
    </row>
    <row r="74" spans="2:6">
      <c r="B74" s="64">
        <v>1</v>
      </c>
      <c r="C74" s="65">
        <v>4</v>
      </c>
      <c r="D74" s="10"/>
      <c r="E74" s="10"/>
      <c r="F74" s="10"/>
    </row>
    <row r="75" spans="2:6">
      <c r="B75" s="64">
        <v>1</v>
      </c>
      <c r="C75" s="65">
        <v>5</v>
      </c>
      <c r="D75" s="10"/>
      <c r="E75" s="10"/>
      <c r="F75" s="10"/>
    </row>
    <row r="76" spans="2:6">
      <c r="B76" s="64">
        <v>1</v>
      </c>
      <c r="C76" s="65">
        <v>6</v>
      </c>
      <c r="D76" s="10"/>
      <c r="E76" s="10"/>
      <c r="F76" s="10"/>
    </row>
    <row r="77" spans="2:6">
      <c r="B77" s="64">
        <v>1</v>
      </c>
      <c r="C77" s="65">
        <v>7</v>
      </c>
      <c r="D77" s="10"/>
      <c r="E77" s="10"/>
      <c r="F77" s="10"/>
    </row>
    <row r="78" spans="2:6">
      <c r="B78" s="64">
        <v>1</v>
      </c>
      <c r="C78" s="65">
        <v>8</v>
      </c>
      <c r="D78" s="10"/>
      <c r="E78" s="10"/>
      <c r="F78" s="10"/>
    </row>
    <row r="79" spans="2:6">
      <c r="B79" s="64">
        <v>1</v>
      </c>
      <c r="C79" s="65">
        <v>9</v>
      </c>
      <c r="D79" s="10"/>
      <c r="E79" s="10"/>
      <c r="F79" s="10"/>
    </row>
    <row r="80" spans="2:6">
      <c r="B80" s="64">
        <v>1</v>
      </c>
      <c r="C80" s="65">
        <v>10</v>
      </c>
      <c r="D80" s="10"/>
      <c r="E80" s="10"/>
      <c r="F80" s="10"/>
    </row>
    <row r="81" spans="2:6">
      <c r="B81" s="64">
        <v>1</v>
      </c>
      <c r="C81" s="65">
        <v>11</v>
      </c>
      <c r="D81" s="10"/>
      <c r="E81" s="10"/>
      <c r="F81" s="10"/>
    </row>
    <row r="82" spans="2:6">
      <c r="B82" s="64">
        <v>1</v>
      </c>
      <c r="C82" s="65">
        <v>12</v>
      </c>
      <c r="D82" s="10"/>
      <c r="E82" s="10"/>
      <c r="F82" s="10"/>
    </row>
    <row r="83" spans="2:6">
      <c r="B83" s="64">
        <v>2</v>
      </c>
      <c r="C83" s="65">
        <v>1</v>
      </c>
      <c r="D83" s="10" t="s">
        <v>743</v>
      </c>
      <c r="E83" s="10" t="s">
        <v>18</v>
      </c>
      <c r="F83" s="10" t="s">
        <v>744</v>
      </c>
    </row>
    <row r="84" spans="2:6">
      <c r="B84" s="64">
        <v>2</v>
      </c>
      <c r="C84" s="65">
        <v>2</v>
      </c>
      <c r="D84" s="10" t="s">
        <v>745</v>
      </c>
      <c r="E84" s="10" t="s">
        <v>18</v>
      </c>
      <c r="F84" s="10" t="s">
        <v>744</v>
      </c>
    </row>
    <row r="85" spans="2:6">
      <c r="B85" s="64">
        <v>2</v>
      </c>
      <c r="C85" s="65">
        <v>3</v>
      </c>
      <c r="D85" s="10" t="s">
        <v>746</v>
      </c>
      <c r="E85" s="10" t="s">
        <v>18</v>
      </c>
      <c r="F85" s="10" t="s">
        <v>744</v>
      </c>
    </row>
    <row r="86" spans="2:6">
      <c r="B86" s="64">
        <v>2</v>
      </c>
      <c r="C86" s="65">
        <v>4</v>
      </c>
      <c r="D86" s="10" t="s">
        <v>747</v>
      </c>
      <c r="E86" s="10" t="s">
        <v>18</v>
      </c>
      <c r="F86" s="10" t="s">
        <v>744</v>
      </c>
    </row>
    <row r="87" spans="2:6" ht="45">
      <c r="B87" s="64">
        <v>2</v>
      </c>
      <c r="C87" s="65">
        <v>5</v>
      </c>
      <c r="D87" s="10" t="s">
        <v>748</v>
      </c>
      <c r="E87" s="10" t="s">
        <v>749</v>
      </c>
      <c r="F87" s="10" t="s">
        <v>744</v>
      </c>
    </row>
    <row r="88" spans="2:6">
      <c r="B88" s="64">
        <v>2</v>
      </c>
      <c r="C88" s="65">
        <v>6</v>
      </c>
      <c r="D88" s="10" t="s">
        <v>750</v>
      </c>
      <c r="E88" s="10" t="s">
        <v>20</v>
      </c>
      <c r="F88" s="10" t="s">
        <v>744</v>
      </c>
    </row>
    <row r="89" spans="2:6">
      <c r="B89" s="64">
        <v>2</v>
      </c>
      <c r="C89" s="65">
        <v>7</v>
      </c>
      <c r="D89" s="10" t="s">
        <v>709</v>
      </c>
      <c r="E89" s="10" t="s">
        <v>709</v>
      </c>
      <c r="F89" s="10" t="s">
        <v>744</v>
      </c>
    </row>
    <row r="90" spans="2:6">
      <c r="B90" s="64">
        <v>2</v>
      </c>
      <c r="C90" s="65">
        <v>8</v>
      </c>
      <c r="D90" s="10" t="s">
        <v>751</v>
      </c>
      <c r="E90" s="10" t="s">
        <v>20</v>
      </c>
      <c r="F90" s="10" t="s">
        <v>744</v>
      </c>
    </row>
    <row r="91" spans="2:6">
      <c r="B91" s="64">
        <v>2</v>
      </c>
      <c r="C91" s="65">
        <v>9</v>
      </c>
      <c r="D91" s="10" t="s">
        <v>752</v>
      </c>
      <c r="E91" s="10" t="s">
        <v>20</v>
      </c>
      <c r="F91" s="10" t="s">
        <v>744</v>
      </c>
    </row>
    <row r="92" spans="2:6">
      <c r="B92" s="64">
        <v>2</v>
      </c>
      <c r="C92" s="65">
        <v>10</v>
      </c>
      <c r="D92" s="10" t="s">
        <v>753</v>
      </c>
      <c r="E92" s="10" t="s">
        <v>20</v>
      </c>
      <c r="F92" s="10" t="s">
        <v>744</v>
      </c>
    </row>
    <row r="93" spans="2:6" ht="30">
      <c r="B93" s="64">
        <v>2</v>
      </c>
      <c r="C93" s="65">
        <v>11</v>
      </c>
      <c r="D93" s="10" t="s">
        <v>754</v>
      </c>
      <c r="E93" s="10" t="s">
        <v>18</v>
      </c>
      <c r="F93" s="10" t="s">
        <v>744</v>
      </c>
    </row>
    <row r="94" spans="2:6">
      <c r="B94" s="64">
        <v>2</v>
      </c>
      <c r="C94" s="65">
        <v>12</v>
      </c>
      <c r="D94" s="10" t="s">
        <v>755</v>
      </c>
      <c r="E94" s="10" t="s">
        <v>337</v>
      </c>
      <c r="F94" s="10" t="s">
        <v>744</v>
      </c>
    </row>
  </sheetData>
  <sheetProtection sheet="1" objects="1" scenarios="1" formatCells="0" formatColumns="0" formatRows="0" insertHyperlinks="0"/>
  <dataValidations count="4">
    <dataValidation type="list" allowBlank="1" showInputMessage="1" showErrorMessage="1" sqref="E38:E41" xr:uid="{3A3BB13C-33CA-4FDF-AFDA-21C067AA1C2C}">
      <formula1>INDIRECT("LISTAssess[Assessment Specific]")</formula1>
    </dataValidation>
    <dataValidation type="whole" showInputMessage="1" showErrorMessage="1" error="This is not a realistic number of contact hours please change" sqref="D19" xr:uid="{8DD9164E-4944-4422-B73A-1E982B14D5ED}">
      <formula1>0</formula1>
      <formula2>80</formula2>
    </dataValidation>
    <dataValidation type="whole" showInputMessage="1" showErrorMessage="1" error="This is not a realistic number of contact hours please reduce" sqref="D20:D23" xr:uid="{2D807B47-828D-40A3-BD25-D4E34139312B}">
      <formula1>0</formula1>
      <formula2>80</formula2>
    </dataValidation>
    <dataValidation type="list" allowBlank="1" showInputMessage="1" showErrorMessage="1" sqref="F46:F66" xr:uid="{F851468A-A232-4EA0-8AA1-1DB09135E9DF}">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6A760D08-1FE6-4536-BC55-50DF74383963}">
          <x14:formula1>
            <xm:f>LISTS!$G$7:$G$11</xm:f>
          </x14:formula1>
          <xm:sqref>D38:D42</xm:sqref>
        </x14:dataValidation>
        <x14:dataValidation type="list" allowBlank="1" showInputMessage="1" showErrorMessage="1" xr:uid="{BD4A7E24-7719-4870-9D23-485B003104FA}">
          <x14:formula1>
            <xm:f>LISTS!$C$11:$C$15</xm:f>
          </x14:formula1>
          <xm:sqref>D11</xm:sqref>
        </x14:dataValidation>
        <x14:dataValidation type="list" allowBlank="1" showInputMessage="1" showErrorMessage="1" xr:uid="{014F209D-3187-4BEE-A1EE-6FD201707525}">
          <x14:formula1>
            <xm:f>LISTS!$C$7:$C$9</xm:f>
          </x14:formula1>
          <xm:sqref>D10</xm:sqref>
        </x14:dataValidation>
        <x14:dataValidation type="list" allowBlank="1" showInputMessage="1" showErrorMessage="1" xr:uid="{F418B5C6-E390-4D2D-9358-C74647B207CD}">
          <x14:formula1>
            <xm:f>LISTS!$C$17:$C$22</xm:f>
          </x14:formula1>
          <xm:sqref>D13</xm:sqref>
        </x14:dataValidation>
        <x14:dataValidation type="list" allowBlank="1" showInputMessage="1" showErrorMessage="1" xr:uid="{67E56D7D-3EB0-4D72-B2B8-6E0FCDA6552E}">
          <x14:formula1>
            <xm:f>LISTS!$C$26:$C$37</xm:f>
          </x14:formula1>
          <xm:sqref>D14</xm:sqref>
        </x14:dataValidation>
        <x14:dataValidation type="list" allowBlank="1" showInputMessage="1" showErrorMessage="1" xr:uid="{40299E6B-7C5E-48BD-B2FC-80FA2D744B62}">
          <x14:formula1>
            <xm:f>LISTS!$J$7:$J$16</xm:f>
          </x14:formula1>
          <xm:sqref>E46:E66</xm:sqref>
        </x14:dataValidation>
        <x14:dataValidation type="list" allowBlank="1" showInputMessage="1" showErrorMessage="1" xr:uid="{D5185C3B-86B1-46E5-8604-328E877B51BB}">
          <x14:formula1>
            <xm:f>LISTS!$E$7:$E$11</xm:f>
          </x14:formula1>
          <xm:sqref>D46:D66</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4A70A0-B8B6-4B8B-82DB-2AB9DA826B6D}">
  <sheetPr codeName="Sheet25"/>
  <dimension ref="B2:H94"/>
  <sheetViews>
    <sheetView showGridLines="0" topLeftCell="A16" zoomScale="85" zoomScaleNormal="85" workbookViewId="0">
      <selection activeCell="F29" sqref="F29"/>
    </sheetView>
  </sheetViews>
  <sheetFormatPr defaultColWidth="8.85546875" defaultRowHeight="15"/>
  <cols>
    <col min="3" max="3" width="33.28515625" customWidth="1"/>
    <col min="4" max="4" width="51.42578125" customWidth="1"/>
    <col min="5" max="5" width="42.42578125" customWidth="1"/>
    <col min="6" max="6" width="71" customWidth="1"/>
    <col min="7" max="7" width="12.42578125" customWidth="1"/>
    <col min="8" max="8" width="15.42578125" customWidth="1"/>
    <col min="9" max="9" width="14.7109375" customWidth="1"/>
  </cols>
  <sheetData>
    <row r="2" spans="2:6" ht="26.25">
      <c r="C2" s="9" t="str">
        <f>D7</f>
        <v>6107SPS</v>
      </c>
      <c r="D2" s="9" t="str">
        <f>D8</f>
        <v>Environmental Physiology</v>
      </c>
    </row>
    <row r="3" spans="2:6">
      <c r="B3" s="1"/>
      <c r="C3" s="1"/>
    </row>
    <row r="4" spans="2:6">
      <c r="B4" s="2"/>
      <c r="C4" s="2"/>
    </row>
    <row r="5" spans="2:6" ht="18.75">
      <c r="B5" s="2"/>
      <c r="C5" s="5" t="s">
        <v>0</v>
      </c>
    </row>
    <row r="6" spans="2:6">
      <c r="B6" s="2"/>
      <c r="C6" s="3" t="s">
        <v>1</v>
      </c>
      <c r="D6" s="4" t="s">
        <v>2</v>
      </c>
      <c r="E6" s="4"/>
      <c r="F6" t="s">
        <v>3</v>
      </c>
    </row>
    <row r="7" spans="2:6">
      <c r="B7" s="2"/>
      <c r="C7" s="63" t="s">
        <v>4</v>
      </c>
      <c r="D7" s="10" t="s">
        <v>756</v>
      </c>
      <c r="E7" s="4"/>
      <c r="F7" s="20"/>
    </row>
    <row r="8" spans="2:6" ht="105">
      <c r="B8" s="2"/>
      <c r="C8" s="63" t="s">
        <v>6</v>
      </c>
      <c r="D8" s="10" t="s">
        <v>757</v>
      </c>
      <c r="E8" s="4"/>
      <c r="F8" s="20" t="s">
        <v>758</v>
      </c>
    </row>
    <row r="9" spans="2:6">
      <c r="C9" s="63" t="s">
        <v>7</v>
      </c>
      <c r="D9" s="10">
        <v>20</v>
      </c>
      <c r="E9" s="4"/>
    </row>
    <row r="10" spans="2:6">
      <c r="C10" s="63" t="s">
        <v>8</v>
      </c>
      <c r="D10" s="10">
        <v>2</v>
      </c>
      <c r="E10" s="4"/>
      <c r="F10" t="s">
        <v>9</v>
      </c>
    </row>
    <row r="11" spans="2:6" ht="135">
      <c r="C11" s="63" t="s">
        <v>10</v>
      </c>
      <c r="D11" s="10">
        <v>6</v>
      </c>
      <c r="E11" s="4"/>
      <c r="F11" s="20" t="s">
        <v>759</v>
      </c>
    </row>
    <row r="12" spans="2:6">
      <c r="C12" s="63" t="s">
        <v>11</v>
      </c>
      <c r="D12" s="10" t="s">
        <v>760</v>
      </c>
      <c r="E12" s="4"/>
      <c r="F12" s="20"/>
    </row>
    <row r="13" spans="2:6">
      <c r="C13" s="63" t="s">
        <v>12</v>
      </c>
      <c r="D13" s="10" t="s">
        <v>532</v>
      </c>
      <c r="E13" s="4"/>
      <c r="F13" s="20"/>
    </row>
    <row r="14" spans="2:6">
      <c r="C14" s="63" t="s">
        <v>13</v>
      </c>
      <c r="D14" s="10" t="s">
        <v>86</v>
      </c>
      <c r="E14" s="4"/>
    </row>
    <row r="15" spans="2:6">
      <c r="C15" s="3"/>
      <c r="D15" s="4"/>
      <c r="E15" s="4"/>
      <c r="F15" t="s">
        <v>14</v>
      </c>
    </row>
    <row r="16" spans="2:6" ht="300">
      <c r="C16" s="3"/>
      <c r="D16" s="4"/>
      <c r="E16" s="4"/>
      <c r="F16" s="20" t="s">
        <v>761</v>
      </c>
    </row>
    <row r="17" spans="3:6" ht="18.75">
      <c r="C17" s="5" t="s">
        <v>15</v>
      </c>
      <c r="D17" s="4"/>
      <c r="E17" s="4"/>
      <c r="F17" s="20"/>
    </row>
    <row r="18" spans="3:6">
      <c r="C18" s="3" t="s">
        <v>16</v>
      </c>
      <c r="D18" s="1" t="s">
        <v>15</v>
      </c>
      <c r="E18" s="4"/>
      <c r="F18" s="20"/>
    </row>
    <row r="19" spans="3:6">
      <c r="C19" s="63" t="s">
        <v>17</v>
      </c>
      <c r="D19" s="11">
        <v>31</v>
      </c>
      <c r="E19" s="4"/>
      <c r="F19" s="13"/>
    </row>
    <row r="20" spans="3:6">
      <c r="C20" s="63" t="s">
        <v>18</v>
      </c>
      <c r="D20" s="11">
        <v>5</v>
      </c>
      <c r="E20" s="4"/>
      <c r="F20" s="13"/>
    </row>
    <row r="21" spans="3:6">
      <c r="C21" s="63" t="s">
        <v>19</v>
      </c>
      <c r="D21" s="11">
        <v>4</v>
      </c>
      <c r="E21" s="4"/>
    </row>
    <row r="22" spans="3:6">
      <c r="C22" s="63" t="s">
        <v>20</v>
      </c>
      <c r="D22" s="11"/>
      <c r="E22" s="4"/>
      <c r="F22" t="s">
        <v>21</v>
      </c>
    </row>
    <row r="23" spans="3:6" ht="15.75">
      <c r="C23" s="63" t="s">
        <v>22</v>
      </c>
      <c r="D23" s="11"/>
      <c r="E23" s="4"/>
      <c r="F23" s="54" t="s">
        <v>762</v>
      </c>
    </row>
    <row r="24" spans="3:6" ht="15.75">
      <c r="C24" s="63" t="s">
        <v>23</v>
      </c>
      <c r="D24" s="1">
        <f>SUM(D19:D23)</f>
        <v>40</v>
      </c>
      <c r="E24" s="4"/>
      <c r="F24" s="55" t="s">
        <v>763</v>
      </c>
    </row>
    <row r="25" spans="3:6" ht="15.75">
      <c r="F25" s="55" t="s">
        <v>764</v>
      </c>
    </row>
    <row r="26" spans="3:6" ht="15.75">
      <c r="F26" s="55" t="s">
        <v>765</v>
      </c>
    </row>
    <row r="27" spans="3:6" ht="18.75">
      <c r="C27" s="5" t="s">
        <v>24</v>
      </c>
      <c r="D27" s="8" t="s">
        <v>25</v>
      </c>
      <c r="F27" s="55" t="s">
        <v>766</v>
      </c>
    </row>
    <row r="28" spans="3:6" ht="15.75">
      <c r="C28" s="3" t="s">
        <v>26</v>
      </c>
      <c r="D28" s="3" t="s">
        <v>27</v>
      </c>
      <c r="E28" s="3"/>
      <c r="F28" s="55" t="s">
        <v>767</v>
      </c>
    </row>
    <row r="29" spans="3:6" ht="31.5">
      <c r="C29" s="63" t="s">
        <v>28</v>
      </c>
      <c r="D29" s="51" t="s">
        <v>768</v>
      </c>
      <c r="E29" s="4"/>
      <c r="F29" s="55" t="s">
        <v>769</v>
      </c>
    </row>
    <row r="30" spans="3:6" ht="63">
      <c r="C30" s="63" t="s">
        <v>29</v>
      </c>
      <c r="D30" s="51" t="s">
        <v>770</v>
      </c>
      <c r="E30" s="4"/>
      <c r="F30" s="55" t="s">
        <v>771</v>
      </c>
    </row>
    <row r="31" spans="3:6" ht="15.75">
      <c r="C31" s="63" t="s">
        <v>30</v>
      </c>
      <c r="D31" s="20"/>
      <c r="E31" s="4"/>
      <c r="F31" s="55" t="s">
        <v>772</v>
      </c>
    </row>
    <row r="32" spans="3:6" ht="15.75">
      <c r="C32" s="63" t="s">
        <v>31</v>
      </c>
      <c r="D32" s="20"/>
      <c r="E32" s="4"/>
      <c r="F32" s="55" t="s">
        <v>773</v>
      </c>
    </row>
    <row r="33" spans="3:8" ht="15.75">
      <c r="C33" s="63" t="s">
        <v>32</v>
      </c>
      <c r="D33" s="20"/>
      <c r="E33" s="4"/>
      <c r="F33" s="55" t="s">
        <v>774</v>
      </c>
    </row>
    <row r="36" spans="3:8" ht="18.75">
      <c r="C36" s="5" t="s">
        <v>33</v>
      </c>
    </row>
    <row r="37" spans="3:8">
      <c r="C37" s="3" t="s">
        <v>34</v>
      </c>
      <c r="D37" s="3" t="s">
        <v>35</v>
      </c>
      <c r="E37" s="3" t="s">
        <v>36</v>
      </c>
      <c r="F37" s="3" t="s">
        <v>37</v>
      </c>
      <c r="G37" s="3" t="s">
        <v>38</v>
      </c>
      <c r="H37" s="3" t="s">
        <v>39</v>
      </c>
    </row>
    <row r="38" spans="3:8" ht="31.5">
      <c r="C38" s="63" t="s">
        <v>40</v>
      </c>
      <c r="D38" s="13" t="s">
        <v>41</v>
      </c>
      <c r="E38" s="53" t="s">
        <v>775</v>
      </c>
      <c r="F38" s="36" t="s">
        <v>776</v>
      </c>
      <c r="G38" s="12">
        <v>0.5</v>
      </c>
      <c r="H38" s="102" t="s">
        <v>777</v>
      </c>
    </row>
    <row r="39" spans="3:8">
      <c r="C39" s="63" t="s">
        <v>44</v>
      </c>
      <c r="D39" s="13" t="s">
        <v>157</v>
      </c>
      <c r="E39" s="52" t="s">
        <v>778</v>
      </c>
      <c r="F39" s="52" t="s">
        <v>779</v>
      </c>
      <c r="G39" s="12">
        <v>0.5</v>
      </c>
      <c r="H39" s="103" t="s">
        <v>780</v>
      </c>
    </row>
    <row r="40" spans="3:8">
      <c r="C40" s="63" t="s">
        <v>45</v>
      </c>
      <c r="D40" s="13"/>
      <c r="E40" s="13"/>
      <c r="F40" s="13"/>
      <c r="G40" s="13"/>
      <c r="H40" s="13"/>
    </row>
    <row r="41" spans="3:8">
      <c r="C41" s="63" t="s">
        <v>46</v>
      </c>
      <c r="D41" s="13"/>
      <c r="E41" s="13"/>
      <c r="F41" s="13"/>
      <c r="G41" s="13"/>
      <c r="H41" s="13"/>
    </row>
    <row r="42" spans="3:8">
      <c r="C42" s="3"/>
    </row>
    <row r="44" spans="3:8" ht="18.75">
      <c r="C44" s="5" t="s">
        <v>47</v>
      </c>
      <c r="D44" s="8"/>
    </row>
    <row r="45" spans="3:8">
      <c r="C45" s="1" t="s">
        <v>34</v>
      </c>
      <c r="D45" s="1" t="s">
        <v>26</v>
      </c>
      <c r="E45" s="1" t="s">
        <v>48</v>
      </c>
      <c r="F45" s="1" t="s">
        <v>49</v>
      </c>
    </row>
    <row r="46" spans="3:8">
      <c r="C46" s="14" t="s">
        <v>40</v>
      </c>
      <c r="D46" s="13"/>
      <c r="E46" s="13" t="s">
        <v>50</v>
      </c>
      <c r="F46" s="13" t="s">
        <v>52</v>
      </c>
    </row>
    <row r="47" spans="3:8">
      <c r="C47" s="14" t="s">
        <v>40</v>
      </c>
      <c r="D47" s="13"/>
      <c r="E47" s="13" t="s">
        <v>57</v>
      </c>
      <c r="F47" s="13" t="s">
        <v>543</v>
      </c>
    </row>
    <row r="48" spans="3:8">
      <c r="C48" s="14" t="s">
        <v>40</v>
      </c>
      <c r="D48" s="13"/>
      <c r="E48" s="13" t="s">
        <v>53</v>
      </c>
      <c r="F48" s="13" t="s">
        <v>161</v>
      </c>
    </row>
    <row r="49" spans="3:6">
      <c r="C49" s="14" t="s">
        <v>40</v>
      </c>
      <c r="D49" s="13"/>
      <c r="E49" s="13" t="s">
        <v>162</v>
      </c>
      <c r="F49" s="13" t="s">
        <v>615</v>
      </c>
    </row>
    <row r="50" spans="3:6">
      <c r="C50" s="14" t="s">
        <v>40</v>
      </c>
      <c r="D50" s="13"/>
      <c r="E50" s="13" t="s">
        <v>55</v>
      </c>
      <c r="F50" s="13" t="s">
        <v>359</v>
      </c>
    </row>
    <row r="51" spans="3:6">
      <c r="C51" s="14" t="s">
        <v>40</v>
      </c>
      <c r="D51" s="13"/>
      <c r="E51" s="13" t="s">
        <v>106</v>
      </c>
      <c r="F51" s="13" t="s">
        <v>107</v>
      </c>
    </row>
    <row r="52" spans="3:6">
      <c r="C52" s="14" t="s">
        <v>40</v>
      </c>
      <c r="D52" s="13"/>
      <c r="E52" s="13" t="s">
        <v>310</v>
      </c>
      <c r="F52" s="13" t="s">
        <v>742</v>
      </c>
    </row>
    <row r="53" spans="3:6">
      <c r="C53" s="14" t="s">
        <v>40</v>
      </c>
      <c r="D53" s="13"/>
      <c r="E53" s="13" t="s">
        <v>419</v>
      </c>
      <c r="F53" s="13" t="s">
        <v>420</v>
      </c>
    </row>
    <row r="54" spans="3:6">
      <c r="C54" s="14" t="s">
        <v>40</v>
      </c>
      <c r="D54" s="13"/>
      <c r="E54" s="13" t="s">
        <v>102</v>
      </c>
      <c r="F54" s="13" t="s">
        <v>103</v>
      </c>
    </row>
    <row r="55" spans="3:6">
      <c r="C55" s="14" t="s">
        <v>44</v>
      </c>
      <c r="D55" s="13"/>
      <c r="E55" s="13" t="s">
        <v>50</v>
      </c>
      <c r="F55" s="13" t="s">
        <v>239</v>
      </c>
    </row>
    <row r="56" spans="3:6">
      <c r="C56" s="14" t="s">
        <v>44</v>
      </c>
      <c r="D56" s="13"/>
      <c r="E56" s="13" t="s">
        <v>53</v>
      </c>
      <c r="F56" s="13" t="s">
        <v>161</v>
      </c>
    </row>
    <row r="57" spans="3:6">
      <c r="C57" s="14" t="s">
        <v>44</v>
      </c>
      <c r="D57" s="13"/>
      <c r="E57" s="13" t="s">
        <v>162</v>
      </c>
      <c r="F57" s="13" t="s">
        <v>781</v>
      </c>
    </row>
    <row r="58" spans="3:6">
      <c r="C58" s="14" t="s">
        <v>44</v>
      </c>
      <c r="D58" s="13"/>
      <c r="E58" s="13" t="s">
        <v>55</v>
      </c>
      <c r="F58" s="13" t="s">
        <v>241</v>
      </c>
    </row>
    <row r="59" spans="3:6">
      <c r="C59" s="14"/>
      <c r="D59" s="13"/>
      <c r="E59" s="13"/>
      <c r="F59" s="13"/>
    </row>
    <row r="60" spans="3:6">
      <c r="C60" s="14"/>
      <c r="D60" s="13"/>
      <c r="E60" s="13"/>
      <c r="F60" s="13"/>
    </row>
    <row r="61" spans="3:6">
      <c r="C61" s="14"/>
      <c r="D61" s="13"/>
      <c r="E61" s="13"/>
      <c r="F61" s="13"/>
    </row>
    <row r="62" spans="3:6">
      <c r="C62" s="14"/>
      <c r="D62" s="13"/>
      <c r="E62" s="13"/>
      <c r="F62" s="13"/>
    </row>
    <row r="63" spans="3:6">
      <c r="C63" s="14"/>
      <c r="D63" s="13"/>
      <c r="E63" s="13"/>
      <c r="F63" s="13"/>
    </row>
    <row r="64" spans="3:6">
      <c r="C64" s="14"/>
      <c r="D64" s="13"/>
      <c r="E64" s="13"/>
      <c r="F64" s="13"/>
    </row>
    <row r="65" spans="2:6">
      <c r="C65" s="14"/>
      <c r="D65" s="13"/>
      <c r="E65" s="13"/>
      <c r="F65" s="13"/>
    </row>
    <row r="66" spans="2:6">
      <c r="C66" s="14"/>
      <c r="D66" s="13"/>
      <c r="E66" s="13"/>
      <c r="F66" s="13"/>
    </row>
    <row r="69" spans="2:6" ht="18.75">
      <c r="C69" s="5" t="s">
        <v>59</v>
      </c>
    </row>
    <row r="70" spans="2:6">
      <c r="B70" t="s">
        <v>60</v>
      </c>
      <c r="C70" s="1" t="s">
        <v>61</v>
      </c>
      <c r="D70" s="1" t="s">
        <v>62</v>
      </c>
      <c r="E70" s="1" t="s">
        <v>63</v>
      </c>
      <c r="F70" s="1" t="s">
        <v>64</v>
      </c>
    </row>
    <row r="71" spans="2:6">
      <c r="B71" s="64">
        <v>1</v>
      </c>
      <c r="C71" s="65">
        <v>1</v>
      </c>
      <c r="D71" s="10"/>
      <c r="E71" s="10"/>
      <c r="F71" s="10"/>
    </row>
    <row r="72" spans="2:6">
      <c r="B72" s="64">
        <v>1</v>
      </c>
      <c r="C72" s="65">
        <v>2</v>
      </c>
      <c r="D72" s="10"/>
      <c r="E72" s="10"/>
      <c r="F72" s="10"/>
    </row>
    <row r="73" spans="2:6">
      <c r="B73" s="64">
        <v>1</v>
      </c>
      <c r="C73" s="65">
        <v>3</v>
      </c>
      <c r="D73" s="10"/>
      <c r="E73" s="10"/>
      <c r="F73" s="10"/>
    </row>
    <row r="74" spans="2:6">
      <c r="B74" s="64">
        <v>1</v>
      </c>
      <c r="C74" s="65">
        <v>4</v>
      </c>
      <c r="D74" s="10"/>
      <c r="E74" s="10"/>
      <c r="F74" s="10"/>
    </row>
    <row r="75" spans="2:6">
      <c r="B75" s="64">
        <v>1</v>
      </c>
      <c r="C75" s="65">
        <v>5</v>
      </c>
      <c r="D75" s="10"/>
      <c r="E75" s="10"/>
      <c r="F75" s="10"/>
    </row>
    <row r="76" spans="2:6">
      <c r="B76" s="64">
        <v>1</v>
      </c>
      <c r="C76" s="65">
        <v>6</v>
      </c>
      <c r="D76" s="10"/>
      <c r="E76" s="10"/>
      <c r="F76" s="10"/>
    </row>
    <row r="77" spans="2:6">
      <c r="B77" s="64">
        <v>1</v>
      </c>
      <c r="C77" s="65">
        <v>7</v>
      </c>
      <c r="D77" s="10"/>
      <c r="E77" s="10"/>
      <c r="F77" s="10"/>
    </row>
    <row r="78" spans="2:6">
      <c r="B78" s="64">
        <v>1</v>
      </c>
      <c r="C78" s="65">
        <v>8</v>
      </c>
      <c r="D78" s="10"/>
      <c r="E78" s="10"/>
      <c r="F78" s="10"/>
    </row>
    <row r="79" spans="2:6">
      <c r="B79" s="64">
        <v>1</v>
      </c>
      <c r="C79" s="65">
        <v>9</v>
      </c>
      <c r="D79" s="10"/>
      <c r="E79" s="10"/>
      <c r="F79" s="10"/>
    </row>
    <row r="80" spans="2:6">
      <c r="B80" s="64">
        <v>1</v>
      </c>
      <c r="C80" s="65">
        <v>10</v>
      </c>
      <c r="D80" s="10"/>
      <c r="E80" s="10"/>
      <c r="F80" s="10"/>
    </row>
    <row r="81" spans="2:6">
      <c r="B81" s="64">
        <v>1</v>
      </c>
      <c r="C81" s="65">
        <v>11</v>
      </c>
      <c r="D81" s="10"/>
      <c r="E81" s="10"/>
      <c r="F81" s="10"/>
    </row>
    <row r="82" spans="2:6">
      <c r="B82" s="64">
        <v>1</v>
      </c>
      <c r="C82" s="65">
        <v>12</v>
      </c>
      <c r="D82" s="10"/>
      <c r="E82" s="10"/>
      <c r="F82" s="10"/>
    </row>
    <row r="83" spans="2:6" ht="30">
      <c r="B83" s="64">
        <v>2</v>
      </c>
      <c r="C83" s="65">
        <v>19</v>
      </c>
      <c r="D83" s="10" t="s">
        <v>782</v>
      </c>
      <c r="E83" s="10" t="s">
        <v>783</v>
      </c>
      <c r="F83" s="10"/>
    </row>
    <row r="84" spans="2:6">
      <c r="B84" s="64">
        <v>2</v>
      </c>
      <c r="C84" s="65">
        <v>20</v>
      </c>
      <c r="D84" s="10" t="s">
        <v>784</v>
      </c>
      <c r="E84" s="10" t="s">
        <v>785</v>
      </c>
      <c r="F84" s="10"/>
    </row>
    <row r="85" spans="2:6">
      <c r="B85" s="64">
        <v>2</v>
      </c>
      <c r="C85" s="65">
        <v>21</v>
      </c>
      <c r="D85" s="10" t="s">
        <v>786</v>
      </c>
      <c r="E85" s="10" t="s">
        <v>785</v>
      </c>
      <c r="F85" s="10"/>
    </row>
    <row r="86" spans="2:6">
      <c r="B86" s="64">
        <v>2</v>
      </c>
      <c r="C86" s="65">
        <v>22</v>
      </c>
      <c r="D86" s="10" t="s">
        <v>787</v>
      </c>
      <c r="E86" s="10" t="s">
        <v>788</v>
      </c>
      <c r="F86" s="10"/>
    </row>
    <row r="87" spans="2:6">
      <c r="B87" s="64">
        <v>2</v>
      </c>
      <c r="C87" s="65">
        <v>23</v>
      </c>
      <c r="D87" s="10" t="s">
        <v>789</v>
      </c>
      <c r="E87" s="10" t="s">
        <v>790</v>
      </c>
      <c r="F87" s="10"/>
    </row>
    <row r="88" spans="2:6">
      <c r="B88" s="64">
        <v>2</v>
      </c>
      <c r="C88" s="65">
        <v>24</v>
      </c>
      <c r="D88" s="104" t="s">
        <v>791</v>
      </c>
      <c r="E88" s="10"/>
      <c r="F88" s="10"/>
    </row>
    <row r="89" spans="2:6">
      <c r="B89" s="64">
        <v>2</v>
      </c>
      <c r="C89" s="65">
        <v>25</v>
      </c>
      <c r="D89" s="10" t="s">
        <v>792</v>
      </c>
      <c r="E89" s="10" t="s">
        <v>790</v>
      </c>
      <c r="F89" s="10" t="s">
        <v>793</v>
      </c>
    </row>
    <row r="90" spans="2:6">
      <c r="B90" s="64">
        <v>2</v>
      </c>
      <c r="C90" s="65">
        <v>26</v>
      </c>
      <c r="D90" s="10" t="s">
        <v>794</v>
      </c>
      <c r="E90" s="10" t="s">
        <v>795</v>
      </c>
      <c r="F90" s="10"/>
    </row>
    <row r="91" spans="2:6">
      <c r="B91" s="64">
        <v>2</v>
      </c>
      <c r="C91" s="65">
        <v>29</v>
      </c>
      <c r="D91" s="10" t="s">
        <v>796</v>
      </c>
      <c r="E91" s="10" t="s">
        <v>797</v>
      </c>
      <c r="F91" s="10"/>
    </row>
    <row r="92" spans="2:6">
      <c r="B92" s="64">
        <v>2</v>
      </c>
      <c r="C92" s="65">
        <v>30</v>
      </c>
      <c r="D92" s="10" t="s">
        <v>798</v>
      </c>
      <c r="E92" s="10" t="s">
        <v>799</v>
      </c>
      <c r="F92" s="10"/>
    </row>
    <row r="93" spans="2:6" ht="30">
      <c r="B93" s="64">
        <v>2</v>
      </c>
      <c r="C93" s="65">
        <v>31</v>
      </c>
      <c r="D93" s="10" t="s">
        <v>800</v>
      </c>
      <c r="E93" s="10" t="s">
        <v>801</v>
      </c>
      <c r="F93" s="10"/>
    </row>
    <row r="94" spans="2:6">
      <c r="B94" s="64">
        <v>2</v>
      </c>
      <c r="C94" s="65">
        <v>32</v>
      </c>
      <c r="D94" s="10" t="s">
        <v>802</v>
      </c>
      <c r="E94" s="10" t="s">
        <v>797</v>
      </c>
      <c r="F94" s="10" t="s">
        <v>472</v>
      </c>
    </row>
  </sheetData>
  <sheetProtection sheet="1" objects="1" scenarios="1" formatCells="0" formatColumns="0" formatRows="0" insertHyperlinks="0"/>
  <dataValidations count="4">
    <dataValidation type="whole" showInputMessage="1" showErrorMessage="1" error="This is not a realistic number of contact hours please reduce" sqref="D20:D23" xr:uid="{8CBCDEC8-6F68-45B0-93C5-4B30DFD3059E}">
      <formula1>0</formula1>
      <formula2>80</formula2>
    </dataValidation>
    <dataValidation type="whole" showInputMessage="1" showErrorMessage="1" error="This is not a realistic number of contact hours please change" sqref="D19" xr:uid="{A3E3042D-C6D6-4659-9EB6-3A0A4CCE562C}">
      <formula1>0</formula1>
      <formula2>80</formula2>
    </dataValidation>
    <dataValidation type="list" allowBlank="1" showInputMessage="1" showErrorMessage="1" sqref="E38:E39" xr:uid="{27ED70AE-0BE6-4926-B89E-CAE1153E545F}">
      <formula1>INDIRECT("LISTAssess[Assessment Specific]")</formula1>
    </dataValidation>
    <dataValidation type="list" allowBlank="1" showInputMessage="1" showErrorMessage="1" sqref="F46:F66" xr:uid="{20FD852B-56EB-41E9-B5E0-D11475773C95}">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01E0B599-7CBE-42B9-BBAB-34400D753FCD}">
          <x14:formula1>
            <xm:f>LISTS!$C$26:$C$37</xm:f>
          </x14:formula1>
          <xm:sqref>D14</xm:sqref>
        </x14:dataValidation>
        <x14:dataValidation type="list" allowBlank="1" showInputMessage="1" showErrorMessage="1" xr:uid="{4ABF9485-26C6-494E-A1FC-338076509AF5}">
          <x14:formula1>
            <xm:f>LISTS!$C$17:$C$22</xm:f>
          </x14:formula1>
          <xm:sqref>D13</xm:sqref>
        </x14:dataValidation>
        <x14:dataValidation type="list" allowBlank="1" showInputMessage="1" showErrorMessage="1" xr:uid="{5B7033AE-F406-4703-A36A-8F82A754CD98}">
          <x14:formula1>
            <xm:f>LISTS!$C$7:$C$9</xm:f>
          </x14:formula1>
          <xm:sqref>D10</xm:sqref>
        </x14:dataValidation>
        <x14:dataValidation type="list" allowBlank="1" showInputMessage="1" showErrorMessage="1" xr:uid="{94490993-6F1E-4EC4-B660-EDD238DD7DF0}">
          <x14:formula1>
            <xm:f>LISTS!$C$11:$C$15</xm:f>
          </x14:formula1>
          <xm:sqref>D11</xm:sqref>
        </x14:dataValidation>
        <x14:dataValidation type="list" allowBlank="1" showInputMessage="1" showErrorMessage="1" xr:uid="{8CF8A831-3DC0-40E1-B8B5-362E5214EA0F}">
          <x14:formula1>
            <xm:f>LISTS!$E$7:$E$11</xm:f>
          </x14:formula1>
          <xm:sqref>D46:D66</xm:sqref>
        </x14:dataValidation>
        <x14:dataValidation type="list" allowBlank="1" showInputMessage="1" showErrorMessage="1" xr:uid="{DFCAE399-00E2-4B92-9C9E-43D9858796CB}">
          <x14:formula1>
            <xm:f>LISTS!$J$7:$J$16</xm:f>
          </x14:formula1>
          <xm:sqref>E46:E66</xm:sqref>
        </x14:dataValidation>
        <x14:dataValidation type="list" allowBlank="1" showInputMessage="1" showErrorMessage="1" xr:uid="{957CB1A9-C852-440B-BBDE-8D1E3D09EDF7}">
          <x14:formula1>
            <xm:f>LISTS!$G$7:$G$11</xm:f>
          </x14:formula1>
          <xm:sqref>D42 D38:D39</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034455-5C9F-407B-9192-42F597732675}">
  <sheetPr codeName="Sheet19"/>
  <dimension ref="B2:H94"/>
  <sheetViews>
    <sheetView showGridLines="0" topLeftCell="D12" zoomScale="85" zoomScaleNormal="85" workbookViewId="0">
      <selection activeCell="F25" sqref="F25"/>
    </sheetView>
  </sheetViews>
  <sheetFormatPr defaultColWidth="8.85546875" defaultRowHeight="1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c r="C2" s="9" t="str">
        <f>D7</f>
        <v>6108SPS</v>
      </c>
      <c r="D2" s="9" t="str">
        <f>D8</f>
        <v>Health and Performance Nutrition</v>
      </c>
    </row>
    <row r="3" spans="2:6">
      <c r="B3" s="1"/>
      <c r="C3" s="1"/>
    </row>
    <row r="4" spans="2:6">
      <c r="B4" s="2"/>
      <c r="C4" s="2"/>
    </row>
    <row r="5" spans="2:6" ht="18.75">
      <c r="B5" s="2"/>
      <c r="C5" s="5" t="s">
        <v>0</v>
      </c>
    </row>
    <row r="6" spans="2:6">
      <c r="B6" s="2"/>
      <c r="C6" s="3" t="s">
        <v>1</v>
      </c>
      <c r="D6" s="4" t="s">
        <v>2</v>
      </c>
      <c r="E6" s="4"/>
      <c r="F6" t="s">
        <v>3</v>
      </c>
    </row>
    <row r="7" spans="2:6">
      <c r="B7" s="2"/>
      <c r="C7" s="63" t="s">
        <v>4</v>
      </c>
      <c r="D7" s="10" t="s">
        <v>803</v>
      </c>
      <c r="E7" s="4"/>
      <c r="F7" s="13" t="s">
        <v>804</v>
      </c>
    </row>
    <row r="8" spans="2:6">
      <c r="B8" s="2"/>
      <c r="C8" s="63" t="s">
        <v>6</v>
      </c>
      <c r="D8" s="10" t="s">
        <v>805</v>
      </c>
      <c r="E8" s="4"/>
      <c r="F8" s="13" t="s">
        <v>806</v>
      </c>
    </row>
    <row r="9" spans="2:6">
      <c r="C9" s="63" t="s">
        <v>7</v>
      </c>
      <c r="D9" s="10">
        <v>20</v>
      </c>
      <c r="E9" s="4"/>
    </row>
    <row r="10" spans="2:6">
      <c r="C10" s="63" t="s">
        <v>8</v>
      </c>
      <c r="D10" s="10">
        <v>1</v>
      </c>
      <c r="E10" s="4"/>
      <c r="F10" t="s">
        <v>9</v>
      </c>
    </row>
    <row r="11" spans="2:6">
      <c r="C11" s="63" t="s">
        <v>10</v>
      </c>
      <c r="D11" s="10">
        <v>6</v>
      </c>
      <c r="E11" s="4"/>
      <c r="F11" s="13" t="s">
        <v>807</v>
      </c>
    </row>
    <row r="12" spans="2:6" ht="60">
      <c r="C12" s="63" t="s">
        <v>11</v>
      </c>
      <c r="D12" s="10" t="s">
        <v>808</v>
      </c>
      <c r="E12" s="4"/>
      <c r="F12" s="20" t="s">
        <v>809</v>
      </c>
    </row>
    <row r="13" spans="2:6" ht="60">
      <c r="C13" s="63" t="s">
        <v>12</v>
      </c>
      <c r="D13" s="10" t="s">
        <v>532</v>
      </c>
      <c r="E13" s="4"/>
      <c r="F13" s="20" t="s">
        <v>810</v>
      </c>
    </row>
    <row r="14" spans="2:6">
      <c r="C14" s="63" t="s">
        <v>13</v>
      </c>
      <c r="D14" s="10" t="s">
        <v>86</v>
      </c>
      <c r="E14" s="4"/>
    </row>
    <row r="15" spans="2:6">
      <c r="C15" s="3"/>
      <c r="D15" s="4"/>
      <c r="E15" s="4"/>
      <c r="F15" t="s">
        <v>14</v>
      </c>
    </row>
    <row r="16" spans="2:6">
      <c r="C16" s="3"/>
      <c r="D16" s="4"/>
      <c r="E16" s="4"/>
      <c r="F16" s="13" t="s">
        <v>811</v>
      </c>
    </row>
    <row r="17" spans="3:6" ht="18.75">
      <c r="C17" s="5" t="s">
        <v>15</v>
      </c>
      <c r="D17" s="4"/>
      <c r="E17" s="4"/>
      <c r="F17" s="13"/>
    </row>
    <row r="18" spans="3:6">
      <c r="C18" s="3" t="s">
        <v>16</v>
      </c>
      <c r="D18" s="1" t="s">
        <v>15</v>
      </c>
      <c r="E18" s="4"/>
      <c r="F18" s="13"/>
    </row>
    <row r="19" spans="3:6">
      <c r="C19" s="63" t="s">
        <v>17</v>
      </c>
      <c r="D19" s="11">
        <v>20</v>
      </c>
      <c r="E19" s="4"/>
      <c r="F19" s="13"/>
    </row>
    <row r="20" spans="3:6">
      <c r="C20" s="63" t="s">
        <v>18</v>
      </c>
      <c r="D20" s="11">
        <v>14</v>
      </c>
      <c r="E20" s="4"/>
      <c r="F20" s="13"/>
    </row>
    <row r="21" spans="3:6">
      <c r="C21" s="63" t="s">
        <v>19</v>
      </c>
      <c r="D21" s="11">
        <v>2</v>
      </c>
      <c r="E21" s="4"/>
    </row>
    <row r="22" spans="3:6">
      <c r="C22" s="63" t="s">
        <v>20</v>
      </c>
      <c r="D22" s="11">
        <v>6</v>
      </c>
      <c r="E22" s="4"/>
      <c r="F22" t="s">
        <v>21</v>
      </c>
    </row>
    <row r="23" spans="3:6">
      <c r="C23" s="63" t="s">
        <v>22</v>
      </c>
      <c r="D23" s="11"/>
      <c r="E23" s="4"/>
      <c r="F23" s="13" t="s">
        <v>812</v>
      </c>
    </row>
    <row r="24" spans="3:6">
      <c r="C24" s="63" t="s">
        <v>23</v>
      </c>
      <c r="D24" s="1">
        <f>SUM(D19:D23)</f>
        <v>42</v>
      </c>
      <c r="E24" s="4"/>
      <c r="F24" s="13" t="s">
        <v>813</v>
      </c>
    </row>
    <row r="25" spans="3:6">
      <c r="F25" s="13"/>
    </row>
    <row r="26" spans="3:6">
      <c r="F26" s="13"/>
    </row>
    <row r="27" spans="3:6" ht="18.75">
      <c r="C27" s="5" t="s">
        <v>24</v>
      </c>
      <c r="D27" s="8" t="s">
        <v>25</v>
      </c>
      <c r="F27" s="13"/>
    </row>
    <row r="28" spans="3:6">
      <c r="C28" s="3" t="s">
        <v>26</v>
      </c>
      <c r="D28" s="3" t="s">
        <v>27</v>
      </c>
      <c r="E28" s="3"/>
      <c r="F28" s="13"/>
    </row>
    <row r="29" spans="3:6" ht="30">
      <c r="C29" s="63" t="s">
        <v>28</v>
      </c>
      <c r="D29" s="10" t="s">
        <v>814</v>
      </c>
      <c r="E29" s="4"/>
      <c r="F29" s="13"/>
    </row>
    <row r="30" spans="3:6" ht="45">
      <c r="C30" s="63" t="s">
        <v>29</v>
      </c>
      <c r="D30" s="10" t="s">
        <v>815</v>
      </c>
      <c r="E30" s="4"/>
      <c r="F30" s="13"/>
    </row>
    <row r="31" spans="3:6" ht="30">
      <c r="C31" s="63" t="s">
        <v>30</v>
      </c>
      <c r="D31" s="10" t="s">
        <v>816</v>
      </c>
      <c r="E31" s="4"/>
      <c r="F31" s="13"/>
    </row>
    <row r="32" spans="3:6">
      <c r="C32" s="63" t="s">
        <v>31</v>
      </c>
      <c r="D32" s="10"/>
      <c r="E32" s="4"/>
      <c r="F32" s="13"/>
    </row>
    <row r="33" spans="3:8">
      <c r="C33" s="63" t="s">
        <v>32</v>
      </c>
      <c r="D33" s="10"/>
      <c r="E33" s="4"/>
      <c r="F33" s="13"/>
    </row>
    <row r="36" spans="3:8" ht="18.75">
      <c r="C36" s="5" t="s">
        <v>33</v>
      </c>
    </row>
    <row r="37" spans="3:8">
      <c r="C37" s="3" t="s">
        <v>34</v>
      </c>
      <c r="D37" s="3" t="s">
        <v>35</v>
      </c>
      <c r="E37" s="3" t="s">
        <v>36</v>
      </c>
      <c r="F37" s="3" t="s">
        <v>37</v>
      </c>
      <c r="G37" s="3" t="s">
        <v>38</v>
      </c>
      <c r="H37" s="3" t="s">
        <v>39</v>
      </c>
    </row>
    <row r="38" spans="3:8" ht="30">
      <c r="C38" s="63" t="s">
        <v>40</v>
      </c>
      <c r="D38" s="10" t="s">
        <v>41</v>
      </c>
      <c r="E38" s="10" t="s">
        <v>42</v>
      </c>
      <c r="F38" s="10" t="s">
        <v>817</v>
      </c>
      <c r="G38" s="12">
        <v>0.3</v>
      </c>
      <c r="H38" s="10">
        <v>9</v>
      </c>
    </row>
    <row r="39" spans="3:8">
      <c r="C39" s="63" t="s">
        <v>44</v>
      </c>
      <c r="D39" s="10" t="s">
        <v>97</v>
      </c>
      <c r="E39" s="10" t="s">
        <v>539</v>
      </c>
      <c r="F39" s="10" t="s">
        <v>818</v>
      </c>
      <c r="G39" s="12">
        <v>0.7</v>
      </c>
      <c r="H39" s="10">
        <v>12</v>
      </c>
    </row>
    <row r="40" spans="3:8">
      <c r="C40" s="63" t="s">
        <v>45</v>
      </c>
      <c r="D40" s="13"/>
      <c r="E40" s="13"/>
      <c r="F40" s="13"/>
      <c r="G40" s="13"/>
      <c r="H40" s="13"/>
    </row>
    <row r="41" spans="3:8">
      <c r="C41" s="63" t="s">
        <v>46</v>
      </c>
      <c r="D41" s="13"/>
      <c r="E41" s="13"/>
      <c r="F41" s="13"/>
      <c r="G41" s="13"/>
      <c r="H41" s="13"/>
    </row>
    <row r="42" spans="3:8">
      <c r="C42" s="3"/>
    </row>
    <row r="44" spans="3:8" ht="18.75">
      <c r="C44" s="5" t="s">
        <v>47</v>
      </c>
      <c r="D44" s="8"/>
    </row>
    <row r="45" spans="3:8">
      <c r="C45" s="1" t="s">
        <v>34</v>
      </c>
      <c r="D45" s="1" t="s">
        <v>26</v>
      </c>
      <c r="E45" s="1" t="s">
        <v>48</v>
      </c>
      <c r="F45" s="1" t="s">
        <v>49</v>
      </c>
    </row>
    <row r="46" spans="3:8" ht="15.75">
      <c r="C46" s="26" t="s">
        <v>40</v>
      </c>
      <c r="D46" s="25" t="s">
        <v>28</v>
      </c>
      <c r="E46" s="25" t="s">
        <v>57</v>
      </c>
      <c r="F46" s="25" t="s">
        <v>655</v>
      </c>
    </row>
    <row r="47" spans="3:8" ht="15.75">
      <c r="C47" s="27" t="s">
        <v>40</v>
      </c>
      <c r="D47" s="25" t="s">
        <v>28</v>
      </c>
      <c r="E47" s="25" t="s">
        <v>55</v>
      </c>
      <c r="F47" s="25" t="s">
        <v>56</v>
      </c>
    </row>
    <row r="48" spans="3:8" ht="15.75">
      <c r="C48" s="26" t="s">
        <v>40</v>
      </c>
      <c r="D48" s="25" t="s">
        <v>29</v>
      </c>
      <c r="E48" s="25" t="s">
        <v>50</v>
      </c>
      <c r="F48" s="25" t="s">
        <v>544</v>
      </c>
    </row>
    <row r="49" spans="3:6" ht="15.75">
      <c r="C49" s="27" t="s">
        <v>40</v>
      </c>
      <c r="D49" s="25" t="s">
        <v>29</v>
      </c>
      <c r="E49" s="25" t="s">
        <v>50</v>
      </c>
      <c r="F49" s="25" t="s">
        <v>239</v>
      </c>
    </row>
    <row r="50" spans="3:6" ht="15.75">
      <c r="C50" s="26" t="s">
        <v>40</v>
      </c>
      <c r="D50" s="25" t="s">
        <v>30</v>
      </c>
      <c r="E50" s="25" t="s">
        <v>50</v>
      </c>
      <c r="F50" s="25" t="s">
        <v>304</v>
      </c>
    </row>
    <row r="51" spans="3:6" ht="15.75">
      <c r="C51" s="27" t="s">
        <v>44</v>
      </c>
      <c r="D51" s="25" t="s">
        <v>30</v>
      </c>
      <c r="E51" s="25" t="s">
        <v>50</v>
      </c>
      <c r="F51" s="25" t="s">
        <v>544</v>
      </c>
    </row>
    <row r="52" spans="3:6" ht="15.75">
      <c r="C52" s="26" t="s">
        <v>44</v>
      </c>
      <c r="D52" s="25" t="s">
        <v>28</v>
      </c>
      <c r="E52" s="25" t="s">
        <v>50</v>
      </c>
      <c r="F52" s="25" t="s">
        <v>491</v>
      </c>
    </row>
    <row r="53" spans="3:6" ht="15.75">
      <c r="C53" s="27" t="s">
        <v>44</v>
      </c>
      <c r="D53" s="25" t="s">
        <v>28</v>
      </c>
      <c r="E53" s="25" t="s">
        <v>50</v>
      </c>
      <c r="F53" s="25" t="s">
        <v>52</v>
      </c>
    </row>
    <row r="54" spans="3:6" ht="15.75">
      <c r="C54" s="26" t="s">
        <v>44</v>
      </c>
      <c r="D54" s="25" t="s">
        <v>29</v>
      </c>
      <c r="E54" s="25" t="s">
        <v>50</v>
      </c>
      <c r="F54" s="25" t="s">
        <v>239</v>
      </c>
    </row>
    <row r="55" spans="3:6" ht="15.75">
      <c r="C55" s="14" t="s">
        <v>44</v>
      </c>
      <c r="D55" s="25" t="s">
        <v>30</v>
      </c>
      <c r="E55" s="25" t="s">
        <v>50</v>
      </c>
      <c r="F55" s="25" t="s">
        <v>304</v>
      </c>
    </row>
    <row r="56" spans="3:6" ht="15.75">
      <c r="C56" s="14" t="s">
        <v>44</v>
      </c>
      <c r="D56" s="25" t="s">
        <v>30</v>
      </c>
      <c r="E56" s="25" t="s">
        <v>50</v>
      </c>
      <c r="F56" s="25" t="s">
        <v>544</v>
      </c>
    </row>
    <row r="57" spans="3:6" ht="15.75">
      <c r="C57" s="14"/>
      <c r="D57" s="25"/>
      <c r="E57" s="25"/>
      <c r="F57" s="25"/>
    </row>
    <row r="58" spans="3:6" ht="15.75">
      <c r="C58" s="14"/>
      <c r="D58" s="25"/>
      <c r="E58" s="25"/>
      <c r="F58" s="25"/>
    </row>
    <row r="59" spans="3:6" ht="15.75">
      <c r="C59" s="14"/>
      <c r="D59" s="25"/>
      <c r="E59" s="25"/>
      <c r="F59" s="25"/>
    </row>
    <row r="60" spans="3:6" ht="15.75">
      <c r="C60" s="14"/>
      <c r="D60" s="25"/>
      <c r="E60" s="25"/>
      <c r="F60" s="25"/>
    </row>
    <row r="61" spans="3:6" ht="15.75">
      <c r="C61" s="14"/>
      <c r="D61" s="25"/>
      <c r="E61" s="25"/>
      <c r="F61" s="25"/>
    </row>
    <row r="62" spans="3:6" ht="15.75">
      <c r="C62" s="14"/>
      <c r="D62" s="25"/>
      <c r="E62" s="25"/>
      <c r="F62" s="25"/>
    </row>
    <row r="63" spans="3:6" ht="15.75">
      <c r="C63" s="14"/>
      <c r="D63" s="25"/>
      <c r="E63" s="25"/>
      <c r="F63" s="25"/>
    </row>
    <row r="64" spans="3:6" ht="15.75">
      <c r="C64" s="14"/>
      <c r="D64" s="25"/>
      <c r="E64" s="25"/>
      <c r="F64" s="25"/>
    </row>
    <row r="65" spans="2:6" ht="15.75">
      <c r="C65" s="14"/>
      <c r="D65" s="25"/>
      <c r="E65" s="25"/>
      <c r="F65" s="25"/>
    </row>
    <row r="66" spans="2:6" ht="15.75">
      <c r="C66" s="14"/>
      <c r="D66" s="25"/>
      <c r="E66" s="25"/>
      <c r="F66" s="25"/>
    </row>
    <row r="69" spans="2:6" ht="18.75">
      <c r="C69" s="5" t="s">
        <v>59</v>
      </c>
    </row>
    <row r="70" spans="2:6">
      <c r="B70" t="s">
        <v>60</v>
      </c>
      <c r="C70" s="1" t="s">
        <v>61</v>
      </c>
      <c r="D70" s="1" t="s">
        <v>62</v>
      </c>
      <c r="E70" s="1" t="s">
        <v>63</v>
      </c>
      <c r="F70" s="1" t="s">
        <v>64</v>
      </c>
    </row>
    <row r="71" spans="2:6" ht="30">
      <c r="B71" s="64">
        <v>1</v>
      </c>
      <c r="C71" s="65">
        <v>1</v>
      </c>
      <c r="D71" s="10" t="s">
        <v>819</v>
      </c>
      <c r="E71" s="10"/>
      <c r="F71" s="10"/>
    </row>
    <row r="72" spans="2:6">
      <c r="B72" s="64">
        <v>1</v>
      </c>
      <c r="C72" s="65">
        <v>2</v>
      </c>
      <c r="D72" s="10" t="s">
        <v>820</v>
      </c>
      <c r="E72" s="10" t="s">
        <v>821</v>
      </c>
      <c r="F72" s="10"/>
    </row>
    <row r="73" spans="2:6">
      <c r="B73" s="64">
        <v>1</v>
      </c>
      <c r="C73" s="65">
        <v>3</v>
      </c>
      <c r="D73" s="10" t="s">
        <v>822</v>
      </c>
      <c r="E73" s="10" t="s">
        <v>823</v>
      </c>
      <c r="F73" s="10"/>
    </row>
    <row r="74" spans="2:6">
      <c r="B74" s="64">
        <v>1</v>
      </c>
      <c r="C74" s="65">
        <v>4</v>
      </c>
      <c r="D74" s="10" t="s">
        <v>824</v>
      </c>
      <c r="E74" s="10" t="s">
        <v>825</v>
      </c>
      <c r="F74" s="10" t="s">
        <v>826</v>
      </c>
    </row>
    <row r="75" spans="2:6">
      <c r="B75" s="64">
        <v>1</v>
      </c>
      <c r="C75" s="65">
        <v>5</v>
      </c>
      <c r="D75" s="10" t="s">
        <v>827</v>
      </c>
      <c r="E75" s="10" t="s">
        <v>828</v>
      </c>
      <c r="F75" s="10" t="s">
        <v>829</v>
      </c>
    </row>
    <row r="76" spans="2:6">
      <c r="B76" s="64">
        <v>1</v>
      </c>
      <c r="C76" s="65">
        <v>6</v>
      </c>
      <c r="D76" s="10" t="s">
        <v>830</v>
      </c>
      <c r="E76" s="10" t="s">
        <v>831</v>
      </c>
      <c r="F76" s="10" t="s">
        <v>832</v>
      </c>
    </row>
    <row r="77" spans="2:6" ht="18">
      <c r="B77" s="64">
        <v>1</v>
      </c>
      <c r="C77" s="65">
        <v>7</v>
      </c>
      <c r="D77" s="28" t="s">
        <v>668</v>
      </c>
      <c r="E77" s="10"/>
      <c r="F77" s="10"/>
    </row>
    <row r="78" spans="2:6">
      <c r="B78" s="64">
        <v>1</v>
      </c>
      <c r="C78" s="65">
        <v>8</v>
      </c>
      <c r="D78" s="10" t="s">
        <v>833</v>
      </c>
      <c r="E78" s="10" t="s">
        <v>834</v>
      </c>
      <c r="F78" s="10" t="s">
        <v>835</v>
      </c>
    </row>
    <row r="79" spans="2:6">
      <c r="B79" s="64">
        <v>1</v>
      </c>
      <c r="C79" s="65">
        <v>9</v>
      </c>
      <c r="D79" s="10" t="s">
        <v>836</v>
      </c>
      <c r="E79" s="10" t="s">
        <v>837</v>
      </c>
      <c r="F79" s="10"/>
    </row>
    <row r="80" spans="2:6">
      <c r="B80" s="64">
        <v>1</v>
      </c>
      <c r="C80" s="65">
        <v>10</v>
      </c>
      <c r="D80" s="10" t="s">
        <v>838</v>
      </c>
      <c r="E80" s="10"/>
      <c r="F80" s="10"/>
    </row>
    <row r="81" spans="2:6">
      <c r="B81" s="64">
        <v>1</v>
      </c>
      <c r="C81" s="65">
        <v>11</v>
      </c>
      <c r="D81" s="10" t="s">
        <v>839</v>
      </c>
      <c r="E81" s="10"/>
      <c r="F81" s="10"/>
    </row>
    <row r="82" spans="2:6">
      <c r="B82" s="64">
        <v>1</v>
      </c>
      <c r="C82" s="65">
        <v>12</v>
      </c>
      <c r="D82" s="10"/>
      <c r="E82" s="10"/>
      <c r="F82" s="10"/>
    </row>
    <row r="83" spans="2:6">
      <c r="B83" s="64">
        <v>2</v>
      </c>
      <c r="C83" s="65">
        <v>1</v>
      </c>
      <c r="D83" s="10"/>
      <c r="E83" s="10"/>
      <c r="F83" s="10"/>
    </row>
    <row r="84" spans="2:6">
      <c r="B84" s="64">
        <v>2</v>
      </c>
      <c r="C84" s="65">
        <v>2</v>
      </c>
      <c r="D84" s="10"/>
      <c r="E84" s="10"/>
      <c r="F84" s="10"/>
    </row>
    <row r="85" spans="2:6">
      <c r="B85" s="64">
        <v>2</v>
      </c>
      <c r="C85" s="65">
        <v>3</v>
      </c>
      <c r="D85" s="10"/>
      <c r="E85" s="10"/>
      <c r="F85" s="10"/>
    </row>
    <row r="86" spans="2:6">
      <c r="B86" s="64">
        <v>2</v>
      </c>
      <c r="C86" s="65">
        <v>4</v>
      </c>
      <c r="D86" s="10"/>
      <c r="E86" s="10"/>
      <c r="F86" s="10"/>
    </row>
    <row r="87" spans="2:6">
      <c r="B87" s="64">
        <v>2</v>
      </c>
      <c r="C87" s="65">
        <v>5</v>
      </c>
      <c r="D87" s="10"/>
      <c r="E87" s="10"/>
      <c r="F87" s="10"/>
    </row>
    <row r="88" spans="2:6">
      <c r="B88" s="64">
        <v>2</v>
      </c>
      <c r="C88" s="65">
        <v>6</v>
      </c>
      <c r="D88" s="10"/>
      <c r="E88" s="10"/>
      <c r="F88" s="10"/>
    </row>
    <row r="89" spans="2:6">
      <c r="B89" s="64">
        <v>2</v>
      </c>
      <c r="C89" s="65">
        <v>7</v>
      </c>
      <c r="D89" s="10"/>
      <c r="E89" s="10"/>
      <c r="F89" s="10"/>
    </row>
    <row r="90" spans="2:6">
      <c r="B90" s="64">
        <v>2</v>
      </c>
      <c r="C90" s="65">
        <v>8</v>
      </c>
      <c r="D90" s="10"/>
      <c r="E90" s="10"/>
      <c r="F90" s="10"/>
    </row>
    <row r="91" spans="2:6">
      <c r="B91" s="64">
        <v>2</v>
      </c>
      <c r="C91" s="65">
        <v>9</v>
      </c>
      <c r="D91" s="10"/>
      <c r="E91" s="10"/>
      <c r="F91" s="10"/>
    </row>
    <row r="92" spans="2:6">
      <c r="B92" s="64">
        <v>2</v>
      </c>
      <c r="C92" s="65">
        <v>10</v>
      </c>
      <c r="D92" s="10"/>
      <c r="E92" s="10"/>
      <c r="F92" s="10"/>
    </row>
    <row r="93" spans="2:6">
      <c r="B93" s="64">
        <v>2</v>
      </c>
      <c r="C93" s="65">
        <v>11</v>
      </c>
      <c r="D93" s="10"/>
      <c r="E93" s="10"/>
      <c r="F93" s="10"/>
    </row>
    <row r="94" spans="2:6">
      <c r="B94" s="64">
        <v>2</v>
      </c>
      <c r="C94" s="65">
        <v>12</v>
      </c>
      <c r="D94" s="10"/>
      <c r="E94" s="10"/>
      <c r="F94" s="10"/>
    </row>
  </sheetData>
  <sheetProtection sheet="1" objects="1" scenarios="1" formatCells="0" formatColumns="0" formatRows="0" insertHyperlinks="0"/>
  <dataValidations count="4">
    <dataValidation type="list" allowBlank="1" showInputMessage="1" showErrorMessage="1" sqref="F46:F66" xr:uid="{6DEBE8EC-2B57-4380-910E-0A2154580682}">
      <formula1>INDIRECT(VLOOKUP($E46, SkillNameMap, 2, FALSE))</formula1>
    </dataValidation>
    <dataValidation type="list" allowBlank="1" showInputMessage="1" showErrorMessage="1" sqref="E38:E41" xr:uid="{6274686E-0972-4BC0-8A91-115628F0C35E}">
      <formula1>INDIRECT("LISTAssess[Assessment Specific]")</formula1>
    </dataValidation>
    <dataValidation type="whole" showInputMessage="1" showErrorMessage="1" error="This is not a realistic number of contact hours please change" sqref="D19" xr:uid="{D71B7080-AED5-4BD2-BC61-46D1FB03F689}">
      <formula1>0</formula1>
      <formula2>80</formula2>
    </dataValidation>
    <dataValidation type="whole" showInputMessage="1" showErrorMessage="1" error="This is not a realistic number of contact hours please reduce" sqref="D20:D23" xr:uid="{50629AB0-717B-48FC-8FF1-8B4D77B3991E}">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96DA8F40-9192-4741-B2FE-57A9C46482DF}">
          <x14:formula1>
            <xm:f>LISTS!$J$7:$J$16</xm:f>
          </x14:formula1>
          <xm:sqref>E46:E66</xm:sqref>
        </x14:dataValidation>
        <x14:dataValidation type="list" allowBlank="1" showInputMessage="1" showErrorMessage="1" xr:uid="{A4EF2000-8BB6-4BFE-B91D-91E943534494}">
          <x14:formula1>
            <xm:f>LISTS!$E$7:$E$11</xm:f>
          </x14:formula1>
          <xm:sqref>D46:D66</xm:sqref>
        </x14:dataValidation>
        <x14:dataValidation type="list" allowBlank="1" showInputMessage="1" showErrorMessage="1" xr:uid="{C6D73155-D6B3-465B-BEF7-0FA25E168DED}">
          <x14:formula1>
            <xm:f>LISTS!$G$7:$G$11</xm:f>
          </x14:formula1>
          <xm:sqref>D38:D42</xm:sqref>
        </x14:dataValidation>
        <x14:dataValidation type="list" allowBlank="1" showInputMessage="1" showErrorMessage="1" xr:uid="{B0028DB5-73A5-49CC-9F11-A5A6090C114A}">
          <x14:formula1>
            <xm:f>LISTS!$C$11:$C$15</xm:f>
          </x14:formula1>
          <xm:sqref>D11</xm:sqref>
        </x14:dataValidation>
        <x14:dataValidation type="list" allowBlank="1" showInputMessage="1" showErrorMessage="1" xr:uid="{B42E3CF9-1ABB-4684-872B-EC2BAFBA300F}">
          <x14:formula1>
            <xm:f>LISTS!$C$7:$C$9</xm:f>
          </x14:formula1>
          <xm:sqref>D10</xm:sqref>
        </x14:dataValidation>
        <x14:dataValidation type="list" allowBlank="1" showInputMessage="1" showErrorMessage="1" xr:uid="{A8C95E66-AD61-4BFC-ABB4-381106E7EE30}">
          <x14:formula1>
            <xm:f>LISTS!$C$17:$C$22</xm:f>
          </x14:formula1>
          <xm:sqref>D13</xm:sqref>
        </x14:dataValidation>
        <x14:dataValidation type="list" allowBlank="1" showInputMessage="1" showErrorMessage="1" xr:uid="{6D716C63-5AE4-4FD1-B40D-675960865ED5}">
          <x14:formula1>
            <xm:f>LISTS!$C$26:$C$37</xm:f>
          </x14:formula1>
          <xm:sqref>D14</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EFDFE9-F6DD-4E3D-9B0A-EE0E4450ED7C}">
  <sheetPr codeName="Sheet20"/>
  <dimension ref="B2:H100"/>
  <sheetViews>
    <sheetView showGridLines="0" topLeftCell="B48" zoomScale="85" zoomScaleNormal="85" workbookViewId="0">
      <selection activeCell="F78" sqref="F78"/>
    </sheetView>
  </sheetViews>
  <sheetFormatPr defaultColWidth="8.85546875" defaultRowHeight="1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c r="C2" s="9" t="str">
        <f>D7</f>
        <v>6109SPS</v>
      </c>
      <c r="D2" s="9" t="str">
        <f>D8</f>
        <v>Applied Professional Practice </v>
      </c>
    </row>
    <row r="3" spans="2:6">
      <c r="B3" s="1"/>
      <c r="C3" s="1"/>
    </row>
    <row r="4" spans="2:6">
      <c r="B4" s="2"/>
      <c r="C4" s="2"/>
    </row>
    <row r="5" spans="2:6" ht="18.75">
      <c r="B5" s="2"/>
      <c r="C5" s="5" t="s">
        <v>0</v>
      </c>
    </row>
    <row r="6" spans="2:6">
      <c r="B6" s="2"/>
      <c r="C6" s="3" t="s">
        <v>1</v>
      </c>
      <c r="D6" s="4" t="s">
        <v>2</v>
      </c>
      <c r="E6" s="4"/>
      <c r="F6" t="s">
        <v>3</v>
      </c>
    </row>
    <row r="7" spans="2:6" ht="60">
      <c r="B7" s="2"/>
      <c r="C7" s="63" t="s">
        <v>4</v>
      </c>
      <c r="D7" s="10" t="s">
        <v>840</v>
      </c>
      <c r="E7" s="4"/>
      <c r="F7" s="20" t="s">
        <v>841</v>
      </c>
    </row>
    <row r="8" spans="2:6" ht="15.75">
      <c r="B8" s="2"/>
      <c r="C8" s="63" t="s">
        <v>6</v>
      </c>
      <c r="D8" s="15" t="s">
        <v>842</v>
      </c>
      <c r="E8" s="4"/>
      <c r="F8" s="13"/>
    </row>
    <row r="9" spans="2:6">
      <c r="C9" s="63" t="s">
        <v>7</v>
      </c>
      <c r="D9" s="10">
        <v>20</v>
      </c>
      <c r="E9" s="4"/>
    </row>
    <row r="10" spans="2:6">
      <c r="C10" s="63" t="s">
        <v>8</v>
      </c>
      <c r="D10" s="10" t="s">
        <v>843</v>
      </c>
      <c r="E10" s="4"/>
      <c r="F10" t="s">
        <v>9</v>
      </c>
    </row>
    <row r="11" spans="2:6" ht="30">
      <c r="C11" s="63" t="s">
        <v>10</v>
      </c>
      <c r="D11" s="10">
        <v>6</v>
      </c>
      <c r="E11" s="4"/>
      <c r="F11" s="20" t="s">
        <v>844</v>
      </c>
    </row>
    <row r="12" spans="2:6">
      <c r="C12" s="63" t="s">
        <v>11</v>
      </c>
      <c r="D12" s="10" t="s">
        <v>845</v>
      </c>
      <c r="E12" s="4"/>
      <c r="F12" s="13"/>
    </row>
    <row r="13" spans="2:6">
      <c r="C13" s="63" t="s">
        <v>12</v>
      </c>
      <c r="D13" s="10" t="s">
        <v>85</v>
      </c>
      <c r="E13" s="4"/>
      <c r="F13" s="13"/>
    </row>
    <row r="14" spans="2:6">
      <c r="C14" s="63" t="s">
        <v>13</v>
      </c>
      <c r="D14" s="10" t="s">
        <v>86</v>
      </c>
      <c r="E14" s="4"/>
    </row>
    <row r="15" spans="2:6">
      <c r="C15" s="3"/>
      <c r="D15" s="4"/>
      <c r="E15" s="4"/>
      <c r="F15" t="s">
        <v>14</v>
      </c>
    </row>
    <row r="16" spans="2:6" ht="135">
      <c r="C16" s="3"/>
      <c r="D16" s="4"/>
      <c r="E16" s="4"/>
      <c r="F16" s="20" t="s">
        <v>846</v>
      </c>
    </row>
    <row r="17" spans="3:6" ht="18.75">
      <c r="C17" s="5" t="s">
        <v>15</v>
      </c>
      <c r="D17" s="4"/>
      <c r="E17" s="4"/>
      <c r="F17" s="13"/>
    </row>
    <row r="18" spans="3:6">
      <c r="C18" s="3" t="s">
        <v>16</v>
      </c>
      <c r="D18" s="1" t="s">
        <v>15</v>
      </c>
      <c r="E18" s="4"/>
      <c r="F18" s="13"/>
    </row>
    <row r="19" spans="3:6">
      <c r="C19" s="63" t="s">
        <v>17</v>
      </c>
      <c r="D19" s="11">
        <v>10</v>
      </c>
      <c r="E19" s="4"/>
      <c r="F19" s="13"/>
    </row>
    <row r="20" spans="3:6">
      <c r="C20" s="63" t="s">
        <v>18</v>
      </c>
      <c r="D20" s="11"/>
      <c r="E20" s="4"/>
      <c r="F20" s="13"/>
    </row>
    <row r="21" spans="3:6">
      <c r="C21" s="63" t="s">
        <v>19</v>
      </c>
      <c r="D21" s="11">
        <v>40</v>
      </c>
      <c r="E21" s="4"/>
    </row>
    <row r="22" spans="3:6">
      <c r="C22" s="63" t="s">
        <v>20</v>
      </c>
      <c r="D22" s="11"/>
      <c r="E22" s="4"/>
      <c r="F22" t="s">
        <v>21</v>
      </c>
    </row>
    <row r="23" spans="3:6" ht="75">
      <c r="C23" s="63" t="s">
        <v>22</v>
      </c>
      <c r="D23" s="11"/>
      <c r="E23" s="4"/>
      <c r="F23" s="20" t="s">
        <v>847</v>
      </c>
    </row>
    <row r="24" spans="3:6" ht="45">
      <c r="C24" s="63" t="s">
        <v>23</v>
      </c>
      <c r="D24" s="1">
        <f>SUM(D19:D23)</f>
        <v>50</v>
      </c>
      <c r="E24" s="4"/>
      <c r="F24" s="20" t="s">
        <v>848</v>
      </c>
    </row>
    <row r="25" spans="3:6">
      <c r="F25" s="13"/>
    </row>
    <row r="26" spans="3:6">
      <c r="F26" s="13"/>
    </row>
    <row r="27" spans="3:6" ht="18.75">
      <c r="C27" s="5" t="s">
        <v>24</v>
      </c>
      <c r="D27" s="8" t="s">
        <v>25</v>
      </c>
      <c r="F27" s="13"/>
    </row>
    <row r="28" spans="3:6">
      <c r="C28" s="3" t="s">
        <v>26</v>
      </c>
      <c r="D28" s="3" t="s">
        <v>27</v>
      </c>
      <c r="E28" s="3"/>
      <c r="F28" s="13"/>
    </row>
    <row r="29" spans="3:6" ht="47.25">
      <c r="C29" s="63" t="s">
        <v>28</v>
      </c>
      <c r="D29" s="16" t="s">
        <v>849</v>
      </c>
      <c r="E29" s="4"/>
      <c r="F29" s="13"/>
    </row>
    <row r="30" spans="3:6" ht="31.5">
      <c r="C30" s="63" t="s">
        <v>29</v>
      </c>
      <c r="D30" s="16" t="s">
        <v>850</v>
      </c>
      <c r="E30" s="4"/>
      <c r="F30" s="13"/>
    </row>
    <row r="31" spans="3:6" ht="31.5">
      <c r="C31" s="63" t="s">
        <v>30</v>
      </c>
      <c r="D31" s="17" t="s">
        <v>851</v>
      </c>
      <c r="E31" s="4"/>
      <c r="F31" s="13"/>
    </row>
    <row r="32" spans="3:6">
      <c r="C32" s="63" t="s">
        <v>31</v>
      </c>
      <c r="D32" s="10"/>
      <c r="E32" s="4"/>
      <c r="F32" s="13"/>
    </row>
    <row r="33" spans="3:8">
      <c r="C33" s="63" t="s">
        <v>32</v>
      </c>
      <c r="D33" s="10"/>
      <c r="E33" s="4"/>
      <c r="F33" s="13"/>
    </row>
    <row r="36" spans="3:8" ht="18.75">
      <c r="C36" s="5" t="s">
        <v>33</v>
      </c>
    </row>
    <row r="37" spans="3:8">
      <c r="C37" s="3" t="s">
        <v>34</v>
      </c>
      <c r="D37" s="3" t="s">
        <v>35</v>
      </c>
      <c r="E37" s="3" t="s">
        <v>36</v>
      </c>
      <c r="F37" s="3" t="s">
        <v>37</v>
      </c>
      <c r="G37" s="3" t="s">
        <v>38</v>
      </c>
      <c r="H37" s="3" t="s">
        <v>39</v>
      </c>
    </row>
    <row r="38" spans="3:8" ht="30">
      <c r="C38" s="63" t="s">
        <v>40</v>
      </c>
      <c r="D38" s="18" t="s">
        <v>97</v>
      </c>
      <c r="E38" s="10" t="s">
        <v>539</v>
      </c>
      <c r="F38" s="10" t="s">
        <v>852</v>
      </c>
      <c r="G38" s="12">
        <v>0.5</v>
      </c>
      <c r="H38" s="10">
        <v>26</v>
      </c>
    </row>
    <row r="39" spans="3:8" ht="90.75">
      <c r="C39" s="63" t="s">
        <v>44</v>
      </c>
      <c r="D39" s="10" t="s">
        <v>41</v>
      </c>
      <c r="E39" s="10" t="s">
        <v>95</v>
      </c>
      <c r="F39" s="19" t="s">
        <v>853</v>
      </c>
      <c r="G39" s="12">
        <v>0.5</v>
      </c>
      <c r="H39" s="10">
        <v>26</v>
      </c>
    </row>
    <row r="40" spans="3:8">
      <c r="C40" s="63" t="s">
        <v>45</v>
      </c>
      <c r="D40" s="13"/>
      <c r="E40" s="13"/>
      <c r="F40" s="13"/>
      <c r="G40" s="13"/>
      <c r="H40" s="13"/>
    </row>
    <row r="41" spans="3:8">
      <c r="C41" s="63" t="s">
        <v>46</v>
      </c>
      <c r="D41" s="13"/>
      <c r="E41" s="13"/>
      <c r="F41" s="13"/>
      <c r="G41" s="13"/>
      <c r="H41" s="13"/>
    </row>
    <row r="42" spans="3:8">
      <c r="C42" s="3"/>
    </row>
    <row r="44" spans="3:8" ht="18.75">
      <c r="C44" s="5" t="s">
        <v>47</v>
      </c>
      <c r="D44" s="8"/>
    </row>
    <row r="45" spans="3:8">
      <c r="C45" s="1" t="s">
        <v>34</v>
      </c>
      <c r="D45" s="1" t="s">
        <v>26</v>
      </c>
      <c r="E45" s="1" t="s">
        <v>48</v>
      </c>
      <c r="F45" s="1" t="s">
        <v>49</v>
      </c>
    </row>
    <row r="46" spans="3:8">
      <c r="C46" s="14" t="s">
        <v>40</v>
      </c>
      <c r="D46" s="13" t="s">
        <v>28</v>
      </c>
      <c r="E46" s="13" t="s">
        <v>50</v>
      </c>
      <c r="F46" s="13" t="s">
        <v>239</v>
      </c>
    </row>
    <row r="47" spans="3:8">
      <c r="C47" s="14" t="s">
        <v>44</v>
      </c>
      <c r="D47" s="13" t="s">
        <v>28</v>
      </c>
      <c r="E47" s="13" t="s">
        <v>50</v>
      </c>
      <c r="F47" s="13" t="s">
        <v>544</v>
      </c>
    </row>
    <row r="48" spans="3:8">
      <c r="C48" s="14" t="s">
        <v>40</v>
      </c>
      <c r="D48" s="13" t="s">
        <v>30</v>
      </c>
      <c r="E48" s="13" t="s">
        <v>57</v>
      </c>
      <c r="F48" s="13" t="s">
        <v>78</v>
      </c>
    </row>
    <row r="49" spans="3:6">
      <c r="C49" s="14" t="s">
        <v>40</v>
      </c>
      <c r="D49" s="13" t="s">
        <v>30</v>
      </c>
      <c r="E49" s="13" t="s">
        <v>53</v>
      </c>
      <c r="F49" s="13" t="s">
        <v>242</v>
      </c>
    </row>
    <row r="50" spans="3:6">
      <c r="C50" s="14" t="s">
        <v>40</v>
      </c>
      <c r="D50" s="13" t="s">
        <v>30</v>
      </c>
      <c r="E50" s="13" t="s">
        <v>162</v>
      </c>
      <c r="F50" s="13" t="s">
        <v>164</v>
      </c>
    </row>
    <row r="51" spans="3:6">
      <c r="C51" s="14" t="s">
        <v>44</v>
      </c>
      <c r="D51" s="13" t="s">
        <v>30</v>
      </c>
      <c r="E51" s="13" t="s">
        <v>100</v>
      </c>
      <c r="F51" s="13" t="s">
        <v>101</v>
      </c>
    </row>
    <row r="52" spans="3:6">
      <c r="C52" s="14" t="s">
        <v>44</v>
      </c>
      <c r="D52" s="13" t="s">
        <v>29</v>
      </c>
      <c r="E52" s="13" t="s">
        <v>55</v>
      </c>
      <c r="F52" s="13" t="s">
        <v>56</v>
      </c>
    </row>
    <row r="53" spans="3:6">
      <c r="C53" s="14" t="s">
        <v>44</v>
      </c>
      <c r="D53" s="13" t="s">
        <v>29</v>
      </c>
      <c r="E53" s="13" t="s">
        <v>310</v>
      </c>
      <c r="F53" s="13" t="s">
        <v>742</v>
      </c>
    </row>
    <row r="54" spans="3:6">
      <c r="C54" s="14" t="s">
        <v>44</v>
      </c>
      <c r="D54" s="13" t="s">
        <v>30</v>
      </c>
      <c r="E54" s="13" t="s">
        <v>106</v>
      </c>
      <c r="F54" s="13" t="s">
        <v>107</v>
      </c>
    </row>
    <row r="55" spans="3:6">
      <c r="C55" s="14" t="s">
        <v>44</v>
      </c>
      <c r="D55" s="13" t="s">
        <v>30</v>
      </c>
      <c r="E55" s="13" t="s">
        <v>106</v>
      </c>
      <c r="F55" s="13" t="s">
        <v>306</v>
      </c>
    </row>
    <row r="56" spans="3:6">
      <c r="C56" s="14" t="s">
        <v>44</v>
      </c>
      <c r="D56" s="13" t="s">
        <v>30</v>
      </c>
      <c r="E56" s="13" t="s">
        <v>102</v>
      </c>
      <c r="F56" s="13" t="s">
        <v>854</v>
      </c>
    </row>
    <row r="57" spans="3:6">
      <c r="C57" s="14" t="s">
        <v>44</v>
      </c>
      <c r="D57" s="13" t="s">
        <v>28</v>
      </c>
      <c r="E57" s="13" t="s">
        <v>102</v>
      </c>
      <c r="F57" s="13" t="s">
        <v>103</v>
      </c>
    </row>
    <row r="58" spans="3:6">
      <c r="C58" s="14" t="s">
        <v>44</v>
      </c>
      <c r="D58" s="13" t="s">
        <v>29</v>
      </c>
      <c r="E58" s="13" t="s">
        <v>419</v>
      </c>
      <c r="F58" s="13" t="s">
        <v>420</v>
      </c>
    </row>
    <row r="59" spans="3:6">
      <c r="C59" s="14" t="s">
        <v>44</v>
      </c>
      <c r="D59" s="13" t="s">
        <v>29</v>
      </c>
      <c r="E59" s="13" t="s">
        <v>419</v>
      </c>
      <c r="F59" s="13" t="s">
        <v>855</v>
      </c>
    </row>
    <row r="60" spans="3:6">
      <c r="C60" s="14" t="s">
        <v>44</v>
      </c>
      <c r="D60" s="13" t="s">
        <v>29</v>
      </c>
      <c r="E60" s="13" t="s">
        <v>419</v>
      </c>
      <c r="F60" s="13" t="s">
        <v>856</v>
      </c>
    </row>
    <row r="61" spans="3:6">
      <c r="C61" s="14" t="s">
        <v>44</v>
      </c>
      <c r="D61" s="13" t="s">
        <v>29</v>
      </c>
      <c r="E61" s="13" t="s">
        <v>419</v>
      </c>
      <c r="F61" s="13" t="s">
        <v>857</v>
      </c>
    </row>
    <row r="62" spans="3:6">
      <c r="C62" s="14"/>
      <c r="D62" s="13"/>
      <c r="E62" s="13"/>
      <c r="F62" s="13"/>
    </row>
    <row r="63" spans="3:6">
      <c r="C63" s="14"/>
      <c r="D63" s="13"/>
      <c r="E63" s="13"/>
      <c r="F63" s="13"/>
    </row>
    <row r="64" spans="3:6">
      <c r="C64" s="14"/>
      <c r="D64" s="13"/>
      <c r="E64" s="13"/>
      <c r="F64" s="13"/>
    </row>
    <row r="65" spans="2:6">
      <c r="C65" s="14"/>
      <c r="D65" s="13"/>
      <c r="E65" s="13"/>
      <c r="F65" s="13"/>
    </row>
    <row r="66" spans="2:6">
      <c r="C66" s="14"/>
      <c r="D66" s="13"/>
      <c r="E66" s="13"/>
      <c r="F66" s="13"/>
    </row>
    <row r="67" spans="2:6">
      <c r="C67" s="14"/>
      <c r="D67" s="13"/>
      <c r="E67" s="13"/>
      <c r="F67" s="13"/>
    </row>
    <row r="68" spans="2:6">
      <c r="C68" s="14"/>
      <c r="D68" s="13"/>
      <c r="E68" s="13"/>
      <c r="F68" s="13"/>
    </row>
    <row r="69" spans="2:6">
      <c r="C69" s="14"/>
      <c r="D69" s="13"/>
      <c r="E69" s="13"/>
      <c r="F69" s="13"/>
    </row>
    <row r="70" spans="2:6">
      <c r="C70" s="14"/>
      <c r="D70" s="13"/>
      <c r="E70" s="13"/>
      <c r="F70" s="13"/>
    </row>
    <row r="71" spans="2:6">
      <c r="C71" s="14"/>
      <c r="D71" s="13"/>
      <c r="E71" s="13"/>
      <c r="F71" s="13"/>
    </row>
    <row r="72" spans="2:6">
      <c r="C72" s="14"/>
      <c r="D72" s="13"/>
      <c r="E72" s="13"/>
      <c r="F72" s="13"/>
    </row>
    <row r="75" spans="2:6" ht="18.75">
      <c r="C75" s="5" t="s">
        <v>59</v>
      </c>
    </row>
    <row r="76" spans="2:6">
      <c r="B76" t="s">
        <v>60</v>
      </c>
      <c r="C76" s="1" t="s">
        <v>61</v>
      </c>
      <c r="D76" s="1" t="s">
        <v>62</v>
      </c>
      <c r="E76" s="1" t="s">
        <v>63</v>
      </c>
      <c r="F76" s="1" t="s">
        <v>64</v>
      </c>
    </row>
    <row r="77" spans="2:6" ht="31.5">
      <c r="B77" s="64">
        <v>1</v>
      </c>
      <c r="C77" s="65">
        <v>1</v>
      </c>
      <c r="D77" s="95" t="s">
        <v>858</v>
      </c>
      <c r="E77" s="96" t="s">
        <v>859</v>
      </c>
      <c r="F77" s="94"/>
    </row>
    <row r="78" spans="2:6" ht="47.25">
      <c r="B78" s="64">
        <v>1</v>
      </c>
      <c r="C78" s="65">
        <v>2</v>
      </c>
      <c r="D78" s="95" t="s">
        <v>860</v>
      </c>
      <c r="E78" s="93" t="s">
        <v>861</v>
      </c>
      <c r="F78" s="94" t="s">
        <v>862</v>
      </c>
    </row>
    <row r="79" spans="2:6" ht="47.25">
      <c r="B79" s="64">
        <v>1</v>
      </c>
      <c r="C79" s="65">
        <v>3</v>
      </c>
      <c r="D79" s="95" t="s">
        <v>863</v>
      </c>
      <c r="E79" s="93" t="s">
        <v>864</v>
      </c>
      <c r="F79" s="94" t="s">
        <v>865</v>
      </c>
    </row>
    <row r="80" spans="2:6" ht="31.5">
      <c r="B80" s="64">
        <v>1</v>
      </c>
      <c r="C80" s="65">
        <v>4</v>
      </c>
      <c r="D80" s="95" t="s">
        <v>866</v>
      </c>
      <c r="E80" s="93" t="s">
        <v>867</v>
      </c>
      <c r="F80" s="94"/>
    </row>
    <row r="81" spans="2:6" ht="47.25">
      <c r="B81" s="64">
        <v>1</v>
      </c>
      <c r="C81" s="65">
        <v>5</v>
      </c>
      <c r="D81" s="95" t="s">
        <v>868</v>
      </c>
      <c r="E81" s="93" t="s">
        <v>869</v>
      </c>
      <c r="F81" s="94"/>
    </row>
    <row r="82" spans="2:6" ht="47.25">
      <c r="B82" s="64">
        <v>1</v>
      </c>
      <c r="C82" s="65">
        <v>6</v>
      </c>
      <c r="D82" s="95" t="s">
        <v>870</v>
      </c>
      <c r="E82" s="93" t="s">
        <v>871</v>
      </c>
      <c r="F82" s="94"/>
    </row>
    <row r="83" spans="2:6" ht="45">
      <c r="B83" s="64">
        <v>1</v>
      </c>
      <c r="C83" s="65">
        <v>7</v>
      </c>
      <c r="D83" s="10" t="s">
        <v>872</v>
      </c>
      <c r="E83" s="20" t="s">
        <v>873</v>
      </c>
      <c r="F83" s="10"/>
    </row>
    <row r="84" spans="2:6">
      <c r="B84" s="64">
        <v>1</v>
      </c>
      <c r="C84" s="65">
        <v>8</v>
      </c>
      <c r="D84" s="10"/>
      <c r="E84" s="10"/>
      <c r="F84" s="10"/>
    </row>
    <row r="85" spans="2:6">
      <c r="B85" s="64">
        <v>1</v>
      </c>
      <c r="C85" s="65">
        <v>9</v>
      </c>
      <c r="D85" s="10"/>
      <c r="E85" s="10"/>
      <c r="F85" s="10"/>
    </row>
    <row r="86" spans="2:6">
      <c r="B86" s="64">
        <v>1</v>
      </c>
      <c r="C86" s="65">
        <v>10</v>
      </c>
      <c r="D86" s="10"/>
      <c r="E86" s="10"/>
      <c r="F86" s="94"/>
    </row>
    <row r="87" spans="2:6">
      <c r="B87" s="64">
        <v>1</v>
      </c>
      <c r="C87" s="65">
        <v>11</v>
      </c>
      <c r="D87" s="10"/>
      <c r="E87" s="10"/>
      <c r="F87" s="10"/>
    </row>
    <row r="88" spans="2:6">
      <c r="B88" s="64">
        <v>1</v>
      </c>
      <c r="C88" s="65">
        <v>12</v>
      </c>
      <c r="D88" s="10"/>
      <c r="E88" s="10"/>
      <c r="F88" s="10"/>
    </row>
    <row r="89" spans="2:6">
      <c r="B89" s="64">
        <v>2</v>
      </c>
      <c r="C89" s="65">
        <v>1</v>
      </c>
      <c r="D89" s="10"/>
      <c r="E89" s="10"/>
      <c r="F89" s="10"/>
    </row>
    <row r="90" spans="2:6">
      <c r="B90" s="64">
        <v>2</v>
      </c>
      <c r="C90" s="65">
        <v>2</v>
      </c>
      <c r="D90" s="10"/>
      <c r="E90" s="10"/>
      <c r="F90" s="10"/>
    </row>
    <row r="91" spans="2:6">
      <c r="B91" s="64">
        <v>2</v>
      </c>
      <c r="C91" s="65">
        <v>3</v>
      </c>
      <c r="D91" s="10"/>
      <c r="E91" s="10"/>
      <c r="F91" s="10"/>
    </row>
    <row r="92" spans="2:6">
      <c r="B92" s="64">
        <v>2</v>
      </c>
      <c r="C92" s="65">
        <v>4</v>
      </c>
      <c r="D92" s="10"/>
      <c r="E92" s="10"/>
      <c r="F92" s="10"/>
    </row>
    <row r="93" spans="2:6" ht="30">
      <c r="B93" s="64">
        <v>2</v>
      </c>
      <c r="C93" s="65">
        <v>5</v>
      </c>
      <c r="D93" s="10" t="s">
        <v>874</v>
      </c>
      <c r="E93" s="10" t="s">
        <v>875</v>
      </c>
      <c r="F93" s="10" t="s">
        <v>876</v>
      </c>
    </row>
    <row r="94" spans="2:6">
      <c r="B94" s="64">
        <v>2</v>
      </c>
      <c r="C94" s="65">
        <v>6</v>
      </c>
      <c r="D94" s="10"/>
      <c r="E94" s="10"/>
      <c r="F94" s="10"/>
    </row>
    <row r="95" spans="2:6">
      <c r="B95" s="64">
        <v>2</v>
      </c>
      <c r="C95" s="65">
        <v>7</v>
      </c>
      <c r="D95" s="10"/>
      <c r="E95" s="10"/>
      <c r="F95" s="10"/>
    </row>
    <row r="96" spans="2:6">
      <c r="B96" s="64">
        <v>2</v>
      </c>
      <c r="C96" s="65">
        <v>8</v>
      </c>
      <c r="D96" s="10"/>
      <c r="E96" s="10"/>
      <c r="F96" s="10"/>
    </row>
    <row r="97" spans="2:6">
      <c r="B97" s="64">
        <v>2</v>
      </c>
      <c r="C97" s="65">
        <v>9</v>
      </c>
      <c r="D97" s="10"/>
      <c r="E97" s="10"/>
      <c r="F97" s="10"/>
    </row>
    <row r="98" spans="2:6">
      <c r="B98" s="64">
        <v>2</v>
      </c>
      <c r="C98" s="65">
        <v>10</v>
      </c>
      <c r="D98" s="10"/>
      <c r="E98" s="10"/>
      <c r="F98" s="10"/>
    </row>
    <row r="99" spans="2:6">
      <c r="B99" s="64">
        <v>2</v>
      </c>
      <c r="C99" s="65">
        <v>11</v>
      </c>
      <c r="D99" s="10"/>
      <c r="E99" s="10"/>
      <c r="F99" s="10"/>
    </row>
    <row r="100" spans="2:6">
      <c r="B100" s="64">
        <v>2</v>
      </c>
      <c r="C100" s="65">
        <v>12</v>
      </c>
      <c r="D100" s="10"/>
      <c r="E100" s="10"/>
      <c r="F100" s="10"/>
    </row>
  </sheetData>
  <sheetProtection sheet="1" objects="1" scenarios="1" formatCells="0" formatColumns="0" formatRows="0" insertHyperlinks="0"/>
  <dataValidations count="4">
    <dataValidation type="list" allowBlank="1" showInputMessage="1" showErrorMessage="1" sqref="F46:F72" xr:uid="{8CD18753-D5D5-47C9-AE29-C832814F9869}">
      <formula1>INDIRECT(VLOOKUP($E46, SkillNameMap, 2, FALSE))</formula1>
    </dataValidation>
    <dataValidation type="list" allowBlank="1" showInputMessage="1" showErrorMessage="1" sqref="E38:E41" xr:uid="{30ED3A3D-A6E5-45DA-A072-4863AA8C1558}">
      <formula1>INDIRECT("LISTAssess[Assessment Specific]")</formula1>
    </dataValidation>
    <dataValidation type="whole" showInputMessage="1" showErrorMessage="1" error="This is not a realistic number of contact hours please change" sqref="D19" xr:uid="{ED7F7914-6C28-4D8E-B268-3CD5BA4E3144}">
      <formula1>0</formula1>
      <formula2>80</formula2>
    </dataValidation>
    <dataValidation type="whole" showInputMessage="1" showErrorMessage="1" error="This is not a realistic number of contact hours please reduce" sqref="D20:D23" xr:uid="{7D2F483B-63CE-4110-AF1C-80CF6D50C7FA}">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8A1593AF-AF33-44A4-BD5D-F2DC41EAA86E}">
          <x14:formula1>
            <xm:f>LISTS!$J$7:$J$16</xm:f>
          </x14:formula1>
          <xm:sqref>E46:E72</xm:sqref>
        </x14:dataValidation>
        <x14:dataValidation type="list" allowBlank="1" showInputMessage="1" showErrorMessage="1" xr:uid="{13524674-6569-4444-A927-B70E751D7616}">
          <x14:formula1>
            <xm:f>LISTS!$E$7:$E$11</xm:f>
          </x14:formula1>
          <xm:sqref>D46:D72</xm:sqref>
        </x14:dataValidation>
        <x14:dataValidation type="list" allowBlank="1" showInputMessage="1" showErrorMessage="1" xr:uid="{BD1D28E8-E44D-43D6-AB31-6906AFB76CC7}">
          <x14:formula1>
            <xm:f>LISTS!$G$7:$G$11</xm:f>
          </x14:formula1>
          <xm:sqref>D39:D42</xm:sqref>
        </x14:dataValidation>
        <x14:dataValidation type="list" allowBlank="1" showInputMessage="1" showErrorMessage="1" xr:uid="{4307F0DB-5179-49DE-9F56-B0D376451B8E}">
          <x14:formula1>
            <xm:f>LISTS!$C$11:$C$15</xm:f>
          </x14:formula1>
          <xm:sqref>D11</xm:sqref>
        </x14:dataValidation>
        <x14:dataValidation type="list" allowBlank="1" showInputMessage="1" showErrorMessage="1" xr:uid="{881415EC-E12E-4E20-BF7A-6A7CDB9E721E}">
          <x14:formula1>
            <xm:f>LISTS!$C$7:$C$9</xm:f>
          </x14:formula1>
          <xm:sqref>D10</xm:sqref>
        </x14:dataValidation>
        <x14:dataValidation type="list" allowBlank="1" showInputMessage="1" showErrorMessage="1" xr:uid="{264E4697-DBBE-457A-A30D-C8272EF12344}">
          <x14:formula1>
            <xm:f>LISTS!$C$17:$C$22</xm:f>
          </x14:formula1>
          <xm:sqref>D13</xm:sqref>
        </x14:dataValidation>
        <x14:dataValidation type="list" allowBlank="1" showInputMessage="1" showErrorMessage="1" xr:uid="{849644AB-3E82-4044-91E7-7C031EBB1D3B}">
          <x14:formula1>
            <xm:f>LISTS!$C$26:$C$37</xm:f>
          </x14:formula1>
          <xm:sqref>D14</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393CBE-AC61-4382-834C-8132B542CACA}">
  <sheetPr codeName="Sheet9"/>
  <dimension ref="B2:H94"/>
  <sheetViews>
    <sheetView showGridLines="0" topLeftCell="A26" zoomScale="85" zoomScaleNormal="85" workbookViewId="0">
      <selection activeCell="E11" sqref="E11"/>
    </sheetView>
  </sheetViews>
  <sheetFormatPr defaultColWidth="8.85546875" defaultRowHeight="1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c r="C2" s="9" t="str">
        <f>D7</f>
        <v>6091SPS</v>
      </c>
      <c r="D2" s="9" t="str">
        <f>D8</f>
        <v>Major Project</v>
      </c>
    </row>
    <row r="3" spans="2:6">
      <c r="B3" s="1"/>
      <c r="C3" s="1"/>
    </row>
    <row r="4" spans="2:6">
      <c r="B4" s="2"/>
      <c r="C4" s="2"/>
    </row>
    <row r="5" spans="2:6" ht="18.75">
      <c r="B5" s="2"/>
      <c r="C5" s="5" t="s">
        <v>0</v>
      </c>
    </row>
    <row r="6" spans="2:6">
      <c r="B6" s="2"/>
      <c r="C6" s="3" t="s">
        <v>1</v>
      </c>
      <c r="D6" s="4" t="s">
        <v>2</v>
      </c>
      <c r="E6" s="4"/>
      <c r="F6" t="s">
        <v>3</v>
      </c>
    </row>
    <row r="7" spans="2:6" ht="60">
      <c r="B7" s="2"/>
      <c r="C7" s="63" t="s">
        <v>4</v>
      </c>
      <c r="D7" s="10" t="s">
        <v>877</v>
      </c>
      <c r="E7" s="4"/>
      <c r="F7" s="20" t="s">
        <v>878</v>
      </c>
    </row>
    <row r="8" spans="2:6">
      <c r="B8" s="2"/>
      <c r="C8" s="63" t="s">
        <v>6</v>
      </c>
      <c r="D8" s="10" t="s">
        <v>879</v>
      </c>
      <c r="E8" s="4"/>
      <c r="F8" s="20"/>
    </row>
    <row r="9" spans="2:6">
      <c r="C9" s="63" t="s">
        <v>7</v>
      </c>
      <c r="D9" s="10">
        <v>40</v>
      </c>
      <c r="E9" s="4"/>
      <c r="F9" s="97"/>
    </row>
    <row r="10" spans="2:6">
      <c r="C10" s="63" t="s">
        <v>8</v>
      </c>
      <c r="D10" s="10" t="s">
        <v>843</v>
      </c>
      <c r="E10" s="4"/>
      <c r="F10" s="97" t="s">
        <v>9</v>
      </c>
    </row>
    <row r="11" spans="2:6" ht="30">
      <c r="C11" s="63" t="s">
        <v>10</v>
      </c>
      <c r="D11" s="10">
        <v>6</v>
      </c>
      <c r="E11" s="4"/>
      <c r="F11" s="20" t="s">
        <v>880</v>
      </c>
    </row>
    <row r="12" spans="2:6" ht="30">
      <c r="C12" s="63" t="s">
        <v>11</v>
      </c>
      <c r="D12" s="10" t="s">
        <v>881</v>
      </c>
      <c r="E12" s="4"/>
      <c r="F12" s="20" t="s">
        <v>882</v>
      </c>
    </row>
    <row r="13" spans="2:6">
      <c r="C13" s="63" t="s">
        <v>12</v>
      </c>
      <c r="D13" s="10" t="s">
        <v>883</v>
      </c>
      <c r="E13" s="4"/>
      <c r="F13" s="20" t="s">
        <v>884</v>
      </c>
    </row>
    <row r="14" spans="2:6">
      <c r="C14" s="63" t="s">
        <v>13</v>
      </c>
      <c r="D14" s="10" t="s">
        <v>186</v>
      </c>
      <c r="E14" s="4"/>
      <c r="F14" s="97"/>
    </row>
    <row r="15" spans="2:6">
      <c r="C15" s="3"/>
      <c r="D15" s="4"/>
      <c r="E15" s="4"/>
      <c r="F15" s="97" t="s">
        <v>14</v>
      </c>
    </row>
    <row r="16" spans="2:6">
      <c r="C16" s="3"/>
      <c r="D16" s="4"/>
      <c r="E16" s="4"/>
      <c r="F16" s="20" t="s">
        <v>885</v>
      </c>
    </row>
    <row r="17" spans="3:6" ht="30">
      <c r="C17" s="5" t="s">
        <v>15</v>
      </c>
      <c r="D17" s="4"/>
      <c r="E17" s="4"/>
      <c r="F17" s="20" t="s">
        <v>886</v>
      </c>
    </row>
    <row r="18" spans="3:6" ht="30">
      <c r="C18" s="3" t="s">
        <v>16</v>
      </c>
      <c r="D18" s="1" t="s">
        <v>15</v>
      </c>
      <c r="E18" s="4"/>
      <c r="F18" s="20" t="s">
        <v>887</v>
      </c>
    </row>
    <row r="19" spans="3:6" ht="30">
      <c r="C19" s="63" t="s">
        <v>17</v>
      </c>
      <c r="D19" s="11">
        <v>12</v>
      </c>
      <c r="E19" s="4"/>
      <c r="F19" s="20" t="s">
        <v>888</v>
      </c>
    </row>
    <row r="20" spans="3:6">
      <c r="C20" s="63" t="s">
        <v>18</v>
      </c>
      <c r="D20" s="11">
        <v>10</v>
      </c>
      <c r="E20" s="4"/>
      <c r="F20" s="20" t="s">
        <v>889</v>
      </c>
    </row>
    <row r="21" spans="3:6">
      <c r="C21" s="63" t="s">
        <v>19</v>
      </c>
      <c r="D21" s="11"/>
      <c r="E21" s="4"/>
      <c r="F21" s="97"/>
    </row>
    <row r="22" spans="3:6">
      <c r="C22" s="63" t="s">
        <v>20</v>
      </c>
      <c r="D22" s="11"/>
      <c r="E22" s="4"/>
      <c r="F22" s="97" t="s">
        <v>21</v>
      </c>
    </row>
    <row r="23" spans="3:6" ht="90">
      <c r="C23" s="63" t="s">
        <v>22</v>
      </c>
      <c r="D23" s="11"/>
      <c r="E23" s="4"/>
      <c r="F23" s="20" t="s">
        <v>890</v>
      </c>
    </row>
    <row r="24" spans="3:6" ht="30">
      <c r="C24" s="63" t="s">
        <v>23</v>
      </c>
      <c r="D24" s="1">
        <f>SUM(D19:D23)</f>
        <v>22</v>
      </c>
      <c r="E24" s="4"/>
      <c r="F24" s="92" t="s">
        <v>891</v>
      </c>
    </row>
    <row r="25" spans="3:6">
      <c r="F25" s="92" t="s">
        <v>892</v>
      </c>
    </row>
    <row r="26" spans="3:6" ht="30">
      <c r="F26" s="92" t="s">
        <v>893</v>
      </c>
    </row>
    <row r="27" spans="3:6" ht="30">
      <c r="C27" s="5" t="s">
        <v>24</v>
      </c>
      <c r="D27" s="8" t="s">
        <v>25</v>
      </c>
      <c r="F27" s="92" t="s">
        <v>894</v>
      </c>
    </row>
    <row r="28" spans="3:6">
      <c r="C28" s="3" t="s">
        <v>26</v>
      </c>
      <c r="D28" s="3" t="s">
        <v>27</v>
      </c>
      <c r="E28" s="3"/>
      <c r="F28" s="92" t="s">
        <v>895</v>
      </c>
    </row>
    <row r="29" spans="3:6" ht="30">
      <c r="C29" s="63" t="s">
        <v>28</v>
      </c>
      <c r="D29" s="10" t="s">
        <v>896</v>
      </c>
      <c r="E29" s="4"/>
      <c r="F29" s="92" t="s">
        <v>897</v>
      </c>
    </row>
    <row r="30" spans="3:6" ht="30">
      <c r="C30" s="63" t="s">
        <v>29</v>
      </c>
      <c r="D30" s="10" t="s">
        <v>898</v>
      </c>
      <c r="E30" s="4"/>
      <c r="F30" s="92" t="s">
        <v>899</v>
      </c>
    </row>
    <row r="31" spans="3:6" ht="30">
      <c r="C31" s="63" t="s">
        <v>30</v>
      </c>
      <c r="D31" s="10" t="s">
        <v>900</v>
      </c>
      <c r="E31" s="4"/>
      <c r="F31" s="92" t="s">
        <v>901</v>
      </c>
    </row>
    <row r="32" spans="3:6">
      <c r="C32" s="63" t="s">
        <v>31</v>
      </c>
      <c r="D32" s="10"/>
      <c r="E32" s="4"/>
      <c r="F32" s="92" t="s">
        <v>902</v>
      </c>
    </row>
    <row r="33" spans="3:8">
      <c r="C33" s="63" t="s">
        <v>32</v>
      </c>
      <c r="D33" s="10"/>
      <c r="E33" s="4"/>
      <c r="F33" s="92" t="s">
        <v>903</v>
      </c>
    </row>
    <row r="36" spans="3:8" ht="18.75">
      <c r="C36" s="5" t="s">
        <v>33</v>
      </c>
    </row>
    <row r="37" spans="3:8">
      <c r="C37" s="3" t="s">
        <v>34</v>
      </c>
      <c r="D37" s="3" t="s">
        <v>35</v>
      </c>
      <c r="E37" s="3" t="s">
        <v>36</v>
      </c>
      <c r="F37" s="3" t="s">
        <v>37</v>
      </c>
      <c r="G37" s="3" t="s">
        <v>38</v>
      </c>
      <c r="H37" s="3" t="s">
        <v>39</v>
      </c>
    </row>
    <row r="38" spans="3:8" ht="75">
      <c r="C38" s="63" t="s">
        <v>40</v>
      </c>
      <c r="D38" s="10" t="s">
        <v>355</v>
      </c>
      <c r="E38" s="10" t="s">
        <v>904</v>
      </c>
      <c r="F38" s="10" t="s">
        <v>905</v>
      </c>
      <c r="G38" s="12">
        <v>0.6</v>
      </c>
      <c r="H38" s="10">
        <v>28</v>
      </c>
    </row>
    <row r="39" spans="3:8" ht="30">
      <c r="C39" s="63" t="s">
        <v>44</v>
      </c>
      <c r="D39" s="10" t="s">
        <v>41</v>
      </c>
      <c r="E39" s="10" t="s">
        <v>95</v>
      </c>
      <c r="F39" s="10" t="s">
        <v>906</v>
      </c>
      <c r="G39" s="12">
        <v>0.4</v>
      </c>
      <c r="H39" s="10">
        <v>28</v>
      </c>
    </row>
    <row r="40" spans="3:8">
      <c r="C40" s="63" t="s">
        <v>45</v>
      </c>
      <c r="D40" s="13"/>
      <c r="E40" s="13"/>
      <c r="F40" s="13"/>
      <c r="G40" s="13"/>
      <c r="H40" s="13"/>
    </row>
    <row r="41" spans="3:8">
      <c r="C41" s="63" t="s">
        <v>46</v>
      </c>
      <c r="D41" s="13"/>
      <c r="E41" s="13"/>
      <c r="F41" s="13"/>
      <c r="G41" s="13"/>
      <c r="H41" s="13"/>
    </row>
    <row r="42" spans="3:8">
      <c r="C42" s="3"/>
    </row>
    <row r="44" spans="3:8" ht="18.75">
      <c r="C44" s="5" t="s">
        <v>47</v>
      </c>
      <c r="D44" s="8"/>
    </row>
    <row r="45" spans="3:8">
      <c r="C45" s="1" t="s">
        <v>34</v>
      </c>
      <c r="D45" s="1" t="s">
        <v>26</v>
      </c>
      <c r="E45" s="1" t="s">
        <v>48</v>
      </c>
      <c r="F45" s="1" t="s">
        <v>49</v>
      </c>
    </row>
    <row r="46" spans="3:8">
      <c r="C46" s="14" t="s">
        <v>40</v>
      </c>
      <c r="D46" s="13" t="s">
        <v>28</v>
      </c>
      <c r="E46" s="13" t="s">
        <v>57</v>
      </c>
      <c r="F46" s="13" t="s">
        <v>240</v>
      </c>
    </row>
    <row r="47" spans="3:8">
      <c r="C47" s="14" t="s">
        <v>40</v>
      </c>
      <c r="D47" s="13" t="s">
        <v>28</v>
      </c>
      <c r="E47" s="13" t="s">
        <v>57</v>
      </c>
      <c r="F47" s="13" t="s">
        <v>907</v>
      </c>
    </row>
    <row r="48" spans="3:8">
      <c r="C48" s="14" t="s">
        <v>40</v>
      </c>
      <c r="D48" s="13" t="s">
        <v>28</v>
      </c>
      <c r="E48" s="13" t="s">
        <v>53</v>
      </c>
      <c r="F48" s="13" t="s">
        <v>908</v>
      </c>
    </row>
    <row r="49" spans="3:6">
      <c r="C49" s="14" t="s">
        <v>44</v>
      </c>
      <c r="D49" s="13" t="s">
        <v>28</v>
      </c>
      <c r="E49" s="13" t="s">
        <v>53</v>
      </c>
      <c r="F49" s="13" t="s">
        <v>242</v>
      </c>
    </row>
    <row r="50" spans="3:6">
      <c r="C50" s="14" t="s">
        <v>44</v>
      </c>
      <c r="D50" s="13" t="s">
        <v>29</v>
      </c>
      <c r="E50" s="13" t="s">
        <v>50</v>
      </c>
      <c r="F50" s="13" t="s">
        <v>52</v>
      </c>
    </row>
    <row r="51" spans="3:6">
      <c r="C51" s="14" t="s">
        <v>44</v>
      </c>
      <c r="D51" s="13" t="s">
        <v>29</v>
      </c>
      <c r="E51" s="13" t="s">
        <v>50</v>
      </c>
      <c r="F51" s="13" t="s">
        <v>239</v>
      </c>
    </row>
    <row r="52" spans="3:6">
      <c r="C52" s="14" t="s">
        <v>40</v>
      </c>
      <c r="D52" s="13" t="s">
        <v>29</v>
      </c>
      <c r="E52" s="13" t="s">
        <v>50</v>
      </c>
      <c r="F52" s="13" t="s">
        <v>304</v>
      </c>
    </row>
    <row r="53" spans="3:6">
      <c r="C53" s="14" t="s">
        <v>44</v>
      </c>
      <c r="D53" s="13" t="s">
        <v>29</v>
      </c>
      <c r="E53" s="13" t="s">
        <v>55</v>
      </c>
      <c r="F53" s="13" t="s">
        <v>359</v>
      </c>
    </row>
    <row r="54" spans="3:6">
      <c r="C54" s="14" t="s">
        <v>44</v>
      </c>
      <c r="D54" s="13" t="s">
        <v>30</v>
      </c>
      <c r="E54" s="13" t="s">
        <v>162</v>
      </c>
      <c r="F54" s="13" t="s">
        <v>164</v>
      </c>
    </row>
    <row r="55" spans="3:6">
      <c r="C55" s="14" t="s">
        <v>44</v>
      </c>
      <c r="D55" s="13" t="s">
        <v>30</v>
      </c>
      <c r="E55" s="13" t="s">
        <v>55</v>
      </c>
      <c r="F55" s="13" t="s">
        <v>56</v>
      </c>
    </row>
    <row r="56" spans="3:6">
      <c r="C56" s="14" t="s">
        <v>44</v>
      </c>
      <c r="D56" s="13" t="s">
        <v>30</v>
      </c>
      <c r="E56" s="13" t="s">
        <v>106</v>
      </c>
      <c r="F56" s="13" t="s">
        <v>306</v>
      </c>
    </row>
    <row r="57" spans="3:6">
      <c r="C57" s="14"/>
      <c r="D57" s="13"/>
      <c r="E57" s="13"/>
      <c r="F57" s="13"/>
    </row>
    <row r="58" spans="3:6">
      <c r="C58" s="14"/>
      <c r="D58" s="13"/>
      <c r="E58" s="13"/>
      <c r="F58" s="13"/>
    </row>
    <row r="59" spans="3:6">
      <c r="C59" s="14"/>
      <c r="D59" s="13"/>
      <c r="E59" s="13"/>
      <c r="F59" s="13"/>
    </row>
    <row r="60" spans="3:6">
      <c r="C60" s="14"/>
      <c r="D60" s="13"/>
      <c r="E60" s="13"/>
      <c r="F60" s="13"/>
    </row>
    <row r="61" spans="3:6">
      <c r="C61" s="14"/>
      <c r="D61" s="13"/>
      <c r="E61" s="13"/>
      <c r="F61" s="13"/>
    </row>
    <row r="62" spans="3:6">
      <c r="C62" s="14"/>
      <c r="D62" s="13"/>
      <c r="E62" s="13"/>
      <c r="F62" s="13"/>
    </row>
    <row r="63" spans="3:6">
      <c r="C63" s="14"/>
      <c r="D63" s="13"/>
      <c r="E63" s="13"/>
      <c r="F63" s="13"/>
    </row>
    <row r="64" spans="3:6">
      <c r="C64" s="14"/>
      <c r="D64" s="13"/>
      <c r="E64" s="13"/>
      <c r="F64" s="13"/>
    </row>
    <row r="65" spans="2:6">
      <c r="C65" s="14"/>
      <c r="D65" s="13"/>
      <c r="E65" s="13"/>
      <c r="F65" s="13"/>
    </row>
    <row r="66" spans="2:6">
      <c r="C66" s="14"/>
      <c r="D66" s="13"/>
      <c r="E66" s="13"/>
      <c r="F66" s="13"/>
    </row>
    <row r="69" spans="2:6" ht="18.75">
      <c r="C69" s="5" t="s">
        <v>59</v>
      </c>
    </row>
    <row r="70" spans="2:6">
      <c r="B70" t="s">
        <v>60</v>
      </c>
      <c r="C70" s="1" t="s">
        <v>61</v>
      </c>
      <c r="D70" s="1" t="s">
        <v>62</v>
      </c>
      <c r="E70" s="1" t="s">
        <v>63</v>
      </c>
      <c r="F70" s="69" t="s">
        <v>64</v>
      </c>
    </row>
    <row r="71" spans="2:6">
      <c r="B71" s="64">
        <v>1</v>
      </c>
      <c r="C71" s="65">
        <v>1</v>
      </c>
      <c r="D71" s="70" t="s">
        <v>909</v>
      </c>
      <c r="E71" s="70" t="s">
        <v>910</v>
      </c>
      <c r="F71" s="41" t="s">
        <v>911</v>
      </c>
    </row>
    <row r="72" spans="2:6">
      <c r="B72" s="64">
        <v>1</v>
      </c>
      <c r="C72" s="65">
        <v>2</v>
      </c>
      <c r="D72" s="10" t="s">
        <v>912</v>
      </c>
      <c r="E72" s="70" t="s">
        <v>913</v>
      </c>
      <c r="F72" s="41" t="s">
        <v>911</v>
      </c>
    </row>
    <row r="73" spans="2:6">
      <c r="B73" s="64">
        <v>1</v>
      </c>
      <c r="C73" s="65">
        <v>3</v>
      </c>
      <c r="D73" s="10" t="s">
        <v>914</v>
      </c>
      <c r="E73" s="10" t="s">
        <v>163</v>
      </c>
      <c r="F73" s="41" t="s">
        <v>911</v>
      </c>
    </row>
    <row r="74" spans="2:6">
      <c r="B74" s="64">
        <v>1</v>
      </c>
      <c r="C74" s="65">
        <v>4</v>
      </c>
      <c r="D74" s="10" t="s">
        <v>915</v>
      </c>
      <c r="E74" s="10" t="s">
        <v>916</v>
      </c>
      <c r="F74" s="41" t="s">
        <v>911</v>
      </c>
    </row>
    <row r="75" spans="2:6">
      <c r="B75" s="64">
        <v>1</v>
      </c>
      <c r="C75" s="65">
        <v>5</v>
      </c>
      <c r="D75" s="10" t="s">
        <v>917</v>
      </c>
      <c r="E75" s="10" t="s">
        <v>918</v>
      </c>
      <c r="F75" s="41" t="s">
        <v>911</v>
      </c>
    </row>
    <row r="76" spans="2:6">
      <c r="B76" s="64">
        <v>1</v>
      </c>
      <c r="C76" s="65">
        <v>6</v>
      </c>
      <c r="D76" s="10" t="s">
        <v>919</v>
      </c>
      <c r="E76" s="10" t="s">
        <v>920</v>
      </c>
      <c r="F76" s="41" t="s">
        <v>911</v>
      </c>
    </row>
    <row r="77" spans="2:6">
      <c r="B77" s="64">
        <v>1</v>
      </c>
      <c r="C77" s="65">
        <v>7</v>
      </c>
      <c r="D77" s="10"/>
      <c r="E77" s="10"/>
      <c r="F77" s="41"/>
    </row>
    <row r="78" spans="2:6">
      <c r="B78" s="64">
        <v>1</v>
      </c>
      <c r="C78" s="65">
        <v>8</v>
      </c>
      <c r="D78" s="10" t="s">
        <v>921</v>
      </c>
      <c r="E78" s="10" t="s">
        <v>921</v>
      </c>
      <c r="F78" s="41"/>
    </row>
    <row r="79" spans="2:6">
      <c r="B79" s="64">
        <v>1</v>
      </c>
      <c r="C79" s="65">
        <v>9</v>
      </c>
      <c r="D79" s="10" t="s">
        <v>921</v>
      </c>
      <c r="E79" s="10" t="s">
        <v>921</v>
      </c>
      <c r="F79" s="41"/>
    </row>
    <row r="80" spans="2:6">
      <c r="B80" s="64">
        <v>1</v>
      </c>
      <c r="C80" s="65">
        <v>10</v>
      </c>
      <c r="D80" s="10" t="s">
        <v>921</v>
      </c>
      <c r="E80" s="10" t="s">
        <v>921</v>
      </c>
      <c r="F80" s="41"/>
    </row>
    <row r="81" spans="2:6">
      <c r="B81" s="64">
        <v>1</v>
      </c>
      <c r="C81" s="65">
        <v>11</v>
      </c>
      <c r="D81" s="10" t="s">
        <v>921</v>
      </c>
      <c r="E81" s="10" t="s">
        <v>921</v>
      </c>
      <c r="F81" s="41"/>
    </row>
    <row r="82" spans="2:6">
      <c r="B82" s="64">
        <v>1</v>
      </c>
      <c r="C82" s="65">
        <v>12</v>
      </c>
      <c r="D82" s="10" t="s">
        <v>921</v>
      </c>
      <c r="E82" s="10" t="s">
        <v>921</v>
      </c>
      <c r="F82" s="41"/>
    </row>
    <row r="83" spans="2:6">
      <c r="B83" s="64">
        <v>2</v>
      </c>
      <c r="C83" s="65">
        <v>1</v>
      </c>
      <c r="D83" s="10" t="s">
        <v>922</v>
      </c>
      <c r="E83" s="10" t="s">
        <v>922</v>
      </c>
      <c r="F83" s="41"/>
    </row>
    <row r="84" spans="2:6">
      <c r="B84" s="64">
        <v>2</v>
      </c>
      <c r="C84" s="65">
        <v>2</v>
      </c>
      <c r="D84" s="10" t="s">
        <v>923</v>
      </c>
      <c r="E84" s="10" t="s">
        <v>924</v>
      </c>
      <c r="F84" s="41"/>
    </row>
    <row r="85" spans="2:6">
      <c r="B85" s="64">
        <v>2</v>
      </c>
      <c r="C85" s="65">
        <v>3</v>
      </c>
      <c r="D85" s="10" t="s">
        <v>925</v>
      </c>
      <c r="E85" s="10" t="s">
        <v>926</v>
      </c>
      <c r="F85" s="41"/>
    </row>
    <row r="86" spans="2:6">
      <c r="B86" s="64">
        <v>2</v>
      </c>
      <c r="C86" s="65">
        <v>4</v>
      </c>
      <c r="D86" s="10" t="s">
        <v>927</v>
      </c>
      <c r="E86" s="10" t="s">
        <v>921</v>
      </c>
      <c r="F86" s="41"/>
    </row>
    <row r="87" spans="2:6">
      <c r="B87" s="64">
        <v>2</v>
      </c>
      <c r="C87" s="65">
        <v>5</v>
      </c>
      <c r="D87" s="10" t="s">
        <v>928</v>
      </c>
      <c r="E87" s="10" t="s">
        <v>921</v>
      </c>
      <c r="F87" s="41"/>
    </row>
    <row r="88" spans="2:6">
      <c r="B88" s="64">
        <v>2</v>
      </c>
      <c r="C88" s="65">
        <v>6</v>
      </c>
      <c r="D88" s="10" t="s">
        <v>921</v>
      </c>
      <c r="E88" s="10" t="s">
        <v>921</v>
      </c>
      <c r="F88" s="41"/>
    </row>
    <row r="89" spans="2:6">
      <c r="B89" s="64">
        <v>2</v>
      </c>
      <c r="C89" s="65">
        <v>7</v>
      </c>
      <c r="D89" s="10"/>
      <c r="E89" s="10"/>
      <c r="F89" s="41"/>
    </row>
    <row r="90" spans="2:6">
      <c r="B90" s="64">
        <v>2</v>
      </c>
      <c r="C90" s="65">
        <v>8</v>
      </c>
      <c r="D90" s="10" t="s">
        <v>929</v>
      </c>
      <c r="E90" s="10" t="s">
        <v>929</v>
      </c>
      <c r="F90" s="41"/>
    </row>
    <row r="91" spans="2:6">
      <c r="B91" s="64">
        <v>2</v>
      </c>
      <c r="C91" s="65">
        <v>9</v>
      </c>
      <c r="D91" s="10" t="s">
        <v>921</v>
      </c>
      <c r="E91" s="10" t="s">
        <v>921</v>
      </c>
      <c r="F91" s="41"/>
    </row>
    <row r="92" spans="2:6">
      <c r="B92" s="64">
        <v>2</v>
      </c>
      <c r="C92" s="65">
        <v>10</v>
      </c>
      <c r="D92" s="10" t="s">
        <v>921</v>
      </c>
      <c r="E92" s="10" t="s">
        <v>921</v>
      </c>
      <c r="F92" s="41"/>
    </row>
    <row r="93" spans="2:6">
      <c r="B93" s="64">
        <v>2</v>
      </c>
      <c r="C93" s="65">
        <v>11</v>
      </c>
      <c r="D93" s="10" t="s">
        <v>921</v>
      </c>
      <c r="E93" s="10" t="s">
        <v>921</v>
      </c>
      <c r="F93" s="41"/>
    </row>
    <row r="94" spans="2:6">
      <c r="B94" s="64">
        <v>2</v>
      </c>
      <c r="C94" s="65">
        <v>12</v>
      </c>
      <c r="D94" s="10" t="s">
        <v>921</v>
      </c>
      <c r="E94" s="10" t="s">
        <v>921</v>
      </c>
      <c r="F94" s="41"/>
    </row>
  </sheetData>
  <sheetProtection sheet="1" objects="1" scenarios="1" formatCells="0" formatColumns="0" formatRows="0" insertHyperlinks="0"/>
  <dataValidations count="4">
    <dataValidation type="whole" showInputMessage="1" showErrorMessage="1" error="This is not a realistic number of contact hours please reduce" sqref="D20:D23" xr:uid="{739D2576-B862-4853-8753-8DF65DD1B8E0}">
      <formula1>0</formula1>
      <formula2>80</formula2>
    </dataValidation>
    <dataValidation type="whole" showInputMessage="1" showErrorMessage="1" error="This is not a realistic number of contact hours please change" sqref="D19" xr:uid="{FBECA4FB-7A34-4FDD-80A9-474CB8B74418}">
      <formula1>0</formula1>
      <formula2>80</formula2>
    </dataValidation>
    <dataValidation type="list" allowBlank="1" showInputMessage="1" showErrorMessage="1" sqref="E38:E41" xr:uid="{A62A3AA1-D3B0-45A3-A998-2D56857427B0}">
      <formula1>INDIRECT("LISTAssess[Assessment Specific]")</formula1>
    </dataValidation>
    <dataValidation type="list" allowBlank="1" showInputMessage="1" showErrorMessage="1" sqref="F46:F66" xr:uid="{18E884D7-F12C-48DC-A53D-24BA4F0CF85C}">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A52E779B-E821-4CC1-9128-54996FA802EC}">
          <x14:formula1>
            <xm:f>LISTS!$C$26:$C$37</xm:f>
          </x14:formula1>
          <xm:sqref>D14</xm:sqref>
        </x14:dataValidation>
        <x14:dataValidation type="list" allowBlank="1" showInputMessage="1" showErrorMessage="1" xr:uid="{A5CAE7BB-8764-4881-8FF8-F1033AED8BE0}">
          <x14:formula1>
            <xm:f>LISTS!$C$17:$C$22</xm:f>
          </x14:formula1>
          <xm:sqref>D13</xm:sqref>
        </x14:dataValidation>
        <x14:dataValidation type="list" allowBlank="1" showInputMessage="1" showErrorMessage="1" xr:uid="{07FDBC41-34BD-47AA-9E59-E456FC441771}">
          <x14:formula1>
            <xm:f>LISTS!$C$7:$C$9</xm:f>
          </x14:formula1>
          <xm:sqref>D10</xm:sqref>
        </x14:dataValidation>
        <x14:dataValidation type="list" allowBlank="1" showInputMessage="1" showErrorMessage="1" xr:uid="{35EAF739-973D-4E61-84C4-4B4FF2170971}">
          <x14:formula1>
            <xm:f>LISTS!$C$11:$C$15</xm:f>
          </x14:formula1>
          <xm:sqref>D11</xm:sqref>
        </x14:dataValidation>
        <x14:dataValidation type="list" allowBlank="1" showInputMessage="1" showErrorMessage="1" xr:uid="{90A7C72D-3610-4C02-9AF7-59AF8571FA64}">
          <x14:formula1>
            <xm:f>LISTS!$G$7:$G$11</xm:f>
          </x14:formula1>
          <xm:sqref>D38:D42</xm:sqref>
        </x14:dataValidation>
        <x14:dataValidation type="list" allowBlank="1" showInputMessage="1" showErrorMessage="1" xr:uid="{1DC85910-ED19-4EA2-94B1-66EC223ACFC1}">
          <x14:formula1>
            <xm:f>LISTS!$E$7:$E$11</xm:f>
          </x14:formula1>
          <xm:sqref>D46:D66</xm:sqref>
        </x14:dataValidation>
        <x14:dataValidation type="list" allowBlank="1" showInputMessage="1" showErrorMessage="1" xr:uid="{2751552D-9CB1-43E7-81A0-A1705BDEC705}">
          <x14:formula1>
            <xm:f>LISTS!$J$7:$J$16</xm:f>
          </x14:formula1>
          <xm:sqref>E46:E66</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847D3E-176C-4A98-919A-BC8974D66F1E}">
  <sheetPr codeName="Sheet10"/>
  <dimension ref="B2:H94"/>
  <sheetViews>
    <sheetView showGridLines="0" topLeftCell="A53" zoomScale="85" zoomScaleNormal="85" workbookViewId="0">
      <selection activeCell="E74" sqref="E74"/>
    </sheetView>
  </sheetViews>
  <sheetFormatPr defaultColWidth="8.85546875" defaultRowHeight="1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c r="C2" s="9" t="str">
        <f>D7</f>
        <v>6093SPS</v>
      </c>
      <c r="D2" s="9" t="str">
        <f>D8</f>
        <v>Strength and Conditioning</v>
      </c>
    </row>
    <row r="3" spans="2:6">
      <c r="B3" s="1"/>
      <c r="C3" s="1"/>
    </row>
    <row r="4" spans="2:6">
      <c r="B4" s="2"/>
      <c r="C4" s="2"/>
    </row>
    <row r="5" spans="2:6" ht="18.75">
      <c r="B5" s="2"/>
      <c r="C5" s="5" t="s">
        <v>0</v>
      </c>
    </row>
    <row r="6" spans="2:6">
      <c r="B6" s="2"/>
      <c r="C6" s="3" t="s">
        <v>1</v>
      </c>
      <c r="D6" s="4" t="s">
        <v>2</v>
      </c>
      <c r="E6" s="4"/>
      <c r="F6" t="s">
        <v>3</v>
      </c>
    </row>
    <row r="7" spans="2:6" ht="100.5">
      <c r="B7" s="2"/>
      <c r="C7" s="63" t="s">
        <v>4</v>
      </c>
      <c r="D7" s="10" t="s">
        <v>930</v>
      </c>
      <c r="E7" s="4"/>
      <c r="F7" s="23" t="s">
        <v>931</v>
      </c>
    </row>
    <row r="8" spans="2:6">
      <c r="B8" s="2"/>
      <c r="C8" s="63" t="s">
        <v>6</v>
      </c>
      <c r="D8" s="10" t="s">
        <v>932</v>
      </c>
      <c r="E8" s="4"/>
      <c r="F8" s="20"/>
    </row>
    <row r="9" spans="2:6">
      <c r="C9" s="63" t="s">
        <v>7</v>
      </c>
      <c r="D9" s="10">
        <v>20</v>
      </c>
      <c r="E9" s="4"/>
    </row>
    <row r="10" spans="2:6">
      <c r="C10" s="63" t="s">
        <v>8</v>
      </c>
      <c r="D10" s="10">
        <v>1</v>
      </c>
      <c r="E10" s="4"/>
      <c r="F10" t="s">
        <v>9</v>
      </c>
    </row>
    <row r="11" spans="2:6" ht="72">
      <c r="C11" s="63" t="s">
        <v>10</v>
      </c>
      <c r="D11" s="10">
        <v>6</v>
      </c>
      <c r="E11" s="4"/>
      <c r="F11" s="23" t="s">
        <v>933</v>
      </c>
    </row>
    <row r="12" spans="2:6">
      <c r="C12" s="63" t="s">
        <v>11</v>
      </c>
      <c r="D12" s="10" t="s">
        <v>934</v>
      </c>
      <c r="E12" s="4"/>
      <c r="F12" s="13"/>
    </row>
    <row r="13" spans="2:6">
      <c r="C13" s="63" t="s">
        <v>12</v>
      </c>
      <c r="D13" s="10" t="s">
        <v>532</v>
      </c>
      <c r="E13" s="4"/>
      <c r="F13" s="13"/>
    </row>
    <row r="14" spans="2:6">
      <c r="C14" s="63" t="s">
        <v>13</v>
      </c>
      <c r="D14" s="10" t="s">
        <v>935</v>
      </c>
      <c r="E14" s="4"/>
    </row>
    <row r="15" spans="2:6">
      <c r="C15" s="3"/>
      <c r="D15" s="4"/>
      <c r="E15" s="4"/>
      <c r="F15" t="s">
        <v>14</v>
      </c>
    </row>
    <row r="16" spans="2:6" ht="129">
      <c r="C16" s="3"/>
      <c r="D16" s="4"/>
      <c r="E16" s="4"/>
      <c r="F16" s="23" t="s">
        <v>936</v>
      </c>
    </row>
    <row r="17" spans="3:6" ht="18.75">
      <c r="C17" s="5" t="s">
        <v>15</v>
      </c>
      <c r="D17" s="4"/>
      <c r="E17" s="4"/>
      <c r="F17" s="13"/>
    </row>
    <row r="18" spans="3:6">
      <c r="C18" s="3" t="s">
        <v>16</v>
      </c>
      <c r="D18" s="1" t="s">
        <v>15</v>
      </c>
      <c r="E18" s="4"/>
      <c r="F18" s="13"/>
    </row>
    <row r="19" spans="3:6">
      <c r="C19" s="63" t="s">
        <v>17</v>
      </c>
      <c r="D19" s="11">
        <v>22</v>
      </c>
      <c r="E19" s="4"/>
      <c r="F19" s="13"/>
    </row>
    <row r="20" spans="3:6">
      <c r="C20" s="63" t="s">
        <v>18</v>
      </c>
      <c r="D20" s="11">
        <v>6</v>
      </c>
      <c r="E20" s="4"/>
      <c r="F20" s="13"/>
    </row>
    <row r="21" spans="3:6">
      <c r="C21" s="63" t="s">
        <v>19</v>
      </c>
      <c r="D21" s="11">
        <v>12</v>
      </c>
      <c r="E21" s="4"/>
    </row>
    <row r="22" spans="3:6">
      <c r="C22" s="63" t="s">
        <v>20</v>
      </c>
      <c r="D22" s="11"/>
      <c r="E22" s="4"/>
      <c r="F22" t="s">
        <v>21</v>
      </c>
    </row>
    <row r="23" spans="3:6">
      <c r="C23" s="63" t="s">
        <v>22</v>
      </c>
      <c r="D23" s="11"/>
      <c r="E23" s="4"/>
      <c r="F23" s="13"/>
    </row>
    <row r="24" spans="3:6">
      <c r="C24" s="63" t="s">
        <v>23</v>
      </c>
      <c r="D24" s="1">
        <f>SUM(D19:D23)</f>
        <v>40</v>
      </c>
      <c r="E24" s="4"/>
      <c r="F24" s="13"/>
    </row>
    <row r="25" spans="3:6">
      <c r="F25" s="13"/>
    </row>
    <row r="26" spans="3:6">
      <c r="F26" s="13"/>
    </row>
    <row r="27" spans="3:6" ht="18.75">
      <c r="C27" s="5" t="s">
        <v>24</v>
      </c>
      <c r="D27" s="8" t="s">
        <v>25</v>
      </c>
      <c r="F27" s="13"/>
    </row>
    <row r="28" spans="3:6">
      <c r="C28" s="3" t="s">
        <v>26</v>
      </c>
      <c r="D28" s="3" t="s">
        <v>27</v>
      </c>
      <c r="E28" s="3"/>
      <c r="F28" s="13"/>
    </row>
    <row r="29" spans="3:6" ht="29.25">
      <c r="C29" s="63" t="s">
        <v>28</v>
      </c>
      <c r="D29" s="23" t="s">
        <v>937</v>
      </c>
      <c r="E29" s="4"/>
      <c r="F29" s="13"/>
    </row>
    <row r="30" spans="3:6" ht="43.5">
      <c r="C30" s="63" t="s">
        <v>29</v>
      </c>
      <c r="D30" s="23" t="s">
        <v>938</v>
      </c>
      <c r="E30" s="4"/>
      <c r="F30" s="13"/>
    </row>
    <row r="31" spans="3:6" ht="29.25">
      <c r="C31" s="63" t="s">
        <v>30</v>
      </c>
      <c r="D31" s="23" t="s">
        <v>939</v>
      </c>
      <c r="E31" s="4"/>
      <c r="F31" s="13"/>
    </row>
    <row r="32" spans="3:6">
      <c r="C32" s="63" t="s">
        <v>31</v>
      </c>
      <c r="D32" s="10"/>
      <c r="E32" s="4"/>
      <c r="F32" s="13"/>
    </row>
    <row r="33" spans="3:8">
      <c r="C33" s="63" t="s">
        <v>32</v>
      </c>
      <c r="D33" s="10"/>
      <c r="E33" s="4"/>
      <c r="F33" s="13"/>
    </row>
    <row r="36" spans="3:8" ht="18.75">
      <c r="C36" s="5" t="s">
        <v>33</v>
      </c>
    </row>
    <row r="37" spans="3:8">
      <c r="C37" s="3" t="s">
        <v>34</v>
      </c>
      <c r="D37" s="3" t="s">
        <v>35</v>
      </c>
      <c r="E37" s="3" t="s">
        <v>36</v>
      </c>
      <c r="F37" s="3" t="s">
        <v>37</v>
      </c>
      <c r="G37" s="3" t="s">
        <v>38</v>
      </c>
      <c r="H37" s="3" t="s">
        <v>39</v>
      </c>
    </row>
    <row r="38" spans="3:8" ht="30">
      <c r="C38" s="63" t="s">
        <v>40</v>
      </c>
      <c r="D38" s="10" t="s">
        <v>41</v>
      </c>
      <c r="E38" s="10" t="s">
        <v>95</v>
      </c>
      <c r="F38" s="10" t="s">
        <v>940</v>
      </c>
      <c r="G38" s="12">
        <v>0.5</v>
      </c>
      <c r="H38" s="10">
        <v>6</v>
      </c>
    </row>
    <row r="39" spans="3:8" ht="45">
      <c r="C39" s="63" t="s">
        <v>44</v>
      </c>
      <c r="D39" s="10" t="s">
        <v>97</v>
      </c>
      <c r="E39" s="10" t="s">
        <v>941</v>
      </c>
      <c r="F39" s="10" t="s">
        <v>942</v>
      </c>
      <c r="G39" s="12">
        <v>0.5</v>
      </c>
      <c r="H39" s="10">
        <v>12</v>
      </c>
    </row>
    <row r="40" spans="3:8">
      <c r="C40" s="63" t="s">
        <v>45</v>
      </c>
      <c r="D40" s="13"/>
      <c r="E40" s="13"/>
      <c r="F40" s="13"/>
      <c r="G40" s="13"/>
      <c r="H40" s="13"/>
    </row>
    <row r="41" spans="3:8">
      <c r="C41" s="63" t="s">
        <v>46</v>
      </c>
      <c r="D41" s="13"/>
      <c r="E41" s="13"/>
      <c r="F41" s="13"/>
      <c r="G41" s="13"/>
      <c r="H41" s="13"/>
    </row>
    <row r="42" spans="3:8">
      <c r="C42" s="3"/>
    </row>
    <row r="44" spans="3:8" ht="18.75">
      <c r="C44" s="5" t="s">
        <v>47</v>
      </c>
      <c r="D44" s="8"/>
    </row>
    <row r="45" spans="3:8">
      <c r="C45" s="1" t="s">
        <v>34</v>
      </c>
      <c r="D45" s="1" t="s">
        <v>26</v>
      </c>
      <c r="E45" s="1" t="s">
        <v>48</v>
      </c>
      <c r="F45" s="1" t="s">
        <v>49</v>
      </c>
    </row>
    <row r="46" spans="3:8">
      <c r="C46" s="14" t="s">
        <v>40</v>
      </c>
      <c r="D46" s="13" t="s">
        <v>28</v>
      </c>
      <c r="E46" s="13" t="s">
        <v>50</v>
      </c>
      <c r="F46" s="13" t="s">
        <v>51</v>
      </c>
    </row>
    <row r="47" spans="3:8">
      <c r="C47" s="14" t="s">
        <v>40</v>
      </c>
      <c r="D47" s="13" t="s">
        <v>28</v>
      </c>
      <c r="E47" s="13" t="s">
        <v>50</v>
      </c>
      <c r="F47" s="13" t="s">
        <v>52</v>
      </c>
    </row>
    <row r="48" spans="3:8">
      <c r="C48" s="14" t="s">
        <v>40</v>
      </c>
      <c r="D48" s="13" t="s">
        <v>28</v>
      </c>
      <c r="E48" s="13" t="s">
        <v>162</v>
      </c>
      <c r="F48" s="13" t="s">
        <v>164</v>
      </c>
    </row>
    <row r="49" spans="3:6">
      <c r="C49" s="14" t="s">
        <v>40</v>
      </c>
      <c r="D49" s="13" t="s">
        <v>28</v>
      </c>
      <c r="E49" s="13" t="s">
        <v>55</v>
      </c>
      <c r="F49" s="13" t="s">
        <v>56</v>
      </c>
    </row>
    <row r="50" spans="3:6">
      <c r="C50" s="14" t="s">
        <v>44</v>
      </c>
      <c r="D50" s="13" t="s">
        <v>29</v>
      </c>
      <c r="E50" s="13" t="s">
        <v>50</v>
      </c>
      <c r="F50" s="13" t="s">
        <v>544</v>
      </c>
    </row>
    <row r="51" spans="3:6">
      <c r="C51" s="14" t="s">
        <v>44</v>
      </c>
      <c r="D51" s="13" t="s">
        <v>29</v>
      </c>
      <c r="E51" s="13" t="s">
        <v>53</v>
      </c>
      <c r="F51" s="13" t="s">
        <v>54</v>
      </c>
    </row>
    <row r="52" spans="3:6">
      <c r="C52" s="14" t="s">
        <v>44</v>
      </c>
      <c r="D52" s="13" t="s">
        <v>29</v>
      </c>
      <c r="E52" s="13" t="s">
        <v>50</v>
      </c>
      <c r="F52" s="13" t="s">
        <v>239</v>
      </c>
    </row>
    <row r="53" spans="3:6">
      <c r="C53" s="14" t="s">
        <v>44</v>
      </c>
      <c r="D53" s="13" t="s">
        <v>30</v>
      </c>
      <c r="E53" s="13" t="s">
        <v>50</v>
      </c>
      <c r="F53" s="13" t="s">
        <v>544</v>
      </c>
    </row>
    <row r="54" spans="3:6">
      <c r="C54" s="14" t="s">
        <v>44</v>
      </c>
      <c r="D54" s="13" t="s">
        <v>30</v>
      </c>
      <c r="E54" s="13" t="s">
        <v>53</v>
      </c>
      <c r="F54" s="13" t="s">
        <v>161</v>
      </c>
    </row>
    <row r="55" spans="3:6">
      <c r="C55" s="14" t="s">
        <v>44</v>
      </c>
      <c r="D55" s="13" t="s">
        <v>30</v>
      </c>
      <c r="E55" s="13" t="s">
        <v>53</v>
      </c>
      <c r="F55" s="13" t="s">
        <v>943</v>
      </c>
    </row>
    <row r="56" spans="3:6">
      <c r="C56" s="14" t="s">
        <v>44</v>
      </c>
      <c r="D56" s="13" t="s">
        <v>30</v>
      </c>
      <c r="E56" s="13" t="s">
        <v>310</v>
      </c>
      <c r="F56" s="13" t="s">
        <v>742</v>
      </c>
    </row>
    <row r="57" spans="3:6">
      <c r="C57" s="14"/>
      <c r="D57" s="13"/>
      <c r="E57" s="13"/>
      <c r="F57" s="13"/>
    </row>
    <row r="58" spans="3:6">
      <c r="C58" s="14"/>
      <c r="D58" s="13"/>
      <c r="E58" s="13"/>
      <c r="F58" s="13"/>
    </row>
    <row r="59" spans="3:6">
      <c r="C59" s="14"/>
      <c r="D59" s="13"/>
      <c r="E59" s="13"/>
      <c r="F59" s="13"/>
    </row>
    <row r="60" spans="3:6">
      <c r="C60" s="14"/>
      <c r="D60" s="13"/>
      <c r="E60" s="13"/>
      <c r="F60" s="13"/>
    </row>
    <row r="61" spans="3:6">
      <c r="C61" s="14"/>
      <c r="D61" s="13"/>
      <c r="E61" s="13"/>
      <c r="F61" s="13"/>
    </row>
    <row r="62" spans="3:6">
      <c r="C62" s="14"/>
      <c r="D62" s="13"/>
      <c r="E62" s="13"/>
      <c r="F62" s="13"/>
    </row>
    <row r="63" spans="3:6">
      <c r="C63" s="14"/>
      <c r="D63" s="13"/>
      <c r="E63" s="13"/>
      <c r="F63" s="13"/>
    </row>
    <row r="64" spans="3:6">
      <c r="C64" s="14"/>
      <c r="D64" s="13"/>
      <c r="E64" s="13"/>
      <c r="F64" s="13"/>
    </row>
    <row r="65" spans="2:6">
      <c r="C65" s="14"/>
      <c r="D65" s="13"/>
      <c r="E65" s="13"/>
      <c r="F65" s="13"/>
    </row>
    <row r="66" spans="2:6">
      <c r="C66" s="14"/>
      <c r="D66" s="13"/>
      <c r="E66" s="13"/>
      <c r="F66" s="13"/>
    </row>
    <row r="69" spans="2:6" ht="18.75">
      <c r="C69" s="5" t="s">
        <v>59</v>
      </c>
    </row>
    <row r="70" spans="2:6">
      <c r="B70" t="s">
        <v>60</v>
      </c>
      <c r="C70" s="1" t="s">
        <v>61</v>
      </c>
      <c r="D70" s="1" t="s">
        <v>62</v>
      </c>
      <c r="E70" s="1" t="s">
        <v>63</v>
      </c>
      <c r="F70" s="1" t="s">
        <v>64</v>
      </c>
    </row>
    <row r="71" spans="2:6" ht="30">
      <c r="B71" s="64">
        <v>1</v>
      </c>
      <c r="C71" s="65">
        <v>1</v>
      </c>
      <c r="D71" s="10" t="s">
        <v>944</v>
      </c>
      <c r="E71" s="98" t="s">
        <v>945</v>
      </c>
      <c r="F71" s="10"/>
    </row>
    <row r="72" spans="2:6">
      <c r="B72" s="64">
        <v>1</v>
      </c>
      <c r="C72" s="65">
        <v>2</v>
      </c>
      <c r="D72" s="10" t="s">
        <v>946</v>
      </c>
      <c r="E72" s="98" t="s">
        <v>947</v>
      </c>
      <c r="F72" s="10"/>
    </row>
    <row r="73" spans="2:6">
      <c r="B73" s="64">
        <v>1</v>
      </c>
      <c r="C73" s="65">
        <v>3</v>
      </c>
      <c r="D73" s="10" t="s">
        <v>948</v>
      </c>
      <c r="E73" s="98" t="s">
        <v>949</v>
      </c>
      <c r="F73" s="10"/>
    </row>
    <row r="74" spans="2:6">
      <c r="B74" s="64">
        <v>1</v>
      </c>
      <c r="C74" s="65">
        <v>4</v>
      </c>
      <c r="D74" s="10" t="s">
        <v>950</v>
      </c>
      <c r="E74" s="98" t="s">
        <v>951</v>
      </c>
      <c r="F74" s="10"/>
    </row>
    <row r="75" spans="2:6">
      <c r="B75" s="64">
        <v>1</v>
      </c>
      <c r="C75" s="65">
        <v>5</v>
      </c>
      <c r="D75" s="10" t="s">
        <v>952</v>
      </c>
      <c r="E75" s="98" t="s">
        <v>953</v>
      </c>
      <c r="F75" s="10"/>
    </row>
    <row r="76" spans="2:6">
      <c r="B76" s="64">
        <v>1</v>
      </c>
      <c r="C76" s="65">
        <v>6</v>
      </c>
      <c r="D76" s="10" t="s">
        <v>954</v>
      </c>
      <c r="E76" s="98" t="s">
        <v>955</v>
      </c>
      <c r="F76" s="10"/>
    </row>
    <row r="77" spans="2:6">
      <c r="B77" s="64">
        <v>1</v>
      </c>
      <c r="C77" s="65">
        <v>7</v>
      </c>
      <c r="D77" s="10"/>
      <c r="E77" s="98"/>
      <c r="F77" s="10"/>
    </row>
    <row r="78" spans="2:6">
      <c r="B78" s="64">
        <v>1</v>
      </c>
      <c r="C78" s="65">
        <v>8</v>
      </c>
      <c r="D78" s="10" t="s">
        <v>956</v>
      </c>
      <c r="E78" s="98" t="s">
        <v>957</v>
      </c>
      <c r="F78" s="10"/>
    </row>
    <row r="79" spans="2:6">
      <c r="B79" s="64">
        <v>1</v>
      </c>
      <c r="C79" s="65">
        <v>9</v>
      </c>
      <c r="D79" s="10" t="s">
        <v>958</v>
      </c>
      <c r="E79" s="98" t="s">
        <v>959</v>
      </c>
      <c r="F79" s="10"/>
    </row>
    <row r="80" spans="2:6" ht="30">
      <c r="B80" s="64">
        <v>1</v>
      </c>
      <c r="C80" s="65">
        <v>10</v>
      </c>
      <c r="D80" s="10" t="s">
        <v>960</v>
      </c>
      <c r="E80" s="98" t="s">
        <v>961</v>
      </c>
      <c r="F80" s="10"/>
    </row>
    <row r="81" spans="2:6">
      <c r="B81" s="64">
        <v>1</v>
      </c>
      <c r="C81" s="65">
        <v>11</v>
      </c>
      <c r="D81" s="10" t="s">
        <v>962</v>
      </c>
      <c r="E81" s="98" t="s">
        <v>963</v>
      </c>
      <c r="F81" s="10"/>
    </row>
    <row r="82" spans="2:6">
      <c r="B82" s="64">
        <v>1</v>
      </c>
      <c r="C82" s="65">
        <v>12</v>
      </c>
      <c r="D82" s="10" t="s">
        <v>964</v>
      </c>
      <c r="E82" s="98"/>
      <c r="F82" s="10"/>
    </row>
    <row r="83" spans="2:6">
      <c r="B83" s="64">
        <v>2</v>
      </c>
      <c r="C83" s="65">
        <v>1</v>
      </c>
      <c r="D83" s="10"/>
      <c r="E83" s="10"/>
      <c r="F83" s="10"/>
    </row>
    <row r="84" spans="2:6">
      <c r="B84" s="64">
        <v>2</v>
      </c>
      <c r="C84" s="65">
        <v>2</v>
      </c>
      <c r="D84" s="10"/>
      <c r="E84" s="10"/>
      <c r="F84" s="10"/>
    </row>
    <row r="85" spans="2:6">
      <c r="B85" s="64">
        <v>2</v>
      </c>
      <c r="C85" s="65">
        <v>3</v>
      </c>
      <c r="D85" s="10"/>
      <c r="E85" s="10"/>
      <c r="F85" s="10"/>
    </row>
    <row r="86" spans="2:6">
      <c r="B86" s="64">
        <v>2</v>
      </c>
      <c r="C86" s="65">
        <v>4</v>
      </c>
      <c r="D86" s="10"/>
      <c r="E86" s="10"/>
      <c r="F86" s="10"/>
    </row>
    <row r="87" spans="2:6">
      <c r="B87" s="64">
        <v>2</v>
      </c>
      <c r="C87" s="65">
        <v>5</v>
      </c>
      <c r="D87" s="10"/>
      <c r="E87" s="10"/>
      <c r="F87" s="10"/>
    </row>
    <row r="88" spans="2:6">
      <c r="B88" s="64">
        <v>2</v>
      </c>
      <c r="C88" s="65">
        <v>6</v>
      </c>
      <c r="D88" s="10"/>
      <c r="E88" s="10"/>
      <c r="F88" s="10"/>
    </row>
    <row r="89" spans="2:6">
      <c r="B89" s="64">
        <v>2</v>
      </c>
      <c r="C89" s="65">
        <v>7</v>
      </c>
      <c r="D89" s="10"/>
      <c r="E89" s="10"/>
      <c r="F89" s="10"/>
    </row>
    <row r="90" spans="2:6">
      <c r="B90" s="64">
        <v>2</v>
      </c>
      <c r="C90" s="65">
        <v>8</v>
      </c>
      <c r="D90" s="10"/>
      <c r="E90" s="10"/>
      <c r="F90" s="10"/>
    </row>
    <row r="91" spans="2:6">
      <c r="B91" s="64">
        <v>2</v>
      </c>
      <c r="C91" s="65">
        <v>9</v>
      </c>
      <c r="D91" s="10"/>
      <c r="E91" s="10"/>
      <c r="F91" s="10"/>
    </row>
    <row r="92" spans="2:6">
      <c r="B92" s="64">
        <v>2</v>
      </c>
      <c r="C92" s="65">
        <v>10</v>
      </c>
      <c r="D92" s="10"/>
      <c r="E92" s="10"/>
      <c r="F92" s="10"/>
    </row>
    <row r="93" spans="2:6">
      <c r="B93" s="64">
        <v>2</v>
      </c>
      <c r="C93" s="65">
        <v>11</v>
      </c>
      <c r="D93" s="10"/>
      <c r="E93" s="10"/>
      <c r="F93" s="10"/>
    </row>
    <row r="94" spans="2:6">
      <c r="B94" s="64">
        <v>2</v>
      </c>
      <c r="C94" s="65">
        <v>12</v>
      </c>
      <c r="D94" s="10"/>
      <c r="E94" s="10"/>
      <c r="F94" s="10"/>
    </row>
  </sheetData>
  <sheetProtection sheet="1" objects="1" scenarios="1" formatCells="0" formatColumns="0" formatRows="0" insertHyperlinks="0"/>
  <dataValidations count="4">
    <dataValidation type="list" allowBlank="1" showInputMessage="1" showErrorMessage="1" sqref="F46:F66" xr:uid="{A6F5F47F-6866-478E-9880-CF9E3CF9BFDA}">
      <formula1>INDIRECT(VLOOKUP($E46, SkillNameMap, 2, FALSE))</formula1>
    </dataValidation>
    <dataValidation type="list" allowBlank="1" showInputMessage="1" showErrorMessage="1" sqref="E38:E41" xr:uid="{6B033663-DA4C-4E1E-ACA3-197C23B3DA27}">
      <formula1>INDIRECT("LISTAssess[Assessment Specific]")</formula1>
    </dataValidation>
    <dataValidation type="whole" showInputMessage="1" showErrorMessage="1" error="This is not a realistic number of contact hours please change" sqref="D19" xr:uid="{002B1BD8-24F6-46FD-A0E4-8333C78B8357}">
      <formula1>0</formula1>
      <formula2>80</formula2>
    </dataValidation>
    <dataValidation type="whole" showInputMessage="1" showErrorMessage="1" error="This is not a realistic number of contact hours please reduce" sqref="D20:D23" xr:uid="{E4839EC2-0B62-4F96-A8C1-2B68B106BEF1}">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F8A31BEF-5E3B-417C-9E73-D27481A5C886}">
          <x14:formula1>
            <xm:f>LISTS!$J$7:$J$16</xm:f>
          </x14:formula1>
          <xm:sqref>E46:E66</xm:sqref>
        </x14:dataValidation>
        <x14:dataValidation type="list" allowBlank="1" showInputMessage="1" showErrorMessage="1" xr:uid="{4A234C3A-C5D8-4DCE-A391-988FDC67A9B9}">
          <x14:formula1>
            <xm:f>LISTS!$E$7:$E$11</xm:f>
          </x14:formula1>
          <xm:sqref>D46:D66</xm:sqref>
        </x14:dataValidation>
        <x14:dataValidation type="list" allowBlank="1" showInputMessage="1" showErrorMessage="1" xr:uid="{3192E7A5-766C-4AB3-9259-83B852E400AB}">
          <x14:formula1>
            <xm:f>LISTS!$G$7:$G$11</xm:f>
          </x14:formula1>
          <xm:sqref>D38:D42</xm:sqref>
        </x14:dataValidation>
        <x14:dataValidation type="list" allowBlank="1" showInputMessage="1" showErrorMessage="1" xr:uid="{71464BA5-EA7B-4280-8E21-FEA97DF76E39}">
          <x14:formula1>
            <xm:f>LISTS!$C$11:$C$15</xm:f>
          </x14:formula1>
          <xm:sqref>D11</xm:sqref>
        </x14:dataValidation>
        <x14:dataValidation type="list" allowBlank="1" showInputMessage="1" showErrorMessage="1" xr:uid="{ED74EE7F-E73A-4E7D-BB1B-77B834D943C7}">
          <x14:formula1>
            <xm:f>LISTS!$C$7:$C$9</xm:f>
          </x14:formula1>
          <xm:sqref>D10</xm:sqref>
        </x14:dataValidation>
        <x14:dataValidation type="list" allowBlank="1" showInputMessage="1" showErrorMessage="1" xr:uid="{F88D41F7-E6D7-4EA0-ABD2-42A925615DAA}">
          <x14:formula1>
            <xm:f>LISTS!$C$17:$C$22</xm:f>
          </x14:formula1>
          <xm:sqref>D13</xm:sqref>
        </x14:dataValidation>
        <x14:dataValidation type="list" allowBlank="1" showInputMessage="1" showErrorMessage="1" xr:uid="{799447E1-E0B9-422D-8078-3D88555E8F5B}">
          <x14:formula1>
            <xm:f>LISTS!$C$26:$C$37</xm:f>
          </x14:formula1>
          <xm:sqref>D14</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BE85C3-B744-432B-B564-EC74E74BB62B}">
  <sheetPr codeName="Sheet11"/>
  <dimension ref="B2:H94"/>
  <sheetViews>
    <sheetView showGridLines="0" topLeftCell="A49" zoomScale="85" zoomScaleNormal="85" workbookViewId="0">
      <selection activeCell="F55" sqref="F55"/>
    </sheetView>
  </sheetViews>
  <sheetFormatPr defaultColWidth="8.85546875" defaultRowHeight="15"/>
  <cols>
    <col min="3" max="3" width="33.28515625" customWidth="1"/>
    <col min="4" max="4" width="55.42578125" customWidth="1"/>
    <col min="5" max="5" width="67.28515625" customWidth="1"/>
    <col min="6" max="6" width="63.140625" customWidth="1"/>
    <col min="7" max="7" width="12.42578125" customWidth="1"/>
    <col min="8" max="8" width="15.42578125" customWidth="1"/>
    <col min="9" max="9" width="14.7109375" customWidth="1"/>
  </cols>
  <sheetData>
    <row r="2" spans="2:6" ht="26.25">
      <c r="C2" s="9" t="str">
        <f>D7</f>
        <v>6094SPS</v>
      </c>
      <c r="D2" s="9" t="str">
        <f>D8</f>
        <v>Behaviour Change</v>
      </c>
    </row>
    <row r="3" spans="2:6">
      <c r="B3" s="1"/>
      <c r="C3" s="1"/>
    </row>
    <row r="4" spans="2:6">
      <c r="B4" s="2"/>
      <c r="C4" s="2"/>
    </row>
    <row r="5" spans="2:6" ht="18.75">
      <c r="B5" s="2"/>
      <c r="C5" s="5" t="s">
        <v>0</v>
      </c>
    </row>
    <row r="6" spans="2:6">
      <c r="B6" s="2"/>
      <c r="C6" s="3" t="s">
        <v>1</v>
      </c>
      <c r="D6" s="4" t="s">
        <v>2</v>
      </c>
      <c r="E6" s="4"/>
      <c r="F6" t="s">
        <v>3</v>
      </c>
    </row>
    <row r="7" spans="2:6" ht="75">
      <c r="B7" s="2"/>
      <c r="C7" s="63" t="s">
        <v>4</v>
      </c>
      <c r="D7" s="10" t="s">
        <v>965</v>
      </c>
      <c r="E7" s="4"/>
      <c r="F7" s="20" t="s">
        <v>966</v>
      </c>
    </row>
    <row r="8" spans="2:6">
      <c r="B8" s="2"/>
      <c r="C8" s="63" t="s">
        <v>6</v>
      </c>
      <c r="D8" s="10" t="s">
        <v>967</v>
      </c>
      <c r="E8" s="4"/>
      <c r="F8" s="13"/>
    </row>
    <row r="9" spans="2:6">
      <c r="C9" s="63" t="s">
        <v>7</v>
      </c>
      <c r="D9" s="10">
        <v>20</v>
      </c>
      <c r="E9" s="4"/>
    </row>
    <row r="10" spans="2:6">
      <c r="C10" s="63" t="s">
        <v>8</v>
      </c>
      <c r="D10" s="10">
        <v>1</v>
      </c>
      <c r="E10" s="4"/>
      <c r="F10" t="s">
        <v>9</v>
      </c>
    </row>
    <row r="11" spans="2:6" ht="135">
      <c r="C11" s="63" t="s">
        <v>10</v>
      </c>
      <c r="D11" s="10">
        <v>6</v>
      </c>
      <c r="E11" s="4"/>
      <c r="F11" s="20" t="s">
        <v>968</v>
      </c>
    </row>
    <row r="12" spans="2:6">
      <c r="C12" s="63" t="s">
        <v>11</v>
      </c>
      <c r="D12" s="10" t="s">
        <v>969</v>
      </c>
      <c r="E12" s="4"/>
      <c r="F12" s="13"/>
    </row>
    <row r="13" spans="2:6">
      <c r="C13" s="63" t="s">
        <v>12</v>
      </c>
      <c r="D13" s="10" t="s">
        <v>532</v>
      </c>
      <c r="E13" s="4"/>
      <c r="F13" s="13"/>
    </row>
    <row r="14" spans="2:6">
      <c r="C14" s="63" t="s">
        <v>13</v>
      </c>
      <c r="D14" s="10" t="s">
        <v>935</v>
      </c>
      <c r="E14" s="4"/>
    </row>
    <row r="15" spans="2:6">
      <c r="C15" s="3"/>
      <c r="D15" s="4"/>
      <c r="E15" s="4"/>
      <c r="F15" t="s">
        <v>14</v>
      </c>
    </row>
    <row r="16" spans="2:6" ht="90">
      <c r="C16" s="3"/>
      <c r="D16" s="4"/>
      <c r="E16" s="4"/>
      <c r="F16" s="20" t="s">
        <v>970</v>
      </c>
    </row>
    <row r="17" spans="3:6" ht="18.75">
      <c r="C17" s="5" t="s">
        <v>15</v>
      </c>
      <c r="D17" s="4"/>
      <c r="E17" s="4"/>
      <c r="F17" s="13"/>
    </row>
    <row r="18" spans="3:6">
      <c r="C18" s="3" t="s">
        <v>16</v>
      </c>
      <c r="D18" s="1" t="s">
        <v>15</v>
      </c>
      <c r="E18" s="4"/>
      <c r="F18" s="13"/>
    </row>
    <row r="19" spans="3:6">
      <c r="C19" s="63" t="s">
        <v>17</v>
      </c>
      <c r="D19" s="11"/>
      <c r="E19" s="4"/>
      <c r="F19" s="13"/>
    </row>
    <row r="20" spans="3:6">
      <c r="C20" s="63" t="s">
        <v>18</v>
      </c>
      <c r="D20" s="11">
        <v>6</v>
      </c>
      <c r="E20" s="4"/>
      <c r="F20" s="13"/>
    </row>
    <row r="21" spans="3:6">
      <c r="C21" s="63" t="s">
        <v>19</v>
      </c>
      <c r="D21" s="11"/>
      <c r="E21" s="4"/>
    </row>
    <row r="22" spans="3:6">
      <c r="C22" s="63" t="s">
        <v>20</v>
      </c>
      <c r="D22" s="11">
        <v>27</v>
      </c>
      <c r="E22" s="4"/>
      <c r="F22" t="s">
        <v>21</v>
      </c>
    </row>
    <row r="23" spans="3:6">
      <c r="C23" s="63" t="s">
        <v>22</v>
      </c>
      <c r="D23" s="11">
        <v>4</v>
      </c>
      <c r="E23" s="4"/>
      <c r="F23" s="13" t="s">
        <v>971</v>
      </c>
    </row>
    <row r="24" spans="3:6">
      <c r="C24" s="63" t="s">
        <v>23</v>
      </c>
      <c r="D24" s="1">
        <f>SUM(D19:D23)</f>
        <v>37</v>
      </c>
      <c r="E24" s="4"/>
      <c r="F24" s="13" t="s">
        <v>972</v>
      </c>
    </row>
    <row r="25" spans="3:6" ht="30">
      <c r="F25" s="20" t="s">
        <v>973</v>
      </c>
    </row>
    <row r="26" spans="3:6">
      <c r="F26" s="13" t="s">
        <v>974</v>
      </c>
    </row>
    <row r="27" spans="3:6" ht="18.75">
      <c r="C27" s="5" t="s">
        <v>24</v>
      </c>
      <c r="D27" s="8" t="s">
        <v>25</v>
      </c>
      <c r="F27" s="13" t="s">
        <v>975</v>
      </c>
    </row>
    <row r="28" spans="3:6">
      <c r="C28" s="3" t="s">
        <v>26</v>
      </c>
      <c r="D28" s="3" t="s">
        <v>27</v>
      </c>
      <c r="E28" s="3"/>
      <c r="F28" s="13"/>
    </row>
    <row r="29" spans="3:6">
      <c r="C29" s="63" t="s">
        <v>28</v>
      </c>
      <c r="D29" s="10" t="s">
        <v>976</v>
      </c>
      <c r="E29" s="4"/>
      <c r="F29" s="13"/>
    </row>
    <row r="30" spans="3:6">
      <c r="C30" s="63" t="s">
        <v>29</v>
      </c>
      <c r="D30" s="10" t="s">
        <v>977</v>
      </c>
      <c r="E30" s="4"/>
      <c r="F30" s="13"/>
    </row>
    <row r="31" spans="3:6" ht="30">
      <c r="C31" s="63" t="s">
        <v>30</v>
      </c>
      <c r="D31" s="10" t="s">
        <v>978</v>
      </c>
      <c r="E31" s="4"/>
      <c r="F31" s="13"/>
    </row>
    <row r="32" spans="3:6">
      <c r="C32" s="63" t="s">
        <v>31</v>
      </c>
      <c r="D32" s="10"/>
      <c r="E32" s="4"/>
      <c r="F32" s="13"/>
    </row>
    <row r="33" spans="3:8">
      <c r="C33" s="63" t="s">
        <v>32</v>
      </c>
      <c r="D33" s="10"/>
      <c r="E33" s="4"/>
      <c r="F33" s="13"/>
    </row>
    <row r="36" spans="3:8" ht="18.75">
      <c r="C36" s="5" t="s">
        <v>33</v>
      </c>
    </row>
    <row r="37" spans="3:8">
      <c r="C37" s="3" t="s">
        <v>34</v>
      </c>
      <c r="D37" s="3" t="s">
        <v>35</v>
      </c>
      <c r="E37" s="3" t="s">
        <v>36</v>
      </c>
      <c r="F37" s="3" t="s">
        <v>37</v>
      </c>
      <c r="G37" s="3" t="s">
        <v>38</v>
      </c>
      <c r="H37" s="3" t="s">
        <v>39</v>
      </c>
    </row>
    <row r="38" spans="3:8" ht="30">
      <c r="C38" s="63" t="s">
        <v>40</v>
      </c>
      <c r="D38" s="10" t="s">
        <v>41</v>
      </c>
      <c r="E38" s="10" t="s">
        <v>95</v>
      </c>
      <c r="F38" s="10" t="s">
        <v>979</v>
      </c>
      <c r="G38" s="12">
        <v>0.5</v>
      </c>
      <c r="H38" s="10">
        <v>8</v>
      </c>
    </row>
    <row r="39" spans="3:8" ht="60">
      <c r="C39" s="63" t="s">
        <v>44</v>
      </c>
      <c r="D39" s="10" t="s">
        <v>19</v>
      </c>
      <c r="E39" s="10"/>
      <c r="F39" s="10" t="s">
        <v>980</v>
      </c>
      <c r="G39" s="12">
        <v>0.5</v>
      </c>
      <c r="H39" s="10">
        <v>12</v>
      </c>
    </row>
    <row r="40" spans="3:8">
      <c r="C40" s="63" t="s">
        <v>45</v>
      </c>
      <c r="D40" s="13"/>
      <c r="E40" s="13"/>
      <c r="F40" s="13"/>
      <c r="G40" s="13"/>
      <c r="H40" s="13"/>
    </row>
    <row r="41" spans="3:8">
      <c r="C41" s="63" t="s">
        <v>46</v>
      </c>
      <c r="D41" s="13"/>
      <c r="E41" s="13"/>
      <c r="F41" s="13"/>
      <c r="G41" s="13"/>
      <c r="H41" s="13"/>
    </row>
    <row r="42" spans="3:8">
      <c r="C42" s="3"/>
    </row>
    <row r="44" spans="3:8" ht="18.75">
      <c r="C44" s="5" t="s">
        <v>47</v>
      </c>
      <c r="D44" s="8"/>
    </row>
    <row r="45" spans="3:8">
      <c r="C45" s="1" t="s">
        <v>34</v>
      </c>
      <c r="D45" s="1" t="s">
        <v>26</v>
      </c>
      <c r="E45" s="1" t="s">
        <v>48</v>
      </c>
      <c r="F45" s="1" t="s">
        <v>49</v>
      </c>
    </row>
    <row r="46" spans="3:8">
      <c r="C46" s="14" t="s">
        <v>40</v>
      </c>
      <c r="D46" s="13" t="s">
        <v>28</v>
      </c>
      <c r="E46" s="13" t="s">
        <v>50</v>
      </c>
      <c r="F46" s="13" t="s">
        <v>239</v>
      </c>
    </row>
    <row r="47" spans="3:8">
      <c r="C47" s="14" t="s">
        <v>40</v>
      </c>
      <c r="D47" s="13" t="s">
        <v>28</v>
      </c>
      <c r="E47" s="13" t="s">
        <v>50</v>
      </c>
      <c r="F47" s="13" t="s">
        <v>544</v>
      </c>
    </row>
    <row r="48" spans="3:8">
      <c r="C48" s="14" t="s">
        <v>40</v>
      </c>
      <c r="D48" s="13" t="s">
        <v>28</v>
      </c>
      <c r="E48" s="13" t="s">
        <v>53</v>
      </c>
      <c r="F48" s="13" t="s">
        <v>161</v>
      </c>
    </row>
    <row r="49" spans="3:6">
      <c r="C49" s="14" t="s">
        <v>44</v>
      </c>
      <c r="D49" s="13" t="s">
        <v>28</v>
      </c>
      <c r="E49" s="13" t="s">
        <v>55</v>
      </c>
      <c r="F49" s="13" t="s">
        <v>56</v>
      </c>
    </row>
    <row r="50" spans="3:6">
      <c r="C50" s="14" t="s">
        <v>44</v>
      </c>
      <c r="D50" s="13" t="s">
        <v>29</v>
      </c>
      <c r="E50" s="13" t="s">
        <v>57</v>
      </c>
      <c r="F50" s="13" t="s">
        <v>907</v>
      </c>
    </row>
    <row r="51" spans="3:6">
      <c r="C51" s="14" t="s">
        <v>44</v>
      </c>
      <c r="D51" s="13" t="s">
        <v>29</v>
      </c>
      <c r="E51" s="13" t="s">
        <v>419</v>
      </c>
      <c r="F51" s="13" t="s">
        <v>856</v>
      </c>
    </row>
    <row r="52" spans="3:6">
      <c r="C52" s="14" t="s">
        <v>44</v>
      </c>
      <c r="D52" s="13" t="s">
        <v>29</v>
      </c>
      <c r="E52" s="13" t="s">
        <v>53</v>
      </c>
      <c r="F52" s="13" t="s">
        <v>161</v>
      </c>
    </row>
    <row r="53" spans="3:6">
      <c r="C53" s="14" t="s">
        <v>44</v>
      </c>
      <c r="D53" s="13" t="s">
        <v>29</v>
      </c>
      <c r="E53" s="13" t="s">
        <v>106</v>
      </c>
      <c r="F53" s="13" t="s">
        <v>981</v>
      </c>
    </row>
    <row r="54" spans="3:6">
      <c r="C54" s="14" t="s">
        <v>44</v>
      </c>
      <c r="D54" s="13" t="s">
        <v>29</v>
      </c>
      <c r="E54" s="13" t="s">
        <v>55</v>
      </c>
      <c r="F54" s="13" t="s">
        <v>104</v>
      </c>
    </row>
    <row r="55" spans="3:6">
      <c r="C55" s="14" t="s">
        <v>44</v>
      </c>
      <c r="D55" s="13" t="s">
        <v>30</v>
      </c>
      <c r="E55" s="13" t="s">
        <v>100</v>
      </c>
      <c r="F55" s="13" t="s">
        <v>101</v>
      </c>
    </row>
    <row r="56" spans="3:6">
      <c r="C56" s="14" t="s">
        <v>44</v>
      </c>
      <c r="D56" s="13" t="s">
        <v>30</v>
      </c>
      <c r="E56" s="13" t="s">
        <v>100</v>
      </c>
      <c r="F56" s="13" t="s">
        <v>382</v>
      </c>
    </row>
    <row r="57" spans="3:6">
      <c r="C57" s="14"/>
      <c r="D57" s="13"/>
      <c r="E57" s="13"/>
      <c r="F57" s="13"/>
    </row>
    <row r="58" spans="3:6">
      <c r="C58" s="14"/>
      <c r="D58" s="13"/>
      <c r="E58" s="13"/>
      <c r="F58" s="13"/>
    </row>
    <row r="59" spans="3:6">
      <c r="C59" s="14"/>
      <c r="D59" s="13"/>
      <c r="E59" s="13"/>
      <c r="F59" s="13"/>
    </row>
    <row r="60" spans="3:6">
      <c r="C60" s="14"/>
      <c r="D60" s="13"/>
      <c r="E60" s="13"/>
      <c r="F60" s="13"/>
    </row>
    <row r="61" spans="3:6">
      <c r="C61" s="14"/>
      <c r="D61" s="13"/>
      <c r="E61" s="13"/>
      <c r="F61" s="13"/>
    </row>
    <row r="62" spans="3:6">
      <c r="C62" s="14"/>
      <c r="D62" s="13"/>
      <c r="E62" s="13"/>
      <c r="F62" s="13"/>
    </row>
    <row r="63" spans="3:6">
      <c r="C63" s="14"/>
      <c r="D63" s="13"/>
      <c r="E63" s="13"/>
      <c r="F63" s="13"/>
    </row>
    <row r="64" spans="3:6">
      <c r="C64" s="14"/>
      <c r="D64" s="13"/>
      <c r="E64" s="13"/>
      <c r="F64" s="13"/>
    </row>
    <row r="65" spans="2:6">
      <c r="C65" s="14"/>
      <c r="D65" s="13"/>
      <c r="E65" s="13"/>
      <c r="F65" s="13"/>
    </row>
    <row r="66" spans="2:6">
      <c r="C66" s="14"/>
      <c r="D66" s="13"/>
      <c r="E66" s="13"/>
      <c r="F66" s="13"/>
    </row>
    <row r="69" spans="2:6" ht="18.75">
      <c r="C69" s="5" t="s">
        <v>59</v>
      </c>
    </row>
    <row r="70" spans="2:6">
      <c r="B70" t="s">
        <v>60</v>
      </c>
      <c r="C70" s="1" t="s">
        <v>61</v>
      </c>
      <c r="D70" s="1" t="s">
        <v>62</v>
      </c>
      <c r="E70" s="1" t="s">
        <v>63</v>
      </c>
      <c r="F70" s="1" t="s">
        <v>64</v>
      </c>
    </row>
    <row r="71" spans="2:6" ht="30">
      <c r="B71" s="64">
        <v>1</v>
      </c>
      <c r="C71" s="65">
        <v>1</v>
      </c>
      <c r="D71" s="10" t="s">
        <v>982</v>
      </c>
      <c r="E71" s="10"/>
      <c r="F71" s="10"/>
    </row>
    <row r="72" spans="2:6">
      <c r="B72" s="64">
        <v>1</v>
      </c>
      <c r="C72" s="65">
        <v>2</v>
      </c>
      <c r="D72" s="10" t="s">
        <v>983</v>
      </c>
      <c r="E72" s="10"/>
      <c r="F72" s="10"/>
    </row>
    <row r="73" spans="2:6" ht="30">
      <c r="B73" s="64">
        <v>1</v>
      </c>
      <c r="C73" s="65">
        <v>3</v>
      </c>
      <c r="D73" s="10" t="s">
        <v>984</v>
      </c>
      <c r="E73" s="10"/>
      <c r="F73" s="10"/>
    </row>
    <row r="74" spans="2:6">
      <c r="B74" s="64">
        <v>1</v>
      </c>
      <c r="C74" s="65">
        <v>4</v>
      </c>
      <c r="D74" s="10" t="s">
        <v>985</v>
      </c>
      <c r="E74" s="10"/>
      <c r="F74" s="10"/>
    </row>
    <row r="75" spans="2:6">
      <c r="B75" s="64">
        <v>1</v>
      </c>
      <c r="C75" s="65">
        <v>5</v>
      </c>
      <c r="D75" s="10" t="s">
        <v>985</v>
      </c>
      <c r="E75" s="10"/>
      <c r="F75" s="10"/>
    </row>
    <row r="76" spans="2:6">
      <c r="B76" s="64">
        <v>1</v>
      </c>
      <c r="C76" s="65">
        <v>6</v>
      </c>
      <c r="D76" s="10" t="s">
        <v>986</v>
      </c>
      <c r="E76" s="10"/>
      <c r="F76" s="10"/>
    </row>
    <row r="77" spans="2:6">
      <c r="B77" s="64">
        <v>1</v>
      </c>
      <c r="C77" s="65">
        <v>7</v>
      </c>
      <c r="D77" s="10" t="s">
        <v>987</v>
      </c>
      <c r="E77" s="10"/>
      <c r="F77" s="10"/>
    </row>
    <row r="78" spans="2:6">
      <c r="B78" s="64">
        <v>1</v>
      </c>
      <c r="C78" s="65">
        <v>8</v>
      </c>
      <c r="D78" s="10" t="s">
        <v>988</v>
      </c>
      <c r="E78" s="10"/>
      <c r="F78" s="10"/>
    </row>
    <row r="79" spans="2:6">
      <c r="B79" s="64">
        <v>1</v>
      </c>
      <c r="C79" s="65">
        <v>9</v>
      </c>
      <c r="D79" s="10" t="s">
        <v>989</v>
      </c>
      <c r="E79" s="10"/>
      <c r="F79" s="10"/>
    </row>
    <row r="80" spans="2:6">
      <c r="B80" s="64">
        <v>1</v>
      </c>
      <c r="C80" s="65">
        <v>10</v>
      </c>
      <c r="D80" s="10" t="s">
        <v>990</v>
      </c>
      <c r="E80" s="10"/>
      <c r="F80" s="10"/>
    </row>
    <row r="81" spans="2:6">
      <c r="B81" s="64">
        <v>1</v>
      </c>
      <c r="C81" s="65">
        <v>11</v>
      </c>
      <c r="D81" s="10" t="s">
        <v>991</v>
      </c>
      <c r="E81" s="10"/>
      <c r="F81" s="10"/>
    </row>
    <row r="82" spans="2:6">
      <c r="B82" s="64">
        <v>1</v>
      </c>
      <c r="C82" s="65">
        <v>12</v>
      </c>
      <c r="D82" s="10" t="s">
        <v>986</v>
      </c>
      <c r="E82" s="10"/>
      <c r="F82" s="10"/>
    </row>
    <row r="83" spans="2:6">
      <c r="B83" s="64">
        <v>2</v>
      </c>
      <c r="C83" s="65">
        <v>1</v>
      </c>
      <c r="D83" s="10"/>
      <c r="E83" s="10"/>
      <c r="F83" s="10"/>
    </row>
    <row r="84" spans="2:6">
      <c r="B84" s="64">
        <v>2</v>
      </c>
      <c r="C84" s="65">
        <v>2</v>
      </c>
      <c r="D84" s="10"/>
      <c r="E84" s="10"/>
      <c r="F84" s="10"/>
    </row>
    <row r="85" spans="2:6">
      <c r="B85" s="64">
        <v>2</v>
      </c>
      <c r="C85" s="65">
        <v>3</v>
      </c>
      <c r="D85" s="10"/>
      <c r="E85" s="10"/>
      <c r="F85" s="10"/>
    </row>
    <row r="86" spans="2:6">
      <c r="B86" s="64">
        <v>2</v>
      </c>
      <c r="C86" s="65">
        <v>4</v>
      </c>
      <c r="D86" s="10"/>
      <c r="E86" s="10"/>
      <c r="F86" s="10"/>
    </row>
    <row r="87" spans="2:6">
      <c r="B87" s="64">
        <v>2</v>
      </c>
      <c r="C87" s="65">
        <v>5</v>
      </c>
      <c r="D87" s="10"/>
      <c r="E87" s="10"/>
      <c r="F87" s="10"/>
    </row>
    <row r="88" spans="2:6">
      <c r="B88" s="64">
        <v>2</v>
      </c>
      <c r="C88" s="65">
        <v>6</v>
      </c>
      <c r="D88" s="10"/>
      <c r="E88" s="10"/>
      <c r="F88" s="10"/>
    </row>
    <row r="89" spans="2:6">
      <c r="B89" s="64">
        <v>2</v>
      </c>
      <c r="C89" s="65">
        <v>7</v>
      </c>
      <c r="D89" s="10"/>
      <c r="E89" s="10"/>
      <c r="F89" s="10"/>
    </row>
    <row r="90" spans="2:6">
      <c r="B90" s="64">
        <v>2</v>
      </c>
      <c r="C90" s="65">
        <v>8</v>
      </c>
      <c r="D90" s="10"/>
      <c r="E90" s="10"/>
      <c r="F90" s="10"/>
    </row>
    <row r="91" spans="2:6">
      <c r="B91" s="64">
        <v>2</v>
      </c>
      <c r="C91" s="65">
        <v>9</v>
      </c>
      <c r="D91" s="10"/>
      <c r="E91" s="10"/>
      <c r="F91" s="10"/>
    </row>
    <row r="92" spans="2:6">
      <c r="B92" s="64">
        <v>2</v>
      </c>
      <c r="C92" s="65">
        <v>10</v>
      </c>
      <c r="D92" s="10"/>
      <c r="E92" s="10"/>
      <c r="F92" s="10"/>
    </row>
    <row r="93" spans="2:6">
      <c r="B93" s="64">
        <v>2</v>
      </c>
      <c r="C93" s="65">
        <v>11</v>
      </c>
      <c r="D93" s="10"/>
      <c r="E93" s="10"/>
      <c r="F93" s="10"/>
    </row>
    <row r="94" spans="2:6">
      <c r="B94" s="64">
        <v>2</v>
      </c>
      <c r="C94" s="65">
        <v>12</v>
      </c>
      <c r="D94" s="10"/>
      <c r="E94" s="10"/>
      <c r="F94" s="10"/>
    </row>
  </sheetData>
  <sheetProtection sheet="1" objects="1" scenarios="1" formatCells="0" formatColumns="0" formatRows="0" insertHyperlinks="0"/>
  <dataValidations count="4">
    <dataValidation type="whole" showInputMessage="1" showErrorMessage="1" error="This is not a realistic number of contact hours please reduce" sqref="D20:D23" xr:uid="{271CB6C7-3BC1-4C43-998B-89827B6CCA80}">
      <formula1>0</formula1>
      <formula2>80</formula2>
    </dataValidation>
    <dataValidation type="whole" showInputMessage="1" showErrorMessage="1" error="This is not a realistic number of contact hours please change" sqref="D19" xr:uid="{83BED4DB-E4D5-4DC8-A0D3-EEE30236838D}">
      <formula1>0</formula1>
      <formula2>80</formula2>
    </dataValidation>
    <dataValidation type="list" allowBlank="1" showInputMessage="1" showErrorMessage="1" sqref="E38:E41" xr:uid="{4E54F737-1477-4A68-A59C-5BD83F55B175}">
      <formula1>INDIRECT("LISTAssess[Assessment Specific]")</formula1>
    </dataValidation>
    <dataValidation type="list" allowBlank="1" showInputMessage="1" showErrorMessage="1" sqref="F46:F66" xr:uid="{0145079F-818B-4E11-9C3A-6778BDBDFDA6}">
      <formula1>INDIRECT(VLOOKUP($E46, SkillNameMap, 2, FALSE))</formula1>
    </dataValidation>
  </dataValidations>
  <pageMargins left="0.7" right="0.7" top="0.75" bottom="0.75" header="0.3" footer="0.3"/>
  <pageSetup paperSize="9" orientation="portrait" horizontalDpi="4294967293"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2461D027-7487-48F6-8B00-E640F8FE42FD}">
          <x14:formula1>
            <xm:f>LISTS!$C$26:$C$37</xm:f>
          </x14:formula1>
          <xm:sqref>D14</xm:sqref>
        </x14:dataValidation>
        <x14:dataValidation type="list" allowBlank="1" showInputMessage="1" showErrorMessage="1" xr:uid="{F4875CEE-FA0F-4861-8783-00A30C23B8D3}">
          <x14:formula1>
            <xm:f>LISTS!$C$17:$C$22</xm:f>
          </x14:formula1>
          <xm:sqref>D13</xm:sqref>
        </x14:dataValidation>
        <x14:dataValidation type="list" allowBlank="1" showInputMessage="1" showErrorMessage="1" xr:uid="{6E84C81F-3636-47A8-8220-9DC2552C253B}">
          <x14:formula1>
            <xm:f>LISTS!$C$7:$C$9</xm:f>
          </x14:formula1>
          <xm:sqref>D10</xm:sqref>
        </x14:dataValidation>
        <x14:dataValidation type="list" allowBlank="1" showInputMessage="1" showErrorMessage="1" xr:uid="{5E7CC4F1-8F54-4138-A0B7-3871480AD3CD}">
          <x14:formula1>
            <xm:f>LISTS!$C$11:$C$15</xm:f>
          </x14:formula1>
          <xm:sqref>D11</xm:sqref>
        </x14:dataValidation>
        <x14:dataValidation type="list" allowBlank="1" showInputMessage="1" showErrorMessage="1" xr:uid="{F260A89A-6987-4528-B979-080766746BEA}">
          <x14:formula1>
            <xm:f>LISTS!$G$7:$G$11</xm:f>
          </x14:formula1>
          <xm:sqref>D38:D42</xm:sqref>
        </x14:dataValidation>
        <x14:dataValidation type="list" allowBlank="1" showInputMessage="1" showErrorMessage="1" xr:uid="{93789AA2-C81E-4C5B-A625-B60720450EA6}">
          <x14:formula1>
            <xm:f>LISTS!$E$7:$E$11</xm:f>
          </x14:formula1>
          <xm:sqref>D46:D66</xm:sqref>
        </x14:dataValidation>
        <x14:dataValidation type="list" allowBlank="1" showInputMessage="1" showErrorMessage="1" xr:uid="{DECD246D-AAE1-4FC3-93DF-E0C783C29528}">
          <x14:formula1>
            <xm:f>LISTS!$J$7:$J$16</xm:f>
          </x14:formula1>
          <xm:sqref>E46:E66</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38CC3-E0AD-4B9C-847A-037A12A399CE}">
  <sheetPr codeName="Sheet12"/>
  <dimension ref="B2:H94"/>
  <sheetViews>
    <sheetView showGridLines="0" zoomScale="85" zoomScaleNormal="85" workbookViewId="0">
      <selection activeCell="E16" sqref="E16"/>
    </sheetView>
  </sheetViews>
  <sheetFormatPr defaultColWidth="8.85546875" defaultRowHeight="1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c r="C2" s="9" t="str">
        <f>D7</f>
        <v>6095SPS</v>
      </c>
      <c r="D2" s="9" t="str">
        <f>D8</f>
        <v>Performance Analysis in Sport</v>
      </c>
    </row>
    <row r="3" spans="2:6">
      <c r="B3" s="1"/>
      <c r="C3" s="1"/>
    </row>
    <row r="4" spans="2:6">
      <c r="B4" s="2"/>
      <c r="C4" s="2"/>
    </row>
    <row r="5" spans="2:6" ht="18.75">
      <c r="B5" s="2"/>
      <c r="C5" s="5" t="s">
        <v>0</v>
      </c>
    </row>
    <row r="6" spans="2:6">
      <c r="B6" s="2"/>
      <c r="C6" s="3" t="s">
        <v>1</v>
      </c>
      <c r="D6" s="4" t="s">
        <v>2</v>
      </c>
      <c r="E6" s="4"/>
      <c r="F6" t="s">
        <v>3</v>
      </c>
    </row>
    <row r="7" spans="2:6" ht="135">
      <c r="B7" s="2"/>
      <c r="C7" s="63" t="s">
        <v>4</v>
      </c>
      <c r="D7" s="10" t="s">
        <v>992</v>
      </c>
      <c r="E7" s="4"/>
      <c r="F7" s="30" t="s">
        <v>993</v>
      </c>
    </row>
    <row r="8" spans="2:6">
      <c r="B8" s="2"/>
      <c r="C8" s="63" t="s">
        <v>6</v>
      </c>
      <c r="D8" s="10" t="s">
        <v>994</v>
      </c>
      <c r="E8" s="4"/>
      <c r="F8" s="13"/>
    </row>
    <row r="9" spans="2:6">
      <c r="C9" s="63" t="s">
        <v>7</v>
      </c>
      <c r="D9" s="10">
        <v>20</v>
      </c>
      <c r="E9" s="4"/>
    </row>
    <row r="10" spans="2:6">
      <c r="C10" s="63" t="s">
        <v>8</v>
      </c>
      <c r="D10" s="10">
        <v>1</v>
      </c>
      <c r="E10" s="4"/>
      <c r="F10" t="s">
        <v>9</v>
      </c>
    </row>
    <row r="11" spans="2:6" ht="60">
      <c r="C11" s="63" t="s">
        <v>10</v>
      </c>
      <c r="D11" s="10">
        <v>6</v>
      </c>
      <c r="E11" s="4"/>
      <c r="F11" s="34" t="s">
        <v>995</v>
      </c>
    </row>
    <row r="12" spans="2:6">
      <c r="C12" s="63" t="s">
        <v>11</v>
      </c>
      <c r="D12" s="10" t="s">
        <v>996</v>
      </c>
      <c r="E12" s="4"/>
      <c r="F12" s="13"/>
    </row>
    <row r="13" spans="2:6">
      <c r="C13" s="63" t="s">
        <v>12</v>
      </c>
      <c r="D13" s="10" t="s">
        <v>532</v>
      </c>
      <c r="E13" s="4"/>
      <c r="F13" s="13"/>
    </row>
    <row r="14" spans="2:6">
      <c r="C14" s="63" t="s">
        <v>13</v>
      </c>
      <c r="D14" s="10" t="s">
        <v>935</v>
      </c>
      <c r="E14" s="4"/>
    </row>
    <row r="15" spans="2:6">
      <c r="C15" s="3"/>
      <c r="D15" s="4"/>
      <c r="E15" s="4"/>
      <c r="F15" t="s">
        <v>14</v>
      </c>
    </row>
    <row r="16" spans="2:6" ht="60">
      <c r="C16" s="3"/>
      <c r="D16" s="4"/>
      <c r="E16" s="4"/>
      <c r="F16" s="34" t="s">
        <v>997</v>
      </c>
    </row>
    <row r="17" spans="3:6" ht="75">
      <c r="C17" s="5" t="s">
        <v>15</v>
      </c>
      <c r="D17" s="4"/>
      <c r="E17" s="4"/>
      <c r="F17" s="34" t="s">
        <v>998</v>
      </c>
    </row>
    <row r="18" spans="3:6">
      <c r="C18" s="3" t="s">
        <v>16</v>
      </c>
      <c r="D18" s="1" t="s">
        <v>15</v>
      </c>
      <c r="E18" s="4"/>
      <c r="F18" s="13"/>
    </row>
    <row r="19" spans="3:6">
      <c r="C19" s="63" t="s">
        <v>17</v>
      </c>
      <c r="D19" s="11">
        <v>22</v>
      </c>
      <c r="E19" s="4"/>
      <c r="F19" s="13"/>
    </row>
    <row r="20" spans="3:6">
      <c r="C20" s="63" t="s">
        <v>18</v>
      </c>
      <c r="D20" s="11"/>
      <c r="E20" s="4"/>
      <c r="F20" s="13"/>
    </row>
    <row r="21" spans="3:6">
      <c r="C21" s="63" t="s">
        <v>19</v>
      </c>
      <c r="D21" s="11">
        <v>16</v>
      </c>
      <c r="E21" s="4"/>
    </row>
    <row r="22" spans="3:6">
      <c r="C22" s="63" t="s">
        <v>20</v>
      </c>
      <c r="D22" s="11">
        <v>6</v>
      </c>
      <c r="E22" s="4"/>
      <c r="F22" t="s">
        <v>21</v>
      </c>
    </row>
    <row r="23" spans="3:6">
      <c r="C23" s="63" t="s">
        <v>22</v>
      </c>
      <c r="D23" s="11"/>
      <c r="E23" s="4"/>
      <c r="F23" s="33" t="s">
        <v>999</v>
      </c>
    </row>
    <row r="24" spans="3:6">
      <c r="C24" s="63" t="s">
        <v>23</v>
      </c>
      <c r="D24" s="1">
        <f>SUM(D19:D23)</f>
        <v>44</v>
      </c>
      <c r="E24" s="4"/>
      <c r="F24" s="13"/>
    </row>
    <row r="25" spans="3:6">
      <c r="F25" s="13"/>
    </row>
    <row r="26" spans="3:6">
      <c r="F26" s="13"/>
    </row>
    <row r="27" spans="3:6" ht="18.75">
      <c r="C27" s="5" t="s">
        <v>24</v>
      </c>
      <c r="D27" s="8" t="s">
        <v>25</v>
      </c>
      <c r="F27" s="13"/>
    </row>
    <row r="28" spans="3:6">
      <c r="C28" s="3" t="s">
        <v>26</v>
      </c>
      <c r="D28" s="3" t="s">
        <v>27</v>
      </c>
      <c r="E28" s="3"/>
      <c r="F28" s="13"/>
    </row>
    <row r="29" spans="3:6" ht="45">
      <c r="C29" s="63" t="s">
        <v>28</v>
      </c>
      <c r="D29" s="34" t="s">
        <v>1000</v>
      </c>
      <c r="E29" s="4"/>
      <c r="F29" s="13"/>
    </row>
    <row r="30" spans="3:6" ht="60">
      <c r="C30" s="63" t="s">
        <v>29</v>
      </c>
      <c r="D30" s="34" t="s">
        <v>1001</v>
      </c>
      <c r="E30" s="4"/>
      <c r="F30" s="13"/>
    </row>
    <row r="31" spans="3:6">
      <c r="C31" s="63" t="s">
        <v>30</v>
      </c>
      <c r="D31" s="10"/>
      <c r="E31" s="4"/>
      <c r="F31" s="13"/>
    </row>
    <row r="32" spans="3:6">
      <c r="C32" s="63" t="s">
        <v>31</v>
      </c>
      <c r="D32" s="10"/>
      <c r="E32" s="4"/>
      <c r="F32" s="13"/>
    </row>
    <row r="33" spans="3:8">
      <c r="C33" s="63" t="s">
        <v>32</v>
      </c>
      <c r="D33" s="10"/>
      <c r="E33" s="4"/>
      <c r="F33" s="13"/>
    </row>
    <row r="36" spans="3:8" ht="18.75">
      <c r="C36" s="5" t="s">
        <v>33</v>
      </c>
    </row>
    <row r="37" spans="3:8">
      <c r="C37" s="3" t="s">
        <v>34</v>
      </c>
      <c r="D37" s="3" t="s">
        <v>35</v>
      </c>
      <c r="E37" s="3" t="s">
        <v>36</v>
      </c>
      <c r="F37" s="3" t="s">
        <v>37</v>
      </c>
      <c r="G37" s="3" t="s">
        <v>38</v>
      </c>
      <c r="H37" s="3" t="s">
        <v>39</v>
      </c>
    </row>
    <row r="38" spans="3:8" ht="60">
      <c r="C38" s="63" t="s">
        <v>40</v>
      </c>
      <c r="D38" s="10" t="s">
        <v>97</v>
      </c>
      <c r="E38" s="10" t="s">
        <v>537</v>
      </c>
      <c r="F38" s="10" t="s">
        <v>1002</v>
      </c>
      <c r="G38" s="12">
        <v>0.6</v>
      </c>
      <c r="H38" s="10">
        <v>12</v>
      </c>
    </row>
    <row r="39" spans="3:8">
      <c r="C39" s="63" t="s">
        <v>44</v>
      </c>
      <c r="D39" s="10" t="s">
        <v>41</v>
      </c>
      <c r="E39" s="10" t="s">
        <v>42</v>
      </c>
      <c r="F39" s="33" t="s">
        <v>1003</v>
      </c>
      <c r="G39" s="12">
        <v>0.4</v>
      </c>
      <c r="H39" s="10" t="s">
        <v>1004</v>
      </c>
    </row>
    <row r="40" spans="3:8">
      <c r="C40" s="63" t="s">
        <v>45</v>
      </c>
      <c r="D40" s="13"/>
      <c r="E40" s="13"/>
      <c r="F40" s="13"/>
      <c r="G40" s="13"/>
      <c r="H40" s="13"/>
    </row>
    <row r="41" spans="3:8">
      <c r="C41" s="63" t="s">
        <v>46</v>
      </c>
      <c r="D41" s="13"/>
      <c r="E41" s="13"/>
      <c r="F41" s="13"/>
      <c r="G41" s="13"/>
      <c r="H41" s="13"/>
    </row>
    <row r="42" spans="3:8">
      <c r="C42" s="3"/>
    </row>
    <row r="44" spans="3:8" ht="18.75">
      <c r="C44" s="5" t="s">
        <v>47</v>
      </c>
      <c r="D44" s="8"/>
    </row>
    <row r="45" spans="3:8">
      <c r="C45" s="1" t="s">
        <v>34</v>
      </c>
      <c r="D45" s="1" t="s">
        <v>26</v>
      </c>
      <c r="E45" s="1" t="s">
        <v>48</v>
      </c>
      <c r="F45" s="1" t="s">
        <v>49</v>
      </c>
    </row>
    <row r="46" spans="3:8">
      <c r="C46" s="14" t="s">
        <v>40</v>
      </c>
      <c r="D46" s="13" t="s">
        <v>28</v>
      </c>
      <c r="E46" s="13" t="s">
        <v>50</v>
      </c>
      <c r="F46" s="13" t="s">
        <v>544</v>
      </c>
    </row>
    <row r="47" spans="3:8">
      <c r="C47" s="14" t="s">
        <v>40</v>
      </c>
      <c r="D47" s="13" t="s">
        <v>28</v>
      </c>
      <c r="E47" s="13" t="s">
        <v>57</v>
      </c>
      <c r="F47" s="13" t="s">
        <v>78</v>
      </c>
    </row>
    <row r="48" spans="3:8">
      <c r="C48" s="14" t="s">
        <v>40</v>
      </c>
      <c r="D48" s="13" t="s">
        <v>28</v>
      </c>
      <c r="E48" s="13" t="s">
        <v>162</v>
      </c>
      <c r="F48" s="13" t="s">
        <v>164</v>
      </c>
    </row>
    <row r="49" spans="3:6">
      <c r="C49" s="14" t="s">
        <v>40</v>
      </c>
      <c r="D49" s="13" t="s">
        <v>28</v>
      </c>
      <c r="E49" s="13" t="s">
        <v>310</v>
      </c>
      <c r="F49" s="13" t="s">
        <v>311</v>
      </c>
    </row>
    <row r="50" spans="3:6">
      <c r="C50" s="14" t="s">
        <v>40</v>
      </c>
      <c r="D50" s="13" t="s">
        <v>29</v>
      </c>
      <c r="E50" s="13" t="s">
        <v>57</v>
      </c>
      <c r="F50" s="13" t="s">
        <v>58</v>
      </c>
    </row>
    <row r="51" spans="3:6">
      <c r="C51" s="14" t="s">
        <v>44</v>
      </c>
      <c r="D51" s="13" t="s">
        <v>28</v>
      </c>
      <c r="E51" s="13" t="s">
        <v>53</v>
      </c>
      <c r="F51" s="13" t="s">
        <v>54</v>
      </c>
    </row>
    <row r="52" spans="3:6">
      <c r="C52" s="14" t="s">
        <v>44</v>
      </c>
      <c r="D52" s="13" t="s">
        <v>29</v>
      </c>
      <c r="E52" s="13" t="s">
        <v>55</v>
      </c>
      <c r="F52" s="13" t="s">
        <v>56</v>
      </c>
    </row>
    <row r="53" spans="3:6">
      <c r="C53" s="14" t="s">
        <v>44</v>
      </c>
      <c r="D53" s="13" t="s">
        <v>29</v>
      </c>
      <c r="E53" s="13" t="s">
        <v>106</v>
      </c>
      <c r="F53" s="13" t="s">
        <v>306</v>
      </c>
    </row>
    <row r="54" spans="3:6">
      <c r="C54" s="14"/>
      <c r="D54" s="13"/>
      <c r="E54" s="13"/>
      <c r="F54" s="13"/>
    </row>
    <row r="55" spans="3:6">
      <c r="C55" s="14"/>
      <c r="D55" s="13"/>
      <c r="E55" s="13"/>
      <c r="F55" s="13"/>
    </row>
    <row r="56" spans="3:6">
      <c r="C56" s="14"/>
      <c r="D56" s="13"/>
      <c r="E56" s="13"/>
      <c r="F56" s="13"/>
    </row>
    <row r="57" spans="3:6">
      <c r="C57" s="14"/>
      <c r="D57" s="13"/>
      <c r="E57" s="13"/>
      <c r="F57" s="13"/>
    </row>
    <row r="58" spans="3:6">
      <c r="C58" s="14"/>
      <c r="D58" s="13"/>
      <c r="E58" s="13"/>
      <c r="F58" s="13"/>
    </row>
    <row r="59" spans="3:6">
      <c r="C59" s="14"/>
      <c r="D59" s="13"/>
      <c r="E59" s="13"/>
      <c r="F59" s="13"/>
    </row>
    <row r="60" spans="3:6">
      <c r="C60" s="14"/>
      <c r="D60" s="13"/>
      <c r="E60" s="13"/>
      <c r="F60" s="13"/>
    </row>
    <row r="61" spans="3:6">
      <c r="C61" s="14"/>
      <c r="D61" s="13"/>
      <c r="E61" s="13"/>
      <c r="F61" s="13"/>
    </row>
    <row r="62" spans="3:6">
      <c r="C62" s="14"/>
      <c r="D62" s="13"/>
      <c r="E62" s="13"/>
      <c r="F62" s="13"/>
    </row>
    <row r="63" spans="3:6">
      <c r="C63" s="14"/>
      <c r="D63" s="13"/>
      <c r="E63" s="13"/>
      <c r="F63" s="13"/>
    </row>
    <row r="64" spans="3:6">
      <c r="C64" s="14"/>
      <c r="D64" s="13"/>
      <c r="E64" s="13"/>
      <c r="F64" s="13"/>
    </row>
    <row r="65" spans="2:6">
      <c r="C65" s="14"/>
      <c r="D65" s="13"/>
      <c r="E65" s="13"/>
      <c r="F65" s="13"/>
    </row>
    <row r="66" spans="2:6">
      <c r="C66" s="14"/>
      <c r="D66" s="13"/>
      <c r="E66" s="13"/>
      <c r="F66" s="13"/>
    </row>
    <row r="69" spans="2:6" ht="18.75">
      <c r="C69" s="5" t="s">
        <v>59</v>
      </c>
    </row>
    <row r="70" spans="2:6">
      <c r="B70" t="s">
        <v>60</v>
      </c>
      <c r="C70" s="1" t="s">
        <v>61</v>
      </c>
      <c r="D70" s="1" t="s">
        <v>62</v>
      </c>
      <c r="E70" s="1" t="s">
        <v>63</v>
      </c>
      <c r="F70" s="1" t="s">
        <v>64</v>
      </c>
    </row>
    <row r="71" spans="2:6">
      <c r="B71" s="64">
        <v>1</v>
      </c>
      <c r="C71" s="65">
        <v>1</v>
      </c>
      <c r="D71" s="30" t="s">
        <v>1005</v>
      </c>
      <c r="E71" s="30" t="s">
        <v>1006</v>
      </c>
      <c r="F71" s="10"/>
    </row>
    <row r="72" spans="2:6">
      <c r="B72" s="64">
        <v>1</v>
      </c>
      <c r="C72" s="65">
        <v>2</v>
      </c>
      <c r="D72" s="30" t="s">
        <v>1007</v>
      </c>
      <c r="E72" s="30" t="s">
        <v>1008</v>
      </c>
      <c r="F72" s="10"/>
    </row>
    <row r="73" spans="2:6">
      <c r="B73" s="64">
        <v>1</v>
      </c>
      <c r="C73" s="65">
        <v>3</v>
      </c>
      <c r="D73" s="30" t="s">
        <v>1009</v>
      </c>
      <c r="E73" s="30" t="s">
        <v>1010</v>
      </c>
      <c r="F73" s="10"/>
    </row>
    <row r="74" spans="2:6" ht="30">
      <c r="B74" s="64">
        <v>1</v>
      </c>
      <c r="C74" s="65">
        <v>4</v>
      </c>
      <c r="D74" s="30" t="s">
        <v>1011</v>
      </c>
      <c r="E74" s="30" t="s">
        <v>1010</v>
      </c>
      <c r="F74" s="10" t="s">
        <v>1012</v>
      </c>
    </row>
    <row r="75" spans="2:6">
      <c r="B75" s="64">
        <v>1</v>
      </c>
      <c r="C75" s="65">
        <v>5</v>
      </c>
      <c r="D75" s="30" t="s">
        <v>1013</v>
      </c>
      <c r="E75" s="30" t="s">
        <v>1014</v>
      </c>
      <c r="F75" s="10"/>
    </row>
    <row r="76" spans="2:6" ht="30">
      <c r="B76" s="64">
        <v>1</v>
      </c>
      <c r="C76" s="65">
        <v>6</v>
      </c>
      <c r="D76" s="30" t="s">
        <v>1015</v>
      </c>
      <c r="E76" s="30" t="s">
        <v>1016</v>
      </c>
      <c r="F76" s="10"/>
    </row>
    <row r="77" spans="2:6">
      <c r="B77" s="64">
        <v>1</v>
      </c>
      <c r="C77" s="65">
        <v>7</v>
      </c>
      <c r="D77" s="33" t="s">
        <v>1017</v>
      </c>
      <c r="E77" s="35"/>
      <c r="F77" s="10"/>
    </row>
    <row r="78" spans="2:6">
      <c r="B78" s="64">
        <v>1</v>
      </c>
      <c r="C78" s="65">
        <v>8</v>
      </c>
      <c r="D78" s="30" t="s">
        <v>1018</v>
      </c>
      <c r="E78" s="30" t="s">
        <v>1019</v>
      </c>
      <c r="F78" s="10" t="s">
        <v>1020</v>
      </c>
    </row>
    <row r="79" spans="2:6">
      <c r="B79" s="64">
        <v>1</v>
      </c>
      <c r="C79" s="65">
        <v>9</v>
      </c>
      <c r="D79" s="30" t="s">
        <v>1021</v>
      </c>
      <c r="E79" s="30" t="s">
        <v>1022</v>
      </c>
      <c r="F79" s="10"/>
    </row>
    <row r="80" spans="2:6">
      <c r="B80" s="64">
        <v>1</v>
      </c>
      <c r="C80" s="65">
        <v>10</v>
      </c>
      <c r="D80" s="30" t="s">
        <v>1023</v>
      </c>
      <c r="E80" s="30" t="s">
        <v>1024</v>
      </c>
      <c r="F80" s="10"/>
    </row>
    <row r="81" spans="2:6">
      <c r="B81" s="64">
        <v>1</v>
      </c>
      <c r="C81" s="65">
        <v>11</v>
      </c>
      <c r="D81" s="30" t="s">
        <v>1025</v>
      </c>
      <c r="E81" s="30" t="s">
        <v>1024</v>
      </c>
      <c r="F81" s="10"/>
    </row>
    <row r="82" spans="2:6">
      <c r="B82" s="64">
        <v>1</v>
      </c>
      <c r="C82" s="65">
        <v>12</v>
      </c>
      <c r="D82" s="30" t="s">
        <v>1026</v>
      </c>
      <c r="E82" s="30" t="s">
        <v>1027</v>
      </c>
      <c r="F82" s="10" t="s">
        <v>1028</v>
      </c>
    </row>
    <row r="83" spans="2:6">
      <c r="B83" s="64">
        <v>2</v>
      </c>
      <c r="C83" s="65">
        <v>1</v>
      </c>
      <c r="D83" s="10"/>
      <c r="E83" s="10"/>
      <c r="F83" s="10"/>
    </row>
    <row r="84" spans="2:6">
      <c r="B84" s="64">
        <v>2</v>
      </c>
      <c r="C84" s="65">
        <v>2</v>
      </c>
      <c r="D84" s="10"/>
      <c r="E84" s="10"/>
      <c r="F84" s="10"/>
    </row>
    <row r="85" spans="2:6">
      <c r="B85" s="64">
        <v>2</v>
      </c>
      <c r="C85" s="65">
        <v>3</v>
      </c>
      <c r="D85" s="10"/>
      <c r="E85" s="10"/>
      <c r="F85" s="10"/>
    </row>
    <row r="86" spans="2:6">
      <c r="B86" s="64">
        <v>2</v>
      </c>
      <c r="C86" s="65">
        <v>4</v>
      </c>
      <c r="D86" s="10"/>
      <c r="E86" s="10"/>
      <c r="F86" s="10"/>
    </row>
    <row r="87" spans="2:6">
      <c r="B87" s="64">
        <v>2</v>
      </c>
      <c r="C87" s="65">
        <v>5</v>
      </c>
      <c r="D87" s="10"/>
      <c r="E87" s="10"/>
      <c r="F87" s="10"/>
    </row>
    <row r="88" spans="2:6">
      <c r="B88" s="64">
        <v>2</v>
      </c>
      <c r="C88" s="65">
        <v>6</v>
      </c>
      <c r="D88" s="10"/>
      <c r="E88" s="10"/>
      <c r="F88" s="10"/>
    </row>
    <row r="89" spans="2:6">
      <c r="B89" s="64">
        <v>2</v>
      </c>
      <c r="C89" s="65">
        <v>7</v>
      </c>
      <c r="D89" s="10"/>
      <c r="E89" s="10"/>
      <c r="F89" s="10"/>
    </row>
    <row r="90" spans="2:6">
      <c r="B90" s="64">
        <v>2</v>
      </c>
      <c r="C90" s="65">
        <v>8</v>
      </c>
      <c r="D90" s="10"/>
      <c r="E90" s="10"/>
      <c r="F90" s="10"/>
    </row>
    <row r="91" spans="2:6">
      <c r="B91" s="64">
        <v>2</v>
      </c>
      <c r="C91" s="65">
        <v>9</v>
      </c>
      <c r="D91" s="10"/>
      <c r="E91" s="10"/>
      <c r="F91" s="10"/>
    </row>
    <row r="92" spans="2:6">
      <c r="B92" s="64">
        <v>2</v>
      </c>
      <c r="C92" s="65">
        <v>10</v>
      </c>
      <c r="D92" s="10"/>
      <c r="E92" s="10"/>
      <c r="F92" s="10"/>
    </row>
    <row r="93" spans="2:6">
      <c r="B93" s="64">
        <v>2</v>
      </c>
      <c r="C93" s="65">
        <v>11</v>
      </c>
      <c r="D93" s="10"/>
      <c r="E93" s="10"/>
      <c r="F93" s="10"/>
    </row>
    <row r="94" spans="2:6">
      <c r="B94" s="64">
        <v>2</v>
      </c>
      <c r="C94" s="65">
        <v>12</v>
      </c>
      <c r="D94" s="10"/>
      <c r="E94" s="10"/>
      <c r="F94" s="10"/>
    </row>
  </sheetData>
  <sheetProtection sheet="1" objects="1" scenarios="1" formatCells="0" formatColumns="0" formatRows="0" insertHyperlinks="0"/>
  <dataValidations count="4">
    <dataValidation type="whole" showInputMessage="1" showErrorMessage="1" error="This is not a realistic number of contact hours please reduce" sqref="D20:D23" xr:uid="{6EF0EC3B-28AE-4534-9A35-879F96167220}">
      <formula1>0</formula1>
      <formula2>80</formula2>
    </dataValidation>
    <dataValidation type="whole" showInputMessage="1" showErrorMessage="1" error="This is not a realistic number of contact hours please change" sqref="D19" xr:uid="{65E4390B-23DC-4D62-A7D3-00C723B0591C}">
      <formula1>0</formula1>
      <formula2>80</formula2>
    </dataValidation>
    <dataValidation type="list" allowBlank="1" showInputMessage="1" showErrorMessage="1" sqref="E38:E41" xr:uid="{E69AB558-57D4-46FA-8609-281D1D5403C7}">
      <formula1>INDIRECT("LISTAssess[Assessment Specific]")</formula1>
    </dataValidation>
    <dataValidation type="list" allowBlank="1" showInputMessage="1" showErrorMessage="1" sqref="F46:F66" xr:uid="{E493D753-C949-4BDB-8D86-C2941DF12145}">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899DF008-F95A-4A19-881C-013B9E2B7EC1}">
          <x14:formula1>
            <xm:f>LISTS!$C$26:$C$37</xm:f>
          </x14:formula1>
          <xm:sqref>D14</xm:sqref>
        </x14:dataValidation>
        <x14:dataValidation type="list" allowBlank="1" showInputMessage="1" showErrorMessage="1" xr:uid="{15F37E27-11F5-4CBC-8332-F6146564318B}">
          <x14:formula1>
            <xm:f>LISTS!$C$17:$C$22</xm:f>
          </x14:formula1>
          <xm:sqref>D13</xm:sqref>
        </x14:dataValidation>
        <x14:dataValidation type="list" allowBlank="1" showInputMessage="1" showErrorMessage="1" xr:uid="{CA23FE9C-6308-4AC9-9D45-A70C0905DB1C}">
          <x14:formula1>
            <xm:f>LISTS!$C$7:$C$9</xm:f>
          </x14:formula1>
          <xm:sqref>D10</xm:sqref>
        </x14:dataValidation>
        <x14:dataValidation type="list" allowBlank="1" showInputMessage="1" showErrorMessage="1" xr:uid="{2445B6AF-04B2-48A0-8CBD-9D738AC74DE7}">
          <x14:formula1>
            <xm:f>LISTS!$C$11:$C$15</xm:f>
          </x14:formula1>
          <xm:sqref>D11</xm:sqref>
        </x14:dataValidation>
        <x14:dataValidation type="list" allowBlank="1" showInputMessage="1" showErrorMessage="1" xr:uid="{2C06CD6F-F95B-44DD-BDF5-78C501E275C0}">
          <x14:formula1>
            <xm:f>LISTS!$G$7:$G$11</xm:f>
          </x14:formula1>
          <xm:sqref>D38:D42</xm:sqref>
        </x14:dataValidation>
        <x14:dataValidation type="list" allowBlank="1" showInputMessage="1" showErrorMessage="1" xr:uid="{0D10DC0D-3FC5-4448-A56D-EEB8234A4C0B}">
          <x14:formula1>
            <xm:f>LISTS!$E$7:$E$11</xm:f>
          </x14:formula1>
          <xm:sqref>D46:D66</xm:sqref>
        </x14:dataValidation>
        <x14:dataValidation type="list" allowBlank="1" showInputMessage="1" showErrorMessage="1" xr:uid="{3FF3E335-6CDA-4C7D-A2EC-D67506BB8937}">
          <x14:formula1>
            <xm:f>LISTS!$J$7:$J$16</xm:f>
          </x14:formula1>
          <xm:sqref>E46:E66</xm:sqref>
        </x14:dataValidation>
      </x14:dataValidations>
    </ext>
  </extLs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1E31D0-C386-4748-BCCD-2C13C929FDA0}">
  <sheetPr codeName="Sheet22"/>
  <dimension ref="B2:H94"/>
  <sheetViews>
    <sheetView showGridLines="0" topLeftCell="B1" zoomScale="85" zoomScaleNormal="85" workbookViewId="0">
      <selection activeCell="E6" sqref="E6"/>
    </sheetView>
  </sheetViews>
  <sheetFormatPr defaultColWidth="8.85546875" defaultRowHeight="1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c r="C2" s="9" t="str">
        <f>D7</f>
        <v>SEM401</v>
      </c>
      <c r="D2" s="9" t="str">
        <f>D8</f>
        <v>Module Title</v>
      </c>
    </row>
    <row r="3" spans="2:6">
      <c r="B3" s="1"/>
      <c r="C3" s="1"/>
    </row>
    <row r="4" spans="2:6">
      <c r="B4" s="2"/>
      <c r="C4" s="2"/>
    </row>
    <row r="5" spans="2:6" ht="18.75">
      <c r="B5" s="2"/>
      <c r="C5" s="5" t="s">
        <v>0</v>
      </c>
    </row>
    <row r="6" spans="2:6">
      <c r="B6" s="2"/>
      <c r="C6" s="3" t="s">
        <v>1</v>
      </c>
      <c r="D6" s="4" t="s">
        <v>2</v>
      </c>
      <c r="E6" s="4"/>
      <c r="F6" t="s">
        <v>3</v>
      </c>
    </row>
    <row r="7" spans="2:6">
      <c r="B7" s="2"/>
      <c r="C7" s="3" t="s">
        <v>4</v>
      </c>
      <c r="D7" s="10" t="s">
        <v>5</v>
      </c>
      <c r="E7" s="4"/>
      <c r="F7" s="13"/>
    </row>
    <row r="8" spans="2:6">
      <c r="B8" s="2"/>
      <c r="C8" s="3" t="s">
        <v>6</v>
      </c>
      <c r="D8" s="10" t="s">
        <v>6</v>
      </c>
      <c r="E8" s="4"/>
      <c r="F8" s="13"/>
    </row>
    <row r="9" spans="2:6">
      <c r="C9" s="3" t="s">
        <v>7</v>
      </c>
      <c r="D9" s="10"/>
      <c r="E9" s="4"/>
    </row>
    <row r="10" spans="2:6">
      <c r="C10" s="3" t="s">
        <v>8</v>
      </c>
      <c r="D10" s="10"/>
      <c r="E10" s="4"/>
      <c r="F10" t="s">
        <v>9</v>
      </c>
    </row>
    <row r="11" spans="2:6">
      <c r="C11" s="3" t="s">
        <v>10</v>
      </c>
      <c r="D11" s="10"/>
      <c r="E11" s="4"/>
      <c r="F11" s="13"/>
    </row>
    <row r="12" spans="2:6">
      <c r="C12" s="3" t="s">
        <v>11</v>
      </c>
      <c r="D12" s="10"/>
      <c r="E12" s="4"/>
      <c r="F12" s="13"/>
    </row>
    <row r="13" spans="2:6">
      <c r="C13" s="3" t="s">
        <v>12</v>
      </c>
      <c r="D13" s="10"/>
      <c r="E13" s="4"/>
      <c r="F13" s="13"/>
    </row>
    <row r="14" spans="2:6">
      <c r="C14" s="3" t="s">
        <v>13</v>
      </c>
      <c r="D14" s="10"/>
      <c r="E14" s="4"/>
    </row>
    <row r="15" spans="2:6">
      <c r="C15" s="3"/>
      <c r="D15" s="4"/>
      <c r="E15" s="4"/>
      <c r="F15" t="s">
        <v>14</v>
      </c>
    </row>
    <row r="16" spans="2:6">
      <c r="C16" s="3"/>
      <c r="D16" s="4"/>
      <c r="E16" s="4"/>
      <c r="F16" s="13"/>
    </row>
    <row r="17" spans="3:6" ht="18.75">
      <c r="C17" s="5" t="s">
        <v>15</v>
      </c>
      <c r="D17" s="4"/>
      <c r="E17" s="4"/>
      <c r="F17" s="13"/>
    </row>
    <row r="18" spans="3:6">
      <c r="C18" s="3" t="s">
        <v>16</v>
      </c>
      <c r="D18" s="1" t="s">
        <v>15</v>
      </c>
      <c r="E18" s="4"/>
      <c r="F18" s="13"/>
    </row>
    <row r="19" spans="3:6">
      <c r="C19" s="3" t="s">
        <v>17</v>
      </c>
      <c r="D19" s="11"/>
      <c r="E19" s="4"/>
      <c r="F19" s="13"/>
    </row>
    <row r="20" spans="3:6">
      <c r="C20" s="3" t="s">
        <v>18</v>
      </c>
      <c r="D20" s="11"/>
      <c r="E20" s="4"/>
      <c r="F20" s="13"/>
    </row>
    <row r="21" spans="3:6">
      <c r="C21" s="3" t="s">
        <v>19</v>
      </c>
      <c r="D21" s="11"/>
      <c r="E21" s="4"/>
    </row>
    <row r="22" spans="3:6">
      <c r="C22" s="3" t="s">
        <v>20</v>
      </c>
      <c r="D22" s="11"/>
      <c r="E22" s="4"/>
      <c r="F22" t="s">
        <v>21</v>
      </c>
    </row>
    <row r="23" spans="3:6">
      <c r="C23" s="3" t="s">
        <v>22</v>
      </c>
      <c r="D23" s="11"/>
      <c r="E23" s="4"/>
      <c r="F23" s="13"/>
    </row>
    <row r="24" spans="3:6">
      <c r="C24" s="3" t="s">
        <v>23</v>
      </c>
      <c r="D24" s="1">
        <f>SUM(D19:D23)</f>
        <v>0</v>
      </c>
      <c r="E24" s="4"/>
      <c r="F24" s="13"/>
    </row>
    <row r="25" spans="3:6">
      <c r="F25" s="13"/>
    </row>
    <row r="26" spans="3:6">
      <c r="F26" s="13"/>
    </row>
    <row r="27" spans="3:6" ht="18.75">
      <c r="C27" s="5" t="s">
        <v>24</v>
      </c>
      <c r="D27" s="8" t="s">
        <v>25</v>
      </c>
      <c r="F27" s="13"/>
    </row>
    <row r="28" spans="3:6">
      <c r="C28" s="3" t="s">
        <v>26</v>
      </c>
      <c r="D28" s="3" t="s">
        <v>27</v>
      </c>
      <c r="E28" s="3"/>
      <c r="F28" s="13"/>
    </row>
    <row r="29" spans="3:6">
      <c r="C29" s="3" t="s">
        <v>28</v>
      </c>
      <c r="D29" s="10"/>
      <c r="E29" s="4"/>
      <c r="F29" s="13"/>
    </row>
    <row r="30" spans="3:6">
      <c r="C30" s="3" t="s">
        <v>29</v>
      </c>
      <c r="D30" s="10"/>
      <c r="E30" s="4"/>
      <c r="F30" s="13"/>
    </row>
    <row r="31" spans="3:6">
      <c r="C31" s="3" t="s">
        <v>30</v>
      </c>
      <c r="D31" s="10"/>
      <c r="E31" s="4"/>
      <c r="F31" s="13"/>
    </row>
    <row r="32" spans="3:6">
      <c r="C32" s="3" t="s">
        <v>31</v>
      </c>
      <c r="D32" s="10"/>
      <c r="E32" s="4"/>
      <c r="F32" s="13"/>
    </row>
    <row r="33" spans="3:8">
      <c r="C33" s="3" t="s">
        <v>32</v>
      </c>
      <c r="D33" s="10"/>
      <c r="E33" s="4"/>
      <c r="F33" s="13"/>
    </row>
    <row r="36" spans="3:8" ht="18.75">
      <c r="C36" s="5" t="s">
        <v>33</v>
      </c>
    </row>
    <row r="37" spans="3:8">
      <c r="C37" s="3" t="s">
        <v>34</v>
      </c>
      <c r="D37" s="3" t="s">
        <v>35</v>
      </c>
      <c r="E37" s="3" t="s">
        <v>36</v>
      </c>
      <c r="F37" s="3" t="s">
        <v>37</v>
      </c>
      <c r="G37" s="3" t="s">
        <v>38</v>
      </c>
      <c r="H37" s="3" t="s">
        <v>39</v>
      </c>
    </row>
    <row r="38" spans="3:8">
      <c r="C38" s="3" t="s">
        <v>40</v>
      </c>
      <c r="D38" s="10" t="s">
        <v>41</v>
      </c>
      <c r="E38" s="10" t="s">
        <v>42</v>
      </c>
      <c r="F38" s="10" t="s">
        <v>43</v>
      </c>
      <c r="G38" s="12">
        <v>0.5</v>
      </c>
      <c r="H38" s="10">
        <v>6</v>
      </c>
    </row>
    <row r="39" spans="3:8">
      <c r="C39" s="3" t="s">
        <v>44</v>
      </c>
      <c r="D39" s="10"/>
      <c r="E39" s="10"/>
      <c r="F39" s="10"/>
      <c r="G39" s="12">
        <v>0.5</v>
      </c>
      <c r="H39" s="10">
        <v>12</v>
      </c>
    </row>
    <row r="40" spans="3:8">
      <c r="C40" s="3" t="s">
        <v>45</v>
      </c>
      <c r="D40" s="13"/>
      <c r="E40" s="13"/>
      <c r="F40" s="13"/>
      <c r="G40" s="13"/>
      <c r="H40" s="13"/>
    </row>
    <row r="41" spans="3:8">
      <c r="C41" s="3" t="s">
        <v>46</v>
      </c>
      <c r="D41" s="13"/>
      <c r="E41" s="13"/>
      <c r="F41" s="13"/>
      <c r="G41" s="13"/>
      <c r="H41" s="13"/>
    </row>
    <row r="42" spans="3:8">
      <c r="C42" s="3"/>
    </row>
    <row r="44" spans="3:8" ht="18.75">
      <c r="C44" s="5" t="s">
        <v>47</v>
      </c>
      <c r="D44" s="8"/>
    </row>
    <row r="45" spans="3:8">
      <c r="C45" s="1" t="s">
        <v>34</v>
      </c>
      <c r="D45" s="1" t="s">
        <v>26</v>
      </c>
      <c r="E45" s="1" t="s">
        <v>48</v>
      </c>
      <c r="F45" s="1" t="s">
        <v>49</v>
      </c>
    </row>
    <row r="46" spans="3:8">
      <c r="C46" s="14" t="s">
        <v>40</v>
      </c>
      <c r="D46" s="13" t="s">
        <v>28</v>
      </c>
      <c r="E46" s="13" t="s">
        <v>50</v>
      </c>
      <c r="F46" s="13" t="s">
        <v>51</v>
      </c>
    </row>
    <row r="47" spans="3:8">
      <c r="C47" s="14" t="s">
        <v>40</v>
      </c>
      <c r="D47" s="13" t="s">
        <v>28</v>
      </c>
      <c r="E47" s="13" t="s">
        <v>50</v>
      </c>
      <c r="F47" s="13" t="s">
        <v>52</v>
      </c>
    </row>
    <row r="48" spans="3:8">
      <c r="C48" s="14" t="s">
        <v>40</v>
      </c>
      <c r="D48" s="13" t="s">
        <v>28</v>
      </c>
      <c r="E48" s="13" t="s">
        <v>53</v>
      </c>
      <c r="F48" s="13" t="s">
        <v>54</v>
      </c>
    </row>
    <row r="49" spans="3:6">
      <c r="C49" s="14" t="s">
        <v>44</v>
      </c>
      <c r="D49" s="13" t="s">
        <v>29</v>
      </c>
      <c r="E49" s="13" t="s">
        <v>55</v>
      </c>
      <c r="F49" s="13" t="s">
        <v>56</v>
      </c>
    </row>
    <row r="50" spans="3:6">
      <c r="C50" s="14" t="s">
        <v>44</v>
      </c>
      <c r="D50" s="13" t="s">
        <v>29</v>
      </c>
      <c r="E50" s="13" t="s">
        <v>57</v>
      </c>
      <c r="F50" s="13" t="s">
        <v>58</v>
      </c>
    </row>
    <row r="51" spans="3:6">
      <c r="C51" s="14" t="s">
        <v>44</v>
      </c>
      <c r="D51" s="13"/>
      <c r="E51" s="13"/>
      <c r="F51" s="13"/>
    </row>
    <row r="52" spans="3:6">
      <c r="C52" s="14" t="s">
        <v>45</v>
      </c>
      <c r="D52" s="13"/>
      <c r="E52" s="13"/>
      <c r="F52" s="13"/>
    </row>
    <row r="53" spans="3:6">
      <c r="C53" s="14" t="s">
        <v>45</v>
      </c>
      <c r="D53" s="13"/>
      <c r="E53" s="13"/>
      <c r="F53" s="13"/>
    </row>
    <row r="54" spans="3:6">
      <c r="C54" s="14" t="s">
        <v>45</v>
      </c>
      <c r="D54" s="13"/>
      <c r="E54" s="13"/>
      <c r="F54" s="13"/>
    </row>
    <row r="55" spans="3:6">
      <c r="C55" s="14" t="s">
        <v>46</v>
      </c>
      <c r="D55" s="13"/>
      <c r="E55" s="13"/>
      <c r="F55" s="13"/>
    </row>
    <row r="56" spans="3:6">
      <c r="C56" s="14" t="s">
        <v>46</v>
      </c>
      <c r="D56" s="13"/>
      <c r="E56" s="13"/>
      <c r="F56" s="13"/>
    </row>
    <row r="57" spans="3:6">
      <c r="C57" s="14"/>
      <c r="D57" s="13"/>
      <c r="E57" s="13"/>
      <c r="F57" s="13"/>
    </row>
    <row r="58" spans="3:6">
      <c r="C58" s="14"/>
      <c r="D58" s="13"/>
      <c r="E58" s="13"/>
      <c r="F58" s="13"/>
    </row>
    <row r="59" spans="3:6">
      <c r="C59" s="14"/>
      <c r="D59" s="13"/>
      <c r="E59" s="13"/>
      <c r="F59" s="13"/>
    </row>
    <row r="60" spans="3:6">
      <c r="C60" s="14"/>
      <c r="D60" s="13"/>
      <c r="E60" s="13"/>
      <c r="F60" s="13"/>
    </row>
    <row r="61" spans="3:6">
      <c r="C61" s="14"/>
      <c r="D61" s="13"/>
      <c r="E61" s="13"/>
      <c r="F61" s="13"/>
    </row>
    <row r="62" spans="3:6">
      <c r="C62" s="14"/>
      <c r="D62" s="13"/>
      <c r="E62" s="13"/>
      <c r="F62" s="13"/>
    </row>
    <row r="63" spans="3:6">
      <c r="C63" s="14"/>
      <c r="D63" s="13"/>
      <c r="E63" s="13"/>
      <c r="F63" s="13"/>
    </row>
    <row r="64" spans="3:6">
      <c r="C64" s="14"/>
      <c r="D64" s="13"/>
      <c r="E64" s="13"/>
      <c r="F64" s="13"/>
    </row>
    <row r="65" spans="2:6">
      <c r="C65" s="14"/>
      <c r="D65" s="13"/>
      <c r="E65" s="13"/>
      <c r="F65" s="13"/>
    </row>
    <row r="66" spans="2:6">
      <c r="C66" s="14"/>
      <c r="D66" s="13"/>
      <c r="E66" s="13"/>
      <c r="F66" s="13"/>
    </row>
    <row r="69" spans="2:6" ht="18.75">
      <c r="C69" s="5" t="s">
        <v>59</v>
      </c>
    </row>
    <row r="70" spans="2:6">
      <c r="B70" t="s">
        <v>60</v>
      </c>
      <c r="C70" s="1" t="s">
        <v>61</v>
      </c>
      <c r="D70" s="1" t="s">
        <v>62</v>
      </c>
      <c r="E70" s="1" t="s">
        <v>63</v>
      </c>
      <c r="F70" s="1" t="s">
        <v>64</v>
      </c>
    </row>
    <row r="71" spans="2:6">
      <c r="B71" s="7">
        <v>1</v>
      </c>
      <c r="C71" s="1">
        <v>1</v>
      </c>
      <c r="D71" s="10" t="s">
        <v>65</v>
      </c>
      <c r="E71" s="10"/>
      <c r="F71" s="10"/>
    </row>
    <row r="72" spans="2:6">
      <c r="B72" s="7">
        <v>1</v>
      </c>
      <c r="C72" s="1">
        <v>2</v>
      </c>
      <c r="D72" s="10" t="s">
        <v>66</v>
      </c>
      <c r="E72" s="10" t="s">
        <v>67</v>
      </c>
      <c r="F72" s="10" t="s">
        <v>18</v>
      </c>
    </row>
    <row r="73" spans="2:6">
      <c r="B73" s="7">
        <v>1</v>
      </c>
      <c r="C73" s="1">
        <v>3</v>
      </c>
      <c r="D73" s="10" t="s">
        <v>68</v>
      </c>
      <c r="E73" s="10"/>
      <c r="F73" s="10"/>
    </row>
    <row r="74" spans="2:6">
      <c r="B74" s="7">
        <v>1</v>
      </c>
      <c r="C74" s="1">
        <v>4</v>
      </c>
      <c r="D74" s="10" t="s">
        <v>69</v>
      </c>
      <c r="E74" s="10" t="s">
        <v>70</v>
      </c>
      <c r="F74" s="10" t="s">
        <v>18</v>
      </c>
    </row>
    <row r="75" spans="2:6">
      <c r="B75" s="7">
        <v>1</v>
      </c>
      <c r="C75" s="1">
        <v>5</v>
      </c>
      <c r="D75" s="10" t="s">
        <v>71</v>
      </c>
      <c r="E75" s="10"/>
      <c r="F75" s="10"/>
    </row>
    <row r="76" spans="2:6">
      <c r="B76" s="7">
        <v>1</v>
      </c>
      <c r="C76" s="1">
        <v>6</v>
      </c>
      <c r="D76" s="10" t="s">
        <v>72</v>
      </c>
      <c r="E76" s="10"/>
      <c r="F76" s="10" t="s">
        <v>18</v>
      </c>
    </row>
    <row r="77" spans="2:6">
      <c r="B77" s="7">
        <v>1</v>
      </c>
      <c r="C77" s="1">
        <v>7</v>
      </c>
      <c r="D77" s="10" t="s">
        <v>73</v>
      </c>
      <c r="E77" s="10"/>
      <c r="F77" s="10"/>
    </row>
    <row r="78" spans="2:6">
      <c r="B78" s="7">
        <v>1</v>
      </c>
      <c r="C78" s="1">
        <v>8</v>
      </c>
      <c r="D78" s="10" t="s">
        <v>74</v>
      </c>
      <c r="E78" s="10"/>
      <c r="F78" s="10" t="s">
        <v>18</v>
      </c>
    </row>
    <row r="79" spans="2:6">
      <c r="B79" s="7">
        <v>1</v>
      </c>
      <c r="C79" s="1">
        <v>9</v>
      </c>
      <c r="D79" s="10" t="s">
        <v>75</v>
      </c>
      <c r="E79" s="10"/>
      <c r="F79" s="10"/>
    </row>
    <row r="80" spans="2:6">
      <c r="B80" s="7">
        <v>1</v>
      </c>
      <c r="C80" s="1">
        <v>10</v>
      </c>
      <c r="D80" s="10" t="s">
        <v>76</v>
      </c>
      <c r="E80" s="10" t="s">
        <v>77</v>
      </c>
      <c r="F80" s="10" t="s">
        <v>18</v>
      </c>
    </row>
    <row r="81" spans="2:6">
      <c r="B81" s="7">
        <v>1</v>
      </c>
      <c r="C81" s="1">
        <v>11</v>
      </c>
      <c r="D81" s="10" t="s">
        <v>78</v>
      </c>
      <c r="E81" s="10"/>
      <c r="F81" s="10"/>
    </row>
    <row r="82" spans="2:6">
      <c r="B82" s="7">
        <v>1</v>
      </c>
      <c r="C82" s="1">
        <v>12</v>
      </c>
      <c r="D82" s="10" t="s">
        <v>79</v>
      </c>
      <c r="E82" s="10"/>
      <c r="F82" s="10" t="s">
        <v>18</v>
      </c>
    </row>
    <row r="83" spans="2:6">
      <c r="B83" s="7">
        <v>2</v>
      </c>
      <c r="C83" s="1">
        <v>1</v>
      </c>
      <c r="D83" s="10"/>
      <c r="E83" s="10"/>
      <c r="F83" s="10"/>
    </row>
    <row r="84" spans="2:6">
      <c r="B84" s="7">
        <v>2</v>
      </c>
      <c r="C84" s="1">
        <v>2</v>
      </c>
      <c r="D84" s="10"/>
      <c r="E84" s="10"/>
      <c r="F84" s="10"/>
    </row>
    <row r="85" spans="2:6">
      <c r="B85" s="7">
        <v>2</v>
      </c>
      <c r="C85" s="1">
        <v>3</v>
      </c>
      <c r="D85" s="10"/>
      <c r="E85" s="10"/>
      <c r="F85" s="10"/>
    </row>
    <row r="86" spans="2:6">
      <c r="B86" s="7">
        <v>2</v>
      </c>
      <c r="C86" s="1">
        <v>4</v>
      </c>
      <c r="D86" s="10"/>
      <c r="E86" s="10"/>
      <c r="F86" s="10"/>
    </row>
    <row r="87" spans="2:6">
      <c r="B87" s="7">
        <v>2</v>
      </c>
      <c r="C87" s="1">
        <v>5</v>
      </c>
      <c r="D87" s="10"/>
      <c r="E87" s="10"/>
      <c r="F87" s="10"/>
    </row>
    <row r="88" spans="2:6">
      <c r="B88" s="7">
        <v>2</v>
      </c>
      <c r="C88" s="1">
        <v>6</v>
      </c>
      <c r="D88" s="10"/>
      <c r="E88" s="10"/>
      <c r="F88" s="10"/>
    </row>
    <row r="89" spans="2:6">
      <c r="B89" s="7">
        <v>2</v>
      </c>
      <c r="C89" s="1">
        <v>7</v>
      </c>
      <c r="D89" s="10"/>
      <c r="E89" s="10"/>
      <c r="F89" s="10"/>
    </row>
    <row r="90" spans="2:6">
      <c r="B90" s="7">
        <v>2</v>
      </c>
      <c r="C90" s="1">
        <v>8</v>
      </c>
      <c r="D90" s="10"/>
      <c r="E90" s="10"/>
      <c r="F90" s="10"/>
    </row>
    <row r="91" spans="2:6">
      <c r="B91" s="7">
        <v>2</v>
      </c>
      <c r="C91" s="1">
        <v>9</v>
      </c>
      <c r="D91" s="10"/>
      <c r="E91" s="10"/>
      <c r="F91" s="10"/>
    </row>
    <row r="92" spans="2:6">
      <c r="B92" s="7">
        <v>2</v>
      </c>
      <c r="C92" s="1">
        <v>10</v>
      </c>
      <c r="D92" s="10"/>
      <c r="E92" s="10"/>
      <c r="F92" s="10"/>
    </row>
    <row r="93" spans="2:6">
      <c r="B93" s="7">
        <v>2</v>
      </c>
      <c r="C93" s="1">
        <v>11</v>
      </c>
      <c r="D93" s="10"/>
      <c r="E93" s="10"/>
      <c r="F93" s="10"/>
    </row>
    <row r="94" spans="2:6">
      <c r="B94" s="7">
        <v>2</v>
      </c>
      <c r="C94" s="1">
        <v>12</v>
      </c>
      <c r="D94" s="10"/>
      <c r="E94" s="10"/>
      <c r="F94" s="10"/>
    </row>
  </sheetData>
  <sheetProtection selectLockedCells="1" sort="0" autoFilter="0" pivotTables="0"/>
  <dataValidations count="4">
    <dataValidation type="list" allowBlank="1" showInputMessage="1" showErrorMessage="1" sqref="F46:F66" xr:uid="{27C92115-5C5E-4A13-987E-0B79D13A7A15}">
      <formula1>INDIRECT(VLOOKUP($E46, SkillNameMap, 2, FALSE))</formula1>
    </dataValidation>
    <dataValidation type="list" allowBlank="1" showInputMessage="1" showErrorMessage="1" sqref="E38:E41" xr:uid="{0F0ED128-C084-4F9B-B814-E87A44C6EF2E}">
      <formula1>INDIRECT("LISTAssess[Assessment Specific]")</formula1>
    </dataValidation>
    <dataValidation type="whole" showInputMessage="1" showErrorMessage="1" error="This is not a realistic number of contact hours please change" sqref="D19" xr:uid="{18B8F1E6-C2EA-43E5-89E8-62BD3CAFC164}">
      <formula1>0</formula1>
      <formula2>80</formula2>
    </dataValidation>
    <dataValidation type="whole" showInputMessage="1" showErrorMessage="1" error="This is not a realistic number of contact hours please reduce" sqref="D20:D23" xr:uid="{CD6390B9-7DFA-4244-AF23-E74F3EC0D04C}">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85F4B8C4-9CE3-4071-9F6E-D86A779DBEE9}">
          <x14:formula1>
            <xm:f>LISTS!$J$7:$J$16</xm:f>
          </x14:formula1>
          <xm:sqref>E46:E66</xm:sqref>
        </x14:dataValidation>
        <x14:dataValidation type="list" allowBlank="1" showInputMessage="1" showErrorMessage="1" xr:uid="{EF051E7F-6115-4109-B4BA-E4BFB9CEC040}">
          <x14:formula1>
            <xm:f>LISTS!$E$7:$E$11</xm:f>
          </x14:formula1>
          <xm:sqref>D46:D66</xm:sqref>
        </x14:dataValidation>
        <x14:dataValidation type="list" allowBlank="1" showInputMessage="1" showErrorMessage="1" xr:uid="{9DC372BB-FD67-4EC8-BA4F-E34B292E01FF}">
          <x14:formula1>
            <xm:f>LISTS!$G$7:$G$11</xm:f>
          </x14:formula1>
          <xm:sqref>D38:D42</xm:sqref>
        </x14:dataValidation>
        <x14:dataValidation type="list" allowBlank="1" showInputMessage="1" showErrorMessage="1" xr:uid="{0C70FCBD-CEC8-4B9E-A70B-5949F9158F6A}">
          <x14:formula1>
            <xm:f>LISTS!$C$11:$C$15</xm:f>
          </x14:formula1>
          <xm:sqref>D11</xm:sqref>
        </x14:dataValidation>
        <x14:dataValidation type="list" allowBlank="1" showInputMessage="1" showErrorMessage="1" xr:uid="{15E63B33-6515-4A83-BE33-70F4A2DD0907}">
          <x14:formula1>
            <xm:f>LISTS!$C$7:$C$9</xm:f>
          </x14:formula1>
          <xm:sqref>D10</xm:sqref>
        </x14:dataValidation>
        <x14:dataValidation type="list" allowBlank="1" showInputMessage="1" showErrorMessage="1" xr:uid="{39E1EB85-CB1D-499F-A46C-553BE1538AB8}">
          <x14:formula1>
            <xm:f>LISTS!$C$17:$C$22</xm:f>
          </x14:formula1>
          <xm:sqref>D13</xm:sqref>
        </x14:dataValidation>
        <x14:dataValidation type="list" allowBlank="1" showInputMessage="1" showErrorMessage="1" xr:uid="{ED1E3A44-90C3-40D7-AC53-9CC22783DC80}">
          <x14:formula1>
            <xm:f>LISTS!$C$26:$C$37</xm:f>
          </x14:formula1>
          <xm:sqref>D14</xm:sqref>
        </x14:dataValidation>
      </x14:dataValidation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2409C9-9296-42AF-BDD1-C02EB207C905}">
  <sheetPr codeName="Sheet31"/>
  <dimension ref="B2:H94"/>
  <sheetViews>
    <sheetView showGridLines="0" topLeftCell="B1" zoomScale="85" zoomScaleNormal="85" workbookViewId="0">
      <selection activeCell="E83" sqref="E83"/>
    </sheetView>
  </sheetViews>
  <sheetFormatPr defaultColWidth="8.85546875" defaultRowHeight="1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c r="C2" s="9" t="str">
        <f>D7</f>
        <v>SEM401</v>
      </c>
      <c r="D2" s="9" t="str">
        <f>D8</f>
        <v>Applied Biomechanics</v>
      </c>
    </row>
    <row r="3" spans="2:6">
      <c r="B3" s="1"/>
      <c r="C3" s="1"/>
    </row>
    <row r="4" spans="2:6">
      <c r="B4" s="2"/>
      <c r="C4" s="2"/>
    </row>
    <row r="5" spans="2:6" ht="18.75">
      <c r="B5" s="2"/>
      <c r="C5" s="5" t="s">
        <v>0</v>
      </c>
    </row>
    <row r="6" spans="2:6">
      <c r="B6" s="2"/>
      <c r="C6" s="3" t="s">
        <v>1</v>
      </c>
      <c r="D6" s="4" t="s">
        <v>2</v>
      </c>
      <c r="E6" s="4"/>
      <c r="F6" t="s">
        <v>3</v>
      </c>
    </row>
    <row r="7" spans="2:6">
      <c r="B7" s="2"/>
      <c r="C7" s="3" t="s">
        <v>4</v>
      </c>
      <c r="D7" s="10" t="s">
        <v>5</v>
      </c>
      <c r="E7" s="4"/>
      <c r="F7" s="13"/>
    </row>
    <row r="8" spans="2:6">
      <c r="B8" s="2"/>
      <c r="C8" s="3" t="s">
        <v>6</v>
      </c>
      <c r="D8" s="10" t="s">
        <v>1029</v>
      </c>
      <c r="E8" s="4"/>
      <c r="F8" s="13"/>
    </row>
    <row r="9" spans="2:6">
      <c r="C9" s="3" t="s">
        <v>7</v>
      </c>
      <c r="D9" s="10">
        <v>20</v>
      </c>
      <c r="E9" s="4"/>
    </row>
    <row r="10" spans="2:6">
      <c r="C10" s="3" t="s">
        <v>8</v>
      </c>
      <c r="D10" s="10">
        <v>1</v>
      </c>
      <c r="E10" s="4"/>
      <c r="F10" t="s">
        <v>9</v>
      </c>
    </row>
    <row r="11" spans="2:6">
      <c r="C11" s="3" t="s">
        <v>10</v>
      </c>
      <c r="D11" s="10">
        <v>4</v>
      </c>
      <c r="E11" s="4"/>
      <c r="F11" s="13"/>
    </row>
    <row r="12" spans="2:6">
      <c r="C12" s="3" t="s">
        <v>11</v>
      </c>
      <c r="D12" s="10" t="s">
        <v>1030</v>
      </c>
      <c r="E12" s="4"/>
      <c r="F12" s="13"/>
    </row>
    <row r="13" spans="2:6">
      <c r="C13" s="3" t="s">
        <v>12</v>
      </c>
      <c r="D13" s="10" t="s">
        <v>147</v>
      </c>
      <c r="E13" s="4"/>
      <c r="F13" s="13"/>
    </row>
    <row r="14" spans="2:6">
      <c r="C14" s="3" t="s">
        <v>13</v>
      </c>
      <c r="D14" s="10"/>
      <c r="E14" s="4"/>
    </row>
    <row r="15" spans="2:6">
      <c r="C15" s="3"/>
      <c r="D15" s="4"/>
      <c r="E15" s="4"/>
      <c r="F15" t="s">
        <v>14</v>
      </c>
    </row>
    <row r="16" spans="2:6">
      <c r="C16" s="3"/>
      <c r="D16" s="4"/>
      <c r="E16" s="4"/>
      <c r="F16" s="13"/>
    </row>
    <row r="17" spans="3:6" ht="18.75">
      <c r="C17" s="5" t="s">
        <v>15</v>
      </c>
      <c r="D17" s="4"/>
      <c r="E17" s="4"/>
      <c r="F17" s="13"/>
    </row>
    <row r="18" spans="3:6">
      <c r="C18" s="3" t="s">
        <v>16</v>
      </c>
      <c r="D18" s="1" t="s">
        <v>15</v>
      </c>
      <c r="E18" s="4"/>
      <c r="F18" s="13"/>
    </row>
    <row r="19" spans="3:6">
      <c r="C19" s="3" t="s">
        <v>17</v>
      </c>
      <c r="D19" s="11">
        <v>22</v>
      </c>
      <c r="E19" s="4"/>
      <c r="F19" s="13"/>
    </row>
    <row r="20" spans="3:6">
      <c r="C20" s="3" t="s">
        <v>18</v>
      </c>
      <c r="D20" s="11">
        <v>12</v>
      </c>
      <c r="E20" s="4"/>
      <c r="F20" s="13"/>
    </row>
    <row r="21" spans="3:6">
      <c r="C21" s="3" t="s">
        <v>19</v>
      </c>
      <c r="D21" s="11">
        <v>6</v>
      </c>
      <c r="E21" s="4"/>
    </row>
    <row r="22" spans="3:6">
      <c r="C22" s="3" t="s">
        <v>20</v>
      </c>
      <c r="D22" s="11">
        <v>6</v>
      </c>
      <c r="E22" s="4"/>
      <c r="F22" t="s">
        <v>21</v>
      </c>
    </row>
    <row r="23" spans="3:6">
      <c r="C23" s="3" t="s">
        <v>22</v>
      </c>
      <c r="D23" s="11">
        <v>0</v>
      </c>
      <c r="E23" s="4"/>
      <c r="F23" s="13"/>
    </row>
    <row r="24" spans="3:6">
      <c r="C24" s="3" t="s">
        <v>23</v>
      </c>
      <c r="D24" s="1">
        <f>SUM(D19:D23)</f>
        <v>46</v>
      </c>
      <c r="E24" s="4"/>
      <c r="F24" s="13"/>
    </row>
    <row r="25" spans="3:6">
      <c r="F25" s="13"/>
    </row>
    <row r="26" spans="3:6">
      <c r="F26" s="13"/>
    </row>
    <row r="27" spans="3:6" ht="18.75">
      <c r="C27" s="5" t="s">
        <v>24</v>
      </c>
      <c r="D27" s="8" t="s">
        <v>25</v>
      </c>
      <c r="F27" s="13"/>
    </row>
    <row r="28" spans="3:6">
      <c r="C28" s="3" t="s">
        <v>26</v>
      </c>
      <c r="D28" s="3" t="s">
        <v>27</v>
      </c>
      <c r="E28" s="3"/>
      <c r="F28" s="13"/>
    </row>
    <row r="29" spans="3:6">
      <c r="C29" s="3" t="s">
        <v>28</v>
      </c>
      <c r="D29" s="10" t="s">
        <v>1031</v>
      </c>
      <c r="E29" s="4"/>
      <c r="F29" s="13"/>
    </row>
    <row r="30" spans="3:6">
      <c r="C30" s="3" t="s">
        <v>29</v>
      </c>
      <c r="D30" s="10" t="s">
        <v>1032</v>
      </c>
      <c r="E30" s="4"/>
      <c r="F30" s="13"/>
    </row>
    <row r="31" spans="3:6">
      <c r="C31" s="3" t="s">
        <v>30</v>
      </c>
      <c r="D31" s="10" t="s">
        <v>1033</v>
      </c>
      <c r="E31" s="4"/>
      <c r="F31" s="13"/>
    </row>
    <row r="32" spans="3:6">
      <c r="C32" s="3" t="s">
        <v>31</v>
      </c>
      <c r="D32" s="10"/>
      <c r="E32" s="4"/>
      <c r="F32" s="13"/>
    </row>
    <row r="33" spans="3:8">
      <c r="C33" s="3" t="s">
        <v>32</v>
      </c>
      <c r="D33" s="10"/>
      <c r="E33" s="4"/>
      <c r="F33" s="13"/>
    </row>
    <row r="36" spans="3:8" ht="18.75">
      <c r="C36" s="5" t="s">
        <v>33</v>
      </c>
    </row>
    <row r="37" spans="3:8">
      <c r="C37" s="3" t="s">
        <v>34</v>
      </c>
      <c r="D37" s="3" t="s">
        <v>35</v>
      </c>
      <c r="E37" s="3" t="s">
        <v>36</v>
      </c>
      <c r="F37" s="3" t="s">
        <v>37</v>
      </c>
      <c r="G37" s="3" t="s">
        <v>38</v>
      </c>
      <c r="H37" s="3" t="s">
        <v>39</v>
      </c>
    </row>
    <row r="38" spans="3:8">
      <c r="C38" s="3" t="s">
        <v>40</v>
      </c>
      <c r="D38" s="10" t="s">
        <v>41</v>
      </c>
      <c r="E38" s="10" t="s">
        <v>42</v>
      </c>
      <c r="F38" s="10" t="s">
        <v>43</v>
      </c>
      <c r="G38" s="12">
        <v>0.5</v>
      </c>
      <c r="H38" s="10">
        <v>6</v>
      </c>
    </row>
    <row r="39" spans="3:8">
      <c r="C39" s="3" t="s">
        <v>44</v>
      </c>
      <c r="D39" s="10" t="s">
        <v>157</v>
      </c>
      <c r="E39" s="10" t="s">
        <v>158</v>
      </c>
      <c r="F39" s="10"/>
      <c r="G39" s="12">
        <v>0.5</v>
      </c>
      <c r="H39" s="10">
        <v>12</v>
      </c>
    </row>
    <row r="40" spans="3:8">
      <c r="C40" s="3" t="s">
        <v>45</v>
      </c>
      <c r="D40" s="13"/>
      <c r="E40" s="13"/>
      <c r="F40" s="13"/>
      <c r="G40" s="13"/>
      <c r="H40" s="13"/>
    </row>
    <row r="41" spans="3:8">
      <c r="C41" s="3" t="s">
        <v>46</v>
      </c>
      <c r="D41" s="13"/>
      <c r="E41" s="13"/>
      <c r="F41" s="13"/>
      <c r="G41" s="13"/>
      <c r="H41" s="13"/>
    </row>
    <row r="42" spans="3:8">
      <c r="C42" s="3"/>
    </row>
    <row r="44" spans="3:8" ht="18.75">
      <c r="C44" s="5" t="s">
        <v>47</v>
      </c>
      <c r="D44" s="8"/>
    </row>
    <row r="45" spans="3:8">
      <c r="C45" s="1" t="s">
        <v>34</v>
      </c>
      <c r="D45" s="1" t="s">
        <v>26</v>
      </c>
      <c r="E45" s="1" t="s">
        <v>48</v>
      </c>
      <c r="F45" s="1" t="s">
        <v>49</v>
      </c>
    </row>
    <row r="46" spans="3:8">
      <c r="C46" s="14" t="s">
        <v>40</v>
      </c>
      <c r="D46" s="13" t="s">
        <v>28</v>
      </c>
      <c r="E46" s="13" t="s">
        <v>50</v>
      </c>
      <c r="F46" s="13" t="s">
        <v>51</v>
      </c>
    </row>
    <row r="47" spans="3:8">
      <c r="C47" s="14" t="s">
        <v>40</v>
      </c>
      <c r="D47" s="13" t="s">
        <v>28</v>
      </c>
      <c r="E47" s="13" t="s">
        <v>50</v>
      </c>
      <c r="F47" s="13" t="s">
        <v>52</v>
      </c>
    </row>
    <row r="48" spans="3:8">
      <c r="C48" s="14" t="s">
        <v>40</v>
      </c>
      <c r="D48" s="13" t="s">
        <v>28</v>
      </c>
      <c r="E48" s="13" t="s">
        <v>53</v>
      </c>
      <c r="F48" s="13" t="s">
        <v>54</v>
      </c>
    </row>
    <row r="49" spans="3:6">
      <c r="C49" s="14" t="s">
        <v>44</v>
      </c>
      <c r="D49" s="13" t="s">
        <v>29</v>
      </c>
      <c r="E49" s="13" t="s">
        <v>55</v>
      </c>
      <c r="F49" s="13" t="s">
        <v>56</v>
      </c>
    </row>
    <row r="50" spans="3:6">
      <c r="C50" s="14" t="s">
        <v>44</v>
      </c>
      <c r="D50" s="13" t="s">
        <v>29</v>
      </c>
      <c r="E50" s="13" t="s">
        <v>57</v>
      </c>
      <c r="F50" s="13" t="s">
        <v>58</v>
      </c>
    </row>
    <row r="51" spans="3:6">
      <c r="C51" s="14" t="s">
        <v>44</v>
      </c>
      <c r="D51" s="13"/>
      <c r="E51" s="13" t="s">
        <v>55</v>
      </c>
      <c r="F51" s="13"/>
    </row>
    <row r="52" spans="3:6">
      <c r="C52" s="14" t="s">
        <v>45</v>
      </c>
      <c r="D52" s="13"/>
      <c r="E52" s="13"/>
      <c r="F52" s="13"/>
    </row>
    <row r="53" spans="3:6">
      <c r="C53" s="14" t="s">
        <v>45</v>
      </c>
      <c r="D53" s="13"/>
      <c r="E53" s="13"/>
      <c r="F53" s="13"/>
    </row>
    <row r="54" spans="3:6">
      <c r="C54" s="14" t="s">
        <v>45</v>
      </c>
      <c r="D54" s="13"/>
      <c r="E54" s="13"/>
      <c r="F54" s="13"/>
    </row>
    <row r="55" spans="3:6">
      <c r="C55" s="14" t="s">
        <v>46</v>
      </c>
      <c r="D55" s="13"/>
      <c r="E55" s="13"/>
      <c r="F55" s="13"/>
    </row>
    <row r="56" spans="3:6">
      <c r="C56" s="14" t="s">
        <v>46</v>
      </c>
      <c r="D56" s="13"/>
      <c r="E56" s="13"/>
      <c r="F56" s="13"/>
    </row>
    <row r="57" spans="3:6">
      <c r="C57" s="14"/>
      <c r="D57" s="13"/>
      <c r="E57" s="13"/>
      <c r="F57" s="13"/>
    </row>
    <row r="58" spans="3:6">
      <c r="C58" s="14"/>
      <c r="D58" s="13"/>
      <c r="E58" s="13"/>
      <c r="F58" s="13"/>
    </row>
    <row r="59" spans="3:6">
      <c r="C59" s="14"/>
      <c r="D59" s="13"/>
      <c r="E59" s="13"/>
      <c r="F59" s="13"/>
    </row>
    <row r="60" spans="3:6">
      <c r="C60" s="14"/>
      <c r="D60" s="13"/>
      <c r="E60" s="13"/>
      <c r="F60" s="13"/>
    </row>
    <row r="61" spans="3:6">
      <c r="C61" s="14"/>
      <c r="D61" s="13"/>
      <c r="E61" s="13"/>
      <c r="F61" s="13"/>
    </row>
    <row r="62" spans="3:6">
      <c r="C62" s="14"/>
      <c r="D62" s="13"/>
      <c r="E62" s="13"/>
      <c r="F62" s="13"/>
    </row>
    <row r="63" spans="3:6">
      <c r="C63" s="14"/>
      <c r="D63" s="13"/>
      <c r="E63" s="13"/>
      <c r="F63" s="13"/>
    </row>
    <row r="64" spans="3:6">
      <c r="C64" s="14"/>
      <c r="D64" s="13"/>
      <c r="E64" s="13"/>
      <c r="F64" s="13"/>
    </row>
    <row r="65" spans="2:6">
      <c r="C65" s="14"/>
      <c r="D65" s="13"/>
      <c r="E65" s="13"/>
      <c r="F65" s="13"/>
    </row>
    <row r="66" spans="2:6">
      <c r="C66" s="14"/>
      <c r="D66" s="13"/>
      <c r="E66" s="13"/>
      <c r="F66" s="13"/>
    </row>
    <row r="69" spans="2:6" ht="18.75">
      <c r="C69" s="5" t="s">
        <v>59</v>
      </c>
    </row>
    <row r="70" spans="2:6">
      <c r="B70" t="s">
        <v>60</v>
      </c>
      <c r="C70" s="1" t="s">
        <v>61</v>
      </c>
      <c r="D70" s="1" t="s">
        <v>62</v>
      </c>
      <c r="E70" s="1" t="s">
        <v>63</v>
      </c>
      <c r="F70" s="1" t="s">
        <v>64</v>
      </c>
    </row>
    <row r="71" spans="2:6">
      <c r="B71" s="7">
        <v>1</v>
      </c>
      <c r="C71" s="1">
        <v>1</v>
      </c>
      <c r="D71" s="10" t="s">
        <v>65</v>
      </c>
      <c r="E71" s="10"/>
      <c r="F71" s="10"/>
    </row>
    <row r="72" spans="2:6">
      <c r="B72" s="7">
        <v>1</v>
      </c>
      <c r="C72" s="1">
        <v>2</v>
      </c>
      <c r="D72" s="10" t="s">
        <v>66</v>
      </c>
      <c r="E72" s="10" t="s">
        <v>67</v>
      </c>
      <c r="F72" s="10" t="s">
        <v>18</v>
      </c>
    </row>
    <row r="73" spans="2:6">
      <c r="B73" s="7">
        <v>1</v>
      </c>
      <c r="C73" s="1">
        <v>3</v>
      </c>
      <c r="D73" s="10" t="s">
        <v>68</v>
      </c>
      <c r="E73" s="10"/>
      <c r="F73" s="10"/>
    </row>
    <row r="74" spans="2:6">
      <c r="B74" s="7">
        <v>1</v>
      </c>
      <c r="C74" s="1">
        <v>4</v>
      </c>
      <c r="D74" s="10" t="s">
        <v>69</v>
      </c>
      <c r="E74" s="10" t="s">
        <v>70</v>
      </c>
      <c r="F74" s="10" t="s">
        <v>18</v>
      </c>
    </row>
    <row r="75" spans="2:6">
      <c r="B75" s="7">
        <v>1</v>
      </c>
      <c r="C75" s="1">
        <v>5</v>
      </c>
      <c r="D75" s="10" t="s">
        <v>71</v>
      </c>
      <c r="E75" s="10"/>
      <c r="F75" s="10"/>
    </row>
    <row r="76" spans="2:6">
      <c r="B76" s="7">
        <v>1</v>
      </c>
      <c r="C76" s="1">
        <v>6</v>
      </c>
      <c r="D76" s="10" t="s">
        <v>72</v>
      </c>
      <c r="E76" s="10"/>
      <c r="F76" s="10" t="s">
        <v>18</v>
      </c>
    </row>
    <row r="77" spans="2:6">
      <c r="B77" s="7">
        <v>1</v>
      </c>
      <c r="C77" s="1">
        <v>7</v>
      </c>
      <c r="D77" s="10" t="s">
        <v>73</v>
      </c>
      <c r="E77" s="10"/>
      <c r="F77" s="10"/>
    </row>
    <row r="78" spans="2:6">
      <c r="B78" s="7">
        <v>1</v>
      </c>
      <c r="C78" s="1">
        <v>8</v>
      </c>
      <c r="D78" s="10" t="s">
        <v>74</v>
      </c>
      <c r="E78" s="10"/>
      <c r="F78" s="10" t="s">
        <v>18</v>
      </c>
    </row>
    <row r="79" spans="2:6">
      <c r="B79" s="7">
        <v>1</v>
      </c>
      <c r="C79" s="1">
        <v>9</v>
      </c>
      <c r="D79" s="10" t="s">
        <v>75</v>
      </c>
      <c r="E79" s="10"/>
      <c r="F79" s="10"/>
    </row>
    <row r="80" spans="2:6">
      <c r="B80" s="7">
        <v>1</v>
      </c>
      <c r="C80" s="1">
        <v>10</v>
      </c>
      <c r="D80" s="10" t="s">
        <v>76</v>
      </c>
      <c r="E80" s="10" t="s">
        <v>77</v>
      </c>
      <c r="F80" s="10" t="s">
        <v>18</v>
      </c>
    </row>
    <row r="81" spans="2:6">
      <c r="B81" s="7">
        <v>1</v>
      </c>
      <c r="C81" s="1">
        <v>11</v>
      </c>
      <c r="D81" s="10" t="s">
        <v>78</v>
      </c>
      <c r="E81" s="10"/>
      <c r="F81" s="10"/>
    </row>
    <row r="82" spans="2:6">
      <c r="B82" s="7">
        <v>1</v>
      </c>
      <c r="C82" s="1">
        <v>12</v>
      </c>
      <c r="D82" s="10" t="s">
        <v>79</v>
      </c>
      <c r="E82" s="10"/>
      <c r="F82" s="10" t="s">
        <v>18</v>
      </c>
    </row>
    <row r="83" spans="2:6">
      <c r="B83" s="7">
        <v>2</v>
      </c>
      <c r="C83" s="1">
        <v>1</v>
      </c>
      <c r="D83" s="10"/>
      <c r="E83" s="10"/>
      <c r="F83" s="10"/>
    </row>
    <row r="84" spans="2:6">
      <c r="B84" s="7">
        <v>2</v>
      </c>
      <c r="C84" s="1">
        <v>2</v>
      </c>
      <c r="D84" s="10"/>
      <c r="E84" s="10"/>
      <c r="F84" s="10"/>
    </row>
    <row r="85" spans="2:6">
      <c r="B85" s="7">
        <v>2</v>
      </c>
      <c r="C85" s="1">
        <v>3</v>
      </c>
      <c r="D85" s="10"/>
      <c r="E85" s="10"/>
      <c r="F85" s="10"/>
    </row>
    <row r="86" spans="2:6">
      <c r="B86" s="7">
        <v>2</v>
      </c>
      <c r="C86" s="1">
        <v>4</v>
      </c>
      <c r="D86" s="10"/>
      <c r="E86" s="10"/>
      <c r="F86" s="10"/>
    </row>
    <row r="87" spans="2:6">
      <c r="B87" s="7">
        <v>2</v>
      </c>
      <c r="C87" s="1">
        <v>5</v>
      </c>
      <c r="D87" s="10"/>
      <c r="E87" s="10"/>
      <c r="F87" s="10"/>
    </row>
    <row r="88" spans="2:6">
      <c r="B88" s="7">
        <v>2</v>
      </c>
      <c r="C88" s="1">
        <v>6</v>
      </c>
      <c r="D88" s="10"/>
      <c r="E88" s="10"/>
      <c r="F88" s="10"/>
    </row>
    <row r="89" spans="2:6">
      <c r="B89" s="7">
        <v>2</v>
      </c>
      <c r="C89" s="1">
        <v>7</v>
      </c>
      <c r="D89" s="10"/>
      <c r="E89" s="10"/>
      <c r="F89" s="10"/>
    </row>
    <row r="90" spans="2:6">
      <c r="B90" s="7">
        <v>2</v>
      </c>
      <c r="C90" s="1">
        <v>8</v>
      </c>
      <c r="D90" s="10"/>
      <c r="E90" s="10"/>
      <c r="F90" s="10"/>
    </row>
    <row r="91" spans="2:6">
      <c r="B91" s="7">
        <v>2</v>
      </c>
      <c r="C91" s="1">
        <v>9</v>
      </c>
      <c r="D91" s="10"/>
      <c r="E91" s="10"/>
      <c r="F91" s="10"/>
    </row>
    <row r="92" spans="2:6">
      <c r="B92" s="7">
        <v>2</v>
      </c>
      <c r="C92" s="1">
        <v>10</v>
      </c>
      <c r="D92" s="10"/>
      <c r="E92" s="10"/>
      <c r="F92" s="10"/>
    </row>
    <row r="93" spans="2:6">
      <c r="B93" s="7">
        <v>2</v>
      </c>
      <c r="C93" s="1">
        <v>11</v>
      </c>
      <c r="D93" s="10"/>
      <c r="E93" s="10"/>
      <c r="F93" s="10"/>
    </row>
    <row r="94" spans="2:6">
      <c r="B94" s="7">
        <v>2</v>
      </c>
      <c r="C94" s="1">
        <v>12</v>
      </c>
      <c r="D94" s="10"/>
      <c r="E94" s="10"/>
      <c r="F94" s="10"/>
    </row>
  </sheetData>
  <sheetProtection selectLockedCells="1" sort="0" autoFilter="0" pivotTables="0"/>
  <phoneticPr fontId="2" type="noConversion"/>
  <dataValidations count="4">
    <dataValidation type="list" allowBlank="1" showInputMessage="1" showErrorMessage="1" sqref="F46:F66" xr:uid="{01FEA6C9-D04E-44C1-A327-802564B6B9F3}">
      <formula1>INDIRECT(VLOOKUP($E46, SkillNameMap, 2, FALSE))</formula1>
    </dataValidation>
    <dataValidation type="list" allowBlank="1" showInputMessage="1" showErrorMessage="1" sqref="E38:E41" xr:uid="{07247691-DC98-413E-B3EA-3489C3BA249B}">
      <formula1>INDIRECT("LISTAssess[Assessment Specific]")</formula1>
    </dataValidation>
    <dataValidation type="whole" showInputMessage="1" showErrorMessage="1" error="This is not a realistic number of contact hours please change" sqref="D19" xr:uid="{FC8290A5-A7DE-4C89-B56E-6D6FE33EBF36}">
      <formula1>0</formula1>
      <formula2>80</formula2>
    </dataValidation>
    <dataValidation type="whole" showInputMessage="1" showErrorMessage="1" error="This is not a realistic number of contact hours please reduce" sqref="D20:D23" xr:uid="{DE393F00-EC5E-4F3E-AE14-72CDEBB8295C}">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8247F662-842E-4EE3-805A-AA5953BF083A}">
          <x14:formula1>
            <xm:f>LISTS!$J$7:$J$16</xm:f>
          </x14:formula1>
          <xm:sqref>E46:E66</xm:sqref>
        </x14:dataValidation>
        <x14:dataValidation type="list" allowBlank="1" showInputMessage="1" showErrorMessage="1" xr:uid="{44D1F96B-AB6E-4E58-B489-7D973FD9CD46}">
          <x14:formula1>
            <xm:f>LISTS!$E$7:$E$11</xm:f>
          </x14:formula1>
          <xm:sqref>D46:D66</xm:sqref>
        </x14:dataValidation>
        <x14:dataValidation type="list" allowBlank="1" showInputMessage="1" showErrorMessage="1" xr:uid="{26E9181F-EF38-45D0-9152-FBF6EC0BEB00}">
          <x14:formula1>
            <xm:f>LISTS!$G$7:$G$11</xm:f>
          </x14:formula1>
          <xm:sqref>D38:D42</xm:sqref>
        </x14:dataValidation>
        <x14:dataValidation type="list" allowBlank="1" showInputMessage="1" showErrorMessage="1" xr:uid="{E5E57D1C-21AE-4566-8E6D-957C12AE18CE}">
          <x14:formula1>
            <xm:f>LISTS!$C$11:$C$15</xm:f>
          </x14:formula1>
          <xm:sqref>D11</xm:sqref>
        </x14:dataValidation>
        <x14:dataValidation type="list" allowBlank="1" showInputMessage="1" showErrorMessage="1" xr:uid="{63FB959C-463B-47BC-9C99-DFA102385F42}">
          <x14:formula1>
            <xm:f>LISTS!$C$7:$C$9</xm:f>
          </x14:formula1>
          <xm:sqref>D10</xm:sqref>
        </x14:dataValidation>
        <x14:dataValidation type="list" allowBlank="1" showInputMessage="1" showErrorMessage="1" xr:uid="{F2631761-3E1D-4998-9158-850FB5708328}">
          <x14:formula1>
            <xm:f>LISTS!$C$17:$C$22</xm:f>
          </x14:formula1>
          <xm:sqref>D13</xm:sqref>
        </x14:dataValidation>
        <x14:dataValidation type="list" allowBlank="1" showInputMessage="1" showErrorMessage="1" xr:uid="{0FF40044-1DF8-4C09-97A1-BC6111D3174A}">
          <x14:formula1>
            <xm:f>LISTS!$C$26:$C$37</xm:f>
          </x14:formula1>
          <xm:sqref>D14</xm:sqref>
        </x14:dataValidation>
      </x14:dataValidation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6BB1DD-F469-4B0C-8EE9-FF16EC784179}">
  <sheetPr codeName="Sheet32"/>
  <dimension ref="C4:T102"/>
  <sheetViews>
    <sheetView topLeftCell="A31" workbookViewId="0">
      <selection activeCell="G66" sqref="G66"/>
    </sheetView>
  </sheetViews>
  <sheetFormatPr defaultColWidth="8.85546875" defaultRowHeight="15"/>
  <cols>
    <col min="7" max="7" width="11.28515625" customWidth="1"/>
    <col min="10" max="10" width="19.28515625" bestFit="1" customWidth="1"/>
    <col min="19" max="19" width="28.28515625" customWidth="1"/>
    <col min="20" max="20" width="16.140625" customWidth="1"/>
  </cols>
  <sheetData>
    <row r="4" spans="3:10">
      <c r="C4" t="s">
        <v>1034</v>
      </c>
      <c r="E4" t="s">
        <v>1035</v>
      </c>
      <c r="G4" t="s">
        <v>1035</v>
      </c>
      <c r="J4" t="s">
        <v>1036</v>
      </c>
    </row>
    <row r="7" spans="3:10" ht="15.75" customHeight="1">
      <c r="C7" s="7">
        <v>1</v>
      </c>
      <c r="E7" t="s">
        <v>28</v>
      </c>
      <c r="G7" t="s">
        <v>355</v>
      </c>
      <c r="J7" t="s">
        <v>50</v>
      </c>
    </row>
    <row r="8" spans="3:10">
      <c r="C8" s="7">
        <v>2</v>
      </c>
      <c r="E8" t="s">
        <v>29</v>
      </c>
      <c r="G8" t="s">
        <v>157</v>
      </c>
      <c r="J8" t="s">
        <v>57</v>
      </c>
    </row>
    <row r="9" spans="3:10">
      <c r="C9" s="7" t="s">
        <v>843</v>
      </c>
      <c r="E9" t="s">
        <v>30</v>
      </c>
      <c r="G9" t="s">
        <v>41</v>
      </c>
      <c r="J9" t="s">
        <v>53</v>
      </c>
    </row>
    <row r="10" spans="3:10">
      <c r="E10" t="s">
        <v>31</v>
      </c>
      <c r="G10" t="s">
        <v>19</v>
      </c>
      <c r="J10" t="s">
        <v>162</v>
      </c>
    </row>
    <row r="11" spans="3:10">
      <c r="C11" s="7">
        <v>3</v>
      </c>
      <c r="E11" t="s">
        <v>32</v>
      </c>
      <c r="G11" t="s">
        <v>97</v>
      </c>
      <c r="J11" t="s">
        <v>100</v>
      </c>
    </row>
    <row r="12" spans="3:10">
      <c r="C12" s="7">
        <v>4</v>
      </c>
      <c r="J12" t="s">
        <v>55</v>
      </c>
    </row>
    <row r="13" spans="3:10">
      <c r="C13" s="7">
        <v>5</v>
      </c>
      <c r="J13" t="s">
        <v>310</v>
      </c>
    </row>
    <row r="14" spans="3:10">
      <c r="C14" s="7">
        <v>6</v>
      </c>
      <c r="G14" t="s">
        <v>36</v>
      </c>
      <c r="J14" t="s">
        <v>106</v>
      </c>
    </row>
    <row r="15" spans="3:10">
      <c r="C15" s="7">
        <v>7</v>
      </c>
      <c r="G15" t="s">
        <v>236</v>
      </c>
      <c r="J15" t="s">
        <v>102</v>
      </c>
    </row>
    <row r="16" spans="3:10">
      <c r="G16" t="s">
        <v>941</v>
      </c>
      <c r="J16" t="s">
        <v>419</v>
      </c>
    </row>
    <row r="17" spans="3:20">
      <c r="C17" t="s">
        <v>85</v>
      </c>
      <c r="G17" t="s">
        <v>904</v>
      </c>
    </row>
    <row r="18" spans="3:20">
      <c r="C18" t="s">
        <v>184</v>
      </c>
      <c r="G18" t="s">
        <v>356</v>
      </c>
    </row>
    <row r="19" spans="3:20">
      <c r="C19" t="s">
        <v>883</v>
      </c>
      <c r="G19" t="s">
        <v>42</v>
      </c>
      <c r="J19" t="s">
        <v>1037</v>
      </c>
      <c r="K19" t="s">
        <v>1038</v>
      </c>
    </row>
    <row r="20" spans="3:20">
      <c r="C20" t="s">
        <v>1039</v>
      </c>
      <c r="G20" t="s">
        <v>95</v>
      </c>
      <c r="J20" t="s">
        <v>50</v>
      </c>
      <c r="K20" t="s">
        <v>239</v>
      </c>
      <c r="O20" s="71" t="s">
        <v>1040</v>
      </c>
      <c r="S20" s="72" t="s">
        <v>1041</v>
      </c>
      <c r="T20" s="73" t="s">
        <v>1042</v>
      </c>
    </row>
    <row r="21" spans="3:20">
      <c r="C21" t="s">
        <v>532</v>
      </c>
      <c r="G21" t="s">
        <v>539</v>
      </c>
      <c r="J21" t="s">
        <v>50</v>
      </c>
      <c r="K21" t="s">
        <v>52</v>
      </c>
      <c r="O21" t="str" cm="1">
        <f t="array" ref="O21:O26">_xlfn._xlws.FILTER(LISTS_Table[Skill],LISTS_Table[Category]="Scientific Knowledge")</f>
        <v>Critical thinking</v>
      </c>
      <c r="S21" s="74" t="s">
        <v>50</v>
      </c>
      <c r="T21" s="75" t="s">
        <v>1043</v>
      </c>
    </row>
    <row r="22" spans="3:20">
      <c r="C22" t="s">
        <v>147</v>
      </c>
      <c r="G22" t="s">
        <v>537</v>
      </c>
      <c r="J22" t="s">
        <v>50</v>
      </c>
      <c r="K22" t="s">
        <v>51</v>
      </c>
      <c r="O22" t="str">
        <v>Scientific literacy</v>
      </c>
      <c r="S22" s="76" t="s">
        <v>57</v>
      </c>
      <c r="T22" s="77" t="s">
        <v>1044</v>
      </c>
    </row>
    <row r="23" spans="3:20">
      <c r="G23" t="s">
        <v>302</v>
      </c>
      <c r="J23" t="s">
        <v>50</v>
      </c>
      <c r="K23" t="s">
        <v>304</v>
      </c>
      <c r="O23" t="str">
        <v>Information retrieval</v>
      </c>
      <c r="S23" s="74" t="s">
        <v>53</v>
      </c>
      <c r="T23" s="75" t="s">
        <v>1045</v>
      </c>
    </row>
    <row r="24" spans="3:20">
      <c r="G24" t="s">
        <v>1046</v>
      </c>
      <c r="J24" t="s">
        <v>50</v>
      </c>
      <c r="K24" t="s">
        <v>544</v>
      </c>
      <c r="O24" t="str">
        <v>Knowledge synthesis</v>
      </c>
      <c r="S24" s="76" t="s">
        <v>162</v>
      </c>
      <c r="T24" s="77" t="s">
        <v>1047</v>
      </c>
    </row>
    <row r="25" spans="3:20">
      <c r="G25" t="s">
        <v>98</v>
      </c>
      <c r="J25" t="s">
        <v>50</v>
      </c>
      <c r="K25" t="s">
        <v>491</v>
      </c>
      <c r="O25" t="str">
        <v>Domain-specific analytical skills</v>
      </c>
      <c r="S25" s="74" t="s">
        <v>100</v>
      </c>
      <c r="T25" s="75" t="s">
        <v>1048</v>
      </c>
    </row>
    <row r="26" spans="3:20">
      <c r="C26" t="s">
        <v>1049</v>
      </c>
      <c r="G26" t="s">
        <v>1050</v>
      </c>
      <c r="J26" t="s">
        <v>57</v>
      </c>
      <c r="K26" t="s">
        <v>655</v>
      </c>
      <c r="O26" t="str">
        <v>Evidence evaluation</v>
      </c>
      <c r="S26" s="76" t="s">
        <v>55</v>
      </c>
      <c r="T26" s="77" t="s">
        <v>55</v>
      </c>
    </row>
    <row r="27" spans="3:20">
      <c r="C27" t="s">
        <v>1051</v>
      </c>
      <c r="G27" t="s">
        <v>300</v>
      </c>
      <c r="J27" t="s">
        <v>57</v>
      </c>
      <c r="K27" t="s">
        <v>240</v>
      </c>
      <c r="S27" s="74" t="s">
        <v>310</v>
      </c>
      <c r="T27" s="75" t="s">
        <v>1052</v>
      </c>
    </row>
    <row r="28" spans="3:20">
      <c r="C28" t="s">
        <v>86</v>
      </c>
      <c r="G28" t="s">
        <v>158</v>
      </c>
      <c r="J28" t="s">
        <v>57</v>
      </c>
      <c r="K28" t="s">
        <v>78</v>
      </c>
      <c r="O28" s="6" t="s">
        <v>1053</v>
      </c>
      <c r="S28" s="76" t="s">
        <v>106</v>
      </c>
      <c r="T28" s="77" t="s">
        <v>1054</v>
      </c>
    </row>
    <row r="29" spans="3:20">
      <c r="C29" t="s">
        <v>1055</v>
      </c>
      <c r="J29" t="s">
        <v>57</v>
      </c>
      <c r="K29" t="s">
        <v>543</v>
      </c>
      <c r="O29" t="str" cm="1">
        <f t="array" ref="O29:O34">_xlfn._xlws.FILTER(LISTS_Table[Skill],LISTS_Table[Category]="Technical Skills")</f>
        <v>Laboratory/clinical techniques</v>
      </c>
      <c r="S29" s="74" t="s">
        <v>102</v>
      </c>
      <c r="T29" s="75" t="s">
        <v>1056</v>
      </c>
    </row>
    <row r="30" spans="3:20">
      <c r="C30" t="s">
        <v>1057</v>
      </c>
      <c r="J30" t="s">
        <v>57</v>
      </c>
      <c r="K30" t="s">
        <v>58</v>
      </c>
      <c r="O30" t="str">
        <v>Data collection</v>
      </c>
      <c r="S30" s="78" t="s">
        <v>419</v>
      </c>
      <c r="T30" s="79" t="s">
        <v>1058</v>
      </c>
    </row>
    <row r="31" spans="3:20">
      <c r="C31" t="s">
        <v>1059</v>
      </c>
      <c r="J31" t="s">
        <v>57</v>
      </c>
      <c r="K31" t="s">
        <v>907</v>
      </c>
      <c r="O31" t="str">
        <v>Data analysis</v>
      </c>
    </row>
    <row r="32" spans="3:20">
      <c r="C32" t="s">
        <v>186</v>
      </c>
      <c r="J32" t="s">
        <v>53</v>
      </c>
      <c r="K32" t="s">
        <v>54</v>
      </c>
      <c r="O32" t="str">
        <v>Digital literacy</v>
      </c>
    </row>
    <row r="33" spans="3:15">
      <c r="C33" t="s">
        <v>443</v>
      </c>
      <c r="J33" t="s">
        <v>53</v>
      </c>
      <c r="K33" t="s">
        <v>541</v>
      </c>
      <c r="O33" t="str">
        <v>Equipment and technology utilisation</v>
      </c>
    </row>
    <row r="34" spans="3:15">
      <c r="C34" t="s">
        <v>935</v>
      </c>
      <c r="J34" t="s">
        <v>53</v>
      </c>
      <c r="K34" t="s">
        <v>161</v>
      </c>
      <c r="O34" t="str">
        <v>Technical proficiency</v>
      </c>
    </row>
    <row r="35" spans="3:15">
      <c r="C35" t="s">
        <v>1060</v>
      </c>
      <c r="J35" t="s">
        <v>53</v>
      </c>
      <c r="K35" t="s">
        <v>242</v>
      </c>
    </row>
    <row r="36" spans="3:15">
      <c r="C36" t="s">
        <v>1061</v>
      </c>
      <c r="J36" t="s">
        <v>53</v>
      </c>
      <c r="K36" t="s">
        <v>943</v>
      </c>
      <c r="O36" s="71" t="s">
        <v>1062</v>
      </c>
    </row>
    <row r="37" spans="3:15">
      <c r="C37" t="s">
        <v>225</v>
      </c>
      <c r="J37" t="s">
        <v>53</v>
      </c>
      <c r="K37" t="s">
        <v>908</v>
      </c>
      <c r="O37" t="str" cm="1">
        <f t="array" ref="O37:O42">_xlfn._xlws.FILTER(LISTS_Table[Skill],LISTS_Table[Category]="Application of Knowledge and skills")</f>
        <v>Decision-making</v>
      </c>
    </row>
    <row r="38" spans="3:15">
      <c r="J38" t="s">
        <v>162</v>
      </c>
      <c r="K38" t="s">
        <v>615</v>
      </c>
      <c r="O38" t="str">
        <v>Translational practice</v>
      </c>
    </row>
    <row r="39" spans="3:15">
      <c r="J39" t="s">
        <v>162</v>
      </c>
      <c r="K39" t="s">
        <v>163</v>
      </c>
      <c r="O39" t="str">
        <v>Contextual application</v>
      </c>
    </row>
    <row r="40" spans="3:15">
      <c r="J40" t="s">
        <v>162</v>
      </c>
      <c r="K40" t="s">
        <v>493</v>
      </c>
      <c r="O40" t="str">
        <v>Professional judgement</v>
      </c>
    </row>
    <row r="41" spans="3:15">
      <c r="J41" t="s">
        <v>162</v>
      </c>
      <c r="K41" t="s">
        <v>164</v>
      </c>
      <c r="O41" t="str">
        <v>Adaptability</v>
      </c>
    </row>
    <row r="42" spans="3:15">
      <c r="J42" t="s">
        <v>162</v>
      </c>
      <c r="K42" t="s">
        <v>383</v>
      </c>
      <c r="O42" t="str">
        <v>Risk assessment</v>
      </c>
    </row>
    <row r="43" spans="3:15">
      <c r="J43" t="s">
        <v>162</v>
      </c>
      <c r="K43" t="s">
        <v>781</v>
      </c>
    </row>
    <row r="44" spans="3:15">
      <c r="J44" t="s">
        <v>100</v>
      </c>
      <c r="K44" t="s">
        <v>101</v>
      </c>
      <c r="O44" s="80" t="s">
        <v>162</v>
      </c>
    </row>
    <row r="45" spans="3:15">
      <c r="J45" t="s">
        <v>100</v>
      </c>
      <c r="K45" t="s">
        <v>382</v>
      </c>
      <c r="O45" t="str" cm="1">
        <f t="array" ref="O45:O50">_xlfn._xlws.FILTER(LISTS_Table[Skill],LISTS_Table[Category]="Understanding and use of research")</f>
        <v>Research literacy</v>
      </c>
    </row>
    <row r="46" spans="3:15">
      <c r="J46" t="s">
        <v>100</v>
      </c>
      <c r="K46" t="s">
        <v>1063</v>
      </c>
      <c r="O46" t="str">
        <v>Literature searching</v>
      </c>
    </row>
    <row r="47" spans="3:15">
      <c r="J47" t="s">
        <v>100</v>
      </c>
      <c r="K47" t="s">
        <v>105</v>
      </c>
      <c r="O47" t="str">
        <v>Critical appraisal</v>
      </c>
    </row>
    <row r="48" spans="3:15">
      <c r="J48" t="s">
        <v>100</v>
      </c>
      <c r="K48" t="s">
        <v>1064</v>
      </c>
      <c r="O48" t="str">
        <v>Data interpretation</v>
      </c>
    </row>
    <row r="49" spans="10:15">
      <c r="J49" t="s">
        <v>100</v>
      </c>
      <c r="K49" t="s">
        <v>1065</v>
      </c>
      <c r="O49" t="str">
        <v>Evidence-based practice</v>
      </c>
    </row>
    <row r="50" spans="10:15">
      <c r="J50" t="s">
        <v>100</v>
      </c>
      <c r="K50" t="s">
        <v>1066</v>
      </c>
      <c r="O50" t="str">
        <v>Research communication</v>
      </c>
    </row>
    <row r="51" spans="10:15">
      <c r="J51" t="s">
        <v>55</v>
      </c>
      <c r="K51" t="s">
        <v>241</v>
      </c>
    </row>
    <row r="52" spans="10:15">
      <c r="J52" t="s">
        <v>55</v>
      </c>
      <c r="K52" t="s">
        <v>56</v>
      </c>
      <c r="O52" s="80" t="s">
        <v>100</v>
      </c>
    </row>
    <row r="53" spans="10:15">
      <c r="J53" t="s">
        <v>55</v>
      </c>
      <c r="K53" t="s">
        <v>492</v>
      </c>
      <c r="O53" t="str" cm="1">
        <f t="array" ref="O53:O59">_xlfn._xlws.FILTER(LISTS_Table[Skill],LISTS_Table[Category]="Self-evaluation and professional development")</f>
        <v>Reflective practice</v>
      </c>
    </row>
    <row r="54" spans="10:15">
      <c r="J54" t="s">
        <v>55</v>
      </c>
      <c r="K54" t="s">
        <v>359</v>
      </c>
      <c r="O54" t="str">
        <v>Self-awareness</v>
      </c>
    </row>
    <row r="55" spans="10:15">
      <c r="J55" t="s">
        <v>55</v>
      </c>
      <c r="K55" t="s">
        <v>104</v>
      </c>
      <c r="O55" t="str">
        <v>Lifelong learning</v>
      </c>
    </row>
    <row r="56" spans="10:15">
      <c r="J56" t="s">
        <v>55</v>
      </c>
      <c r="K56" t="s">
        <v>305</v>
      </c>
      <c r="O56" t="str">
        <v>Personal development planning</v>
      </c>
    </row>
    <row r="57" spans="10:15">
      <c r="J57" t="s">
        <v>310</v>
      </c>
      <c r="K57" t="s">
        <v>1067</v>
      </c>
      <c r="O57" t="str">
        <v>Resilience</v>
      </c>
    </row>
    <row r="58" spans="10:15">
      <c r="J58" t="s">
        <v>310</v>
      </c>
      <c r="K58" t="s">
        <v>1068</v>
      </c>
      <c r="O58" t="str">
        <v>Initiative</v>
      </c>
    </row>
    <row r="59" spans="10:15">
      <c r="J59" t="s">
        <v>310</v>
      </c>
      <c r="K59" t="s">
        <v>1069</v>
      </c>
      <c r="O59" t="str">
        <v>Accountability</v>
      </c>
    </row>
    <row r="60" spans="10:15">
      <c r="J60" t="s">
        <v>310</v>
      </c>
      <c r="K60" t="s">
        <v>742</v>
      </c>
    </row>
    <row r="61" spans="10:15">
      <c r="J61" t="s">
        <v>310</v>
      </c>
      <c r="K61" t="s">
        <v>1070</v>
      </c>
      <c r="O61" s="81" t="s">
        <v>55</v>
      </c>
    </row>
    <row r="62" spans="10:15">
      <c r="J62" t="s">
        <v>310</v>
      </c>
      <c r="K62" t="s">
        <v>311</v>
      </c>
      <c r="O62" t="str" cm="1">
        <f t="array" ref="O62:O67">_xlfn._xlws.FILTER(LISTS_Table[Skill],LISTS_Table[Category]="Communication")</f>
        <v>Written communication</v>
      </c>
    </row>
    <row r="63" spans="10:15">
      <c r="J63" t="s">
        <v>106</v>
      </c>
      <c r="K63" t="s">
        <v>307</v>
      </c>
      <c r="O63" t="str">
        <v>Oral presentation</v>
      </c>
    </row>
    <row r="64" spans="10:15">
      <c r="J64" t="s">
        <v>106</v>
      </c>
      <c r="K64" t="s">
        <v>981</v>
      </c>
      <c r="O64" t="str">
        <v>Active listening</v>
      </c>
    </row>
    <row r="65" spans="10:15">
      <c r="J65" t="s">
        <v>106</v>
      </c>
      <c r="K65" t="s">
        <v>107</v>
      </c>
      <c r="O65" t="str">
        <v>Scientific writing</v>
      </c>
    </row>
    <row r="66" spans="10:15">
      <c r="J66" t="s">
        <v>106</v>
      </c>
      <c r="K66" t="s">
        <v>306</v>
      </c>
      <c r="O66" t="str">
        <v>Interpersonal communication</v>
      </c>
    </row>
    <row r="67" spans="10:15">
      <c r="J67" t="s">
        <v>106</v>
      </c>
      <c r="K67" t="s">
        <v>308</v>
      </c>
      <c r="O67" t="str">
        <v>Digital communication</v>
      </c>
    </row>
    <row r="68" spans="10:15">
      <c r="J68" t="s">
        <v>106</v>
      </c>
      <c r="K68" t="s">
        <v>309</v>
      </c>
    </row>
    <row r="69" spans="10:15">
      <c r="J69" t="s">
        <v>106</v>
      </c>
      <c r="K69" t="s">
        <v>1071</v>
      </c>
      <c r="O69" s="81" t="s">
        <v>310</v>
      </c>
    </row>
    <row r="70" spans="10:15">
      <c r="J70" t="s">
        <v>106</v>
      </c>
      <c r="K70" t="s">
        <v>1072</v>
      </c>
      <c r="O70" t="str" cm="1">
        <f t="array" ref="O70:O75">_xlfn._xlws.FILTER(LISTS_Table[Skill],LISTS_Table[Category]="Problem solving and impact")</f>
        <v>Analytical thinking</v>
      </c>
    </row>
    <row r="71" spans="10:15">
      <c r="J71" t="s">
        <v>106</v>
      </c>
      <c r="K71" t="s">
        <v>1073</v>
      </c>
      <c r="O71" t="str">
        <v>problem identification</v>
      </c>
    </row>
    <row r="72" spans="10:15">
      <c r="J72" t="s">
        <v>102</v>
      </c>
      <c r="K72" t="s">
        <v>1074</v>
      </c>
      <c r="O72" t="str">
        <v>Creative thinking</v>
      </c>
    </row>
    <row r="73" spans="10:15">
      <c r="J73" t="s">
        <v>102</v>
      </c>
      <c r="K73" t="s">
        <v>1075</v>
      </c>
      <c r="O73" t="str">
        <v>Evidence-based decision making</v>
      </c>
    </row>
    <row r="74" spans="10:15">
      <c r="J74" t="s">
        <v>102</v>
      </c>
      <c r="K74" t="s">
        <v>854</v>
      </c>
      <c r="O74" t="str">
        <v>Innovation</v>
      </c>
    </row>
    <row r="75" spans="10:15">
      <c r="J75" t="s">
        <v>102</v>
      </c>
      <c r="K75" t="s">
        <v>542</v>
      </c>
      <c r="O75" t="str">
        <v>Evaluation of outcomes</v>
      </c>
    </row>
    <row r="76" spans="10:15">
      <c r="J76" t="s">
        <v>102</v>
      </c>
      <c r="K76" t="s">
        <v>103</v>
      </c>
    </row>
    <row r="77" spans="10:15">
      <c r="J77" t="s">
        <v>419</v>
      </c>
      <c r="K77" t="s">
        <v>656</v>
      </c>
      <c r="O77" s="81" t="s">
        <v>106</v>
      </c>
    </row>
    <row r="78" spans="10:15">
      <c r="J78" t="s">
        <v>419</v>
      </c>
      <c r="K78" t="s">
        <v>420</v>
      </c>
      <c r="O78" t="str" cm="1">
        <f t="array" ref="O78:O86">_xlfn._xlws.FILTER(LISTS_Table[Skill],LISTS_Table[Category]="Management of self and others")</f>
        <v>Leadership</v>
      </c>
    </row>
    <row r="79" spans="10:15">
      <c r="J79" t="s">
        <v>419</v>
      </c>
      <c r="K79" t="s">
        <v>855</v>
      </c>
      <c r="O79" t="str">
        <v>Coaching and mentoring</v>
      </c>
    </row>
    <row r="80" spans="10:15">
      <c r="J80" t="s">
        <v>419</v>
      </c>
      <c r="K80" t="s">
        <v>856</v>
      </c>
      <c r="O80" t="str">
        <v>Time management</v>
      </c>
    </row>
    <row r="81" spans="10:15">
      <c r="J81" t="s">
        <v>419</v>
      </c>
      <c r="K81" t="s">
        <v>857</v>
      </c>
      <c r="O81" t="str">
        <v>Organisation</v>
      </c>
    </row>
    <row r="82" spans="10:15">
      <c r="J82" t="s">
        <v>419</v>
      </c>
      <c r="K82" t="s">
        <v>1076</v>
      </c>
      <c r="O82" t="str">
        <v>Delegation</v>
      </c>
    </row>
    <row r="83" spans="10:15">
      <c r="J83" t="s">
        <v>419</v>
      </c>
      <c r="K83" t="s">
        <v>1077</v>
      </c>
      <c r="O83" t="str">
        <v>Conflict resolution</v>
      </c>
    </row>
    <row r="84" spans="10:15">
      <c r="O84" t="str">
        <v>Empathy</v>
      </c>
    </row>
    <row r="85" spans="10:15">
      <c r="O85" t="str">
        <v>Multi-tasking</v>
      </c>
    </row>
    <row r="86" spans="10:15">
      <c r="O86" t="str">
        <v>Resource management</v>
      </c>
    </row>
    <row r="88" spans="10:15">
      <c r="O88" s="80" t="s">
        <v>102</v>
      </c>
    </row>
    <row r="89" spans="10:15">
      <c r="O89" t="str" cm="1">
        <f t="array" ref="O89:O93">_xlfn._xlws.FILTER(LISTS_Table[Skill],LISTS_Table[Category]="Understanding the delivery environment")</f>
        <v>Organisational awareness</v>
      </c>
    </row>
    <row r="90" spans="10:15">
      <c r="O90" t="str">
        <v>Policy interpretation</v>
      </c>
    </row>
    <row r="91" spans="10:15">
      <c r="O91" t="str">
        <v>Stakeholder awareness</v>
      </c>
    </row>
    <row r="92" spans="10:15">
      <c r="O92" t="str">
        <v>Service delivery</v>
      </c>
    </row>
    <row r="93" spans="10:15">
      <c r="O93" t="str">
        <v>Professional awareness</v>
      </c>
    </row>
    <row r="95" spans="10:15">
      <c r="O95" s="81" t="s">
        <v>1078</v>
      </c>
    </row>
    <row r="96" spans="10:15">
      <c r="O96" t="str" cm="1">
        <f t="array" ref="O96:O102">_xlfn._xlws.FILTER(LISTS_Table[Skill],LISTS_Table[Category]="Professional relationships and behaviours")</f>
        <v>Teamwork</v>
      </c>
    </row>
    <row r="97" spans="15:15">
      <c r="O97" t="str">
        <v>Collaboration/multi-disciplinary working</v>
      </c>
    </row>
    <row r="98" spans="15:15">
      <c r="O98" t="str">
        <v>Ethical practice</v>
      </c>
    </row>
    <row r="99" spans="15:15">
      <c r="O99" t="str">
        <v>Professionalism</v>
      </c>
    </row>
    <row r="100" spans="15:15">
      <c r="O100" t="str">
        <v>Cultural awareness and competence</v>
      </c>
    </row>
    <row r="101" spans="15:15">
      <c r="O101" t="str">
        <v>Integrity</v>
      </c>
    </row>
    <row r="102" spans="15:15">
      <c r="O102" t="str">
        <v>Respect</v>
      </c>
    </row>
  </sheetData>
  <sheetProtection sheet="1" objects="1" scenarios="1" formatCells="0" formatColumns="0" formatRows="0" insertHyperlinks="0"/>
  <sortState xmlns:xlrd2="http://schemas.microsoft.com/office/spreadsheetml/2017/richdata2" ref="C26:C31">
    <sortCondition ref="C31"/>
  </sortState>
  <phoneticPr fontId="2" type="noConversion"/>
  <pageMargins left="0.7" right="0.7" top="0.75" bottom="0.75" header="0.3" footer="0.3"/>
  <tableParts count="2">
    <tablePart r:id="rId1"/>
    <tablePart r:id="rId2"/>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325232-2496-E546-9604-2F97282EED57}">
  <sheetPr codeName="Sheet26"/>
  <dimension ref="A2:R42"/>
  <sheetViews>
    <sheetView topLeftCell="A29" workbookViewId="0">
      <selection activeCell="C40" sqref="C40"/>
    </sheetView>
  </sheetViews>
  <sheetFormatPr defaultColWidth="11.42578125" defaultRowHeight="15"/>
  <cols>
    <col min="1" max="1" width="13.42578125" bestFit="1" customWidth="1"/>
    <col min="2" max="2" width="23.7109375" bestFit="1" customWidth="1"/>
    <col min="3" max="3" width="32" bestFit="1" customWidth="1"/>
    <col min="4" max="4" width="27.7109375" bestFit="1" customWidth="1"/>
    <col min="5" max="5" width="21.140625" customWidth="1"/>
    <col min="6" max="6" width="24.7109375" bestFit="1" customWidth="1"/>
    <col min="7" max="7" width="32" bestFit="1" customWidth="1"/>
    <col min="11" max="11" width="21" bestFit="1" customWidth="1"/>
    <col min="12" max="12" width="16.85546875" bestFit="1" customWidth="1"/>
    <col min="13" max="13" width="7" bestFit="1" customWidth="1"/>
    <col min="14" max="14" width="8.7109375" bestFit="1" customWidth="1"/>
    <col min="15" max="15" width="8.42578125" bestFit="1" customWidth="1"/>
    <col min="16" max="16" width="5.42578125" bestFit="1" customWidth="1"/>
    <col min="17" max="17" width="10.140625" bestFit="1" customWidth="1"/>
    <col min="18" max="18" width="11.28515625" bestFit="1" customWidth="1"/>
  </cols>
  <sheetData>
    <row r="2" spans="1:18">
      <c r="A2" s="6" t="s">
        <v>1079</v>
      </c>
    </row>
    <row r="3" spans="1:18">
      <c r="A3" s="45" t="s">
        <v>1080</v>
      </c>
      <c r="B3" s="46" t="s">
        <v>1081</v>
      </c>
      <c r="C3" s="46" t="s">
        <v>10</v>
      </c>
      <c r="D3" s="46" t="s">
        <v>8</v>
      </c>
      <c r="E3" s="46" t="s">
        <v>7</v>
      </c>
      <c r="F3" s="46" t="s">
        <v>11</v>
      </c>
      <c r="G3" s="46" t="s">
        <v>12</v>
      </c>
      <c r="H3" s="46" t="s">
        <v>1082</v>
      </c>
      <c r="I3" s="47" t="s">
        <v>1083</v>
      </c>
      <c r="K3" s="48" t="s">
        <v>1084</v>
      </c>
      <c r="L3" s="48" t="s">
        <v>1085</v>
      </c>
    </row>
    <row r="4" spans="1:18">
      <c r="A4" s="57" t="s">
        <v>1086</v>
      </c>
      <c r="B4" s="58" t="s">
        <v>1087</v>
      </c>
      <c r="C4" s="58">
        <v>4</v>
      </c>
      <c r="D4" s="58">
        <v>1</v>
      </c>
      <c r="E4" s="58">
        <v>20</v>
      </c>
      <c r="F4" s="58" t="s">
        <v>1088</v>
      </c>
      <c r="G4" s="58" t="s">
        <v>147</v>
      </c>
      <c r="H4" s="58">
        <v>44</v>
      </c>
      <c r="I4" s="59">
        <v>2.2000000000000002</v>
      </c>
      <c r="K4" s="48" t="s">
        <v>1089</v>
      </c>
      <c r="L4" t="s">
        <v>17</v>
      </c>
      <c r="M4" t="s">
        <v>22</v>
      </c>
      <c r="N4" t="s">
        <v>19</v>
      </c>
      <c r="O4" t="s">
        <v>18</v>
      </c>
      <c r="P4" t="s">
        <v>23</v>
      </c>
      <c r="Q4" t="s">
        <v>20</v>
      </c>
      <c r="R4" t="s">
        <v>1090</v>
      </c>
    </row>
    <row r="5" spans="1:18">
      <c r="A5" s="57" t="s">
        <v>217</v>
      </c>
      <c r="B5" s="58" t="s">
        <v>1091</v>
      </c>
      <c r="C5" s="58">
        <v>4</v>
      </c>
      <c r="D5" s="58">
        <v>1</v>
      </c>
      <c r="E5" s="58">
        <v>20</v>
      </c>
      <c r="F5" s="58" t="s">
        <v>222</v>
      </c>
      <c r="G5" s="58" t="s">
        <v>147</v>
      </c>
      <c r="H5" s="58">
        <v>44</v>
      </c>
      <c r="I5" s="59">
        <v>2.2000000000000002</v>
      </c>
      <c r="K5" s="49" t="s">
        <v>178</v>
      </c>
      <c r="L5">
        <v>34</v>
      </c>
      <c r="O5">
        <v>6</v>
      </c>
      <c r="P5">
        <v>44</v>
      </c>
      <c r="Q5">
        <v>4</v>
      </c>
      <c r="R5">
        <v>88</v>
      </c>
    </row>
    <row r="6" spans="1:18">
      <c r="A6" s="60" t="s">
        <v>279</v>
      </c>
      <c r="B6" s="61" t="s">
        <v>281</v>
      </c>
      <c r="C6" s="61">
        <v>4</v>
      </c>
      <c r="D6" s="61">
        <v>2</v>
      </c>
      <c r="E6" s="61">
        <v>20</v>
      </c>
      <c r="F6" s="61" t="s">
        <v>283</v>
      </c>
      <c r="G6" s="61" t="s">
        <v>147</v>
      </c>
      <c r="H6" s="61">
        <v>39</v>
      </c>
      <c r="I6" s="62">
        <v>1.95</v>
      </c>
      <c r="K6" s="49" t="s">
        <v>217</v>
      </c>
      <c r="L6">
        <v>33</v>
      </c>
      <c r="M6">
        <v>3</v>
      </c>
      <c r="N6">
        <v>6</v>
      </c>
      <c r="O6">
        <v>1</v>
      </c>
      <c r="P6">
        <v>44</v>
      </c>
      <c r="Q6">
        <v>1</v>
      </c>
      <c r="R6">
        <v>88</v>
      </c>
    </row>
    <row r="7" spans="1:18">
      <c r="A7" s="57" t="s">
        <v>80</v>
      </c>
      <c r="B7" s="58" t="s">
        <v>1092</v>
      </c>
      <c r="C7" s="58">
        <v>4</v>
      </c>
      <c r="D7" s="58">
        <v>1</v>
      </c>
      <c r="E7" s="58">
        <v>20</v>
      </c>
      <c r="F7" s="58" t="s">
        <v>84</v>
      </c>
      <c r="G7" s="58" t="s">
        <v>85</v>
      </c>
      <c r="H7" s="58">
        <v>44</v>
      </c>
      <c r="I7" s="59">
        <v>2.2000000000000002</v>
      </c>
      <c r="K7" s="49" t="s">
        <v>1086</v>
      </c>
      <c r="L7">
        <v>42</v>
      </c>
      <c r="P7">
        <v>42</v>
      </c>
      <c r="R7">
        <v>84</v>
      </c>
    </row>
    <row r="8" spans="1:18">
      <c r="A8" s="60" t="s">
        <v>141</v>
      </c>
      <c r="B8" s="61" t="s">
        <v>143</v>
      </c>
      <c r="C8" s="61">
        <v>4</v>
      </c>
      <c r="D8" s="61">
        <v>2</v>
      </c>
      <c r="E8" s="61">
        <v>20</v>
      </c>
      <c r="F8" s="61" t="s">
        <v>146</v>
      </c>
      <c r="G8" s="61" t="s">
        <v>147</v>
      </c>
      <c r="H8" s="61">
        <v>40</v>
      </c>
      <c r="I8" s="62">
        <v>2</v>
      </c>
      <c r="K8" s="49" t="s">
        <v>279</v>
      </c>
      <c r="L8">
        <v>11</v>
      </c>
      <c r="M8">
        <v>11</v>
      </c>
      <c r="N8">
        <v>6</v>
      </c>
      <c r="P8">
        <v>39</v>
      </c>
      <c r="Q8">
        <v>11</v>
      </c>
      <c r="R8">
        <v>78</v>
      </c>
    </row>
    <row r="9" spans="1:18">
      <c r="A9" s="60" t="s">
        <v>1093</v>
      </c>
      <c r="B9" s="61" t="s">
        <v>1094</v>
      </c>
      <c r="C9" s="61">
        <v>5</v>
      </c>
      <c r="D9" s="61">
        <v>2</v>
      </c>
      <c r="E9" s="61">
        <v>20</v>
      </c>
      <c r="F9" s="61" t="s">
        <v>1095</v>
      </c>
      <c r="G9" s="61" t="s">
        <v>147</v>
      </c>
      <c r="H9" s="61">
        <v>44</v>
      </c>
      <c r="I9" s="62">
        <v>2.2000000000000002</v>
      </c>
      <c r="K9" s="49" t="s">
        <v>80</v>
      </c>
      <c r="L9">
        <v>22</v>
      </c>
      <c r="M9">
        <v>4</v>
      </c>
      <c r="N9">
        <v>3</v>
      </c>
      <c r="O9">
        <v>5</v>
      </c>
      <c r="P9">
        <v>44</v>
      </c>
      <c r="Q9">
        <v>10</v>
      </c>
      <c r="R9">
        <v>88</v>
      </c>
    </row>
    <row r="10" spans="1:18">
      <c r="A10" s="57" t="s">
        <v>339</v>
      </c>
      <c r="B10" s="58" t="s">
        <v>341</v>
      </c>
      <c r="C10" s="58">
        <v>5</v>
      </c>
      <c r="D10" s="58">
        <v>2</v>
      </c>
      <c r="E10" s="58">
        <v>20</v>
      </c>
      <c r="F10" s="58" t="s">
        <v>343</v>
      </c>
      <c r="G10" s="58" t="s">
        <v>184</v>
      </c>
      <c r="H10" s="58">
        <v>42</v>
      </c>
      <c r="I10" s="59">
        <v>2.1</v>
      </c>
      <c r="K10" s="49" t="s">
        <v>141</v>
      </c>
      <c r="L10">
        <v>23</v>
      </c>
      <c r="P10">
        <v>40</v>
      </c>
      <c r="Q10">
        <v>17</v>
      </c>
      <c r="R10">
        <v>80</v>
      </c>
    </row>
    <row r="11" spans="1:18">
      <c r="A11" s="60" t="s">
        <v>473</v>
      </c>
      <c r="B11" s="61" t="s">
        <v>474</v>
      </c>
      <c r="C11" s="61">
        <v>5</v>
      </c>
      <c r="D11" s="61">
        <v>2</v>
      </c>
      <c r="E11" s="61">
        <v>20</v>
      </c>
      <c r="F11" s="61" t="s">
        <v>477</v>
      </c>
      <c r="G11" s="61" t="s">
        <v>147</v>
      </c>
      <c r="H11" s="61">
        <v>40</v>
      </c>
      <c r="I11" s="62">
        <v>2</v>
      </c>
      <c r="K11" s="49" t="s">
        <v>339</v>
      </c>
      <c r="L11">
        <v>34</v>
      </c>
      <c r="O11">
        <v>6</v>
      </c>
      <c r="P11">
        <v>42</v>
      </c>
      <c r="Q11">
        <v>2</v>
      </c>
      <c r="R11">
        <v>84</v>
      </c>
    </row>
    <row r="12" spans="1:18">
      <c r="A12" s="57" t="s">
        <v>368</v>
      </c>
      <c r="B12" s="58" t="s">
        <v>370</v>
      </c>
      <c r="C12" s="58">
        <v>5</v>
      </c>
      <c r="D12" s="58">
        <v>1</v>
      </c>
      <c r="E12" s="58">
        <v>20</v>
      </c>
      <c r="F12" s="58"/>
      <c r="G12" s="58" t="s">
        <v>85</v>
      </c>
      <c r="H12" s="58">
        <v>0</v>
      </c>
      <c r="I12" s="59">
        <v>0</v>
      </c>
      <c r="K12" s="49" t="s">
        <v>473</v>
      </c>
      <c r="L12">
        <v>16</v>
      </c>
      <c r="M12">
        <v>6</v>
      </c>
      <c r="N12">
        <v>6</v>
      </c>
      <c r="O12">
        <v>5</v>
      </c>
      <c r="P12">
        <v>40</v>
      </c>
      <c r="Q12">
        <v>7</v>
      </c>
      <c r="R12">
        <v>80</v>
      </c>
    </row>
    <row r="13" spans="1:18">
      <c r="A13" s="60" t="s">
        <v>396</v>
      </c>
      <c r="B13" s="61" t="s">
        <v>398</v>
      </c>
      <c r="C13" s="61">
        <v>5</v>
      </c>
      <c r="D13" s="61">
        <v>1</v>
      </c>
      <c r="E13" s="61">
        <v>20</v>
      </c>
      <c r="F13" s="61" t="s">
        <v>400</v>
      </c>
      <c r="G13" s="61" t="s">
        <v>147</v>
      </c>
      <c r="H13" s="61">
        <v>49</v>
      </c>
      <c r="I13" s="62">
        <v>2.4500000000000002</v>
      </c>
      <c r="K13" s="49" t="s">
        <v>1093</v>
      </c>
      <c r="L13">
        <v>38</v>
      </c>
      <c r="M13">
        <v>0</v>
      </c>
      <c r="N13">
        <v>0</v>
      </c>
      <c r="O13">
        <v>6</v>
      </c>
      <c r="P13">
        <v>44</v>
      </c>
      <c r="Q13">
        <v>0</v>
      </c>
      <c r="R13">
        <v>88</v>
      </c>
    </row>
    <row r="14" spans="1:18">
      <c r="A14" s="57" t="s">
        <v>438</v>
      </c>
      <c r="B14" s="58" t="s">
        <v>1096</v>
      </c>
      <c r="C14" s="58">
        <v>5</v>
      </c>
      <c r="D14" s="58"/>
      <c r="E14" s="58"/>
      <c r="F14" s="58" t="s">
        <v>442</v>
      </c>
      <c r="G14" s="58" t="s">
        <v>147</v>
      </c>
      <c r="H14" s="58">
        <v>0</v>
      </c>
      <c r="I14" s="59"/>
      <c r="K14" s="49" t="s">
        <v>368</v>
      </c>
      <c r="L14">
        <v>22</v>
      </c>
      <c r="M14">
        <v>0</v>
      </c>
      <c r="N14">
        <v>0</v>
      </c>
      <c r="O14">
        <v>12</v>
      </c>
      <c r="P14">
        <v>34</v>
      </c>
      <c r="Q14">
        <v>0</v>
      </c>
      <c r="R14">
        <v>68</v>
      </c>
    </row>
    <row r="15" spans="1:18">
      <c r="A15" s="57" t="s">
        <v>1097</v>
      </c>
      <c r="B15" s="58" t="s">
        <v>1098</v>
      </c>
      <c r="C15" s="58">
        <v>6</v>
      </c>
      <c r="D15" s="58">
        <v>1</v>
      </c>
      <c r="E15" s="58">
        <v>20</v>
      </c>
      <c r="F15" s="58" t="s">
        <v>1099</v>
      </c>
      <c r="G15" s="58" t="s">
        <v>532</v>
      </c>
      <c r="H15" s="58">
        <v>40</v>
      </c>
      <c r="I15" s="59">
        <v>2</v>
      </c>
      <c r="K15" s="49" t="s">
        <v>396</v>
      </c>
      <c r="L15">
        <v>22</v>
      </c>
      <c r="M15">
        <v>11</v>
      </c>
      <c r="N15">
        <v>2</v>
      </c>
      <c r="O15">
        <v>14</v>
      </c>
      <c r="P15">
        <v>49</v>
      </c>
      <c r="Q15">
        <v>0</v>
      </c>
      <c r="R15">
        <v>98</v>
      </c>
    </row>
    <row r="16" spans="1:18">
      <c r="A16" s="57" t="s">
        <v>1100</v>
      </c>
      <c r="B16" s="58" t="s">
        <v>1101</v>
      </c>
      <c r="C16" s="58">
        <v>6</v>
      </c>
      <c r="D16" s="58">
        <v>1</v>
      </c>
      <c r="E16" s="58">
        <v>20</v>
      </c>
      <c r="F16" s="58" t="s">
        <v>1102</v>
      </c>
      <c r="G16" s="58" t="s">
        <v>147</v>
      </c>
      <c r="H16" s="58">
        <v>44</v>
      </c>
      <c r="I16" s="59">
        <v>2.2000000000000002</v>
      </c>
      <c r="K16" s="49" t="s">
        <v>438</v>
      </c>
      <c r="P16">
        <v>0</v>
      </c>
      <c r="R16">
        <v>0</v>
      </c>
    </row>
    <row r="17" spans="1:18">
      <c r="A17" s="60" t="s">
        <v>877</v>
      </c>
      <c r="B17" s="61" t="s">
        <v>879</v>
      </c>
      <c r="C17" s="61">
        <v>6</v>
      </c>
      <c r="D17" s="61"/>
      <c r="E17" s="61">
        <v>40</v>
      </c>
      <c r="F17" s="61"/>
      <c r="G17" s="61" t="s">
        <v>883</v>
      </c>
      <c r="H17" s="61">
        <v>36</v>
      </c>
      <c r="I17" s="62">
        <v>0.9</v>
      </c>
      <c r="K17" s="49" t="s">
        <v>1100</v>
      </c>
      <c r="L17">
        <v>22</v>
      </c>
      <c r="N17">
        <v>8</v>
      </c>
      <c r="P17">
        <v>44</v>
      </c>
      <c r="Q17">
        <v>14</v>
      </c>
      <c r="R17">
        <v>88</v>
      </c>
    </row>
    <row r="18" spans="1:18">
      <c r="A18" s="57" t="s">
        <v>930</v>
      </c>
      <c r="B18" s="58" t="s">
        <v>932</v>
      </c>
      <c r="C18" s="58">
        <v>6</v>
      </c>
      <c r="D18" s="58">
        <v>1</v>
      </c>
      <c r="E18" s="58">
        <v>20</v>
      </c>
      <c r="F18" s="58" t="s">
        <v>934</v>
      </c>
      <c r="G18" s="58" t="s">
        <v>532</v>
      </c>
      <c r="H18" s="58">
        <v>40</v>
      </c>
      <c r="I18" s="59">
        <v>2</v>
      </c>
      <c r="K18" s="49" t="s">
        <v>877</v>
      </c>
      <c r="L18">
        <v>10</v>
      </c>
      <c r="O18">
        <v>26</v>
      </c>
      <c r="P18">
        <v>36</v>
      </c>
      <c r="R18">
        <v>72</v>
      </c>
    </row>
    <row r="19" spans="1:18">
      <c r="A19" s="60" t="s">
        <v>965</v>
      </c>
      <c r="B19" s="61" t="s">
        <v>967</v>
      </c>
      <c r="C19" s="61">
        <v>6</v>
      </c>
      <c r="D19" s="61">
        <v>1</v>
      </c>
      <c r="E19" s="61">
        <v>20</v>
      </c>
      <c r="F19" s="61" t="s">
        <v>969</v>
      </c>
      <c r="G19" s="61" t="s">
        <v>532</v>
      </c>
      <c r="H19" s="61">
        <v>37</v>
      </c>
      <c r="I19" s="62">
        <v>1.85</v>
      </c>
      <c r="K19" s="49" t="s">
        <v>930</v>
      </c>
      <c r="L19">
        <v>22</v>
      </c>
      <c r="N19">
        <v>12</v>
      </c>
      <c r="O19">
        <v>6</v>
      </c>
      <c r="P19">
        <v>40</v>
      </c>
      <c r="R19">
        <v>80</v>
      </c>
    </row>
    <row r="20" spans="1:18">
      <c r="A20" s="57" t="s">
        <v>992</v>
      </c>
      <c r="B20" s="58" t="s">
        <v>994</v>
      </c>
      <c r="C20" s="58">
        <v>6</v>
      </c>
      <c r="D20" s="58">
        <v>1</v>
      </c>
      <c r="E20" s="58">
        <v>20</v>
      </c>
      <c r="F20" s="58" t="s">
        <v>996</v>
      </c>
      <c r="G20" s="58" t="s">
        <v>532</v>
      </c>
      <c r="H20" s="58">
        <v>44</v>
      </c>
      <c r="I20" s="59">
        <v>2.2000000000000002</v>
      </c>
      <c r="K20" s="49" t="s">
        <v>965</v>
      </c>
      <c r="M20">
        <v>4</v>
      </c>
      <c r="O20">
        <v>6</v>
      </c>
      <c r="P20">
        <v>37</v>
      </c>
      <c r="Q20">
        <v>27</v>
      </c>
      <c r="R20">
        <v>74</v>
      </c>
    </row>
    <row r="21" spans="1:18">
      <c r="A21" s="60" t="s">
        <v>526</v>
      </c>
      <c r="B21" s="61" t="s">
        <v>1103</v>
      </c>
      <c r="C21" s="61">
        <v>6</v>
      </c>
      <c r="D21" s="61">
        <v>1</v>
      </c>
      <c r="E21" s="61">
        <v>20</v>
      </c>
      <c r="F21" s="61" t="s">
        <v>530</v>
      </c>
      <c r="G21" s="61" t="s">
        <v>532</v>
      </c>
      <c r="H21" s="61">
        <v>42</v>
      </c>
      <c r="I21" s="62">
        <v>2.1</v>
      </c>
      <c r="K21" s="49" t="s">
        <v>992</v>
      </c>
      <c r="L21">
        <v>22</v>
      </c>
      <c r="N21">
        <v>16</v>
      </c>
      <c r="P21">
        <v>44</v>
      </c>
      <c r="Q21">
        <v>6</v>
      </c>
      <c r="R21">
        <v>88</v>
      </c>
    </row>
    <row r="22" spans="1:18">
      <c r="A22" s="57" t="s">
        <v>545</v>
      </c>
      <c r="B22" s="58" t="s">
        <v>546</v>
      </c>
      <c r="C22" s="58">
        <v>6</v>
      </c>
      <c r="D22" s="58">
        <v>1</v>
      </c>
      <c r="E22" s="58">
        <v>20</v>
      </c>
      <c r="F22" s="58" t="s">
        <v>549</v>
      </c>
      <c r="G22" s="58" t="s">
        <v>532</v>
      </c>
      <c r="H22" s="58">
        <v>40</v>
      </c>
      <c r="I22" s="59">
        <v>2</v>
      </c>
      <c r="K22" s="49" t="s">
        <v>1097</v>
      </c>
      <c r="L22">
        <v>9</v>
      </c>
      <c r="M22">
        <v>6</v>
      </c>
      <c r="N22">
        <v>16</v>
      </c>
      <c r="O22">
        <v>3</v>
      </c>
      <c r="P22">
        <v>40</v>
      </c>
      <c r="Q22">
        <v>6</v>
      </c>
      <c r="R22">
        <v>80</v>
      </c>
    </row>
    <row r="23" spans="1:18">
      <c r="A23" s="57" t="s">
        <v>641</v>
      </c>
      <c r="B23" s="58" t="s">
        <v>643</v>
      </c>
      <c r="C23" s="58">
        <v>6</v>
      </c>
      <c r="D23" s="58">
        <v>1</v>
      </c>
      <c r="E23" s="58">
        <v>20</v>
      </c>
      <c r="F23" s="58" t="s">
        <v>645</v>
      </c>
      <c r="G23" s="58" t="s">
        <v>532</v>
      </c>
      <c r="H23" s="58">
        <v>38</v>
      </c>
      <c r="I23" s="59">
        <v>1.9</v>
      </c>
      <c r="K23" s="49" t="s">
        <v>1104</v>
      </c>
      <c r="L23">
        <v>20</v>
      </c>
      <c r="N23">
        <v>8</v>
      </c>
      <c r="O23">
        <v>2</v>
      </c>
      <c r="P23">
        <v>40</v>
      </c>
      <c r="Q23">
        <v>10</v>
      </c>
      <c r="R23">
        <v>80</v>
      </c>
    </row>
    <row r="24" spans="1:18">
      <c r="A24" s="60" t="s">
        <v>678</v>
      </c>
      <c r="B24" s="61" t="s">
        <v>680</v>
      </c>
      <c r="C24" s="61">
        <v>6</v>
      </c>
      <c r="D24" s="61">
        <v>2</v>
      </c>
      <c r="E24" s="61">
        <v>20</v>
      </c>
      <c r="F24" s="61" t="s">
        <v>683</v>
      </c>
      <c r="G24" s="61" t="s">
        <v>532</v>
      </c>
      <c r="H24" s="61">
        <v>38</v>
      </c>
      <c r="I24" s="62">
        <v>1.9</v>
      </c>
      <c r="K24" s="49" t="s">
        <v>526</v>
      </c>
      <c r="L24">
        <v>20</v>
      </c>
      <c r="M24">
        <v>0</v>
      </c>
      <c r="N24">
        <v>13</v>
      </c>
      <c r="O24">
        <v>9</v>
      </c>
      <c r="P24">
        <v>42</v>
      </c>
      <c r="Q24">
        <v>0</v>
      </c>
      <c r="R24">
        <v>84</v>
      </c>
    </row>
    <row r="25" spans="1:18">
      <c r="A25" s="57" t="s">
        <v>720</v>
      </c>
      <c r="B25" s="58" t="s">
        <v>6</v>
      </c>
      <c r="C25" s="58">
        <v>6</v>
      </c>
      <c r="D25" s="58">
        <v>2</v>
      </c>
      <c r="E25" s="58">
        <v>20</v>
      </c>
      <c r="F25" s="58" t="s">
        <v>724</v>
      </c>
      <c r="G25" s="58" t="s">
        <v>532</v>
      </c>
      <c r="H25" s="58">
        <v>46</v>
      </c>
      <c r="I25" s="59">
        <v>2.2999999999999998</v>
      </c>
      <c r="K25" s="49" t="s">
        <v>545</v>
      </c>
      <c r="L25">
        <v>20</v>
      </c>
      <c r="N25">
        <v>4</v>
      </c>
      <c r="O25">
        <v>16</v>
      </c>
      <c r="P25">
        <v>40</v>
      </c>
      <c r="R25">
        <v>80</v>
      </c>
    </row>
    <row r="26" spans="1:18">
      <c r="A26" s="60" t="s">
        <v>840</v>
      </c>
      <c r="B26" s="61" t="s">
        <v>1105</v>
      </c>
      <c r="C26" s="61">
        <v>6</v>
      </c>
      <c r="D26" s="61"/>
      <c r="E26" s="61">
        <v>20</v>
      </c>
      <c r="F26" s="61" t="s">
        <v>845</v>
      </c>
      <c r="G26" s="61" t="s">
        <v>85</v>
      </c>
      <c r="H26" s="61">
        <v>50</v>
      </c>
      <c r="I26" s="62">
        <v>2.5</v>
      </c>
      <c r="K26" s="49" t="s">
        <v>601</v>
      </c>
      <c r="L26">
        <v>22</v>
      </c>
      <c r="N26">
        <v>4</v>
      </c>
      <c r="O26">
        <v>18</v>
      </c>
      <c r="P26">
        <v>44</v>
      </c>
      <c r="R26">
        <v>88</v>
      </c>
    </row>
    <row r="27" spans="1:18">
      <c r="A27" s="60" t="s">
        <v>1104</v>
      </c>
      <c r="B27" s="61" t="s">
        <v>1106</v>
      </c>
      <c r="C27" s="61"/>
      <c r="D27" s="61"/>
      <c r="E27" s="61"/>
      <c r="F27" s="61"/>
      <c r="G27" s="61"/>
      <c r="H27" s="61">
        <v>0</v>
      </c>
      <c r="I27" s="62"/>
      <c r="K27" s="49" t="s">
        <v>641</v>
      </c>
      <c r="L27">
        <v>18</v>
      </c>
      <c r="N27">
        <v>16</v>
      </c>
      <c r="O27">
        <v>4</v>
      </c>
      <c r="P27">
        <v>38</v>
      </c>
      <c r="R27">
        <v>76</v>
      </c>
    </row>
    <row r="28" spans="1:18">
      <c r="A28" s="60" t="s">
        <v>178</v>
      </c>
      <c r="B28" s="61" t="s">
        <v>179</v>
      </c>
      <c r="C28" s="61"/>
      <c r="D28" s="61"/>
      <c r="E28" s="61"/>
      <c r="F28" s="61"/>
      <c r="G28" s="61" t="s">
        <v>184</v>
      </c>
      <c r="H28" s="61">
        <v>0</v>
      </c>
      <c r="I28" s="62"/>
      <c r="K28" s="49" t="s">
        <v>678</v>
      </c>
      <c r="L28">
        <v>18</v>
      </c>
      <c r="M28">
        <v>4</v>
      </c>
      <c r="N28">
        <v>8</v>
      </c>
      <c r="O28">
        <v>4</v>
      </c>
      <c r="P28">
        <v>38</v>
      </c>
      <c r="Q28">
        <v>4</v>
      </c>
      <c r="R28">
        <v>76</v>
      </c>
    </row>
    <row r="29" spans="1:18">
      <c r="A29" s="60" t="s">
        <v>601</v>
      </c>
      <c r="B29" s="61" t="s">
        <v>603</v>
      </c>
      <c r="C29" s="61"/>
      <c r="D29" s="61"/>
      <c r="E29" s="61"/>
      <c r="F29" s="61"/>
      <c r="G29" s="61"/>
      <c r="H29" s="61">
        <v>0</v>
      </c>
      <c r="I29" s="62"/>
      <c r="K29" s="49" t="s">
        <v>720</v>
      </c>
      <c r="L29">
        <v>22</v>
      </c>
      <c r="O29">
        <v>16</v>
      </c>
      <c r="P29">
        <v>46</v>
      </c>
      <c r="Q29">
        <v>8</v>
      </c>
      <c r="R29">
        <v>92</v>
      </c>
    </row>
    <row r="30" spans="1:18">
      <c r="A30" s="60" t="s">
        <v>756</v>
      </c>
      <c r="B30" s="61" t="s">
        <v>757</v>
      </c>
      <c r="C30" s="61"/>
      <c r="D30" s="61"/>
      <c r="E30" s="61"/>
      <c r="F30" s="61"/>
      <c r="G30" s="61"/>
      <c r="H30" s="61">
        <v>0</v>
      </c>
      <c r="I30" s="62"/>
      <c r="K30" s="49" t="s">
        <v>756</v>
      </c>
      <c r="L30">
        <v>34</v>
      </c>
      <c r="N30">
        <v>4</v>
      </c>
      <c r="O30">
        <v>2</v>
      </c>
      <c r="P30">
        <v>40</v>
      </c>
      <c r="R30">
        <v>80</v>
      </c>
    </row>
    <row r="31" spans="1:18">
      <c r="A31" s="57" t="s">
        <v>803</v>
      </c>
      <c r="B31" s="58" t="s">
        <v>805</v>
      </c>
      <c r="C31" s="58"/>
      <c r="D31" s="58"/>
      <c r="E31" s="58"/>
      <c r="F31" s="58"/>
      <c r="G31" s="58" t="s">
        <v>532</v>
      </c>
      <c r="H31" s="58">
        <v>36</v>
      </c>
      <c r="I31" s="59"/>
      <c r="K31" s="49" t="s">
        <v>803</v>
      </c>
      <c r="L31">
        <v>18</v>
      </c>
      <c r="N31">
        <v>2</v>
      </c>
      <c r="O31">
        <v>14</v>
      </c>
      <c r="P31">
        <v>36</v>
      </c>
      <c r="Q31">
        <v>2</v>
      </c>
      <c r="R31">
        <v>72</v>
      </c>
    </row>
    <row r="32" spans="1:18">
      <c r="K32" s="49" t="s">
        <v>840</v>
      </c>
      <c r="L32">
        <v>10</v>
      </c>
      <c r="N32">
        <v>40</v>
      </c>
      <c r="P32">
        <v>50</v>
      </c>
      <c r="R32">
        <v>100</v>
      </c>
    </row>
    <row r="33" spans="1:18">
      <c r="K33" s="49" t="s">
        <v>1090</v>
      </c>
      <c r="L33">
        <v>584</v>
      </c>
      <c r="M33">
        <v>49</v>
      </c>
      <c r="N33">
        <v>174</v>
      </c>
      <c r="O33">
        <v>181</v>
      </c>
      <c r="P33">
        <v>1117</v>
      </c>
      <c r="Q33">
        <v>129</v>
      </c>
      <c r="R33">
        <v>2234</v>
      </c>
    </row>
    <row r="38" spans="1:18">
      <c r="A38" s="48" t="s">
        <v>1089</v>
      </c>
      <c r="B38" t="s">
        <v>1107</v>
      </c>
      <c r="C38" t="s">
        <v>1108</v>
      </c>
    </row>
    <row r="39" spans="1:18">
      <c r="A39" s="49" t="s">
        <v>217</v>
      </c>
      <c r="B39">
        <v>2</v>
      </c>
      <c r="C39">
        <v>2</v>
      </c>
    </row>
    <row r="40" spans="1:18">
      <c r="A40" s="50" t="s">
        <v>157</v>
      </c>
      <c r="B40">
        <v>1</v>
      </c>
      <c r="C40">
        <v>1</v>
      </c>
    </row>
    <row r="41" spans="1:18">
      <c r="A41" s="50" t="s">
        <v>97</v>
      </c>
      <c r="B41">
        <v>1</v>
      </c>
      <c r="C41">
        <v>1</v>
      </c>
    </row>
    <row r="42" spans="1:18">
      <c r="A42" s="49" t="s">
        <v>1090</v>
      </c>
      <c r="B42">
        <v>2</v>
      </c>
      <c r="C42">
        <v>2</v>
      </c>
    </row>
  </sheetData>
  <autoFilter ref="A3:I31" xr:uid="{8F325232-2496-E546-9604-2F97282EED57}"/>
  <sortState xmlns:xlrd2="http://schemas.microsoft.com/office/spreadsheetml/2017/richdata2" ref="A4:I31">
    <sortCondition ref="C3:C31"/>
  </sortState>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272E9F-D97F-4514-B957-FB4B23932CC5}">
  <sheetPr codeName="Sheet27"/>
  <dimension ref="A1:L29"/>
  <sheetViews>
    <sheetView workbookViewId="0">
      <selection activeCell="C34" sqref="C34"/>
    </sheetView>
  </sheetViews>
  <sheetFormatPr defaultColWidth="8.85546875" defaultRowHeight="15"/>
  <cols>
    <col min="1" max="1" width="49" bestFit="1" customWidth="1"/>
    <col min="2" max="2" width="14.85546875" bestFit="1" customWidth="1"/>
    <col min="3" max="3" width="65.42578125" bestFit="1" customWidth="1"/>
    <col min="4" max="4" width="24.42578125" bestFit="1" customWidth="1"/>
    <col min="5" max="5" width="14.42578125" bestFit="1" customWidth="1"/>
    <col min="6" max="6" width="12.140625" bestFit="1" customWidth="1"/>
    <col min="7" max="7" width="10.140625" bestFit="1" customWidth="1"/>
    <col min="8" max="8" width="10.7109375" bestFit="1" customWidth="1"/>
    <col min="9" max="9" width="11" bestFit="1" customWidth="1"/>
    <col min="10" max="10" width="12.42578125" bestFit="1" customWidth="1"/>
    <col min="11" max="11" width="9.28515625" bestFit="1" customWidth="1"/>
    <col min="12" max="12" width="7.7109375" bestFit="1" customWidth="1"/>
  </cols>
  <sheetData>
    <row r="1" spans="1:12">
      <c r="A1" t="s">
        <v>1109</v>
      </c>
      <c r="B1" t="s">
        <v>1080</v>
      </c>
      <c r="C1" t="s">
        <v>1081</v>
      </c>
      <c r="D1" t="s">
        <v>1110</v>
      </c>
      <c r="E1" t="s">
        <v>1111</v>
      </c>
      <c r="F1" t="s">
        <v>1112</v>
      </c>
      <c r="G1" t="s">
        <v>17</v>
      </c>
      <c r="H1" t="s">
        <v>18</v>
      </c>
      <c r="I1" t="s">
        <v>19</v>
      </c>
      <c r="J1" t="s">
        <v>20</v>
      </c>
      <c r="K1" t="s">
        <v>22</v>
      </c>
      <c r="L1" t="s">
        <v>23</v>
      </c>
    </row>
    <row r="2" spans="1:12">
      <c r="A2" t="s">
        <v>1113</v>
      </c>
      <c r="B2" t="s">
        <v>1097</v>
      </c>
      <c r="C2" t="s">
        <v>1098</v>
      </c>
      <c r="D2" t="s">
        <v>86</v>
      </c>
      <c r="E2" t="s">
        <v>1114</v>
      </c>
      <c r="F2" t="s">
        <v>1115</v>
      </c>
      <c r="G2">
        <v>9</v>
      </c>
      <c r="H2">
        <v>3</v>
      </c>
      <c r="I2">
        <v>16</v>
      </c>
      <c r="J2">
        <v>6</v>
      </c>
      <c r="K2">
        <v>6</v>
      </c>
      <c r="L2">
        <v>40</v>
      </c>
    </row>
    <row r="3" spans="1:12">
      <c r="A3" t="s">
        <v>1116</v>
      </c>
      <c r="B3" t="s">
        <v>1104</v>
      </c>
      <c r="C3" t="s">
        <v>1106</v>
      </c>
      <c r="D3" t="s">
        <v>86</v>
      </c>
      <c r="E3" t="s">
        <v>1117</v>
      </c>
      <c r="F3" t="s">
        <v>1115</v>
      </c>
      <c r="G3">
        <v>20</v>
      </c>
      <c r="H3">
        <v>2</v>
      </c>
      <c r="I3">
        <v>8</v>
      </c>
      <c r="J3">
        <v>10</v>
      </c>
      <c r="L3">
        <v>40</v>
      </c>
    </row>
    <row r="4" spans="1:12">
      <c r="A4" t="s">
        <v>1118</v>
      </c>
      <c r="B4" t="s">
        <v>1086</v>
      </c>
      <c r="C4" t="s">
        <v>1087</v>
      </c>
      <c r="D4" t="s">
        <v>86</v>
      </c>
      <c r="E4" t="s">
        <v>1119</v>
      </c>
      <c r="F4" t="s">
        <v>1115</v>
      </c>
      <c r="G4">
        <v>42</v>
      </c>
      <c r="L4">
        <v>42</v>
      </c>
    </row>
    <row r="5" spans="1:12">
      <c r="A5" t="s">
        <v>1118</v>
      </c>
      <c r="B5" t="s">
        <v>1093</v>
      </c>
      <c r="C5" t="s">
        <v>1120</v>
      </c>
      <c r="D5" t="s">
        <v>86</v>
      </c>
      <c r="E5" t="s">
        <v>1121</v>
      </c>
      <c r="F5" t="s">
        <v>1115</v>
      </c>
      <c r="G5">
        <v>38</v>
      </c>
      <c r="H5">
        <v>6</v>
      </c>
      <c r="I5">
        <v>0</v>
      </c>
      <c r="J5">
        <v>0</v>
      </c>
      <c r="K5">
        <v>0</v>
      </c>
      <c r="L5">
        <v>44</v>
      </c>
    </row>
    <row r="6" spans="1:12">
      <c r="A6" t="s">
        <v>1118</v>
      </c>
      <c r="B6" t="s">
        <v>1100</v>
      </c>
      <c r="C6" t="s">
        <v>1101</v>
      </c>
      <c r="D6" t="s">
        <v>86</v>
      </c>
      <c r="E6" t="s">
        <v>1122</v>
      </c>
      <c r="F6" t="s">
        <v>1115</v>
      </c>
      <c r="G6">
        <v>22</v>
      </c>
      <c r="I6">
        <v>8</v>
      </c>
      <c r="J6">
        <v>14</v>
      </c>
      <c r="L6">
        <v>44</v>
      </c>
    </row>
    <row r="7" spans="1:12">
      <c r="A7" t="s">
        <v>1123</v>
      </c>
      <c r="B7" t="s">
        <v>178</v>
      </c>
      <c r="C7" t="s">
        <v>179</v>
      </c>
      <c r="D7" t="s">
        <v>86</v>
      </c>
      <c r="E7" t="s">
        <v>1124</v>
      </c>
      <c r="F7" t="s">
        <v>1115</v>
      </c>
      <c r="G7">
        <v>34</v>
      </c>
      <c r="H7">
        <v>6</v>
      </c>
      <c r="J7">
        <v>4</v>
      </c>
      <c r="L7">
        <v>44</v>
      </c>
    </row>
    <row r="8" spans="1:12">
      <c r="A8" t="s">
        <v>1123</v>
      </c>
      <c r="B8" t="s">
        <v>217</v>
      </c>
      <c r="C8" t="s">
        <v>1091</v>
      </c>
      <c r="D8" t="s">
        <v>86</v>
      </c>
      <c r="E8" t="s">
        <v>1125</v>
      </c>
      <c r="F8" t="s">
        <v>1115</v>
      </c>
      <c r="G8">
        <v>33</v>
      </c>
      <c r="H8">
        <v>1</v>
      </c>
      <c r="I8">
        <v>6</v>
      </c>
      <c r="J8">
        <v>1</v>
      </c>
      <c r="K8">
        <v>3</v>
      </c>
      <c r="L8">
        <v>44</v>
      </c>
    </row>
    <row r="9" spans="1:12">
      <c r="A9" t="s">
        <v>1123</v>
      </c>
      <c r="B9" t="s">
        <v>279</v>
      </c>
      <c r="C9" t="s">
        <v>281</v>
      </c>
      <c r="D9" t="s">
        <v>86</v>
      </c>
      <c r="E9" t="s">
        <v>1126</v>
      </c>
      <c r="F9" t="s">
        <v>1115</v>
      </c>
      <c r="G9">
        <v>11</v>
      </c>
      <c r="I9">
        <v>6</v>
      </c>
      <c r="J9">
        <v>11</v>
      </c>
      <c r="K9">
        <v>11</v>
      </c>
      <c r="L9">
        <v>39</v>
      </c>
    </row>
    <row r="10" spans="1:12">
      <c r="A10" t="s">
        <v>1123</v>
      </c>
      <c r="B10" t="s">
        <v>80</v>
      </c>
      <c r="C10" t="s">
        <v>1092</v>
      </c>
      <c r="D10" t="s">
        <v>86</v>
      </c>
      <c r="E10" t="s">
        <v>1127</v>
      </c>
      <c r="F10" t="s">
        <v>1115</v>
      </c>
      <c r="G10">
        <v>22</v>
      </c>
      <c r="H10">
        <v>5</v>
      </c>
      <c r="I10">
        <v>3</v>
      </c>
      <c r="J10">
        <v>10</v>
      </c>
      <c r="K10">
        <v>4</v>
      </c>
      <c r="L10">
        <v>44</v>
      </c>
    </row>
    <row r="11" spans="1:12">
      <c r="A11" t="s">
        <v>1123</v>
      </c>
      <c r="B11" t="s">
        <v>141</v>
      </c>
      <c r="C11" t="s">
        <v>143</v>
      </c>
      <c r="D11" t="s">
        <v>86</v>
      </c>
      <c r="E11" t="s">
        <v>1128</v>
      </c>
      <c r="F11" t="s">
        <v>1115</v>
      </c>
      <c r="G11">
        <v>23</v>
      </c>
      <c r="J11">
        <v>17</v>
      </c>
      <c r="L11">
        <v>40</v>
      </c>
    </row>
    <row r="12" spans="1:12">
      <c r="A12" t="s">
        <v>1123</v>
      </c>
      <c r="B12" t="s">
        <v>339</v>
      </c>
      <c r="C12" t="s">
        <v>341</v>
      </c>
      <c r="D12" t="s">
        <v>86</v>
      </c>
      <c r="E12" t="s">
        <v>1129</v>
      </c>
      <c r="F12" t="s">
        <v>1115</v>
      </c>
      <c r="G12">
        <v>34</v>
      </c>
      <c r="H12">
        <v>6</v>
      </c>
      <c r="J12">
        <v>2</v>
      </c>
      <c r="L12">
        <v>42</v>
      </c>
    </row>
    <row r="13" spans="1:12">
      <c r="A13" t="s">
        <v>1123</v>
      </c>
      <c r="B13" t="s">
        <v>473</v>
      </c>
      <c r="C13" t="s">
        <v>474</v>
      </c>
      <c r="D13" t="s">
        <v>86</v>
      </c>
      <c r="E13" t="s">
        <v>1130</v>
      </c>
      <c r="F13" t="s">
        <v>1115</v>
      </c>
      <c r="G13">
        <v>16</v>
      </c>
      <c r="H13">
        <v>5</v>
      </c>
      <c r="I13">
        <v>6</v>
      </c>
      <c r="J13">
        <v>7</v>
      </c>
      <c r="K13">
        <v>6</v>
      </c>
      <c r="L13">
        <v>40</v>
      </c>
    </row>
    <row r="14" spans="1:12">
      <c r="A14" t="s">
        <v>1123</v>
      </c>
      <c r="B14" t="s">
        <v>368</v>
      </c>
      <c r="C14" t="s">
        <v>370</v>
      </c>
      <c r="D14" t="s">
        <v>86</v>
      </c>
      <c r="E14" t="s">
        <v>1131</v>
      </c>
      <c r="F14" t="s">
        <v>1115</v>
      </c>
      <c r="G14">
        <v>22</v>
      </c>
      <c r="H14">
        <v>12</v>
      </c>
      <c r="I14">
        <v>0</v>
      </c>
      <c r="J14">
        <v>0</v>
      </c>
      <c r="K14">
        <v>0</v>
      </c>
      <c r="L14">
        <v>34</v>
      </c>
    </row>
    <row r="15" spans="1:12">
      <c r="A15" t="s">
        <v>1123</v>
      </c>
      <c r="B15" t="s">
        <v>396</v>
      </c>
      <c r="C15" t="s">
        <v>398</v>
      </c>
      <c r="D15" t="s">
        <v>86</v>
      </c>
      <c r="E15" t="s">
        <v>1132</v>
      </c>
      <c r="F15" t="s">
        <v>1115</v>
      </c>
      <c r="G15">
        <v>22</v>
      </c>
      <c r="H15">
        <v>14</v>
      </c>
      <c r="I15">
        <v>2</v>
      </c>
      <c r="J15">
        <v>0</v>
      </c>
      <c r="K15">
        <v>11</v>
      </c>
      <c r="L15">
        <v>49</v>
      </c>
    </row>
    <row r="16" spans="1:12">
      <c r="A16" t="s">
        <v>1123</v>
      </c>
      <c r="B16" t="s">
        <v>438</v>
      </c>
      <c r="C16" t="s">
        <v>1096</v>
      </c>
      <c r="D16" t="s">
        <v>86</v>
      </c>
      <c r="E16" t="s">
        <v>1133</v>
      </c>
      <c r="F16" t="s">
        <v>1115</v>
      </c>
      <c r="L16">
        <v>0</v>
      </c>
    </row>
    <row r="17" spans="1:12">
      <c r="A17" t="s">
        <v>1123</v>
      </c>
      <c r="B17" t="s">
        <v>877</v>
      </c>
      <c r="C17" t="s">
        <v>879</v>
      </c>
      <c r="D17" t="s">
        <v>86</v>
      </c>
      <c r="E17" t="s">
        <v>1134</v>
      </c>
      <c r="F17" t="s">
        <v>1115</v>
      </c>
      <c r="G17">
        <v>10</v>
      </c>
      <c r="H17">
        <v>26</v>
      </c>
      <c r="L17">
        <v>36</v>
      </c>
    </row>
    <row r="18" spans="1:12">
      <c r="A18" t="s">
        <v>1123</v>
      </c>
      <c r="B18" t="s">
        <v>930</v>
      </c>
      <c r="C18" t="s">
        <v>932</v>
      </c>
      <c r="D18" t="s">
        <v>86</v>
      </c>
      <c r="E18" t="s">
        <v>1135</v>
      </c>
      <c r="F18" t="s">
        <v>1115</v>
      </c>
      <c r="G18">
        <v>22</v>
      </c>
      <c r="H18">
        <v>6</v>
      </c>
      <c r="I18">
        <v>12</v>
      </c>
      <c r="L18">
        <v>40</v>
      </c>
    </row>
    <row r="19" spans="1:12">
      <c r="A19" t="s">
        <v>1123</v>
      </c>
      <c r="B19" t="s">
        <v>965</v>
      </c>
      <c r="C19" t="s">
        <v>967</v>
      </c>
      <c r="D19" t="s">
        <v>86</v>
      </c>
      <c r="E19" t="s">
        <v>1136</v>
      </c>
      <c r="F19" t="s">
        <v>1115</v>
      </c>
      <c r="H19">
        <v>6</v>
      </c>
      <c r="J19">
        <v>27</v>
      </c>
      <c r="K19">
        <v>4</v>
      </c>
      <c r="L19">
        <v>37</v>
      </c>
    </row>
    <row r="20" spans="1:12">
      <c r="A20" t="s">
        <v>1123</v>
      </c>
      <c r="B20" t="s">
        <v>992</v>
      </c>
      <c r="C20" t="s">
        <v>994</v>
      </c>
      <c r="D20" t="s">
        <v>86</v>
      </c>
      <c r="E20" t="s">
        <v>1137</v>
      </c>
      <c r="F20" t="s">
        <v>1115</v>
      </c>
      <c r="G20">
        <v>22</v>
      </c>
      <c r="I20">
        <v>16</v>
      </c>
      <c r="J20">
        <v>6</v>
      </c>
      <c r="L20">
        <v>44</v>
      </c>
    </row>
    <row r="21" spans="1:12">
      <c r="A21" t="s">
        <v>1123</v>
      </c>
      <c r="B21" t="s">
        <v>526</v>
      </c>
      <c r="C21" t="s">
        <v>1103</v>
      </c>
      <c r="D21" t="s">
        <v>86</v>
      </c>
      <c r="E21" t="s">
        <v>1138</v>
      </c>
      <c r="F21" t="s">
        <v>1115</v>
      </c>
      <c r="G21">
        <v>20</v>
      </c>
      <c r="H21">
        <v>9</v>
      </c>
      <c r="I21">
        <v>13</v>
      </c>
      <c r="J21">
        <v>0</v>
      </c>
      <c r="K21">
        <v>0</v>
      </c>
      <c r="L21">
        <v>42</v>
      </c>
    </row>
    <row r="22" spans="1:12">
      <c r="A22" t="s">
        <v>1123</v>
      </c>
      <c r="B22" t="s">
        <v>545</v>
      </c>
      <c r="C22" t="s">
        <v>546</v>
      </c>
      <c r="D22" t="s">
        <v>86</v>
      </c>
      <c r="E22" t="s">
        <v>1139</v>
      </c>
      <c r="F22" t="s">
        <v>1115</v>
      </c>
      <c r="G22">
        <v>20</v>
      </c>
      <c r="H22">
        <v>16</v>
      </c>
      <c r="I22">
        <v>4</v>
      </c>
      <c r="L22">
        <v>40</v>
      </c>
    </row>
    <row r="23" spans="1:12">
      <c r="A23" t="s">
        <v>1123</v>
      </c>
      <c r="B23" t="s">
        <v>601</v>
      </c>
      <c r="C23" t="s">
        <v>603</v>
      </c>
      <c r="D23" t="s">
        <v>86</v>
      </c>
      <c r="E23" t="s">
        <v>1140</v>
      </c>
      <c r="F23" t="s">
        <v>1115</v>
      </c>
      <c r="G23">
        <v>22</v>
      </c>
      <c r="H23">
        <v>18</v>
      </c>
      <c r="I23">
        <v>4</v>
      </c>
      <c r="L23">
        <v>44</v>
      </c>
    </row>
    <row r="24" spans="1:12">
      <c r="A24" t="s">
        <v>1123</v>
      </c>
      <c r="B24" t="s">
        <v>641</v>
      </c>
      <c r="C24" t="s">
        <v>643</v>
      </c>
      <c r="D24" t="s">
        <v>86</v>
      </c>
      <c r="E24" t="s">
        <v>1141</v>
      </c>
      <c r="F24" t="s">
        <v>1115</v>
      </c>
      <c r="G24">
        <v>18</v>
      </c>
      <c r="H24">
        <v>4</v>
      </c>
      <c r="I24">
        <v>16</v>
      </c>
      <c r="L24">
        <v>38</v>
      </c>
    </row>
    <row r="25" spans="1:12">
      <c r="A25" t="s">
        <v>1123</v>
      </c>
      <c r="B25" t="s">
        <v>678</v>
      </c>
      <c r="C25" t="s">
        <v>680</v>
      </c>
      <c r="D25" t="s">
        <v>86</v>
      </c>
      <c r="E25" t="s">
        <v>1142</v>
      </c>
      <c r="F25" t="s">
        <v>1115</v>
      </c>
      <c r="G25">
        <v>18</v>
      </c>
      <c r="H25">
        <v>4</v>
      </c>
      <c r="I25">
        <v>8</v>
      </c>
      <c r="J25">
        <v>4</v>
      </c>
      <c r="K25">
        <v>4</v>
      </c>
      <c r="L25">
        <v>38</v>
      </c>
    </row>
    <row r="26" spans="1:12">
      <c r="A26" t="s">
        <v>1123</v>
      </c>
      <c r="B26" t="s">
        <v>720</v>
      </c>
      <c r="C26" t="s">
        <v>6</v>
      </c>
      <c r="D26" t="s">
        <v>86</v>
      </c>
      <c r="E26" t="s">
        <v>1143</v>
      </c>
      <c r="F26" t="s">
        <v>1115</v>
      </c>
      <c r="G26">
        <v>22</v>
      </c>
      <c r="H26">
        <v>16</v>
      </c>
      <c r="J26">
        <v>8</v>
      </c>
      <c r="L26">
        <v>46</v>
      </c>
    </row>
    <row r="27" spans="1:12">
      <c r="A27" t="s">
        <v>1123</v>
      </c>
      <c r="B27" t="s">
        <v>756</v>
      </c>
      <c r="C27" t="s">
        <v>757</v>
      </c>
      <c r="D27" t="s">
        <v>86</v>
      </c>
      <c r="E27" t="s">
        <v>1144</v>
      </c>
      <c r="F27" t="s">
        <v>1115</v>
      </c>
      <c r="G27">
        <v>34</v>
      </c>
      <c r="H27">
        <v>2</v>
      </c>
      <c r="I27">
        <v>4</v>
      </c>
      <c r="L27">
        <v>40</v>
      </c>
    </row>
    <row r="28" spans="1:12">
      <c r="A28" t="s">
        <v>1123</v>
      </c>
      <c r="B28" t="s">
        <v>803</v>
      </c>
      <c r="C28" t="s">
        <v>805</v>
      </c>
      <c r="D28" t="s">
        <v>86</v>
      </c>
      <c r="E28" t="s">
        <v>1145</v>
      </c>
      <c r="F28" t="s">
        <v>1115</v>
      </c>
      <c r="G28">
        <v>18</v>
      </c>
      <c r="H28">
        <v>14</v>
      </c>
      <c r="I28">
        <v>2</v>
      </c>
      <c r="J28">
        <v>2</v>
      </c>
      <c r="L28">
        <v>36</v>
      </c>
    </row>
    <row r="29" spans="1:12">
      <c r="A29" t="s">
        <v>1123</v>
      </c>
      <c r="B29" t="s">
        <v>840</v>
      </c>
      <c r="C29" t="s">
        <v>1105</v>
      </c>
      <c r="D29" t="s">
        <v>86</v>
      </c>
      <c r="E29" t="s">
        <v>1146</v>
      </c>
      <c r="F29" t="s">
        <v>1115</v>
      </c>
      <c r="G29">
        <v>10</v>
      </c>
      <c r="I29">
        <v>40</v>
      </c>
      <c r="L29">
        <v>50</v>
      </c>
    </row>
  </sheetData>
  <pageMargins left="0.7" right="0.7" top="0.75" bottom="0.75" header="0.3" footer="0.3"/>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86C1B7-5EA4-44E1-97D5-BF4961B7B7F4}">
  <sheetPr codeName="Sheet28"/>
  <dimension ref="A1:E69"/>
  <sheetViews>
    <sheetView workbookViewId="0">
      <selection activeCell="B23" sqref="B23"/>
    </sheetView>
  </sheetViews>
  <sheetFormatPr defaultColWidth="8.85546875" defaultRowHeight="15"/>
  <cols>
    <col min="1" max="1" width="42.42578125" bestFit="1" customWidth="1"/>
    <col min="2" max="2" width="38" bestFit="1" customWidth="1"/>
    <col min="3" max="3" width="81.140625" bestFit="1" customWidth="1"/>
    <col min="4" max="4" width="16.140625" bestFit="1" customWidth="1"/>
    <col min="5" max="5" width="11" bestFit="1" customWidth="1"/>
  </cols>
  <sheetData>
    <row r="1" spans="1:5">
      <c r="A1" t="s">
        <v>1037</v>
      </c>
      <c r="B1" t="s">
        <v>1038</v>
      </c>
      <c r="C1" t="s">
        <v>1147</v>
      </c>
      <c r="D1" t="s">
        <v>1148</v>
      </c>
      <c r="E1" t="s">
        <v>1149</v>
      </c>
    </row>
    <row r="2" spans="1:5">
      <c r="A2" t="s">
        <v>53</v>
      </c>
      <c r="B2" t="s">
        <v>161</v>
      </c>
      <c r="C2" t="s">
        <v>1150</v>
      </c>
      <c r="D2">
        <v>11</v>
      </c>
      <c r="E2" t="b">
        <v>1</v>
      </c>
    </row>
    <row r="3" spans="1:5">
      <c r="A3" t="s">
        <v>53</v>
      </c>
      <c r="B3" t="s">
        <v>54</v>
      </c>
      <c r="C3" t="s">
        <v>1151</v>
      </c>
      <c r="D3">
        <v>6</v>
      </c>
      <c r="E3" t="b">
        <v>1</v>
      </c>
    </row>
    <row r="4" spans="1:5">
      <c r="A4" t="s">
        <v>53</v>
      </c>
      <c r="B4" t="s">
        <v>541</v>
      </c>
      <c r="C4" t="s">
        <v>1103</v>
      </c>
      <c r="D4">
        <v>1</v>
      </c>
      <c r="E4" t="b">
        <v>1</v>
      </c>
    </row>
    <row r="5" spans="1:5">
      <c r="A5" t="s">
        <v>53</v>
      </c>
      <c r="B5" t="s">
        <v>242</v>
      </c>
      <c r="C5" t="s">
        <v>1152</v>
      </c>
      <c r="D5">
        <v>7</v>
      </c>
      <c r="E5" t="b">
        <v>1</v>
      </c>
    </row>
    <row r="6" spans="1:5">
      <c r="A6" t="s">
        <v>53</v>
      </c>
      <c r="B6" t="s">
        <v>943</v>
      </c>
      <c r="C6" t="s">
        <v>1153</v>
      </c>
      <c r="D6">
        <v>2</v>
      </c>
      <c r="E6" t="b">
        <v>1</v>
      </c>
    </row>
    <row r="7" spans="1:5">
      <c r="A7" t="s">
        <v>53</v>
      </c>
      <c r="B7" t="s">
        <v>908</v>
      </c>
      <c r="C7" t="s">
        <v>1154</v>
      </c>
      <c r="D7">
        <v>2</v>
      </c>
      <c r="E7" t="b">
        <v>1</v>
      </c>
    </row>
    <row r="8" spans="1:5">
      <c r="A8" t="s">
        <v>55</v>
      </c>
      <c r="B8" t="s">
        <v>56</v>
      </c>
      <c r="C8" t="s">
        <v>1155</v>
      </c>
      <c r="D8">
        <v>16</v>
      </c>
      <c r="E8" t="b">
        <v>1</v>
      </c>
    </row>
    <row r="9" spans="1:5">
      <c r="A9" t="s">
        <v>55</v>
      </c>
      <c r="B9" t="s">
        <v>241</v>
      </c>
      <c r="C9" t="s">
        <v>1156</v>
      </c>
      <c r="D9">
        <v>4</v>
      </c>
      <c r="E9" t="b">
        <v>1</v>
      </c>
    </row>
    <row r="10" spans="1:5">
      <c r="A10" t="s">
        <v>55</v>
      </c>
      <c r="B10" t="s">
        <v>305</v>
      </c>
      <c r="C10" t="s">
        <v>1157</v>
      </c>
      <c r="D10">
        <v>2</v>
      </c>
      <c r="E10" t="b">
        <v>1</v>
      </c>
    </row>
    <row r="11" spans="1:5">
      <c r="A11" t="s">
        <v>55</v>
      </c>
      <c r="B11" t="s">
        <v>359</v>
      </c>
      <c r="C11" t="s">
        <v>1158</v>
      </c>
      <c r="D11">
        <v>5</v>
      </c>
      <c r="E11" t="b">
        <v>1</v>
      </c>
    </row>
    <row r="12" spans="1:5">
      <c r="A12" t="s">
        <v>55</v>
      </c>
      <c r="B12" t="s">
        <v>492</v>
      </c>
      <c r="C12" t="s">
        <v>1159</v>
      </c>
      <c r="D12">
        <v>2</v>
      </c>
      <c r="E12" t="b">
        <v>1</v>
      </c>
    </row>
    <row r="13" spans="1:5">
      <c r="A13" t="s">
        <v>55</v>
      </c>
      <c r="B13" t="s">
        <v>1160</v>
      </c>
      <c r="D13">
        <v>0</v>
      </c>
      <c r="E13" t="b">
        <v>0</v>
      </c>
    </row>
    <row r="14" spans="1:5">
      <c r="A14" t="s">
        <v>55</v>
      </c>
      <c r="B14" t="s">
        <v>104</v>
      </c>
      <c r="C14" t="s">
        <v>1161</v>
      </c>
      <c r="D14">
        <v>5</v>
      </c>
      <c r="E14" t="b">
        <v>1</v>
      </c>
    </row>
    <row r="15" spans="1:5">
      <c r="A15" t="s">
        <v>106</v>
      </c>
      <c r="B15" t="s">
        <v>107</v>
      </c>
      <c r="C15" t="s">
        <v>1162</v>
      </c>
      <c r="D15">
        <v>3</v>
      </c>
      <c r="E15" t="b">
        <v>1</v>
      </c>
    </row>
    <row r="16" spans="1:5">
      <c r="A16" t="s">
        <v>106</v>
      </c>
      <c r="B16" t="s">
        <v>306</v>
      </c>
      <c r="C16" t="s">
        <v>1163</v>
      </c>
      <c r="D16">
        <v>6</v>
      </c>
      <c r="E16" t="b">
        <v>1</v>
      </c>
    </row>
    <row r="17" spans="1:5">
      <c r="A17" t="s">
        <v>106</v>
      </c>
      <c r="B17" t="s">
        <v>307</v>
      </c>
      <c r="C17" t="s">
        <v>1164</v>
      </c>
      <c r="D17">
        <v>2</v>
      </c>
      <c r="E17" t="b">
        <v>1</v>
      </c>
    </row>
    <row r="18" spans="1:5">
      <c r="A18" t="s">
        <v>106</v>
      </c>
      <c r="B18" t="s">
        <v>308</v>
      </c>
      <c r="C18" t="s">
        <v>281</v>
      </c>
      <c r="D18">
        <v>1</v>
      </c>
      <c r="E18" t="b">
        <v>1</v>
      </c>
    </row>
    <row r="19" spans="1:5">
      <c r="A19" t="s">
        <v>106</v>
      </c>
      <c r="B19" t="s">
        <v>309</v>
      </c>
      <c r="C19" t="s">
        <v>1165</v>
      </c>
      <c r="D19">
        <v>3</v>
      </c>
      <c r="E19" t="b">
        <v>1</v>
      </c>
    </row>
    <row r="20" spans="1:5">
      <c r="A20" t="s">
        <v>106</v>
      </c>
      <c r="B20" t="s">
        <v>1071</v>
      </c>
      <c r="C20" t="s">
        <v>1098</v>
      </c>
      <c r="D20">
        <v>1</v>
      </c>
      <c r="E20" t="b">
        <v>1</v>
      </c>
    </row>
    <row r="21" spans="1:5">
      <c r="A21" t="s">
        <v>106</v>
      </c>
      <c r="B21" t="s">
        <v>1072</v>
      </c>
      <c r="C21" t="s">
        <v>1098</v>
      </c>
      <c r="D21">
        <v>1</v>
      </c>
      <c r="E21" t="b">
        <v>1</v>
      </c>
    </row>
    <row r="22" spans="1:5">
      <c r="A22" t="s">
        <v>106</v>
      </c>
      <c r="B22" t="s">
        <v>1073</v>
      </c>
      <c r="C22" t="s">
        <v>1098</v>
      </c>
      <c r="D22">
        <v>1</v>
      </c>
      <c r="E22" t="b">
        <v>1</v>
      </c>
    </row>
    <row r="23" spans="1:5">
      <c r="A23" t="s">
        <v>106</v>
      </c>
      <c r="B23" t="s">
        <v>981</v>
      </c>
      <c r="C23" t="s">
        <v>967</v>
      </c>
      <c r="D23">
        <v>1</v>
      </c>
      <c r="E23" t="b">
        <v>1</v>
      </c>
    </row>
    <row r="24" spans="1:5">
      <c r="A24" t="s">
        <v>310</v>
      </c>
      <c r="B24" t="s">
        <v>311</v>
      </c>
      <c r="C24" t="s">
        <v>1166</v>
      </c>
      <c r="D24">
        <v>2</v>
      </c>
      <c r="E24" t="b">
        <v>1</v>
      </c>
    </row>
    <row r="25" spans="1:5">
      <c r="A25" t="s">
        <v>310</v>
      </c>
      <c r="B25" t="s">
        <v>1067</v>
      </c>
      <c r="C25" t="s">
        <v>680</v>
      </c>
      <c r="D25">
        <v>1</v>
      </c>
      <c r="E25" t="b">
        <v>1</v>
      </c>
    </row>
    <row r="26" spans="1:5">
      <c r="A26" t="s">
        <v>310</v>
      </c>
      <c r="B26" t="s">
        <v>1068</v>
      </c>
      <c r="C26" t="s">
        <v>1167</v>
      </c>
      <c r="D26">
        <v>3</v>
      </c>
      <c r="E26" t="b">
        <v>1</v>
      </c>
    </row>
    <row r="27" spans="1:5">
      <c r="A27" t="s">
        <v>310</v>
      </c>
      <c r="B27" t="s">
        <v>1069</v>
      </c>
      <c r="C27" t="s">
        <v>1098</v>
      </c>
      <c r="D27">
        <v>1</v>
      </c>
      <c r="E27" t="b">
        <v>1</v>
      </c>
    </row>
    <row r="28" spans="1:5">
      <c r="A28" t="s">
        <v>310</v>
      </c>
      <c r="B28" t="s">
        <v>742</v>
      </c>
      <c r="C28" t="s">
        <v>1168</v>
      </c>
      <c r="D28">
        <v>6</v>
      </c>
      <c r="E28" t="b">
        <v>1</v>
      </c>
    </row>
    <row r="29" spans="1:5">
      <c r="A29" t="s">
        <v>310</v>
      </c>
      <c r="B29" t="s">
        <v>1070</v>
      </c>
      <c r="D29">
        <v>0</v>
      </c>
      <c r="E29" t="b">
        <v>0</v>
      </c>
    </row>
    <row r="30" spans="1:5">
      <c r="A30" t="s">
        <v>419</v>
      </c>
      <c r="B30" t="s">
        <v>420</v>
      </c>
      <c r="C30" t="s">
        <v>1169</v>
      </c>
      <c r="D30">
        <v>2</v>
      </c>
      <c r="E30" t="b">
        <v>1</v>
      </c>
    </row>
    <row r="31" spans="1:5">
      <c r="A31" t="s">
        <v>419</v>
      </c>
      <c r="B31" t="s">
        <v>656</v>
      </c>
      <c r="C31" t="s">
        <v>1098</v>
      </c>
      <c r="D31">
        <v>1</v>
      </c>
      <c r="E31" t="b">
        <v>1</v>
      </c>
    </row>
    <row r="32" spans="1:5">
      <c r="A32" t="s">
        <v>419</v>
      </c>
      <c r="B32" t="s">
        <v>855</v>
      </c>
      <c r="C32" t="s">
        <v>1170</v>
      </c>
      <c r="D32">
        <v>2</v>
      </c>
      <c r="E32" t="b">
        <v>1</v>
      </c>
    </row>
    <row r="33" spans="1:5">
      <c r="A33" t="s">
        <v>419</v>
      </c>
      <c r="B33" t="s">
        <v>856</v>
      </c>
      <c r="C33" t="s">
        <v>1171</v>
      </c>
      <c r="D33">
        <v>3</v>
      </c>
      <c r="E33" t="b">
        <v>1</v>
      </c>
    </row>
    <row r="34" spans="1:5">
      <c r="A34" t="s">
        <v>419</v>
      </c>
      <c r="B34" t="s">
        <v>857</v>
      </c>
      <c r="C34" t="s">
        <v>1170</v>
      </c>
      <c r="D34">
        <v>2</v>
      </c>
      <c r="E34" t="b">
        <v>1</v>
      </c>
    </row>
    <row r="35" spans="1:5">
      <c r="A35" t="s">
        <v>419</v>
      </c>
      <c r="B35" t="s">
        <v>1076</v>
      </c>
      <c r="D35">
        <v>0</v>
      </c>
      <c r="E35" t="b">
        <v>0</v>
      </c>
    </row>
    <row r="36" spans="1:5">
      <c r="A36" t="s">
        <v>419</v>
      </c>
      <c r="B36" t="s">
        <v>1077</v>
      </c>
      <c r="C36" t="s">
        <v>1098</v>
      </c>
      <c r="D36">
        <v>1</v>
      </c>
      <c r="E36" t="b">
        <v>1</v>
      </c>
    </row>
    <row r="37" spans="1:5">
      <c r="A37" t="s">
        <v>50</v>
      </c>
      <c r="B37" t="s">
        <v>239</v>
      </c>
      <c r="C37" t="s">
        <v>1172</v>
      </c>
      <c r="D37">
        <v>14</v>
      </c>
      <c r="E37" t="b">
        <v>1</v>
      </c>
    </row>
    <row r="38" spans="1:5">
      <c r="A38" t="s">
        <v>50</v>
      </c>
      <c r="B38" t="s">
        <v>52</v>
      </c>
      <c r="C38" t="s">
        <v>1173</v>
      </c>
      <c r="D38">
        <v>12</v>
      </c>
      <c r="E38" t="b">
        <v>1</v>
      </c>
    </row>
    <row r="39" spans="1:5">
      <c r="A39" t="s">
        <v>50</v>
      </c>
      <c r="B39" t="s">
        <v>51</v>
      </c>
      <c r="C39" t="s">
        <v>1174</v>
      </c>
      <c r="D39">
        <v>9</v>
      </c>
      <c r="E39" t="b">
        <v>1</v>
      </c>
    </row>
    <row r="40" spans="1:5">
      <c r="A40" t="s">
        <v>50</v>
      </c>
      <c r="B40" t="s">
        <v>304</v>
      </c>
      <c r="C40" t="s">
        <v>1175</v>
      </c>
      <c r="D40">
        <v>8</v>
      </c>
      <c r="E40" t="b">
        <v>1</v>
      </c>
    </row>
    <row r="41" spans="1:5">
      <c r="A41" t="s">
        <v>50</v>
      </c>
      <c r="B41" t="s">
        <v>1176</v>
      </c>
      <c r="D41">
        <v>0</v>
      </c>
      <c r="E41" t="b">
        <v>0</v>
      </c>
    </row>
    <row r="42" spans="1:5">
      <c r="A42" t="s">
        <v>50</v>
      </c>
      <c r="B42" t="s">
        <v>491</v>
      </c>
      <c r="C42" t="s">
        <v>1177</v>
      </c>
      <c r="D42">
        <v>5</v>
      </c>
      <c r="E42" t="b">
        <v>1</v>
      </c>
    </row>
    <row r="43" spans="1:5">
      <c r="A43" t="s">
        <v>50</v>
      </c>
      <c r="B43" t="s">
        <v>544</v>
      </c>
      <c r="C43" t="s">
        <v>1178</v>
      </c>
      <c r="D43">
        <v>9</v>
      </c>
      <c r="E43" t="b">
        <v>1</v>
      </c>
    </row>
    <row r="44" spans="1:5">
      <c r="A44" t="s">
        <v>100</v>
      </c>
      <c r="B44" t="s">
        <v>101</v>
      </c>
      <c r="C44" t="s">
        <v>1179</v>
      </c>
      <c r="D44">
        <v>7</v>
      </c>
      <c r="E44" t="b">
        <v>1</v>
      </c>
    </row>
    <row r="45" spans="1:5">
      <c r="A45" t="s">
        <v>100</v>
      </c>
      <c r="B45" t="s">
        <v>105</v>
      </c>
      <c r="C45" t="s">
        <v>1092</v>
      </c>
      <c r="D45">
        <v>1</v>
      </c>
      <c r="E45" t="b">
        <v>1</v>
      </c>
    </row>
    <row r="46" spans="1:5">
      <c r="A46" t="s">
        <v>100</v>
      </c>
      <c r="B46" t="s">
        <v>382</v>
      </c>
      <c r="C46" t="s">
        <v>1180</v>
      </c>
      <c r="D46">
        <v>2</v>
      </c>
      <c r="E46" t="b">
        <v>1</v>
      </c>
    </row>
    <row r="47" spans="1:5">
      <c r="A47" t="s">
        <v>100</v>
      </c>
      <c r="B47" t="s">
        <v>1063</v>
      </c>
      <c r="D47">
        <v>0</v>
      </c>
      <c r="E47" t="b">
        <v>0</v>
      </c>
    </row>
    <row r="48" spans="1:5">
      <c r="A48" t="s">
        <v>100</v>
      </c>
      <c r="B48" t="s">
        <v>1064</v>
      </c>
      <c r="D48">
        <v>0</v>
      </c>
      <c r="E48" t="b">
        <v>0</v>
      </c>
    </row>
    <row r="49" spans="1:5">
      <c r="A49" t="s">
        <v>100</v>
      </c>
      <c r="B49" t="s">
        <v>1065</v>
      </c>
      <c r="D49">
        <v>0</v>
      </c>
      <c r="E49" t="b">
        <v>0</v>
      </c>
    </row>
    <row r="50" spans="1:5">
      <c r="A50" t="s">
        <v>100</v>
      </c>
      <c r="B50" t="s">
        <v>1066</v>
      </c>
      <c r="D50">
        <v>0</v>
      </c>
      <c r="E50" t="b">
        <v>0</v>
      </c>
    </row>
    <row r="51" spans="1:5">
      <c r="A51" t="s">
        <v>57</v>
      </c>
      <c r="B51" t="s">
        <v>655</v>
      </c>
      <c r="C51" t="s">
        <v>1181</v>
      </c>
      <c r="D51">
        <v>4</v>
      </c>
      <c r="E51" t="b">
        <v>1</v>
      </c>
    </row>
    <row r="52" spans="1:5">
      <c r="A52" t="s">
        <v>57</v>
      </c>
      <c r="B52" t="s">
        <v>240</v>
      </c>
      <c r="C52" t="s">
        <v>1182</v>
      </c>
      <c r="D52">
        <v>5</v>
      </c>
      <c r="E52" t="b">
        <v>1</v>
      </c>
    </row>
    <row r="53" spans="1:5">
      <c r="A53" t="s">
        <v>57</v>
      </c>
      <c r="B53" t="s">
        <v>78</v>
      </c>
      <c r="C53" t="s">
        <v>1183</v>
      </c>
      <c r="D53">
        <v>6</v>
      </c>
      <c r="E53" t="b">
        <v>1</v>
      </c>
    </row>
    <row r="54" spans="1:5">
      <c r="A54" t="s">
        <v>57</v>
      </c>
      <c r="B54" t="s">
        <v>58</v>
      </c>
      <c r="C54" t="s">
        <v>1184</v>
      </c>
      <c r="D54">
        <v>7</v>
      </c>
      <c r="E54" t="b">
        <v>1</v>
      </c>
    </row>
    <row r="55" spans="1:5">
      <c r="A55" t="s">
        <v>57</v>
      </c>
      <c r="B55" t="s">
        <v>543</v>
      </c>
      <c r="C55" t="s">
        <v>1185</v>
      </c>
      <c r="D55">
        <v>2</v>
      </c>
      <c r="E55" t="b">
        <v>1</v>
      </c>
    </row>
    <row r="56" spans="1:5">
      <c r="A56" t="s">
        <v>57</v>
      </c>
      <c r="B56" t="s">
        <v>907</v>
      </c>
      <c r="C56" t="s">
        <v>1186</v>
      </c>
      <c r="D56">
        <v>3</v>
      </c>
      <c r="E56" t="b">
        <v>1</v>
      </c>
    </row>
    <row r="57" spans="1:5">
      <c r="A57" t="s">
        <v>162</v>
      </c>
      <c r="B57" t="s">
        <v>163</v>
      </c>
      <c r="C57" t="s">
        <v>1187</v>
      </c>
      <c r="D57">
        <v>6</v>
      </c>
      <c r="E57" t="b">
        <v>1</v>
      </c>
    </row>
    <row r="58" spans="1:5">
      <c r="A58" t="s">
        <v>162</v>
      </c>
      <c r="B58" t="s">
        <v>164</v>
      </c>
      <c r="C58" t="s">
        <v>1188</v>
      </c>
      <c r="D58">
        <v>14</v>
      </c>
      <c r="E58" t="b">
        <v>1</v>
      </c>
    </row>
    <row r="59" spans="1:5">
      <c r="A59" t="s">
        <v>162</v>
      </c>
      <c r="B59" t="s">
        <v>1189</v>
      </c>
      <c r="D59">
        <v>0</v>
      </c>
      <c r="E59" t="b">
        <v>0</v>
      </c>
    </row>
    <row r="60" spans="1:5">
      <c r="A60" t="s">
        <v>162</v>
      </c>
      <c r="B60" t="s">
        <v>493</v>
      </c>
      <c r="C60" t="s">
        <v>1190</v>
      </c>
      <c r="D60">
        <v>7</v>
      </c>
      <c r="E60" t="b">
        <v>1</v>
      </c>
    </row>
    <row r="61" spans="1:5">
      <c r="A61" t="s">
        <v>162</v>
      </c>
      <c r="B61" t="s">
        <v>1191</v>
      </c>
      <c r="D61">
        <v>0</v>
      </c>
      <c r="E61" t="b">
        <v>0</v>
      </c>
    </row>
    <row r="62" spans="1:5">
      <c r="A62" t="s">
        <v>162</v>
      </c>
      <c r="B62" t="s">
        <v>781</v>
      </c>
      <c r="C62" t="s">
        <v>680</v>
      </c>
      <c r="D62">
        <v>1</v>
      </c>
      <c r="E62" t="b">
        <v>1</v>
      </c>
    </row>
    <row r="63" spans="1:5">
      <c r="A63" t="s">
        <v>162</v>
      </c>
      <c r="B63" t="s">
        <v>615</v>
      </c>
      <c r="C63" t="s">
        <v>603</v>
      </c>
      <c r="D63">
        <v>1</v>
      </c>
      <c r="E63" t="b">
        <v>1</v>
      </c>
    </row>
    <row r="64" spans="1:5">
      <c r="A64" t="s">
        <v>162</v>
      </c>
      <c r="B64" t="s">
        <v>383</v>
      </c>
      <c r="C64" t="s">
        <v>1192</v>
      </c>
      <c r="D64">
        <v>4</v>
      </c>
      <c r="E64" t="b">
        <v>1</v>
      </c>
    </row>
    <row r="65" spans="1:5">
      <c r="A65" t="s">
        <v>102</v>
      </c>
      <c r="B65" t="s">
        <v>103</v>
      </c>
      <c r="C65" t="s">
        <v>1162</v>
      </c>
      <c r="D65">
        <v>3</v>
      </c>
      <c r="E65" t="b">
        <v>1</v>
      </c>
    </row>
    <row r="66" spans="1:5">
      <c r="A66" t="s">
        <v>102</v>
      </c>
      <c r="B66" t="s">
        <v>542</v>
      </c>
      <c r="C66" t="s">
        <v>1193</v>
      </c>
      <c r="D66">
        <v>3</v>
      </c>
      <c r="E66" t="b">
        <v>1</v>
      </c>
    </row>
    <row r="67" spans="1:5">
      <c r="A67" t="s">
        <v>102</v>
      </c>
      <c r="B67" t="s">
        <v>1074</v>
      </c>
      <c r="C67" t="s">
        <v>1098</v>
      </c>
      <c r="D67">
        <v>1</v>
      </c>
      <c r="E67" t="b">
        <v>1</v>
      </c>
    </row>
    <row r="68" spans="1:5">
      <c r="A68" t="s">
        <v>102</v>
      </c>
      <c r="B68" t="s">
        <v>1075</v>
      </c>
      <c r="C68" t="s">
        <v>1098</v>
      </c>
      <c r="D68">
        <v>1</v>
      </c>
      <c r="E68" t="b">
        <v>1</v>
      </c>
    </row>
    <row r="69" spans="1:5">
      <c r="A69" t="s">
        <v>102</v>
      </c>
      <c r="B69" t="s">
        <v>854</v>
      </c>
      <c r="C69" t="s">
        <v>1170</v>
      </c>
      <c r="D69">
        <v>2</v>
      </c>
      <c r="E69" t="b">
        <v>1</v>
      </c>
    </row>
  </sheetData>
  <pageMargins left="0.7" right="0.7" top="0.75" bottom="0.75" header="0.3" footer="0.3"/>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9CCD64-499A-485A-94F7-F3D87C41451B}">
  <sheetPr codeName="Sheet29"/>
  <dimension ref="A1:I29"/>
  <sheetViews>
    <sheetView workbookViewId="0">
      <selection sqref="A1:I29"/>
    </sheetView>
  </sheetViews>
  <sheetFormatPr defaultColWidth="8.85546875" defaultRowHeight="15"/>
  <cols>
    <col min="1" max="1" width="14.85546875" bestFit="1" customWidth="1"/>
    <col min="2" max="2" width="65.42578125" bestFit="1" customWidth="1"/>
    <col min="3" max="3" width="8.140625" bestFit="1" customWidth="1"/>
    <col min="4" max="4" width="12" bestFit="1" customWidth="1"/>
    <col min="5" max="5" width="10" bestFit="1" customWidth="1"/>
    <col min="6" max="6" width="23.42578125" bestFit="1" customWidth="1"/>
    <col min="7" max="7" width="18.42578125" bestFit="1" customWidth="1"/>
    <col min="8" max="8" width="21.42578125" bestFit="1" customWidth="1"/>
    <col min="9" max="9" width="18.42578125" bestFit="1" customWidth="1"/>
  </cols>
  <sheetData>
    <row r="1" spans="1:9">
      <c r="A1" t="s">
        <v>1080</v>
      </c>
      <c r="B1" t="s">
        <v>1081</v>
      </c>
      <c r="C1" t="s">
        <v>10</v>
      </c>
      <c r="D1" t="s">
        <v>8</v>
      </c>
      <c r="E1" t="s">
        <v>7</v>
      </c>
      <c r="F1" t="s">
        <v>11</v>
      </c>
      <c r="G1" t="s">
        <v>12</v>
      </c>
      <c r="H1" t="s">
        <v>1082</v>
      </c>
      <c r="I1" t="s">
        <v>1083</v>
      </c>
    </row>
    <row r="2" spans="1:9">
      <c r="A2" t="s">
        <v>178</v>
      </c>
      <c r="B2" t="s">
        <v>179</v>
      </c>
      <c r="C2">
        <v>4</v>
      </c>
      <c r="D2">
        <v>2</v>
      </c>
      <c r="E2">
        <v>20</v>
      </c>
      <c r="F2" t="s">
        <v>182</v>
      </c>
      <c r="G2" t="s">
        <v>184</v>
      </c>
      <c r="H2">
        <v>44</v>
      </c>
      <c r="I2">
        <v>2.2000000000000002</v>
      </c>
    </row>
    <row r="3" spans="1:9">
      <c r="A3" t="s">
        <v>217</v>
      </c>
      <c r="B3" t="s">
        <v>1091</v>
      </c>
      <c r="C3">
        <v>4</v>
      </c>
      <c r="D3">
        <v>1</v>
      </c>
      <c r="E3">
        <v>20</v>
      </c>
      <c r="F3" t="s">
        <v>222</v>
      </c>
      <c r="G3" t="s">
        <v>147</v>
      </c>
      <c r="H3">
        <v>44</v>
      </c>
      <c r="I3">
        <v>2.2000000000000002</v>
      </c>
    </row>
    <row r="4" spans="1:9">
      <c r="A4" t="s">
        <v>1086</v>
      </c>
      <c r="B4" t="s">
        <v>1087</v>
      </c>
      <c r="C4">
        <v>4</v>
      </c>
      <c r="D4">
        <v>1</v>
      </c>
      <c r="E4">
        <v>20</v>
      </c>
      <c r="F4" t="s">
        <v>1088</v>
      </c>
      <c r="G4" t="s">
        <v>147</v>
      </c>
      <c r="H4">
        <v>42</v>
      </c>
      <c r="I4">
        <v>2.1</v>
      </c>
    </row>
    <row r="5" spans="1:9">
      <c r="A5" t="s">
        <v>279</v>
      </c>
      <c r="B5" t="s">
        <v>281</v>
      </c>
      <c r="C5">
        <v>4</v>
      </c>
      <c r="D5">
        <v>2</v>
      </c>
      <c r="E5">
        <v>20</v>
      </c>
      <c r="F5" t="s">
        <v>283</v>
      </c>
      <c r="G5" t="s">
        <v>147</v>
      </c>
      <c r="H5">
        <v>39</v>
      </c>
      <c r="I5">
        <v>1.95</v>
      </c>
    </row>
    <row r="6" spans="1:9">
      <c r="A6" t="s">
        <v>80</v>
      </c>
      <c r="B6" t="s">
        <v>1092</v>
      </c>
      <c r="C6">
        <v>4</v>
      </c>
      <c r="D6">
        <v>1</v>
      </c>
      <c r="E6">
        <v>20</v>
      </c>
      <c r="F6" t="s">
        <v>84</v>
      </c>
      <c r="G6" t="s">
        <v>85</v>
      </c>
      <c r="H6">
        <v>44</v>
      </c>
      <c r="I6">
        <v>2.2000000000000002</v>
      </c>
    </row>
    <row r="7" spans="1:9">
      <c r="A7" t="s">
        <v>141</v>
      </c>
      <c r="B7" t="s">
        <v>143</v>
      </c>
      <c r="C7">
        <v>4</v>
      </c>
      <c r="D7">
        <v>2</v>
      </c>
      <c r="E7">
        <v>20</v>
      </c>
      <c r="F7" t="s">
        <v>146</v>
      </c>
      <c r="G7" t="s">
        <v>147</v>
      </c>
      <c r="H7">
        <v>40</v>
      </c>
      <c r="I7">
        <v>2</v>
      </c>
    </row>
    <row r="8" spans="1:9">
      <c r="A8" t="s">
        <v>339</v>
      </c>
      <c r="B8" t="s">
        <v>341</v>
      </c>
      <c r="C8">
        <v>5</v>
      </c>
      <c r="D8">
        <v>2</v>
      </c>
      <c r="E8">
        <v>20</v>
      </c>
      <c r="F8" t="s">
        <v>343</v>
      </c>
      <c r="G8" t="s">
        <v>184</v>
      </c>
      <c r="H8">
        <v>42</v>
      </c>
      <c r="I8">
        <v>2.1</v>
      </c>
    </row>
    <row r="9" spans="1:9">
      <c r="A9" t="s">
        <v>473</v>
      </c>
      <c r="B9" t="s">
        <v>474</v>
      </c>
      <c r="C9">
        <v>5</v>
      </c>
      <c r="D9">
        <v>2</v>
      </c>
      <c r="E9">
        <v>20</v>
      </c>
      <c r="F9" t="s">
        <v>477</v>
      </c>
      <c r="G9" t="s">
        <v>147</v>
      </c>
      <c r="H9">
        <v>40</v>
      </c>
      <c r="I9">
        <v>2</v>
      </c>
    </row>
    <row r="10" spans="1:9">
      <c r="A10" t="s">
        <v>1093</v>
      </c>
      <c r="B10" t="s">
        <v>1120</v>
      </c>
      <c r="C10">
        <v>5</v>
      </c>
      <c r="D10">
        <v>2</v>
      </c>
      <c r="E10">
        <v>20</v>
      </c>
      <c r="F10" t="s">
        <v>1095</v>
      </c>
      <c r="G10" t="s">
        <v>147</v>
      </c>
      <c r="H10">
        <v>44</v>
      </c>
      <c r="I10">
        <v>2.2000000000000002</v>
      </c>
    </row>
    <row r="11" spans="1:9">
      <c r="A11" t="s">
        <v>368</v>
      </c>
      <c r="B11" t="s">
        <v>370</v>
      </c>
      <c r="C11">
        <v>5</v>
      </c>
      <c r="D11">
        <v>1</v>
      </c>
      <c r="E11">
        <v>20</v>
      </c>
      <c r="G11" t="s">
        <v>85</v>
      </c>
      <c r="H11">
        <v>34</v>
      </c>
      <c r="I11">
        <v>1.7</v>
      </c>
    </row>
    <row r="12" spans="1:9">
      <c r="A12" t="s">
        <v>396</v>
      </c>
      <c r="B12" t="s">
        <v>398</v>
      </c>
      <c r="C12">
        <v>5</v>
      </c>
      <c r="D12">
        <v>1</v>
      </c>
      <c r="E12">
        <v>20</v>
      </c>
      <c r="F12" t="s">
        <v>400</v>
      </c>
      <c r="G12" t="s">
        <v>147</v>
      </c>
      <c r="H12">
        <v>49</v>
      </c>
      <c r="I12">
        <v>2.4500000000000002</v>
      </c>
    </row>
    <row r="13" spans="1:9">
      <c r="A13" t="s">
        <v>438</v>
      </c>
      <c r="B13" t="s">
        <v>1096</v>
      </c>
      <c r="C13">
        <v>5</v>
      </c>
      <c r="F13" t="s">
        <v>442</v>
      </c>
      <c r="G13" t="s">
        <v>147</v>
      </c>
      <c r="H13">
        <v>0</v>
      </c>
    </row>
    <row r="14" spans="1:9">
      <c r="A14" t="s">
        <v>1100</v>
      </c>
      <c r="B14" t="s">
        <v>1101</v>
      </c>
      <c r="C14">
        <v>6</v>
      </c>
      <c r="D14">
        <v>1</v>
      </c>
      <c r="E14">
        <v>20</v>
      </c>
      <c r="F14" t="s">
        <v>1102</v>
      </c>
      <c r="G14" t="s">
        <v>147</v>
      </c>
      <c r="H14">
        <v>44</v>
      </c>
      <c r="I14">
        <v>2.2000000000000002</v>
      </c>
    </row>
    <row r="15" spans="1:9">
      <c r="A15" t="s">
        <v>877</v>
      </c>
      <c r="B15" t="s">
        <v>879</v>
      </c>
      <c r="C15">
        <v>6</v>
      </c>
      <c r="E15">
        <v>40</v>
      </c>
      <c r="F15" t="s">
        <v>881</v>
      </c>
      <c r="G15" t="s">
        <v>883</v>
      </c>
      <c r="H15">
        <v>36</v>
      </c>
      <c r="I15">
        <v>0.9</v>
      </c>
    </row>
    <row r="16" spans="1:9">
      <c r="A16" t="s">
        <v>930</v>
      </c>
      <c r="B16" t="s">
        <v>932</v>
      </c>
      <c r="C16">
        <v>6</v>
      </c>
      <c r="D16">
        <v>1</v>
      </c>
      <c r="E16">
        <v>20</v>
      </c>
      <c r="F16" t="s">
        <v>934</v>
      </c>
      <c r="G16" t="s">
        <v>532</v>
      </c>
      <c r="H16">
        <v>40</v>
      </c>
      <c r="I16">
        <v>2</v>
      </c>
    </row>
    <row r="17" spans="1:9">
      <c r="A17" t="s">
        <v>965</v>
      </c>
      <c r="B17" t="s">
        <v>967</v>
      </c>
      <c r="C17">
        <v>6</v>
      </c>
      <c r="D17">
        <v>1</v>
      </c>
      <c r="E17">
        <v>20</v>
      </c>
      <c r="F17" t="s">
        <v>969</v>
      </c>
      <c r="G17" t="s">
        <v>532</v>
      </c>
      <c r="H17">
        <v>37</v>
      </c>
      <c r="I17">
        <v>1.85</v>
      </c>
    </row>
    <row r="18" spans="1:9">
      <c r="A18" t="s">
        <v>992</v>
      </c>
      <c r="B18" t="s">
        <v>994</v>
      </c>
      <c r="C18">
        <v>6</v>
      </c>
      <c r="D18">
        <v>1</v>
      </c>
      <c r="E18">
        <v>20</v>
      </c>
      <c r="F18" t="s">
        <v>996</v>
      </c>
      <c r="G18" t="s">
        <v>532</v>
      </c>
      <c r="H18">
        <v>44</v>
      </c>
      <c r="I18">
        <v>2.2000000000000002</v>
      </c>
    </row>
    <row r="19" spans="1:9">
      <c r="A19" t="s">
        <v>1097</v>
      </c>
      <c r="B19" t="s">
        <v>1098</v>
      </c>
      <c r="C19">
        <v>6</v>
      </c>
      <c r="D19">
        <v>1</v>
      </c>
      <c r="E19">
        <v>20</v>
      </c>
      <c r="F19" t="s">
        <v>1099</v>
      </c>
      <c r="G19" t="s">
        <v>532</v>
      </c>
      <c r="H19">
        <v>40</v>
      </c>
      <c r="I19">
        <v>2</v>
      </c>
    </row>
    <row r="20" spans="1:9">
      <c r="A20" t="s">
        <v>1104</v>
      </c>
      <c r="B20" t="s">
        <v>1106</v>
      </c>
      <c r="C20">
        <v>6</v>
      </c>
      <c r="D20">
        <v>1</v>
      </c>
      <c r="E20">
        <v>20</v>
      </c>
      <c r="F20" t="s">
        <v>1194</v>
      </c>
      <c r="G20" t="s">
        <v>532</v>
      </c>
      <c r="H20">
        <v>40</v>
      </c>
      <c r="I20">
        <v>2</v>
      </c>
    </row>
    <row r="21" spans="1:9">
      <c r="A21" t="s">
        <v>526</v>
      </c>
      <c r="B21" t="s">
        <v>1103</v>
      </c>
      <c r="C21">
        <v>6</v>
      </c>
      <c r="D21">
        <v>1</v>
      </c>
      <c r="E21">
        <v>20</v>
      </c>
      <c r="F21" t="s">
        <v>530</v>
      </c>
      <c r="G21" t="s">
        <v>532</v>
      </c>
      <c r="H21">
        <v>42</v>
      </c>
      <c r="I21">
        <v>2.1</v>
      </c>
    </row>
    <row r="22" spans="1:9">
      <c r="A22" t="s">
        <v>545</v>
      </c>
      <c r="B22" t="s">
        <v>546</v>
      </c>
      <c r="C22">
        <v>6</v>
      </c>
      <c r="D22">
        <v>1</v>
      </c>
      <c r="E22">
        <v>20</v>
      </c>
      <c r="F22" t="s">
        <v>549</v>
      </c>
      <c r="G22" t="s">
        <v>532</v>
      </c>
      <c r="H22">
        <v>40</v>
      </c>
      <c r="I22">
        <v>2</v>
      </c>
    </row>
    <row r="23" spans="1:9">
      <c r="A23" t="s">
        <v>601</v>
      </c>
      <c r="B23" t="s">
        <v>603</v>
      </c>
      <c r="C23">
        <v>6</v>
      </c>
      <c r="D23">
        <v>1</v>
      </c>
      <c r="E23">
        <v>20</v>
      </c>
      <c r="F23" t="s">
        <v>605</v>
      </c>
      <c r="G23" t="s">
        <v>532</v>
      </c>
      <c r="H23">
        <v>44</v>
      </c>
      <c r="I23">
        <v>2.2000000000000002</v>
      </c>
    </row>
    <row r="24" spans="1:9">
      <c r="A24" t="s">
        <v>641</v>
      </c>
      <c r="B24" t="s">
        <v>643</v>
      </c>
      <c r="C24">
        <v>6</v>
      </c>
      <c r="D24">
        <v>1</v>
      </c>
      <c r="E24">
        <v>20</v>
      </c>
      <c r="F24" t="s">
        <v>645</v>
      </c>
      <c r="G24" t="s">
        <v>532</v>
      </c>
      <c r="H24">
        <v>38</v>
      </c>
      <c r="I24">
        <v>1.9</v>
      </c>
    </row>
    <row r="25" spans="1:9">
      <c r="A25" t="s">
        <v>678</v>
      </c>
      <c r="B25" t="s">
        <v>680</v>
      </c>
      <c r="C25">
        <v>6</v>
      </c>
      <c r="D25">
        <v>2</v>
      </c>
      <c r="E25">
        <v>20</v>
      </c>
      <c r="F25" t="s">
        <v>683</v>
      </c>
      <c r="G25" t="s">
        <v>532</v>
      </c>
      <c r="H25">
        <v>38</v>
      </c>
      <c r="I25">
        <v>1.9</v>
      </c>
    </row>
    <row r="26" spans="1:9">
      <c r="A26" t="s">
        <v>720</v>
      </c>
      <c r="B26" t="s">
        <v>6</v>
      </c>
      <c r="C26">
        <v>6</v>
      </c>
      <c r="D26">
        <v>2</v>
      </c>
      <c r="E26">
        <v>20</v>
      </c>
      <c r="F26" t="s">
        <v>724</v>
      </c>
      <c r="G26" t="s">
        <v>532</v>
      </c>
      <c r="H26">
        <v>46</v>
      </c>
      <c r="I26">
        <v>2.2999999999999998</v>
      </c>
    </row>
    <row r="27" spans="1:9">
      <c r="A27" t="s">
        <v>756</v>
      </c>
      <c r="B27" t="s">
        <v>757</v>
      </c>
      <c r="C27">
        <v>6</v>
      </c>
      <c r="D27">
        <v>2</v>
      </c>
      <c r="E27">
        <v>20</v>
      </c>
      <c r="F27" t="s">
        <v>760</v>
      </c>
      <c r="G27" t="s">
        <v>532</v>
      </c>
      <c r="H27">
        <v>40</v>
      </c>
      <c r="I27">
        <v>2</v>
      </c>
    </row>
    <row r="28" spans="1:9">
      <c r="A28" t="s">
        <v>803</v>
      </c>
      <c r="B28" t="s">
        <v>805</v>
      </c>
      <c r="C28">
        <v>6</v>
      </c>
      <c r="D28">
        <v>1</v>
      </c>
      <c r="E28">
        <v>20</v>
      </c>
      <c r="F28" t="s">
        <v>808</v>
      </c>
      <c r="G28" t="s">
        <v>532</v>
      </c>
      <c r="H28">
        <v>36</v>
      </c>
      <c r="I28">
        <v>1.8</v>
      </c>
    </row>
    <row r="29" spans="1:9">
      <c r="A29" t="s">
        <v>840</v>
      </c>
      <c r="B29" t="s">
        <v>1105</v>
      </c>
      <c r="C29">
        <v>6</v>
      </c>
      <c r="E29">
        <v>20</v>
      </c>
      <c r="F29" t="s">
        <v>845</v>
      </c>
      <c r="G29" t="s">
        <v>85</v>
      </c>
      <c r="H29">
        <v>50</v>
      </c>
      <c r="I29">
        <v>2.5</v>
      </c>
    </row>
  </sheetData>
  <pageMargins left="0.7" right="0.7" top="0.75" bottom="0.75" header="0.3" footer="0.3"/>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C9A730-01D0-478C-8727-CC964BB498E7}">
  <sheetPr codeName="Sheet30"/>
  <dimension ref="A1:N29"/>
  <sheetViews>
    <sheetView workbookViewId="0">
      <selection sqref="A1:N29"/>
    </sheetView>
  </sheetViews>
  <sheetFormatPr defaultColWidth="8.85546875" defaultRowHeight="15"/>
  <cols>
    <col min="1" max="1" width="49" bestFit="1" customWidth="1"/>
    <col min="2" max="2" width="14.85546875" bestFit="1" customWidth="1"/>
    <col min="3" max="4" width="65.42578125" bestFit="1" customWidth="1"/>
    <col min="5" max="5" width="10" bestFit="1" customWidth="1"/>
    <col min="6" max="6" width="12" bestFit="1" customWidth="1"/>
    <col min="7" max="7" width="8.140625" bestFit="1" customWidth="1"/>
    <col min="8" max="8" width="23.42578125" bestFit="1" customWidth="1"/>
    <col min="9" max="9" width="18.42578125" bestFit="1" customWidth="1"/>
    <col min="10" max="10" width="24.42578125" bestFit="1" customWidth="1"/>
    <col min="11" max="11" width="13.42578125" bestFit="1" customWidth="1"/>
    <col min="12" max="12" width="12.7109375" bestFit="1" customWidth="1"/>
    <col min="13" max="13" width="24.42578125" bestFit="1" customWidth="1"/>
    <col min="14" max="14" width="12.140625" bestFit="1" customWidth="1"/>
  </cols>
  <sheetData>
    <row r="1" spans="1:14">
      <c r="A1" t="s">
        <v>1109</v>
      </c>
      <c r="B1" t="s">
        <v>1080</v>
      </c>
      <c r="C1" t="s">
        <v>1081</v>
      </c>
      <c r="D1" t="s">
        <v>6</v>
      </c>
      <c r="E1" t="s">
        <v>7</v>
      </c>
      <c r="F1" t="s">
        <v>8</v>
      </c>
      <c r="G1" t="s">
        <v>10</v>
      </c>
      <c r="H1" t="s">
        <v>11</v>
      </c>
      <c r="I1" t="s">
        <v>12</v>
      </c>
      <c r="J1" t="s">
        <v>13</v>
      </c>
      <c r="K1" t="s">
        <v>1111</v>
      </c>
      <c r="L1" t="s">
        <v>1195</v>
      </c>
      <c r="M1" t="s">
        <v>1110</v>
      </c>
      <c r="N1" t="s">
        <v>1112</v>
      </c>
    </row>
    <row r="2" spans="1:14">
      <c r="A2" t="s">
        <v>1113</v>
      </c>
      <c r="B2" t="s">
        <v>1097</v>
      </c>
      <c r="C2" t="s">
        <v>1098</v>
      </c>
      <c r="D2" t="s">
        <v>1098</v>
      </c>
      <c r="E2">
        <v>20</v>
      </c>
      <c r="F2">
        <v>1</v>
      </c>
      <c r="G2">
        <v>6</v>
      </c>
      <c r="H2" t="s">
        <v>1099</v>
      </c>
      <c r="I2" t="s">
        <v>532</v>
      </c>
      <c r="J2" t="s">
        <v>935</v>
      </c>
      <c r="K2" t="s">
        <v>1196</v>
      </c>
      <c r="L2" t="s">
        <v>1197</v>
      </c>
      <c r="M2" t="s">
        <v>86</v>
      </c>
      <c r="N2" t="s">
        <v>1115</v>
      </c>
    </row>
    <row r="3" spans="1:14">
      <c r="A3" t="s">
        <v>1116</v>
      </c>
      <c r="B3" t="s">
        <v>1104</v>
      </c>
      <c r="C3" t="s">
        <v>1106</v>
      </c>
      <c r="D3" t="s">
        <v>1106</v>
      </c>
      <c r="E3">
        <v>20</v>
      </c>
      <c r="F3">
        <v>1</v>
      </c>
      <c r="G3">
        <v>6</v>
      </c>
      <c r="H3" t="s">
        <v>1194</v>
      </c>
      <c r="I3" t="s">
        <v>532</v>
      </c>
      <c r="J3" t="s">
        <v>186</v>
      </c>
      <c r="K3" t="s">
        <v>1198</v>
      </c>
      <c r="L3" t="s">
        <v>1197</v>
      </c>
      <c r="M3" t="s">
        <v>86</v>
      </c>
      <c r="N3" t="s">
        <v>1115</v>
      </c>
    </row>
    <row r="4" spans="1:14">
      <c r="A4" t="s">
        <v>1118</v>
      </c>
      <c r="B4" t="s">
        <v>1086</v>
      </c>
      <c r="C4" t="s">
        <v>1087</v>
      </c>
      <c r="D4" t="s">
        <v>1087</v>
      </c>
      <c r="E4">
        <v>20</v>
      </c>
      <c r="F4">
        <v>1</v>
      </c>
      <c r="G4">
        <v>4</v>
      </c>
      <c r="H4" t="s">
        <v>1088</v>
      </c>
      <c r="I4" t="s">
        <v>147</v>
      </c>
      <c r="J4" t="s">
        <v>225</v>
      </c>
      <c r="K4" t="s">
        <v>1199</v>
      </c>
      <c r="L4" t="s">
        <v>1197</v>
      </c>
      <c r="M4" t="s">
        <v>86</v>
      </c>
      <c r="N4" t="s">
        <v>1115</v>
      </c>
    </row>
    <row r="5" spans="1:14">
      <c r="A5" t="s">
        <v>1118</v>
      </c>
      <c r="B5" t="s">
        <v>1093</v>
      </c>
      <c r="C5" t="s">
        <v>1120</v>
      </c>
      <c r="D5" t="s">
        <v>1120</v>
      </c>
      <c r="E5">
        <v>20</v>
      </c>
      <c r="F5">
        <v>2</v>
      </c>
      <c r="G5">
        <v>5</v>
      </c>
      <c r="H5" t="s">
        <v>1095</v>
      </c>
      <c r="I5" t="s">
        <v>147</v>
      </c>
      <c r="J5" t="s">
        <v>186</v>
      </c>
      <c r="K5" t="s">
        <v>1200</v>
      </c>
      <c r="L5" t="s">
        <v>1197</v>
      </c>
      <c r="M5" t="s">
        <v>86</v>
      </c>
      <c r="N5" t="s">
        <v>1115</v>
      </c>
    </row>
    <row r="6" spans="1:14">
      <c r="A6" t="s">
        <v>1118</v>
      </c>
      <c r="B6" t="s">
        <v>1100</v>
      </c>
      <c r="C6" t="s">
        <v>1101</v>
      </c>
      <c r="D6" t="s">
        <v>1101</v>
      </c>
      <c r="E6">
        <v>20</v>
      </c>
      <c r="F6">
        <v>1</v>
      </c>
      <c r="G6">
        <v>6</v>
      </c>
      <c r="H6" t="s">
        <v>1102</v>
      </c>
      <c r="I6" t="s">
        <v>147</v>
      </c>
      <c r="J6" t="s">
        <v>1059</v>
      </c>
      <c r="K6" t="s">
        <v>1201</v>
      </c>
      <c r="L6" t="s">
        <v>1197</v>
      </c>
      <c r="M6" t="s">
        <v>86</v>
      </c>
      <c r="N6" t="s">
        <v>1115</v>
      </c>
    </row>
    <row r="7" spans="1:14">
      <c r="A7" t="s">
        <v>1123</v>
      </c>
      <c r="B7" t="s">
        <v>178</v>
      </c>
      <c r="C7" t="s">
        <v>179</v>
      </c>
      <c r="D7" t="s">
        <v>179</v>
      </c>
      <c r="E7">
        <v>20</v>
      </c>
      <c r="F7">
        <v>2</v>
      </c>
      <c r="G7">
        <v>4</v>
      </c>
      <c r="H7" t="s">
        <v>182</v>
      </c>
      <c r="I7" t="s">
        <v>184</v>
      </c>
      <c r="J7" t="s">
        <v>186</v>
      </c>
      <c r="K7" t="s">
        <v>1202</v>
      </c>
      <c r="L7" t="s">
        <v>1197</v>
      </c>
      <c r="M7" t="s">
        <v>86</v>
      </c>
      <c r="N7" t="s">
        <v>1115</v>
      </c>
    </row>
    <row r="8" spans="1:14">
      <c r="A8" t="s">
        <v>1123</v>
      </c>
      <c r="B8" t="s">
        <v>217</v>
      </c>
      <c r="C8" t="s">
        <v>1091</v>
      </c>
      <c r="D8" t="s">
        <v>1203</v>
      </c>
      <c r="E8">
        <v>20</v>
      </c>
      <c r="F8">
        <v>1</v>
      </c>
      <c r="G8">
        <v>4</v>
      </c>
      <c r="H8" t="s">
        <v>222</v>
      </c>
      <c r="I8" t="s">
        <v>147</v>
      </c>
      <c r="J8" t="s">
        <v>186</v>
      </c>
      <c r="K8" t="s">
        <v>1204</v>
      </c>
      <c r="L8" t="s">
        <v>1197</v>
      </c>
      <c r="M8" t="s">
        <v>86</v>
      </c>
      <c r="N8" t="s">
        <v>1115</v>
      </c>
    </row>
    <row r="9" spans="1:14">
      <c r="A9" t="s">
        <v>1123</v>
      </c>
      <c r="B9" t="s">
        <v>279</v>
      </c>
      <c r="C9" t="s">
        <v>281</v>
      </c>
      <c r="D9" t="s">
        <v>281</v>
      </c>
      <c r="E9">
        <v>20</v>
      </c>
      <c r="F9">
        <v>2</v>
      </c>
      <c r="G9">
        <v>4</v>
      </c>
      <c r="H9" t="s">
        <v>283</v>
      </c>
      <c r="I9" t="s">
        <v>147</v>
      </c>
      <c r="J9" t="s">
        <v>225</v>
      </c>
      <c r="K9" t="s">
        <v>1205</v>
      </c>
      <c r="L9" t="s">
        <v>1197</v>
      </c>
      <c r="M9" t="s">
        <v>86</v>
      </c>
      <c r="N9" t="s">
        <v>1115</v>
      </c>
    </row>
    <row r="10" spans="1:14">
      <c r="A10" t="s">
        <v>1123</v>
      </c>
      <c r="B10" t="s">
        <v>80</v>
      </c>
      <c r="C10" t="s">
        <v>1092</v>
      </c>
      <c r="D10" t="s">
        <v>1206</v>
      </c>
      <c r="E10">
        <v>20</v>
      </c>
      <c r="F10">
        <v>1</v>
      </c>
      <c r="G10">
        <v>4</v>
      </c>
      <c r="H10" t="s">
        <v>84</v>
      </c>
      <c r="I10" t="s">
        <v>85</v>
      </c>
      <c r="J10" t="s">
        <v>86</v>
      </c>
      <c r="K10" t="s">
        <v>1207</v>
      </c>
      <c r="L10" t="s">
        <v>1197</v>
      </c>
      <c r="M10" t="s">
        <v>86</v>
      </c>
      <c r="N10" t="s">
        <v>1115</v>
      </c>
    </row>
    <row r="11" spans="1:14">
      <c r="A11" t="s">
        <v>1123</v>
      </c>
      <c r="B11" t="s">
        <v>141</v>
      </c>
      <c r="C11" t="s">
        <v>143</v>
      </c>
      <c r="D11" t="s">
        <v>143</v>
      </c>
      <c r="E11">
        <v>20</v>
      </c>
      <c r="F11">
        <v>2</v>
      </c>
      <c r="G11">
        <v>4</v>
      </c>
      <c r="H11" t="s">
        <v>146</v>
      </c>
      <c r="I11" t="s">
        <v>147</v>
      </c>
      <c r="J11" t="s">
        <v>86</v>
      </c>
      <c r="K11" t="s">
        <v>1208</v>
      </c>
      <c r="L11" t="s">
        <v>1197</v>
      </c>
      <c r="M11" t="s">
        <v>86</v>
      </c>
      <c r="N11" t="s">
        <v>1115</v>
      </c>
    </row>
    <row r="12" spans="1:14">
      <c r="A12" t="s">
        <v>1123</v>
      </c>
      <c r="B12" t="s">
        <v>339</v>
      </c>
      <c r="C12" t="s">
        <v>341</v>
      </c>
      <c r="D12" t="s">
        <v>341</v>
      </c>
      <c r="E12">
        <v>20</v>
      </c>
      <c r="F12">
        <v>2</v>
      </c>
      <c r="G12">
        <v>5</v>
      </c>
      <c r="H12" t="s">
        <v>343</v>
      </c>
      <c r="I12" t="s">
        <v>184</v>
      </c>
      <c r="J12" t="s">
        <v>186</v>
      </c>
      <c r="K12" t="s">
        <v>1209</v>
      </c>
      <c r="L12" t="s">
        <v>1197</v>
      </c>
      <c r="M12" t="s">
        <v>86</v>
      </c>
      <c r="N12" t="s">
        <v>1115</v>
      </c>
    </row>
    <row r="13" spans="1:14">
      <c r="A13" t="s">
        <v>1123</v>
      </c>
      <c r="B13" t="s">
        <v>473</v>
      </c>
      <c r="C13" t="s">
        <v>474</v>
      </c>
      <c r="D13" t="s">
        <v>474</v>
      </c>
      <c r="E13">
        <v>20</v>
      </c>
      <c r="F13">
        <v>2</v>
      </c>
      <c r="G13">
        <v>5</v>
      </c>
      <c r="H13" t="s">
        <v>477</v>
      </c>
      <c r="I13" t="s">
        <v>147</v>
      </c>
      <c r="J13" t="s">
        <v>225</v>
      </c>
      <c r="K13" t="s">
        <v>1210</v>
      </c>
      <c r="L13" t="s">
        <v>1197</v>
      </c>
      <c r="M13" t="s">
        <v>86</v>
      </c>
      <c r="N13" t="s">
        <v>1115</v>
      </c>
    </row>
    <row r="14" spans="1:14">
      <c r="A14" t="s">
        <v>1123</v>
      </c>
      <c r="B14" t="s">
        <v>368</v>
      </c>
      <c r="C14" t="s">
        <v>370</v>
      </c>
      <c r="D14" t="s">
        <v>370</v>
      </c>
      <c r="E14">
        <v>20</v>
      </c>
      <c r="F14">
        <v>1</v>
      </c>
      <c r="G14">
        <v>5</v>
      </c>
      <c r="I14" t="s">
        <v>85</v>
      </c>
      <c r="J14" t="s">
        <v>86</v>
      </c>
      <c r="K14" t="s">
        <v>1211</v>
      </c>
      <c r="L14" t="s">
        <v>1197</v>
      </c>
      <c r="M14" t="s">
        <v>86</v>
      </c>
      <c r="N14" t="s">
        <v>1115</v>
      </c>
    </row>
    <row r="15" spans="1:14">
      <c r="A15" t="s">
        <v>1123</v>
      </c>
      <c r="B15" t="s">
        <v>396</v>
      </c>
      <c r="C15" t="s">
        <v>398</v>
      </c>
      <c r="D15" t="s">
        <v>398</v>
      </c>
      <c r="E15">
        <v>20</v>
      </c>
      <c r="F15">
        <v>1</v>
      </c>
      <c r="G15">
        <v>5</v>
      </c>
      <c r="H15" t="s">
        <v>400</v>
      </c>
      <c r="I15" t="s">
        <v>147</v>
      </c>
      <c r="J15" t="s">
        <v>86</v>
      </c>
      <c r="K15" t="s">
        <v>1212</v>
      </c>
      <c r="L15" t="s">
        <v>1197</v>
      </c>
      <c r="M15" t="s">
        <v>86</v>
      </c>
      <c r="N15" t="s">
        <v>1115</v>
      </c>
    </row>
    <row r="16" spans="1:14">
      <c r="A16" t="s">
        <v>1123</v>
      </c>
      <c r="B16" t="s">
        <v>438</v>
      </c>
      <c r="C16" t="s">
        <v>1096</v>
      </c>
      <c r="D16" t="s">
        <v>440</v>
      </c>
      <c r="G16">
        <v>5</v>
      </c>
      <c r="H16" t="s">
        <v>442</v>
      </c>
      <c r="I16" t="s">
        <v>147</v>
      </c>
      <c r="J16" t="s">
        <v>443</v>
      </c>
      <c r="K16" t="s">
        <v>1213</v>
      </c>
      <c r="L16" t="s">
        <v>1197</v>
      </c>
      <c r="M16" t="s">
        <v>86</v>
      </c>
      <c r="N16" t="s">
        <v>1115</v>
      </c>
    </row>
    <row r="17" spans="1:14">
      <c r="A17" t="s">
        <v>1123</v>
      </c>
      <c r="B17" t="s">
        <v>877</v>
      </c>
      <c r="C17" t="s">
        <v>879</v>
      </c>
      <c r="D17" t="s">
        <v>879</v>
      </c>
      <c r="E17">
        <v>40</v>
      </c>
      <c r="F17" t="s">
        <v>843</v>
      </c>
      <c r="G17">
        <v>6</v>
      </c>
      <c r="H17" t="s">
        <v>881</v>
      </c>
      <c r="I17" t="s">
        <v>883</v>
      </c>
      <c r="J17" t="s">
        <v>186</v>
      </c>
      <c r="K17" t="s">
        <v>1214</v>
      </c>
      <c r="L17" t="s">
        <v>1197</v>
      </c>
      <c r="M17" t="s">
        <v>86</v>
      </c>
      <c r="N17" t="s">
        <v>1115</v>
      </c>
    </row>
    <row r="18" spans="1:14">
      <c r="A18" t="s">
        <v>1123</v>
      </c>
      <c r="B18" t="s">
        <v>930</v>
      </c>
      <c r="C18" t="s">
        <v>932</v>
      </c>
      <c r="D18" t="s">
        <v>932</v>
      </c>
      <c r="E18">
        <v>20</v>
      </c>
      <c r="F18">
        <v>1</v>
      </c>
      <c r="G18">
        <v>6</v>
      </c>
      <c r="H18" t="s">
        <v>934</v>
      </c>
      <c r="I18" t="s">
        <v>532</v>
      </c>
      <c r="J18" t="s">
        <v>935</v>
      </c>
      <c r="K18" t="s">
        <v>1215</v>
      </c>
      <c r="L18" t="s">
        <v>1197</v>
      </c>
      <c r="M18" t="s">
        <v>86</v>
      </c>
      <c r="N18" t="s">
        <v>1115</v>
      </c>
    </row>
    <row r="19" spans="1:14">
      <c r="A19" t="s">
        <v>1123</v>
      </c>
      <c r="B19" t="s">
        <v>965</v>
      </c>
      <c r="C19" t="s">
        <v>967</v>
      </c>
      <c r="D19" t="s">
        <v>967</v>
      </c>
      <c r="E19">
        <v>20</v>
      </c>
      <c r="F19">
        <v>1</v>
      </c>
      <c r="G19">
        <v>6</v>
      </c>
      <c r="H19" t="s">
        <v>969</v>
      </c>
      <c r="I19" t="s">
        <v>532</v>
      </c>
      <c r="J19" t="s">
        <v>935</v>
      </c>
      <c r="K19" t="s">
        <v>1216</v>
      </c>
      <c r="L19" t="s">
        <v>1197</v>
      </c>
      <c r="M19" t="s">
        <v>86</v>
      </c>
      <c r="N19" t="s">
        <v>1115</v>
      </c>
    </row>
    <row r="20" spans="1:14">
      <c r="A20" t="s">
        <v>1123</v>
      </c>
      <c r="B20" t="s">
        <v>992</v>
      </c>
      <c r="C20" t="s">
        <v>994</v>
      </c>
      <c r="D20" t="s">
        <v>994</v>
      </c>
      <c r="E20">
        <v>20</v>
      </c>
      <c r="F20">
        <v>1</v>
      </c>
      <c r="G20">
        <v>6</v>
      </c>
      <c r="H20" t="s">
        <v>996</v>
      </c>
      <c r="I20" t="s">
        <v>532</v>
      </c>
      <c r="J20" t="s">
        <v>935</v>
      </c>
      <c r="K20" t="s">
        <v>1217</v>
      </c>
      <c r="L20" t="s">
        <v>1197</v>
      </c>
      <c r="M20" t="s">
        <v>86</v>
      </c>
      <c r="N20" t="s">
        <v>1115</v>
      </c>
    </row>
    <row r="21" spans="1:14">
      <c r="A21" t="s">
        <v>1123</v>
      </c>
      <c r="B21" t="s">
        <v>526</v>
      </c>
      <c r="C21" t="s">
        <v>1103</v>
      </c>
      <c r="D21" t="s">
        <v>528</v>
      </c>
      <c r="E21">
        <v>20</v>
      </c>
      <c r="F21">
        <v>1</v>
      </c>
      <c r="G21">
        <v>6</v>
      </c>
      <c r="H21" t="s">
        <v>530</v>
      </c>
      <c r="I21" t="s">
        <v>532</v>
      </c>
      <c r="J21" t="s">
        <v>86</v>
      </c>
      <c r="K21" t="s">
        <v>1218</v>
      </c>
      <c r="L21" t="s">
        <v>1197</v>
      </c>
      <c r="M21" t="s">
        <v>86</v>
      </c>
      <c r="N21" t="s">
        <v>1115</v>
      </c>
    </row>
    <row r="22" spans="1:14">
      <c r="A22" t="s">
        <v>1123</v>
      </c>
      <c r="B22" t="s">
        <v>545</v>
      </c>
      <c r="C22" t="s">
        <v>546</v>
      </c>
      <c r="D22" t="s">
        <v>546</v>
      </c>
      <c r="E22">
        <v>20</v>
      </c>
      <c r="F22">
        <v>1</v>
      </c>
      <c r="G22">
        <v>6</v>
      </c>
      <c r="H22" t="s">
        <v>549</v>
      </c>
      <c r="I22" t="s">
        <v>532</v>
      </c>
      <c r="J22" t="s">
        <v>86</v>
      </c>
      <c r="K22" t="s">
        <v>1219</v>
      </c>
      <c r="L22" t="s">
        <v>1197</v>
      </c>
      <c r="M22" t="s">
        <v>86</v>
      </c>
      <c r="N22" t="s">
        <v>1115</v>
      </c>
    </row>
    <row r="23" spans="1:14">
      <c r="A23" t="s">
        <v>1123</v>
      </c>
      <c r="B23" t="s">
        <v>601</v>
      </c>
      <c r="C23" t="s">
        <v>603</v>
      </c>
      <c r="D23" t="s">
        <v>603</v>
      </c>
      <c r="E23">
        <v>20</v>
      </c>
      <c r="F23">
        <v>1</v>
      </c>
      <c r="G23">
        <v>6</v>
      </c>
      <c r="H23" t="s">
        <v>605</v>
      </c>
      <c r="I23" t="s">
        <v>532</v>
      </c>
      <c r="J23" t="s">
        <v>86</v>
      </c>
      <c r="K23" t="s">
        <v>1220</v>
      </c>
      <c r="L23" t="s">
        <v>1197</v>
      </c>
      <c r="M23" t="s">
        <v>86</v>
      </c>
      <c r="N23" t="s">
        <v>1115</v>
      </c>
    </row>
    <row r="24" spans="1:14">
      <c r="A24" t="s">
        <v>1123</v>
      </c>
      <c r="B24" t="s">
        <v>641</v>
      </c>
      <c r="C24" t="s">
        <v>643</v>
      </c>
      <c r="D24" t="s">
        <v>643</v>
      </c>
      <c r="E24">
        <v>20</v>
      </c>
      <c r="F24">
        <v>1</v>
      </c>
      <c r="G24">
        <v>6</v>
      </c>
      <c r="H24" t="s">
        <v>645</v>
      </c>
      <c r="I24" t="s">
        <v>532</v>
      </c>
      <c r="J24" t="s">
        <v>86</v>
      </c>
      <c r="K24" t="s">
        <v>1221</v>
      </c>
      <c r="L24" t="s">
        <v>1197</v>
      </c>
      <c r="M24" t="s">
        <v>86</v>
      </c>
      <c r="N24" t="s">
        <v>1115</v>
      </c>
    </row>
    <row r="25" spans="1:14">
      <c r="A25" t="s">
        <v>1123</v>
      </c>
      <c r="B25" t="s">
        <v>678</v>
      </c>
      <c r="C25" t="s">
        <v>680</v>
      </c>
      <c r="D25" t="s">
        <v>680</v>
      </c>
      <c r="E25">
        <v>20</v>
      </c>
      <c r="F25">
        <v>2</v>
      </c>
      <c r="G25">
        <v>6</v>
      </c>
      <c r="H25" t="s">
        <v>683</v>
      </c>
      <c r="I25" t="s">
        <v>532</v>
      </c>
      <c r="J25" t="s">
        <v>443</v>
      </c>
      <c r="K25" t="s">
        <v>1222</v>
      </c>
      <c r="L25" t="s">
        <v>1197</v>
      </c>
      <c r="M25" t="s">
        <v>86</v>
      </c>
      <c r="N25" t="s">
        <v>1115</v>
      </c>
    </row>
    <row r="26" spans="1:14">
      <c r="A26" t="s">
        <v>1123</v>
      </c>
      <c r="B26" t="s">
        <v>720</v>
      </c>
      <c r="C26" t="s">
        <v>6</v>
      </c>
      <c r="D26" t="s">
        <v>6</v>
      </c>
      <c r="E26">
        <v>20</v>
      </c>
      <c r="F26">
        <v>2</v>
      </c>
      <c r="G26">
        <v>6</v>
      </c>
      <c r="H26" t="s">
        <v>724</v>
      </c>
      <c r="I26" t="s">
        <v>532</v>
      </c>
      <c r="J26" t="s">
        <v>86</v>
      </c>
      <c r="K26" t="s">
        <v>1223</v>
      </c>
      <c r="L26" t="s">
        <v>1197</v>
      </c>
      <c r="M26" t="s">
        <v>86</v>
      </c>
      <c r="N26" t="s">
        <v>1115</v>
      </c>
    </row>
    <row r="27" spans="1:14">
      <c r="A27" t="s">
        <v>1123</v>
      </c>
      <c r="B27" t="s">
        <v>756</v>
      </c>
      <c r="C27" t="s">
        <v>757</v>
      </c>
      <c r="D27" t="s">
        <v>757</v>
      </c>
      <c r="E27">
        <v>20</v>
      </c>
      <c r="F27">
        <v>2</v>
      </c>
      <c r="G27">
        <v>6</v>
      </c>
      <c r="H27" t="s">
        <v>760</v>
      </c>
      <c r="I27" t="s">
        <v>532</v>
      </c>
      <c r="J27" t="s">
        <v>86</v>
      </c>
      <c r="K27" t="s">
        <v>1224</v>
      </c>
      <c r="L27" t="s">
        <v>1197</v>
      </c>
      <c r="M27" t="s">
        <v>86</v>
      </c>
      <c r="N27" t="s">
        <v>1115</v>
      </c>
    </row>
    <row r="28" spans="1:14">
      <c r="A28" t="s">
        <v>1123</v>
      </c>
      <c r="B28" t="s">
        <v>803</v>
      </c>
      <c r="C28" t="s">
        <v>805</v>
      </c>
      <c r="D28" t="s">
        <v>805</v>
      </c>
      <c r="E28">
        <v>20</v>
      </c>
      <c r="F28">
        <v>1</v>
      </c>
      <c r="G28">
        <v>6</v>
      </c>
      <c r="H28" t="s">
        <v>808</v>
      </c>
      <c r="I28" t="s">
        <v>532</v>
      </c>
      <c r="J28" t="s">
        <v>86</v>
      </c>
      <c r="K28" t="s">
        <v>1225</v>
      </c>
      <c r="L28" t="s">
        <v>1197</v>
      </c>
      <c r="M28" t="s">
        <v>86</v>
      </c>
      <c r="N28" t="s">
        <v>1115</v>
      </c>
    </row>
    <row r="29" spans="1:14">
      <c r="A29" t="s">
        <v>1123</v>
      </c>
      <c r="B29" t="s">
        <v>840</v>
      </c>
      <c r="C29" t="s">
        <v>1105</v>
      </c>
      <c r="D29" t="s">
        <v>842</v>
      </c>
      <c r="E29">
        <v>20</v>
      </c>
      <c r="F29" t="s">
        <v>843</v>
      </c>
      <c r="G29">
        <v>6</v>
      </c>
      <c r="H29" t="s">
        <v>845</v>
      </c>
      <c r="I29" t="s">
        <v>85</v>
      </c>
      <c r="J29" t="s">
        <v>86</v>
      </c>
      <c r="K29" t="s">
        <v>1226</v>
      </c>
      <c r="L29" t="s">
        <v>1197</v>
      </c>
      <c r="M29" t="s">
        <v>86</v>
      </c>
      <c r="N29" t="s">
        <v>1115</v>
      </c>
    </row>
  </sheetData>
  <pageMargins left="0.7" right="0.7" top="0.75" bottom="0.75" header="0.3" footer="0.3"/>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CD1138-D14A-45A0-8E10-7F4B452464FD}">
  <sheetPr codeName="Sheet33"/>
  <dimension ref="A1:K313"/>
  <sheetViews>
    <sheetView workbookViewId="0">
      <selection sqref="A1:K286"/>
    </sheetView>
  </sheetViews>
  <sheetFormatPr defaultColWidth="8.85546875" defaultRowHeight="15"/>
  <cols>
    <col min="1" max="1" width="49" bestFit="1" customWidth="1"/>
    <col min="2" max="2" width="16.85546875" bestFit="1" customWidth="1"/>
    <col min="3" max="3" width="17.42578125" bestFit="1" customWidth="1"/>
    <col min="4" max="4" width="13.42578125" bestFit="1" customWidth="1"/>
    <col min="5" max="5" width="42.42578125" bestFit="1" customWidth="1"/>
    <col min="6" max="6" width="38" bestFit="1" customWidth="1"/>
    <col min="7" max="7" width="14.85546875" bestFit="1" customWidth="1"/>
    <col min="8" max="8" width="12.7109375" bestFit="1" customWidth="1"/>
    <col min="9" max="9" width="24.42578125" bestFit="1" customWidth="1"/>
    <col min="10" max="10" width="12.140625" bestFit="1" customWidth="1"/>
    <col min="11" max="11" width="65.42578125" bestFit="1" customWidth="1"/>
  </cols>
  <sheetData>
    <row r="1" spans="1:11">
      <c r="A1" t="s">
        <v>1109</v>
      </c>
      <c r="B1" t="s">
        <v>1111</v>
      </c>
      <c r="C1" t="s">
        <v>34</v>
      </c>
      <c r="D1" t="s">
        <v>26</v>
      </c>
      <c r="E1" t="s">
        <v>48</v>
      </c>
      <c r="F1" t="s">
        <v>49</v>
      </c>
      <c r="G1" t="s">
        <v>1080</v>
      </c>
      <c r="H1" t="s">
        <v>1195</v>
      </c>
      <c r="I1" t="s">
        <v>1110</v>
      </c>
      <c r="J1" t="s">
        <v>1112</v>
      </c>
      <c r="K1" t="s">
        <v>1081</v>
      </c>
    </row>
    <row r="2" spans="1:11">
      <c r="A2" t="s">
        <v>1123</v>
      </c>
      <c r="B2" t="s">
        <v>1227</v>
      </c>
      <c r="C2" t="s">
        <v>40</v>
      </c>
      <c r="D2" t="s">
        <v>28</v>
      </c>
      <c r="E2" t="s">
        <v>100</v>
      </c>
      <c r="F2" t="s">
        <v>101</v>
      </c>
      <c r="G2" t="s">
        <v>80</v>
      </c>
      <c r="H2" t="s">
        <v>1228</v>
      </c>
      <c r="I2" t="s">
        <v>86</v>
      </c>
      <c r="J2" t="s">
        <v>1115</v>
      </c>
      <c r="K2" t="s">
        <v>1092</v>
      </c>
    </row>
    <row r="3" spans="1:11">
      <c r="A3" t="s">
        <v>1123</v>
      </c>
      <c r="B3" t="s">
        <v>1227</v>
      </c>
      <c r="C3" t="s">
        <v>40</v>
      </c>
      <c r="D3" t="s">
        <v>28</v>
      </c>
      <c r="E3" t="s">
        <v>102</v>
      </c>
      <c r="F3" t="s">
        <v>103</v>
      </c>
      <c r="G3" t="s">
        <v>80</v>
      </c>
      <c r="H3" t="s">
        <v>1228</v>
      </c>
      <c r="I3" t="s">
        <v>86</v>
      </c>
      <c r="J3" t="s">
        <v>1115</v>
      </c>
      <c r="K3" t="s">
        <v>1092</v>
      </c>
    </row>
    <row r="4" spans="1:11">
      <c r="A4" t="s">
        <v>1123</v>
      </c>
      <c r="B4" t="s">
        <v>1227</v>
      </c>
      <c r="C4" t="s">
        <v>40</v>
      </c>
      <c r="D4" t="s">
        <v>28</v>
      </c>
      <c r="E4" t="s">
        <v>55</v>
      </c>
      <c r="F4" t="s">
        <v>56</v>
      </c>
      <c r="G4" t="s">
        <v>80</v>
      </c>
      <c r="H4" t="s">
        <v>1228</v>
      </c>
      <c r="I4" t="s">
        <v>86</v>
      </c>
      <c r="J4" t="s">
        <v>1115</v>
      </c>
      <c r="K4" t="s">
        <v>1092</v>
      </c>
    </row>
    <row r="5" spans="1:11">
      <c r="A5" t="s">
        <v>1123</v>
      </c>
      <c r="B5" t="s">
        <v>1227</v>
      </c>
      <c r="C5" t="s">
        <v>44</v>
      </c>
      <c r="D5" t="s">
        <v>29</v>
      </c>
      <c r="E5" t="s">
        <v>55</v>
      </c>
      <c r="F5" t="s">
        <v>104</v>
      </c>
      <c r="G5" t="s">
        <v>80</v>
      </c>
      <c r="H5" t="s">
        <v>1228</v>
      </c>
      <c r="I5" t="s">
        <v>86</v>
      </c>
      <c r="J5" t="s">
        <v>1115</v>
      </c>
      <c r="K5" t="s">
        <v>1092</v>
      </c>
    </row>
    <row r="6" spans="1:11">
      <c r="A6" t="s">
        <v>1123</v>
      </c>
      <c r="B6" t="s">
        <v>1227</v>
      </c>
      <c r="C6" t="s">
        <v>44</v>
      </c>
      <c r="D6" t="s">
        <v>30</v>
      </c>
      <c r="E6" t="s">
        <v>100</v>
      </c>
      <c r="F6" t="s">
        <v>105</v>
      </c>
      <c r="G6" t="s">
        <v>80</v>
      </c>
      <c r="H6" t="s">
        <v>1228</v>
      </c>
      <c r="I6" t="s">
        <v>86</v>
      </c>
      <c r="J6" t="s">
        <v>1115</v>
      </c>
      <c r="K6" t="s">
        <v>1092</v>
      </c>
    </row>
    <row r="7" spans="1:11">
      <c r="A7" t="s">
        <v>1123</v>
      </c>
      <c r="B7" t="s">
        <v>1227</v>
      </c>
      <c r="C7" t="s">
        <v>44</v>
      </c>
      <c r="D7" t="s">
        <v>30</v>
      </c>
      <c r="E7" t="s">
        <v>106</v>
      </c>
      <c r="F7" t="s">
        <v>107</v>
      </c>
      <c r="G7" t="s">
        <v>80</v>
      </c>
      <c r="H7" t="s">
        <v>1228</v>
      </c>
      <c r="I7" t="s">
        <v>86</v>
      </c>
      <c r="J7" t="s">
        <v>1115</v>
      </c>
      <c r="K7" t="s">
        <v>1092</v>
      </c>
    </row>
    <row r="8" spans="1:11">
      <c r="A8" t="s">
        <v>1123</v>
      </c>
      <c r="B8" t="s">
        <v>1229</v>
      </c>
      <c r="C8" t="s">
        <v>40</v>
      </c>
      <c r="D8" t="s">
        <v>28</v>
      </c>
      <c r="E8" t="s">
        <v>50</v>
      </c>
      <c r="F8" t="s">
        <v>51</v>
      </c>
      <c r="G8" t="s">
        <v>141</v>
      </c>
      <c r="H8" t="s">
        <v>1228</v>
      </c>
      <c r="I8" t="s">
        <v>86</v>
      </c>
      <c r="J8" t="s">
        <v>1115</v>
      </c>
      <c r="K8" t="s">
        <v>143</v>
      </c>
    </row>
    <row r="9" spans="1:11">
      <c r="A9" t="s">
        <v>1123</v>
      </c>
      <c r="B9" t="s">
        <v>1229</v>
      </c>
      <c r="C9" t="s">
        <v>40</v>
      </c>
      <c r="D9" t="s">
        <v>28</v>
      </c>
      <c r="E9" t="s">
        <v>50</v>
      </c>
      <c r="F9" t="s">
        <v>52</v>
      </c>
      <c r="G9" t="s">
        <v>141</v>
      </c>
      <c r="H9" t="s">
        <v>1228</v>
      </c>
      <c r="I9" t="s">
        <v>86</v>
      </c>
      <c r="J9" t="s">
        <v>1115</v>
      </c>
      <c r="K9" t="s">
        <v>143</v>
      </c>
    </row>
    <row r="10" spans="1:11">
      <c r="A10" t="s">
        <v>1123</v>
      </c>
      <c r="B10" t="s">
        <v>1229</v>
      </c>
      <c r="C10" t="s">
        <v>40</v>
      </c>
      <c r="D10" t="s">
        <v>29</v>
      </c>
      <c r="E10" t="s">
        <v>50</v>
      </c>
      <c r="F10" t="s">
        <v>51</v>
      </c>
      <c r="G10" t="s">
        <v>141</v>
      </c>
      <c r="H10" t="s">
        <v>1228</v>
      </c>
      <c r="I10" t="s">
        <v>86</v>
      </c>
      <c r="J10" t="s">
        <v>1115</v>
      </c>
      <c r="K10" t="s">
        <v>143</v>
      </c>
    </row>
    <row r="11" spans="1:11">
      <c r="A11" t="s">
        <v>1123</v>
      </c>
      <c r="B11" t="s">
        <v>1229</v>
      </c>
      <c r="C11" t="s">
        <v>44</v>
      </c>
      <c r="D11" t="s">
        <v>29</v>
      </c>
      <c r="E11" t="s">
        <v>55</v>
      </c>
      <c r="F11" t="s">
        <v>56</v>
      </c>
      <c r="G11" t="s">
        <v>141</v>
      </c>
      <c r="H11" t="s">
        <v>1228</v>
      </c>
      <c r="I11" t="s">
        <v>86</v>
      </c>
      <c r="J11" t="s">
        <v>1115</v>
      </c>
      <c r="K11" t="s">
        <v>143</v>
      </c>
    </row>
    <row r="12" spans="1:11">
      <c r="A12" t="s">
        <v>1123</v>
      </c>
      <c r="B12" t="s">
        <v>1229</v>
      </c>
      <c r="C12" t="s">
        <v>44</v>
      </c>
      <c r="D12" t="s">
        <v>29</v>
      </c>
      <c r="E12" t="s">
        <v>57</v>
      </c>
      <c r="F12" t="s">
        <v>58</v>
      </c>
      <c r="G12" t="s">
        <v>141</v>
      </c>
      <c r="H12" t="s">
        <v>1228</v>
      </c>
      <c r="I12" t="s">
        <v>86</v>
      </c>
      <c r="J12" t="s">
        <v>1115</v>
      </c>
      <c r="K12" t="s">
        <v>143</v>
      </c>
    </row>
    <row r="13" spans="1:11">
      <c r="A13" t="s">
        <v>1123</v>
      </c>
      <c r="B13" t="s">
        <v>1229</v>
      </c>
      <c r="C13" t="s">
        <v>44</v>
      </c>
      <c r="D13" t="s">
        <v>29</v>
      </c>
      <c r="E13" t="s">
        <v>53</v>
      </c>
      <c r="F13" t="s">
        <v>161</v>
      </c>
      <c r="G13" t="s">
        <v>141</v>
      </c>
      <c r="H13" t="s">
        <v>1228</v>
      </c>
      <c r="I13" t="s">
        <v>86</v>
      </c>
      <c r="J13" t="s">
        <v>1115</v>
      </c>
      <c r="K13" t="s">
        <v>143</v>
      </c>
    </row>
    <row r="14" spans="1:11">
      <c r="A14" t="s">
        <v>1123</v>
      </c>
      <c r="B14" t="s">
        <v>1229</v>
      </c>
      <c r="C14" t="s">
        <v>45</v>
      </c>
      <c r="D14" t="s">
        <v>29</v>
      </c>
      <c r="E14" t="s">
        <v>162</v>
      </c>
      <c r="F14" t="s">
        <v>163</v>
      </c>
      <c r="G14" t="s">
        <v>141</v>
      </c>
      <c r="H14" t="s">
        <v>1228</v>
      </c>
      <c r="I14" t="s">
        <v>86</v>
      </c>
      <c r="J14" t="s">
        <v>1115</v>
      </c>
      <c r="K14" t="s">
        <v>143</v>
      </c>
    </row>
    <row r="15" spans="1:11">
      <c r="A15" t="s">
        <v>1123</v>
      </c>
      <c r="B15" t="s">
        <v>1229</v>
      </c>
      <c r="C15" t="s">
        <v>45</v>
      </c>
      <c r="D15" t="s">
        <v>29</v>
      </c>
      <c r="E15" t="s">
        <v>162</v>
      </c>
      <c r="F15" t="s">
        <v>164</v>
      </c>
      <c r="G15" t="s">
        <v>141</v>
      </c>
      <c r="H15" t="s">
        <v>1228</v>
      </c>
      <c r="I15" t="s">
        <v>86</v>
      </c>
      <c r="J15" t="s">
        <v>1115</v>
      </c>
      <c r="K15" t="s">
        <v>143</v>
      </c>
    </row>
    <row r="16" spans="1:11">
      <c r="A16" t="s">
        <v>1123</v>
      </c>
      <c r="B16" t="s">
        <v>1229</v>
      </c>
      <c r="C16" t="s">
        <v>45</v>
      </c>
      <c r="D16" t="s">
        <v>29</v>
      </c>
      <c r="E16" t="s">
        <v>55</v>
      </c>
      <c r="F16" t="s">
        <v>56</v>
      </c>
      <c r="G16" t="s">
        <v>141</v>
      </c>
      <c r="H16" t="s">
        <v>1228</v>
      </c>
      <c r="I16" t="s">
        <v>86</v>
      </c>
      <c r="J16" t="s">
        <v>1115</v>
      </c>
      <c r="K16" t="s">
        <v>143</v>
      </c>
    </row>
    <row r="17" spans="1:11">
      <c r="A17" t="s">
        <v>1123</v>
      </c>
      <c r="B17" t="s">
        <v>1229</v>
      </c>
      <c r="C17" t="s">
        <v>46</v>
      </c>
      <c r="D17" t="s">
        <v>29</v>
      </c>
      <c r="E17" t="s">
        <v>106</v>
      </c>
      <c r="G17" t="s">
        <v>141</v>
      </c>
      <c r="H17" t="s">
        <v>1228</v>
      </c>
      <c r="I17" t="s">
        <v>86</v>
      </c>
      <c r="J17" t="s">
        <v>1115</v>
      </c>
      <c r="K17" t="s">
        <v>143</v>
      </c>
    </row>
    <row r="18" spans="1:11">
      <c r="A18" t="s">
        <v>1123</v>
      </c>
      <c r="B18" t="s">
        <v>1229</v>
      </c>
      <c r="C18" t="s">
        <v>46</v>
      </c>
      <c r="D18" t="s">
        <v>29</v>
      </c>
      <c r="E18" t="s">
        <v>100</v>
      </c>
      <c r="F18" t="s">
        <v>101</v>
      </c>
      <c r="G18" t="s">
        <v>141</v>
      </c>
      <c r="H18" t="s">
        <v>1228</v>
      </c>
      <c r="I18" t="s">
        <v>86</v>
      </c>
      <c r="J18" t="s">
        <v>1115</v>
      </c>
      <c r="K18" t="s">
        <v>143</v>
      </c>
    </row>
    <row r="19" spans="1:11">
      <c r="A19" t="s">
        <v>1123</v>
      </c>
      <c r="B19" t="s">
        <v>1230</v>
      </c>
      <c r="C19" t="s">
        <v>40</v>
      </c>
      <c r="D19" t="s">
        <v>28</v>
      </c>
      <c r="E19" t="s">
        <v>50</v>
      </c>
      <c r="F19" t="s">
        <v>51</v>
      </c>
      <c r="G19" t="s">
        <v>178</v>
      </c>
      <c r="H19" t="s">
        <v>1228</v>
      </c>
      <c r="I19" t="s">
        <v>86</v>
      </c>
      <c r="J19" t="s">
        <v>1115</v>
      </c>
      <c r="K19" t="s">
        <v>179</v>
      </c>
    </row>
    <row r="20" spans="1:11">
      <c r="A20" t="s">
        <v>1123</v>
      </c>
      <c r="B20" t="s">
        <v>1230</v>
      </c>
      <c r="C20" t="s">
        <v>40</v>
      </c>
      <c r="D20" t="s">
        <v>28</v>
      </c>
      <c r="E20" t="s">
        <v>50</v>
      </c>
      <c r="F20" t="s">
        <v>52</v>
      </c>
      <c r="G20" t="s">
        <v>178</v>
      </c>
      <c r="H20" t="s">
        <v>1228</v>
      </c>
      <c r="I20" t="s">
        <v>86</v>
      </c>
      <c r="J20" t="s">
        <v>1115</v>
      </c>
      <c r="K20" t="s">
        <v>179</v>
      </c>
    </row>
    <row r="21" spans="1:11">
      <c r="A21" t="s">
        <v>1123</v>
      </c>
      <c r="B21" t="s">
        <v>1230</v>
      </c>
      <c r="C21" t="s">
        <v>40</v>
      </c>
      <c r="D21" t="s">
        <v>29</v>
      </c>
      <c r="E21" t="s">
        <v>57</v>
      </c>
      <c r="F21" t="s">
        <v>58</v>
      </c>
      <c r="G21" t="s">
        <v>178</v>
      </c>
      <c r="H21" t="s">
        <v>1228</v>
      </c>
      <c r="I21" t="s">
        <v>86</v>
      </c>
      <c r="J21" t="s">
        <v>1115</v>
      </c>
      <c r="K21" t="s">
        <v>179</v>
      </c>
    </row>
    <row r="22" spans="1:11">
      <c r="A22" t="s">
        <v>1123</v>
      </c>
      <c r="B22" t="s">
        <v>1230</v>
      </c>
      <c r="C22" t="s">
        <v>40</v>
      </c>
      <c r="D22" t="s">
        <v>29</v>
      </c>
      <c r="E22" t="s">
        <v>53</v>
      </c>
      <c r="F22" t="s">
        <v>161</v>
      </c>
      <c r="G22" t="s">
        <v>178</v>
      </c>
      <c r="H22" t="s">
        <v>1228</v>
      </c>
      <c r="I22" t="s">
        <v>86</v>
      </c>
      <c r="J22" t="s">
        <v>1115</v>
      </c>
      <c r="K22" t="s">
        <v>179</v>
      </c>
    </row>
    <row r="23" spans="1:11">
      <c r="A23" t="s">
        <v>1123</v>
      </c>
      <c r="B23" t="s">
        <v>1230</v>
      </c>
      <c r="C23" t="s">
        <v>40</v>
      </c>
      <c r="D23" t="s">
        <v>28</v>
      </c>
      <c r="E23" t="s">
        <v>162</v>
      </c>
      <c r="F23" t="s">
        <v>164</v>
      </c>
      <c r="G23" t="s">
        <v>178</v>
      </c>
      <c r="H23" t="s">
        <v>1228</v>
      </c>
      <c r="I23" t="s">
        <v>86</v>
      </c>
      <c r="J23" t="s">
        <v>1115</v>
      </c>
      <c r="K23" t="s">
        <v>179</v>
      </c>
    </row>
    <row r="24" spans="1:11">
      <c r="A24" t="s">
        <v>1123</v>
      </c>
      <c r="B24" t="s">
        <v>1230</v>
      </c>
      <c r="C24" t="s">
        <v>40</v>
      </c>
      <c r="D24" t="s">
        <v>29</v>
      </c>
      <c r="E24" t="s">
        <v>100</v>
      </c>
      <c r="F24" t="s">
        <v>101</v>
      </c>
      <c r="G24" t="s">
        <v>178</v>
      </c>
      <c r="H24" t="s">
        <v>1228</v>
      </c>
      <c r="I24" t="s">
        <v>86</v>
      </c>
      <c r="J24" t="s">
        <v>1115</v>
      </c>
      <c r="K24" t="s">
        <v>179</v>
      </c>
    </row>
    <row r="25" spans="1:11">
      <c r="A25" t="s">
        <v>1123</v>
      </c>
      <c r="B25" t="s">
        <v>1230</v>
      </c>
      <c r="C25" t="s">
        <v>44</v>
      </c>
      <c r="D25" t="s">
        <v>28</v>
      </c>
      <c r="E25" t="s">
        <v>50</v>
      </c>
      <c r="F25" t="s">
        <v>51</v>
      </c>
      <c r="G25" t="s">
        <v>178</v>
      </c>
      <c r="H25" t="s">
        <v>1228</v>
      </c>
      <c r="I25" t="s">
        <v>86</v>
      </c>
      <c r="J25" t="s">
        <v>1115</v>
      </c>
      <c r="K25" t="s">
        <v>179</v>
      </c>
    </row>
    <row r="26" spans="1:11">
      <c r="A26" t="s">
        <v>1123</v>
      </c>
      <c r="B26" t="s">
        <v>1230</v>
      </c>
      <c r="C26" t="s">
        <v>44</v>
      </c>
      <c r="D26" t="s">
        <v>28</v>
      </c>
      <c r="E26" t="s">
        <v>50</v>
      </c>
      <c r="F26" t="s">
        <v>52</v>
      </c>
      <c r="G26" t="s">
        <v>178</v>
      </c>
      <c r="H26" t="s">
        <v>1228</v>
      </c>
      <c r="I26" t="s">
        <v>86</v>
      </c>
      <c r="J26" t="s">
        <v>1115</v>
      </c>
      <c r="K26" t="s">
        <v>179</v>
      </c>
    </row>
    <row r="27" spans="1:11">
      <c r="A27" t="s">
        <v>1123</v>
      </c>
      <c r="B27" t="s">
        <v>1230</v>
      </c>
      <c r="C27" t="s">
        <v>44</v>
      </c>
      <c r="D27" t="s">
        <v>29</v>
      </c>
      <c r="E27" t="s">
        <v>57</v>
      </c>
      <c r="F27" t="s">
        <v>58</v>
      </c>
      <c r="G27" t="s">
        <v>178</v>
      </c>
      <c r="H27" t="s">
        <v>1228</v>
      </c>
      <c r="I27" t="s">
        <v>86</v>
      </c>
      <c r="J27" t="s">
        <v>1115</v>
      </c>
      <c r="K27" t="s">
        <v>179</v>
      </c>
    </row>
    <row r="28" spans="1:11">
      <c r="A28" t="s">
        <v>1123</v>
      </c>
      <c r="B28" t="s">
        <v>1230</v>
      </c>
      <c r="C28" t="s">
        <v>44</v>
      </c>
      <c r="D28" t="s">
        <v>29</v>
      </c>
      <c r="E28" t="s">
        <v>53</v>
      </c>
      <c r="F28" t="s">
        <v>161</v>
      </c>
      <c r="G28" t="s">
        <v>178</v>
      </c>
      <c r="H28" t="s">
        <v>1228</v>
      </c>
      <c r="I28" t="s">
        <v>86</v>
      </c>
      <c r="J28" t="s">
        <v>1115</v>
      </c>
      <c r="K28" t="s">
        <v>179</v>
      </c>
    </row>
    <row r="29" spans="1:11">
      <c r="A29" t="s">
        <v>1123</v>
      </c>
      <c r="B29" t="s">
        <v>1230</v>
      </c>
      <c r="C29" t="s">
        <v>44</v>
      </c>
      <c r="D29" t="s">
        <v>28</v>
      </c>
      <c r="E29" t="s">
        <v>162</v>
      </c>
      <c r="F29" t="s">
        <v>164</v>
      </c>
      <c r="G29" t="s">
        <v>178</v>
      </c>
      <c r="H29" t="s">
        <v>1228</v>
      </c>
      <c r="I29" t="s">
        <v>86</v>
      </c>
      <c r="J29" t="s">
        <v>1115</v>
      </c>
      <c r="K29" t="s">
        <v>179</v>
      </c>
    </row>
    <row r="30" spans="1:11">
      <c r="A30" t="s">
        <v>1123</v>
      </c>
      <c r="B30" t="s">
        <v>1230</v>
      </c>
      <c r="C30" t="s">
        <v>44</v>
      </c>
      <c r="D30" t="s">
        <v>29</v>
      </c>
      <c r="E30" t="s">
        <v>100</v>
      </c>
      <c r="F30" t="s">
        <v>101</v>
      </c>
      <c r="G30" t="s">
        <v>178</v>
      </c>
      <c r="H30" t="s">
        <v>1228</v>
      </c>
      <c r="I30" t="s">
        <v>86</v>
      </c>
      <c r="J30" t="s">
        <v>1115</v>
      </c>
      <c r="K30" t="s">
        <v>179</v>
      </c>
    </row>
    <row r="31" spans="1:11">
      <c r="A31" t="s">
        <v>1123</v>
      </c>
      <c r="B31" t="s">
        <v>1231</v>
      </c>
      <c r="C31" t="s">
        <v>40</v>
      </c>
      <c r="D31" t="s">
        <v>28</v>
      </c>
      <c r="E31" t="s">
        <v>50</v>
      </c>
      <c r="F31" t="s">
        <v>52</v>
      </c>
      <c r="G31" t="s">
        <v>217</v>
      </c>
      <c r="H31" t="s">
        <v>1228</v>
      </c>
      <c r="I31" t="s">
        <v>86</v>
      </c>
      <c r="J31" t="s">
        <v>1115</v>
      </c>
      <c r="K31" t="s">
        <v>1091</v>
      </c>
    </row>
    <row r="32" spans="1:11">
      <c r="A32" t="s">
        <v>1123</v>
      </c>
      <c r="B32" t="s">
        <v>1231</v>
      </c>
      <c r="C32" t="s">
        <v>40</v>
      </c>
      <c r="D32" t="s">
        <v>28</v>
      </c>
      <c r="E32" t="s">
        <v>50</v>
      </c>
      <c r="F32" t="s">
        <v>239</v>
      </c>
      <c r="G32" t="s">
        <v>217</v>
      </c>
      <c r="H32" t="s">
        <v>1228</v>
      </c>
      <c r="I32" t="s">
        <v>86</v>
      </c>
      <c r="J32" t="s">
        <v>1115</v>
      </c>
      <c r="K32" t="s">
        <v>1091</v>
      </c>
    </row>
    <row r="33" spans="1:11">
      <c r="A33" t="s">
        <v>1123</v>
      </c>
      <c r="B33" t="s">
        <v>1231</v>
      </c>
      <c r="C33" t="s">
        <v>40</v>
      </c>
      <c r="D33" t="s">
        <v>29</v>
      </c>
      <c r="E33" t="s">
        <v>57</v>
      </c>
      <c r="F33" t="s">
        <v>240</v>
      </c>
      <c r="G33" t="s">
        <v>217</v>
      </c>
      <c r="H33" t="s">
        <v>1228</v>
      </c>
      <c r="I33" t="s">
        <v>86</v>
      </c>
      <c r="J33" t="s">
        <v>1115</v>
      </c>
      <c r="K33" t="s">
        <v>1091</v>
      </c>
    </row>
    <row r="34" spans="1:11">
      <c r="A34" t="s">
        <v>1123</v>
      </c>
      <c r="B34" t="s">
        <v>1231</v>
      </c>
      <c r="C34" t="s">
        <v>40</v>
      </c>
      <c r="D34" t="s">
        <v>29</v>
      </c>
      <c r="E34" t="s">
        <v>162</v>
      </c>
      <c r="F34" t="s">
        <v>164</v>
      </c>
      <c r="G34" t="s">
        <v>217</v>
      </c>
      <c r="H34" t="s">
        <v>1228</v>
      </c>
      <c r="I34" t="s">
        <v>86</v>
      </c>
      <c r="J34" t="s">
        <v>1115</v>
      </c>
      <c r="K34" t="s">
        <v>1091</v>
      </c>
    </row>
    <row r="35" spans="1:11">
      <c r="A35" t="s">
        <v>1123</v>
      </c>
      <c r="B35" t="s">
        <v>1231</v>
      </c>
      <c r="C35" t="s">
        <v>40</v>
      </c>
      <c r="D35" t="s">
        <v>29</v>
      </c>
      <c r="E35" t="s">
        <v>55</v>
      </c>
      <c r="F35" t="s">
        <v>241</v>
      </c>
      <c r="G35" t="s">
        <v>217</v>
      </c>
      <c r="H35" t="s">
        <v>1228</v>
      </c>
      <c r="I35" t="s">
        <v>86</v>
      </c>
      <c r="J35" t="s">
        <v>1115</v>
      </c>
      <c r="K35" t="s">
        <v>1091</v>
      </c>
    </row>
    <row r="36" spans="1:11">
      <c r="A36" t="s">
        <v>1123</v>
      </c>
      <c r="B36" t="s">
        <v>1231</v>
      </c>
      <c r="C36" t="s">
        <v>40</v>
      </c>
      <c r="D36" t="s">
        <v>30</v>
      </c>
      <c r="E36" t="s">
        <v>100</v>
      </c>
      <c r="F36" t="s">
        <v>101</v>
      </c>
      <c r="G36" t="s">
        <v>217</v>
      </c>
      <c r="H36" t="s">
        <v>1228</v>
      </c>
      <c r="I36" t="s">
        <v>86</v>
      </c>
      <c r="J36" t="s">
        <v>1115</v>
      </c>
      <c r="K36" t="s">
        <v>1091</v>
      </c>
    </row>
    <row r="37" spans="1:11">
      <c r="A37" t="s">
        <v>1123</v>
      </c>
      <c r="B37" t="s">
        <v>1231</v>
      </c>
      <c r="C37" t="s">
        <v>44</v>
      </c>
      <c r="D37" t="s">
        <v>28</v>
      </c>
      <c r="E37" t="s">
        <v>50</v>
      </c>
      <c r="F37" t="s">
        <v>52</v>
      </c>
      <c r="G37" t="s">
        <v>217</v>
      </c>
      <c r="H37" t="s">
        <v>1228</v>
      </c>
      <c r="I37" t="s">
        <v>86</v>
      </c>
      <c r="J37" t="s">
        <v>1115</v>
      </c>
      <c r="K37" t="s">
        <v>1091</v>
      </c>
    </row>
    <row r="38" spans="1:11">
      <c r="A38" t="s">
        <v>1123</v>
      </c>
      <c r="B38" t="s">
        <v>1231</v>
      </c>
      <c r="C38" t="s">
        <v>44</v>
      </c>
      <c r="D38" t="s">
        <v>29</v>
      </c>
      <c r="E38" t="s">
        <v>50</v>
      </c>
      <c r="F38" t="s">
        <v>52</v>
      </c>
      <c r="G38" t="s">
        <v>217</v>
      </c>
      <c r="H38" t="s">
        <v>1228</v>
      </c>
      <c r="I38" t="s">
        <v>86</v>
      </c>
      <c r="J38" t="s">
        <v>1115</v>
      </c>
      <c r="K38" t="s">
        <v>1091</v>
      </c>
    </row>
    <row r="39" spans="1:11">
      <c r="A39" t="s">
        <v>1123</v>
      </c>
      <c r="B39" t="s">
        <v>1231</v>
      </c>
      <c r="C39" t="s">
        <v>44</v>
      </c>
      <c r="D39" t="s">
        <v>29</v>
      </c>
      <c r="E39" t="s">
        <v>50</v>
      </c>
      <c r="F39" t="s">
        <v>239</v>
      </c>
      <c r="G39" t="s">
        <v>217</v>
      </c>
      <c r="H39" t="s">
        <v>1228</v>
      </c>
      <c r="I39" t="s">
        <v>86</v>
      </c>
      <c r="J39" t="s">
        <v>1115</v>
      </c>
      <c r="K39" t="s">
        <v>1091</v>
      </c>
    </row>
    <row r="40" spans="1:11">
      <c r="A40" t="s">
        <v>1123</v>
      </c>
      <c r="B40" t="s">
        <v>1231</v>
      </c>
      <c r="C40" t="s">
        <v>44</v>
      </c>
      <c r="D40" t="s">
        <v>30</v>
      </c>
      <c r="E40" t="s">
        <v>53</v>
      </c>
      <c r="F40" t="s">
        <v>242</v>
      </c>
      <c r="G40" t="s">
        <v>217</v>
      </c>
      <c r="H40" t="s">
        <v>1228</v>
      </c>
      <c r="I40" t="s">
        <v>86</v>
      </c>
      <c r="J40" t="s">
        <v>1115</v>
      </c>
      <c r="K40" t="s">
        <v>1091</v>
      </c>
    </row>
    <row r="41" spans="1:11">
      <c r="A41" t="s">
        <v>1123</v>
      </c>
      <c r="B41" t="s">
        <v>1232</v>
      </c>
      <c r="C41" t="s">
        <v>40</v>
      </c>
      <c r="D41" t="s">
        <v>28</v>
      </c>
      <c r="E41" t="s">
        <v>50</v>
      </c>
      <c r="F41" t="s">
        <v>51</v>
      </c>
      <c r="G41" t="s">
        <v>279</v>
      </c>
      <c r="H41" t="s">
        <v>1228</v>
      </c>
      <c r="I41" t="s">
        <v>86</v>
      </c>
      <c r="J41" t="s">
        <v>1115</v>
      </c>
      <c r="K41" t="s">
        <v>281</v>
      </c>
    </row>
    <row r="42" spans="1:11">
      <c r="A42" t="s">
        <v>1123</v>
      </c>
      <c r="B42" t="s">
        <v>1232</v>
      </c>
      <c r="C42" t="s">
        <v>40</v>
      </c>
      <c r="D42" t="s">
        <v>28</v>
      </c>
      <c r="E42" t="s">
        <v>53</v>
      </c>
      <c r="F42" t="s">
        <v>161</v>
      </c>
      <c r="G42" t="s">
        <v>279</v>
      </c>
      <c r="H42" t="s">
        <v>1228</v>
      </c>
      <c r="I42" t="s">
        <v>86</v>
      </c>
      <c r="J42" t="s">
        <v>1115</v>
      </c>
      <c r="K42" t="s">
        <v>281</v>
      </c>
    </row>
    <row r="43" spans="1:11">
      <c r="A43" t="s">
        <v>1123</v>
      </c>
      <c r="B43" t="s">
        <v>1232</v>
      </c>
      <c r="C43" t="s">
        <v>44</v>
      </c>
      <c r="D43" t="s">
        <v>29</v>
      </c>
      <c r="E43" t="s">
        <v>50</v>
      </c>
      <c r="F43" t="s">
        <v>304</v>
      </c>
      <c r="G43" t="s">
        <v>279</v>
      </c>
      <c r="H43" t="s">
        <v>1228</v>
      </c>
      <c r="I43" t="s">
        <v>86</v>
      </c>
      <c r="J43" t="s">
        <v>1115</v>
      </c>
      <c r="K43" t="s">
        <v>281</v>
      </c>
    </row>
    <row r="44" spans="1:11">
      <c r="A44" t="s">
        <v>1123</v>
      </c>
      <c r="B44" t="s">
        <v>1232</v>
      </c>
      <c r="C44" t="s">
        <v>44</v>
      </c>
      <c r="D44" t="s">
        <v>29</v>
      </c>
      <c r="E44" t="s">
        <v>55</v>
      </c>
      <c r="F44" t="s">
        <v>305</v>
      </c>
      <c r="G44" t="s">
        <v>279</v>
      </c>
      <c r="H44" t="s">
        <v>1228</v>
      </c>
      <c r="I44" t="s">
        <v>86</v>
      </c>
      <c r="J44" t="s">
        <v>1115</v>
      </c>
      <c r="K44" t="s">
        <v>281</v>
      </c>
    </row>
    <row r="45" spans="1:11">
      <c r="A45" t="s">
        <v>1123</v>
      </c>
      <c r="B45" t="s">
        <v>1232</v>
      </c>
      <c r="C45" t="s">
        <v>44</v>
      </c>
      <c r="D45" t="s">
        <v>29</v>
      </c>
      <c r="E45" t="s">
        <v>57</v>
      </c>
      <c r="F45" t="s">
        <v>240</v>
      </c>
      <c r="G45" t="s">
        <v>279</v>
      </c>
      <c r="H45" t="s">
        <v>1228</v>
      </c>
      <c r="I45" t="s">
        <v>86</v>
      </c>
      <c r="J45" t="s">
        <v>1115</v>
      </c>
      <c r="K45" t="s">
        <v>281</v>
      </c>
    </row>
    <row r="46" spans="1:11">
      <c r="A46" t="s">
        <v>1123</v>
      </c>
      <c r="B46" t="s">
        <v>1232</v>
      </c>
      <c r="C46" t="s">
        <v>44</v>
      </c>
      <c r="D46" t="s">
        <v>29</v>
      </c>
      <c r="E46" t="s">
        <v>53</v>
      </c>
      <c r="F46" t="s">
        <v>161</v>
      </c>
      <c r="G46" t="s">
        <v>279</v>
      </c>
      <c r="H46" t="s">
        <v>1228</v>
      </c>
      <c r="I46" t="s">
        <v>86</v>
      </c>
      <c r="J46" t="s">
        <v>1115</v>
      </c>
      <c r="K46" t="s">
        <v>281</v>
      </c>
    </row>
    <row r="47" spans="1:11">
      <c r="A47" t="s">
        <v>1123</v>
      </c>
      <c r="B47" t="s">
        <v>1232</v>
      </c>
      <c r="C47" t="s">
        <v>44</v>
      </c>
      <c r="D47" t="s">
        <v>29</v>
      </c>
      <c r="E47" t="s">
        <v>106</v>
      </c>
      <c r="F47" t="s">
        <v>306</v>
      </c>
      <c r="G47" t="s">
        <v>279</v>
      </c>
      <c r="H47" t="s">
        <v>1228</v>
      </c>
      <c r="I47" t="s">
        <v>86</v>
      </c>
      <c r="J47" t="s">
        <v>1115</v>
      </c>
      <c r="K47" t="s">
        <v>281</v>
      </c>
    </row>
    <row r="48" spans="1:11">
      <c r="A48" t="s">
        <v>1123</v>
      </c>
      <c r="B48" t="s">
        <v>1232</v>
      </c>
      <c r="C48" t="s">
        <v>44</v>
      </c>
      <c r="D48" t="s">
        <v>29</v>
      </c>
      <c r="E48" t="s">
        <v>106</v>
      </c>
      <c r="F48" t="s">
        <v>307</v>
      </c>
      <c r="G48" t="s">
        <v>279</v>
      </c>
      <c r="H48" t="s">
        <v>1228</v>
      </c>
      <c r="I48" t="s">
        <v>86</v>
      </c>
      <c r="J48" t="s">
        <v>1115</v>
      </c>
      <c r="K48" t="s">
        <v>281</v>
      </c>
    </row>
    <row r="49" spans="1:11">
      <c r="A49" t="s">
        <v>1123</v>
      </c>
      <c r="B49" t="s">
        <v>1232</v>
      </c>
      <c r="C49" t="s">
        <v>44</v>
      </c>
      <c r="D49" t="s">
        <v>29</v>
      </c>
      <c r="E49" t="s">
        <v>106</v>
      </c>
      <c r="F49" t="s">
        <v>308</v>
      </c>
      <c r="G49" t="s">
        <v>279</v>
      </c>
      <c r="H49" t="s">
        <v>1228</v>
      </c>
      <c r="I49" t="s">
        <v>86</v>
      </c>
      <c r="J49" t="s">
        <v>1115</v>
      </c>
      <c r="K49" t="s">
        <v>281</v>
      </c>
    </row>
    <row r="50" spans="1:11">
      <c r="A50" t="s">
        <v>1123</v>
      </c>
      <c r="B50" t="s">
        <v>1232</v>
      </c>
      <c r="C50" t="s">
        <v>44</v>
      </c>
      <c r="D50" t="s">
        <v>29</v>
      </c>
      <c r="E50" t="s">
        <v>106</v>
      </c>
      <c r="F50" t="s">
        <v>309</v>
      </c>
      <c r="G50" t="s">
        <v>279</v>
      </c>
      <c r="H50" t="s">
        <v>1228</v>
      </c>
      <c r="I50" t="s">
        <v>86</v>
      </c>
      <c r="J50" t="s">
        <v>1115</v>
      </c>
      <c r="K50" t="s">
        <v>281</v>
      </c>
    </row>
    <row r="51" spans="1:11">
      <c r="A51" t="s">
        <v>1123</v>
      </c>
      <c r="B51" t="s">
        <v>1232</v>
      </c>
      <c r="C51" t="s">
        <v>44</v>
      </c>
      <c r="D51" t="s">
        <v>29</v>
      </c>
      <c r="E51" t="s">
        <v>310</v>
      </c>
      <c r="F51" t="s">
        <v>311</v>
      </c>
      <c r="G51" t="s">
        <v>279</v>
      </c>
      <c r="H51" t="s">
        <v>1228</v>
      </c>
      <c r="I51" t="s">
        <v>86</v>
      </c>
      <c r="J51" t="s">
        <v>1115</v>
      </c>
      <c r="K51" t="s">
        <v>281</v>
      </c>
    </row>
    <row r="52" spans="1:11">
      <c r="A52" t="s">
        <v>1123</v>
      </c>
      <c r="B52" t="s">
        <v>1232</v>
      </c>
      <c r="C52" t="s">
        <v>44</v>
      </c>
      <c r="D52" t="s">
        <v>30</v>
      </c>
      <c r="E52" t="s">
        <v>50</v>
      </c>
      <c r="F52" t="s">
        <v>304</v>
      </c>
      <c r="G52" t="s">
        <v>279</v>
      </c>
      <c r="H52" t="s">
        <v>1228</v>
      </c>
      <c r="I52" t="s">
        <v>86</v>
      </c>
      <c r="J52" t="s">
        <v>1115</v>
      </c>
      <c r="K52" t="s">
        <v>281</v>
      </c>
    </row>
    <row r="53" spans="1:11">
      <c r="A53" t="s">
        <v>1123</v>
      </c>
      <c r="B53" t="s">
        <v>1232</v>
      </c>
      <c r="C53" t="s">
        <v>44</v>
      </c>
      <c r="D53" t="s">
        <v>30</v>
      </c>
      <c r="E53" t="s">
        <v>55</v>
      </c>
      <c r="F53" t="s">
        <v>305</v>
      </c>
      <c r="G53" t="s">
        <v>279</v>
      </c>
      <c r="H53" t="s">
        <v>1228</v>
      </c>
      <c r="I53" t="s">
        <v>86</v>
      </c>
      <c r="J53" t="s">
        <v>1115</v>
      </c>
      <c r="K53" t="s">
        <v>281</v>
      </c>
    </row>
    <row r="54" spans="1:11">
      <c r="A54" t="s">
        <v>1123</v>
      </c>
      <c r="B54" t="s">
        <v>1232</v>
      </c>
      <c r="C54" t="s">
        <v>44</v>
      </c>
      <c r="D54" t="s">
        <v>30</v>
      </c>
      <c r="E54" t="s">
        <v>57</v>
      </c>
      <c r="F54" t="s">
        <v>240</v>
      </c>
      <c r="G54" t="s">
        <v>279</v>
      </c>
      <c r="H54" t="s">
        <v>1228</v>
      </c>
      <c r="I54" t="s">
        <v>86</v>
      </c>
      <c r="J54" t="s">
        <v>1115</v>
      </c>
      <c r="K54" t="s">
        <v>281</v>
      </c>
    </row>
    <row r="55" spans="1:11">
      <c r="A55" t="s">
        <v>1123</v>
      </c>
      <c r="B55" t="s">
        <v>1232</v>
      </c>
      <c r="C55" t="s">
        <v>44</v>
      </c>
      <c r="D55" t="s">
        <v>30</v>
      </c>
      <c r="E55" t="s">
        <v>53</v>
      </c>
      <c r="F55" t="s">
        <v>161</v>
      </c>
      <c r="G55" t="s">
        <v>279</v>
      </c>
      <c r="H55" t="s">
        <v>1228</v>
      </c>
      <c r="I55" t="s">
        <v>86</v>
      </c>
      <c r="J55" t="s">
        <v>1115</v>
      </c>
      <c r="K55" t="s">
        <v>281</v>
      </c>
    </row>
    <row r="56" spans="1:11">
      <c r="A56" t="s">
        <v>1123</v>
      </c>
      <c r="B56" t="s">
        <v>1232</v>
      </c>
      <c r="C56" t="s">
        <v>44</v>
      </c>
      <c r="D56" t="s">
        <v>30</v>
      </c>
      <c r="E56" t="s">
        <v>106</v>
      </c>
      <c r="F56" t="s">
        <v>306</v>
      </c>
      <c r="G56" t="s">
        <v>279</v>
      </c>
      <c r="H56" t="s">
        <v>1228</v>
      </c>
      <c r="I56" t="s">
        <v>86</v>
      </c>
      <c r="J56" t="s">
        <v>1115</v>
      </c>
      <c r="K56" t="s">
        <v>281</v>
      </c>
    </row>
    <row r="57" spans="1:11">
      <c r="A57" t="s">
        <v>1123</v>
      </c>
      <c r="B57" t="s">
        <v>1232</v>
      </c>
      <c r="C57" t="s">
        <v>44</v>
      </c>
      <c r="D57" t="s">
        <v>30</v>
      </c>
      <c r="E57" t="s">
        <v>106</v>
      </c>
      <c r="F57" t="s">
        <v>307</v>
      </c>
      <c r="G57" t="s">
        <v>279</v>
      </c>
      <c r="H57" t="s">
        <v>1228</v>
      </c>
      <c r="I57" t="s">
        <v>86</v>
      </c>
      <c r="J57" t="s">
        <v>1115</v>
      </c>
      <c r="K57" t="s">
        <v>281</v>
      </c>
    </row>
    <row r="58" spans="1:11">
      <c r="A58" t="s">
        <v>1123</v>
      </c>
      <c r="B58" t="s">
        <v>1232</v>
      </c>
      <c r="C58" t="s">
        <v>44</v>
      </c>
      <c r="D58" t="s">
        <v>30</v>
      </c>
      <c r="E58" t="s">
        <v>106</v>
      </c>
      <c r="F58" t="s">
        <v>308</v>
      </c>
      <c r="G58" t="s">
        <v>279</v>
      </c>
      <c r="H58" t="s">
        <v>1228</v>
      </c>
      <c r="I58" t="s">
        <v>86</v>
      </c>
      <c r="J58" t="s">
        <v>1115</v>
      </c>
      <c r="K58" t="s">
        <v>281</v>
      </c>
    </row>
    <row r="59" spans="1:11">
      <c r="A59" t="s">
        <v>1123</v>
      </c>
      <c r="B59" t="s">
        <v>1232</v>
      </c>
      <c r="C59" t="s">
        <v>44</v>
      </c>
      <c r="D59" t="s">
        <v>30</v>
      </c>
      <c r="E59" t="s">
        <v>106</v>
      </c>
      <c r="F59" t="s">
        <v>309</v>
      </c>
      <c r="G59" t="s">
        <v>279</v>
      </c>
      <c r="H59" t="s">
        <v>1228</v>
      </c>
      <c r="I59" t="s">
        <v>86</v>
      </c>
      <c r="J59" t="s">
        <v>1115</v>
      </c>
      <c r="K59" t="s">
        <v>281</v>
      </c>
    </row>
    <row r="60" spans="1:11">
      <c r="A60" t="s">
        <v>1123</v>
      </c>
      <c r="B60" t="s">
        <v>1232</v>
      </c>
      <c r="C60" t="s">
        <v>44</v>
      </c>
      <c r="D60" t="s">
        <v>30</v>
      </c>
      <c r="E60" t="s">
        <v>310</v>
      </c>
      <c r="F60" t="s">
        <v>311</v>
      </c>
      <c r="G60" t="s">
        <v>279</v>
      </c>
      <c r="H60" t="s">
        <v>1228</v>
      </c>
      <c r="I60" t="s">
        <v>86</v>
      </c>
      <c r="J60" t="s">
        <v>1115</v>
      </c>
      <c r="K60" t="s">
        <v>281</v>
      </c>
    </row>
    <row r="61" spans="1:11">
      <c r="A61" t="s">
        <v>1123</v>
      </c>
      <c r="B61" t="s">
        <v>1233</v>
      </c>
      <c r="C61" t="s">
        <v>40</v>
      </c>
      <c r="D61" t="s">
        <v>28</v>
      </c>
      <c r="E61" t="s">
        <v>50</v>
      </c>
      <c r="F61" t="s">
        <v>51</v>
      </c>
      <c r="G61" t="s">
        <v>339</v>
      </c>
      <c r="H61" t="s">
        <v>1228</v>
      </c>
      <c r="I61" t="s">
        <v>86</v>
      </c>
      <c r="J61" t="s">
        <v>1115</v>
      </c>
      <c r="K61" t="s">
        <v>341</v>
      </c>
    </row>
    <row r="62" spans="1:11">
      <c r="A62" t="s">
        <v>1123</v>
      </c>
      <c r="B62" t="s">
        <v>1233</v>
      </c>
      <c r="C62" t="s">
        <v>40</v>
      </c>
      <c r="D62" t="s">
        <v>28</v>
      </c>
      <c r="E62" t="s">
        <v>50</v>
      </c>
      <c r="F62" t="s">
        <v>52</v>
      </c>
      <c r="G62" t="s">
        <v>339</v>
      </c>
      <c r="H62" t="s">
        <v>1228</v>
      </c>
      <c r="I62" t="s">
        <v>86</v>
      </c>
      <c r="J62" t="s">
        <v>1115</v>
      </c>
      <c r="K62" t="s">
        <v>341</v>
      </c>
    </row>
    <row r="63" spans="1:11">
      <c r="A63" t="s">
        <v>1123</v>
      </c>
      <c r="B63" t="s">
        <v>1233</v>
      </c>
      <c r="C63" t="s">
        <v>40</v>
      </c>
      <c r="D63" t="s">
        <v>28</v>
      </c>
      <c r="E63" t="s">
        <v>53</v>
      </c>
      <c r="F63" t="s">
        <v>54</v>
      </c>
      <c r="G63" t="s">
        <v>339</v>
      </c>
      <c r="H63" t="s">
        <v>1228</v>
      </c>
      <c r="I63" t="s">
        <v>86</v>
      </c>
      <c r="J63" t="s">
        <v>1115</v>
      </c>
      <c r="K63" t="s">
        <v>341</v>
      </c>
    </row>
    <row r="64" spans="1:11">
      <c r="A64" t="s">
        <v>1123</v>
      </c>
      <c r="B64" t="s">
        <v>1233</v>
      </c>
      <c r="C64" t="s">
        <v>40</v>
      </c>
      <c r="D64" t="s">
        <v>29</v>
      </c>
      <c r="E64" t="s">
        <v>55</v>
      </c>
      <c r="F64" t="s">
        <v>56</v>
      </c>
      <c r="G64" t="s">
        <v>339</v>
      </c>
      <c r="H64" t="s">
        <v>1228</v>
      </c>
      <c r="I64" t="s">
        <v>86</v>
      </c>
      <c r="J64" t="s">
        <v>1115</v>
      </c>
      <c r="K64" t="s">
        <v>341</v>
      </c>
    </row>
    <row r="65" spans="1:11">
      <c r="A65" t="s">
        <v>1123</v>
      </c>
      <c r="B65" t="s">
        <v>1233</v>
      </c>
      <c r="C65" t="s">
        <v>40</v>
      </c>
      <c r="D65" t="s">
        <v>29</v>
      </c>
      <c r="E65" t="s">
        <v>57</v>
      </c>
      <c r="F65" t="s">
        <v>58</v>
      </c>
      <c r="G65" t="s">
        <v>339</v>
      </c>
      <c r="H65" t="s">
        <v>1228</v>
      </c>
      <c r="I65" t="s">
        <v>86</v>
      </c>
      <c r="J65" t="s">
        <v>1115</v>
      </c>
      <c r="K65" t="s">
        <v>341</v>
      </c>
    </row>
    <row r="66" spans="1:11">
      <c r="A66" t="s">
        <v>1123</v>
      </c>
      <c r="B66" t="s">
        <v>1233</v>
      </c>
      <c r="C66" t="s">
        <v>40</v>
      </c>
      <c r="D66" t="s">
        <v>30</v>
      </c>
      <c r="E66" t="s">
        <v>162</v>
      </c>
      <c r="F66" t="s">
        <v>164</v>
      </c>
      <c r="G66" t="s">
        <v>339</v>
      </c>
      <c r="H66" t="s">
        <v>1228</v>
      </c>
      <c r="I66" t="s">
        <v>86</v>
      </c>
      <c r="J66" t="s">
        <v>1115</v>
      </c>
      <c r="K66" t="s">
        <v>341</v>
      </c>
    </row>
    <row r="67" spans="1:11">
      <c r="A67" t="s">
        <v>1123</v>
      </c>
      <c r="B67" t="s">
        <v>1233</v>
      </c>
      <c r="C67" t="s">
        <v>44</v>
      </c>
      <c r="D67" t="s">
        <v>29</v>
      </c>
      <c r="E67" t="s">
        <v>50</v>
      </c>
      <c r="F67" t="s">
        <v>52</v>
      </c>
      <c r="G67" t="s">
        <v>339</v>
      </c>
      <c r="H67" t="s">
        <v>1228</v>
      </c>
      <c r="I67" t="s">
        <v>86</v>
      </c>
      <c r="J67" t="s">
        <v>1115</v>
      </c>
      <c r="K67" t="s">
        <v>341</v>
      </c>
    </row>
    <row r="68" spans="1:11">
      <c r="A68" t="s">
        <v>1123</v>
      </c>
      <c r="B68" t="s">
        <v>1233</v>
      </c>
      <c r="C68" t="s">
        <v>44</v>
      </c>
      <c r="D68" t="s">
        <v>29</v>
      </c>
      <c r="E68" t="s">
        <v>53</v>
      </c>
      <c r="F68" t="s">
        <v>54</v>
      </c>
      <c r="G68" t="s">
        <v>339</v>
      </c>
      <c r="H68" t="s">
        <v>1228</v>
      </c>
      <c r="I68" t="s">
        <v>86</v>
      </c>
      <c r="J68" t="s">
        <v>1115</v>
      </c>
      <c r="K68" t="s">
        <v>341</v>
      </c>
    </row>
    <row r="69" spans="1:11">
      <c r="A69" t="s">
        <v>1123</v>
      </c>
      <c r="B69" t="s">
        <v>1233</v>
      </c>
      <c r="C69" t="s">
        <v>44</v>
      </c>
      <c r="D69" t="s">
        <v>30</v>
      </c>
      <c r="E69" t="s">
        <v>162</v>
      </c>
      <c r="F69" t="s">
        <v>163</v>
      </c>
      <c r="G69" t="s">
        <v>339</v>
      </c>
      <c r="H69" t="s">
        <v>1228</v>
      </c>
      <c r="I69" t="s">
        <v>86</v>
      </c>
      <c r="J69" t="s">
        <v>1115</v>
      </c>
      <c r="K69" t="s">
        <v>341</v>
      </c>
    </row>
    <row r="70" spans="1:11">
      <c r="A70" t="s">
        <v>1123</v>
      </c>
      <c r="B70" t="s">
        <v>1233</v>
      </c>
      <c r="C70" t="s">
        <v>44</v>
      </c>
      <c r="D70" t="s">
        <v>30</v>
      </c>
      <c r="E70" t="s">
        <v>55</v>
      </c>
      <c r="F70" t="s">
        <v>359</v>
      </c>
      <c r="G70" t="s">
        <v>339</v>
      </c>
      <c r="H70" t="s">
        <v>1228</v>
      </c>
      <c r="I70" t="s">
        <v>86</v>
      </c>
      <c r="J70" t="s">
        <v>1115</v>
      </c>
      <c r="K70" t="s">
        <v>341</v>
      </c>
    </row>
    <row r="71" spans="1:11">
      <c r="A71" t="s">
        <v>1123</v>
      </c>
      <c r="B71" t="s">
        <v>1234</v>
      </c>
      <c r="C71" t="s">
        <v>40</v>
      </c>
      <c r="D71" t="s">
        <v>28</v>
      </c>
      <c r="E71" t="s">
        <v>50</v>
      </c>
      <c r="F71" t="s">
        <v>52</v>
      </c>
      <c r="G71" t="s">
        <v>473</v>
      </c>
      <c r="H71" t="s">
        <v>1228</v>
      </c>
      <c r="I71" t="s">
        <v>86</v>
      </c>
      <c r="J71" t="s">
        <v>1115</v>
      </c>
      <c r="K71" t="s">
        <v>474</v>
      </c>
    </row>
    <row r="72" spans="1:11">
      <c r="A72" t="s">
        <v>1123</v>
      </c>
      <c r="B72" t="s">
        <v>1234</v>
      </c>
      <c r="C72" t="s">
        <v>40</v>
      </c>
      <c r="D72" t="s">
        <v>28</v>
      </c>
      <c r="E72" t="s">
        <v>50</v>
      </c>
      <c r="F72" t="s">
        <v>239</v>
      </c>
      <c r="G72" t="s">
        <v>473</v>
      </c>
      <c r="H72" t="s">
        <v>1228</v>
      </c>
      <c r="I72" t="s">
        <v>86</v>
      </c>
      <c r="J72" t="s">
        <v>1115</v>
      </c>
      <c r="K72" t="s">
        <v>474</v>
      </c>
    </row>
    <row r="73" spans="1:11">
      <c r="A73" t="s">
        <v>1123</v>
      </c>
      <c r="B73" t="s">
        <v>1234</v>
      </c>
      <c r="C73" t="s">
        <v>40</v>
      </c>
      <c r="D73" t="s">
        <v>28</v>
      </c>
      <c r="E73" t="s">
        <v>57</v>
      </c>
      <c r="F73" t="s">
        <v>78</v>
      </c>
      <c r="G73" t="s">
        <v>473</v>
      </c>
      <c r="H73" t="s">
        <v>1228</v>
      </c>
      <c r="I73" t="s">
        <v>86</v>
      </c>
      <c r="J73" t="s">
        <v>1115</v>
      </c>
      <c r="K73" t="s">
        <v>474</v>
      </c>
    </row>
    <row r="74" spans="1:11">
      <c r="A74" t="s">
        <v>1123</v>
      </c>
      <c r="B74" t="s">
        <v>1234</v>
      </c>
      <c r="C74" t="s">
        <v>40</v>
      </c>
      <c r="D74" t="s">
        <v>28</v>
      </c>
      <c r="E74" t="s">
        <v>162</v>
      </c>
      <c r="F74" t="s">
        <v>164</v>
      </c>
      <c r="G74" t="s">
        <v>473</v>
      </c>
      <c r="H74" t="s">
        <v>1228</v>
      </c>
      <c r="I74" t="s">
        <v>86</v>
      </c>
      <c r="J74" t="s">
        <v>1115</v>
      </c>
      <c r="K74" t="s">
        <v>474</v>
      </c>
    </row>
    <row r="75" spans="1:11">
      <c r="A75" t="s">
        <v>1123</v>
      </c>
      <c r="B75" t="s">
        <v>1234</v>
      </c>
      <c r="C75" t="s">
        <v>40</v>
      </c>
      <c r="D75" t="s">
        <v>28</v>
      </c>
      <c r="E75" t="s">
        <v>55</v>
      </c>
      <c r="F75" t="s">
        <v>359</v>
      </c>
      <c r="G75" t="s">
        <v>473</v>
      </c>
      <c r="H75" t="s">
        <v>1228</v>
      </c>
      <c r="I75" t="s">
        <v>86</v>
      </c>
      <c r="J75" t="s">
        <v>1115</v>
      </c>
      <c r="K75" t="s">
        <v>474</v>
      </c>
    </row>
    <row r="76" spans="1:11">
      <c r="A76" t="s">
        <v>1123</v>
      </c>
      <c r="B76" t="s">
        <v>1234</v>
      </c>
      <c r="C76" t="s">
        <v>44</v>
      </c>
      <c r="D76" t="s">
        <v>29</v>
      </c>
      <c r="E76" t="s">
        <v>50</v>
      </c>
      <c r="F76" t="s">
        <v>491</v>
      </c>
      <c r="G76" t="s">
        <v>473</v>
      </c>
      <c r="H76" t="s">
        <v>1228</v>
      </c>
      <c r="I76" t="s">
        <v>86</v>
      </c>
      <c r="J76" t="s">
        <v>1115</v>
      </c>
      <c r="K76" t="s">
        <v>474</v>
      </c>
    </row>
    <row r="77" spans="1:11">
      <c r="A77" t="s">
        <v>1123</v>
      </c>
      <c r="B77" t="s">
        <v>1234</v>
      </c>
      <c r="C77" t="s">
        <v>44</v>
      </c>
      <c r="D77" t="s">
        <v>29</v>
      </c>
      <c r="E77" t="s">
        <v>55</v>
      </c>
      <c r="F77" t="s">
        <v>56</v>
      </c>
      <c r="G77" t="s">
        <v>473</v>
      </c>
      <c r="H77" t="s">
        <v>1228</v>
      </c>
      <c r="I77" t="s">
        <v>86</v>
      </c>
      <c r="J77" t="s">
        <v>1115</v>
      </c>
      <c r="K77" t="s">
        <v>474</v>
      </c>
    </row>
    <row r="78" spans="1:11">
      <c r="A78" t="s">
        <v>1123</v>
      </c>
      <c r="B78" t="s">
        <v>1234</v>
      </c>
      <c r="C78" t="s">
        <v>44</v>
      </c>
      <c r="D78" t="s">
        <v>29</v>
      </c>
      <c r="E78" t="s">
        <v>55</v>
      </c>
      <c r="F78" t="s">
        <v>492</v>
      </c>
      <c r="G78" t="s">
        <v>473</v>
      </c>
      <c r="H78" t="s">
        <v>1228</v>
      </c>
      <c r="I78" t="s">
        <v>86</v>
      </c>
      <c r="J78" t="s">
        <v>1115</v>
      </c>
      <c r="K78" t="s">
        <v>474</v>
      </c>
    </row>
    <row r="79" spans="1:11">
      <c r="A79" t="s">
        <v>1123</v>
      </c>
      <c r="B79" t="s">
        <v>1234</v>
      </c>
      <c r="C79" t="s">
        <v>44</v>
      </c>
      <c r="D79" t="s">
        <v>29</v>
      </c>
      <c r="E79" t="s">
        <v>106</v>
      </c>
      <c r="F79" t="s">
        <v>306</v>
      </c>
      <c r="G79" t="s">
        <v>473</v>
      </c>
      <c r="H79" t="s">
        <v>1228</v>
      </c>
      <c r="I79" t="s">
        <v>86</v>
      </c>
      <c r="J79" t="s">
        <v>1115</v>
      </c>
      <c r="K79" t="s">
        <v>474</v>
      </c>
    </row>
    <row r="80" spans="1:11">
      <c r="A80" t="s">
        <v>1123</v>
      </c>
      <c r="B80" t="s">
        <v>1234</v>
      </c>
      <c r="C80" t="s">
        <v>44</v>
      </c>
      <c r="D80" t="s">
        <v>29</v>
      </c>
      <c r="E80" t="s">
        <v>162</v>
      </c>
      <c r="F80" t="s">
        <v>493</v>
      </c>
      <c r="G80" t="s">
        <v>473</v>
      </c>
      <c r="H80" t="s">
        <v>1228</v>
      </c>
      <c r="I80" t="s">
        <v>86</v>
      </c>
      <c r="J80" t="s">
        <v>1115</v>
      </c>
      <c r="K80" t="s">
        <v>474</v>
      </c>
    </row>
    <row r="81" spans="1:11">
      <c r="A81" t="s">
        <v>1123</v>
      </c>
      <c r="B81" t="s">
        <v>1235</v>
      </c>
      <c r="C81" t="s">
        <v>40</v>
      </c>
      <c r="D81" t="s">
        <v>28</v>
      </c>
      <c r="E81" t="s">
        <v>50</v>
      </c>
      <c r="F81" t="s">
        <v>239</v>
      </c>
      <c r="G81" t="s">
        <v>368</v>
      </c>
      <c r="H81" t="s">
        <v>1228</v>
      </c>
      <c r="I81" t="s">
        <v>86</v>
      </c>
      <c r="J81" t="s">
        <v>1115</v>
      </c>
      <c r="K81" t="s">
        <v>370</v>
      </c>
    </row>
    <row r="82" spans="1:11">
      <c r="A82" t="s">
        <v>1123</v>
      </c>
      <c r="B82" t="s">
        <v>1235</v>
      </c>
      <c r="C82" t="s">
        <v>40</v>
      </c>
      <c r="D82" t="s">
        <v>28</v>
      </c>
      <c r="E82" t="s">
        <v>57</v>
      </c>
      <c r="F82" t="s">
        <v>78</v>
      </c>
      <c r="G82" t="s">
        <v>368</v>
      </c>
      <c r="H82" t="s">
        <v>1228</v>
      </c>
      <c r="I82" t="s">
        <v>86</v>
      </c>
      <c r="J82" t="s">
        <v>1115</v>
      </c>
      <c r="K82" t="s">
        <v>370</v>
      </c>
    </row>
    <row r="83" spans="1:11">
      <c r="A83" t="s">
        <v>1123</v>
      </c>
      <c r="B83" t="s">
        <v>1235</v>
      </c>
      <c r="C83" t="s">
        <v>40</v>
      </c>
      <c r="D83" t="s">
        <v>29</v>
      </c>
      <c r="E83" t="s">
        <v>100</v>
      </c>
      <c r="F83" t="s">
        <v>101</v>
      </c>
      <c r="G83" t="s">
        <v>368</v>
      </c>
      <c r="H83" t="s">
        <v>1228</v>
      </c>
      <c r="I83" t="s">
        <v>86</v>
      </c>
      <c r="J83" t="s">
        <v>1115</v>
      </c>
      <c r="K83" t="s">
        <v>370</v>
      </c>
    </row>
    <row r="84" spans="1:11">
      <c r="A84" t="s">
        <v>1123</v>
      </c>
      <c r="B84" t="s">
        <v>1235</v>
      </c>
      <c r="C84" t="s">
        <v>40</v>
      </c>
      <c r="D84" t="s">
        <v>29</v>
      </c>
      <c r="E84" t="s">
        <v>100</v>
      </c>
      <c r="F84" t="s">
        <v>382</v>
      </c>
      <c r="G84" t="s">
        <v>368</v>
      </c>
      <c r="H84" t="s">
        <v>1228</v>
      </c>
      <c r="I84" t="s">
        <v>86</v>
      </c>
      <c r="J84" t="s">
        <v>1115</v>
      </c>
      <c r="K84" t="s">
        <v>370</v>
      </c>
    </row>
    <row r="85" spans="1:11">
      <c r="A85" t="s">
        <v>1123</v>
      </c>
      <c r="B85" t="s">
        <v>1235</v>
      </c>
      <c r="C85" t="s">
        <v>40</v>
      </c>
      <c r="D85" t="s">
        <v>30</v>
      </c>
      <c r="E85" t="s">
        <v>53</v>
      </c>
      <c r="F85" t="s">
        <v>54</v>
      </c>
      <c r="G85" t="s">
        <v>368</v>
      </c>
      <c r="H85" t="s">
        <v>1228</v>
      </c>
      <c r="I85" t="s">
        <v>86</v>
      </c>
      <c r="J85" t="s">
        <v>1115</v>
      </c>
      <c r="K85" t="s">
        <v>370</v>
      </c>
    </row>
    <row r="86" spans="1:11">
      <c r="A86" t="s">
        <v>1123</v>
      </c>
      <c r="B86" t="s">
        <v>1235</v>
      </c>
      <c r="C86" t="s">
        <v>44</v>
      </c>
      <c r="D86" t="s">
        <v>30</v>
      </c>
      <c r="E86" t="s">
        <v>162</v>
      </c>
      <c r="F86" t="s">
        <v>383</v>
      </c>
      <c r="G86" t="s">
        <v>368</v>
      </c>
      <c r="H86" t="s">
        <v>1228</v>
      </c>
      <c r="I86" t="s">
        <v>86</v>
      </c>
      <c r="J86" t="s">
        <v>1115</v>
      </c>
      <c r="K86" t="s">
        <v>370</v>
      </c>
    </row>
    <row r="87" spans="1:11">
      <c r="A87" t="s">
        <v>1123</v>
      </c>
      <c r="B87" t="s">
        <v>1235</v>
      </c>
      <c r="C87" t="s">
        <v>44</v>
      </c>
      <c r="D87" t="s">
        <v>28</v>
      </c>
      <c r="E87" t="s">
        <v>55</v>
      </c>
      <c r="F87" t="s">
        <v>56</v>
      </c>
      <c r="G87" t="s">
        <v>368</v>
      </c>
      <c r="H87" t="s">
        <v>1228</v>
      </c>
      <c r="I87" t="s">
        <v>86</v>
      </c>
      <c r="J87" t="s">
        <v>1115</v>
      </c>
      <c r="K87" t="s">
        <v>370</v>
      </c>
    </row>
    <row r="88" spans="1:11">
      <c r="A88" t="s">
        <v>1123</v>
      </c>
      <c r="B88" t="s">
        <v>1235</v>
      </c>
      <c r="C88" t="s">
        <v>44</v>
      </c>
      <c r="D88" t="s">
        <v>30</v>
      </c>
      <c r="E88" t="s">
        <v>106</v>
      </c>
      <c r="F88" t="s">
        <v>309</v>
      </c>
      <c r="G88" t="s">
        <v>368</v>
      </c>
      <c r="H88" t="s">
        <v>1228</v>
      </c>
      <c r="I88" t="s">
        <v>86</v>
      </c>
      <c r="J88" t="s">
        <v>1115</v>
      </c>
      <c r="K88" t="s">
        <v>370</v>
      </c>
    </row>
    <row r="89" spans="1:11">
      <c r="A89" t="s">
        <v>1123</v>
      </c>
      <c r="B89" t="s">
        <v>1236</v>
      </c>
      <c r="C89" t="s">
        <v>40</v>
      </c>
      <c r="D89" t="s">
        <v>28</v>
      </c>
      <c r="E89" t="s">
        <v>50</v>
      </c>
      <c r="F89" t="s">
        <v>51</v>
      </c>
      <c r="G89" t="s">
        <v>396</v>
      </c>
      <c r="H89" t="s">
        <v>1228</v>
      </c>
      <c r="I89" t="s">
        <v>86</v>
      </c>
      <c r="J89" t="s">
        <v>1115</v>
      </c>
      <c r="K89" t="s">
        <v>398</v>
      </c>
    </row>
    <row r="90" spans="1:11">
      <c r="A90" t="s">
        <v>1123</v>
      </c>
      <c r="B90" t="s">
        <v>1236</v>
      </c>
      <c r="C90" t="s">
        <v>40</v>
      </c>
      <c r="D90" t="s">
        <v>28</v>
      </c>
      <c r="E90" t="s">
        <v>162</v>
      </c>
      <c r="F90" t="s">
        <v>164</v>
      </c>
      <c r="G90" t="s">
        <v>396</v>
      </c>
      <c r="H90" t="s">
        <v>1228</v>
      </c>
      <c r="I90" t="s">
        <v>86</v>
      </c>
      <c r="J90" t="s">
        <v>1115</v>
      </c>
      <c r="K90" t="s">
        <v>398</v>
      </c>
    </row>
    <row r="91" spans="1:11">
      <c r="A91" t="s">
        <v>1123</v>
      </c>
      <c r="B91" t="s">
        <v>1236</v>
      </c>
      <c r="C91" t="s">
        <v>40</v>
      </c>
      <c r="D91" t="s">
        <v>28</v>
      </c>
      <c r="E91" t="s">
        <v>162</v>
      </c>
      <c r="F91" t="s">
        <v>163</v>
      </c>
      <c r="G91" t="s">
        <v>396</v>
      </c>
      <c r="H91" t="s">
        <v>1228</v>
      </c>
      <c r="I91" t="s">
        <v>86</v>
      </c>
      <c r="J91" t="s">
        <v>1115</v>
      </c>
      <c r="K91" t="s">
        <v>398</v>
      </c>
    </row>
    <row r="92" spans="1:11">
      <c r="A92" t="s">
        <v>1123</v>
      </c>
      <c r="B92" t="s">
        <v>1236</v>
      </c>
      <c r="C92" t="s">
        <v>40</v>
      </c>
      <c r="D92" t="s">
        <v>28</v>
      </c>
      <c r="E92" t="s">
        <v>55</v>
      </c>
      <c r="F92" t="s">
        <v>56</v>
      </c>
      <c r="G92" t="s">
        <v>396</v>
      </c>
      <c r="H92" t="s">
        <v>1228</v>
      </c>
      <c r="I92" t="s">
        <v>86</v>
      </c>
      <c r="J92" t="s">
        <v>1115</v>
      </c>
      <c r="K92" t="s">
        <v>398</v>
      </c>
    </row>
    <row r="93" spans="1:11">
      <c r="A93" t="s">
        <v>1123</v>
      </c>
      <c r="B93" t="s">
        <v>1236</v>
      </c>
      <c r="C93" t="s">
        <v>40</v>
      </c>
      <c r="D93" t="s">
        <v>28</v>
      </c>
      <c r="E93" t="s">
        <v>419</v>
      </c>
      <c r="F93" t="s">
        <v>420</v>
      </c>
      <c r="G93" t="s">
        <v>396</v>
      </c>
      <c r="H93" t="s">
        <v>1228</v>
      </c>
      <c r="I93" t="s">
        <v>86</v>
      </c>
      <c r="J93" t="s">
        <v>1115</v>
      </c>
      <c r="K93" t="s">
        <v>398</v>
      </c>
    </row>
    <row r="94" spans="1:11">
      <c r="A94" t="s">
        <v>1123</v>
      </c>
      <c r="B94" t="s">
        <v>1236</v>
      </c>
      <c r="C94" t="s">
        <v>44</v>
      </c>
      <c r="D94" t="s">
        <v>29</v>
      </c>
      <c r="E94" t="s">
        <v>53</v>
      </c>
      <c r="F94" t="s">
        <v>161</v>
      </c>
      <c r="G94" t="s">
        <v>396</v>
      </c>
      <c r="H94" t="s">
        <v>1228</v>
      </c>
      <c r="I94" t="s">
        <v>86</v>
      </c>
      <c r="J94" t="s">
        <v>1115</v>
      </c>
      <c r="K94" t="s">
        <v>398</v>
      </c>
    </row>
    <row r="95" spans="1:11">
      <c r="A95" t="s">
        <v>1123</v>
      </c>
      <c r="B95" t="s">
        <v>1236</v>
      </c>
      <c r="C95" t="s">
        <v>44</v>
      </c>
      <c r="D95" t="s">
        <v>29</v>
      </c>
      <c r="E95" t="s">
        <v>57</v>
      </c>
      <c r="F95" t="s">
        <v>58</v>
      </c>
      <c r="G95" t="s">
        <v>396</v>
      </c>
      <c r="H95" t="s">
        <v>1228</v>
      </c>
      <c r="I95" t="s">
        <v>86</v>
      </c>
      <c r="J95" t="s">
        <v>1115</v>
      </c>
      <c r="K95" t="s">
        <v>398</v>
      </c>
    </row>
    <row r="96" spans="1:11">
      <c r="A96" t="s">
        <v>1123</v>
      </c>
      <c r="B96" t="s">
        <v>1236</v>
      </c>
      <c r="C96" t="s">
        <v>44</v>
      </c>
      <c r="D96" t="s">
        <v>30</v>
      </c>
      <c r="E96" t="s">
        <v>55</v>
      </c>
      <c r="F96" t="s">
        <v>104</v>
      </c>
      <c r="G96" t="s">
        <v>396</v>
      </c>
      <c r="H96" t="s">
        <v>1228</v>
      </c>
      <c r="I96" t="s">
        <v>86</v>
      </c>
      <c r="J96" t="s">
        <v>1115</v>
      </c>
      <c r="K96" t="s">
        <v>398</v>
      </c>
    </row>
    <row r="97" spans="1:11">
      <c r="A97" t="s">
        <v>1123</v>
      </c>
      <c r="B97" t="s">
        <v>1237</v>
      </c>
      <c r="C97" t="s">
        <v>40</v>
      </c>
      <c r="D97" t="s">
        <v>28</v>
      </c>
      <c r="G97" t="s">
        <v>438</v>
      </c>
      <c r="H97" t="s">
        <v>1228</v>
      </c>
      <c r="I97" t="s">
        <v>86</v>
      </c>
      <c r="J97" t="s">
        <v>1115</v>
      </c>
      <c r="K97" t="s">
        <v>1096</v>
      </c>
    </row>
    <row r="98" spans="1:11">
      <c r="A98" t="s">
        <v>1123</v>
      </c>
      <c r="B98" t="s">
        <v>1237</v>
      </c>
      <c r="C98" t="s">
        <v>40</v>
      </c>
      <c r="D98" t="s">
        <v>28</v>
      </c>
      <c r="G98" t="s">
        <v>438</v>
      </c>
      <c r="H98" t="s">
        <v>1228</v>
      </c>
      <c r="I98" t="s">
        <v>86</v>
      </c>
      <c r="J98" t="s">
        <v>1115</v>
      </c>
      <c r="K98" t="s">
        <v>1096</v>
      </c>
    </row>
    <row r="99" spans="1:11">
      <c r="A99" t="s">
        <v>1123</v>
      </c>
      <c r="B99" t="s">
        <v>1237</v>
      </c>
      <c r="C99" t="s">
        <v>40</v>
      </c>
      <c r="D99" t="s">
        <v>28</v>
      </c>
      <c r="G99" t="s">
        <v>438</v>
      </c>
      <c r="H99" t="s">
        <v>1228</v>
      </c>
      <c r="I99" t="s">
        <v>86</v>
      </c>
      <c r="J99" t="s">
        <v>1115</v>
      </c>
      <c r="K99" t="s">
        <v>1096</v>
      </c>
    </row>
    <row r="100" spans="1:11">
      <c r="A100" t="s">
        <v>1123</v>
      </c>
      <c r="B100" t="s">
        <v>1237</v>
      </c>
      <c r="C100" t="s">
        <v>44</v>
      </c>
      <c r="D100" t="s">
        <v>29</v>
      </c>
      <c r="G100" t="s">
        <v>438</v>
      </c>
      <c r="H100" t="s">
        <v>1228</v>
      </c>
      <c r="I100" t="s">
        <v>86</v>
      </c>
      <c r="J100" t="s">
        <v>1115</v>
      </c>
      <c r="K100" t="s">
        <v>1096</v>
      </c>
    </row>
    <row r="101" spans="1:11">
      <c r="A101" t="s">
        <v>1123</v>
      </c>
      <c r="B101" t="s">
        <v>1237</v>
      </c>
      <c r="C101" t="s">
        <v>44</v>
      </c>
      <c r="D101" t="s">
        <v>29</v>
      </c>
      <c r="G101" t="s">
        <v>438</v>
      </c>
      <c r="H101" t="s">
        <v>1228</v>
      </c>
      <c r="I101" t="s">
        <v>86</v>
      </c>
      <c r="J101" t="s">
        <v>1115</v>
      </c>
      <c r="K101" t="s">
        <v>1096</v>
      </c>
    </row>
    <row r="102" spans="1:11">
      <c r="A102" t="s">
        <v>1123</v>
      </c>
      <c r="B102" t="s">
        <v>1238</v>
      </c>
      <c r="C102" t="s">
        <v>40</v>
      </c>
      <c r="D102" t="s">
        <v>28</v>
      </c>
      <c r="E102" t="s">
        <v>50</v>
      </c>
      <c r="F102" t="s">
        <v>239</v>
      </c>
      <c r="G102" t="s">
        <v>526</v>
      </c>
      <c r="H102" t="s">
        <v>1228</v>
      </c>
      <c r="I102" t="s">
        <v>86</v>
      </c>
      <c r="J102" t="s">
        <v>1115</v>
      </c>
      <c r="K102" t="s">
        <v>1103</v>
      </c>
    </row>
    <row r="103" spans="1:11">
      <c r="A103" t="s">
        <v>1123</v>
      </c>
      <c r="B103" t="s">
        <v>1238</v>
      </c>
      <c r="C103" t="s">
        <v>40</v>
      </c>
      <c r="D103" t="s">
        <v>28</v>
      </c>
      <c r="E103" t="s">
        <v>57</v>
      </c>
      <c r="F103" t="s">
        <v>240</v>
      </c>
      <c r="G103" t="s">
        <v>526</v>
      </c>
      <c r="H103" t="s">
        <v>1228</v>
      </c>
      <c r="I103" t="s">
        <v>86</v>
      </c>
      <c r="J103" t="s">
        <v>1115</v>
      </c>
      <c r="K103" t="s">
        <v>1103</v>
      </c>
    </row>
    <row r="104" spans="1:11">
      <c r="A104" t="s">
        <v>1123</v>
      </c>
      <c r="B104" t="s">
        <v>1238</v>
      </c>
      <c r="C104" t="s">
        <v>40</v>
      </c>
      <c r="D104" t="s">
        <v>28</v>
      </c>
      <c r="E104" t="s">
        <v>57</v>
      </c>
      <c r="F104" t="s">
        <v>78</v>
      </c>
      <c r="G104" t="s">
        <v>526</v>
      </c>
      <c r="H104" t="s">
        <v>1228</v>
      </c>
      <c r="I104" t="s">
        <v>86</v>
      </c>
      <c r="J104" t="s">
        <v>1115</v>
      </c>
      <c r="K104" t="s">
        <v>1103</v>
      </c>
    </row>
    <row r="105" spans="1:11">
      <c r="A105" t="s">
        <v>1123</v>
      </c>
      <c r="B105" t="s">
        <v>1238</v>
      </c>
      <c r="C105" t="s">
        <v>40</v>
      </c>
      <c r="D105" t="s">
        <v>28</v>
      </c>
      <c r="E105" t="s">
        <v>57</v>
      </c>
      <c r="F105" t="s">
        <v>58</v>
      </c>
      <c r="G105" t="s">
        <v>526</v>
      </c>
      <c r="H105" t="s">
        <v>1228</v>
      </c>
      <c r="I105" t="s">
        <v>86</v>
      </c>
      <c r="J105" t="s">
        <v>1115</v>
      </c>
      <c r="K105" t="s">
        <v>1103</v>
      </c>
    </row>
    <row r="106" spans="1:11">
      <c r="A106" t="s">
        <v>1123</v>
      </c>
      <c r="B106" t="s">
        <v>1238</v>
      </c>
      <c r="C106" t="s">
        <v>40</v>
      </c>
      <c r="D106" t="s">
        <v>28</v>
      </c>
      <c r="E106" t="s">
        <v>53</v>
      </c>
      <c r="F106" t="s">
        <v>541</v>
      </c>
      <c r="G106" t="s">
        <v>526</v>
      </c>
      <c r="H106" t="s">
        <v>1228</v>
      </c>
      <c r="I106" t="s">
        <v>86</v>
      </c>
      <c r="J106" t="s">
        <v>1115</v>
      </c>
      <c r="K106" t="s">
        <v>1103</v>
      </c>
    </row>
    <row r="107" spans="1:11">
      <c r="A107" t="s">
        <v>1123</v>
      </c>
      <c r="B107" t="s">
        <v>1238</v>
      </c>
      <c r="C107" t="s">
        <v>40</v>
      </c>
      <c r="D107" t="s">
        <v>28</v>
      </c>
      <c r="E107" t="s">
        <v>55</v>
      </c>
      <c r="F107" t="s">
        <v>241</v>
      </c>
      <c r="G107" t="s">
        <v>526</v>
      </c>
      <c r="H107" t="s">
        <v>1228</v>
      </c>
      <c r="I107" t="s">
        <v>86</v>
      </c>
      <c r="J107" t="s">
        <v>1115</v>
      </c>
      <c r="K107" t="s">
        <v>1103</v>
      </c>
    </row>
    <row r="108" spans="1:11">
      <c r="A108" t="s">
        <v>1123</v>
      </c>
      <c r="B108" t="s">
        <v>1238</v>
      </c>
      <c r="C108" t="s">
        <v>40</v>
      </c>
      <c r="D108" t="s">
        <v>28</v>
      </c>
      <c r="E108" t="s">
        <v>102</v>
      </c>
      <c r="F108" t="s">
        <v>542</v>
      </c>
      <c r="G108" t="s">
        <v>526</v>
      </c>
      <c r="H108" t="s">
        <v>1228</v>
      </c>
      <c r="I108" t="s">
        <v>86</v>
      </c>
      <c r="J108" t="s">
        <v>1115</v>
      </c>
      <c r="K108" t="s">
        <v>1103</v>
      </c>
    </row>
    <row r="109" spans="1:11">
      <c r="A109" t="s">
        <v>1123</v>
      </c>
      <c r="B109" t="s">
        <v>1238</v>
      </c>
      <c r="C109" t="s">
        <v>40</v>
      </c>
      <c r="D109" t="s">
        <v>29</v>
      </c>
      <c r="E109" t="s">
        <v>50</v>
      </c>
      <c r="F109" t="s">
        <v>239</v>
      </c>
      <c r="G109" t="s">
        <v>526</v>
      </c>
      <c r="H109" t="s">
        <v>1228</v>
      </c>
      <c r="I109" t="s">
        <v>86</v>
      </c>
      <c r="J109" t="s">
        <v>1115</v>
      </c>
      <c r="K109" t="s">
        <v>1103</v>
      </c>
    </row>
    <row r="110" spans="1:11">
      <c r="A110" t="s">
        <v>1123</v>
      </c>
      <c r="B110" t="s">
        <v>1238</v>
      </c>
      <c r="C110" t="s">
        <v>40</v>
      </c>
      <c r="D110" t="s">
        <v>29</v>
      </c>
      <c r="E110" t="s">
        <v>53</v>
      </c>
      <c r="F110" t="s">
        <v>161</v>
      </c>
      <c r="G110" t="s">
        <v>526</v>
      </c>
      <c r="H110" t="s">
        <v>1228</v>
      </c>
      <c r="I110" t="s">
        <v>86</v>
      </c>
      <c r="J110" t="s">
        <v>1115</v>
      </c>
      <c r="K110" t="s">
        <v>1103</v>
      </c>
    </row>
    <row r="111" spans="1:11">
      <c r="A111" t="s">
        <v>1123</v>
      </c>
      <c r="B111" t="s">
        <v>1238</v>
      </c>
      <c r="C111" t="s">
        <v>44</v>
      </c>
      <c r="D111" t="s">
        <v>30</v>
      </c>
      <c r="E111" t="s">
        <v>57</v>
      </c>
      <c r="F111" t="s">
        <v>543</v>
      </c>
      <c r="G111" t="s">
        <v>526</v>
      </c>
      <c r="H111" t="s">
        <v>1228</v>
      </c>
      <c r="I111" t="s">
        <v>86</v>
      </c>
      <c r="J111" t="s">
        <v>1115</v>
      </c>
      <c r="K111" t="s">
        <v>1103</v>
      </c>
    </row>
    <row r="112" spans="1:11">
      <c r="A112" t="s">
        <v>1123</v>
      </c>
      <c r="B112" t="s">
        <v>1238</v>
      </c>
      <c r="C112" t="s">
        <v>44</v>
      </c>
      <c r="D112" t="s">
        <v>30</v>
      </c>
      <c r="E112" t="s">
        <v>55</v>
      </c>
      <c r="F112" t="s">
        <v>305</v>
      </c>
      <c r="G112" t="s">
        <v>526</v>
      </c>
      <c r="H112" t="s">
        <v>1228</v>
      </c>
      <c r="I112" t="s">
        <v>86</v>
      </c>
      <c r="J112" t="s">
        <v>1115</v>
      </c>
      <c r="K112" t="s">
        <v>1103</v>
      </c>
    </row>
    <row r="113" spans="1:11">
      <c r="A113" t="s">
        <v>1123</v>
      </c>
      <c r="B113" t="s">
        <v>1238</v>
      </c>
      <c r="C113" t="s">
        <v>44</v>
      </c>
      <c r="D113" t="s">
        <v>30</v>
      </c>
      <c r="E113" t="s">
        <v>50</v>
      </c>
      <c r="F113" t="s">
        <v>544</v>
      </c>
      <c r="G113" t="s">
        <v>526</v>
      </c>
      <c r="H113" t="s">
        <v>1228</v>
      </c>
      <c r="I113" t="s">
        <v>86</v>
      </c>
      <c r="J113" t="s">
        <v>1115</v>
      </c>
      <c r="K113" t="s">
        <v>1103</v>
      </c>
    </row>
    <row r="114" spans="1:11">
      <c r="A114" t="s">
        <v>1123</v>
      </c>
      <c r="B114" t="s">
        <v>1239</v>
      </c>
      <c r="C114" t="s">
        <v>40</v>
      </c>
      <c r="D114" t="s">
        <v>28</v>
      </c>
      <c r="E114" t="s">
        <v>50</v>
      </c>
      <c r="F114" t="s">
        <v>304</v>
      </c>
      <c r="G114" t="s">
        <v>545</v>
      </c>
      <c r="H114" t="s">
        <v>1228</v>
      </c>
      <c r="I114" t="s">
        <v>86</v>
      </c>
      <c r="J114" t="s">
        <v>1115</v>
      </c>
      <c r="K114" t="s">
        <v>546</v>
      </c>
    </row>
    <row r="115" spans="1:11">
      <c r="A115" t="s">
        <v>1123</v>
      </c>
      <c r="B115" t="s">
        <v>1239</v>
      </c>
      <c r="C115" t="s">
        <v>40</v>
      </c>
      <c r="D115" t="s">
        <v>29</v>
      </c>
      <c r="E115" t="s">
        <v>162</v>
      </c>
      <c r="F115" t="s">
        <v>493</v>
      </c>
      <c r="G115" t="s">
        <v>545</v>
      </c>
      <c r="H115" t="s">
        <v>1228</v>
      </c>
      <c r="I115" t="s">
        <v>86</v>
      </c>
      <c r="J115" t="s">
        <v>1115</v>
      </c>
      <c r="K115" t="s">
        <v>546</v>
      </c>
    </row>
    <row r="116" spans="1:11">
      <c r="A116" t="s">
        <v>1123</v>
      </c>
      <c r="B116" t="s">
        <v>1239</v>
      </c>
      <c r="C116" t="s">
        <v>40</v>
      </c>
      <c r="D116" t="s">
        <v>31</v>
      </c>
      <c r="E116" t="s">
        <v>50</v>
      </c>
      <c r="F116" t="s">
        <v>304</v>
      </c>
      <c r="G116" t="s">
        <v>545</v>
      </c>
      <c r="H116" t="s">
        <v>1228</v>
      </c>
      <c r="I116" t="s">
        <v>86</v>
      </c>
      <c r="J116" t="s">
        <v>1115</v>
      </c>
      <c r="K116" t="s">
        <v>546</v>
      </c>
    </row>
    <row r="117" spans="1:11">
      <c r="A117" t="s">
        <v>1123</v>
      </c>
      <c r="B117" t="s">
        <v>1239</v>
      </c>
      <c r="C117" t="s">
        <v>44</v>
      </c>
      <c r="D117" t="s">
        <v>29</v>
      </c>
      <c r="E117" t="s">
        <v>162</v>
      </c>
      <c r="F117" t="s">
        <v>493</v>
      </c>
      <c r="G117" t="s">
        <v>545</v>
      </c>
      <c r="H117" t="s">
        <v>1228</v>
      </c>
      <c r="I117" t="s">
        <v>86</v>
      </c>
      <c r="J117" t="s">
        <v>1115</v>
      </c>
      <c r="K117" t="s">
        <v>546</v>
      </c>
    </row>
    <row r="118" spans="1:11">
      <c r="A118" t="s">
        <v>1123</v>
      </c>
      <c r="B118" t="s">
        <v>1239</v>
      </c>
      <c r="C118" t="s">
        <v>44</v>
      </c>
      <c r="D118" t="s">
        <v>30</v>
      </c>
      <c r="E118" t="s">
        <v>50</v>
      </c>
      <c r="F118" t="s">
        <v>544</v>
      </c>
      <c r="G118" t="s">
        <v>545</v>
      </c>
      <c r="H118" t="s">
        <v>1228</v>
      </c>
      <c r="I118" t="s">
        <v>86</v>
      </c>
      <c r="J118" t="s">
        <v>1115</v>
      </c>
      <c r="K118" t="s">
        <v>546</v>
      </c>
    </row>
    <row r="119" spans="1:11">
      <c r="A119" t="s">
        <v>1113</v>
      </c>
      <c r="B119" t="s">
        <v>1240</v>
      </c>
      <c r="C119" t="s">
        <v>40</v>
      </c>
      <c r="D119" t="s">
        <v>28</v>
      </c>
      <c r="E119" t="s">
        <v>162</v>
      </c>
      <c r="F119" t="s">
        <v>163</v>
      </c>
      <c r="G119" t="s">
        <v>1097</v>
      </c>
      <c r="H119" t="s">
        <v>1228</v>
      </c>
      <c r="I119" t="s">
        <v>86</v>
      </c>
      <c r="J119" t="s">
        <v>1115</v>
      </c>
      <c r="K119" t="s">
        <v>1098</v>
      </c>
    </row>
    <row r="120" spans="1:11">
      <c r="A120" t="s">
        <v>1113</v>
      </c>
      <c r="B120" t="s">
        <v>1240</v>
      </c>
      <c r="C120" t="s">
        <v>40</v>
      </c>
      <c r="D120" t="s">
        <v>28</v>
      </c>
      <c r="E120" t="s">
        <v>162</v>
      </c>
      <c r="F120" t="s">
        <v>383</v>
      </c>
      <c r="G120" t="s">
        <v>1097</v>
      </c>
      <c r="H120" t="s">
        <v>1228</v>
      </c>
      <c r="I120" t="s">
        <v>86</v>
      </c>
      <c r="J120" t="s">
        <v>1115</v>
      </c>
      <c r="K120" t="s">
        <v>1098</v>
      </c>
    </row>
    <row r="121" spans="1:11">
      <c r="A121" t="s">
        <v>1113</v>
      </c>
      <c r="B121" t="s">
        <v>1240</v>
      </c>
      <c r="C121" t="s">
        <v>40</v>
      </c>
      <c r="D121" t="s">
        <v>29</v>
      </c>
      <c r="E121" t="s">
        <v>53</v>
      </c>
      <c r="F121" t="s">
        <v>54</v>
      </c>
      <c r="G121" t="s">
        <v>1097</v>
      </c>
      <c r="H121" t="s">
        <v>1228</v>
      </c>
      <c r="I121" t="s">
        <v>86</v>
      </c>
      <c r="J121" t="s">
        <v>1115</v>
      </c>
      <c r="K121" t="s">
        <v>1098</v>
      </c>
    </row>
    <row r="122" spans="1:11">
      <c r="A122" t="s">
        <v>1113</v>
      </c>
      <c r="B122" t="s">
        <v>1240</v>
      </c>
      <c r="C122" t="s">
        <v>40</v>
      </c>
      <c r="D122" t="s">
        <v>29</v>
      </c>
      <c r="E122" t="s">
        <v>53</v>
      </c>
      <c r="F122" t="s">
        <v>161</v>
      </c>
      <c r="G122" t="s">
        <v>1097</v>
      </c>
      <c r="H122" t="s">
        <v>1228</v>
      </c>
      <c r="I122" t="s">
        <v>86</v>
      </c>
      <c r="J122" t="s">
        <v>1115</v>
      </c>
      <c r="K122" t="s">
        <v>1098</v>
      </c>
    </row>
    <row r="123" spans="1:11">
      <c r="A123" t="s">
        <v>1113</v>
      </c>
      <c r="B123" t="s">
        <v>1240</v>
      </c>
      <c r="C123" t="s">
        <v>40</v>
      </c>
      <c r="D123" t="s">
        <v>29</v>
      </c>
      <c r="E123" t="s">
        <v>53</v>
      </c>
      <c r="F123" t="s">
        <v>242</v>
      </c>
      <c r="G123" t="s">
        <v>1097</v>
      </c>
      <c r="H123" t="s">
        <v>1228</v>
      </c>
      <c r="I123" t="s">
        <v>86</v>
      </c>
      <c r="J123" t="s">
        <v>1115</v>
      </c>
      <c r="K123" t="s">
        <v>1098</v>
      </c>
    </row>
    <row r="124" spans="1:11">
      <c r="A124" t="s">
        <v>1113</v>
      </c>
      <c r="B124" t="s">
        <v>1240</v>
      </c>
      <c r="C124" t="s">
        <v>40</v>
      </c>
      <c r="D124" t="s">
        <v>29</v>
      </c>
      <c r="E124" t="s">
        <v>53</v>
      </c>
      <c r="F124" t="s">
        <v>908</v>
      </c>
      <c r="G124" t="s">
        <v>1097</v>
      </c>
      <c r="H124" t="s">
        <v>1228</v>
      </c>
      <c r="I124" t="s">
        <v>86</v>
      </c>
      <c r="J124" t="s">
        <v>1115</v>
      </c>
      <c r="K124" t="s">
        <v>1098</v>
      </c>
    </row>
    <row r="125" spans="1:11">
      <c r="A125" t="s">
        <v>1113</v>
      </c>
      <c r="B125" t="s">
        <v>1240</v>
      </c>
      <c r="C125" t="s">
        <v>40</v>
      </c>
      <c r="D125" t="s">
        <v>29</v>
      </c>
      <c r="E125" t="s">
        <v>53</v>
      </c>
      <c r="F125" t="s">
        <v>54</v>
      </c>
      <c r="G125" t="s">
        <v>1097</v>
      </c>
      <c r="H125" t="s">
        <v>1228</v>
      </c>
      <c r="I125" t="s">
        <v>86</v>
      </c>
      <c r="J125" t="s">
        <v>1115</v>
      </c>
      <c r="K125" t="s">
        <v>1098</v>
      </c>
    </row>
    <row r="126" spans="1:11">
      <c r="A126" t="s">
        <v>1113</v>
      </c>
      <c r="B126" t="s">
        <v>1240</v>
      </c>
      <c r="C126" t="s">
        <v>40</v>
      </c>
      <c r="D126" t="s">
        <v>29</v>
      </c>
      <c r="E126" t="s">
        <v>53</v>
      </c>
      <c r="F126" t="s">
        <v>161</v>
      </c>
      <c r="G126" t="s">
        <v>1097</v>
      </c>
      <c r="H126" t="s">
        <v>1228</v>
      </c>
      <c r="I126" t="s">
        <v>86</v>
      </c>
      <c r="J126" t="s">
        <v>1115</v>
      </c>
      <c r="K126" t="s">
        <v>1098</v>
      </c>
    </row>
    <row r="127" spans="1:11">
      <c r="A127" t="s">
        <v>1113</v>
      </c>
      <c r="B127" t="s">
        <v>1240</v>
      </c>
      <c r="C127" t="s">
        <v>40</v>
      </c>
      <c r="D127" t="s">
        <v>29</v>
      </c>
      <c r="E127" t="s">
        <v>53</v>
      </c>
      <c r="F127" t="s">
        <v>242</v>
      </c>
      <c r="G127" t="s">
        <v>1097</v>
      </c>
      <c r="H127" t="s">
        <v>1228</v>
      </c>
      <c r="I127" t="s">
        <v>86</v>
      </c>
      <c r="J127" t="s">
        <v>1115</v>
      </c>
      <c r="K127" t="s">
        <v>1098</v>
      </c>
    </row>
    <row r="128" spans="1:11">
      <c r="A128" t="s">
        <v>1113</v>
      </c>
      <c r="B128" t="s">
        <v>1240</v>
      </c>
      <c r="C128" t="s">
        <v>40</v>
      </c>
      <c r="D128" t="s">
        <v>29</v>
      </c>
      <c r="E128" t="s">
        <v>53</v>
      </c>
      <c r="F128" t="s">
        <v>943</v>
      </c>
      <c r="G128" t="s">
        <v>1097</v>
      </c>
      <c r="H128" t="s">
        <v>1228</v>
      </c>
      <c r="I128" t="s">
        <v>86</v>
      </c>
      <c r="J128" t="s">
        <v>1115</v>
      </c>
      <c r="K128" t="s">
        <v>1098</v>
      </c>
    </row>
    <row r="129" spans="1:11">
      <c r="A129" t="s">
        <v>1113</v>
      </c>
      <c r="B129" t="s">
        <v>1240</v>
      </c>
      <c r="C129" t="s">
        <v>40</v>
      </c>
      <c r="D129" t="s">
        <v>29</v>
      </c>
      <c r="E129" t="s">
        <v>53</v>
      </c>
      <c r="F129" t="s">
        <v>908</v>
      </c>
      <c r="G129" t="s">
        <v>1097</v>
      </c>
      <c r="H129" t="s">
        <v>1228</v>
      </c>
      <c r="I129" t="s">
        <v>86</v>
      </c>
      <c r="J129" t="s">
        <v>1115</v>
      </c>
      <c r="K129" t="s">
        <v>1098</v>
      </c>
    </row>
    <row r="130" spans="1:11">
      <c r="A130" t="s">
        <v>1113</v>
      </c>
      <c r="B130" t="s">
        <v>1240</v>
      </c>
      <c r="C130" t="s">
        <v>40</v>
      </c>
      <c r="D130" t="s">
        <v>29</v>
      </c>
      <c r="E130" t="s">
        <v>55</v>
      </c>
      <c r="F130" t="s">
        <v>56</v>
      </c>
      <c r="G130" t="s">
        <v>1097</v>
      </c>
      <c r="H130" t="s">
        <v>1228</v>
      </c>
      <c r="I130" t="s">
        <v>86</v>
      </c>
      <c r="J130" t="s">
        <v>1115</v>
      </c>
      <c r="K130" t="s">
        <v>1098</v>
      </c>
    </row>
    <row r="131" spans="1:11">
      <c r="A131" t="s">
        <v>1113</v>
      </c>
      <c r="B131" t="s">
        <v>1240</v>
      </c>
      <c r="C131" t="s">
        <v>40</v>
      </c>
      <c r="D131" t="s">
        <v>29</v>
      </c>
      <c r="E131" t="s">
        <v>55</v>
      </c>
      <c r="F131" t="s">
        <v>492</v>
      </c>
      <c r="G131" t="s">
        <v>1097</v>
      </c>
      <c r="H131" t="s">
        <v>1228</v>
      </c>
      <c r="I131" t="s">
        <v>86</v>
      </c>
      <c r="J131" t="s">
        <v>1115</v>
      </c>
      <c r="K131" t="s">
        <v>1098</v>
      </c>
    </row>
    <row r="132" spans="1:11">
      <c r="A132" t="s">
        <v>1113</v>
      </c>
      <c r="B132" t="s">
        <v>1240</v>
      </c>
      <c r="C132" t="s">
        <v>40</v>
      </c>
      <c r="D132" t="s">
        <v>29</v>
      </c>
      <c r="E132" t="s">
        <v>55</v>
      </c>
      <c r="F132" t="s">
        <v>104</v>
      </c>
      <c r="G132" t="s">
        <v>1097</v>
      </c>
      <c r="H132" t="s">
        <v>1228</v>
      </c>
      <c r="I132" t="s">
        <v>86</v>
      </c>
      <c r="J132" t="s">
        <v>1115</v>
      </c>
      <c r="K132" t="s">
        <v>1098</v>
      </c>
    </row>
    <row r="133" spans="1:11">
      <c r="A133" t="s">
        <v>1113</v>
      </c>
      <c r="B133" t="s">
        <v>1240</v>
      </c>
      <c r="C133" t="s">
        <v>40</v>
      </c>
      <c r="D133" t="s">
        <v>29</v>
      </c>
      <c r="E133" t="s">
        <v>106</v>
      </c>
      <c r="F133" t="s">
        <v>307</v>
      </c>
      <c r="G133" t="s">
        <v>1097</v>
      </c>
      <c r="H133" t="s">
        <v>1228</v>
      </c>
      <c r="I133" t="s">
        <v>86</v>
      </c>
      <c r="J133" t="s">
        <v>1115</v>
      </c>
      <c r="K133" t="s">
        <v>1098</v>
      </c>
    </row>
    <row r="134" spans="1:11">
      <c r="A134" t="s">
        <v>1113</v>
      </c>
      <c r="B134" t="s">
        <v>1240</v>
      </c>
      <c r="C134" t="s">
        <v>40</v>
      </c>
      <c r="D134" t="s">
        <v>29</v>
      </c>
      <c r="E134" t="s">
        <v>106</v>
      </c>
      <c r="F134" t="s">
        <v>107</v>
      </c>
      <c r="G134" t="s">
        <v>1097</v>
      </c>
      <c r="H134" t="s">
        <v>1228</v>
      </c>
      <c r="I134" t="s">
        <v>86</v>
      </c>
      <c r="J134" t="s">
        <v>1115</v>
      </c>
      <c r="K134" t="s">
        <v>1098</v>
      </c>
    </row>
    <row r="135" spans="1:11">
      <c r="A135" t="s">
        <v>1113</v>
      </c>
      <c r="B135" t="s">
        <v>1240</v>
      </c>
      <c r="C135" t="s">
        <v>40</v>
      </c>
      <c r="D135" t="s">
        <v>29</v>
      </c>
      <c r="E135" t="s">
        <v>106</v>
      </c>
      <c r="F135" t="s">
        <v>306</v>
      </c>
      <c r="G135" t="s">
        <v>1097</v>
      </c>
      <c r="H135" t="s">
        <v>1228</v>
      </c>
      <c r="I135" t="s">
        <v>86</v>
      </c>
      <c r="J135" t="s">
        <v>1115</v>
      </c>
      <c r="K135" t="s">
        <v>1098</v>
      </c>
    </row>
    <row r="136" spans="1:11">
      <c r="A136" t="s">
        <v>1113</v>
      </c>
      <c r="B136" t="s">
        <v>1240</v>
      </c>
      <c r="C136" t="s">
        <v>40</v>
      </c>
      <c r="D136" t="s">
        <v>29</v>
      </c>
      <c r="E136" t="s">
        <v>106</v>
      </c>
      <c r="F136" t="s">
        <v>309</v>
      </c>
      <c r="G136" t="s">
        <v>1097</v>
      </c>
      <c r="H136" t="s">
        <v>1228</v>
      </c>
      <c r="I136" t="s">
        <v>86</v>
      </c>
      <c r="J136" t="s">
        <v>1115</v>
      </c>
      <c r="K136" t="s">
        <v>1098</v>
      </c>
    </row>
    <row r="137" spans="1:11">
      <c r="A137" t="s">
        <v>1113</v>
      </c>
      <c r="B137" t="s">
        <v>1240</v>
      </c>
      <c r="C137" t="s">
        <v>40</v>
      </c>
      <c r="D137" t="s">
        <v>29</v>
      </c>
      <c r="E137" t="s">
        <v>106</v>
      </c>
      <c r="F137" t="s">
        <v>1071</v>
      </c>
      <c r="G137" t="s">
        <v>1097</v>
      </c>
      <c r="H137" t="s">
        <v>1228</v>
      </c>
      <c r="I137" t="s">
        <v>86</v>
      </c>
      <c r="J137" t="s">
        <v>1115</v>
      </c>
      <c r="K137" t="s">
        <v>1098</v>
      </c>
    </row>
    <row r="138" spans="1:11">
      <c r="A138" t="s">
        <v>1113</v>
      </c>
      <c r="B138" t="s">
        <v>1240</v>
      </c>
      <c r="C138" t="s">
        <v>40</v>
      </c>
      <c r="D138" t="s">
        <v>29</v>
      </c>
      <c r="E138" t="s">
        <v>106</v>
      </c>
      <c r="F138" t="s">
        <v>1072</v>
      </c>
      <c r="G138" t="s">
        <v>1097</v>
      </c>
      <c r="H138" t="s">
        <v>1228</v>
      </c>
      <c r="I138" t="s">
        <v>86</v>
      </c>
      <c r="J138" t="s">
        <v>1115</v>
      </c>
      <c r="K138" t="s">
        <v>1098</v>
      </c>
    </row>
    <row r="139" spans="1:11">
      <c r="A139" t="s">
        <v>1113</v>
      </c>
      <c r="B139" t="s">
        <v>1240</v>
      </c>
      <c r="C139" t="s">
        <v>40</v>
      </c>
      <c r="D139" t="s">
        <v>29</v>
      </c>
      <c r="E139" t="s">
        <v>106</v>
      </c>
      <c r="F139" t="s">
        <v>1073</v>
      </c>
      <c r="G139" t="s">
        <v>1097</v>
      </c>
      <c r="H139" t="s">
        <v>1228</v>
      </c>
      <c r="I139" t="s">
        <v>86</v>
      </c>
      <c r="J139" t="s">
        <v>1115</v>
      </c>
      <c r="K139" t="s">
        <v>1098</v>
      </c>
    </row>
    <row r="140" spans="1:11">
      <c r="A140" t="s">
        <v>1113</v>
      </c>
      <c r="B140" t="s">
        <v>1240</v>
      </c>
      <c r="C140" t="s">
        <v>40</v>
      </c>
      <c r="D140" t="s">
        <v>29</v>
      </c>
      <c r="E140" t="s">
        <v>102</v>
      </c>
      <c r="F140" t="s">
        <v>542</v>
      </c>
      <c r="G140" t="s">
        <v>1097</v>
      </c>
      <c r="H140" t="s">
        <v>1228</v>
      </c>
      <c r="I140" t="s">
        <v>86</v>
      </c>
      <c r="J140" t="s">
        <v>1115</v>
      </c>
      <c r="K140" t="s">
        <v>1098</v>
      </c>
    </row>
    <row r="141" spans="1:11">
      <c r="A141" t="s">
        <v>1113</v>
      </c>
      <c r="B141" t="s">
        <v>1240</v>
      </c>
      <c r="C141" t="s">
        <v>40</v>
      </c>
      <c r="D141" t="s">
        <v>29</v>
      </c>
      <c r="E141" t="s">
        <v>102</v>
      </c>
      <c r="F141" t="s">
        <v>103</v>
      </c>
      <c r="G141" t="s">
        <v>1097</v>
      </c>
      <c r="H141" t="s">
        <v>1228</v>
      </c>
      <c r="I141" t="s">
        <v>86</v>
      </c>
      <c r="J141" t="s">
        <v>1115</v>
      </c>
      <c r="K141" t="s">
        <v>1098</v>
      </c>
    </row>
    <row r="142" spans="1:11">
      <c r="A142" t="s">
        <v>1113</v>
      </c>
      <c r="B142" t="s">
        <v>1240</v>
      </c>
      <c r="C142" t="s">
        <v>40</v>
      </c>
      <c r="D142" t="s">
        <v>29</v>
      </c>
      <c r="E142" t="s">
        <v>419</v>
      </c>
      <c r="F142" t="s">
        <v>656</v>
      </c>
      <c r="G142" t="s">
        <v>1097</v>
      </c>
      <c r="H142" t="s">
        <v>1228</v>
      </c>
      <c r="I142" t="s">
        <v>86</v>
      </c>
      <c r="J142" t="s">
        <v>1115</v>
      </c>
      <c r="K142" t="s">
        <v>1098</v>
      </c>
    </row>
    <row r="143" spans="1:11">
      <c r="A143" t="s">
        <v>1113</v>
      </c>
      <c r="B143" t="s">
        <v>1240</v>
      </c>
      <c r="C143" t="s">
        <v>40</v>
      </c>
      <c r="D143" t="s">
        <v>29</v>
      </c>
      <c r="E143" t="s">
        <v>419</v>
      </c>
      <c r="F143" t="s">
        <v>855</v>
      </c>
      <c r="G143" t="s">
        <v>1097</v>
      </c>
      <c r="H143" t="s">
        <v>1228</v>
      </c>
      <c r="I143" t="s">
        <v>86</v>
      </c>
      <c r="J143" t="s">
        <v>1115</v>
      </c>
      <c r="K143" t="s">
        <v>1098</v>
      </c>
    </row>
    <row r="144" spans="1:11">
      <c r="A144" t="s">
        <v>1113</v>
      </c>
      <c r="B144" t="s">
        <v>1240</v>
      </c>
      <c r="C144" t="s">
        <v>40</v>
      </c>
      <c r="D144" t="s">
        <v>29</v>
      </c>
      <c r="E144" t="s">
        <v>419</v>
      </c>
      <c r="F144" t="s">
        <v>856</v>
      </c>
      <c r="G144" t="s">
        <v>1097</v>
      </c>
      <c r="H144" t="s">
        <v>1228</v>
      </c>
      <c r="I144" t="s">
        <v>86</v>
      </c>
      <c r="J144" t="s">
        <v>1115</v>
      </c>
      <c r="K144" t="s">
        <v>1098</v>
      </c>
    </row>
    <row r="145" spans="1:11">
      <c r="A145" t="s">
        <v>1113</v>
      </c>
      <c r="B145" t="s">
        <v>1240</v>
      </c>
      <c r="C145" t="s">
        <v>40</v>
      </c>
      <c r="D145" t="s">
        <v>29</v>
      </c>
      <c r="E145" t="s">
        <v>419</v>
      </c>
      <c r="F145" t="s">
        <v>857</v>
      </c>
      <c r="G145" t="s">
        <v>1097</v>
      </c>
      <c r="H145" t="s">
        <v>1228</v>
      </c>
      <c r="I145" t="s">
        <v>86</v>
      </c>
      <c r="J145" t="s">
        <v>1115</v>
      </c>
      <c r="K145" t="s">
        <v>1098</v>
      </c>
    </row>
    <row r="146" spans="1:11">
      <c r="A146" t="s">
        <v>1113</v>
      </c>
      <c r="B146" t="s">
        <v>1240</v>
      </c>
      <c r="C146" t="s">
        <v>40</v>
      </c>
      <c r="D146" t="s">
        <v>29</v>
      </c>
      <c r="E146" t="s">
        <v>419</v>
      </c>
      <c r="F146" t="s">
        <v>1077</v>
      </c>
      <c r="G146" t="s">
        <v>1097</v>
      </c>
      <c r="H146" t="s">
        <v>1228</v>
      </c>
      <c r="I146" t="s">
        <v>86</v>
      </c>
      <c r="J146" t="s">
        <v>1115</v>
      </c>
      <c r="K146" t="s">
        <v>1098</v>
      </c>
    </row>
    <row r="147" spans="1:11">
      <c r="A147" t="s">
        <v>1113</v>
      </c>
      <c r="B147" t="s">
        <v>1240</v>
      </c>
      <c r="C147" t="s">
        <v>40</v>
      </c>
      <c r="D147" t="s">
        <v>29</v>
      </c>
      <c r="E147" t="s">
        <v>310</v>
      </c>
      <c r="F147" t="s">
        <v>1068</v>
      </c>
      <c r="G147" t="s">
        <v>1097</v>
      </c>
      <c r="H147" t="s">
        <v>1228</v>
      </c>
      <c r="I147" t="s">
        <v>86</v>
      </c>
      <c r="J147" t="s">
        <v>1115</v>
      </c>
      <c r="K147" t="s">
        <v>1098</v>
      </c>
    </row>
    <row r="148" spans="1:11">
      <c r="A148" t="s">
        <v>1113</v>
      </c>
      <c r="B148" t="s">
        <v>1240</v>
      </c>
      <c r="C148" t="s">
        <v>40</v>
      </c>
      <c r="D148" t="s">
        <v>29</v>
      </c>
      <c r="E148" t="s">
        <v>310</v>
      </c>
      <c r="F148" t="s">
        <v>1069</v>
      </c>
      <c r="G148" t="s">
        <v>1097</v>
      </c>
      <c r="H148" t="s">
        <v>1228</v>
      </c>
      <c r="I148" t="s">
        <v>86</v>
      </c>
      <c r="J148" t="s">
        <v>1115</v>
      </c>
      <c r="K148" t="s">
        <v>1098</v>
      </c>
    </row>
    <row r="149" spans="1:11">
      <c r="A149" t="s">
        <v>1113</v>
      </c>
      <c r="B149" t="s">
        <v>1240</v>
      </c>
      <c r="C149" t="s">
        <v>40</v>
      </c>
      <c r="D149" t="s">
        <v>29</v>
      </c>
      <c r="E149" t="s">
        <v>310</v>
      </c>
      <c r="F149" t="s">
        <v>742</v>
      </c>
      <c r="G149" t="s">
        <v>1097</v>
      </c>
      <c r="H149" t="s">
        <v>1228</v>
      </c>
      <c r="I149" t="s">
        <v>86</v>
      </c>
      <c r="J149" t="s">
        <v>1115</v>
      </c>
      <c r="K149" t="s">
        <v>1098</v>
      </c>
    </row>
    <row r="150" spans="1:11">
      <c r="A150" t="s">
        <v>1113</v>
      </c>
      <c r="B150" t="s">
        <v>1240</v>
      </c>
      <c r="C150" t="s">
        <v>44</v>
      </c>
      <c r="D150" t="s">
        <v>28</v>
      </c>
      <c r="E150" t="s">
        <v>162</v>
      </c>
      <c r="F150" t="s">
        <v>163</v>
      </c>
      <c r="G150" t="s">
        <v>1097</v>
      </c>
      <c r="H150" t="s">
        <v>1228</v>
      </c>
      <c r="I150" t="s">
        <v>86</v>
      </c>
      <c r="J150" t="s">
        <v>1115</v>
      </c>
      <c r="K150" t="s">
        <v>1098</v>
      </c>
    </row>
    <row r="151" spans="1:11">
      <c r="A151" t="s">
        <v>1113</v>
      </c>
      <c r="B151" t="s">
        <v>1240</v>
      </c>
      <c r="C151" t="s">
        <v>44</v>
      </c>
      <c r="D151" t="s">
        <v>28</v>
      </c>
      <c r="E151" t="s">
        <v>162</v>
      </c>
      <c r="F151" t="s">
        <v>493</v>
      </c>
      <c r="G151" t="s">
        <v>1097</v>
      </c>
      <c r="H151" t="s">
        <v>1228</v>
      </c>
      <c r="I151" t="s">
        <v>86</v>
      </c>
      <c r="J151" t="s">
        <v>1115</v>
      </c>
      <c r="K151" t="s">
        <v>1098</v>
      </c>
    </row>
    <row r="152" spans="1:11">
      <c r="A152" t="s">
        <v>1113</v>
      </c>
      <c r="B152" t="s">
        <v>1240</v>
      </c>
      <c r="C152" t="s">
        <v>44</v>
      </c>
      <c r="D152" t="s">
        <v>28</v>
      </c>
      <c r="E152" t="s">
        <v>162</v>
      </c>
      <c r="F152" t="s">
        <v>164</v>
      </c>
      <c r="G152" t="s">
        <v>1097</v>
      </c>
      <c r="H152" t="s">
        <v>1228</v>
      </c>
      <c r="I152" t="s">
        <v>86</v>
      </c>
      <c r="J152" t="s">
        <v>1115</v>
      </c>
      <c r="K152" t="s">
        <v>1098</v>
      </c>
    </row>
    <row r="153" spans="1:11">
      <c r="A153" t="s">
        <v>1113</v>
      </c>
      <c r="B153" t="s">
        <v>1240</v>
      </c>
      <c r="C153" t="s">
        <v>44</v>
      </c>
      <c r="D153" t="s">
        <v>28</v>
      </c>
      <c r="E153" t="s">
        <v>162</v>
      </c>
      <c r="F153" t="s">
        <v>383</v>
      </c>
      <c r="G153" t="s">
        <v>1097</v>
      </c>
      <c r="H153" t="s">
        <v>1228</v>
      </c>
      <c r="I153" t="s">
        <v>86</v>
      </c>
      <c r="J153" t="s">
        <v>1115</v>
      </c>
      <c r="K153" t="s">
        <v>1098</v>
      </c>
    </row>
    <row r="154" spans="1:11">
      <c r="A154" t="s">
        <v>1113</v>
      </c>
      <c r="B154" t="s">
        <v>1240</v>
      </c>
      <c r="C154" t="s">
        <v>44</v>
      </c>
      <c r="D154" t="s">
        <v>30</v>
      </c>
      <c r="E154" t="s">
        <v>310</v>
      </c>
      <c r="F154" t="s">
        <v>1068</v>
      </c>
      <c r="G154" t="s">
        <v>1097</v>
      </c>
      <c r="H154" t="s">
        <v>1228</v>
      </c>
      <c r="I154" t="s">
        <v>86</v>
      </c>
      <c r="J154" t="s">
        <v>1115</v>
      </c>
      <c r="K154" t="s">
        <v>1098</v>
      </c>
    </row>
    <row r="155" spans="1:11">
      <c r="A155" t="s">
        <v>1113</v>
      </c>
      <c r="B155" t="s">
        <v>1240</v>
      </c>
      <c r="C155" t="s">
        <v>44</v>
      </c>
      <c r="D155" t="s">
        <v>30</v>
      </c>
      <c r="E155" t="s">
        <v>310</v>
      </c>
      <c r="F155" t="s">
        <v>742</v>
      </c>
      <c r="G155" t="s">
        <v>1097</v>
      </c>
      <c r="H155" t="s">
        <v>1228</v>
      </c>
      <c r="I155" t="s">
        <v>86</v>
      </c>
      <c r="J155" t="s">
        <v>1115</v>
      </c>
      <c r="K155" t="s">
        <v>1098</v>
      </c>
    </row>
    <row r="156" spans="1:11">
      <c r="A156" t="s">
        <v>1113</v>
      </c>
      <c r="B156" t="s">
        <v>1240</v>
      </c>
      <c r="C156" t="s">
        <v>44</v>
      </c>
      <c r="D156" t="s">
        <v>30</v>
      </c>
      <c r="E156" t="s">
        <v>102</v>
      </c>
      <c r="F156" t="s">
        <v>1074</v>
      </c>
      <c r="G156" t="s">
        <v>1097</v>
      </c>
      <c r="H156" t="s">
        <v>1228</v>
      </c>
      <c r="I156" t="s">
        <v>86</v>
      </c>
      <c r="J156" t="s">
        <v>1115</v>
      </c>
      <c r="K156" t="s">
        <v>1098</v>
      </c>
    </row>
    <row r="157" spans="1:11">
      <c r="A157" t="s">
        <v>1113</v>
      </c>
      <c r="B157" t="s">
        <v>1240</v>
      </c>
      <c r="C157" t="s">
        <v>44</v>
      </c>
      <c r="D157" t="s">
        <v>30</v>
      </c>
      <c r="E157" t="s">
        <v>102</v>
      </c>
      <c r="F157" t="s">
        <v>1075</v>
      </c>
      <c r="G157" t="s">
        <v>1097</v>
      </c>
      <c r="H157" t="s">
        <v>1228</v>
      </c>
      <c r="I157" t="s">
        <v>86</v>
      </c>
      <c r="J157" t="s">
        <v>1115</v>
      </c>
      <c r="K157" t="s">
        <v>1098</v>
      </c>
    </row>
    <row r="158" spans="1:11">
      <c r="A158" t="s">
        <v>1113</v>
      </c>
      <c r="B158" t="s">
        <v>1240</v>
      </c>
      <c r="C158" t="s">
        <v>44</v>
      </c>
      <c r="D158" t="s">
        <v>30</v>
      </c>
      <c r="E158" t="s">
        <v>102</v>
      </c>
      <c r="F158" t="s">
        <v>854</v>
      </c>
      <c r="G158" t="s">
        <v>1097</v>
      </c>
      <c r="H158" t="s">
        <v>1228</v>
      </c>
      <c r="I158" t="s">
        <v>86</v>
      </c>
      <c r="J158" t="s">
        <v>1115</v>
      </c>
      <c r="K158" t="s">
        <v>1098</v>
      </c>
    </row>
    <row r="159" spans="1:11">
      <c r="A159" t="s">
        <v>1123</v>
      </c>
      <c r="B159" t="s">
        <v>1241</v>
      </c>
      <c r="C159" t="s">
        <v>40</v>
      </c>
      <c r="D159" t="s">
        <v>28</v>
      </c>
      <c r="E159" t="s">
        <v>50</v>
      </c>
      <c r="F159" t="s">
        <v>239</v>
      </c>
      <c r="G159" t="s">
        <v>601</v>
      </c>
      <c r="H159" t="s">
        <v>1228</v>
      </c>
      <c r="I159" t="s">
        <v>86</v>
      </c>
      <c r="J159" t="s">
        <v>1115</v>
      </c>
      <c r="K159" t="s">
        <v>603</v>
      </c>
    </row>
    <row r="160" spans="1:11">
      <c r="A160" t="s">
        <v>1123</v>
      </c>
      <c r="B160" t="s">
        <v>1241</v>
      </c>
      <c r="C160" t="s">
        <v>40</v>
      </c>
      <c r="D160" t="s">
        <v>28</v>
      </c>
      <c r="E160" t="s">
        <v>162</v>
      </c>
      <c r="F160" t="s">
        <v>493</v>
      </c>
      <c r="G160" t="s">
        <v>601</v>
      </c>
      <c r="H160" t="s">
        <v>1228</v>
      </c>
      <c r="I160" t="s">
        <v>86</v>
      </c>
      <c r="J160" t="s">
        <v>1115</v>
      </c>
      <c r="K160" t="s">
        <v>603</v>
      </c>
    </row>
    <row r="161" spans="1:11">
      <c r="A161" t="s">
        <v>1123</v>
      </c>
      <c r="B161" t="s">
        <v>1241</v>
      </c>
      <c r="C161" t="s">
        <v>40</v>
      </c>
      <c r="D161" t="s">
        <v>30</v>
      </c>
      <c r="E161" t="s">
        <v>162</v>
      </c>
      <c r="F161" t="s">
        <v>164</v>
      </c>
      <c r="G161" t="s">
        <v>601</v>
      </c>
      <c r="H161" t="s">
        <v>1228</v>
      </c>
      <c r="I161" t="s">
        <v>86</v>
      </c>
      <c r="J161" t="s">
        <v>1115</v>
      </c>
      <c r="K161" t="s">
        <v>603</v>
      </c>
    </row>
    <row r="162" spans="1:11">
      <c r="A162" t="s">
        <v>1123</v>
      </c>
      <c r="B162" t="s">
        <v>1241</v>
      </c>
      <c r="C162" t="s">
        <v>40</v>
      </c>
      <c r="D162" t="s">
        <v>30</v>
      </c>
      <c r="E162" t="s">
        <v>50</v>
      </c>
      <c r="F162" t="s">
        <v>544</v>
      </c>
      <c r="G162" t="s">
        <v>601</v>
      </c>
      <c r="H162" t="s">
        <v>1228</v>
      </c>
      <c r="I162" t="s">
        <v>86</v>
      </c>
      <c r="J162" t="s">
        <v>1115</v>
      </c>
      <c r="K162" t="s">
        <v>603</v>
      </c>
    </row>
    <row r="163" spans="1:11">
      <c r="A163" t="s">
        <v>1123</v>
      </c>
      <c r="B163" t="s">
        <v>1241</v>
      </c>
      <c r="C163" t="s">
        <v>44</v>
      </c>
      <c r="D163" t="s">
        <v>28</v>
      </c>
      <c r="E163" t="s">
        <v>50</v>
      </c>
      <c r="F163" t="s">
        <v>304</v>
      </c>
      <c r="G163" t="s">
        <v>601</v>
      </c>
      <c r="H163" t="s">
        <v>1228</v>
      </c>
      <c r="I163" t="s">
        <v>86</v>
      </c>
      <c r="J163" t="s">
        <v>1115</v>
      </c>
      <c r="K163" t="s">
        <v>603</v>
      </c>
    </row>
    <row r="164" spans="1:11">
      <c r="A164" t="s">
        <v>1123</v>
      </c>
      <c r="B164" t="s">
        <v>1241</v>
      </c>
      <c r="C164" t="s">
        <v>44</v>
      </c>
      <c r="D164" t="s">
        <v>29</v>
      </c>
      <c r="E164" t="s">
        <v>162</v>
      </c>
      <c r="F164" t="s">
        <v>615</v>
      </c>
      <c r="G164" t="s">
        <v>601</v>
      </c>
      <c r="H164" t="s">
        <v>1228</v>
      </c>
      <c r="I164" t="s">
        <v>86</v>
      </c>
      <c r="J164" t="s">
        <v>1115</v>
      </c>
      <c r="K164" t="s">
        <v>603</v>
      </c>
    </row>
    <row r="165" spans="1:11">
      <c r="A165" t="s">
        <v>1123</v>
      </c>
      <c r="B165" t="s">
        <v>1241</v>
      </c>
      <c r="C165" t="s">
        <v>44</v>
      </c>
      <c r="D165" t="s">
        <v>30</v>
      </c>
      <c r="E165" t="s">
        <v>50</v>
      </c>
      <c r="F165" t="s">
        <v>52</v>
      </c>
      <c r="G165" t="s">
        <v>601</v>
      </c>
      <c r="H165" t="s">
        <v>1228</v>
      </c>
      <c r="I165" t="s">
        <v>86</v>
      </c>
      <c r="J165" t="s">
        <v>1115</v>
      </c>
      <c r="K165" t="s">
        <v>603</v>
      </c>
    </row>
    <row r="166" spans="1:11">
      <c r="A166" t="s">
        <v>1123</v>
      </c>
      <c r="B166" t="s">
        <v>1242</v>
      </c>
      <c r="C166" t="s">
        <v>40</v>
      </c>
      <c r="D166" t="s">
        <v>28</v>
      </c>
      <c r="E166" t="s">
        <v>57</v>
      </c>
      <c r="F166" t="s">
        <v>655</v>
      </c>
      <c r="G166" t="s">
        <v>641</v>
      </c>
      <c r="H166" t="s">
        <v>1228</v>
      </c>
      <c r="I166" t="s">
        <v>86</v>
      </c>
      <c r="J166" t="s">
        <v>1115</v>
      </c>
      <c r="K166" t="s">
        <v>643</v>
      </c>
    </row>
    <row r="167" spans="1:11">
      <c r="A167" t="s">
        <v>1123</v>
      </c>
      <c r="B167" t="s">
        <v>1242</v>
      </c>
      <c r="C167" t="s">
        <v>40</v>
      </c>
      <c r="D167" t="s">
        <v>28</v>
      </c>
      <c r="E167" t="s">
        <v>55</v>
      </c>
      <c r="F167" t="s">
        <v>56</v>
      </c>
      <c r="G167" t="s">
        <v>641</v>
      </c>
      <c r="H167" t="s">
        <v>1228</v>
      </c>
      <c r="I167" t="s">
        <v>86</v>
      </c>
      <c r="J167" t="s">
        <v>1115</v>
      </c>
      <c r="K167" t="s">
        <v>643</v>
      </c>
    </row>
    <row r="168" spans="1:11">
      <c r="A168" t="s">
        <v>1123</v>
      </c>
      <c r="B168" t="s">
        <v>1242</v>
      </c>
      <c r="C168" t="s">
        <v>40</v>
      </c>
      <c r="D168" t="s">
        <v>29</v>
      </c>
      <c r="E168" t="s">
        <v>50</v>
      </c>
      <c r="F168" t="s">
        <v>544</v>
      </c>
      <c r="G168" t="s">
        <v>641</v>
      </c>
      <c r="H168" t="s">
        <v>1228</v>
      </c>
      <c r="I168" t="s">
        <v>86</v>
      </c>
      <c r="J168" t="s">
        <v>1115</v>
      </c>
      <c r="K168" t="s">
        <v>643</v>
      </c>
    </row>
    <row r="169" spans="1:11">
      <c r="A169" t="s">
        <v>1123</v>
      </c>
      <c r="B169" t="s">
        <v>1242</v>
      </c>
      <c r="C169" t="s">
        <v>40</v>
      </c>
      <c r="D169" t="s">
        <v>29</v>
      </c>
      <c r="E169" t="s">
        <v>50</v>
      </c>
      <c r="F169" t="s">
        <v>239</v>
      </c>
      <c r="G169" t="s">
        <v>641</v>
      </c>
      <c r="H169" t="s">
        <v>1228</v>
      </c>
      <c r="I169" t="s">
        <v>86</v>
      </c>
      <c r="J169" t="s">
        <v>1115</v>
      </c>
      <c r="K169" t="s">
        <v>643</v>
      </c>
    </row>
    <row r="170" spans="1:11">
      <c r="A170" t="s">
        <v>1123</v>
      </c>
      <c r="B170" t="s">
        <v>1242</v>
      </c>
      <c r="C170" t="s">
        <v>40</v>
      </c>
      <c r="D170" t="s">
        <v>30</v>
      </c>
      <c r="E170" t="s">
        <v>50</v>
      </c>
      <c r="F170" t="s">
        <v>304</v>
      </c>
      <c r="G170" t="s">
        <v>641</v>
      </c>
      <c r="H170" t="s">
        <v>1228</v>
      </c>
      <c r="I170" t="s">
        <v>86</v>
      </c>
      <c r="J170" t="s">
        <v>1115</v>
      </c>
      <c r="K170" t="s">
        <v>643</v>
      </c>
    </row>
    <row r="171" spans="1:11">
      <c r="A171" t="s">
        <v>1123</v>
      </c>
      <c r="B171" t="s">
        <v>1242</v>
      </c>
      <c r="C171" t="s">
        <v>40</v>
      </c>
      <c r="D171" t="s">
        <v>30</v>
      </c>
      <c r="E171" t="s">
        <v>50</v>
      </c>
      <c r="F171" t="s">
        <v>544</v>
      </c>
      <c r="G171" t="s">
        <v>641</v>
      </c>
      <c r="H171" t="s">
        <v>1228</v>
      </c>
      <c r="I171" t="s">
        <v>86</v>
      </c>
      <c r="J171" t="s">
        <v>1115</v>
      </c>
      <c r="K171" t="s">
        <v>643</v>
      </c>
    </row>
    <row r="172" spans="1:11">
      <c r="A172" t="s">
        <v>1123</v>
      </c>
      <c r="B172" t="s">
        <v>1242</v>
      </c>
      <c r="C172" t="s">
        <v>44</v>
      </c>
      <c r="D172" t="s">
        <v>28</v>
      </c>
      <c r="E172" t="s">
        <v>50</v>
      </c>
      <c r="F172" t="s">
        <v>491</v>
      </c>
      <c r="G172" t="s">
        <v>641</v>
      </c>
      <c r="H172" t="s">
        <v>1228</v>
      </c>
      <c r="I172" t="s">
        <v>86</v>
      </c>
      <c r="J172" t="s">
        <v>1115</v>
      </c>
      <c r="K172" t="s">
        <v>643</v>
      </c>
    </row>
    <row r="173" spans="1:11">
      <c r="A173" t="s">
        <v>1123</v>
      </c>
      <c r="B173" t="s">
        <v>1242</v>
      </c>
      <c r="C173" t="s">
        <v>44</v>
      </c>
      <c r="D173" t="s">
        <v>28</v>
      </c>
      <c r="E173" t="s">
        <v>50</v>
      </c>
      <c r="F173" t="s">
        <v>52</v>
      </c>
      <c r="G173" t="s">
        <v>641</v>
      </c>
      <c r="H173" t="s">
        <v>1228</v>
      </c>
      <c r="I173" t="s">
        <v>86</v>
      </c>
      <c r="J173" t="s">
        <v>1115</v>
      </c>
      <c r="K173" t="s">
        <v>643</v>
      </c>
    </row>
    <row r="174" spans="1:11">
      <c r="A174" t="s">
        <v>1123</v>
      </c>
      <c r="B174" t="s">
        <v>1242</v>
      </c>
      <c r="C174" t="s">
        <v>44</v>
      </c>
      <c r="D174" t="s">
        <v>29</v>
      </c>
      <c r="E174" t="s">
        <v>50</v>
      </c>
      <c r="F174" t="s">
        <v>239</v>
      </c>
      <c r="G174" t="s">
        <v>641</v>
      </c>
      <c r="H174" t="s">
        <v>1228</v>
      </c>
      <c r="I174" t="s">
        <v>86</v>
      </c>
      <c r="J174" t="s">
        <v>1115</v>
      </c>
      <c r="K174" t="s">
        <v>643</v>
      </c>
    </row>
    <row r="175" spans="1:11">
      <c r="A175" t="s">
        <v>1123</v>
      </c>
      <c r="B175" t="s">
        <v>1242</v>
      </c>
      <c r="C175" t="s">
        <v>44</v>
      </c>
      <c r="D175" t="s">
        <v>30</v>
      </c>
      <c r="E175" t="s">
        <v>50</v>
      </c>
      <c r="F175" t="s">
        <v>304</v>
      </c>
      <c r="G175" t="s">
        <v>641</v>
      </c>
      <c r="H175" t="s">
        <v>1228</v>
      </c>
      <c r="I175" t="s">
        <v>86</v>
      </c>
      <c r="J175" t="s">
        <v>1115</v>
      </c>
      <c r="K175" t="s">
        <v>643</v>
      </c>
    </row>
    <row r="176" spans="1:11">
      <c r="A176" t="s">
        <v>1123</v>
      </c>
      <c r="B176" t="s">
        <v>1242</v>
      </c>
      <c r="C176" t="s">
        <v>44</v>
      </c>
      <c r="D176" t="s">
        <v>30</v>
      </c>
      <c r="E176" t="s">
        <v>50</v>
      </c>
      <c r="F176" t="s">
        <v>544</v>
      </c>
      <c r="G176" t="s">
        <v>641</v>
      </c>
      <c r="H176" t="s">
        <v>1228</v>
      </c>
      <c r="I176" t="s">
        <v>86</v>
      </c>
      <c r="J176" t="s">
        <v>1115</v>
      </c>
      <c r="K176" t="s">
        <v>643</v>
      </c>
    </row>
    <row r="177" spans="1:11">
      <c r="A177" t="s">
        <v>1123</v>
      </c>
      <c r="B177" t="s">
        <v>1243</v>
      </c>
      <c r="C177" t="s">
        <v>40</v>
      </c>
      <c r="D177" t="s">
        <v>28</v>
      </c>
      <c r="E177" t="s">
        <v>50</v>
      </c>
      <c r="F177" t="s">
        <v>239</v>
      </c>
      <c r="G177" t="s">
        <v>678</v>
      </c>
      <c r="H177" t="s">
        <v>1228</v>
      </c>
      <c r="I177" t="s">
        <v>86</v>
      </c>
      <c r="J177" t="s">
        <v>1115</v>
      </c>
      <c r="K177" t="s">
        <v>680</v>
      </c>
    </row>
    <row r="178" spans="1:11">
      <c r="A178" t="s">
        <v>1123</v>
      </c>
      <c r="B178" t="s">
        <v>1243</v>
      </c>
      <c r="C178" t="s">
        <v>40</v>
      </c>
      <c r="D178" t="s">
        <v>28</v>
      </c>
      <c r="E178" t="s">
        <v>50</v>
      </c>
      <c r="F178" t="s">
        <v>52</v>
      </c>
      <c r="G178" t="s">
        <v>678</v>
      </c>
      <c r="H178" t="s">
        <v>1228</v>
      </c>
      <c r="I178" t="s">
        <v>86</v>
      </c>
      <c r="J178" t="s">
        <v>1115</v>
      </c>
      <c r="K178" t="s">
        <v>680</v>
      </c>
    </row>
    <row r="179" spans="1:11">
      <c r="A179" t="s">
        <v>1123</v>
      </c>
      <c r="B179" t="s">
        <v>1243</v>
      </c>
      <c r="C179" t="s">
        <v>40</v>
      </c>
      <c r="D179" t="s">
        <v>28</v>
      </c>
      <c r="E179" t="s">
        <v>50</v>
      </c>
      <c r="F179" t="s">
        <v>51</v>
      </c>
      <c r="G179" t="s">
        <v>678</v>
      </c>
      <c r="H179" t="s">
        <v>1228</v>
      </c>
      <c r="I179" t="s">
        <v>86</v>
      </c>
      <c r="J179" t="s">
        <v>1115</v>
      </c>
      <c r="K179" t="s">
        <v>680</v>
      </c>
    </row>
    <row r="180" spans="1:11">
      <c r="A180" t="s">
        <v>1123</v>
      </c>
      <c r="B180" t="s">
        <v>1243</v>
      </c>
      <c r="C180" t="s">
        <v>40</v>
      </c>
      <c r="D180" t="s">
        <v>28</v>
      </c>
      <c r="E180" t="s">
        <v>50</v>
      </c>
      <c r="F180" t="s">
        <v>304</v>
      </c>
      <c r="G180" t="s">
        <v>678</v>
      </c>
      <c r="H180" t="s">
        <v>1228</v>
      </c>
      <c r="I180" t="s">
        <v>86</v>
      </c>
      <c r="J180" t="s">
        <v>1115</v>
      </c>
      <c r="K180" t="s">
        <v>680</v>
      </c>
    </row>
    <row r="181" spans="1:11">
      <c r="A181" t="s">
        <v>1123</v>
      </c>
      <c r="B181" t="s">
        <v>1243</v>
      </c>
      <c r="C181" t="s">
        <v>40</v>
      </c>
      <c r="D181" t="s">
        <v>28</v>
      </c>
      <c r="E181" t="s">
        <v>57</v>
      </c>
      <c r="F181" t="s">
        <v>655</v>
      </c>
      <c r="G181" t="s">
        <v>678</v>
      </c>
      <c r="H181" t="s">
        <v>1228</v>
      </c>
      <c r="I181" t="s">
        <v>86</v>
      </c>
      <c r="J181" t="s">
        <v>1115</v>
      </c>
      <c r="K181" t="s">
        <v>680</v>
      </c>
    </row>
    <row r="182" spans="1:11">
      <c r="A182" t="s">
        <v>1123</v>
      </c>
      <c r="B182" t="s">
        <v>1243</v>
      </c>
      <c r="C182" t="s">
        <v>40</v>
      </c>
      <c r="D182" t="s">
        <v>28</v>
      </c>
      <c r="E182" t="s">
        <v>57</v>
      </c>
      <c r="F182" t="s">
        <v>240</v>
      </c>
      <c r="G182" t="s">
        <v>678</v>
      </c>
      <c r="H182" t="s">
        <v>1228</v>
      </c>
      <c r="I182" t="s">
        <v>86</v>
      </c>
      <c r="J182" t="s">
        <v>1115</v>
      </c>
      <c r="K182" t="s">
        <v>680</v>
      </c>
    </row>
    <row r="183" spans="1:11">
      <c r="A183" t="s">
        <v>1123</v>
      </c>
      <c r="B183" t="s">
        <v>1243</v>
      </c>
      <c r="C183" t="s">
        <v>40</v>
      </c>
      <c r="D183" t="s">
        <v>28</v>
      </c>
      <c r="E183" t="s">
        <v>57</v>
      </c>
      <c r="F183" t="s">
        <v>78</v>
      </c>
      <c r="G183" t="s">
        <v>678</v>
      </c>
      <c r="H183" t="s">
        <v>1228</v>
      </c>
      <c r="I183" t="s">
        <v>86</v>
      </c>
      <c r="J183" t="s">
        <v>1115</v>
      </c>
      <c r="K183" t="s">
        <v>680</v>
      </c>
    </row>
    <row r="184" spans="1:11">
      <c r="A184" t="s">
        <v>1123</v>
      </c>
      <c r="B184" t="s">
        <v>1243</v>
      </c>
      <c r="C184" t="s">
        <v>40</v>
      </c>
      <c r="D184" t="s">
        <v>28</v>
      </c>
      <c r="E184" t="s">
        <v>57</v>
      </c>
      <c r="F184" t="s">
        <v>543</v>
      </c>
      <c r="G184" t="s">
        <v>678</v>
      </c>
      <c r="H184" t="s">
        <v>1228</v>
      </c>
      <c r="I184" t="s">
        <v>86</v>
      </c>
      <c r="J184" t="s">
        <v>1115</v>
      </c>
      <c r="K184" t="s">
        <v>680</v>
      </c>
    </row>
    <row r="185" spans="1:11">
      <c r="A185" t="s">
        <v>1123</v>
      </c>
      <c r="B185" t="s">
        <v>1243</v>
      </c>
      <c r="C185" t="s">
        <v>40</v>
      </c>
      <c r="D185" t="s">
        <v>28</v>
      </c>
      <c r="E185" t="s">
        <v>57</v>
      </c>
      <c r="F185" t="s">
        <v>58</v>
      </c>
      <c r="G185" t="s">
        <v>678</v>
      </c>
      <c r="H185" t="s">
        <v>1228</v>
      </c>
      <c r="I185" t="s">
        <v>86</v>
      </c>
      <c r="J185" t="s">
        <v>1115</v>
      </c>
      <c r="K185" t="s">
        <v>680</v>
      </c>
    </row>
    <row r="186" spans="1:11">
      <c r="A186" t="s">
        <v>1123</v>
      </c>
      <c r="B186" t="s">
        <v>1243</v>
      </c>
      <c r="C186" t="s">
        <v>40</v>
      </c>
      <c r="D186" t="s">
        <v>28</v>
      </c>
      <c r="E186" t="s">
        <v>57</v>
      </c>
      <c r="F186" t="s">
        <v>907</v>
      </c>
      <c r="G186" t="s">
        <v>678</v>
      </c>
      <c r="H186" t="s">
        <v>1228</v>
      </c>
      <c r="I186" t="s">
        <v>86</v>
      </c>
      <c r="J186" t="s">
        <v>1115</v>
      </c>
      <c r="K186" t="s">
        <v>680</v>
      </c>
    </row>
    <row r="187" spans="1:11">
      <c r="A187" t="s">
        <v>1123</v>
      </c>
      <c r="B187" t="s">
        <v>1243</v>
      </c>
      <c r="C187" t="s">
        <v>40</v>
      </c>
      <c r="D187" t="s">
        <v>28</v>
      </c>
      <c r="E187" t="s">
        <v>53</v>
      </c>
      <c r="F187" t="s">
        <v>54</v>
      </c>
      <c r="G187" t="s">
        <v>678</v>
      </c>
      <c r="H187" t="s">
        <v>1228</v>
      </c>
      <c r="I187" t="s">
        <v>86</v>
      </c>
      <c r="J187" t="s">
        <v>1115</v>
      </c>
      <c r="K187" t="s">
        <v>680</v>
      </c>
    </row>
    <row r="188" spans="1:11">
      <c r="A188" t="s">
        <v>1123</v>
      </c>
      <c r="B188" t="s">
        <v>1243</v>
      </c>
      <c r="C188" t="s">
        <v>40</v>
      </c>
      <c r="D188" t="s">
        <v>28</v>
      </c>
      <c r="E188" t="s">
        <v>53</v>
      </c>
      <c r="F188" t="s">
        <v>242</v>
      </c>
      <c r="G188" t="s">
        <v>678</v>
      </c>
      <c r="H188" t="s">
        <v>1228</v>
      </c>
      <c r="I188" t="s">
        <v>86</v>
      </c>
      <c r="J188" t="s">
        <v>1115</v>
      </c>
      <c r="K188" t="s">
        <v>680</v>
      </c>
    </row>
    <row r="189" spans="1:11">
      <c r="A189" t="s">
        <v>1123</v>
      </c>
      <c r="B189" t="s">
        <v>1243</v>
      </c>
      <c r="C189" t="s">
        <v>40</v>
      </c>
      <c r="D189" t="s">
        <v>28</v>
      </c>
      <c r="E189" t="s">
        <v>162</v>
      </c>
      <c r="F189" t="s">
        <v>163</v>
      </c>
      <c r="G189" t="s">
        <v>678</v>
      </c>
      <c r="H189" t="s">
        <v>1228</v>
      </c>
      <c r="I189" t="s">
        <v>86</v>
      </c>
      <c r="J189" t="s">
        <v>1115</v>
      </c>
      <c r="K189" t="s">
        <v>680</v>
      </c>
    </row>
    <row r="190" spans="1:11">
      <c r="A190" t="s">
        <v>1123</v>
      </c>
      <c r="B190" t="s">
        <v>1243</v>
      </c>
      <c r="C190" t="s">
        <v>40</v>
      </c>
      <c r="D190" t="s">
        <v>28</v>
      </c>
      <c r="E190" t="s">
        <v>162</v>
      </c>
      <c r="F190" t="s">
        <v>493</v>
      </c>
      <c r="G190" t="s">
        <v>678</v>
      </c>
      <c r="H190" t="s">
        <v>1228</v>
      </c>
      <c r="I190" t="s">
        <v>86</v>
      </c>
      <c r="J190" t="s">
        <v>1115</v>
      </c>
      <c r="K190" t="s">
        <v>680</v>
      </c>
    </row>
    <row r="191" spans="1:11">
      <c r="A191" t="s">
        <v>1123</v>
      </c>
      <c r="B191" t="s">
        <v>1243</v>
      </c>
      <c r="C191" t="s">
        <v>40</v>
      </c>
      <c r="D191" t="s">
        <v>28</v>
      </c>
      <c r="E191" t="s">
        <v>162</v>
      </c>
      <c r="F191" t="s">
        <v>164</v>
      </c>
      <c r="G191" t="s">
        <v>678</v>
      </c>
      <c r="H191" t="s">
        <v>1228</v>
      </c>
      <c r="I191" t="s">
        <v>86</v>
      </c>
      <c r="J191" t="s">
        <v>1115</v>
      </c>
      <c r="K191" t="s">
        <v>680</v>
      </c>
    </row>
    <row r="192" spans="1:11">
      <c r="A192" t="s">
        <v>1123</v>
      </c>
      <c r="B192" t="s">
        <v>1243</v>
      </c>
      <c r="C192" t="s">
        <v>40</v>
      </c>
      <c r="D192" t="s">
        <v>28</v>
      </c>
      <c r="E192" t="s">
        <v>162</v>
      </c>
      <c r="F192" t="s">
        <v>383</v>
      </c>
      <c r="G192" t="s">
        <v>678</v>
      </c>
      <c r="H192" t="s">
        <v>1228</v>
      </c>
      <c r="I192" t="s">
        <v>86</v>
      </c>
      <c r="J192" t="s">
        <v>1115</v>
      </c>
      <c r="K192" t="s">
        <v>680</v>
      </c>
    </row>
    <row r="193" spans="1:11">
      <c r="A193" t="s">
        <v>1123</v>
      </c>
      <c r="B193" t="s">
        <v>1243</v>
      </c>
      <c r="C193" t="s">
        <v>40</v>
      </c>
      <c r="D193" t="s">
        <v>28</v>
      </c>
      <c r="E193" t="s">
        <v>162</v>
      </c>
      <c r="F193" t="s">
        <v>781</v>
      </c>
      <c r="G193" t="s">
        <v>678</v>
      </c>
      <c r="H193" t="s">
        <v>1228</v>
      </c>
      <c r="I193" t="s">
        <v>86</v>
      </c>
      <c r="J193" t="s">
        <v>1115</v>
      </c>
      <c r="K193" t="s">
        <v>680</v>
      </c>
    </row>
    <row r="194" spans="1:11">
      <c r="A194" t="s">
        <v>1123</v>
      </c>
      <c r="B194" t="s">
        <v>1243</v>
      </c>
      <c r="C194" t="s">
        <v>40</v>
      </c>
      <c r="D194" t="s">
        <v>28</v>
      </c>
      <c r="E194" t="s">
        <v>55</v>
      </c>
      <c r="F194" t="s">
        <v>241</v>
      </c>
      <c r="G194" t="s">
        <v>678</v>
      </c>
      <c r="H194" t="s">
        <v>1228</v>
      </c>
      <c r="I194" t="s">
        <v>86</v>
      </c>
      <c r="J194" t="s">
        <v>1115</v>
      </c>
      <c r="K194" t="s">
        <v>680</v>
      </c>
    </row>
    <row r="195" spans="1:11">
      <c r="A195" t="s">
        <v>1123</v>
      </c>
      <c r="B195" t="s">
        <v>1243</v>
      </c>
      <c r="C195" t="s">
        <v>40</v>
      </c>
      <c r="D195" t="s">
        <v>28</v>
      </c>
      <c r="E195" t="s">
        <v>55</v>
      </c>
      <c r="F195" t="s">
        <v>359</v>
      </c>
      <c r="G195" t="s">
        <v>678</v>
      </c>
      <c r="H195" t="s">
        <v>1228</v>
      </c>
      <c r="I195" t="s">
        <v>86</v>
      </c>
      <c r="J195" t="s">
        <v>1115</v>
      </c>
      <c r="K195" t="s">
        <v>680</v>
      </c>
    </row>
    <row r="196" spans="1:11">
      <c r="A196" t="s">
        <v>1123</v>
      </c>
      <c r="B196" t="s">
        <v>1243</v>
      </c>
      <c r="C196" t="s">
        <v>40</v>
      </c>
      <c r="D196" t="s">
        <v>28</v>
      </c>
      <c r="E196" t="s">
        <v>310</v>
      </c>
      <c r="F196" t="s">
        <v>1067</v>
      </c>
      <c r="G196" t="s">
        <v>678</v>
      </c>
      <c r="H196" t="s">
        <v>1228</v>
      </c>
      <c r="I196" t="s">
        <v>86</v>
      </c>
      <c r="J196" t="s">
        <v>1115</v>
      </c>
      <c r="K196" t="s">
        <v>680</v>
      </c>
    </row>
    <row r="197" spans="1:11">
      <c r="A197" t="s">
        <v>1123</v>
      </c>
      <c r="B197" t="s">
        <v>1244</v>
      </c>
      <c r="C197" t="s">
        <v>40</v>
      </c>
      <c r="D197" t="s">
        <v>28</v>
      </c>
      <c r="E197" t="s">
        <v>50</v>
      </c>
      <c r="F197" t="s">
        <v>304</v>
      </c>
      <c r="G197" t="s">
        <v>720</v>
      </c>
      <c r="H197" t="s">
        <v>1228</v>
      </c>
      <c r="I197" t="s">
        <v>86</v>
      </c>
      <c r="J197" t="s">
        <v>1115</v>
      </c>
      <c r="K197" t="s">
        <v>6</v>
      </c>
    </row>
    <row r="198" spans="1:11">
      <c r="A198" t="s">
        <v>1123</v>
      </c>
      <c r="B198" t="s">
        <v>1244</v>
      </c>
      <c r="C198" t="s">
        <v>40</v>
      </c>
      <c r="D198" t="s">
        <v>29</v>
      </c>
      <c r="E198" t="s">
        <v>162</v>
      </c>
      <c r="F198" t="s">
        <v>493</v>
      </c>
      <c r="G198" t="s">
        <v>720</v>
      </c>
      <c r="H198" t="s">
        <v>1228</v>
      </c>
      <c r="I198" t="s">
        <v>86</v>
      </c>
      <c r="J198" t="s">
        <v>1115</v>
      </c>
      <c r="K198" t="s">
        <v>6</v>
      </c>
    </row>
    <row r="199" spans="1:11">
      <c r="A199" t="s">
        <v>1123</v>
      </c>
      <c r="B199" t="s">
        <v>1244</v>
      </c>
      <c r="C199" t="s">
        <v>40</v>
      </c>
      <c r="D199" t="s">
        <v>30</v>
      </c>
      <c r="E199" t="s">
        <v>53</v>
      </c>
      <c r="F199" t="s">
        <v>161</v>
      </c>
      <c r="G199" t="s">
        <v>720</v>
      </c>
      <c r="H199" t="s">
        <v>1228</v>
      </c>
      <c r="I199" t="s">
        <v>86</v>
      </c>
      <c r="J199" t="s">
        <v>1115</v>
      </c>
      <c r="K199" t="s">
        <v>6</v>
      </c>
    </row>
    <row r="200" spans="1:11">
      <c r="A200" t="s">
        <v>1123</v>
      </c>
      <c r="B200" t="s">
        <v>1244</v>
      </c>
      <c r="C200" t="s">
        <v>40</v>
      </c>
      <c r="D200" t="s">
        <v>31</v>
      </c>
      <c r="E200" t="s">
        <v>102</v>
      </c>
      <c r="F200" t="s">
        <v>542</v>
      </c>
      <c r="G200" t="s">
        <v>720</v>
      </c>
      <c r="H200" t="s">
        <v>1228</v>
      </c>
      <c r="I200" t="s">
        <v>86</v>
      </c>
      <c r="J200" t="s">
        <v>1115</v>
      </c>
      <c r="K200" t="s">
        <v>6</v>
      </c>
    </row>
    <row r="201" spans="1:11">
      <c r="A201" t="s">
        <v>1123</v>
      </c>
      <c r="B201" t="s">
        <v>1244</v>
      </c>
      <c r="C201" t="s">
        <v>40</v>
      </c>
      <c r="D201" t="s">
        <v>32</v>
      </c>
      <c r="E201" t="s">
        <v>55</v>
      </c>
      <c r="F201" t="s">
        <v>241</v>
      </c>
      <c r="G201" t="s">
        <v>720</v>
      </c>
      <c r="H201" t="s">
        <v>1228</v>
      </c>
      <c r="I201" t="s">
        <v>86</v>
      </c>
      <c r="J201" t="s">
        <v>1115</v>
      </c>
      <c r="K201" t="s">
        <v>6</v>
      </c>
    </row>
    <row r="202" spans="1:11">
      <c r="A202" t="s">
        <v>1123</v>
      </c>
      <c r="B202" t="s">
        <v>1244</v>
      </c>
      <c r="C202" t="s">
        <v>44</v>
      </c>
      <c r="D202" t="s">
        <v>28</v>
      </c>
      <c r="E202" t="s">
        <v>310</v>
      </c>
      <c r="F202" t="s">
        <v>742</v>
      </c>
      <c r="G202" t="s">
        <v>720</v>
      </c>
      <c r="H202" t="s">
        <v>1228</v>
      </c>
      <c r="I202" t="s">
        <v>86</v>
      </c>
      <c r="J202" t="s">
        <v>1115</v>
      </c>
      <c r="K202" t="s">
        <v>6</v>
      </c>
    </row>
    <row r="203" spans="1:11">
      <c r="A203" t="s">
        <v>1123</v>
      </c>
      <c r="B203" t="s">
        <v>1244</v>
      </c>
      <c r="C203" t="s">
        <v>44</v>
      </c>
      <c r="D203" t="s">
        <v>29</v>
      </c>
      <c r="E203" t="s">
        <v>162</v>
      </c>
      <c r="F203" t="s">
        <v>163</v>
      </c>
      <c r="G203" t="s">
        <v>720</v>
      </c>
      <c r="H203" t="s">
        <v>1228</v>
      </c>
      <c r="I203" t="s">
        <v>86</v>
      </c>
      <c r="J203" t="s">
        <v>1115</v>
      </c>
      <c r="K203" t="s">
        <v>6</v>
      </c>
    </row>
    <row r="204" spans="1:11">
      <c r="A204" t="s">
        <v>1123</v>
      </c>
      <c r="B204" t="s">
        <v>1244</v>
      </c>
      <c r="C204" t="s">
        <v>44</v>
      </c>
      <c r="D204" t="s">
        <v>30</v>
      </c>
      <c r="E204" t="s">
        <v>50</v>
      </c>
      <c r="F204" t="s">
        <v>239</v>
      </c>
      <c r="G204" t="s">
        <v>720</v>
      </c>
      <c r="H204" t="s">
        <v>1228</v>
      </c>
      <c r="I204" t="s">
        <v>86</v>
      </c>
      <c r="J204" t="s">
        <v>1115</v>
      </c>
      <c r="K204" t="s">
        <v>6</v>
      </c>
    </row>
    <row r="205" spans="1:11">
      <c r="A205" t="s">
        <v>1123</v>
      </c>
      <c r="B205" t="s">
        <v>1244</v>
      </c>
      <c r="C205" t="s">
        <v>44</v>
      </c>
      <c r="D205" t="s">
        <v>31</v>
      </c>
      <c r="E205" t="s">
        <v>310</v>
      </c>
      <c r="F205" t="s">
        <v>742</v>
      </c>
      <c r="G205" t="s">
        <v>720</v>
      </c>
      <c r="H205" t="s">
        <v>1228</v>
      </c>
      <c r="I205" t="s">
        <v>86</v>
      </c>
      <c r="J205" t="s">
        <v>1115</v>
      </c>
      <c r="K205" t="s">
        <v>6</v>
      </c>
    </row>
    <row r="206" spans="1:11">
      <c r="A206" t="s">
        <v>1123</v>
      </c>
      <c r="B206" t="s">
        <v>1244</v>
      </c>
      <c r="C206" t="s">
        <v>44</v>
      </c>
      <c r="D206" t="s">
        <v>32</v>
      </c>
      <c r="E206" t="s">
        <v>55</v>
      </c>
      <c r="F206" t="s">
        <v>56</v>
      </c>
      <c r="G206" t="s">
        <v>720</v>
      </c>
      <c r="H206" t="s">
        <v>1228</v>
      </c>
      <c r="I206" t="s">
        <v>86</v>
      </c>
      <c r="J206" t="s">
        <v>1115</v>
      </c>
      <c r="K206" t="s">
        <v>6</v>
      </c>
    </row>
    <row r="207" spans="1:11">
      <c r="A207" t="s">
        <v>1123</v>
      </c>
      <c r="B207" t="s">
        <v>1245</v>
      </c>
      <c r="C207" t="s">
        <v>40</v>
      </c>
      <c r="D207" t="s">
        <v>28</v>
      </c>
      <c r="E207" t="s">
        <v>57</v>
      </c>
      <c r="F207" t="s">
        <v>655</v>
      </c>
      <c r="G207" t="s">
        <v>803</v>
      </c>
      <c r="H207" t="s">
        <v>1228</v>
      </c>
      <c r="I207" t="s">
        <v>86</v>
      </c>
      <c r="J207" t="s">
        <v>1115</v>
      </c>
      <c r="K207" t="s">
        <v>805</v>
      </c>
    </row>
    <row r="208" spans="1:11">
      <c r="A208" t="s">
        <v>1123</v>
      </c>
      <c r="B208" t="s">
        <v>1245</v>
      </c>
      <c r="C208" t="s">
        <v>40</v>
      </c>
      <c r="D208" t="s">
        <v>28</v>
      </c>
      <c r="E208" t="s">
        <v>55</v>
      </c>
      <c r="F208" t="s">
        <v>56</v>
      </c>
      <c r="G208" t="s">
        <v>803</v>
      </c>
      <c r="H208" t="s">
        <v>1228</v>
      </c>
      <c r="I208" t="s">
        <v>86</v>
      </c>
      <c r="J208" t="s">
        <v>1115</v>
      </c>
      <c r="K208" t="s">
        <v>805</v>
      </c>
    </row>
    <row r="209" spans="1:11">
      <c r="A209" t="s">
        <v>1123</v>
      </c>
      <c r="B209" t="s">
        <v>1245</v>
      </c>
      <c r="C209" t="s">
        <v>40</v>
      </c>
      <c r="D209" t="s">
        <v>29</v>
      </c>
      <c r="E209" t="s">
        <v>50</v>
      </c>
      <c r="F209" t="s">
        <v>544</v>
      </c>
      <c r="G209" t="s">
        <v>803</v>
      </c>
      <c r="H209" t="s">
        <v>1228</v>
      </c>
      <c r="I209" t="s">
        <v>86</v>
      </c>
      <c r="J209" t="s">
        <v>1115</v>
      </c>
      <c r="K209" t="s">
        <v>805</v>
      </c>
    </row>
    <row r="210" spans="1:11">
      <c r="A210" t="s">
        <v>1123</v>
      </c>
      <c r="B210" t="s">
        <v>1245</v>
      </c>
      <c r="C210" t="s">
        <v>40</v>
      </c>
      <c r="D210" t="s">
        <v>29</v>
      </c>
      <c r="E210" t="s">
        <v>50</v>
      </c>
      <c r="F210" t="s">
        <v>239</v>
      </c>
      <c r="G210" t="s">
        <v>803</v>
      </c>
      <c r="H210" t="s">
        <v>1228</v>
      </c>
      <c r="I210" t="s">
        <v>86</v>
      </c>
      <c r="J210" t="s">
        <v>1115</v>
      </c>
      <c r="K210" t="s">
        <v>805</v>
      </c>
    </row>
    <row r="211" spans="1:11">
      <c r="A211" t="s">
        <v>1123</v>
      </c>
      <c r="B211" t="s">
        <v>1245</v>
      </c>
      <c r="C211" t="s">
        <v>40</v>
      </c>
      <c r="D211" t="s">
        <v>30</v>
      </c>
      <c r="E211" t="s">
        <v>50</v>
      </c>
      <c r="F211" t="s">
        <v>304</v>
      </c>
      <c r="G211" t="s">
        <v>803</v>
      </c>
      <c r="H211" t="s">
        <v>1228</v>
      </c>
      <c r="I211" t="s">
        <v>86</v>
      </c>
      <c r="J211" t="s">
        <v>1115</v>
      </c>
      <c r="K211" t="s">
        <v>805</v>
      </c>
    </row>
    <row r="212" spans="1:11">
      <c r="A212" t="s">
        <v>1123</v>
      </c>
      <c r="B212" t="s">
        <v>1245</v>
      </c>
      <c r="C212" t="s">
        <v>44</v>
      </c>
      <c r="D212" t="s">
        <v>30</v>
      </c>
      <c r="E212" t="s">
        <v>50</v>
      </c>
      <c r="F212" t="s">
        <v>544</v>
      </c>
      <c r="G212" t="s">
        <v>803</v>
      </c>
      <c r="H212" t="s">
        <v>1228</v>
      </c>
      <c r="I212" t="s">
        <v>86</v>
      </c>
      <c r="J212" t="s">
        <v>1115</v>
      </c>
      <c r="K212" t="s">
        <v>805</v>
      </c>
    </row>
    <row r="213" spans="1:11">
      <c r="A213" t="s">
        <v>1123</v>
      </c>
      <c r="B213" t="s">
        <v>1245</v>
      </c>
      <c r="C213" t="s">
        <v>44</v>
      </c>
      <c r="D213" t="s">
        <v>28</v>
      </c>
      <c r="E213" t="s">
        <v>50</v>
      </c>
      <c r="F213" t="s">
        <v>491</v>
      </c>
      <c r="G213" t="s">
        <v>803</v>
      </c>
      <c r="H213" t="s">
        <v>1228</v>
      </c>
      <c r="I213" t="s">
        <v>86</v>
      </c>
      <c r="J213" t="s">
        <v>1115</v>
      </c>
      <c r="K213" t="s">
        <v>805</v>
      </c>
    </row>
    <row r="214" spans="1:11">
      <c r="A214" t="s">
        <v>1123</v>
      </c>
      <c r="B214" t="s">
        <v>1245</v>
      </c>
      <c r="C214" t="s">
        <v>44</v>
      </c>
      <c r="D214" t="s">
        <v>28</v>
      </c>
      <c r="E214" t="s">
        <v>50</v>
      </c>
      <c r="F214" t="s">
        <v>52</v>
      </c>
      <c r="G214" t="s">
        <v>803</v>
      </c>
      <c r="H214" t="s">
        <v>1228</v>
      </c>
      <c r="I214" t="s">
        <v>86</v>
      </c>
      <c r="J214" t="s">
        <v>1115</v>
      </c>
      <c r="K214" t="s">
        <v>805</v>
      </c>
    </row>
    <row r="215" spans="1:11">
      <c r="A215" t="s">
        <v>1123</v>
      </c>
      <c r="B215" t="s">
        <v>1245</v>
      </c>
      <c r="C215" t="s">
        <v>44</v>
      </c>
      <c r="D215" t="s">
        <v>29</v>
      </c>
      <c r="E215" t="s">
        <v>50</v>
      </c>
      <c r="F215" t="s">
        <v>239</v>
      </c>
      <c r="G215" t="s">
        <v>803</v>
      </c>
      <c r="H215" t="s">
        <v>1228</v>
      </c>
      <c r="I215" t="s">
        <v>86</v>
      </c>
      <c r="J215" t="s">
        <v>1115</v>
      </c>
      <c r="K215" t="s">
        <v>805</v>
      </c>
    </row>
    <row r="216" spans="1:11">
      <c r="A216" t="s">
        <v>1123</v>
      </c>
      <c r="B216" t="s">
        <v>1245</v>
      </c>
      <c r="C216" t="s">
        <v>44</v>
      </c>
      <c r="D216" t="s">
        <v>30</v>
      </c>
      <c r="E216" t="s">
        <v>50</v>
      </c>
      <c r="F216" t="s">
        <v>304</v>
      </c>
      <c r="G216" t="s">
        <v>803</v>
      </c>
      <c r="H216" t="s">
        <v>1228</v>
      </c>
      <c r="I216" t="s">
        <v>86</v>
      </c>
      <c r="J216" t="s">
        <v>1115</v>
      </c>
      <c r="K216" t="s">
        <v>805</v>
      </c>
    </row>
    <row r="217" spans="1:11">
      <c r="A217" t="s">
        <v>1123</v>
      </c>
      <c r="B217" t="s">
        <v>1245</v>
      </c>
      <c r="C217" t="s">
        <v>44</v>
      </c>
      <c r="D217" t="s">
        <v>30</v>
      </c>
      <c r="E217" t="s">
        <v>50</v>
      </c>
      <c r="F217" t="s">
        <v>544</v>
      </c>
      <c r="G217" t="s">
        <v>803</v>
      </c>
      <c r="H217" t="s">
        <v>1228</v>
      </c>
      <c r="I217" t="s">
        <v>86</v>
      </c>
      <c r="J217" t="s">
        <v>1115</v>
      </c>
      <c r="K217" t="s">
        <v>805</v>
      </c>
    </row>
    <row r="218" spans="1:11">
      <c r="A218" t="s">
        <v>1123</v>
      </c>
      <c r="B218" t="s">
        <v>1246</v>
      </c>
      <c r="C218" t="s">
        <v>40</v>
      </c>
      <c r="D218" t="s">
        <v>28</v>
      </c>
      <c r="E218" t="s">
        <v>50</v>
      </c>
      <c r="F218" t="s">
        <v>239</v>
      </c>
      <c r="G218" t="s">
        <v>840</v>
      </c>
      <c r="H218" t="s">
        <v>1228</v>
      </c>
      <c r="I218" t="s">
        <v>86</v>
      </c>
      <c r="J218" t="s">
        <v>1115</v>
      </c>
      <c r="K218" t="s">
        <v>1105</v>
      </c>
    </row>
    <row r="219" spans="1:11">
      <c r="A219" t="s">
        <v>1123</v>
      </c>
      <c r="B219" t="s">
        <v>1246</v>
      </c>
      <c r="C219" t="s">
        <v>44</v>
      </c>
      <c r="D219" t="s">
        <v>28</v>
      </c>
      <c r="E219" t="s">
        <v>50</v>
      </c>
      <c r="F219" t="s">
        <v>544</v>
      </c>
      <c r="G219" t="s">
        <v>840</v>
      </c>
      <c r="H219" t="s">
        <v>1228</v>
      </c>
      <c r="I219" t="s">
        <v>86</v>
      </c>
      <c r="J219" t="s">
        <v>1115</v>
      </c>
      <c r="K219" t="s">
        <v>1105</v>
      </c>
    </row>
    <row r="220" spans="1:11">
      <c r="A220" t="s">
        <v>1123</v>
      </c>
      <c r="B220" t="s">
        <v>1246</v>
      </c>
      <c r="C220" t="s">
        <v>40</v>
      </c>
      <c r="D220" t="s">
        <v>30</v>
      </c>
      <c r="E220" t="s">
        <v>57</v>
      </c>
      <c r="F220" t="s">
        <v>78</v>
      </c>
      <c r="G220" t="s">
        <v>840</v>
      </c>
      <c r="H220" t="s">
        <v>1228</v>
      </c>
      <c r="I220" t="s">
        <v>86</v>
      </c>
      <c r="J220" t="s">
        <v>1115</v>
      </c>
      <c r="K220" t="s">
        <v>1105</v>
      </c>
    </row>
    <row r="221" spans="1:11">
      <c r="A221" t="s">
        <v>1123</v>
      </c>
      <c r="B221" t="s">
        <v>1246</v>
      </c>
      <c r="C221" t="s">
        <v>40</v>
      </c>
      <c r="D221" t="s">
        <v>30</v>
      </c>
      <c r="E221" t="s">
        <v>53</v>
      </c>
      <c r="F221" t="s">
        <v>242</v>
      </c>
      <c r="G221" t="s">
        <v>840</v>
      </c>
      <c r="H221" t="s">
        <v>1228</v>
      </c>
      <c r="I221" t="s">
        <v>86</v>
      </c>
      <c r="J221" t="s">
        <v>1115</v>
      </c>
      <c r="K221" t="s">
        <v>1105</v>
      </c>
    </row>
    <row r="222" spans="1:11">
      <c r="A222" t="s">
        <v>1123</v>
      </c>
      <c r="B222" t="s">
        <v>1246</v>
      </c>
      <c r="C222" t="s">
        <v>40</v>
      </c>
      <c r="D222" t="s">
        <v>30</v>
      </c>
      <c r="E222" t="s">
        <v>162</v>
      </c>
      <c r="F222" t="s">
        <v>164</v>
      </c>
      <c r="G222" t="s">
        <v>840</v>
      </c>
      <c r="H222" t="s">
        <v>1228</v>
      </c>
      <c r="I222" t="s">
        <v>86</v>
      </c>
      <c r="J222" t="s">
        <v>1115</v>
      </c>
      <c r="K222" t="s">
        <v>1105</v>
      </c>
    </row>
    <row r="223" spans="1:11">
      <c r="A223" t="s">
        <v>1123</v>
      </c>
      <c r="B223" t="s">
        <v>1246</v>
      </c>
      <c r="C223" t="s">
        <v>44</v>
      </c>
      <c r="D223" t="s">
        <v>30</v>
      </c>
      <c r="E223" t="s">
        <v>100</v>
      </c>
      <c r="F223" t="s">
        <v>101</v>
      </c>
      <c r="G223" t="s">
        <v>840</v>
      </c>
      <c r="H223" t="s">
        <v>1228</v>
      </c>
      <c r="I223" t="s">
        <v>86</v>
      </c>
      <c r="J223" t="s">
        <v>1115</v>
      </c>
      <c r="K223" t="s">
        <v>1105</v>
      </c>
    </row>
    <row r="224" spans="1:11">
      <c r="A224" t="s">
        <v>1123</v>
      </c>
      <c r="B224" t="s">
        <v>1246</v>
      </c>
      <c r="C224" t="s">
        <v>44</v>
      </c>
      <c r="D224" t="s">
        <v>29</v>
      </c>
      <c r="E224" t="s">
        <v>55</v>
      </c>
      <c r="F224" t="s">
        <v>56</v>
      </c>
      <c r="G224" t="s">
        <v>840</v>
      </c>
      <c r="H224" t="s">
        <v>1228</v>
      </c>
      <c r="I224" t="s">
        <v>86</v>
      </c>
      <c r="J224" t="s">
        <v>1115</v>
      </c>
      <c r="K224" t="s">
        <v>1105</v>
      </c>
    </row>
    <row r="225" spans="1:11">
      <c r="A225" t="s">
        <v>1123</v>
      </c>
      <c r="B225" t="s">
        <v>1246</v>
      </c>
      <c r="C225" t="s">
        <v>44</v>
      </c>
      <c r="D225" t="s">
        <v>29</v>
      </c>
      <c r="E225" t="s">
        <v>310</v>
      </c>
      <c r="F225" t="s">
        <v>742</v>
      </c>
      <c r="G225" t="s">
        <v>840</v>
      </c>
      <c r="H225" t="s">
        <v>1228</v>
      </c>
      <c r="I225" t="s">
        <v>86</v>
      </c>
      <c r="J225" t="s">
        <v>1115</v>
      </c>
      <c r="K225" t="s">
        <v>1105</v>
      </c>
    </row>
    <row r="226" spans="1:11">
      <c r="A226" t="s">
        <v>1123</v>
      </c>
      <c r="B226" t="s">
        <v>1246</v>
      </c>
      <c r="C226" t="s">
        <v>44</v>
      </c>
      <c r="D226" t="s">
        <v>30</v>
      </c>
      <c r="E226" t="s">
        <v>106</v>
      </c>
      <c r="F226" t="s">
        <v>107</v>
      </c>
      <c r="G226" t="s">
        <v>840</v>
      </c>
      <c r="H226" t="s">
        <v>1228</v>
      </c>
      <c r="I226" t="s">
        <v>86</v>
      </c>
      <c r="J226" t="s">
        <v>1115</v>
      </c>
      <c r="K226" t="s">
        <v>1105</v>
      </c>
    </row>
    <row r="227" spans="1:11">
      <c r="A227" t="s">
        <v>1123</v>
      </c>
      <c r="B227" t="s">
        <v>1246</v>
      </c>
      <c r="C227" t="s">
        <v>44</v>
      </c>
      <c r="D227" t="s">
        <v>30</v>
      </c>
      <c r="E227" t="s">
        <v>106</v>
      </c>
      <c r="F227" t="s">
        <v>306</v>
      </c>
      <c r="G227" t="s">
        <v>840</v>
      </c>
      <c r="H227" t="s">
        <v>1228</v>
      </c>
      <c r="I227" t="s">
        <v>86</v>
      </c>
      <c r="J227" t="s">
        <v>1115</v>
      </c>
      <c r="K227" t="s">
        <v>1105</v>
      </c>
    </row>
    <row r="228" spans="1:11">
      <c r="A228" t="s">
        <v>1123</v>
      </c>
      <c r="B228" t="s">
        <v>1246</v>
      </c>
      <c r="C228" t="s">
        <v>44</v>
      </c>
      <c r="D228" t="s">
        <v>30</v>
      </c>
      <c r="E228" t="s">
        <v>102</v>
      </c>
      <c r="F228" t="s">
        <v>854</v>
      </c>
      <c r="G228" t="s">
        <v>840</v>
      </c>
      <c r="H228" t="s">
        <v>1228</v>
      </c>
      <c r="I228" t="s">
        <v>86</v>
      </c>
      <c r="J228" t="s">
        <v>1115</v>
      </c>
      <c r="K228" t="s">
        <v>1105</v>
      </c>
    </row>
    <row r="229" spans="1:11">
      <c r="A229" t="s">
        <v>1123</v>
      </c>
      <c r="B229" t="s">
        <v>1246</v>
      </c>
      <c r="C229" t="s">
        <v>44</v>
      </c>
      <c r="D229" t="s">
        <v>28</v>
      </c>
      <c r="E229" t="s">
        <v>102</v>
      </c>
      <c r="F229" t="s">
        <v>103</v>
      </c>
      <c r="G229" t="s">
        <v>840</v>
      </c>
      <c r="H229" t="s">
        <v>1228</v>
      </c>
      <c r="I229" t="s">
        <v>86</v>
      </c>
      <c r="J229" t="s">
        <v>1115</v>
      </c>
      <c r="K229" t="s">
        <v>1105</v>
      </c>
    </row>
    <row r="230" spans="1:11">
      <c r="A230" t="s">
        <v>1123</v>
      </c>
      <c r="B230" t="s">
        <v>1246</v>
      </c>
      <c r="C230" t="s">
        <v>44</v>
      </c>
      <c r="D230" t="s">
        <v>29</v>
      </c>
      <c r="E230" t="s">
        <v>419</v>
      </c>
      <c r="F230" t="s">
        <v>420</v>
      </c>
      <c r="G230" t="s">
        <v>840</v>
      </c>
      <c r="H230" t="s">
        <v>1228</v>
      </c>
      <c r="I230" t="s">
        <v>86</v>
      </c>
      <c r="J230" t="s">
        <v>1115</v>
      </c>
      <c r="K230" t="s">
        <v>1105</v>
      </c>
    </row>
    <row r="231" spans="1:11">
      <c r="A231" t="s">
        <v>1123</v>
      </c>
      <c r="B231" t="s">
        <v>1246</v>
      </c>
      <c r="C231" t="s">
        <v>44</v>
      </c>
      <c r="D231" t="s">
        <v>29</v>
      </c>
      <c r="E231" t="s">
        <v>419</v>
      </c>
      <c r="F231" t="s">
        <v>855</v>
      </c>
      <c r="G231" t="s">
        <v>840</v>
      </c>
      <c r="H231" t="s">
        <v>1228</v>
      </c>
      <c r="I231" t="s">
        <v>86</v>
      </c>
      <c r="J231" t="s">
        <v>1115</v>
      </c>
      <c r="K231" t="s">
        <v>1105</v>
      </c>
    </row>
    <row r="232" spans="1:11">
      <c r="A232" t="s">
        <v>1123</v>
      </c>
      <c r="B232" t="s">
        <v>1246</v>
      </c>
      <c r="C232" t="s">
        <v>44</v>
      </c>
      <c r="D232" t="s">
        <v>29</v>
      </c>
      <c r="E232" t="s">
        <v>419</v>
      </c>
      <c r="F232" t="s">
        <v>856</v>
      </c>
      <c r="G232" t="s">
        <v>840</v>
      </c>
      <c r="H232" t="s">
        <v>1228</v>
      </c>
      <c r="I232" t="s">
        <v>86</v>
      </c>
      <c r="J232" t="s">
        <v>1115</v>
      </c>
      <c r="K232" t="s">
        <v>1105</v>
      </c>
    </row>
    <row r="233" spans="1:11">
      <c r="A233" t="s">
        <v>1123</v>
      </c>
      <c r="B233" t="s">
        <v>1246</v>
      </c>
      <c r="C233" t="s">
        <v>44</v>
      </c>
      <c r="D233" t="s">
        <v>29</v>
      </c>
      <c r="E233" t="s">
        <v>419</v>
      </c>
      <c r="F233" t="s">
        <v>857</v>
      </c>
      <c r="G233" t="s">
        <v>840</v>
      </c>
      <c r="H233" t="s">
        <v>1228</v>
      </c>
      <c r="I233" t="s">
        <v>86</v>
      </c>
      <c r="J233" t="s">
        <v>1115</v>
      </c>
      <c r="K233" t="s">
        <v>1105</v>
      </c>
    </row>
    <row r="234" spans="1:11">
      <c r="A234" t="s">
        <v>1123</v>
      </c>
      <c r="B234" t="s">
        <v>1247</v>
      </c>
      <c r="C234" t="s">
        <v>40</v>
      </c>
      <c r="D234" t="s">
        <v>28</v>
      </c>
      <c r="E234" t="s">
        <v>57</v>
      </c>
      <c r="F234" t="s">
        <v>240</v>
      </c>
      <c r="G234" t="s">
        <v>877</v>
      </c>
      <c r="H234" t="s">
        <v>1228</v>
      </c>
      <c r="I234" t="s">
        <v>86</v>
      </c>
      <c r="J234" t="s">
        <v>1115</v>
      </c>
      <c r="K234" t="s">
        <v>879</v>
      </c>
    </row>
    <row r="235" spans="1:11">
      <c r="A235" t="s">
        <v>1123</v>
      </c>
      <c r="B235" t="s">
        <v>1247</v>
      </c>
      <c r="C235" t="s">
        <v>40</v>
      </c>
      <c r="D235" t="s">
        <v>28</v>
      </c>
      <c r="E235" t="s">
        <v>57</v>
      </c>
      <c r="F235" t="s">
        <v>907</v>
      </c>
      <c r="G235" t="s">
        <v>877</v>
      </c>
      <c r="H235" t="s">
        <v>1228</v>
      </c>
      <c r="I235" t="s">
        <v>86</v>
      </c>
      <c r="J235" t="s">
        <v>1115</v>
      </c>
      <c r="K235" t="s">
        <v>879</v>
      </c>
    </row>
    <row r="236" spans="1:11">
      <c r="A236" t="s">
        <v>1123</v>
      </c>
      <c r="B236" t="s">
        <v>1247</v>
      </c>
      <c r="C236" t="s">
        <v>40</v>
      </c>
      <c r="D236" t="s">
        <v>28</v>
      </c>
      <c r="E236" t="s">
        <v>53</v>
      </c>
      <c r="F236" t="s">
        <v>908</v>
      </c>
      <c r="G236" t="s">
        <v>877</v>
      </c>
      <c r="H236" t="s">
        <v>1228</v>
      </c>
      <c r="I236" t="s">
        <v>86</v>
      </c>
      <c r="J236" t="s">
        <v>1115</v>
      </c>
      <c r="K236" t="s">
        <v>879</v>
      </c>
    </row>
    <row r="237" spans="1:11">
      <c r="A237" t="s">
        <v>1123</v>
      </c>
      <c r="B237" t="s">
        <v>1247</v>
      </c>
      <c r="C237" t="s">
        <v>44</v>
      </c>
      <c r="D237" t="s">
        <v>28</v>
      </c>
      <c r="E237" t="s">
        <v>53</v>
      </c>
      <c r="F237" t="s">
        <v>242</v>
      </c>
      <c r="G237" t="s">
        <v>877</v>
      </c>
      <c r="H237" t="s">
        <v>1228</v>
      </c>
      <c r="I237" t="s">
        <v>86</v>
      </c>
      <c r="J237" t="s">
        <v>1115</v>
      </c>
      <c r="K237" t="s">
        <v>879</v>
      </c>
    </row>
    <row r="238" spans="1:11">
      <c r="A238" t="s">
        <v>1123</v>
      </c>
      <c r="B238" t="s">
        <v>1247</v>
      </c>
      <c r="C238" t="s">
        <v>44</v>
      </c>
      <c r="D238" t="s">
        <v>29</v>
      </c>
      <c r="E238" t="s">
        <v>50</v>
      </c>
      <c r="F238" t="s">
        <v>52</v>
      </c>
      <c r="G238" t="s">
        <v>877</v>
      </c>
      <c r="H238" t="s">
        <v>1228</v>
      </c>
      <c r="I238" t="s">
        <v>86</v>
      </c>
      <c r="J238" t="s">
        <v>1115</v>
      </c>
      <c r="K238" t="s">
        <v>879</v>
      </c>
    </row>
    <row r="239" spans="1:11">
      <c r="A239" t="s">
        <v>1123</v>
      </c>
      <c r="B239" t="s">
        <v>1247</v>
      </c>
      <c r="C239" t="s">
        <v>44</v>
      </c>
      <c r="D239" t="s">
        <v>29</v>
      </c>
      <c r="E239" t="s">
        <v>50</v>
      </c>
      <c r="F239" t="s">
        <v>239</v>
      </c>
      <c r="G239" t="s">
        <v>877</v>
      </c>
      <c r="H239" t="s">
        <v>1228</v>
      </c>
      <c r="I239" t="s">
        <v>86</v>
      </c>
      <c r="J239" t="s">
        <v>1115</v>
      </c>
      <c r="K239" t="s">
        <v>879</v>
      </c>
    </row>
    <row r="240" spans="1:11">
      <c r="A240" t="s">
        <v>1123</v>
      </c>
      <c r="B240" t="s">
        <v>1247</v>
      </c>
      <c r="C240" t="s">
        <v>40</v>
      </c>
      <c r="D240" t="s">
        <v>29</v>
      </c>
      <c r="E240" t="s">
        <v>50</v>
      </c>
      <c r="F240" t="s">
        <v>304</v>
      </c>
      <c r="G240" t="s">
        <v>877</v>
      </c>
      <c r="H240" t="s">
        <v>1228</v>
      </c>
      <c r="I240" t="s">
        <v>86</v>
      </c>
      <c r="J240" t="s">
        <v>1115</v>
      </c>
      <c r="K240" t="s">
        <v>879</v>
      </c>
    </row>
    <row r="241" spans="1:11">
      <c r="A241" t="s">
        <v>1123</v>
      </c>
      <c r="B241" t="s">
        <v>1247</v>
      </c>
      <c r="C241" t="s">
        <v>44</v>
      </c>
      <c r="D241" t="s">
        <v>29</v>
      </c>
      <c r="E241" t="s">
        <v>55</v>
      </c>
      <c r="F241" t="s">
        <v>359</v>
      </c>
      <c r="G241" t="s">
        <v>877</v>
      </c>
      <c r="H241" t="s">
        <v>1228</v>
      </c>
      <c r="I241" t="s">
        <v>86</v>
      </c>
      <c r="J241" t="s">
        <v>1115</v>
      </c>
      <c r="K241" t="s">
        <v>879</v>
      </c>
    </row>
    <row r="242" spans="1:11">
      <c r="A242" t="s">
        <v>1123</v>
      </c>
      <c r="B242" t="s">
        <v>1247</v>
      </c>
      <c r="C242" t="s">
        <v>44</v>
      </c>
      <c r="D242" t="s">
        <v>30</v>
      </c>
      <c r="E242" t="s">
        <v>162</v>
      </c>
      <c r="F242" t="s">
        <v>164</v>
      </c>
      <c r="G242" t="s">
        <v>877</v>
      </c>
      <c r="H242" t="s">
        <v>1228</v>
      </c>
      <c r="I242" t="s">
        <v>86</v>
      </c>
      <c r="J242" t="s">
        <v>1115</v>
      </c>
      <c r="K242" t="s">
        <v>879</v>
      </c>
    </row>
    <row r="243" spans="1:11">
      <c r="A243" t="s">
        <v>1123</v>
      </c>
      <c r="B243" t="s">
        <v>1247</v>
      </c>
      <c r="C243" t="s">
        <v>44</v>
      </c>
      <c r="D243" t="s">
        <v>30</v>
      </c>
      <c r="E243" t="s">
        <v>55</v>
      </c>
      <c r="F243" t="s">
        <v>56</v>
      </c>
      <c r="G243" t="s">
        <v>877</v>
      </c>
      <c r="H243" t="s">
        <v>1228</v>
      </c>
      <c r="I243" t="s">
        <v>86</v>
      </c>
      <c r="J243" t="s">
        <v>1115</v>
      </c>
      <c r="K243" t="s">
        <v>879</v>
      </c>
    </row>
    <row r="244" spans="1:11">
      <c r="A244" t="s">
        <v>1123</v>
      </c>
      <c r="B244" t="s">
        <v>1247</v>
      </c>
      <c r="C244" t="s">
        <v>44</v>
      </c>
      <c r="D244" t="s">
        <v>30</v>
      </c>
      <c r="E244" t="s">
        <v>106</v>
      </c>
      <c r="F244" t="s">
        <v>306</v>
      </c>
      <c r="G244" t="s">
        <v>877</v>
      </c>
      <c r="H244" t="s">
        <v>1228</v>
      </c>
      <c r="I244" t="s">
        <v>86</v>
      </c>
      <c r="J244" t="s">
        <v>1115</v>
      </c>
      <c r="K244" t="s">
        <v>879</v>
      </c>
    </row>
    <row r="245" spans="1:11">
      <c r="A245" t="s">
        <v>1123</v>
      </c>
      <c r="B245" t="s">
        <v>1248</v>
      </c>
      <c r="C245" t="s">
        <v>40</v>
      </c>
      <c r="D245" t="s">
        <v>28</v>
      </c>
      <c r="E245" t="s">
        <v>50</v>
      </c>
      <c r="F245" t="s">
        <v>51</v>
      </c>
      <c r="G245" t="s">
        <v>930</v>
      </c>
      <c r="H245" t="s">
        <v>1228</v>
      </c>
      <c r="I245" t="s">
        <v>86</v>
      </c>
      <c r="J245" t="s">
        <v>1115</v>
      </c>
      <c r="K245" t="s">
        <v>932</v>
      </c>
    </row>
    <row r="246" spans="1:11">
      <c r="A246" t="s">
        <v>1123</v>
      </c>
      <c r="B246" t="s">
        <v>1248</v>
      </c>
      <c r="C246" t="s">
        <v>40</v>
      </c>
      <c r="D246" t="s">
        <v>28</v>
      </c>
      <c r="E246" t="s">
        <v>50</v>
      </c>
      <c r="F246" t="s">
        <v>52</v>
      </c>
      <c r="G246" t="s">
        <v>930</v>
      </c>
      <c r="H246" t="s">
        <v>1228</v>
      </c>
      <c r="I246" t="s">
        <v>86</v>
      </c>
      <c r="J246" t="s">
        <v>1115</v>
      </c>
      <c r="K246" t="s">
        <v>932</v>
      </c>
    </row>
    <row r="247" spans="1:11">
      <c r="A247" t="s">
        <v>1123</v>
      </c>
      <c r="B247" t="s">
        <v>1248</v>
      </c>
      <c r="C247" t="s">
        <v>40</v>
      </c>
      <c r="D247" t="s">
        <v>28</v>
      </c>
      <c r="E247" t="s">
        <v>162</v>
      </c>
      <c r="F247" t="s">
        <v>164</v>
      </c>
      <c r="G247" t="s">
        <v>930</v>
      </c>
      <c r="H247" t="s">
        <v>1228</v>
      </c>
      <c r="I247" t="s">
        <v>86</v>
      </c>
      <c r="J247" t="s">
        <v>1115</v>
      </c>
      <c r="K247" t="s">
        <v>932</v>
      </c>
    </row>
    <row r="248" spans="1:11">
      <c r="A248" t="s">
        <v>1123</v>
      </c>
      <c r="B248" t="s">
        <v>1248</v>
      </c>
      <c r="C248" t="s">
        <v>40</v>
      </c>
      <c r="D248" t="s">
        <v>28</v>
      </c>
      <c r="E248" t="s">
        <v>55</v>
      </c>
      <c r="F248" t="s">
        <v>56</v>
      </c>
      <c r="G248" t="s">
        <v>930</v>
      </c>
      <c r="H248" t="s">
        <v>1228</v>
      </c>
      <c r="I248" t="s">
        <v>86</v>
      </c>
      <c r="J248" t="s">
        <v>1115</v>
      </c>
      <c r="K248" t="s">
        <v>932</v>
      </c>
    </row>
    <row r="249" spans="1:11">
      <c r="A249" t="s">
        <v>1123</v>
      </c>
      <c r="B249" t="s">
        <v>1248</v>
      </c>
      <c r="C249" t="s">
        <v>44</v>
      </c>
      <c r="D249" t="s">
        <v>29</v>
      </c>
      <c r="E249" t="s">
        <v>50</v>
      </c>
      <c r="F249" t="s">
        <v>544</v>
      </c>
      <c r="G249" t="s">
        <v>930</v>
      </c>
      <c r="H249" t="s">
        <v>1228</v>
      </c>
      <c r="I249" t="s">
        <v>86</v>
      </c>
      <c r="J249" t="s">
        <v>1115</v>
      </c>
      <c r="K249" t="s">
        <v>932</v>
      </c>
    </row>
    <row r="250" spans="1:11">
      <c r="A250" t="s">
        <v>1123</v>
      </c>
      <c r="B250" t="s">
        <v>1248</v>
      </c>
      <c r="C250" t="s">
        <v>44</v>
      </c>
      <c r="D250" t="s">
        <v>29</v>
      </c>
      <c r="E250" t="s">
        <v>53</v>
      </c>
      <c r="F250" t="s">
        <v>54</v>
      </c>
      <c r="G250" t="s">
        <v>930</v>
      </c>
      <c r="H250" t="s">
        <v>1228</v>
      </c>
      <c r="I250" t="s">
        <v>86</v>
      </c>
      <c r="J250" t="s">
        <v>1115</v>
      </c>
      <c r="K250" t="s">
        <v>932</v>
      </c>
    </row>
    <row r="251" spans="1:11">
      <c r="A251" t="s">
        <v>1123</v>
      </c>
      <c r="B251" t="s">
        <v>1248</v>
      </c>
      <c r="C251" t="s">
        <v>44</v>
      </c>
      <c r="D251" t="s">
        <v>29</v>
      </c>
      <c r="E251" t="s">
        <v>50</v>
      </c>
      <c r="F251" t="s">
        <v>239</v>
      </c>
      <c r="G251" t="s">
        <v>930</v>
      </c>
      <c r="H251" t="s">
        <v>1228</v>
      </c>
      <c r="I251" t="s">
        <v>86</v>
      </c>
      <c r="J251" t="s">
        <v>1115</v>
      </c>
      <c r="K251" t="s">
        <v>932</v>
      </c>
    </row>
    <row r="252" spans="1:11">
      <c r="A252" t="s">
        <v>1123</v>
      </c>
      <c r="B252" t="s">
        <v>1248</v>
      </c>
      <c r="C252" t="s">
        <v>44</v>
      </c>
      <c r="D252" t="s">
        <v>30</v>
      </c>
      <c r="E252" t="s">
        <v>50</v>
      </c>
      <c r="F252" t="s">
        <v>544</v>
      </c>
      <c r="G252" t="s">
        <v>930</v>
      </c>
      <c r="H252" t="s">
        <v>1228</v>
      </c>
      <c r="I252" t="s">
        <v>86</v>
      </c>
      <c r="J252" t="s">
        <v>1115</v>
      </c>
      <c r="K252" t="s">
        <v>932</v>
      </c>
    </row>
    <row r="253" spans="1:11">
      <c r="A253" t="s">
        <v>1123</v>
      </c>
      <c r="B253" t="s">
        <v>1248</v>
      </c>
      <c r="C253" t="s">
        <v>44</v>
      </c>
      <c r="D253" t="s">
        <v>30</v>
      </c>
      <c r="E253" t="s">
        <v>53</v>
      </c>
      <c r="F253" t="s">
        <v>161</v>
      </c>
      <c r="G253" t="s">
        <v>930</v>
      </c>
      <c r="H253" t="s">
        <v>1228</v>
      </c>
      <c r="I253" t="s">
        <v>86</v>
      </c>
      <c r="J253" t="s">
        <v>1115</v>
      </c>
      <c r="K253" t="s">
        <v>932</v>
      </c>
    </row>
    <row r="254" spans="1:11">
      <c r="A254" t="s">
        <v>1123</v>
      </c>
      <c r="B254" t="s">
        <v>1248</v>
      </c>
      <c r="C254" t="s">
        <v>46</v>
      </c>
      <c r="D254" t="s">
        <v>30</v>
      </c>
      <c r="E254" t="s">
        <v>53</v>
      </c>
      <c r="F254" t="s">
        <v>943</v>
      </c>
      <c r="G254" t="s">
        <v>930</v>
      </c>
      <c r="H254" t="s">
        <v>1228</v>
      </c>
      <c r="I254" t="s">
        <v>86</v>
      </c>
      <c r="J254" t="s">
        <v>1115</v>
      </c>
      <c r="K254" t="s">
        <v>932</v>
      </c>
    </row>
    <row r="255" spans="1:11">
      <c r="A255" t="s">
        <v>1123</v>
      </c>
      <c r="B255" t="s">
        <v>1249</v>
      </c>
      <c r="C255" t="s">
        <v>40</v>
      </c>
      <c r="D255" t="s">
        <v>28</v>
      </c>
      <c r="E255" t="s">
        <v>50</v>
      </c>
      <c r="F255" t="s">
        <v>239</v>
      </c>
      <c r="G255" t="s">
        <v>965</v>
      </c>
      <c r="H255" t="s">
        <v>1228</v>
      </c>
      <c r="I255" t="s">
        <v>86</v>
      </c>
      <c r="J255" t="s">
        <v>1115</v>
      </c>
      <c r="K255" t="s">
        <v>967</v>
      </c>
    </row>
    <row r="256" spans="1:11">
      <c r="A256" t="s">
        <v>1123</v>
      </c>
      <c r="B256" t="s">
        <v>1249</v>
      </c>
      <c r="C256" t="s">
        <v>40</v>
      </c>
      <c r="D256" t="s">
        <v>28</v>
      </c>
      <c r="E256" t="s">
        <v>50</v>
      </c>
      <c r="F256" t="s">
        <v>544</v>
      </c>
      <c r="G256" t="s">
        <v>965</v>
      </c>
      <c r="H256" t="s">
        <v>1228</v>
      </c>
      <c r="I256" t="s">
        <v>86</v>
      </c>
      <c r="J256" t="s">
        <v>1115</v>
      </c>
      <c r="K256" t="s">
        <v>967</v>
      </c>
    </row>
    <row r="257" spans="1:11">
      <c r="A257" t="s">
        <v>1123</v>
      </c>
      <c r="B257" t="s">
        <v>1249</v>
      </c>
      <c r="C257" t="s">
        <v>40</v>
      </c>
      <c r="D257" t="s">
        <v>28</v>
      </c>
      <c r="E257" t="s">
        <v>53</v>
      </c>
      <c r="F257" t="s">
        <v>161</v>
      </c>
      <c r="G257" t="s">
        <v>965</v>
      </c>
      <c r="H257" t="s">
        <v>1228</v>
      </c>
      <c r="I257" t="s">
        <v>86</v>
      </c>
      <c r="J257" t="s">
        <v>1115</v>
      </c>
      <c r="K257" t="s">
        <v>967</v>
      </c>
    </row>
    <row r="258" spans="1:11">
      <c r="A258" t="s">
        <v>1123</v>
      </c>
      <c r="B258" t="s">
        <v>1249</v>
      </c>
      <c r="C258" t="s">
        <v>44</v>
      </c>
      <c r="D258" t="s">
        <v>28</v>
      </c>
      <c r="E258" t="s">
        <v>55</v>
      </c>
      <c r="F258" t="s">
        <v>56</v>
      </c>
      <c r="G258" t="s">
        <v>965</v>
      </c>
      <c r="H258" t="s">
        <v>1228</v>
      </c>
      <c r="I258" t="s">
        <v>86</v>
      </c>
      <c r="J258" t="s">
        <v>1115</v>
      </c>
      <c r="K258" t="s">
        <v>967</v>
      </c>
    </row>
    <row r="259" spans="1:11">
      <c r="A259" t="s">
        <v>1123</v>
      </c>
      <c r="B259" t="s">
        <v>1249</v>
      </c>
      <c r="C259" t="s">
        <v>44</v>
      </c>
      <c r="D259" t="s">
        <v>29</v>
      </c>
      <c r="E259" t="s">
        <v>57</v>
      </c>
      <c r="F259" t="s">
        <v>907</v>
      </c>
      <c r="G259" t="s">
        <v>965</v>
      </c>
      <c r="H259" t="s">
        <v>1228</v>
      </c>
      <c r="I259" t="s">
        <v>86</v>
      </c>
      <c r="J259" t="s">
        <v>1115</v>
      </c>
      <c r="K259" t="s">
        <v>967</v>
      </c>
    </row>
    <row r="260" spans="1:11">
      <c r="A260" t="s">
        <v>1123</v>
      </c>
      <c r="B260" t="s">
        <v>1249</v>
      </c>
      <c r="C260" t="s">
        <v>44</v>
      </c>
      <c r="D260" t="s">
        <v>29</v>
      </c>
      <c r="E260" t="s">
        <v>419</v>
      </c>
      <c r="F260" t="s">
        <v>856</v>
      </c>
      <c r="G260" t="s">
        <v>965</v>
      </c>
      <c r="H260" t="s">
        <v>1228</v>
      </c>
      <c r="I260" t="s">
        <v>86</v>
      </c>
      <c r="J260" t="s">
        <v>1115</v>
      </c>
      <c r="K260" t="s">
        <v>967</v>
      </c>
    </row>
    <row r="261" spans="1:11">
      <c r="A261" t="s">
        <v>1123</v>
      </c>
      <c r="B261" t="s">
        <v>1249</v>
      </c>
      <c r="C261" t="s">
        <v>44</v>
      </c>
      <c r="D261" t="s">
        <v>29</v>
      </c>
      <c r="E261" t="s">
        <v>53</v>
      </c>
      <c r="F261" t="s">
        <v>161</v>
      </c>
      <c r="G261" t="s">
        <v>965</v>
      </c>
      <c r="H261" t="s">
        <v>1228</v>
      </c>
      <c r="I261" t="s">
        <v>86</v>
      </c>
      <c r="J261" t="s">
        <v>1115</v>
      </c>
      <c r="K261" t="s">
        <v>967</v>
      </c>
    </row>
    <row r="262" spans="1:11">
      <c r="A262" t="s">
        <v>1123</v>
      </c>
      <c r="B262" t="s">
        <v>1249</v>
      </c>
      <c r="C262" t="s">
        <v>44</v>
      </c>
      <c r="D262" t="s">
        <v>29</v>
      </c>
      <c r="E262" t="s">
        <v>106</v>
      </c>
      <c r="F262" t="s">
        <v>981</v>
      </c>
      <c r="G262" t="s">
        <v>965</v>
      </c>
      <c r="H262" t="s">
        <v>1228</v>
      </c>
      <c r="I262" t="s">
        <v>86</v>
      </c>
      <c r="J262" t="s">
        <v>1115</v>
      </c>
      <c r="K262" t="s">
        <v>967</v>
      </c>
    </row>
    <row r="263" spans="1:11">
      <c r="A263" t="s">
        <v>1123</v>
      </c>
      <c r="B263" t="s">
        <v>1249</v>
      </c>
      <c r="C263" t="s">
        <v>44</v>
      </c>
      <c r="D263" t="s">
        <v>29</v>
      </c>
      <c r="E263" t="s">
        <v>55</v>
      </c>
      <c r="F263" t="s">
        <v>104</v>
      </c>
      <c r="G263" t="s">
        <v>965</v>
      </c>
      <c r="H263" t="s">
        <v>1228</v>
      </c>
      <c r="I263" t="s">
        <v>86</v>
      </c>
      <c r="J263" t="s">
        <v>1115</v>
      </c>
      <c r="K263" t="s">
        <v>967</v>
      </c>
    </row>
    <row r="264" spans="1:11">
      <c r="A264" t="s">
        <v>1123</v>
      </c>
      <c r="B264" t="s">
        <v>1249</v>
      </c>
      <c r="C264" t="s">
        <v>44</v>
      </c>
      <c r="D264" t="s">
        <v>30</v>
      </c>
      <c r="E264" t="s">
        <v>100</v>
      </c>
      <c r="F264" t="s">
        <v>101</v>
      </c>
      <c r="G264" t="s">
        <v>965</v>
      </c>
      <c r="H264" t="s">
        <v>1228</v>
      </c>
      <c r="I264" t="s">
        <v>86</v>
      </c>
      <c r="J264" t="s">
        <v>1115</v>
      </c>
      <c r="K264" t="s">
        <v>967</v>
      </c>
    </row>
    <row r="265" spans="1:11">
      <c r="A265" t="s">
        <v>1123</v>
      </c>
      <c r="B265" t="s">
        <v>1249</v>
      </c>
      <c r="C265" t="s">
        <v>44</v>
      </c>
      <c r="D265" t="s">
        <v>30</v>
      </c>
      <c r="E265" t="s">
        <v>100</v>
      </c>
      <c r="F265" t="s">
        <v>382</v>
      </c>
      <c r="G265" t="s">
        <v>965</v>
      </c>
      <c r="H265" t="s">
        <v>1228</v>
      </c>
      <c r="I265" t="s">
        <v>86</v>
      </c>
      <c r="J265" t="s">
        <v>1115</v>
      </c>
      <c r="K265" t="s">
        <v>967</v>
      </c>
    </row>
    <row r="266" spans="1:11">
      <c r="A266" t="s">
        <v>1123</v>
      </c>
      <c r="B266" t="s">
        <v>1250</v>
      </c>
      <c r="C266" t="s">
        <v>40</v>
      </c>
      <c r="D266" t="s">
        <v>28</v>
      </c>
      <c r="E266" t="s">
        <v>50</v>
      </c>
      <c r="F266" t="s">
        <v>544</v>
      </c>
      <c r="G266" t="s">
        <v>992</v>
      </c>
      <c r="H266" t="s">
        <v>1228</v>
      </c>
      <c r="I266" t="s">
        <v>86</v>
      </c>
      <c r="J266" t="s">
        <v>1115</v>
      </c>
      <c r="K266" t="s">
        <v>994</v>
      </c>
    </row>
    <row r="267" spans="1:11">
      <c r="A267" t="s">
        <v>1123</v>
      </c>
      <c r="B267" t="s">
        <v>1250</v>
      </c>
      <c r="C267" t="s">
        <v>40</v>
      </c>
      <c r="D267" t="s">
        <v>28</v>
      </c>
      <c r="E267" t="s">
        <v>57</v>
      </c>
      <c r="F267" t="s">
        <v>78</v>
      </c>
      <c r="G267" t="s">
        <v>992</v>
      </c>
      <c r="H267" t="s">
        <v>1228</v>
      </c>
      <c r="I267" t="s">
        <v>86</v>
      </c>
      <c r="J267" t="s">
        <v>1115</v>
      </c>
      <c r="K267" t="s">
        <v>994</v>
      </c>
    </row>
    <row r="268" spans="1:11">
      <c r="A268" t="s">
        <v>1123</v>
      </c>
      <c r="B268" t="s">
        <v>1250</v>
      </c>
      <c r="C268" t="s">
        <v>40</v>
      </c>
      <c r="D268" t="s">
        <v>28</v>
      </c>
      <c r="E268" t="s">
        <v>162</v>
      </c>
      <c r="F268" t="s">
        <v>164</v>
      </c>
      <c r="G268" t="s">
        <v>992</v>
      </c>
      <c r="H268" t="s">
        <v>1228</v>
      </c>
      <c r="I268" t="s">
        <v>86</v>
      </c>
      <c r="J268" t="s">
        <v>1115</v>
      </c>
      <c r="K268" t="s">
        <v>994</v>
      </c>
    </row>
    <row r="269" spans="1:11">
      <c r="A269" t="s">
        <v>1123</v>
      </c>
      <c r="B269" t="s">
        <v>1250</v>
      </c>
      <c r="C269" t="s">
        <v>40</v>
      </c>
      <c r="D269" t="s">
        <v>28</v>
      </c>
      <c r="E269" t="s">
        <v>310</v>
      </c>
      <c r="F269" t="s">
        <v>311</v>
      </c>
      <c r="G269" t="s">
        <v>992</v>
      </c>
      <c r="H269" t="s">
        <v>1228</v>
      </c>
      <c r="I269" t="s">
        <v>86</v>
      </c>
      <c r="J269" t="s">
        <v>1115</v>
      </c>
      <c r="K269" t="s">
        <v>994</v>
      </c>
    </row>
    <row r="270" spans="1:11">
      <c r="A270" t="s">
        <v>1123</v>
      </c>
      <c r="B270" t="s">
        <v>1250</v>
      </c>
      <c r="C270" t="s">
        <v>40</v>
      </c>
      <c r="D270" t="s">
        <v>29</v>
      </c>
      <c r="E270" t="s">
        <v>57</v>
      </c>
      <c r="F270" t="s">
        <v>58</v>
      </c>
      <c r="G270" t="s">
        <v>992</v>
      </c>
      <c r="H270" t="s">
        <v>1228</v>
      </c>
      <c r="I270" t="s">
        <v>86</v>
      </c>
      <c r="J270" t="s">
        <v>1115</v>
      </c>
      <c r="K270" t="s">
        <v>994</v>
      </c>
    </row>
    <row r="271" spans="1:11">
      <c r="A271" t="s">
        <v>1123</v>
      </c>
      <c r="B271" t="s">
        <v>1250</v>
      </c>
      <c r="C271" t="s">
        <v>44</v>
      </c>
      <c r="D271" t="s">
        <v>28</v>
      </c>
      <c r="E271" t="s">
        <v>53</v>
      </c>
      <c r="F271" t="s">
        <v>54</v>
      </c>
      <c r="G271" t="s">
        <v>992</v>
      </c>
      <c r="H271" t="s">
        <v>1228</v>
      </c>
      <c r="I271" t="s">
        <v>86</v>
      </c>
      <c r="J271" t="s">
        <v>1115</v>
      </c>
      <c r="K271" t="s">
        <v>994</v>
      </c>
    </row>
    <row r="272" spans="1:11">
      <c r="A272" t="s">
        <v>1123</v>
      </c>
      <c r="B272" t="s">
        <v>1250</v>
      </c>
      <c r="C272" t="s">
        <v>44</v>
      </c>
      <c r="D272" t="s">
        <v>29</v>
      </c>
      <c r="E272" t="s">
        <v>55</v>
      </c>
      <c r="F272" t="s">
        <v>56</v>
      </c>
      <c r="G272" t="s">
        <v>992</v>
      </c>
      <c r="H272" t="s">
        <v>1228</v>
      </c>
      <c r="I272" t="s">
        <v>86</v>
      </c>
      <c r="J272" t="s">
        <v>1115</v>
      </c>
      <c r="K272" t="s">
        <v>994</v>
      </c>
    </row>
    <row r="273" spans="1:11">
      <c r="A273" t="s">
        <v>1123</v>
      </c>
      <c r="B273" t="s">
        <v>1250</v>
      </c>
      <c r="C273" t="s">
        <v>44</v>
      </c>
      <c r="D273" t="s">
        <v>29</v>
      </c>
      <c r="E273" t="s">
        <v>106</v>
      </c>
      <c r="F273" t="s">
        <v>306</v>
      </c>
      <c r="G273" t="s">
        <v>992</v>
      </c>
      <c r="H273" t="s">
        <v>1228</v>
      </c>
      <c r="I273" t="s">
        <v>86</v>
      </c>
      <c r="J273" t="s">
        <v>1115</v>
      </c>
      <c r="K273" t="s">
        <v>994</v>
      </c>
    </row>
    <row r="274" spans="1:11">
      <c r="A274" t="s">
        <v>1116</v>
      </c>
      <c r="B274" t="s">
        <v>1251</v>
      </c>
      <c r="C274" t="s">
        <v>40</v>
      </c>
      <c r="D274" t="s">
        <v>28</v>
      </c>
      <c r="E274" t="s">
        <v>53</v>
      </c>
      <c r="F274" t="s">
        <v>161</v>
      </c>
      <c r="G274" t="s">
        <v>1104</v>
      </c>
      <c r="H274" t="s">
        <v>1228</v>
      </c>
      <c r="I274" t="s">
        <v>86</v>
      </c>
      <c r="J274" t="s">
        <v>1115</v>
      </c>
      <c r="K274" t="s">
        <v>1106</v>
      </c>
    </row>
    <row r="275" spans="1:11">
      <c r="A275" t="s">
        <v>1116</v>
      </c>
      <c r="B275" t="s">
        <v>1251</v>
      </c>
      <c r="C275" t="s">
        <v>40</v>
      </c>
      <c r="D275" t="s">
        <v>29</v>
      </c>
      <c r="E275" t="s">
        <v>55</v>
      </c>
      <c r="F275" t="s">
        <v>56</v>
      </c>
      <c r="G275" t="s">
        <v>1104</v>
      </c>
      <c r="H275" t="s">
        <v>1228</v>
      </c>
      <c r="I275" t="s">
        <v>86</v>
      </c>
      <c r="J275" t="s">
        <v>1115</v>
      </c>
      <c r="K275" t="s">
        <v>1106</v>
      </c>
    </row>
    <row r="276" spans="1:11">
      <c r="A276" t="s">
        <v>1116</v>
      </c>
      <c r="B276" t="s">
        <v>1251</v>
      </c>
      <c r="C276" t="s">
        <v>44</v>
      </c>
      <c r="D276" t="s">
        <v>28</v>
      </c>
      <c r="E276" t="s">
        <v>55</v>
      </c>
      <c r="F276" t="s">
        <v>359</v>
      </c>
      <c r="G276" t="s">
        <v>1104</v>
      </c>
      <c r="H276" t="s">
        <v>1228</v>
      </c>
      <c r="I276" t="s">
        <v>86</v>
      </c>
      <c r="J276" t="s">
        <v>1115</v>
      </c>
      <c r="K276" t="s">
        <v>1106</v>
      </c>
    </row>
    <row r="277" spans="1:11">
      <c r="A277" t="s">
        <v>1116</v>
      </c>
      <c r="B277" t="s">
        <v>1251</v>
      </c>
      <c r="C277" t="s">
        <v>44</v>
      </c>
      <c r="D277" t="s">
        <v>29</v>
      </c>
      <c r="E277" t="s">
        <v>310</v>
      </c>
      <c r="F277" t="s">
        <v>742</v>
      </c>
      <c r="G277" t="s">
        <v>1104</v>
      </c>
      <c r="H277" t="s">
        <v>1228</v>
      </c>
      <c r="I277" t="s">
        <v>86</v>
      </c>
      <c r="J277" t="s">
        <v>1115</v>
      </c>
      <c r="K277" t="s">
        <v>1106</v>
      </c>
    </row>
    <row r="278" spans="1:11">
      <c r="A278" t="s">
        <v>1116</v>
      </c>
      <c r="B278" t="s">
        <v>1251</v>
      </c>
      <c r="C278" t="s">
        <v>44</v>
      </c>
      <c r="D278" t="s">
        <v>30</v>
      </c>
      <c r="E278" t="s">
        <v>162</v>
      </c>
      <c r="F278" t="s">
        <v>383</v>
      </c>
      <c r="G278" t="s">
        <v>1104</v>
      </c>
      <c r="H278" t="s">
        <v>1228</v>
      </c>
      <c r="I278" t="s">
        <v>86</v>
      </c>
      <c r="J278" t="s">
        <v>1115</v>
      </c>
      <c r="K278" t="s">
        <v>1106</v>
      </c>
    </row>
    <row r="279" spans="1:11">
      <c r="A279" t="s">
        <v>1118</v>
      </c>
      <c r="B279" t="s">
        <v>1252</v>
      </c>
      <c r="C279" t="s">
        <v>40</v>
      </c>
      <c r="D279" t="s">
        <v>28</v>
      </c>
      <c r="E279" t="s">
        <v>50</v>
      </c>
      <c r="F279" t="s">
        <v>51</v>
      </c>
      <c r="G279" t="s">
        <v>1086</v>
      </c>
      <c r="H279" t="s">
        <v>1228</v>
      </c>
      <c r="I279" t="s">
        <v>86</v>
      </c>
      <c r="J279" t="s">
        <v>1115</v>
      </c>
      <c r="K279" t="s">
        <v>1087</v>
      </c>
    </row>
    <row r="280" spans="1:11">
      <c r="A280" t="s">
        <v>1118</v>
      </c>
      <c r="B280" t="s">
        <v>1252</v>
      </c>
      <c r="C280" t="s">
        <v>40</v>
      </c>
      <c r="D280" t="s">
        <v>28</v>
      </c>
      <c r="E280" t="s">
        <v>50</v>
      </c>
      <c r="F280" t="s">
        <v>491</v>
      </c>
      <c r="G280" t="s">
        <v>1086</v>
      </c>
      <c r="H280" t="s">
        <v>1228</v>
      </c>
      <c r="I280" t="s">
        <v>86</v>
      </c>
      <c r="J280" t="s">
        <v>1115</v>
      </c>
      <c r="K280" t="s">
        <v>1087</v>
      </c>
    </row>
    <row r="281" spans="1:11">
      <c r="A281" t="s">
        <v>1118</v>
      </c>
      <c r="B281" t="s">
        <v>1252</v>
      </c>
      <c r="C281" t="s">
        <v>40</v>
      </c>
      <c r="D281" t="s">
        <v>29</v>
      </c>
      <c r="E281" t="s">
        <v>53</v>
      </c>
      <c r="F281" t="s">
        <v>242</v>
      </c>
      <c r="G281" t="s">
        <v>1086</v>
      </c>
      <c r="H281" t="s">
        <v>1228</v>
      </c>
      <c r="I281" t="s">
        <v>86</v>
      </c>
      <c r="J281" t="s">
        <v>1115</v>
      </c>
      <c r="K281" t="s">
        <v>1087</v>
      </c>
    </row>
    <row r="282" spans="1:11">
      <c r="A282" t="s">
        <v>1118</v>
      </c>
      <c r="B282" t="s">
        <v>1252</v>
      </c>
      <c r="C282" t="s">
        <v>40</v>
      </c>
      <c r="D282" t="s">
        <v>29</v>
      </c>
      <c r="E282" t="s">
        <v>310</v>
      </c>
      <c r="F282" t="s">
        <v>742</v>
      </c>
      <c r="G282" t="s">
        <v>1086</v>
      </c>
      <c r="H282" t="s">
        <v>1228</v>
      </c>
      <c r="I282" t="s">
        <v>86</v>
      </c>
      <c r="J282" t="s">
        <v>1115</v>
      </c>
      <c r="K282" t="s">
        <v>1087</v>
      </c>
    </row>
    <row r="283" spans="1:11">
      <c r="A283" t="s">
        <v>1118</v>
      </c>
      <c r="B283" t="s">
        <v>1252</v>
      </c>
      <c r="C283" t="s">
        <v>40</v>
      </c>
      <c r="D283" t="s">
        <v>29</v>
      </c>
      <c r="E283" t="s">
        <v>310</v>
      </c>
      <c r="F283" t="s">
        <v>1068</v>
      </c>
      <c r="G283" t="s">
        <v>1086</v>
      </c>
      <c r="H283" t="s">
        <v>1228</v>
      </c>
      <c r="I283" t="s">
        <v>86</v>
      </c>
      <c r="J283" t="s">
        <v>1115</v>
      </c>
      <c r="K283" t="s">
        <v>1087</v>
      </c>
    </row>
    <row r="284" spans="1:11">
      <c r="A284" t="s">
        <v>1118</v>
      </c>
      <c r="B284" t="s">
        <v>1252</v>
      </c>
      <c r="C284" t="s">
        <v>40</v>
      </c>
      <c r="D284" t="s">
        <v>29</v>
      </c>
      <c r="E284" t="s">
        <v>50</v>
      </c>
      <c r="F284" t="s">
        <v>51</v>
      </c>
      <c r="G284" t="s">
        <v>1086</v>
      </c>
      <c r="H284" t="s">
        <v>1228</v>
      </c>
      <c r="I284" t="s">
        <v>86</v>
      </c>
      <c r="J284" t="s">
        <v>1115</v>
      </c>
      <c r="K284" t="s">
        <v>1087</v>
      </c>
    </row>
    <row r="285" spans="1:11">
      <c r="A285" t="s">
        <v>1118</v>
      </c>
      <c r="B285" t="s">
        <v>1252</v>
      </c>
      <c r="C285" t="s">
        <v>40</v>
      </c>
      <c r="D285" t="s">
        <v>29</v>
      </c>
      <c r="E285" t="s">
        <v>50</v>
      </c>
      <c r="F285" t="s">
        <v>491</v>
      </c>
      <c r="G285" t="s">
        <v>1086</v>
      </c>
      <c r="H285" t="s">
        <v>1228</v>
      </c>
      <c r="I285" t="s">
        <v>86</v>
      </c>
      <c r="J285" t="s">
        <v>1115</v>
      </c>
      <c r="K285" t="s">
        <v>1087</v>
      </c>
    </row>
    <row r="286" spans="1:11">
      <c r="A286" t="s">
        <v>1118</v>
      </c>
      <c r="B286" t="s">
        <v>1252</v>
      </c>
      <c r="C286" t="s">
        <v>44</v>
      </c>
      <c r="D286" t="s">
        <v>28</v>
      </c>
      <c r="E286" t="s">
        <v>50</v>
      </c>
      <c r="F286" t="s">
        <v>51</v>
      </c>
      <c r="G286" t="s">
        <v>1086</v>
      </c>
      <c r="H286" t="s">
        <v>1228</v>
      </c>
      <c r="I286" t="s">
        <v>86</v>
      </c>
      <c r="J286" t="s">
        <v>1115</v>
      </c>
      <c r="K286" t="s">
        <v>1087</v>
      </c>
    </row>
    <row r="287" spans="1:11">
      <c r="A287" t="s">
        <v>1118</v>
      </c>
      <c r="B287" t="s">
        <v>1252</v>
      </c>
      <c r="C287" t="s">
        <v>44</v>
      </c>
      <c r="D287" t="s">
        <v>28</v>
      </c>
      <c r="E287" t="s">
        <v>50</v>
      </c>
      <c r="F287" t="s">
        <v>491</v>
      </c>
      <c r="G287" t="s">
        <v>1086</v>
      </c>
      <c r="H287" t="s">
        <v>1228</v>
      </c>
      <c r="I287" t="s">
        <v>86</v>
      </c>
      <c r="J287" t="s">
        <v>1115</v>
      </c>
      <c r="K287" t="s">
        <v>1087</v>
      </c>
    </row>
    <row r="288" spans="1:11">
      <c r="A288" t="s">
        <v>1118</v>
      </c>
      <c r="B288" t="s">
        <v>1252</v>
      </c>
      <c r="C288" t="s">
        <v>44</v>
      </c>
      <c r="D288" t="s">
        <v>30</v>
      </c>
      <c r="E288" t="s">
        <v>53</v>
      </c>
      <c r="F288" t="s">
        <v>242</v>
      </c>
      <c r="G288" t="s">
        <v>1086</v>
      </c>
      <c r="H288" t="s">
        <v>1228</v>
      </c>
      <c r="I288" t="s">
        <v>86</v>
      </c>
      <c r="J288" t="s">
        <v>1115</v>
      </c>
      <c r="K288" t="s">
        <v>1087</v>
      </c>
    </row>
    <row r="289" spans="1:11">
      <c r="A289" t="s">
        <v>1118</v>
      </c>
      <c r="B289" t="s">
        <v>1252</v>
      </c>
      <c r="C289" t="s">
        <v>44</v>
      </c>
      <c r="D289" t="s">
        <v>30</v>
      </c>
      <c r="E289" t="s">
        <v>310</v>
      </c>
      <c r="F289" t="s">
        <v>742</v>
      </c>
      <c r="G289" t="s">
        <v>1086</v>
      </c>
      <c r="H289" t="s">
        <v>1228</v>
      </c>
      <c r="I289" t="s">
        <v>86</v>
      </c>
      <c r="J289" t="s">
        <v>1115</v>
      </c>
      <c r="K289" t="s">
        <v>1087</v>
      </c>
    </row>
    <row r="290" spans="1:11">
      <c r="A290" t="s">
        <v>1118</v>
      </c>
      <c r="B290" t="s">
        <v>1252</v>
      </c>
      <c r="C290" t="s">
        <v>44</v>
      </c>
      <c r="D290" t="s">
        <v>30</v>
      </c>
      <c r="E290" t="s">
        <v>310</v>
      </c>
      <c r="F290" t="s">
        <v>1068</v>
      </c>
      <c r="G290" t="s">
        <v>1086</v>
      </c>
      <c r="H290" t="s">
        <v>1228</v>
      </c>
      <c r="I290" t="s">
        <v>86</v>
      </c>
      <c r="J290" t="s">
        <v>1115</v>
      </c>
      <c r="K290" t="s">
        <v>1087</v>
      </c>
    </row>
    <row r="291" spans="1:11">
      <c r="A291" t="s">
        <v>1118</v>
      </c>
      <c r="B291" t="s">
        <v>1252</v>
      </c>
      <c r="C291" t="s">
        <v>44</v>
      </c>
      <c r="D291" t="s">
        <v>30</v>
      </c>
      <c r="E291" t="s">
        <v>50</v>
      </c>
      <c r="F291" t="s">
        <v>51</v>
      </c>
      <c r="G291" t="s">
        <v>1086</v>
      </c>
      <c r="H291" t="s">
        <v>1228</v>
      </c>
      <c r="I291" t="s">
        <v>86</v>
      </c>
      <c r="J291" t="s">
        <v>1115</v>
      </c>
      <c r="K291" t="s">
        <v>1087</v>
      </c>
    </row>
    <row r="292" spans="1:11">
      <c r="A292" t="s">
        <v>1118</v>
      </c>
      <c r="B292" t="s">
        <v>1252</v>
      </c>
      <c r="C292" t="s">
        <v>44</v>
      </c>
      <c r="D292" t="s">
        <v>30</v>
      </c>
      <c r="E292" t="s">
        <v>50</v>
      </c>
      <c r="F292" t="s">
        <v>491</v>
      </c>
      <c r="G292" t="s">
        <v>1086</v>
      </c>
      <c r="H292" t="s">
        <v>1228</v>
      </c>
      <c r="I292" t="s">
        <v>86</v>
      </c>
      <c r="J292" t="s">
        <v>1115</v>
      </c>
      <c r="K292" t="s">
        <v>1087</v>
      </c>
    </row>
    <row r="293" spans="1:11">
      <c r="A293" t="s">
        <v>1118</v>
      </c>
      <c r="B293" t="s">
        <v>1253</v>
      </c>
      <c r="C293" t="s">
        <v>40</v>
      </c>
      <c r="D293" t="s">
        <v>28</v>
      </c>
      <c r="E293" t="s">
        <v>53</v>
      </c>
      <c r="F293" t="s">
        <v>242</v>
      </c>
      <c r="G293" t="s">
        <v>1093</v>
      </c>
      <c r="H293" t="s">
        <v>1228</v>
      </c>
      <c r="I293" t="s">
        <v>86</v>
      </c>
      <c r="J293" t="s">
        <v>1115</v>
      </c>
      <c r="K293" t="s">
        <v>1120</v>
      </c>
    </row>
    <row r="294" spans="1:11">
      <c r="A294" t="s">
        <v>1118</v>
      </c>
      <c r="B294" t="s">
        <v>1253</v>
      </c>
      <c r="C294" t="s">
        <v>40</v>
      </c>
      <c r="D294" t="s">
        <v>28</v>
      </c>
      <c r="E294" t="s">
        <v>310</v>
      </c>
      <c r="F294" t="s">
        <v>742</v>
      </c>
      <c r="G294" t="s">
        <v>1093</v>
      </c>
      <c r="H294" t="s">
        <v>1228</v>
      </c>
      <c r="I294" t="s">
        <v>86</v>
      </c>
      <c r="J294" t="s">
        <v>1115</v>
      </c>
      <c r="K294" t="s">
        <v>1120</v>
      </c>
    </row>
    <row r="295" spans="1:11">
      <c r="A295" t="s">
        <v>1118</v>
      </c>
      <c r="B295" t="s">
        <v>1253</v>
      </c>
      <c r="C295" t="s">
        <v>40</v>
      </c>
      <c r="D295" t="s">
        <v>28</v>
      </c>
      <c r="E295" t="s">
        <v>310</v>
      </c>
      <c r="F295" t="s">
        <v>1068</v>
      </c>
      <c r="G295" t="s">
        <v>1093</v>
      </c>
      <c r="H295" t="s">
        <v>1228</v>
      </c>
      <c r="I295" t="s">
        <v>86</v>
      </c>
      <c r="J295" t="s">
        <v>1115</v>
      </c>
      <c r="K295" t="s">
        <v>1120</v>
      </c>
    </row>
    <row r="296" spans="1:11">
      <c r="A296" t="s">
        <v>1118</v>
      </c>
      <c r="B296" t="s">
        <v>1253</v>
      </c>
      <c r="C296" t="s">
        <v>44</v>
      </c>
      <c r="D296" t="s">
        <v>28</v>
      </c>
      <c r="E296" t="s">
        <v>50</v>
      </c>
      <c r="F296" t="s">
        <v>51</v>
      </c>
      <c r="G296" t="s">
        <v>1093</v>
      </c>
      <c r="H296" t="s">
        <v>1228</v>
      </c>
      <c r="I296" t="s">
        <v>86</v>
      </c>
      <c r="J296" t="s">
        <v>1115</v>
      </c>
      <c r="K296" t="s">
        <v>1120</v>
      </c>
    </row>
    <row r="297" spans="1:11">
      <c r="A297" t="s">
        <v>1118</v>
      </c>
      <c r="B297" t="s">
        <v>1253</v>
      </c>
      <c r="C297" t="s">
        <v>44</v>
      </c>
      <c r="D297" t="s">
        <v>28</v>
      </c>
      <c r="E297" t="s">
        <v>50</v>
      </c>
      <c r="F297" t="s">
        <v>491</v>
      </c>
      <c r="G297" t="s">
        <v>1093</v>
      </c>
      <c r="H297" t="s">
        <v>1228</v>
      </c>
      <c r="I297" t="s">
        <v>86</v>
      </c>
      <c r="J297" t="s">
        <v>1115</v>
      </c>
      <c r="K297" t="s">
        <v>1120</v>
      </c>
    </row>
    <row r="298" spans="1:11">
      <c r="A298" t="s">
        <v>1118</v>
      </c>
      <c r="B298" t="s">
        <v>1253</v>
      </c>
      <c r="C298" t="s">
        <v>44</v>
      </c>
      <c r="D298" t="s">
        <v>29</v>
      </c>
      <c r="E298" t="s">
        <v>53</v>
      </c>
      <c r="F298" t="s">
        <v>242</v>
      </c>
      <c r="G298" t="s">
        <v>1093</v>
      </c>
      <c r="H298" t="s">
        <v>1228</v>
      </c>
      <c r="I298" t="s">
        <v>86</v>
      </c>
      <c r="J298" t="s">
        <v>1115</v>
      </c>
      <c r="K298" t="s">
        <v>1120</v>
      </c>
    </row>
    <row r="299" spans="1:11">
      <c r="A299" t="s">
        <v>1118</v>
      </c>
      <c r="B299" t="s">
        <v>1253</v>
      </c>
      <c r="C299" t="s">
        <v>44</v>
      </c>
      <c r="D299" t="s">
        <v>29</v>
      </c>
      <c r="E299" t="s">
        <v>310</v>
      </c>
      <c r="F299" t="s">
        <v>742</v>
      </c>
      <c r="G299" t="s">
        <v>1093</v>
      </c>
      <c r="H299" t="s">
        <v>1228</v>
      </c>
      <c r="I299" t="s">
        <v>86</v>
      </c>
      <c r="J299" t="s">
        <v>1115</v>
      </c>
      <c r="K299" t="s">
        <v>1120</v>
      </c>
    </row>
    <row r="300" spans="1:11">
      <c r="A300" t="s">
        <v>1118</v>
      </c>
      <c r="B300" t="s">
        <v>1253</v>
      </c>
      <c r="C300" t="s">
        <v>44</v>
      </c>
      <c r="D300" t="s">
        <v>29</v>
      </c>
      <c r="E300" t="s">
        <v>310</v>
      </c>
      <c r="F300" t="s">
        <v>1068</v>
      </c>
      <c r="G300" t="s">
        <v>1093</v>
      </c>
      <c r="H300" t="s">
        <v>1228</v>
      </c>
      <c r="I300" t="s">
        <v>86</v>
      </c>
      <c r="J300" t="s">
        <v>1115</v>
      </c>
      <c r="K300" t="s">
        <v>1120</v>
      </c>
    </row>
    <row r="301" spans="1:11">
      <c r="A301" t="s">
        <v>1118</v>
      </c>
      <c r="B301" t="s">
        <v>1253</v>
      </c>
      <c r="C301" t="s">
        <v>44</v>
      </c>
      <c r="D301" t="s">
        <v>29</v>
      </c>
      <c r="E301" t="s">
        <v>50</v>
      </c>
      <c r="F301" t="s">
        <v>51</v>
      </c>
      <c r="G301" t="s">
        <v>1093</v>
      </c>
      <c r="H301" t="s">
        <v>1228</v>
      </c>
      <c r="I301" t="s">
        <v>86</v>
      </c>
      <c r="J301" t="s">
        <v>1115</v>
      </c>
      <c r="K301" t="s">
        <v>1120</v>
      </c>
    </row>
    <row r="302" spans="1:11">
      <c r="A302" t="s">
        <v>1118</v>
      </c>
      <c r="B302" t="s">
        <v>1253</v>
      </c>
      <c r="C302" t="s">
        <v>44</v>
      </c>
      <c r="D302" t="s">
        <v>29</v>
      </c>
      <c r="E302" t="s">
        <v>50</v>
      </c>
      <c r="F302" t="s">
        <v>491</v>
      </c>
      <c r="G302" t="s">
        <v>1093</v>
      </c>
      <c r="H302" t="s">
        <v>1228</v>
      </c>
      <c r="I302" t="s">
        <v>86</v>
      </c>
      <c r="J302" t="s">
        <v>1115</v>
      </c>
      <c r="K302" t="s">
        <v>1120</v>
      </c>
    </row>
    <row r="303" spans="1:11">
      <c r="A303" t="s">
        <v>1118</v>
      </c>
      <c r="B303" t="s">
        <v>1254</v>
      </c>
      <c r="C303" t="s">
        <v>40</v>
      </c>
      <c r="D303" t="s">
        <v>28</v>
      </c>
      <c r="E303" t="s">
        <v>50</v>
      </c>
      <c r="F303" t="s">
        <v>239</v>
      </c>
      <c r="G303" t="s">
        <v>1100</v>
      </c>
      <c r="H303" t="s">
        <v>1228</v>
      </c>
      <c r="I303" t="s">
        <v>86</v>
      </c>
      <c r="J303" t="s">
        <v>1115</v>
      </c>
      <c r="K303" t="s">
        <v>1101</v>
      </c>
    </row>
    <row r="304" spans="1:11">
      <c r="A304" t="s">
        <v>1118</v>
      </c>
      <c r="B304" t="s">
        <v>1254</v>
      </c>
      <c r="C304" t="s">
        <v>40</v>
      </c>
      <c r="D304" t="s">
        <v>28</v>
      </c>
      <c r="E304" t="s">
        <v>50</v>
      </c>
      <c r="F304" t="s">
        <v>52</v>
      </c>
      <c r="G304" t="s">
        <v>1100</v>
      </c>
      <c r="H304" t="s">
        <v>1228</v>
      </c>
      <c r="I304" t="s">
        <v>86</v>
      </c>
      <c r="J304" t="s">
        <v>1115</v>
      </c>
      <c r="K304" t="s">
        <v>1101</v>
      </c>
    </row>
    <row r="305" spans="1:11">
      <c r="A305" t="s">
        <v>1118</v>
      </c>
      <c r="B305" t="s">
        <v>1254</v>
      </c>
      <c r="C305" t="s">
        <v>40</v>
      </c>
      <c r="D305" t="s">
        <v>30</v>
      </c>
      <c r="E305" t="s">
        <v>53</v>
      </c>
      <c r="F305" t="s">
        <v>161</v>
      </c>
      <c r="G305" t="s">
        <v>1100</v>
      </c>
      <c r="H305" t="s">
        <v>1228</v>
      </c>
      <c r="I305" t="s">
        <v>86</v>
      </c>
      <c r="J305" t="s">
        <v>1115</v>
      </c>
      <c r="K305" t="s">
        <v>1101</v>
      </c>
    </row>
    <row r="306" spans="1:11">
      <c r="A306" t="s">
        <v>1118</v>
      </c>
      <c r="B306" t="s">
        <v>1254</v>
      </c>
      <c r="C306" t="s">
        <v>40</v>
      </c>
      <c r="D306" t="s">
        <v>28</v>
      </c>
      <c r="E306" t="s">
        <v>162</v>
      </c>
      <c r="F306" t="s">
        <v>493</v>
      </c>
      <c r="G306" t="s">
        <v>1100</v>
      </c>
      <c r="H306" t="s">
        <v>1228</v>
      </c>
      <c r="I306" t="s">
        <v>86</v>
      </c>
      <c r="J306" t="s">
        <v>1115</v>
      </c>
      <c r="K306" t="s">
        <v>1101</v>
      </c>
    </row>
    <row r="307" spans="1:11">
      <c r="A307" t="s">
        <v>1118</v>
      </c>
      <c r="B307" t="s">
        <v>1254</v>
      </c>
      <c r="C307" t="s">
        <v>40</v>
      </c>
      <c r="D307" t="s">
        <v>28</v>
      </c>
      <c r="E307" t="s">
        <v>55</v>
      </c>
      <c r="F307" t="s">
        <v>104</v>
      </c>
      <c r="G307" t="s">
        <v>1100</v>
      </c>
      <c r="H307" t="s">
        <v>1228</v>
      </c>
      <c r="I307" t="s">
        <v>86</v>
      </c>
      <c r="J307" t="s">
        <v>1115</v>
      </c>
      <c r="K307" t="s">
        <v>1101</v>
      </c>
    </row>
    <row r="308" spans="1:11">
      <c r="A308" t="s">
        <v>1118</v>
      </c>
      <c r="B308" t="s">
        <v>1254</v>
      </c>
      <c r="C308" t="s">
        <v>40</v>
      </c>
      <c r="D308" t="s">
        <v>28</v>
      </c>
      <c r="E308" t="s">
        <v>57</v>
      </c>
      <c r="F308" t="s">
        <v>655</v>
      </c>
      <c r="G308" t="s">
        <v>1100</v>
      </c>
      <c r="H308" t="s">
        <v>1228</v>
      </c>
      <c r="I308" t="s">
        <v>86</v>
      </c>
      <c r="J308" t="s">
        <v>1115</v>
      </c>
      <c r="K308" t="s">
        <v>1101</v>
      </c>
    </row>
    <row r="309" spans="1:11">
      <c r="A309" t="s">
        <v>1118</v>
      </c>
      <c r="B309" t="s">
        <v>1254</v>
      </c>
      <c r="C309" t="s">
        <v>44</v>
      </c>
      <c r="D309" t="s">
        <v>29</v>
      </c>
      <c r="E309" t="s">
        <v>50</v>
      </c>
      <c r="F309" t="s">
        <v>239</v>
      </c>
      <c r="G309" t="s">
        <v>1100</v>
      </c>
      <c r="H309" t="s">
        <v>1228</v>
      </c>
      <c r="I309" t="s">
        <v>86</v>
      </c>
      <c r="J309" t="s">
        <v>1115</v>
      </c>
      <c r="K309" t="s">
        <v>1101</v>
      </c>
    </row>
    <row r="310" spans="1:11">
      <c r="A310" t="s">
        <v>1118</v>
      </c>
      <c r="B310" t="s">
        <v>1254</v>
      </c>
      <c r="C310" t="s">
        <v>44</v>
      </c>
      <c r="D310" t="s">
        <v>29</v>
      </c>
      <c r="E310" t="s">
        <v>50</v>
      </c>
      <c r="F310" t="s">
        <v>52</v>
      </c>
      <c r="G310" t="s">
        <v>1100</v>
      </c>
      <c r="H310" t="s">
        <v>1228</v>
      </c>
      <c r="I310" t="s">
        <v>86</v>
      </c>
      <c r="J310" t="s">
        <v>1115</v>
      </c>
      <c r="K310" t="s">
        <v>1101</v>
      </c>
    </row>
    <row r="311" spans="1:11">
      <c r="A311" t="s">
        <v>1118</v>
      </c>
      <c r="B311" t="s">
        <v>1254</v>
      </c>
      <c r="C311" t="s">
        <v>44</v>
      </c>
      <c r="D311" t="s">
        <v>29</v>
      </c>
      <c r="E311" t="s">
        <v>162</v>
      </c>
      <c r="F311" t="s">
        <v>493</v>
      </c>
      <c r="G311" t="s">
        <v>1100</v>
      </c>
      <c r="H311" t="s">
        <v>1228</v>
      </c>
      <c r="I311" t="s">
        <v>86</v>
      </c>
      <c r="J311" t="s">
        <v>1115</v>
      </c>
      <c r="K311" t="s">
        <v>1101</v>
      </c>
    </row>
    <row r="312" spans="1:11">
      <c r="A312" t="s">
        <v>1118</v>
      </c>
      <c r="B312" t="s">
        <v>1254</v>
      </c>
      <c r="C312" t="s">
        <v>44</v>
      </c>
      <c r="D312" t="s">
        <v>29</v>
      </c>
      <c r="E312" t="s">
        <v>162</v>
      </c>
      <c r="F312" t="s">
        <v>164</v>
      </c>
      <c r="G312" t="s">
        <v>1100</v>
      </c>
      <c r="H312" t="s">
        <v>1228</v>
      </c>
      <c r="I312" t="s">
        <v>86</v>
      </c>
      <c r="J312" t="s">
        <v>1115</v>
      </c>
      <c r="K312" t="s">
        <v>1101</v>
      </c>
    </row>
    <row r="313" spans="1:11">
      <c r="A313" t="s">
        <v>1118</v>
      </c>
      <c r="B313" t="s">
        <v>1254</v>
      </c>
      <c r="C313" t="s">
        <v>44</v>
      </c>
      <c r="D313" t="s">
        <v>30</v>
      </c>
      <c r="E313" t="s">
        <v>53</v>
      </c>
      <c r="F313" t="s">
        <v>161</v>
      </c>
      <c r="G313" t="s">
        <v>1100</v>
      </c>
      <c r="H313" t="s">
        <v>1228</v>
      </c>
      <c r="I313" t="s">
        <v>86</v>
      </c>
      <c r="J313" t="s">
        <v>1115</v>
      </c>
      <c r="K313" t="s">
        <v>1101</v>
      </c>
    </row>
  </sheetData>
  <pageMargins left="0.7" right="0.7" top="0.75" bottom="0.75" header="0.3" footer="0.3"/>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C4FAC3-E8FB-4D4C-87D8-70FF7CAD17E6}">
  <sheetPr codeName="Sheet34"/>
  <dimension ref="A1:I169"/>
  <sheetViews>
    <sheetView topLeftCell="A3" workbookViewId="0">
      <selection sqref="A1:I169"/>
    </sheetView>
  </sheetViews>
  <sheetFormatPr defaultColWidth="8.85546875" defaultRowHeight="15"/>
  <cols>
    <col min="1" max="1" width="49" bestFit="1" customWidth="1"/>
    <col min="2" max="2" width="14.85546875" bestFit="1" customWidth="1"/>
    <col min="3" max="3" width="65.42578125" bestFit="1" customWidth="1"/>
    <col min="4" max="4" width="14" bestFit="1" customWidth="1"/>
    <col min="5" max="5" width="16.42578125" bestFit="1" customWidth="1"/>
    <col min="6" max="6" width="12.7109375" bestFit="1" customWidth="1"/>
    <col min="7" max="7" width="24.42578125" bestFit="1" customWidth="1"/>
    <col min="8" max="8" width="14.42578125" bestFit="1" customWidth="1"/>
    <col min="9" max="9" width="12.140625" bestFit="1" customWidth="1"/>
  </cols>
  <sheetData>
    <row r="1" spans="1:9">
      <c r="A1" t="s">
        <v>1109</v>
      </c>
      <c r="B1" t="s">
        <v>1080</v>
      </c>
      <c r="C1" t="s">
        <v>1081</v>
      </c>
      <c r="D1" t="s">
        <v>16</v>
      </c>
      <c r="E1" t="s">
        <v>15</v>
      </c>
      <c r="F1" t="s">
        <v>1195</v>
      </c>
      <c r="G1" t="s">
        <v>1110</v>
      </c>
      <c r="H1" t="s">
        <v>1111</v>
      </c>
      <c r="I1" t="s">
        <v>1112</v>
      </c>
    </row>
    <row r="2" spans="1:9">
      <c r="A2" t="s">
        <v>1123</v>
      </c>
      <c r="B2" t="s">
        <v>80</v>
      </c>
      <c r="C2" t="s">
        <v>1092</v>
      </c>
      <c r="D2" t="s">
        <v>17</v>
      </c>
      <c r="E2">
        <v>22</v>
      </c>
      <c r="F2" t="s">
        <v>1255</v>
      </c>
      <c r="G2" t="s">
        <v>86</v>
      </c>
      <c r="H2" t="s">
        <v>1127</v>
      </c>
      <c r="I2" t="s">
        <v>1115</v>
      </c>
    </row>
    <row r="3" spans="1:9">
      <c r="A3" t="s">
        <v>1123</v>
      </c>
      <c r="B3" t="s">
        <v>80</v>
      </c>
      <c r="C3" t="s">
        <v>1092</v>
      </c>
      <c r="D3" t="s">
        <v>18</v>
      </c>
      <c r="E3">
        <v>5</v>
      </c>
      <c r="F3" t="s">
        <v>1255</v>
      </c>
      <c r="G3" t="s">
        <v>86</v>
      </c>
      <c r="H3" t="s">
        <v>1127</v>
      </c>
      <c r="I3" t="s">
        <v>1115</v>
      </c>
    </row>
    <row r="4" spans="1:9">
      <c r="A4" t="s">
        <v>1123</v>
      </c>
      <c r="B4" t="s">
        <v>80</v>
      </c>
      <c r="C4" t="s">
        <v>1092</v>
      </c>
      <c r="D4" t="s">
        <v>19</v>
      </c>
      <c r="E4">
        <v>3</v>
      </c>
      <c r="F4" t="s">
        <v>1255</v>
      </c>
      <c r="G4" t="s">
        <v>86</v>
      </c>
      <c r="H4" t="s">
        <v>1127</v>
      </c>
      <c r="I4" t="s">
        <v>1115</v>
      </c>
    </row>
    <row r="5" spans="1:9">
      <c r="A5" t="s">
        <v>1123</v>
      </c>
      <c r="B5" t="s">
        <v>80</v>
      </c>
      <c r="C5" t="s">
        <v>1092</v>
      </c>
      <c r="D5" t="s">
        <v>20</v>
      </c>
      <c r="E5">
        <v>10</v>
      </c>
      <c r="F5" t="s">
        <v>1255</v>
      </c>
      <c r="G5" t="s">
        <v>86</v>
      </c>
      <c r="H5" t="s">
        <v>1127</v>
      </c>
      <c r="I5" t="s">
        <v>1115</v>
      </c>
    </row>
    <row r="6" spans="1:9">
      <c r="A6" t="s">
        <v>1123</v>
      </c>
      <c r="B6" t="s">
        <v>80</v>
      </c>
      <c r="C6" t="s">
        <v>1092</v>
      </c>
      <c r="D6" t="s">
        <v>22</v>
      </c>
      <c r="E6">
        <v>4</v>
      </c>
      <c r="F6" t="s">
        <v>1255</v>
      </c>
      <c r="G6" t="s">
        <v>86</v>
      </c>
      <c r="H6" t="s">
        <v>1127</v>
      </c>
      <c r="I6" t="s">
        <v>1115</v>
      </c>
    </row>
    <row r="7" spans="1:9">
      <c r="A7" t="s">
        <v>1123</v>
      </c>
      <c r="B7" t="s">
        <v>80</v>
      </c>
      <c r="C7" t="s">
        <v>1092</v>
      </c>
      <c r="D7" t="s">
        <v>23</v>
      </c>
      <c r="E7">
        <v>44</v>
      </c>
      <c r="F7" t="s">
        <v>1255</v>
      </c>
      <c r="G7" t="s">
        <v>86</v>
      </c>
      <c r="H7" t="s">
        <v>1127</v>
      </c>
      <c r="I7" t="s">
        <v>1115</v>
      </c>
    </row>
    <row r="8" spans="1:9">
      <c r="A8" t="s">
        <v>1123</v>
      </c>
      <c r="B8" t="s">
        <v>141</v>
      </c>
      <c r="C8" t="s">
        <v>143</v>
      </c>
      <c r="D8" t="s">
        <v>17</v>
      </c>
      <c r="E8">
        <v>23</v>
      </c>
      <c r="F8" t="s">
        <v>1255</v>
      </c>
      <c r="G8" t="s">
        <v>86</v>
      </c>
      <c r="H8" t="s">
        <v>1128</v>
      </c>
      <c r="I8" t="s">
        <v>1115</v>
      </c>
    </row>
    <row r="9" spans="1:9">
      <c r="A9" t="s">
        <v>1123</v>
      </c>
      <c r="B9" t="s">
        <v>141</v>
      </c>
      <c r="C9" t="s">
        <v>143</v>
      </c>
      <c r="D9" t="s">
        <v>18</v>
      </c>
      <c r="F9" t="s">
        <v>1255</v>
      </c>
      <c r="G9" t="s">
        <v>86</v>
      </c>
      <c r="H9" t="s">
        <v>1128</v>
      </c>
      <c r="I9" t="s">
        <v>1115</v>
      </c>
    </row>
    <row r="10" spans="1:9">
      <c r="A10" t="s">
        <v>1123</v>
      </c>
      <c r="B10" t="s">
        <v>141</v>
      </c>
      <c r="C10" t="s">
        <v>143</v>
      </c>
      <c r="D10" t="s">
        <v>19</v>
      </c>
      <c r="F10" t="s">
        <v>1255</v>
      </c>
      <c r="G10" t="s">
        <v>86</v>
      </c>
      <c r="H10" t="s">
        <v>1128</v>
      </c>
      <c r="I10" t="s">
        <v>1115</v>
      </c>
    </row>
    <row r="11" spans="1:9">
      <c r="A11" t="s">
        <v>1123</v>
      </c>
      <c r="B11" t="s">
        <v>141</v>
      </c>
      <c r="C11" t="s">
        <v>143</v>
      </c>
      <c r="D11" t="s">
        <v>20</v>
      </c>
      <c r="E11">
        <v>17</v>
      </c>
      <c r="F11" t="s">
        <v>1255</v>
      </c>
      <c r="G11" t="s">
        <v>86</v>
      </c>
      <c r="H11" t="s">
        <v>1128</v>
      </c>
      <c r="I11" t="s">
        <v>1115</v>
      </c>
    </row>
    <row r="12" spans="1:9">
      <c r="A12" t="s">
        <v>1123</v>
      </c>
      <c r="B12" t="s">
        <v>141</v>
      </c>
      <c r="C12" t="s">
        <v>143</v>
      </c>
      <c r="D12" t="s">
        <v>22</v>
      </c>
      <c r="F12" t="s">
        <v>1255</v>
      </c>
      <c r="G12" t="s">
        <v>86</v>
      </c>
      <c r="H12" t="s">
        <v>1128</v>
      </c>
      <c r="I12" t="s">
        <v>1115</v>
      </c>
    </row>
    <row r="13" spans="1:9">
      <c r="A13" t="s">
        <v>1123</v>
      </c>
      <c r="B13" t="s">
        <v>141</v>
      </c>
      <c r="C13" t="s">
        <v>143</v>
      </c>
      <c r="D13" t="s">
        <v>23</v>
      </c>
      <c r="E13">
        <v>40</v>
      </c>
      <c r="F13" t="s">
        <v>1255</v>
      </c>
      <c r="G13" t="s">
        <v>86</v>
      </c>
      <c r="H13" t="s">
        <v>1128</v>
      </c>
      <c r="I13" t="s">
        <v>1115</v>
      </c>
    </row>
    <row r="14" spans="1:9">
      <c r="A14" t="s">
        <v>1123</v>
      </c>
      <c r="B14" t="s">
        <v>178</v>
      </c>
      <c r="C14" t="s">
        <v>179</v>
      </c>
      <c r="D14" t="s">
        <v>17</v>
      </c>
      <c r="E14">
        <v>34</v>
      </c>
      <c r="F14" t="s">
        <v>1255</v>
      </c>
      <c r="G14" t="s">
        <v>86</v>
      </c>
      <c r="H14" t="s">
        <v>1124</v>
      </c>
      <c r="I14" t="s">
        <v>1115</v>
      </c>
    </row>
    <row r="15" spans="1:9">
      <c r="A15" t="s">
        <v>1123</v>
      </c>
      <c r="B15" t="s">
        <v>178</v>
      </c>
      <c r="C15" t="s">
        <v>179</v>
      </c>
      <c r="D15" t="s">
        <v>18</v>
      </c>
      <c r="E15">
        <v>6</v>
      </c>
      <c r="F15" t="s">
        <v>1255</v>
      </c>
      <c r="G15" t="s">
        <v>86</v>
      </c>
      <c r="H15" t="s">
        <v>1124</v>
      </c>
      <c r="I15" t="s">
        <v>1115</v>
      </c>
    </row>
    <row r="16" spans="1:9">
      <c r="A16" t="s">
        <v>1123</v>
      </c>
      <c r="B16" t="s">
        <v>178</v>
      </c>
      <c r="C16" t="s">
        <v>179</v>
      </c>
      <c r="D16" t="s">
        <v>19</v>
      </c>
      <c r="F16" t="s">
        <v>1255</v>
      </c>
      <c r="G16" t="s">
        <v>86</v>
      </c>
      <c r="H16" t="s">
        <v>1124</v>
      </c>
      <c r="I16" t="s">
        <v>1115</v>
      </c>
    </row>
    <row r="17" spans="1:9">
      <c r="A17" t="s">
        <v>1123</v>
      </c>
      <c r="B17" t="s">
        <v>178</v>
      </c>
      <c r="C17" t="s">
        <v>179</v>
      </c>
      <c r="D17" t="s">
        <v>20</v>
      </c>
      <c r="E17">
        <v>4</v>
      </c>
      <c r="F17" t="s">
        <v>1255</v>
      </c>
      <c r="G17" t="s">
        <v>86</v>
      </c>
      <c r="H17" t="s">
        <v>1124</v>
      </c>
      <c r="I17" t="s">
        <v>1115</v>
      </c>
    </row>
    <row r="18" spans="1:9">
      <c r="A18" t="s">
        <v>1123</v>
      </c>
      <c r="B18" t="s">
        <v>178</v>
      </c>
      <c r="C18" t="s">
        <v>179</v>
      </c>
      <c r="D18" t="s">
        <v>22</v>
      </c>
      <c r="F18" t="s">
        <v>1255</v>
      </c>
      <c r="G18" t="s">
        <v>86</v>
      </c>
      <c r="H18" t="s">
        <v>1124</v>
      </c>
      <c r="I18" t="s">
        <v>1115</v>
      </c>
    </row>
    <row r="19" spans="1:9">
      <c r="A19" t="s">
        <v>1123</v>
      </c>
      <c r="B19" t="s">
        <v>178</v>
      </c>
      <c r="C19" t="s">
        <v>179</v>
      </c>
      <c r="D19" t="s">
        <v>23</v>
      </c>
      <c r="E19">
        <v>44</v>
      </c>
      <c r="F19" t="s">
        <v>1255</v>
      </c>
      <c r="G19" t="s">
        <v>86</v>
      </c>
      <c r="H19" t="s">
        <v>1124</v>
      </c>
      <c r="I19" t="s">
        <v>1115</v>
      </c>
    </row>
    <row r="20" spans="1:9">
      <c r="A20" t="s">
        <v>1123</v>
      </c>
      <c r="B20" t="s">
        <v>217</v>
      </c>
      <c r="C20" t="s">
        <v>1091</v>
      </c>
      <c r="D20" t="s">
        <v>17</v>
      </c>
      <c r="E20">
        <v>33</v>
      </c>
      <c r="F20" t="s">
        <v>1255</v>
      </c>
      <c r="G20" t="s">
        <v>86</v>
      </c>
      <c r="H20" t="s">
        <v>1125</v>
      </c>
      <c r="I20" t="s">
        <v>1115</v>
      </c>
    </row>
    <row r="21" spans="1:9">
      <c r="A21" t="s">
        <v>1123</v>
      </c>
      <c r="B21" t="s">
        <v>217</v>
      </c>
      <c r="C21" t="s">
        <v>1091</v>
      </c>
      <c r="D21" t="s">
        <v>18</v>
      </c>
      <c r="E21">
        <v>1</v>
      </c>
      <c r="F21" t="s">
        <v>1255</v>
      </c>
      <c r="G21" t="s">
        <v>86</v>
      </c>
      <c r="H21" t="s">
        <v>1125</v>
      </c>
      <c r="I21" t="s">
        <v>1115</v>
      </c>
    </row>
    <row r="22" spans="1:9">
      <c r="A22" t="s">
        <v>1123</v>
      </c>
      <c r="B22" t="s">
        <v>217</v>
      </c>
      <c r="C22" t="s">
        <v>1091</v>
      </c>
      <c r="D22" t="s">
        <v>19</v>
      </c>
      <c r="E22">
        <v>6</v>
      </c>
      <c r="F22" t="s">
        <v>1255</v>
      </c>
      <c r="G22" t="s">
        <v>86</v>
      </c>
      <c r="H22" t="s">
        <v>1125</v>
      </c>
      <c r="I22" t="s">
        <v>1115</v>
      </c>
    </row>
    <row r="23" spans="1:9">
      <c r="A23" t="s">
        <v>1123</v>
      </c>
      <c r="B23" t="s">
        <v>217</v>
      </c>
      <c r="C23" t="s">
        <v>1091</v>
      </c>
      <c r="D23" t="s">
        <v>20</v>
      </c>
      <c r="E23">
        <v>1</v>
      </c>
      <c r="F23" t="s">
        <v>1255</v>
      </c>
      <c r="G23" t="s">
        <v>86</v>
      </c>
      <c r="H23" t="s">
        <v>1125</v>
      </c>
      <c r="I23" t="s">
        <v>1115</v>
      </c>
    </row>
    <row r="24" spans="1:9">
      <c r="A24" t="s">
        <v>1123</v>
      </c>
      <c r="B24" t="s">
        <v>217</v>
      </c>
      <c r="C24" t="s">
        <v>1091</v>
      </c>
      <c r="D24" t="s">
        <v>22</v>
      </c>
      <c r="E24">
        <v>3</v>
      </c>
      <c r="F24" t="s">
        <v>1255</v>
      </c>
      <c r="G24" t="s">
        <v>86</v>
      </c>
      <c r="H24" t="s">
        <v>1125</v>
      </c>
      <c r="I24" t="s">
        <v>1115</v>
      </c>
    </row>
    <row r="25" spans="1:9">
      <c r="A25" t="s">
        <v>1123</v>
      </c>
      <c r="B25" t="s">
        <v>217</v>
      </c>
      <c r="C25" t="s">
        <v>1091</v>
      </c>
      <c r="D25" t="s">
        <v>23</v>
      </c>
      <c r="E25">
        <v>44</v>
      </c>
      <c r="F25" t="s">
        <v>1255</v>
      </c>
      <c r="G25" t="s">
        <v>86</v>
      </c>
      <c r="H25" t="s">
        <v>1125</v>
      </c>
      <c r="I25" t="s">
        <v>1115</v>
      </c>
    </row>
    <row r="26" spans="1:9">
      <c r="A26" t="s">
        <v>1123</v>
      </c>
      <c r="B26" t="s">
        <v>279</v>
      </c>
      <c r="C26" t="s">
        <v>281</v>
      </c>
      <c r="D26" t="s">
        <v>17</v>
      </c>
      <c r="E26">
        <v>11</v>
      </c>
      <c r="F26" t="s">
        <v>1255</v>
      </c>
      <c r="G26" t="s">
        <v>86</v>
      </c>
      <c r="H26" t="s">
        <v>1126</v>
      </c>
      <c r="I26" t="s">
        <v>1115</v>
      </c>
    </row>
    <row r="27" spans="1:9">
      <c r="A27" t="s">
        <v>1123</v>
      </c>
      <c r="B27" t="s">
        <v>279</v>
      </c>
      <c r="C27" t="s">
        <v>281</v>
      </c>
      <c r="D27" t="s">
        <v>18</v>
      </c>
      <c r="F27" t="s">
        <v>1255</v>
      </c>
      <c r="G27" t="s">
        <v>86</v>
      </c>
      <c r="H27" t="s">
        <v>1126</v>
      </c>
      <c r="I27" t="s">
        <v>1115</v>
      </c>
    </row>
    <row r="28" spans="1:9">
      <c r="A28" t="s">
        <v>1123</v>
      </c>
      <c r="B28" t="s">
        <v>279</v>
      </c>
      <c r="C28" t="s">
        <v>281</v>
      </c>
      <c r="D28" t="s">
        <v>19</v>
      </c>
      <c r="E28">
        <v>6</v>
      </c>
      <c r="F28" t="s">
        <v>1255</v>
      </c>
      <c r="G28" t="s">
        <v>86</v>
      </c>
      <c r="H28" t="s">
        <v>1126</v>
      </c>
      <c r="I28" t="s">
        <v>1115</v>
      </c>
    </row>
    <row r="29" spans="1:9">
      <c r="A29" t="s">
        <v>1123</v>
      </c>
      <c r="B29" t="s">
        <v>279</v>
      </c>
      <c r="C29" t="s">
        <v>281</v>
      </c>
      <c r="D29" t="s">
        <v>20</v>
      </c>
      <c r="E29">
        <v>11</v>
      </c>
      <c r="F29" t="s">
        <v>1255</v>
      </c>
      <c r="G29" t="s">
        <v>86</v>
      </c>
      <c r="H29" t="s">
        <v>1126</v>
      </c>
      <c r="I29" t="s">
        <v>1115</v>
      </c>
    </row>
    <row r="30" spans="1:9">
      <c r="A30" t="s">
        <v>1123</v>
      </c>
      <c r="B30" t="s">
        <v>279</v>
      </c>
      <c r="C30" t="s">
        <v>281</v>
      </c>
      <c r="D30" t="s">
        <v>22</v>
      </c>
      <c r="E30">
        <v>11</v>
      </c>
      <c r="F30" t="s">
        <v>1255</v>
      </c>
      <c r="G30" t="s">
        <v>86</v>
      </c>
      <c r="H30" t="s">
        <v>1126</v>
      </c>
      <c r="I30" t="s">
        <v>1115</v>
      </c>
    </row>
    <row r="31" spans="1:9">
      <c r="A31" t="s">
        <v>1123</v>
      </c>
      <c r="B31" t="s">
        <v>279</v>
      </c>
      <c r="C31" t="s">
        <v>281</v>
      </c>
      <c r="D31" t="s">
        <v>23</v>
      </c>
      <c r="E31">
        <v>39</v>
      </c>
      <c r="F31" t="s">
        <v>1255</v>
      </c>
      <c r="G31" t="s">
        <v>86</v>
      </c>
      <c r="H31" t="s">
        <v>1126</v>
      </c>
      <c r="I31" t="s">
        <v>1115</v>
      </c>
    </row>
    <row r="32" spans="1:9">
      <c r="A32" t="s">
        <v>1123</v>
      </c>
      <c r="B32" t="s">
        <v>339</v>
      </c>
      <c r="C32" t="s">
        <v>341</v>
      </c>
      <c r="D32" t="s">
        <v>17</v>
      </c>
      <c r="E32">
        <v>34</v>
      </c>
      <c r="F32" t="s">
        <v>1255</v>
      </c>
      <c r="G32" t="s">
        <v>86</v>
      </c>
      <c r="H32" t="s">
        <v>1129</v>
      </c>
      <c r="I32" t="s">
        <v>1115</v>
      </c>
    </row>
    <row r="33" spans="1:9">
      <c r="A33" t="s">
        <v>1123</v>
      </c>
      <c r="B33" t="s">
        <v>339</v>
      </c>
      <c r="C33" t="s">
        <v>341</v>
      </c>
      <c r="D33" t="s">
        <v>18</v>
      </c>
      <c r="E33">
        <v>6</v>
      </c>
      <c r="F33" t="s">
        <v>1255</v>
      </c>
      <c r="G33" t="s">
        <v>86</v>
      </c>
      <c r="H33" t="s">
        <v>1129</v>
      </c>
      <c r="I33" t="s">
        <v>1115</v>
      </c>
    </row>
    <row r="34" spans="1:9">
      <c r="A34" t="s">
        <v>1123</v>
      </c>
      <c r="B34" t="s">
        <v>339</v>
      </c>
      <c r="C34" t="s">
        <v>341</v>
      </c>
      <c r="D34" t="s">
        <v>19</v>
      </c>
      <c r="F34" t="s">
        <v>1255</v>
      </c>
      <c r="G34" t="s">
        <v>86</v>
      </c>
      <c r="H34" t="s">
        <v>1129</v>
      </c>
      <c r="I34" t="s">
        <v>1115</v>
      </c>
    </row>
    <row r="35" spans="1:9">
      <c r="A35" t="s">
        <v>1123</v>
      </c>
      <c r="B35" t="s">
        <v>339</v>
      </c>
      <c r="C35" t="s">
        <v>341</v>
      </c>
      <c r="D35" t="s">
        <v>20</v>
      </c>
      <c r="E35">
        <v>2</v>
      </c>
      <c r="F35" t="s">
        <v>1255</v>
      </c>
      <c r="G35" t="s">
        <v>86</v>
      </c>
      <c r="H35" t="s">
        <v>1129</v>
      </c>
      <c r="I35" t="s">
        <v>1115</v>
      </c>
    </row>
    <row r="36" spans="1:9">
      <c r="A36" t="s">
        <v>1123</v>
      </c>
      <c r="B36" t="s">
        <v>339</v>
      </c>
      <c r="C36" t="s">
        <v>341</v>
      </c>
      <c r="D36" t="s">
        <v>22</v>
      </c>
      <c r="F36" t="s">
        <v>1255</v>
      </c>
      <c r="G36" t="s">
        <v>86</v>
      </c>
      <c r="H36" t="s">
        <v>1129</v>
      </c>
      <c r="I36" t="s">
        <v>1115</v>
      </c>
    </row>
    <row r="37" spans="1:9">
      <c r="A37" t="s">
        <v>1123</v>
      </c>
      <c r="B37" t="s">
        <v>339</v>
      </c>
      <c r="C37" t="s">
        <v>341</v>
      </c>
      <c r="D37" t="s">
        <v>23</v>
      </c>
      <c r="E37">
        <v>42</v>
      </c>
      <c r="F37" t="s">
        <v>1255</v>
      </c>
      <c r="G37" t="s">
        <v>86</v>
      </c>
      <c r="H37" t="s">
        <v>1129</v>
      </c>
      <c r="I37" t="s">
        <v>1115</v>
      </c>
    </row>
    <row r="38" spans="1:9">
      <c r="A38" t="s">
        <v>1123</v>
      </c>
      <c r="B38" t="s">
        <v>473</v>
      </c>
      <c r="C38" t="s">
        <v>474</v>
      </c>
      <c r="D38" t="s">
        <v>17</v>
      </c>
      <c r="E38">
        <v>16</v>
      </c>
      <c r="F38" t="s">
        <v>1255</v>
      </c>
      <c r="G38" t="s">
        <v>86</v>
      </c>
      <c r="H38" t="s">
        <v>1130</v>
      </c>
      <c r="I38" t="s">
        <v>1115</v>
      </c>
    </row>
    <row r="39" spans="1:9">
      <c r="A39" t="s">
        <v>1123</v>
      </c>
      <c r="B39" t="s">
        <v>473</v>
      </c>
      <c r="C39" t="s">
        <v>474</v>
      </c>
      <c r="D39" t="s">
        <v>18</v>
      </c>
      <c r="E39">
        <v>5</v>
      </c>
      <c r="F39" t="s">
        <v>1255</v>
      </c>
      <c r="G39" t="s">
        <v>86</v>
      </c>
      <c r="H39" t="s">
        <v>1130</v>
      </c>
      <c r="I39" t="s">
        <v>1115</v>
      </c>
    </row>
    <row r="40" spans="1:9">
      <c r="A40" t="s">
        <v>1123</v>
      </c>
      <c r="B40" t="s">
        <v>473</v>
      </c>
      <c r="C40" t="s">
        <v>474</v>
      </c>
      <c r="D40" t="s">
        <v>19</v>
      </c>
      <c r="E40">
        <v>6</v>
      </c>
      <c r="F40" t="s">
        <v>1255</v>
      </c>
      <c r="G40" t="s">
        <v>86</v>
      </c>
      <c r="H40" t="s">
        <v>1130</v>
      </c>
      <c r="I40" t="s">
        <v>1115</v>
      </c>
    </row>
    <row r="41" spans="1:9">
      <c r="A41" t="s">
        <v>1123</v>
      </c>
      <c r="B41" t="s">
        <v>473</v>
      </c>
      <c r="C41" t="s">
        <v>474</v>
      </c>
      <c r="D41" t="s">
        <v>20</v>
      </c>
      <c r="E41">
        <v>7</v>
      </c>
      <c r="F41" t="s">
        <v>1255</v>
      </c>
      <c r="G41" t="s">
        <v>86</v>
      </c>
      <c r="H41" t="s">
        <v>1130</v>
      </c>
      <c r="I41" t="s">
        <v>1115</v>
      </c>
    </row>
    <row r="42" spans="1:9">
      <c r="A42" t="s">
        <v>1123</v>
      </c>
      <c r="B42" t="s">
        <v>473</v>
      </c>
      <c r="C42" t="s">
        <v>474</v>
      </c>
      <c r="D42" t="s">
        <v>22</v>
      </c>
      <c r="E42">
        <v>6</v>
      </c>
      <c r="F42" t="s">
        <v>1255</v>
      </c>
      <c r="G42" t="s">
        <v>86</v>
      </c>
      <c r="H42" t="s">
        <v>1130</v>
      </c>
      <c r="I42" t="s">
        <v>1115</v>
      </c>
    </row>
    <row r="43" spans="1:9">
      <c r="A43" t="s">
        <v>1123</v>
      </c>
      <c r="B43" t="s">
        <v>473</v>
      </c>
      <c r="C43" t="s">
        <v>474</v>
      </c>
      <c r="D43" t="s">
        <v>23</v>
      </c>
      <c r="E43">
        <v>40</v>
      </c>
      <c r="F43" t="s">
        <v>1255</v>
      </c>
      <c r="G43" t="s">
        <v>86</v>
      </c>
      <c r="H43" t="s">
        <v>1130</v>
      </c>
      <c r="I43" t="s">
        <v>1115</v>
      </c>
    </row>
    <row r="44" spans="1:9">
      <c r="A44" t="s">
        <v>1123</v>
      </c>
      <c r="B44" t="s">
        <v>368</v>
      </c>
      <c r="C44" t="s">
        <v>370</v>
      </c>
      <c r="D44" t="s">
        <v>17</v>
      </c>
      <c r="E44">
        <v>22</v>
      </c>
      <c r="F44" t="s">
        <v>1255</v>
      </c>
      <c r="G44" t="s">
        <v>86</v>
      </c>
      <c r="H44" t="s">
        <v>1131</v>
      </c>
      <c r="I44" t="s">
        <v>1115</v>
      </c>
    </row>
    <row r="45" spans="1:9">
      <c r="A45" t="s">
        <v>1123</v>
      </c>
      <c r="B45" t="s">
        <v>368</v>
      </c>
      <c r="C45" t="s">
        <v>370</v>
      </c>
      <c r="D45" t="s">
        <v>18</v>
      </c>
      <c r="E45">
        <v>12</v>
      </c>
      <c r="F45" t="s">
        <v>1255</v>
      </c>
      <c r="G45" t="s">
        <v>86</v>
      </c>
      <c r="H45" t="s">
        <v>1131</v>
      </c>
      <c r="I45" t="s">
        <v>1115</v>
      </c>
    </row>
    <row r="46" spans="1:9">
      <c r="A46" t="s">
        <v>1123</v>
      </c>
      <c r="B46" t="s">
        <v>368</v>
      </c>
      <c r="C46" t="s">
        <v>370</v>
      </c>
      <c r="D46" t="s">
        <v>19</v>
      </c>
      <c r="E46">
        <v>0</v>
      </c>
      <c r="F46" t="s">
        <v>1255</v>
      </c>
      <c r="G46" t="s">
        <v>86</v>
      </c>
      <c r="H46" t="s">
        <v>1131</v>
      </c>
      <c r="I46" t="s">
        <v>1115</v>
      </c>
    </row>
    <row r="47" spans="1:9">
      <c r="A47" t="s">
        <v>1123</v>
      </c>
      <c r="B47" t="s">
        <v>368</v>
      </c>
      <c r="C47" t="s">
        <v>370</v>
      </c>
      <c r="D47" t="s">
        <v>20</v>
      </c>
      <c r="E47">
        <v>0</v>
      </c>
      <c r="F47" t="s">
        <v>1255</v>
      </c>
      <c r="G47" t="s">
        <v>86</v>
      </c>
      <c r="H47" t="s">
        <v>1131</v>
      </c>
      <c r="I47" t="s">
        <v>1115</v>
      </c>
    </row>
    <row r="48" spans="1:9">
      <c r="A48" t="s">
        <v>1123</v>
      </c>
      <c r="B48" t="s">
        <v>368</v>
      </c>
      <c r="C48" t="s">
        <v>370</v>
      </c>
      <c r="D48" t="s">
        <v>22</v>
      </c>
      <c r="E48">
        <v>0</v>
      </c>
      <c r="F48" t="s">
        <v>1255</v>
      </c>
      <c r="G48" t="s">
        <v>86</v>
      </c>
      <c r="H48" t="s">
        <v>1131</v>
      </c>
      <c r="I48" t="s">
        <v>1115</v>
      </c>
    </row>
    <row r="49" spans="1:9">
      <c r="A49" t="s">
        <v>1123</v>
      </c>
      <c r="B49" t="s">
        <v>368</v>
      </c>
      <c r="C49" t="s">
        <v>370</v>
      </c>
      <c r="D49" t="s">
        <v>23</v>
      </c>
      <c r="E49">
        <v>34</v>
      </c>
      <c r="F49" t="s">
        <v>1255</v>
      </c>
      <c r="G49" t="s">
        <v>86</v>
      </c>
      <c r="H49" t="s">
        <v>1131</v>
      </c>
      <c r="I49" t="s">
        <v>1115</v>
      </c>
    </row>
    <row r="50" spans="1:9">
      <c r="A50" t="s">
        <v>1123</v>
      </c>
      <c r="B50" t="s">
        <v>396</v>
      </c>
      <c r="C50" t="s">
        <v>398</v>
      </c>
      <c r="D50" t="s">
        <v>17</v>
      </c>
      <c r="E50">
        <v>22</v>
      </c>
      <c r="F50" t="s">
        <v>1255</v>
      </c>
      <c r="G50" t="s">
        <v>86</v>
      </c>
      <c r="H50" t="s">
        <v>1132</v>
      </c>
      <c r="I50" t="s">
        <v>1115</v>
      </c>
    </row>
    <row r="51" spans="1:9">
      <c r="A51" t="s">
        <v>1123</v>
      </c>
      <c r="B51" t="s">
        <v>396</v>
      </c>
      <c r="C51" t="s">
        <v>398</v>
      </c>
      <c r="D51" t="s">
        <v>18</v>
      </c>
      <c r="E51">
        <v>14</v>
      </c>
      <c r="F51" t="s">
        <v>1255</v>
      </c>
      <c r="G51" t="s">
        <v>86</v>
      </c>
      <c r="H51" t="s">
        <v>1132</v>
      </c>
      <c r="I51" t="s">
        <v>1115</v>
      </c>
    </row>
    <row r="52" spans="1:9">
      <c r="A52" t="s">
        <v>1123</v>
      </c>
      <c r="B52" t="s">
        <v>396</v>
      </c>
      <c r="C52" t="s">
        <v>398</v>
      </c>
      <c r="D52" t="s">
        <v>19</v>
      </c>
      <c r="E52">
        <v>2</v>
      </c>
      <c r="F52" t="s">
        <v>1255</v>
      </c>
      <c r="G52" t="s">
        <v>86</v>
      </c>
      <c r="H52" t="s">
        <v>1132</v>
      </c>
      <c r="I52" t="s">
        <v>1115</v>
      </c>
    </row>
    <row r="53" spans="1:9">
      <c r="A53" t="s">
        <v>1123</v>
      </c>
      <c r="B53" t="s">
        <v>396</v>
      </c>
      <c r="C53" t="s">
        <v>398</v>
      </c>
      <c r="D53" t="s">
        <v>20</v>
      </c>
      <c r="E53">
        <v>0</v>
      </c>
      <c r="F53" t="s">
        <v>1255</v>
      </c>
      <c r="G53" t="s">
        <v>86</v>
      </c>
      <c r="H53" t="s">
        <v>1132</v>
      </c>
      <c r="I53" t="s">
        <v>1115</v>
      </c>
    </row>
    <row r="54" spans="1:9">
      <c r="A54" t="s">
        <v>1123</v>
      </c>
      <c r="B54" t="s">
        <v>396</v>
      </c>
      <c r="C54" t="s">
        <v>398</v>
      </c>
      <c r="D54" t="s">
        <v>22</v>
      </c>
      <c r="E54">
        <v>11</v>
      </c>
      <c r="F54" t="s">
        <v>1255</v>
      </c>
      <c r="G54" t="s">
        <v>86</v>
      </c>
      <c r="H54" t="s">
        <v>1132</v>
      </c>
      <c r="I54" t="s">
        <v>1115</v>
      </c>
    </row>
    <row r="55" spans="1:9">
      <c r="A55" t="s">
        <v>1123</v>
      </c>
      <c r="B55" t="s">
        <v>396</v>
      </c>
      <c r="C55" t="s">
        <v>398</v>
      </c>
      <c r="D55" t="s">
        <v>23</v>
      </c>
      <c r="E55">
        <v>49</v>
      </c>
      <c r="F55" t="s">
        <v>1255</v>
      </c>
      <c r="G55" t="s">
        <v>86</v>
      </c>
      <c r="H55" t="s">
        <v>1132</v>
      </c>
      <c r="I55" t="s">
        <v>1115</v>
      </c>
    </row>
    <row r="56" spans="1:9">
      <c r="A56" t="s">
        <v>1123</v>
      </c>
      <c r="B56" t="s">
        <v>438</v>
      </c>
      <c r="C56" t="s">
        <v>1096</v>
      </c>
      <c r="D56" t="s">
        <v>17</v>
      </c>
      <c r="F56" t="s">
        <v>1255</v>
      </c>
      <c r="G56" t="s">
        <v>86</v>
      </c>
      <c r="H56" t="s">
        <v>1133</v>
      </c>
      <c r="I56" t="s">
        <v>1115</v>
      </c>
    </row>
    <row r="57" spans="1:9">
      <c r="A57" t="s">
        <v>1123</v>
      </c>
      <c r="B57" t="s">
        <v>438</v>
      </c>
      <c r="C57" t="s">
        <v>1096</v>
      </c>
      <c r="D57" t="s">
        <v>18</v>
      </c>
      <c r="F57" t="s">
        <v>1255</v>
      </c>
      <c r="G57" t="s">
        <v>86</v>
      </c>
      <c r="H57" t="s">
        <v>1133</v>
      </c>
      <c r="I57" t="s">
        <v>1115</v>
      </c>
    </row>
    <row r="58" spans="1:9">
      <c r="A58" t="s">
        <v>1123</v>
      </c>
      <c r="B58" t="s">
        <v>438</v>
      </c>
      <c r="C58" t="s">
        <v>1096</v>
      </c>
      <c r="D58" t="s">
        <v>19</v>
      </c>
      <c r="F58" t="s">
        <v>1255</v>
      </c>
      <c r="G58" t="s">
        <v>86</v>
      </c>
      <c r="H58" t="s">
        <v>1133</v>
      </c>
      <c r="I58" t="s">
        <v>1115</v>
      </c>
    </row>
    <row r="59" spans="1:9">
      <c r="A59" t="s">
        <v>1123</v>
      </c>
      <c r="B59" t="s">
        <v>438</v>
      </c>
      <c r="C59" t="s">
        <v>1096</v>
      </c>
      <c r="D59" t="s">
        <v>20</v>
      </c>
      <c r="F59" t="s">
        <v>1255</v>
      </c>
      <c r="G59" t="s">
        <v>86</v>
      </c>
      <c r="H59" t="s">
        <v>1133</v>
      </c>
      <c r="I59" t="s">
        <v>1115</v>
      </c>
    </row>
    <row r="60" spans="1:9">
      <c r="A60" t="s">
        <v>1123</v>
      </c>
      <c r="B60" t="s">
        <v>438</v>
      </c>
      <c r="C60" t="s">
        <v>1096</v>
      </c>
      <c r="D60" t="s">
        <v>22</v>
      </c>
      <c r="F60" t="s">
        <v>1255</v>
      </c>
      <c r="G60" t="s">
        <v>86</v>
      </c>
      <c r="H60" t="s">
        <v>1133</v>
      </c>
      <c r="I60" t="s">
        <v>1115</v>
      </c>
    </row>
    <row r="61" spans="1:9">
      <c r="A61" t="s">
        <v>1123</v>
      </c>
      <c r="B61" t="s">
        <v>438</v>
      </c>
      <c r="C61" t="s">
        <v>1096</v>
      </c>
      <c r="D61" t="s">
        <v>23</v>
      </c>
      <c r="E61">
        <v>0</v>
      </c>
      <c r="F61" t="s">
        <v>1255</v>
      </c>
      <c r="G61" t="s">
        <v>86</v>
      </c>
      <c r="H61" t="s">
        <v>1133</v>
      </c>
      <c r="I61" t="s">
        <v>1115</v>
      </c>
    </row>
    <row r="62" spans="1:9">
      <c r="A62" t="s">
        <v>1123</v>
      </c>
      <c r="B62" t="s">
        <v>526</v>
      </c>
      <c r="C62" t="s">
        <v>1103</v>
      </c>
      <c r="D62" t="s">
        <v>17</v>
      </c>
      <c r="E62">
        <v>20</v>
      </c>
      <c r="F62" t="s">
        <v>1255</v>
      </c>
      <c r="G62" t="s">
        <v>86</v>
      </c>
      <c r="H62" t="s">
        <v>1138</v>
      </c>
      <c r="I62" t="s">
        <v>1115</v>
      </c>
    </row>
    <row r="63" spans="1:9">
      <c r="A63" t="s">
        <v>1123</v>
      </c>
      <c r="B63" t="s">
        <v>526</v>
      </c>
      <c r="C63" t="s">
        <v>1103</v>
      </c>
      <c r="D63" t="s">
        <v>18</v>
      </c>
      <c r="E63">
        <v>9</v>
      </c>
      <c r="F63" t="s">
        <v>1255</v>
      </c>
      <c r="G63" t="s">
        <v>86</v>
      </c>
      <c r="H63" t="s">
        <v>1138</v>
      </c>
      <c r="I63" t="s">
        <v>1115</v>
      </c>
    </row>
    <row r="64" spans="1:9">
      <c r="A64" t="s">
        <v>1123</v>
      </c>
      <c r="B64" t="s">
        <v>526</v>
      </c>
      <c r="C64" t="s">
        <v>1103</v>
      </c>
      <c r="D64" t="s">
        <v>19</v>
      </c>
      <c r="E64">
        <v>13</v>
      </c>
      <c r="F64" t="s">
        <v>1255</v>
      </c>
      <c r="G64" t="s">
        <v>86</v>
      </c>
      <c r="H64" t="s">
        <v>1138</v>
      </c>
      <c r="I64" t="s">
        <v>1115</v>
      </c>
    </row>
    <row r="65" spans="1:9">
      <c r="A65" t="s">
        <v>1123</v>
      </c>
      <c r="B65" t="s">
        <v>526</v>
      </c>
      <c r="C65" t="s">
        <v>1103</v>
      </c>
      <c r="D65" t="s">
        <v>20</v>
      </c>
      <c r="E65">
        <v>0</v>
      </c>
      <c r="F65" t="s">
        <v>1255</v>
      </c>
      <c r="G65" t="s">
        <v>86</v>
      </c>
      <c r="H65" t="s">
        <v>1138</v>
      </c>
      <c r="I65" t="s">
        <v>1115</v>
      </c>
    </row>
    <row r="66" spans="1:9">
      <c r="A66" t="s">
        <v>1123</v>
      </c>
      <c r="B66" t="s">
        <v>526</v>
      </c>
      <c r="C66" t="s">
        <v>1103</v>
      </c>
      <c r="D66" t="s">
        <v>22</v>
      </c>
      <c r="E66">
        <v>0</v>
      </c>
      <c r="F66" t="s">
        <v>1255</v>
      </c>
      <c r="G66" t="s">
        <v>86</v>
      </c>
      <c r="H66" t="s">
        <v>1138</v>
      </c>
      <c r="I66" t="s">
        <v>1115</v>
      </c>
    </row>
    <row r="67" spans="1:9">
      <c r="A67" t="s">
        <v>1123</v>
      </c>
      <c r="B67" t="s">
        <v>526</v>
      </c>
      <c r="C67" t="s">
        <v>1103</v>
      </c>
      <c r="D67" t="s">
        <v>23</v>
      </c>
      <c r="E67">
        <v>42</v>
      </c>
      <c r="F67" t="s">
        <v>1255</v>
      </c>
      <c r="G67" t="s">
        <v>86</v>
      </c>
      <c r="H67" t="s">
        <v>1138</v>
      </c>
      <c r="I67" t="s">
        <v>1115</v>
      </c>
    </row>
    <row r="68" spans="1:9">
      <c r="A68" t="s">
        <v>1123</v>
      </c>
      <c r="B68" t="s">
        <v>545</v>
      </c>
      <c r="C68" t="s">
        <v>546</v>
      </c>
      <c r="D68" t="s">
        <v>17</v>
      </c>
      <c r="E68">
        <v>20</v>
      </c>
      <c r="F68" t="s">
        <v>1255</v>
      </c>
      <c r="G68" t="s">
        <v>86</v>
      </c>
      <c r="H68" t="s">
        <v>1139</v>
      </c>
      <c r="I68" t="s">
        <v>1115</v>
      </c>
    </row>
    <row r="69" spans="1:9">
      <c r="A69" t="s">
        <v>1123</v>
      </c>
      <c r="B69" t="s">
        <v>545</v>
      </c>
      <c r="C69" t="s">
        <v>546</v>
      </c>
      <c r="D69" t="s">
        <v>18</v>
      </c>
      <c r="E69">
        <v>16</v>
      </c>
      <c r="F69" t="s">
        <v>1255</v>
      </c>
      <c r="G69" t="s">
        <v>86</v>
      </c>
      <c r="H69" t="s">
        <v>1139</v>
      </c>
      <c r="I69" t="s">
        <v>1115</v>
      </c>
    </row>
    <row r="70" spans="1:9">
      <c r="A70" t="s">
        <v>1123</v>
      </c>
      <c r="B70" t="s">
        <v>545</v>
      </c>
      <c r="C70" t="s">
        <v>546</v>
      </c>
      <c r="D70" t="s">
        <v>19</v>
      </c>
      <c r="E70">
        <v>4</v>
      </c>
      <c r="F70" t="s">
        <v>1255</v>
      </c>
      <c r="G70" t="s">
        <v>86</v>
      </c>
      <c r="H70" t="s">
        <v>1139</v>
      </c>
      <c r="I70" t="s">
        <v>1115</v>
      </c>
    </row>
    <row r="71" spans="1:9">
      <c r="A71" t="s">
        <v>1123</v>
      </c>
      <c r="B71" t="s">
        <v>545</v>
      </c>
      <c r="C71" t="s">
        <v>546</v>
      </c>
      <c r="D71" t="s">
        <v>20</v>
      </c>
      <c r="F71" t="s">
        <v>1255</v>
      </c>
      <c r="G71" t="s">
        <v>86</v>
      </c>
      <c r="H71" t="s">
        <v>1139</v>
      </c>
      <c r="I71" t="s">
        <v>1115</v>
      </c>
    </row>
    <row r="72" spans="1:9">
      <c r="A72" t="s">
        <v>1123</v>
      </c>
      <c r="B72" t="s">
        <v>545</v>
      </c>
      <c r="C72" t="s">
        <v>546</v>
      </c>
      <c r="D72" t="s">
        <v>22</v>
      </c>
      <c r="F72" t="s">
        <v>1255</v>
      </c>
      <c r="G72" t="s">
        <v>86</v>
      </c>
      <c r="H72" t="s">
        <v>1139</v>
      </c>
      <c r="I72" t="s">
        <v>1115</v>
      </c>
    </row>
    <row r="73" spans="1:9">
      <c r="A73" t="s">
        <v>1123</v>
      </c>
      <c r="B73" t="s">
        <v>545</v>
      </c>
      <c r="C73" t="s">
        <v>546</v>
      </c>
      <c r="D73" t="s">
        <v>23</v>
      </c>
      <c r="E73">
        <v>40</v>
      </c>
      <c r="F73" t="s">
        <v>1255</v>
      </c>
      <c r="G73" t="s">
        <v>86</v>
      </c>
      <c r="H73" t="s">
        <v>1139</v>
      </c>
      <c r="I73" t="s">
        <v>1115</v>
      </c>
    </row>
    <row r="74" spans="1:9">
      <c r="A74" t="s">
        <v>1113</v>
      </c>
      <c r="B74" t="s">
        <v>1097</v>
      </c>
      <c r="C74" t="s">
        <v>1098</v>
      </c>
      <c r="D74" t="s">
        <v>17</v>
      </c>
      <c r="E74">
        <v>9</v>
      </c>
      <c r="F74" t="s">
        <v>1255</v>
      </c>
      <c r="G74" t="s">
        <v>86</v>
      </c>
      <c r="H74" t="s">
        <v>1114</v>
      </c>
      <c r="I74" t="s">
        <v>1115</v>
      </c>
    </row>
    <row r="75" spans="1:9">
      <c r="A75" t="s">
        <v>1113</v>
      </c>
      <c r="B75" t="s">
        <v>1097</v>
      </c>
      <c r="C75" t="s">
        <v>1098</v>
      </c>
      <c r="D75" t="s">
        <v>18</v>
      </c>
      <c r="E75">
        <v>3</v>
      </c>
      <c r="F75" t="s">
        <v>1255</v>
      </c>
      <c r="G75" t="s">
        <v>86</v>
      </c>
      <c r="H75" t="s">
        <v>1114</v>
      </c>
      <c r="I75" t="s">
        <v>1115</v>
      </c>
    </row>
    <row r="76" spans="1:9">
      <c r="A76" t="s">
        <v>1113</v>
      </c>
      <c r="B76" t="s">
        <v>1097</v>
      </c>
      <c r="C76" t="s">
        <v>1098</v>
      </c>
      <c r="D76" t="s">
        <v>19</v>
      </c>
      <c r="E76">
        <v>16</v>
      </c>
      <c r="F76" t="s">
        <v>1255</v>
      </c>
      <c r="G76" t="s">
        <v>86</v>
      </c>
      <c r="H76" t="s">
        <v>1114</v>
      </c>
      <c r="I76" t="s">
        <v>1115</v>
      </c>
    </row>
    <row r="77" spans="1:9">
      <c r="A77" t="s">
        <v>1113</v>
      </c>
      <c r="B77" t="s">
        <v>1097</v>
      </c>
      <c r="C77" t="s">
        <v>1098</v>
      </c>
      <c r="D77" t="s">
        <v>20</v>
      </c>
      <c r="E77">
        <v>6</v>
      </c>
      <c r="F77" t="s">
        <v>1255</v>
      </c>
      <c r="G77" t="s">
        <v>86</v>
      </c>
      <c r="H77" t="s">
        <v>1114</v>
      </c>
      <c r="I77" t="s">
        <v>1115</v>
      </c>
    </row>
    <row r="78" spans="1:9">
      <c r="A78" t="s">
        <v>1113</v>
      </c>
      <c r="B78" t="s">
        <v>1097</v>
      </c>
      <c r="C78" t="s">
        <v>1098</v>
      </c>
      <c r="D78" t="s">
        <v>22</v>
      </c>
      <c r="E78">
        <v>6</v>
      </c>
      <c r="F78" t="s">
        <v>1255</v>
      </c>
      <c r="G78" t="s">
        <v>86</v>
      </c>
      <c r="H78" t="s">
        <v>1114</v>
      </c>
      <c r="I78" t="s">
        <v>1115</v>
      </c>
    </row>
    <row r="79" spans="1:9">
      <c r="A79" t="s">
        <v>1113</v>
      </c>
      <c r="B79" t="s">
        <v>1097</v>
      </c>
      <c r="C79" t="s">
        <v>1098</v>
      </c>
      <c r="D79" t="s">
        <v>23</v>
      </c>
      <c r="E79">
        <v>40</v>
      </c>
      <c r="F79" t="s">
        <v>1255</v>
      </c>
      <c r="G79" t="s">
        <v>86</v>
      </c>
      <c r="H79" t="s">
        <v>1114</v>
      </c>
      <c r="I79" t="s">
        <v>1115</v>
      </c>
    </row>
    <row r="80" spans="1:9">
      <c r="A80" t="s">
        <v>1123</v>
      </c>
      <c r="B80" t="s">
        <v>601</v>
      </c>
      <c r="C80" t="s">
        <v>603</v>
      </c>
      <c r="D80" t="s">
        <v>17</v>
      </c>
      <c r="E80">
        <v>22</v>
      </c>
      <c r="F80" t="s">
        <v>1255</v>
      </c>
      <c r="G80" t="s">
        <v>86</v>
      </c>
      <c r="H80" t="s">
        <v>1140</v>
      </c>
      <c r="I80" t="s">
        <v>1115</v>
      </c>
    </row>
    <row r="81" spans="1:9">
      <c r="A81" t="s">
        <v>1123</v>
      </c>
      <c r="B81" t="s">
        <v>601</v>
      </c>
      <c r="C81" t="s">
        <v>603</v>
      </c>
      <c r="D81" t="s">
        <v>18</v>
      </c>
      <c r="E81">
        <v>18</v>
      </c>
      <c r="F81" t="s">
        <v>1255</v>
      </c>
      <c r="G81" t="s">
        <v>86</v>
      </c>
      <c r="H81" t="s">
        <v>1140</v>
      </c>
      <c r="I81" t="s">
        <v>1115</v>
      </c>
    </row>
    <row r="82" spans="1:9">
      <c r="A82" t="s">
        <v>1123</v>
      </c>
      <c r="B82" t="s">
        <v>601</v>
      </c>
      <c r="C82" t="s">
        <v>603</v>
      </c>
      <c r="D82" t="s">
        <v>19</v>
      </c>
      <c r="E82">
        <v>4</v>
      </c>
      <c r="F82" t="s">
        <v>1255</v>
      </c>
      <c r="G82" t="s">
        <v>86</v>
      </c>
      <c r="H82" t="s">
        <v>1140</v>
      </c>
      <c r="I82" t="s">
        <v>1115</v>
      </c>
    </row>
    <row r="83" spans="1:9">
      <c r="A83" t="s">
        <v>1123</v>
      </c>
      <c r="B83" t="s">
        <v>601</v>
      </c>
      <c r="C83" t="s">
        <v>603</v>
      </c>
      <c r="D83" t="s">
        <v>20</v>
      </c>
      <c r="F83" t="s">
        <v>1255</v>
      </c>
      <c r="G83" t="s">
        <v>86</v>
      </c>
      <c r="H83" t="s">
        <v>1140</v>
      </c>
      <c r="I83" t="s">
        <v>1115</v>
      </c>
    </row>
    <row r="84" spans="1:9">
      <c r="A84" t="s">
        <v>1123</v>
      </c>
      <c r="B84" t="s">
        <v>601</v>
      </c>
      <c r="C84" t="s">
        <v>603</v>
      </c>
      <c r="D84" t="s">
        <v>22</v>
      </c>
      <c r="F84" t="s">
        <v>1255</v>
      </c>
      <c r="G84" t="s">
        <v>86</v>
      </c>
      <c r="H84" t="s">
        <v>1140</v>
      </c>
      <c r="I84" t="s">
        <v>1115</v>
      </c>
    </row>
    <row r="85" spans="1:9">
      <c r="A85" t="s">
        <v>1123</v>
      </c>
      <c r="B85" t="s">
        <v>601</v>
      </c>
      <c r="C85" t="s">
        <v>603</v>
      </c>
      <c r="D85" t="s">
        <v>23</v>
      </c>
      <c r="E85">
        <v>44</v>
      </c>
      <c r="F85" t="s">
        <v>1255</v>
      </c>
      <c r="G85" t="s">
        <v>86</v>
      </c>
      <c r="H85" t="s">
        <v>1140</v>
      </c>
      <c r="I85" t="s">
        <v>1115</v>
      </c>
    </row>
    <row r="86" spans="1:9">
      <c r="A86" t="s">
        <v>1123</v>
      </c>
      <c r="B86" t="s">
        <v>641</v>
      </c>
      <c r="C86" t="s">
        <v>643</v>
      </c>
      <c r="D86" t="s">
        <v>17</v>
      </c>
      <c r="E86">
        <v>18</v>
      </c>
      <c r="F86" t="s">
        <v>1255</v>
      </c>
      <c r="G86" t="s">
        <v>86</v>
      </c>
      <c r="H86" t="s">
        <v>1141</v>
      </c>
      <c r="I86" t="s">
        <v>1115</v>
      </c>
    </row>
    <row r="87" spans="1:9">
      <c r="A87" t="s">
        <v>1123</v>
      </c>
      <c r="B87" t="s">
        <v>641</v>
      </c>
      <c r="C87" t="s">
        <v>643</v>
      </c>
      <c r="D87" t="s">
        <v>18</v>
      </c>
      <c r="E87">
        <v>4</v>
      </c>
      <c r="F87" t="s">
        <v>1255</v>
      </c>
      <c r="G87" t="s">
        <v>86</v>
      </c>
      <c r="H87" t="s">
        <v>1141</v>
      </c>
      <c r="I87" t="s">
        <v>1115</v>
      </c>
    </row>
    <row r="88" spans="1:9">
      <c r="A88" t="s">
        <v>1123</v>
      </c>
      <c r="B88" t="s">
        <v>641</v>
      </c>
      <c r="C88" t="s">
        <v>643</v>
      </c>
      <c r="D88" t="s">
        <v>19</v>
      </c>
      <c r="E88">
        <v>16</v>
      </c>
      <c r="F88" t="s">
        <v>1255</v>
      </c>
      <c r="G88" t="s">
        <v>86</v>
      </c>
      <c r="H88" t="s">
        <v>1141</v>
      </c>
      <c r="I88" t="s">
        <v>1115</v>
      </c>
    </row>
    <row r="89" spans="1:9">
      <c r="A89" t="s">
        <v>1123</v>
      </c>
      <c r="B89" t="s">
        <v>641</v>
      </c>
      <c r="C89" t="s">
        <v>643</v>
      </c>
      <c r="D89" t="s">
        <v>20</v>
      </c>
      <c r="F89" t="s">
        <v>1255</v>
      </c>
      <c r="G89" t="s">
        <v>86</v>
      </c>
      <c r="H89" t="s">
        <v>1141</v>
      </c>
      <c r="I89" t="s">
        <v>1115</v>
      </c>
    </row>
    <row r="90" spans="1:9">
      <c r="A90" t="s">
        <v>1123</v>
      </c>
      <c r="B90" t="s">
        <v>641</v>
      </c>
      <c r="C90" t="s">
        <v>643</v>
      </c>
      <c r="D90" t="s">
        <v>22</v>
      </c>
      <c r="F90" t="s">
        <v>1255</v>
      </c>
      <c r="G90" t="s">
        <v>86</v>
      </c>
      <c r="H90" t="s">
        <v>1141</v>
      </c>
      <c r="I90" t="s">
        <v>1115</v>
      </c>
    </row>
    <row r="91" spans="1:9">
      <c r="A91" t="s">
        <v>1123</v>
      </c>
      <c r="B91" t="s">
        <v>641</v>
      </c>
      <c r="C91" t="s">
        <v>643</v>
      </c>
      <c r="D91" t="s">
        <v>23</v>
      </c>
      <c r="E91">
        <v>38</v>
      </c>
      <c r="F91" t="s">
        <v>1255</v>
      </c>
      <c r="G91" t="s">
        <v>86</v>
      </c>
      <c r="H91" t="s">
        <v>1141</v>
      </c>
      <c r="I91" t="s">
        <v>1115</v>
      </c>
    </row>
    <row r="92" spans="1:9">
      <c r="A92" t="s">
        <v>1123</v>
      </c>
      <c r="B92" t="s">
        <v>678</v>
      </c>
      <c r="C92" t="s">
        <v>680</v>
      </c>
      <c r="D92" t="s">
        <v>17</v>
      </c>
      <c r="E92">
        <v>18</v>
      </c>
      <c r="F92" t="s">
        <v>1255</v>
      </c>
      <c r="G92" t="s">
        <v>86</v>
      </c>
      <c r="H92" t="s">
        <v>1142</v>
      </c>
      <c r="I92" t="s">
        <v>1115</v>
      </c>
    </row>
    <row r="93" spans="1:9">
      <c r="A93" t="s">
        <v>1123</v>
      </c>
      <c r="B93" t="s">
        <v>678</v>
      </c>
      <c r="C93" t="s">
        <v>680</v>
      </c>
      <c r="D93" t="s">
        <v>18</v>
      </c>
      <c r="E93">
        <v>4</v>
      </c>
      <c r="F93" t="s">
        <v>1255</v>
      </c>
      <c r="G93" t="s">
        <v>86</v>
      </c>
      <c r="H93" t="s">
        <v>1142</v>
      </c>
      <c r="I93" t="s">
        <v>1115</v>
      </c>
    </row>
    <row r="94" spans="1:9">
      <c r="A94" t="s">
        <v>1123</v>
      </c>
      <c r="B94" t="s">
        <v>678</v>
      </c>
      <c r="C94" t="s">
        <v>680</v>
      </c>
      <c r="D94" t="s">
        <v>19</v>
      </c>
      <c r="E94">
        <v>8</v>
      </c>
      <c r="F94" t="s">
        <v>1255</v>
      </c>
      <c r="G94" t="s">
        <v>86</v>
      </c>
      <c r="H94" t="s">
        <v>1142</v>
      </c>
      <c r="I94" t="s">
        <v>1115</v>
      </c>
    </row>
    <row r="95" spans="1:9">
      <c r="A95" t="s">
        <v>1123</v>
      </c>
      <c r="B95" t="s">
        <v>678</v>
      </c>
      <c r="C95" t="s">
        <v>680</v>
      </c>
      <c r="D95" t="s">
        <v>20</v>
      </c>
      <c r="E95">
        <v>4</v>
      </c>
      <c r="F95" t="s">
        <v>1255</v>
      </c>
      <c r="G95" t="s">
        <v>86</v>
      </c>
      <c r="H95" t="s">
        <v>1142</v>
      </c>
      <c r="I95" t="s">
        <v>1115</v>
      </c>
    </row>
    <row r="96" spans="1:9">
      <c r="A96" t="s">
        <v>1123</v>
      </c>
      <c r="B96" t="s">
        <v>678</v>
      </c>
      <c r="C96" t="s">
        <v>680</v>
      </c>
      <c r="D96" t="s">
        <v>22</v>
      </c>
      <c r="E96">
        <v>4</v>
      </c>
      <c r="F96" t="s">
        <v>1255</v>
      </c>
      <c r="G96" t="s">
        <v>86</v>
      </c>
      <c r="H96" t="s">
        <v>1142</v>
      </c>
      <c r="I96" t="s">
        <v>1115</v>
      </c>
    </row>
    <row r="97" spans="1:9">
      <c r="A97" t="s">
        <v>1123</v>
      </c>
      <c r="B97" t="s">
        <v>678</v>
      </c>
      <c r="C97" t="s">
        <v>680</v>
      </c>
      <c r="D97" t="s">
        <v>23</v>
      </c>
      <c r="E97">
        <v>38</v>
      </c>
      <c r="F97" t="s">
        <v>1255</v>
      </c>
      <c r="G97" t="s">
        <v>86</v>
      </c>
      <c r="H97" t="s">
        <v>1142</v>
      </c>
      <c r="I97" t="s">
        <v>1115</v>
      </c>
    </row>
    <row r="98" spans="1:9">
      <c r="A98" t="s">
        <v>1123</v>
      </c>
      <c r="B98" t="s">
        <v>720</v>
      </c>
      <c r="C98" t="s">
        <v>6</v>
      </c>
      <c r="D98" t="s">
        <v>17</v>
      </c>
      <c r="E98">
        <v>22</v>
      </c>
      <c r="F98" t="s">
        <v>1255</v>
      </c>
      <c r="G98" t="s">
        <v>86</v>
      </c>
      <c r="H98" t="s">
        <v>1143</v>
      </c>
      <c r="I98" t="s">
        <v>1115</v>
      </c>
    </row>
    <row r="99" spans="1:9">
      <c r="A99" t="s">
        <v>1123</v>
      </c>
      <c r="B99" t="s">
        <v>720</v>
      </c>
      <c r="C99" t="s">
        <v>6</v>
      </c>
      <c r="D99" t="s">
        <v>18</v>
      </c>
      <c r="E99">
        <v>16</v>
      </c>
      <c r="F99" t="s">
        <v>1255</v>
      </c>
      <c r="G99" t="s">
        <v>86</v>
      </c>
      <c r="H99" t="s">
        <v>1143</v>
      </c>
      <c r="I99" t="s">
        <v>1115</v>
      </c>
    </row>
    <row r="100" spans="1:9">
      <c r="A100" t="s">
        <v>1123</v>
      </c>
      <c r="B100" t="s">
        <v>720</v>
      </c>
      <c r="C100" t="s">
        <v>6</v>
      </c>
      <c r="D100" t="s">
        <v>19</v>
      </c>
      <c r="F100" t="s">
        <v>1255</v>
      </c>
      <c r="G100" t="s">
        <v>86</v>
      </c>
      <c r="H100" t="s">
        <v>1143</v>
      </c>
      <c r="I100" t="s">
        <v>1115</v>
      </c>
    </row>
    <row r="101" spans="1:9">
      <c r="A101" t="s">
        <v>1123</v>
      </c>
      <c r="B101" t="s">
        <v>720</v>
      </c>
      <c r="C101" t="s">
        <v>6</v>
      </c>
      <c r="D101" t="s">
        <v>20</v>
      </c>
      <c r="E101">
        <v>8</v>
      </c>
      <c r="F101" t="s">
        <v>1255</v>
      </c>
      <c r="G101" t="s">
        <v>86</v>
      </c>
      <c r="H101" t="s">
        <v>1143</v>
      </c>
      <c r="I101" t="s">
        <v>1115</v>
      </c>
    </row>
    <row r="102" spans="1:9">
      <c r="A102" t="s">
        <v>1123</v>
      </c>
      <c r="B102" t="s">
        <v>720</v>
      </c>
      <c r="C102" t="s">
        <v>6</v>
      </c>
      <c r="D102" t="s">
        <v>22</v>
      </c>
      <c r="F102" t="s">
        <v>1255</v>
      </c>
      <c r="G102" t="s">
        <v>86</v>
      </c>
      <c r="H102" t="s">
        <v>1143</v>
      </c>
      <c r="I102" t="s">
        <v>1115</v>
      </c>
    </row>
    <row r="103" spans="1:9">
      <c r="A103" t="s">
        <v>1123</v>
      </c>
      <c r="B103" t="s">
        <v>720</v>
      </c>
      <c r="C103" t="s">
        <v>6</v>
      </c>
      <c r="D103" t="s">
        <v>23</v>
      </c>
      <c r="E103">
        <v>46</v>
      </c>
      <c r="F103" t="s">
        <v>1255</v>
      </c>
      <c r="G103" t="s">
        <v>86</v>
      </c>
      <c r="H103" t="s">
        <v>1143</v>
      </c>
      <c r="I103" t="s">
        <v>1115</v>
      </c>
    </row>
    <row r="104" spans="1:9">
      <c r="A104" t="s">
        <v>1123</v>
      </c>
      <c r="B104" t="s">
        <v>756</v>
      </c>
      <c r="C104" t="s">
        <v>757</v>
      </c>
      <c r="D104" t="s">
        <v>17</v>
      </c>
      <c r="E104">
        <v>34</v>
      </c>
      <c r="F104" t="s">
        <v>1255</v>
      </c>
      <c r="G104" t="s">
        <v>86</v>
      </c>
      <c r="H104" t="s">
        <v>1144</v>
      </c>
      <c r="I104" t="s">
        <v>1115</v>
      </c>
    </row>
    <row r="105" spans="1:9">
      <c r="A105" t="s">
        <v>1123</v>
      </c>
      <c r="B105" t="s">
        <v>756</v>
      </c>
      <c r="C105" t="s">
        <v>757</v>
      </c>
      <c r="D105" t="s">
        <v>18</v>
      </c>
      <c r="E105">
        <v>2</v>
      </c>
      <c r="F105" t="s">
        <v>1255</v>
      </c>
      <c r="G105" t="s">
        <v>86</v>
      </c>
      <c r="H105" t="s">
        <v>1144</v>
      </c>
      <c r="I105" t="s">
        <v>1115</v>
      </c>
    </row>
    <row r="106" spans="1:9">
      <c r="A106" t="s">
        <v>1123</v>
      </c>
      <c r="B106" t="s">
        <v>756</v>
      </c>
      <c r="C106" t="s">
        <v>757</v>
      </c>
      <c r="D106" t="s">
        <v>19</v>
      </c>
      <c r="E106">
        <v>4</v>
      </c>
      <c r="F106" t="s">
        <v>1255</v>
      </c>
      <c r="G106" t="s">
        <v>86</v>
      </c>
      <c r="H106" t="s">
        <v>1144</v>
      </c>
      <c r="I106" t="s">
        <v>1115</v>
      </c>
    </row>
    <row r="107" spans="1:9">
      <c r="A107" t="s">
        <v>1123</v>
      </c>
      <c r="B107" t="s">
        <v>756</v>
      </c>
      <c r="C107" t="s">
        <v>757</v>
      </c>
      <c r="D107" t="s">
        <v>20</v>
      </c>
      <c r="F107" t="s">
        <v>1255</v>
      </c>
      <c r="G107" t="s">
        <v>86</v>
      </c>
      <c r="H107" t="s">
        <v>1144</v>
      </c>
      <c r="I107" t="s">
        <v>1115</v>
      </c>
    </row>
    <row r="108" spans="1:9">
      <c r="A108" t="s">
        <v>1123</v>
      </c>
      <c r="B108" t="s">
        <v>756</v>
      </c>
      <c r="C108" t="s">
        <v>757</v>
      </c>
      <c r="D108" t="s">
        <v>22</v>
      </c>
      <c r="F108" t="s">
        <v>1255</v>
      </c>
      <c r="G108" t="s">
        <v>86</v>
      </c>
      <c r="H108" t="s">
        <v>1144</v>
      </c>
      <c r="I108" t="s">
        <v>1115</v>
      </c>
    </row>
    <row r="109" spans="1:9">
      <c r="A109" t="s">
        <v>1123</v>
      </c>
      <c r="B109" t="s">
        <v>756</v>
      </c>
      <c r="C109" t="s">
        <v>757</v>
      </c>
      <c r="D109" t="s">
        <v>23</v>
      </c>
      <c r="E109">
        <v>40</v>
      </c>
      <c r="F109" t="s">
        <v>1255</v>
      </c>
      <c r="G109" t="s">
        <v>86</v>
      </c>
      <c r="H109" t="s">
        <v>1144</v>
      </c>
      <c r="I109" t="s">
        <v>1115</v>
      </c>
    </row>
    <row r="110" spans="1:9">
      <c r="A110" t="s">
        <v>1123</v>
      </c>
      <c r="B110" t="s">
        <v>803</v>
      </c>
      <c r="C110" t="s">
        <v>805</v>
      </c>
      <c r="D110" t="s">
        <v>17</v>
      </c>
      <c r="E110">
        <v>18</v>
      </c>
      <c r="F110" t="s">
        <v>1255</v>
      </c>
      <c r="G110" t="s">
        <v>86</v>
      </c>
      <c r="H110" t="s">
        <v>1145</v>
      </c>
      <c r="I110" t="s">
        <v>1115</v>
      </c>
    </row>
    <row r="111" spans="1:9">
      <c r="A111" t="s">
        <v>1123</v>
      </c>
      <c r="B111" t="s">
        <v>803</v>
      </c>
      <c r="C111" t="s">
        <v>805</v>
      </c>
      <c r="D111" t="s">
        <v>18</v>
      </c>
      <c r="E111">
        <v>14</v>
      </c>
      <c r="F111" t="s">
        <v>1255</v>
      </c>
      <c r="G111" t="s">
        <v>86</v>
      </c>
      <c r="H111" t="s">
        <v>1145</v>
      </c>
      <c r="I111" t="s">
        <v>1115</v>
      </c>
    </row>
    <row r="112" spans="1:9">
      <c r="A112" t="s">
        <v>1123</v>
      </c>
      <c r="B112" t="s">
        <v>803</v>
      </c>
      <c r="C112" t="s">
        <v>805</v>
      </c>
      <c r="D112" t="s">
        <v>19</v>
      </c>
      <c r="E112">
        <v>2</v>
      </c>
      <c r="F112" t="s">
        <v>1255</v>
      </c>
      <c r="G112" t="s">
        <v>86</v>
      </c>
      <c r="H112" t="s">
        <v>1145</v>
      </c>
      <c r="I112" t="s">
        <v>1115</v>
      </c>
    </row>
    <row r="113" spans="1:9">
      <c r="A113" t="s">
        <v>1123</v>
      </c>
      <c r="B113" t="s">
        <v>803</v>
      </c>
      <c r="C113" t="s">
        <v>805</v>
      </c>
      <c r="D113" t="s">
        <v>20</v>
      </c>
      <c r="E113">
        <v>2</v>
      </c>
      <c r="F113" t="s">
        <v>1255</v>
      </c>
      <c r="G113" t="s">
        <v>86</v>
      </c>
      <c r="H113" t="s">
        <v>1145</v>
      </c>
      <c r="I113" t="s">
        <v>1115</v>
      </c>
    </row>
    <row r="114" spans="1:9">
      <c r="A114" t="s">
        <v>1123</v>
      </c>
      <c r="B114" t="s">
        <v>803</v>
      </c>
      <c r="C114" t="s">
        <v>805</v>
      </c>
      <c r="D114" t="s">
        <v>22</v>
      </c>
      <c r="F114" t="s">
        <v>1255</v>
      </c>
      <c r="G114" t="s">
        <v>86</v>
      </c>
      <c r="H114" t="s">
        <v>1145</v>
      </c>
      <c r="I114" t="s">
        <v>1115</v>
      </c>
    </row>
    <row r="115" spans="1:9">
      <c r="A115" t="s">
        <v>1123</v>
      </c>
      <c r="B115" t="s">
        <v>803</v>
      </c>
      <c r="C115" t="s">
        <v>805</v>
      </c>
      <c r="D115" t="s">
        <v>23</v>
      </c>
      <c r="E115">
        <v>36</v>
      </c>
      <c r="F115" t="s">
        <v>1255</v>
      </c>
      <c r="G115" t="s">
        <v>86</v>
      </c>
      <c r="H115" t="s">
        <v>1145</v>
      </c>
      <c r="I115" t="s">
        <v>1115</v>
      </c>
    </row>
    <row r="116" spans="1:9">
      <c r="A116" t="s">
        <v>1123</v>
      </c>
      <c r="B116" t="s">
        <v>840</v>
      </c>
      <c r="C116" t="s">
        <v>1105</v>
      </c>
      <c r="D116" t="s">
        <v>17</v>
      </c>
      <c r="E116">
        <v>10</v>
      </c>
      <c r="F116" t="s">
        <v>1255</v>
      </c>
      <c r="G116" t="s">
        <v>86</v>
      </c>
      <c r="H116" t="s">
        <v>1146</v>
      </c>
      <c r="I116" t="s">
        <v>1115</v>
      </c>
    </row>
    <row r="117" spans="1:9">
      <c r="A117" t="s">
        <v>1123</v>
      </c>
      <c r="B117" t="s">
        <v>840</v>
      </c>
      <c r="C117" t="s">
        <v>1105</v>
      </c>
      <c r="D117" t="s">
        <v>18</v>
      </c>
      <c r="F117" t="s">
        <v>1255</v>
      </c>
      <c r="G117" t="s">
        <v>86</v>
      </c>
      <c r="H117" t="s">
        <v>1146</v>
      </c>
      <c r="I117" t="s">
        <v>1115</v>
      </c>
    </row>
    <row r="118" spans="1:9">
      <c r="A118" t="s">
        <v>1123</v>
      </c>
      <c r="B118" t="s">
        <v>840</v>
      </c>
      <c r="C118" t="s">
        <v>1105</v>
      </c>
      <c r="D118" t="s">
        <v>19</v>
      </c>
      <c r="E118">
        <v>40</v>
      </c>
      <c r="F118" t="s">
        <v>1255</v>
      </c>
      <c r="G118" t="s">
        <v>86</v>
      </c>
      <c r="H118" t="s">
        <v>1146</v>
      </c>
      <c r="I118" t="s">
        <v>1115</v>
      </c>
    </row>
    <row r="119" spans="1:9">
      <c r="A119" t="s">
        <v>1123</v>
      </c>
      <c r="B119" t="s">
        <v>840</v>
      </c>
      <c r="C119" t="s">
        <v>1105</v>
      </c>
      <c r="D119" t="s">
        <v>20</v>
      </c>
      <c r="F119" t="s">
        <v>1255</v>
      </c>
      <c r="G119" t="s">
        <v>86</v>
      </c>
      <c r="H119" t="s">
        <v>1146</v>
      </c>
      <c r="I119" t="s">
        <v>1115</v>
      </c>
    </row>
    <row r="120" spans="1:9">
      <c r="A120" t="s">
        <v>1123</v>
      </c>
      <c r="B120" t="s">
        <v>840</v>
      </c>
      <c r="C120" t="s">
        <v>1105</v>
      </c>
      <c r="D120" t="s">
        <v>22</v>
      </c>
      <c r="F120" t="s">
        <v>1255</v>
      </c>
      <c r="G120" t="s">
        <v>86</v>
      </c>
      <c r="H120" t="s">
        <v>1146</v>
      </c>
      <c r="I120" t="s">
        <v>1115</v>
      </c>
    </row>
    <row r="121" spans="1:9">
      <c r="A121" t="s">
        <v>1123</v>
      </c>
      <c r="B121" t="s">
        <v>840</v>
      </c>
      <c r="C121" t="s">
        <v>1105</v>
      </c>
      <c r="D121" t="s">
        <v>23</v>
      </c>
      <c r="E121">
        <v>50</v>
      </c>
      <c r="F121" t="s">
        <v>1255</v>
      </c>
      <c r="G121" t="s">
        <v>86</v>
      </c>
      <c r="H121" t="s">
        <v>1146</v>
      </c>
      <c r="I121" t="s">
        <v>1115</v>
      </c>
    </row>
    <row r="122" spans="1:9">
      <c r="A122" t="s">
        <v>1123</v>
      </c>
      <c r="B122" t="s">
        <v>877</v>
      </c>
      <c r="C122" t="s">
        <v>879</v>
      </c>
      <c r="D122" t="s">
        <v>17</v>
      </c>
      <c r="E122">
        <v>10</v>
      </c>
      <c r="F122" t="s">
        <v>1255</v>
      </c>
      <c r="G122" t="s">
        <v>86</v>
      </c>
      <c r="H122" t="s">
        <v>1134</v>
      </c>
      <c r="I122" t="s">
        <v>1115</v>
      </c>
    </row>
    <row r="123" spans="1:9">
      <c r="A123" t="s">
        <v>1123</v>
      </c>
      <c r="B123" t="s">
        <v>877</v>
      </c>
      <c r="C123" t="s">
        <v>879</v>
      </c>
      <c r="D123" t="s">
        <v>18</v>
      </c>
      <c r="E123">
        <v>26</v>
      </c>
      <c r="F123" t="s">
        <v>1255</v>
      </c>
      <c r="G123" t="s">
        <v>86</v>
      </c>
      <c r="H123" t="s">
        <v>1134</v>
      </c>
      <c r="I123" t="s">
        <v>1115</v>
      </c>
    </row>
    <row r="124" spans="1:9">
      <c r="A124" t="s">
        <v>1123</v>
      </c>
      <c r="B124" t="s">
        <v>877</v>
      </c>
      <c r="C124" t="s">
        <v>879</v>
      </c>
      <c r="D124" t="s">
        <v>19</v>
      </c>
      <c r="F124" t="s">
        <v>1255</v>
      </c>
      <c r="G124" t="s">
        <v>86</v>
      </c>
      <c r="H124" t="s">
        <v>1134</v>
      </c>
      <c r="I124" t="s">
        <v>1115</v>
      </c>
    </row>
    <row r="125" spans="1:9">
      <c r="A125" t="s">
        <v>1123</v>
      </c>
      <c r="B125" t="s">
        <v>877</v>
      </c>
      <c r="C125" t="s">
        <v>879</v>
      </c>
      <c r="D125" t="s">
        <v>20</v>
      </c>
      <c r="F125" t="s">
        <v>1255</v>
      </c>
      <c r="G125" t="s">
        <v>86</v>
      </c>
      <c r="H125" t="s">
        <v>1134</v>
      </c>
      <c r="I125" t="s">
        <v>1115</v>
      </c>
    </row>
    <row r="126" spans="1:9">
      <c r="A126" t="s">
        <v>1123</v>
      </c>
      <c r="B126" t="s">
        <v>877</v>
      </c>
      <c r="C126" t="s">
        <v>879</v>
      </c>
      <c r="D126" t="s">
        <v>22</v>
      </c>
      <c r="F126" t="s">
        <v>1255</v>
      </c>
      <c r="G126" t="s">
        <v>86</v>
      </c>
      <c r="H126" t="s">
        <v>1134</v>
      </c>
      <c r="I126" t="s">
        <v>1115</v>
      </c>
    </row>
    <row r="127" spans="1:9">
      <c r="A127" t="s">
        <v>1123</v>
      </c>
      <c r="B127" t="s">
        <v>877</v>
      </c>
      <c r="C127" t="s">
        <v>879</v>
      </c>
      <c r="D127" t="s">
        <v>23</v>
      </c>
      <c r="E127">
        <v>36</v>
      </c>
      <c r="F127" t="s">
        <v>1255</v>
      </c>
      <c r="G127" t="s">
        <v>86</v>
      </c>
      <c r="H127" t="s">
        <v>1134</v>
      </c>
      <c r="I127" t="s">
        <v>1115</v>
      </c>
    </row>
    <row r="128" spans="1:9">
      <c r="A128" t="s">
        <v>1123</v>
      </c>
      <c r="B128" t="s">
        <v>930</v>
      </c>
      <c r="C128" t="s">
        <v>932</v>
      </c>
      <c r="D128" t="s">
        <v>17</v>
      </c>
      <c r="E128">
        <v>22</v>
      </c>
      <c r="F128" t="s">
        <v>1255</v>
      </c>
      <c r="G128" t="s">
        <v>86</v>
      </c>
      <c r="H128" t="s">
        <v>1135</v>
      </c>
      <c r="I128" t="s">
        <v>1115</v>
      </c>
    </row>
    <row r="129" spans="1:9">
      <c r="A129" t="s">
        <v>1123</v>
      </c>
      <c r="B129" t="s">
        <v>930</v>
      </c>
      <c r="C129" t="s">
        <v>932</v>
      </c>
      <c r="D129" t="s">
        <v>18</v>
      </c>
      <c r="E129">
        <v>6</v>
      </c>
      <c r="F129" t="s">
        <v>1255</v>
      </c>
      <c r="G129" t="s">
        <v>86</v>
      </c>
      <c r="H129" t="s">
        <v>1135</v>
      </c>
      <c r="I129" t="s">
        <v>1115</v>
      </c>
    </row>
    <row r="130" spans="1:9">
      <c r="A130" t="s">
        <v>1123</v>
      </c>
      <c r="B130" t="s">
        <v>930</v>
      </c>
      <c r="C130" t="s">
        <v>932</v>
      </c>
      <c r="D130" t="s">
        <v>19</v>
      </c>
      <c r="E130">
        <v>12</v>
      </c>
      <c r="F130" t="s">
        <v>1255</v>
      </c>
      <c r="G130" t="s">
        <v>86</v>
      </c>
      <c r="H130" t="s">
        <v>1135</v>
      </c>
      <c r="I130" t="s">
        <v>1115</v>
      </c>
    </row>
    <row r="131" spans="1:9">
      <c r="A131" t="s">
        <v>1123</v>
      </c>
      <c r="B131" t="s">
        <v>930</v>
      </c>
      <c r="C131" t="s">
        <v>932</v>
      </c>
      <c r="D131" t="s">
        <v>20</v>
      </c>
      <c r="F131" t="s">
        <v>1255</v>
      </c>
      <c r="G131" t="s">
        <v>86</v>
      </c>
      <c r="H131" t="s">
        <v>1135</v>
      </c>
      <c r="I131" t="s">
        <v>1115</v>
      </c>
    </row>
    <row r="132" spans="1:9">
      <c r="A132" t="s">
        <v>1123</v>
      </c>
      <c r="B132" t="s">
        <v>930</v>
      </c>
      <c r="C132" t="s">
        <v>932</v>
      </c>
      <c r="D132" t="s">
        <v>22</v>
      </c>
      <c r="F132" t="s">
        <v>1255</v>
      </c>
      <c r="G132" t="s">
        <v>86</v>
      </c>
      <c r="H132" t="s">
        <v>1135</v>
      </c>
      <c r="I132" t="s">
        <v>1115</v>
      </c>
    </row>
    <row r="133" spans="1:9">
      <c r="A133" t="s">
        <v>1123</v>
      </c>
      <c r="B133" t="s">
        <v>930</v>
      </c>
      <c r="C133" t="s">
        <v>932</v>
      </c>
      <c r="D133" t="s">
        <v>23</v>
      </c>
      <c r="E133">
        <v>40</v>
      </c>
      <c r="F133" t="s">
        <v>1255</v>
      </c>
      <c r="G133" t="s">
        <v>86</v>
      </c>
      <c r="H133" t="s">
        <v>1135</v>
      </c>
      <c r="I133" t="s">
        <v>1115</v>
      </c>
    </row>
    <row r="134" spans="1:9">
      <c r="A134" t="s">
        <v>1123</v>
      </c>
      <c r="B134" t="s">
        <v>965</v>
      </c>
      <c r="C134" t="s">
        <v>967</v>
      </c>
      <c r="D134" t="s">
        <v>17</v>
      </c>
      <c r="F134" t="s">
        <v>1255</v>
      </c>
      <c r="G134" t="s">
        <v>86</v>
      </c>
      <c r="H134" t="s">
        <v>1136</v>
      </c>
      <c r="I134" t="s">
        <v>1115</v>
      </c>
    </row>
    <row r="135" spans="1:9">
      <c r="A135" t="s">
        <v>1123</v>
      </c>
      <c r="B135" t="s">
        <v>965</v>
      </c>
      <c r="C135" t="s">
        <v>967</v>
      </c>
      <c r="D135" t="s">
        <v>18</v>
      </c>
      <c r="E135">
        <v>6</v>
      </c>
      <c r="F135" t="s">
        <v>1255</v>
      </c>
      <c r="G135" t="s">
        <v>86</v>
      </c>
      <c r="H135" t="s">
        <v>1136</v>
      </c>
      <c r="I135" t="s">
        <v>1115</v>
      </c>
    </row>
    <row r="136" spans="1:9">
      <c r="A136" t="s">
        <v>1123</v>
      </c>
      <c r="B136" t="s">
        <v>965</v>
      </c>
      <c r="C136" t="s">
        <v>967</v>
      </c>
      <c r="D136" t="s">
        <v>19</v>
      </c>
      <c r="F136" t="s">
        <v>1255</v>
      </c>
      <c r="G136" t="s">
        <v>86</v>
      </c>
      <c r="H136" t="s">
        <v>1136</v>
      </c>
      <c r="I136" t="s">
        <v>1115</v>
      </c>
    </row>
    <row r="137" spans="1:9">
      <c r="A137" t="s">
        <v>1123</v>
      </c>
      <c r="B137" t="s">
        <v>965</v>
      </c>
      <c r="C137" t="s">
        <v>967</v>
      </c>
      <c r="D137" t="s">
        <v>20</v>
      </c>
      <c r="E137">
        <v>27</v>
      </c>
      <c r="F137" t="s">
        <v>1255</v>
      </c>
      <c r="G137" t="s">
        <v>86</v>
      </c>
      <c r="H137" t="s">
        <v>1136</v>
      </c>
      <c r="I137" t="s">
        <v>1115</v>
      </c>
    </row>
    <row r="138" spans="1:9">
      <c r="A138" t="s">
        <v>1123</v>
      </c>
      <c r="B138" t="s">
        <v>965</v>
      </c>
      <c r="C138" t="s">
        <v>967</v>
      </c>
      <c r="D138" t="s">
        <v>22</v>
      </c>
      <c r="E138">
        <v>4</v>
      </c>
      <c r="F138" t="s">
        <v>1255</v>
      </c>
      <c r="G138" t="s">
        <v>86</v>
      </c>
      <c r="H138" t="s">
        <v>1136</v>
      </c>
      <c r="I138" t="s">
        <v>1115</v>
      </c>
    </row>
    <row r="139" spans="1:9">
      <c r="A139" t="s">
        <v>1123</v>
      </c>
      <c r="B139" t="s">
        <v>965</v>
      </c>
      <c r="C139" t="s">
        <v>967</v>
      </c>
      <c r="D139" t="s">
        <v>23</v>
      </c>
      <c r="E139">
        <v>37</v>
      </c>
      <c r="F139" t="s">
        <v>1255</v>
      </c>
      <c r="G139" t="s">
        <v>86</v>
      </c>
      <c r="H139" t="s">
        <v>1136</v>
      </c>
      <c r="I139" t="s">
        <v>1115</v>
      </c>
    </row>
    <row r="140" spans="1:9">
      <c r="A140" t="s">
        <v>1123</v>
      </c>
      <c r="B140" t="s">
        <v>992</v>
      </c>
      <c r="C140" t="s">
        <v>994</v>
      </c>
      <c r="D140" t="s">
        <v>17</v>
      </c>
      <c r="E140">
        <v>22</v>
      </c>
      <c r="F140" t="s">
        <v>1255</v>
      </c>
      <c r="G140" t="s">
        <v>86</v>
      </c>
      <c r="H140" t="s">
        <v>1137</v>
      </c>
      <c r="I140" t="s">
        <v>1115</v>
      </c>
    </row>
    <row r="141" spans="1:9">
      <c r="A141" t="s">
        <v>1123</v>
      </c>
      <c r="B141" t="s">
        <v>992</v>
      </c>
      <c r="C141" t="s">
        <v>994</v>
      </c>
      <c r="D141" t="s">
        <v>18</v>
      </c>
      <c r="F141" t="s">
        <v>1255</v>
      </c>
      <c r="G141" t="s">
        <v>86</v>
      </c>
      <c r="H141" t="s">
        <v>1137</v>
      </c>
      <c r="I141" t="s">
        <v>1115</v>
      </c>
    </row>
    <row r="142" spans="1:9">
      <c r="A142" t="s">
        <v>1123</v>
      </c>
      <c r="B142" t="s">
        <v>992</v>
      </c>
      <c r="C142" t="s">
        <v>994</v>
      </c>
      <c r="D142" t="s">
        <v>19</v>
      </c>
      <c r="E142">
        <v>16</v>
      </c>
      <c r="F142" t="s">
        <v>1255</v>
      </c>
      <c r="G142" t="s">
        <v>86</v>
      </c>
      <c r="H142" t="s">
        <v>1137</v>
      </c>
      <c r="I142" t="s">
        <v>1115</v>
      </c>
    </row>
    <row r="143" spans="1:9">
      <c r="A143" t="s">
        <v>1123</v>
      </c>
      <c r="B143" t="s">
        <v>992</v>
      </c>
      <c r="C143" t="s">
        <v>994</v>
      </c>
      <c r="D143" t="s">
        <v>20</v>
      </c>
      <c r="E143">
        <v>6</v>
      </c>
      <c r="F143" t="s">
        <v>1255</v>
      </c>
      <c r="G143" t="s">
        <v>86</v>
      </c>
      <c r="H143" t="s">
        <v>1137</v>
      </c>
      <c r="I143" t="s">
        <v>1115</v>
      </c>
    </row>
    <row r="144" spans="1:9">
      <c r="A144" t="s">
        <v>1123</v>
      </c>
      <c r="B144" t="s">
        <v>992</v>
      </c>
      <c r="C144" t="s">
        <v>994</v>
      </c>
      <c r="D144" t="s">
        <v>22</v>
      </c>
      <c r="F144" t="s">
        <v>1255</v>
      </c>
      <c r="G144" t="s">
        <v>86</v>
      </c>
      <c r="H144" t="s">
        <v>1137</v>
      </c>
      <c r="I144" t="s">
        <v>1115</v>
      </c>
    </row>
    <row r="145" spans="1:9">
      <c r="A145" t="s">
        <v>1123</v>
      </c>
      <c r="B145" t="s">
        <v>992</v>
      </c>
      <c r="C145" t="s">
        <v>994</v>
      </c>
      <c r="D145" t="s">
        <v>23</v>
      </c>
      <c r="E145">
        <v>44</v>
      </c>
      <c r="F145" t="s">
        <v>1255</v>
      </c>
      <c r="G145" t="s">
        <v>86</v>
      </c>
      <c r="H145" t="s">
        <v>1137</v>
      </c>
      <c r="I145" t="s">
        <v>1115</v>
      </c>
    </row>
    <row r="146" spans="1:9">
      <c r="A146" t="s">
        <v>1116</v>
      </c>
      <c r="B146" t="s">
        <v>1104</v>
      </c>
      <c r="C146" t="s">
        <v>1106</v>
      </c>
      <c r="D146" t="s">
        <v>17</v>
      </c>
      <c r="E146">
        <v>20</v>
      </c>
      <c r="F146" t="s">
        <v>1255</v>
      </c>
      <c r="G146" t="s">
        <v>86</v>
      </c>
      <c r="H146" t="s">
        <v>1117</v>
      </c>
      <c r="I146" t="s">
        <v>1115</v>
      </c>
    </row>
    <row r="147" spans="1:9">
      <c r="A147" t="s">
        <v>1116</v>
      </c>
      <c r="B147" t="s">
        <v>1104</v>
      </c>
      <c r="C147" t="s">
        <v>1106</v>
      </c>
      <c r="D147" t="s">
        <v>18</v>
      </c>
      <c r="E147">
        <v>2</v>
      </c>
      <c r="F147" t="s">
        <v>1255</v>
      </c>
      <c r="G147" t="s">
        <v>86</v>
      </c>
      <c r="H147" t="s">
        <v>1117</v>
      </c>
      <c r="I147" t="s">
        <v>1115</v>
      </c>
    </row>
    <row r="148" spans="1:9">
      <c r="A148" t="s">
        <v>1116</v>
      </c>
      <c r="B148" t="s">
        <v>1104</v>
      </c>
      <c r="C148" t="s">
        <v>1106</v>
      </c>
      <c r="D148" t="s">
        <v>19</v>
      </c>
      <c r="E148">
        <v>8</v>
      </c>
      <c r="F148" t="s">
        <v>1255</v>
      </c>
      <c r="G148" t="s">
        <v>86</v>
      </c>
      <c r="H148" t="s">
        <v>1117</v>
      </c>
      <c r="I148" t="s">
        <v>1115</v>
      </c>
    </row>
    <row r="149" spans="1:9">
      <c r="A149" t="s">
        <v>1116</v>
      </c>
      <c r="B149" t="s">
        <v>1104</v>
      </c>
      <c r="C149" t="s">
        <v>1106</v>
      </c>
      <c r="D149" t="s">
        <v>20</v>
      </c>
      <c r="E149">
        <v>10</v>
      </c>
      <c r="F149" t="s">
        <v>1255</v>
      </c>
      <c r="G149" t="s">
        <v>86</v>
      </c>
      <c r="H149" t="s">
        <v>1117</v>
      </c>
      <c r="I149" t="s">
        <v>1115</v>
      </c>
    </row>
    <row r="150" spans="1:9">
      <c r="A150" t="s">
        <v>1116</v>
      </c>
      <c r="B150" t="s">
        <v>1104</v>
      </c>
      <c r="C150" t="s">
        <v>1106</v>
      </c>
      <c r="D150" t="s">
        <v>22</v>
      </c>
      <c r="F150" t="s">
        <v>1255</v>
      </c>
      <c r="G150" t="s">
        <v>86</v>
      </c>
      <c r="H150" t="s">
        <v>1117</v>
      </c>
      <c r="I150" t="s">
        <v>1115</v>
      </c>
    </row>
    <row r="151" spans="1:9">
      <c r="A151" t="s">
        <v>1116</v>
      </c>
      <c r="B151" t="s">
        <v>1104</v>
      </c>
      <c r="C151" t="s">
        <v>1106</v>
      </c>
      <c r="D151" t="s">
        <v>23</v>
      </c>
      <c r="E151">
        <v>40</v>
      </c>
      <c r="F151" t="s">
        <v>1255</v>
      </c>
      <c r="G151" t="s">
        <v>86</v>
      </c>
      <c r="H151" t="s">
        <v>1117</v>
      </c>
      <c r="I151" t="s">
        <v>1115</v>
      </c>
    </row>
    <row r="152" spans="1:9">
      <c r="A152" t="s">
        <v>1118</v>
      </c>
      <c r="B152" t="s">
        <v>1086</v>
      </c>
      <c r="C152" t="s">
        <v>1087</v>
      </c>
      <c r="D152" t="s">
        <v>17</v>
      </c>
      <c r="E152">
        <v>42</v>
      </c>
      <c r="F152" t="s">
        <v>1255</v>
      </c>
      <c r="G152" t="s">
        <v>86</v>
      </c>
      <c r="H152" t="s">
        <v>1119</v>
      </c>
      <c r="I152" t="s">
        <v>1115</v>
      </c>
    </row>
    <row r="153" spans="1:9">
      <c r="A153" t="s">
        <v>1118</v>
      </c>
      <c r="B153" t="s">
        <v>1086</v>
      </c>
      <c r="C153" t="s">
        <v>1087</v>
      </c>
      <c r="D153" t="s">
        <v>18</v>
      </c>
      <c r="F153" t="s">
        <v>1255</v>
      </c>
      <c r="G153" t="s">
        <v>86</v>
      </c>
      <c r="H153" t="s">
        <v>1119</v>
      </c>
      <c r="I153" t="s">
        <v>1115</v>
      </c>
    </row>
    <row r="154" spans="1:9">
      <c r="A154" t="s">
        <v>1118</v>
      </c>
      <c r="B154" t="s">
        <v>1086</v>
      </c>
      <c r="C154" t="s">
        <v>1087</v>
      </c>
      <c r="D154" t="s">
        <v>19</v>
      </c>
      <c r="F154" t="s">
        <v>1255</v>
      </c>
      <c r="G154" t="s">
        <v>86</v>
      </c>
      <c r="H154" t="s">
        <v>1119</v>
      </c>
      <c r="I154" t="s">
        <v>1115</v>
      </c>
    </row>
    <row r="155" spans="1:9">
      <c r="A155" t="s">
        <v>1118</v>
      </c>
      <c r="B155" t="s">
        <v>1086</v>
      </c>
      <c r="C155" t="s">
        <v>1087</v>
      </c>
      <c r="D155" t="s">
        <v>20</v>
      </c>
      <c r="F155" t="s">
        <v>1255</v>
      </c>
      <c r="G155" t="s">
        <v>86</v>
      </c>
      <c r="H155" t="s">
        <v>1119</v>
      </c>
      <c r="I155" t="s">
        <v>1115</v>
      </c>
    </row>
    <row r="156" spans="1:9">
      <c r="A156" t="s">
        <v>1118</v>
      </c>
      <c r="B156" t="s">
        <v>1086</v>
      </c>
      <c r="C156" t="s">
        <v>1087</v>
      </c>
      <c r="D156" t="s">
        <v>22</v>
      </c>
      <c r="F156" t="s">
        <v>1255</v>
      </c>
      <c r="G156" t="s">
        <v>86</v>
      </c>
      <c r="H156" t="s">
        <v>1119</v>
      </c>
      <c r="I156" t="s">
        <v>1115</v>
      </c>
    </row>
    <row r="157" spans="1:9">
      <c r="A157" t="s">
        <v>1118</v>
      </c>
      <c r="B157" t="s">
        <v>1086</v>
      </c>
      <c r="C157" t="s">
        <v>1087</v>
      </c>
      <c r="D157" t="s">
        <v>23</v>
      </c>
      <c r="E157">
        <v>42</v>
      </c>
      <c r="F157" t="s">
        <v>1255</v>
      </c>
      <c r="G157" t="s">
        <v>86</v>
      </c>
      <c r="H157" t="s">
        <v>1119</v>
      </c>
      <c r="I157" t="s">
        <v>1115</v>
      </c>
    </row>
    <row r="158" spans="1:9">
      <c r="A158" t="s">
        <v>1118</v>
      </c>
      <c r="B158" t="s">
        <v>1093</v>
      </c>
      <c r="C158" t="s">
        <v>1120</v>
      </c>
      <c r="D158" t="s">
        <v>17</v>
      </c>
      <c r="E158">
        <v>38</v>
      </c>
      <c r="F158" t="s">
        <v>1255</v>
      </c>
      <c r="G158" t="s">
        <v>86</v>
      </c>
      <c r="H158" t="s">
        <v>1121</v>
      </c>
      <c r="I158" t="s">
        <v>1115</v>
      </c>
    </row>
    <row r="159" spans="1:9">
      <c r="A159" t="s">
        <v>1118</v>
      </c>
      <c r="B159" t="s">
        <v>1093</v>
      </c>
      <c r="C159" t="s">
        <v>1120</v>
      </c>
      <c r="D159" t="s">
        <v>18</v>
      </c>
      <c r="E159">
        <v>6</v>
      </c>
      <c r="F159" t="s">
        <v>1255</v>
      </c>
      <c r="G159" t="s">
        <v>86</v>
      </c>
      <c r="H159" t="s">
        <v>1121</v>
      </c>
      <c r="I159" t="s">
        <v>1115</v>
      </c>
    </row>
    <row r="160" spans="1:9">
      <c r="A160" t="s">
        <v>1118</v>
      </c>
      <c r="B160" t="s">
        <v>1093</v>
      </c>
      <c r="C160" t="s">
        <v>1120</v>
      </c>
      <c r="D160" t="s">
        <v>19</v>
      </c>
      <c r="E160">
        <v>0</v>
      </c>
      <c r="F160" t="s">
        <v>1255</v>
      </c>
      <c r="G160" t="s">
        <v>86</v>
      </c>
      <c r="H160" t="s">
        <v>1121</v>
      </c>
      <c r="I160" t="s">
        <v>1115</v>
      </c>
    </row>
    <row r="161" spans="1:9">
      <c r="A161" t="s">
        <v>1118</v>
      </c>
      <c r="B161" t="s">
        <v>1093</v>
      </c>
      <c r="C161" t="s">
        <v>1120</v>
      </c>
      <c r="D161" t="s">
        <v>20</v>
      </c>
      <c r="E161">
        <v>0</v>
      </c>
      <c r="F161" t="s">
        <v>1255</v>
      </c>
      <c r="G161" t="s">
        <v>86</v>
      </c>
      <c r="H161" t="s">
        <v>1121</v>
      </c>
      <c r="I161" t="s">
        <v>1115</v>
      </c>
    </row>
    <row r="162" spans="1:9">
      <c r="A162" t="s">
        <v>1118</v>
      </c>
      <c r="B162" t="s">
        <v>1093</v>
      </c>
      <c r="C162" t="s">
        <v>1120</v>
      </c>
      <c r="D162" t="s">
        <v>22</v>
      </c>
      <c r="E162">
        <v>0</v>
      </c>
      <c r="F162" t="s">
        <v>1255</v>
      </c>
      <c r="G162" t="s">
        <v>86</v>
      </c>
      <c r="H162" t="s">
        <v>1121</v>
      </c>
      <c r="I162" t="s">
        <v>1115</v>
      </c>
    </row>
    <row r="163" spans="1:9">
      <c r="A163" t="s">
        <v>1118</v>
      </c>
      <c r="B163" t="s">
        <v>1093</v>
      </c>
      <c r="C163" t="s">
        <v>1120</v>
      </c>
      <c r="D163" t="s">
        <v>23</v>
      </c>
      <c r="E163">
        <v>44</v>
      </c>
      <c r="F163" t="s">
        <v>1255</v>
      </c>
      <c r="G163" t="s">
        <v>86</v>
      </c>
      <c r="H163" t="s">
        <v>1121</v>
      </c>
      <c r="I163" t="s">
        <v>1115</v>
      </c>
    </row>
    <row r="164" spans="1:9">
      <c r="A164" t="s">
        <v>1118</v>
      </c>
      <c r="B164" t="s">
        <v>1100</v>
      </c>
      <c r="C164" t="s">
        <v>1101</v>
      </c>
      <c r="D164" t="s">
        <v>17</v>
      </c>
      <c r="E164">
        <v>22</v>
      </c>
      <c r="F164" t="s">
        <v>1255</v>
      </c>
      <c r="G164" t="s">
        <v>86</v>
      </c>
      <c r="H164" t="s">
        <v>1122</v>
      </c>
      <c r="I164" t="s">
        <v>1115</v>
      </c>
    </row>
    <row r="165" spans="1:9">
      <c r="A165" t="s">
        <v>1118</v>
      </c>
      <c r="B165" t="s">
        <v>1100</v>
      </c>
      <c r="C165" t="s">
        <v>1101</v>
      </c>
      <c r="D165" t="s">
        <v>18</v>
      </c>
      <c r="F165" t="s">
        <v>1255</v>
      </c>
      <c r="G165" t="s">
        <v>86</v>
      </c>
      <c r="H165" t="s">
        <v>1122</v>
      </c>
      <c r="I165" t="s">
        <v>1115</v>
      </c>
    </row>
    <row r="166" spans="1:9">
      <c r="A166" t="s">
        <v>1118</v>
      </c>
      <c r="B166" t="s">
        <v>1100</v>
      </c>
      <c r="C166" t="s">
        <v>1101</v>
      </c>
      <c r="D166" t="s">
        <v>19</v>
      </c>
      <c r="E166">
        <v>8</v>
      </c>
      <c r="F166" t="s">
        <v>1255</v>
      </c>
      <c r="G166" t="s">
        <v>86</v>
      </c>
      <c r="H166" t="s">
        <v>1122</v>
      </c>
      <c r="I166" t="s">
        <v>1115</v>
      </c>
    </row>
    <row r="167" spans="1:9">
      <c r="A167" t="s">
        <v>1118</v>
      </c>
      <c r="B167" t="s">
        <v>1100</v>
      </c>
      <c r="C167" t="s">
        <v>1101</v>
      </c>
      <c r="D167" t="s">
        <v>20</v>
      </c>
      <c r="E167">
        <v>14</v>
      </c>
      <c r="F167" t="s">
        <v>1255</v>
      </c>
      <c r="G167" t="s">
        <v>86</v>
      </c>
      <c r="H167" t="s">
        <v>1122</v>
      </c>
      <c r="I167" t="s">
        <v>1115</v>
      </c>
    </row>
    <row r="168" spans="1:9">
      <c r="A168" t="s">
        <v>1118</v>
      </c>
      <c r="B168" t="s">
        <v>1100</v>
      </c>
      <c r="C168" t="s">
        <v>1101</v>
      </c>
      <c r="D168" t="s">
        <v>22</v>
      </c>
      <c r="F168" t="s">
        <v>1255</v>
      </c>
      <c r="G168" t="s">
        <v>86</v>
      </c>
      <c r="H168" t="s">
        <v>1122</v>
      </c>
      <c r="I168" t="s">
        <v>1115</v>
      </c>
    </row>
    <row r="169" spans="1:9">
      <c r="A169" t="s">
        <v>1118</v>
      </c>
      <c r="B169" t="s">
        <v>1100</v>
      </c>
      <c r="C169" t="s">
        <v>1101</v>
      </c>
      <c r="D169" t="s">
        <v>23</v>
      </c>
      <c r="E169">
        <v>44</v>
      </c>
      <c r="F169" t="s">
        <v>1255</v>
      </c>
      <c r="G169" t="s">
        <v>86</v>
      </c>
      <c r="H169" t="s">
        <v>1122</v>
      </c>
      <c r="I169" t="s">
        <v>1115</v>
      </c>
    </row>
  </sheetData>
  <pageMargins left="0.7" right="0.7" top="0.75" bottom="0.75" header="0.3" footer="0.3"/>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1C2EBA-5A69-4CAB-8164-F6AECDE98AE7}">
  <sheetPr codeName="Sheet35"/>
  <dimension ref="A1:M57"/>
  <sheetViews>
    <sheetView zoomScale="130" zoomScaleNormal="130" workbookViewId="0">
      <selection activeCell="G12" sqref="G12"/>
    </sheetView>
  </sheetViews>
  <sheetFormatPr defaultColWidth="8.85546875" defaultRowHeight="15"/>
  <cols>
    <col min="1" max="1" width="49" bestFit="1" customWidth="1"/>
    <col min="2" max="2" width="14.85546875" bestFit="1" customWidth="1"/>
    <col min="3" max="3" width="65.42578125" bestFit="1" customWidth="1"/>
    <col min="4" max="4" width="17.42578125" bestFit="1" customWidth="1"/>
    <col min="5" max="5" width="24.7109375" bestFit="1" customWidth="1"/>
    <col min="6" max="6" width="48.28515625" bestFit="1" customWidth="1"/>
    <col min="7" max="7" width="81.140625" bestFit="1" customWidth="1"/>
    <col min="8" max="8" width="12.42578125" bestFit="1" customWidth="1"/>
    <col min="9" max="9" width="31.28515625" bestFit="1" customWidth="1"/>
    <col min="10" max="10" width="15.28515625" bestFit="1" customWidth="1"/>
    <col min="11" max="11" width="12.7109375" bestFit="1" customWidth="1"/>
    <col min="12" max="12" width="24.42578125" bestFit="1" customWidth="1"/>
    <col min="13" max="13" width="12.140625" bestFit="1" customWidth="1"/>
  </cols>
  <sheetData>
    <row r="1" spans="1:13">
      <c r="A1" t="s">
        <v>1109</v>
      </c>
      <c r="B1" t="s">
        <v>1080</v>
      </c>
      <c r="C1" t="s">
        <v>1081</v>
      </c>
      <c r="D1" t="s">
        <v>34</v>
      </c>
      <c r="E1" t="s">
        <v>35</v>
      </c>
      <c r="F1" t="s">
        <v>36</v>
      </c>
      <c r="G1" t="s">
        <v>37</v>
      </c>
      <c r="H1" t="s">
        <v>38</v>
      </c>
      <c r="I1" t="s">
        <v>39</v>
      </c>
      <c r="J1" t="s">
        <v>1111</v>
      </c>
      <c r="K1" t="s">
        <v>1195</v>
      </c>
      <c r="L1" t="s">
        <v>1110</v>
      </c>
      <c r="M1" t="s">
        <v>1112</v>
      </c>
    </row>
    <row r="2" spans="1:13">
      <c r="A2" t="s">
        <v>1123</v>
      </c>
      <c r="B2" t="s">
        <v>80</v>
      </c>
      <c r="C2" t="s">
        <v>1092</v>
      </c>
      <c r="D2" t="s">
        <v>40</v>
      </c>
      <c r="E2" t="s">
        <v>41</v>
      </c>
      <c r="F2" t="s">
        <v>95</v>
      </c>
      <c r="G2" t="s">
        <v>96</v>
      </c>
      <c r="H2">
        <v>0.4</v>
      </c>
      <c r="I2">
        <v>8</v>
      </c>
      <c r="J2" t="s">
        <v>1256</v>
      </c>
      <c r="K2" t="s">
        <v>1257</v>
      </c>
      <c r="L2" t="s">
        <v>86</v>
      </c>
      <c r="M2" t="s">
        <v>1115</v>
      </c>
    </row>
    <row r="3" spans="1:13">
      <c r="A3" t="s">
        <v>1123</v>
      </c>
      <c r="B3" t="s">
        <v>80</v>
      </c>
      <c r="C3" t="s">
        <v>1092</v>
      </c>
      <c r="D3" t="s">
        <v>44</v>
      </c>
      <c r="E3" t="s">
        <v>97</v>
      </c>
      <c r="F3" t="s">
        <v>98</v>
      </c>
      <c r="G3" t="s">
        <v>99</v>
      </c>
      <c r="H3">
        <v>0.6</v>
      </c>
      <c r="I3">
        <v>12</v>
      </c>
      <c r="J3" t="s">
        <v>1256</v>
      </c>
      <c r="K3" t="s">
        <v>1257</v>
      </c>
      <c r="L3" t="s">
        <v>86</v>
      </c>
      <c r="M3" t="s">
        <v>1115</v>
      </c>
    </row>
    <row r="4" spans="1:13">
      <c r="A4" t="s">
        <v>1123</v>
      </c>
      <c r="B4" t="s">
        <v>141</v>
      </c>
      <c r="C4" t="s">
        <v>143</v>
      </c>
      <c r="D4" t="s">
        <v>40</v>
      </c>
      <c r="E4" t="s">
        <v>157</v>
      </c>
      <c r="F4" t="s">
        <v>158</v>
      </c>
      <c r="G4" t="s">
        <v>1258</v>
      </c>
      <c r="H4">
        <v>0.5</v>
      </c>
      <c r="I4">
        <v>6</v>
      </c>
      <c r="J4" t="s">
        <v>1259</v>
      </c>
      <c r="K4" t="s">
        <v>1257</v>
      </c>
      <c r="L4" t="s">
        <v>86</v>
      </c>
      <c r="M4" t="s">
        <v>1115</v>
      </c>
    </row>
    <row r="5" spans="1:13">
      <c r="A5" t="s">
        <v>1123</v>
      </c>
      <c r="B5" t="s">
        <v>141</v>
      </c>
      <c r="C5" t="s">
        <v>143</v>
      </c>
      <c r="D5" t="s">
        <v>44</v>
      </c>
      <c r="E5" t="s">
        <v>41</v>
      </c>
      <c r="F5" t="s">
        <v>42</v>
      </c>
      <c r="G5" t="s">
        <v>1260</v>
      </c>
      <c r="H5">
        <v>0.5</v>
      </c>
      <c r="I5">
        <v>12</v>
      </c>
      <c r="J5" t="s">
        <v>1259</v>
      </c>
      <c r="K5" t="s">
        <v>1257</v>
      </c>
      <c r="L5" t="s">
        <v>86</v>
      </c>
      <c r="M5" t="s">
        <v>1115</v>
      </c>
    </row>
    <row r="6" spans="1:13">
      <c r="A6" t="s">
        <v>1123</v>
      </c>
      <c r="B6" t="s">
        <v>178</v>
      </c>
      <c r="C6" t="s">
        <v>179</v>
      </c>
      <c r="D6" t="s">
        <v>40</v>
      </c>
      <c r="E6" t="s">
        <v>157</v>
      </c>
      <c r="G6" t="s">
        <v>191</v>
      </c>
      <c r="H6">
        <v>0.3</v>
      </c>
      <c r="I6">
        <v>7</v>
      </c>
      <c r="J6" t="s">
        <v>1261</v>
      </c>
      <c r="K6" t="s">
        <v>1257</v>
      </c>
      <c r="L6" t="s">
        <v>86</v>
      </c>
      <c r="M6" t="s">
        <v>1115</v>
      </c>
    </row>
    <row r="7" spans="1:13">
      <c r="A7" t="s">
        <v>1123</v>
      </c>
      <c r="B7" t="s">
        <v>178</v>
      </c>
      <c r="C7" t="s">
        <v>179</v>
      </c>
      <c r="D7" t="s">
        <v>44</v>
      </c>
      <c r="E7" t="s">
        <v>157</v>
      </c>
      <c r="G7" t="s">
        <v>1262</v>
      </c>
      <c r="I7" t="s">
        <v>193</v>
      </c>
      <c r="J7" t="s">
        <v>1261</v>
      </c>
      <c r="K7" t="s">
        <v>1257</v>
      </c>
      <c r="L7" t="s">
        <v>86</v>
      </c>
      <c r="M7" t="s">
        <v>1115</v>
      </c>
    </row>
    <row r="8" spans="1:13">
      <c r="A8" t="s">
        <v>1123</v>
      </c>
      <c r="B8" t="s">
        <v>217</v>
      </c>
      <c r="C8" t="s">
        <v>1091</v>
      </c>
      <c r="D8" t="s">
        <v>40</v>
      </c>
      <c r="E8" t="s">
        <v>97</v>
      </c>
      <c r="F8" t="s">
        <v>236</v>
      </c>
      <c r="G8" t="s">
        <v>237</v>
      </c>
      <c r="H8">
        <v>0.5</v>
      </c>
      <c r="I8">
        <v>6</v>
      </c>
      <c r="J8" t="s">
        <v>1263</v>
      </c>
      <c r="K8" t="s">
        <v>1257</v>
      </c>
      <c r="L8" t="s">
        <v>86</v>
      </c>
      <c r="M8" t="s">
        <v>1115</v>
      </c>
    </row>
    <row r="9" spans="1:13">
      <c r="A9" t="s">
        <v>1123</v>
      </c>
      <c r="B9" t="s">
        <v>217</v>
      </c>
      <c r="C9" t="s">
        <v>1091</v>
      </c>
      <c r="D9" t="s">
        <v>44</v>
      </c>
      <c r="E9" t="s">
        <v>157</v>
      </c>
      <c r="F9" t="s">
        <v>158</v>
      </c>
      <c r="G9" t="s">
        <v>238</v>
      </c>
      <c r="H9">
        <v>0.5</v>
      </c>
      <c r="I9">
        <v>12</v>
      </c>
      <c r="J9" t="s">
        <v>1263</v>
      </c>
      <c r="K9" t="s">
        <v>1257</v>
      </c>
      <c r="L9" t="s">
        <v>86</v>
      </c>
      <c r="M9" t="s">
        <v>1115</v>
      </c>
    </row>
    <row r="10" spans="1:13">
      <c r="A10" t="s">
        <v>1123</v>
      </c>
      <c r="B10" t="s">
        <v>279</v>
      </c>
      <c r="C10" t="s">
        <v>281</v>
      </c>
      <c r="D10" t="s">
        <v>40</v>
      </c>
      <c r="E10" t="s">
        <v>157</v>
      </c>
      <c r="F10" t="s">
        <v>300</v>
      </c>
      <c r="G10" t="s">
        <v>301</v>
      </c>
      <c r="H10">
        <v>0.35</v>
      </c>
      <c r="I10">
        <v>6</v>
      </c>
      <c r="J10" t="s">
        <v>1264</v>
      </c>
      <c r="K10" t="s">
        <v>1257</v>
      </c>
      <c r="L10" t="s">
        <v>86</v>
      </c>
      <c r="M10" t="s">
        <v>1115</v>
      </c>
    </row>
    <row r="11" spans="1:13">
      <c r="A11" t="s">
        <v>1123</v>
      </c>
      <c r="B11" t="s">
        <v>279</v>
      </c>
      <c r="C11" t="s">
        <v>281</v>
      </c>
      <c r="D11" t="s">
        <v>44</v>
      </c>
      <c r="E11" t="s">
        <v>41</v>
      </c>
      <c r="F11" t="s">
        <v>302</v>
      </c>
      <c r="G11" t="s">
        <v>303</v>
      </c>
      <c r="H11">
        <v>0.65</v>
      </c>
      <c r="I11">
        <v>13</v>
      </c>
      <c r="J11" t="s">
        <v>1264</v>
      </c>
      <c r="K11" t="s">
        <v>1257</v>
      </c>
      <c r="L11" t="s">
        <v>86</v>
      </c>
      <c r="M11" t="s">
        <v>1115</v>
      </c>
    </row>
    <row r="12" spans="1:13">
      <c r="A12" t="s">
        <v>1123</v>
      </c>
      <c r="B12" t="s">
        <v>339</v>
      </c>
      <c r="C12" t="s">
        <v>341</v>
      </c>
      <c r="D12" t="s">
        <v>40</v>
      </c>
      <c r="E12" t="s">
        <v>41</v>
      </c>
      <c r="F12" t="s">
        <v>42</v>
      </c>
      <c r="G12" t="s">
        <v>1265</v>
      </c>
      <c r="H12">
        <v>0.5</v>
      </c>
      <c r="I12">
        <v>6</v>
      </c>
      <c r="J12" t="s">
        <v>1266</v>
      </c>
      <c r="K12" t="s">
        <v>1257</v>
      </c>
      <c r="L12" t="s">
        <v>86</v>
      </c>
      <c r="M12" t="s">
        <v>1115</v>
      </c>
    </row>
    <row r="13" spans="1:13">
      <c r="A13" t="s">
        <v>1123</v>
      </c>
      <c r="B13" t="s">
        <v>339</v>
      </c>
      <c r="C13" t="s">
        <v>341</v>
      </c>
      <c r="D13" t="s">
        <v>44</v>
      </c>
      <c r="E13" t="s">
        <v>355</v>
      </c>
      <c r="F13" t="s">
        <v>356</v>
      </c>
      <c r="G13" t="s">
        <v>1267</v>
      </c>
      <c r="H13">
        <v>0.5</v>
      </c>
      <c r="I13">
        <v>12</v>
      </c>
      <c r="J13" t="s">
        <v>1266</v>
      </c>
      <c r="K13" t="s">
        <v>1257</v>
      </c>
      <c r="L13" t="s">
        <v>86</v>
      </c>
      <c r="M13" t="s">
        <v>1115</v>
      </c>
    </row>
    <row r="14" spans="1:13">
      <c r="A14" t="s">
        <v>1123</v>
      </c>
      <c r="B14" t="s">
        <v>473</v>
      </c>
      <c r="C14" t="s">
        <v>474</v>
      </c>
      <c r="D14" t="s">
        <v>40</v>
      </c>
      <c r="E14" t="s">
        <v>355</v>
      </c>
      <c r="F14" t="s">
        <v>236</v>
      </c>
      <c r="G14" t="s">
        <v>1268</v>
      </c>
      <c r="H14">
        <v>0.5</v>
      </c>
      <c r="I14">
        <v>8</v>
      </c>
      <c r="J14" t="s">
        <v>1269</v>
      </c>
      <c r="K14" t="s">
        <v>1257</v>
      </c>
      <c r="L14" t="s">
        <v>86</v>
      </c>
      <c r="M14" t="s">
        <v>1115</v>
      </c>
    </row>
    <row r="15" spans="1:13">
      <c r="A15" t="s">
        <v>1123</v>
      </c>
      <c r="B15" t="s">
        <v>473</v>
      </c>
      <c r="C15" t="s">
        <v>474</v>
      </c>
      <c r="D15" t="s">
        <v>44</v>
      </c>
      <c r="E15" t="s">
        <v>41</v>
      </c>
      <c r="F15" t="s">
        <v>42</v>
      </c>
      <c r="G15" t="s">
        <v>489</v>
      </c>
      <c r="H15">
        <v>0.5</v>
      </c>
      <c r="I15" t="s">
        <v>490</v>
      </c>
      <c r="J15" t="s">
        <v>1269</v>
      </c>
      <c r="K15" t="s">
        <v>1257</v>
      </c>
      <c r="L15" t="s">
        <v>86</v>
      </c>
      <c r="M15" t="s">
        <v>1115</v>
      </c>
    </row>
    <row r="16" spans="1:13">
      <c r="A16" t="s">
        <v>1123</v>
      </c>
      <c r="B16" t="s">
        <v>368</v>
      </c>
      <c r="C16" t="s">
        <v>370</v>
      </c>
      <c r="D16" t="s">
        <v>40</v>
      </c>
      <c r="E16" t="s">
        <v>97</v>
      </c>
      <c r="G16" t="s">
        <v>380</v>
      </c>
      <c r="H16">
        <v>0.6</v>
      </c>
      <c r="I16">
        <v>6</v>
      </c>
      <c r="J16" t="s">
        <v>1270</v>
      </c>
      <c r="K16" t="s">
        <v>1257</v>
      </c>
      <c r="L16" t="s">
        <v>86</v>
      </c>
      <c r="M16" t="s">
        <v>1115</v>
      </c>
    </row>
    <row r="17" spans="1:13">
      <c r="A17" t="s">
        <v>1123</v>
      </c>
      <c r="B17" t="s">
        <v>368</v>
      </c>
      <c r="C17" t="s">
        <v>370</v>
      </c>
      <c r="D17" t="s">
        <v>44</v>
      </c>
      <c r="E17" t="s">
        <v>41</v>
      </c>
      <c r="G17" t="s">
        <v>381</v>
      </c>
      <c r="H17">
        <v>0.4</v>
      </c>
      <c r="I17">
        <v>12</v>
      </c>
      <c r="J17" t="s">
        <v>1270</v>
      </c>
      <c r="K17" t="s">
        <v>1257</v>
      </c>
      <c r="L17" t="s">
        <v>86</v>
      </c>
      <c r="M17" t="s">
        <v>1115</v>
      </c>
    </row>
    <row r="18" spans="1:13">
      <c r="A18" t="s">
        <v>1123</v>
      </c>
      <c r="B18" t="s">
        <v>396</v>
      </c>
      <c r="C18" t="s">
        <v>398</v>
      </c>
      <c r="D18" t="s">
        <v>40</v>
      </c>
      <c r="E18" t="s">
        <v>41</v>
      </c>
      <c r="F18" t="s">
        <v>42</v>
      </c>
      <c r="G18" t="s">
        <v>1271</v>
      </c>
      <c r="H18">
        <v>0.5</v>
      </c>
      <c r="I18">
        <v>7</v>
      </c>
      <c r="J18" t="s">
        <v>1272</v>
      </c>
      <c r="K18" t="s">
        <v>1257</v>
      </c>
      <c r="L18" t="s">
        <v>86</v>
      </c>
      <c r="M18" t="s">
        <v>1115</v>
      </c>
    </row>
    <row r="19" spans="1:13">
      <c r="A19" t="s">
        <v>1123</v>
      </c>
      <c r="B19" t="s">
        <v>396</v>
      </c>
      <c r="C19" t="s">
        <v>398</v>
      </c>
      <c r="D19" t="s">
        <v>44</v>
      </c>
      <c r="E19" t="s">
        <v>97</v>
      </c>
      <c r="G19" t="s">
        <v>1273</v>
      </c>
      <c r="H19">
        <v>0.5</v>
      </c>
      <c r="I19" t="s">
        <v>418</v>
      </c>
      <c r="J19" t="s">
        <v>1272</v>
      </c>
      <c r="K19" t="s">
        <v>1257</v>
      </c>
      <c r="L19" t="s">
        <v>86</v>
      </c>
      <c r="M19" t="s">
        <v>1115</v>
      </c>
    </row>
    <row r="20" spans="1:13">
      <c r="A20" t="s">
        <v>1123</v>
      </c>
      <c r="B20" t="s">
        <v>438</v>
      </c>
      <c r="C20" t="s">
        <v>1096</v>
      </c>
      <c r="D20" t="s">
        <v>40</v>
      </c>
      <c r="E20" t="s">
        <v>97</v>
      </c>
      <c r="F20" t="s">
        <v>236</v>
      </c>
      <c r="G20" t="s">
        <v>1274</v>
      </c>
      <c r="H20">
        <v>0.5</v>
      </c>
      <c r="I20">
        <v>9</v>
      </c>
      <c r="J20" t="s">
        <v>1275</v>
      </c>
      <c r="K20" t="s">
        <v>1257</v>
      </c>
      <c r="L20" t="s">
        <v>86</v>
      </c>
      <c r="M20" t="s">
        <v>1115</v>
      </c>
    </row>
    <row r="21" spans="1:13">
      <c r="A21" t="s">
        <v>1123</v>
      </c>
      <c r="B21" t="s">
        <v>438</v>
      </c>
      <c r="C21" t="s">
        <v>1096</v>
      </c>
      <c r="D21" t="s">
        <v>44</v>
      </c>
      <c r="E21" t="s">
        <v>157</v>
      </c>
      <c r="F21" t="s">
        <v>158</v>
      </c>
      <c r="G21" t="s">
        <v>448</v>
      </c>
      <c r="H21">
        <v>0.5</v>
      </c>
      <c r="I21">
        <v>12</v>
      </c>
      <c r="J21" t="s">
        <v>1275</v>
      </c>
      <c r="K21" t="s">
        <v>1257</v>
      </c>
      <c r="L21" t="s">
        <v>86</v>
      </c>
      <c r="M21" t="s">
        <v>1115</v>
      </c>
    </row>
    <row r="22" spans="1:13">
      <c r="A22" t="s">
        <v>1113</v>
      </c>
      <c r="B22" t="s">
        <v>1097</v>
      </c>
      <c r="C22" t="s">
        <v>1098</v>
      </c>
      <c r="D22" t="s">
        <v>40</v>
      </c>
      <c r="E22" t="s">
        <v>41</v>
      </c>
      <c r="F22" t="s">
        <v>42</v>
      </c>
      <c r="G22" t="s">
        <v>1276</v>
      </c>
      <c r="H22">
        <v>0.5</v>
      </c>
      <c r="I22">
        <v>12</v>
      </c>
      <c r="J22" t="s">
        <v>1277</v>
      </c>
      <c r="K22" t="s">
        <v>1257</v>
      </c>
      <c r="L22" t="s">
        <v>86</v>
      </c>
      <c r="M22" t="s">
        <v>1115</v>
      </c>
    </row>
    <row r="23" spans="1:13">
      <c r="A23" t="s">
        <v>1113</v>
      </c>
      <c r="B23" t="s">
        <v>1097</v>
      </c>
      <c r="C23" t="s">
        <v>1098</v>
      </c>
      <c r="D23" t="s">
        <v>44</v>
      </c>
      <c r="E23" t="s">
        <v>356</v>
      </c>
      <c r="F23" t="s">
        <v>356</v>
      </c>
      <c r="G23" t="s">
        <v>1278</v>
      </c>
      <c r="H23">
        <v>0.5</v>
      </c>
      <c r="I23">
        <v>16</v>
      </c>
      <c r="J23" t="s">
        <v>1277</v>
      </c>
      <c r="K23" t="s">
        <v>1257</v>
      </c>
      <c r="L23" t="s">
        <v>86</v>
      </c>
      <c r="M23" t="s">
        <v>1115</v>
      </c>
    </row>
    <row r="24" spans="1:13">
      <c r="A24" t="s">
        <v>1123</v>
      </c>
      <c r="B24" t="s">
        <v>526</v>
      </c>
      <c r="C24" t="s">
        <v>1103</v>
      </c>
      <c r="D24" t="s">
        <v>40</v>
      </c>
      <c r="E24" t="s">
        <v>355</v>
      </c>
      <c r="F24" t="s">
        <v>537</v>
      </c>
      <c r="G24" t="s">
        <v>538</v>
      </c>
      <c r="H24">
        <v>0.5</v>
      </c>
      <c r="I24">
        <v>6</v>
      </c>
      <c r="J24" t="s">
        <v>1279</v>
      </c>
      <c r="K24" t="s">
        <v>1257</v>
      </c>
      <c r="L24" t="s">
        <v>86</v>
      </c>
      <c r="M24" t="s">
        <v>1115</v>
      </c>
    </row>
    <row r="25" spans="1:13">
      <c r="A25" t="s">
        <v>1123</v>
      </c>
      <c r="B25" t="s">
        <v>526</v>
      </c>
      <c r="C25" t="s">
        <v>1103</v>
      </c>
      <c r="D25" t="s">
        <v>44</v>
      </c>
      <c r="E25" t="s">
        <v>355</v>
      </c>
      <c r="F25" t="s">
        <v>539</v>
      </c>
      <c r="G25" t="s">
        <v>540</v>
      </c>
      <c r="H25">
        <v>0.5</v>
      </c>
      <c r="I25">
        <v>12</v>
      </c>
      <c r="J25" t="s">
        <v>1279</v>
      </c>
      <c r="K25" t="s">
        <v>1257</v>
      </c>
      <c r="L25" t="s">
        <v>86</v>
      </c>
      <c r="M25" t="s">
        <v>1115</v>
      </c>
    </row>
    <row r="26" spans="1:13">
      <c r="A26" t="s">
        <v>1123</v>
      </c>
      <c r="B26" t="s">
        <v>545</v>
      </c>
      <c r="C26" t="s">
        <v>546</v>
      </c>
      <c r="D26" t="s">
        <v>40</v>
      </c>
      <c r="E26" t="s">
        <v>97</v>
      </c>
      <c r="F26" t="s">
        <v>356</v>
      </c>
      <c r="G26" t="s">
        <v>1280</v>
      </c>
      <c r="H26">
        <v>0.5</v>
      </c>
      <c r="I26">
        <v>7</v>
      </c>
      <c r="J26" t="s">
        <v>1281</v>
      </c>
      <c r="K26" t="s">
        <v>1257</v>
      </c>
      <c r="L26" t="s">
        <v>86</v>
      </c>
      <c r="M26" t="s">
        <v>1115</v>
      </c>
    </row>
    <row r="27" spans="1:13">
      <c r="A27" t="s">
        <v>1123</v>
      </c>
      <c r="B27" t="s">
        <v>545</v>
      </c>
      <c r="C27" t="s">
        <v>546</v>
      </c>
      <c r="D27" t="s">
        <v>44</v>
      </c>
      <c r="E27" t="s">
        <v>41</v>
      </c>
      <c r="F27" t="s">
        <v>95</v>
      </c>
      <c r="G27" t="s">
        <v>567</v>
      </c>
      <c r="H27">
        <v>0.5</v>
      </c>
      <c r="I27">
        <v>12</v>
      </c>
      <c r="J27" t="s">
        <v>1281</v>
      </c>
      <c r="K27" t="s">
        <v>1257</v>
      </c>
      <c r="L27" t="s">
        <v>86</v>
      </c>
      <c r="M27" t="s">
        <v>1115</v>
      </c>
    </row>
    <row r="28" spans="1:13">
      <c r="A28" t="s">
        <v>1123</v>
      </c>
      <c r="B28" t="s">
        <v>601</v>
      </c>
      <c r="C28" t="s">
        <v>603</v>
      </c>
      <c r="D28" t="s">
        <v>40</v>
      </c>
      <c r="E28" t="s">
        <v>355</v>
      </c>
      <c r="F28" t="s">
        <v>612</v>
      </c>
      <c r="G28" t="s">
        <v>613</v>
      </c>
      <c r="H28">
        <v>0.5</v>
      </c>
      <c r="I28">
        <v>6</v>
      </c>
      <c r="J28" t="s">
        <v>1282</v>
      </c>
      <c r="K28" t="s">
        <v>1257</v>
      </c>
      <c r="L28" t="s">
        <v>86</v>
      </c>
      <c r="M28" t="s">
        <v>1115</v>
      </c>
    </row>
    <row r="29" spans="1:13">
      <c r="A29" t="s">
        <v>1123</v>
      </c>
      <c r="B29" t="s">
        <v>601</v>
      </c>
      <c r="C29" t="s">
        <v>603</v>
      </c>
      <c r="D29" t="s">
        <v>44</v>
      </c>
      <c r="E29" t="s">
        <v>157</v>
      </c>
      <c r="G29" t="s">
        <v>614</v>
      </c>
      <c r="H29">
        <v>0.5</v>
      </c>
      <c r="I29">
        <v>12</v>
      </c>
      <c r="J29" t="s">
        <v>1282</v>
      </c>
      <c r="K29" t="s">
        <v>1257</v>
      </c>
      <c r="L29" t="s">
        <v>86</v>
      </c>
      <c r="M29" t="s">
        <v>1115</v>
      </c>
    </row>
    <row r="30" spans="1:13">
      <c r="A30" t="s">
        <v>1123</v>
      </c>
      <c r="B30" t="s">
        <v>641</v>
      </c>
      <c r="C30" t="s">
        <v>643</v>
      </c>
      <c r="D30" t="s">
        <v>40</v>
      </c>
      <c r="E30" t="s">
        <v>41</v>
      </c>
      <c r="F30" t="s">
        <v>95</v>
      </c>
      <c r="G30" t="s">
        <v>1283</v>
      </c>
      <c r="H30">
        <v>0.5</v>
      </c>
      <c r="I30">
        <v>8</v>
      </c>
      <c r="J30" t="s">
        <v>1284</v>
      </c>
      <c r="K30" t="s">
        <v>1257</v>
      </c>
      <c r="L30" t="s">
        <v>86</v>
      </c>
      <c r="M30" t="s">
        <v>1115</v>
      </c>
    </row>
    <row r="31" spans="1:13">
      <c r="A31" t="s">
        <v>1123</v>
      </c>
      <c r="B31" t="s">
        <v>641</v>
      </c>
      <c r="C31" t="s">
        <v>643</v>
      </c>
      <c r="D31" t="s">
        <v>44</v>
      </c>
      <c r="E31" t="s">
        <v>157</v>
      </c>
      <c r="F31" t="s">
        <v>158</v>
      </c>
      <c r="G31" t="s">
        <v>654</v>
      </c>
      <c r="H31">
        <v>0.5</v>
      </c>
      <c r="I31">
        <v>18</v>
      </c>
      <c r="J31" t="s">
        <v>1284</v>
      </c>
      <c r="K31" t="s">
        <v>1257</v>
      </c>
      <c r="L31" t="s">
        <v>86</v>
      </c>
      <c r="M31" t="s">
        <v>1115</v>
      </c>
    </row>
    <row r="32" spans="1:13">
      <c r="A32" t="s">
        <v>1123</v>
      </c>
      <c r="B32" t="s">
        <v>678</v>
      </c>
      <c r="C32" t="s">
        <v>680</v>
      </c>
      <c r="D32" t="s">
        <v>40</v>
      </c>
      <c r="E32" t="s">
        <v>355</v>
      </c>
      <c r="F32" t="s">
        <v>537</v>
      </c>
      <c r="G32" t="s">
        <v>694</v>
      </c>
      <c r="H32">
        <v>0.5</v>
      </c>
      <c r="I32">
        <v>7</v>
      </c>
      <c r="J32" t="s">
        <v>1285</v>
      </c>
      <c r="K32" t="s">
        <v>1257</v>
      </c>
      <c r="L32" t="s">
        <v>86</v>
      </c>
      <c r="M32" t="s">
        <v>1115</v>
      </c>
    </row>
    <row r="33" spans="1:13">
      <c r="A33" t="s">
        <v>1123</v>
      </c>
      <c r="B33" t="s">
        <v>678</v>
      </c>
      <c r="C33" t="s">
        <v>680</v>
      </c>
      <c r="D33" t="s">
        <v>44</v>
      </c>
      <c r="E33" t="s">
        <v>157</v>
      </c>
      <c r="F33" t="s">
        <v>356</v>
      </c>
      <c r="G33" t="s">
        <v>695</v>
      </c>
      <c r="H33">
        <v>0.5</v>
      </c>
      <c r="I33">
        <v>12</v>
      </c>
      <c r="J33" t="s">
        <v>1285</v>
      </c>
      <c r="K33" t="s">
        <v>1257</v>
      </c>
      <c r="L33" t="s">
        <v>86</v>
      </c>
      <c r="M33" t="s">
        <v>1115</v>
      </c>
    </row>
    <row r="34" spans="1:13">
      <c r="A34" t="s">
        <v>1123</v>
      </c>
      <c r="B34" t="s">
        <v>720</v>
      </c>
      <c r="C34" t="s">
        <v>6</v>
      </c>
      <c r="D34" t="s">
        <v>40</v>
      </c>
      <c r="E34" t="s">
        <v>355</v>
      </c>
      <c r="F34" t="s">
        <v>356</v>
      </c>
      <c r="G34" t="s">
        <v>1286</v>
      </c>
      <c r="H34">
        <v>0.4</v>
      </c>
      <c r="I34">
        <v>24</v>
      </c>
      <c r="J34" t="s">
        <v>1287</v>
      </c>
      <c r="K34" t="s">
        <v>1257</v>
      </c>
      <c r="L34" t="s">
        <v>86</v>
      </c>
      <c r="M34" t="s">
        <v>1115</v>
      </c>
    </row>
    <row r="35" spans="1:13">
      <c r="A35" t="s">
        <v>1123</v>
      </c>
      <c r="B35" t="s">
        <v>720</v>
      </c>
      <c r="C35" t="s">
        <v>6</v>
      </c>
      <c r="D35" t="s">
        <v>44</v>
      </c>
      <c r="E35" t="s">
        <v>41</v>
      </c>
      <c r="F35" t="s">
        <v>95</v>
      </c>
      <c r="G35" t="s">
        <v>1288</v>
      </c>
      <c r="H35">
        <v>0.6</v>
      </c>
      <c r="I35">
        <v>33</v>
      </c>
      <c r="J35" t="s">
        <v>1287</v>
      </c>
      <c r="K35" t="s">
        <v>1257</v>
      </c>
      <c r="L35" t="s">
        <v>86</v>
      </c>
      <c r="M35" t="s">
        <v>1115</v>
      </c>
    </row>
    <row r="36" spans="1:13">
      <c r="A36" t="s">
        <v>1123</v>
      </c>
      <c r="B36" t="s">
        <v>756</v>
      </c>
      <c r="C36" t="s">
        <v>757</v>
      </c>
      <c r="D36" t="s">
        <v>40</v>
      </c>
      <c r="E36" t="s">
        <v>1289</v>
      </c>
      <c r="F36" t="s">
        <v>775</v>
      </c>
      <c r="G36" t="s">
        <v>776</v>
      </c>
      <c r="H36">
        <v>0.5</v>
      </c>
      <c r="J36" t="s">
        <v>1290</v>
      </c>
      <c r="K36" t="s">
        <v>1257</v>
      </c>
      <c r="L36" t="s">
        <v>86</v>
      </c>
      <c r="M36" t="s">
        <v>1115</v>
      </c>
    </row>
    <row r="37" spans="1:13">
      <c r="A37" t="s">
        <v>1123</v>
      </c>
      <c r="B37" t="s">
        <v>756</v>
      </c>
      <c r="C37" t="s">
        <v>757</v>
      </c>
      <c r="D37" t="s">
        <v>44</v>
      </c>
      <c r="E37" t="s">
        <v>1291</v>
      </c>
      <c r="F37" t="s">
        <v>778</v>
      </c>
      <c r="G37" t="s">
        <v>779</v>
      </c>
      <c r="H37">
        <v>0.5</v>
      </c>
      <c r="J37" t="s">
        <v>1290</v>
      </c>
      <c r="K37" t="s">
        <v>1257</v>
      </c>
      <c r="L37" t="s">
        <v>86</v>
      </c>
      <c r="M37" t="s">
        <v>1115</v>
      </c>
    </row>
    <row r="38" spans="1:13">
      <c r="A38" t="s">
        <v>1123</v>
      </c>
      <c r="B38" t="s">
        <v>803</v>
      </c>
      <c r="C38" t="s">
        <v>805</v>
      </c>
      <c r="D38" t="s">
        <v>40</v>
      </c>
      <c r="E38" t="s">
        <v>41</v>
      </c>
      <c r="F38" t="s">
        <v>42</v>
      </c>
      <c r="G38" t="s">
        <v>817</v>
      </c>
      <c r="H38">
        <v>0.3</v>
      </c>
      <c r="I38">
        <v>9</v>
      </c>
      <c r="J38" t="s">
        <v>1292</v>
      </c>
      <c r="K38" t="s">
        <v>1257</v>
      </c>
      <c r="L38" t="s">
        <v>86</v>
      </c>
      <c r="M38" t="s">
        <v>1115</v>
      </c>
    </row>
    <row r="39" spans="1:13">
      <c r="A39" t="s">
        <v>1123</v>
      </c>
      <c r="B39" t="s">
        <v>803</v>
      </c>
      <c r="C39" t="s">
        <v>805</v>
      </c>
      <c r="D39" t="s">
        <v>44</v>
      </c>
      <c r="E39" t="s">
        <v>97</v>
      </c>
      <c r="F39" t="s">
        <v>539</v>
      </c>
      <c r="G39" t="s">
        <v>818</v>
      </c>
      <c r="H39">
        <v>0.7</v>
      </c>
      <c r="I39">
        <v>12</v>
      </c>
      <c r="J39" t="s">
        <v>1292</v>
      </c>
      <c r="K39" t="s">
        <v>1257</v>
      </c>
      <c r="L39" t="s">
        <v>86</v>
      </c>
      <c r="M39" t="s">
        <v>1115</v>
      </c>
    </row>
    <row r="40" spans="1:13">
      <c r="A40" t="s">
        <v>1123</v>
      </c>
      <c r="B40" t="s">
        <v>840</v>
      </c>
      <c r="C40" t="s">
        <v>1105</v>
      </c>
      <c r="D40" t="s">
        <v>40</v>
      </c>
      <c r="E40" t="s">
        <v>97</v>
      </c>
      <c r="F40" t="s">
        <v>539</v>
      </c>
      <c r="G40" t="s">
        <v>852</v>
      </c>
      <c r="H40">
        <v>0.5</v>
      </c>
      <c r="I40">
        <v>26</v>
      </c>
      <c r="J40" t="s">
        <v>1293</v>
      </c>
      <c r="K40" t="s">
        <v>1257</v>
      </c>
      <c r="L40" t="s">
        <v>86</v>
      </c>
      <c r="M40" t="s">
        <v>1115</v>
      </c>
    </row>
    <row r="41" spans="1:13">
      <c r="A41" t="s">
        <v>1123</v>
      </c>
      <c r="B41" t="s">
        <v>840</v>
      </c>
      <c r="C41" t="s">
        <v>1105</v>
      </c>
      <c r="D41" t="s">
        <v>44</v>
      </c>
      <c r="E41" t="s">
        <v>41</v>
      </c>
      <c r="F41" t="s">
        <v>95</v>
      </c>
      <c r="G41" t="s">
        <v>853</v>
      </c>
      <c r="H41">
        <v>0.5</v>
      </c>
      <c r="I41">
        <v>26</v>
      </c>
      <c r="J41" t="s">
        <v>1293</v>
      </c>
      <c r="K41" t="s">
        <v>1257</v>
      </c>
      <c r="L41" t="s">
        <v>86</v>
      </c>
      <c r="M41" t="s">
        <v>1115</v>
      </c>
    </row>
    <row r="42" spans="1:13">
      <c r="A42" t="s">
        <v>1123</v>
      </c>
      <c r="B42" t="s">
        <v>877</v>
      </c>
      <c r="C42" t="s">
        <v>879</v>
      </c>
      <c r="D42" t="s">
        <v>40</v>
      </c>
      <c r="E42" t="s">
        <v>355</v>
      </c>
      <c r="F42" t="s">
        <v>904</v>
      </c>
      <c r="G42" t="s">
        <v>1294</v>
      </c>
      <c r="H42">
        <v>0.6</v>
      </c>
      <c r="I42">
        <v>28</v>
      </c>
      <c r="J42" t="s">
        <v>1295</v>
      </c>
      <c r="K42" t="s">
        <v>1257</v>
      </c>
      <c r="L42" t="s">
        <v>86</v>
      </c>
      <c r="M42" t="s">
        <v>1115</v>
      </c>
    </row>
    <row r="43" spans="1:13">
      <c r="A43" t="s">
        <v>1123</v>
      </c>
      <c r="B43" t="s">
        <v>877</v>
      </c>
      <c r="C43" t="s">
        <v>879</v>
      </c>
      <c r="D43" t="s">
        <v>44</v>
      </c>
      <c r="E43" t="s">
        <v>41</v>
      </c>
      <c r="F43" t="s">
        <v>95</v>
      </c>
      <c r="G43" t="s">
        <v>906</v>
      </c>
      <c r="H43">
        <v>0.4</v>
      </c>
      <c r="I43">
        <v>28</v>
      </c>
      <c r="J43" t="s">
        <v>1295</v>
      </c>
      <c r="K43" t="s">
        <v>1257</v>
      </c>
      <c r="L43" t="s">
        <v>86</v>
      </c>
      <c r="M43" t="s">
        <v>1115</v>
      </c>
    </row>
    <row r="44" spans="1:13">
      <c r="A44" t="s">
        <v>1123</v>
      </c>
      <c r="B44" t="s">
        <v>930</v>
      </c>
      <c r="C44" t="s">
        <v>932</v>
      </c>
      <c r="D44" t="s">
        <v>40</v>
      </c>
      <c r="E44" t="s">
        <v>41</v>
      </c>
      <c r="F44" t="s">
        <v>95</v>
      </c>
      <c r="G44" t="s">
        <v>1296</v>
      </c>
      <c r="H44">
        <v>0.5</v>
      </c>
      <c r="I44">
        <v>6</v>
      </c>
      <c r="J44" t="s">
        <v>1297</v>
      </c>
      <c r="K44" t="s">
        <v>1257</v>
      </c>
      <c r="L44" t="s">
        <v>86</v>
      </c>
      <c r="M44" t="s">
        <v>1115</v>
      </c>
    </row>
    <row r="45" spans="1:13">
      <c r="A45" t="s">
        <v>1123</v>
      </c>
      <c r="B45" t="s">
        <v>930</v>
      </c>
      <c r="C45" t="s">
        <v>932</v>
      </c>
      <c r="D45" t="s">
        <v>44</v>
      </c>
      <c r="E45" t="s">
        <v>97</v>
      </c>
      <c r="F45" t="s">
        <v>941</v>
      </c>
      <c r="G45" t="s">
        <v>1298</v>
      </c>
      <c r="H45">
        <v>0.5</v>
      </c>
      <c r="I45">
        <v>12</v>
      </c>
      <c r="J45" t="s">
        <v>1297</v>
      </c>
      <c r="K45" t="s">
        <v>1257</v>
      </c>
      <c r="L45" t="s">
        <v>86</v>
      </c>
      <c r="M45" t="s">
        <v>1115</v>
      </c>
    </row>
    <row r="46" spans="1:13">
      <c r="A46" t="s">
        <v>1123</v>
      </c>
      <c r="B46" t="s">
        <v>965</v>
      </c>
      <c r="C46" t="s">
        <v>967</v>
      </c>
      <c r="D46" t="s">
        <v>40</v>
      </c>
      <c r="E46" t="s">
        <v>41</v>
      </c>
      <c r="F46" t="s">
        <v>95</v>
      </c>
      <c r="G46" t="s">
        <v>979</v>
      </c>
      <c r="H46">
        <v>0.5</v>
      </c>
      <c r="I46">
        <v>8</v>
      </c>
      <c r="J46" t="s">
        <v>1299</v>
      </c>
      <c r="K46" t="s">
        <v>1257</v>
      </c>
      <c r="L46" t="s">
        <v>86</v>
      </c>
      <c r="M46" t="s">
        <v>1115</v>
      </c>
    </row>
    <row r="47" spans="1:13">
      <c r="A47" t="s">
        <v>1123</v>
      </c>
      <c r="B47" t="s">
        <v>965</v>
      </c>
      <c r="C47" t="s">
        <v>967</v>
      </c>
      <c r="D47" t="s">
        <v>44</v>
      </c>
      <c r="E47" t="s">
        <v>19</v>
      </c>
      <c r="G47" t="s">
        <v>980</v>
      </c>
      <c r="H47">
        <v>0.5</v>
      </c>
      <c r="I47">
        <v>12</v>
      </c>
      <c r="J47" t="s">
        <v>1299</v>
      </c>
      <c r="K47" t="s">
        <v>1257</v>
      </c>
      <c r="L47" t="s">
        <v>86</v>
      </c>
      <c r="M47" t="s">
        <v>1115</v>
      </c>
    </row>
    <row r="48" spans="1:13">
      <c r="A48" t="s">
        <v>1123</v>
      </c>
      <c r="B48" t="s">
        <v>992</v>
      </c>
      <c r="C48" t="s">
        <v>994</v>
      </c>
      <c r="D48" t="s">
        <v>40</v>
      </c>
      <c r="E48" t="s">
        <v>97</v>
      </c>
      <c r="F48" t="s">
        <v>537</v>
      </c>
      <c r="G48" t="s">
        <v>1002</v>
      </c>
      <c r="H48">
        <v>0.6</v>
      </c>
      <c r="I48">
        <v>12</v>
      </c>
      <c r="J48" t="s">
        <v>1300</v>
      </c>
      <c r="K48" t="s">
        <v>1257</v>
      </c>
      <c r="L48" t="s">
        <v>86</v>
      </c>
      <c r="M48" t="s">
        <v>1115</v>
      </c>
    </row>
    <row r="49" spans="1:13">
      <c r="A49" t="s">
        <v>1123</v>
      </c>
      <c r="B49" t="s">
        <v>992</v>
      </c>
      <c r="C49" t="s">
        <v>994</v>
      </c>
      <c r="D49" t="s">
        <v>44</v>
      </c>
      <c r="E49" t="s">
        <v>41</v>
      </c>
      <c r="F49" t="s">
        <v>42</v>
      </c>
      <c r="G49" t="s">
        <v>1003</v>
      </c>
      <c r="H49">
        <v>0.4</v>
      </c>
      <c r="I49" t="s">
        <v>1004</v>
      </c>
      <c r="J49" t="s">
        <v>1300</v>
      </c>
      <c r="K49" t="s">
        <v>1257</v>
      </c>
      <c r="L49" t="s">
        <v>86</v>
      </c>
      <c r="M49" t="s">
        <v>1115</v>
      </c>
    </row>
    <row r="50" spans="1:13">
      <c r="A50" t="s">
        <v>1116</v>
      </c>
      <c r="B50" t="s">
        <v>1104</v>
      </c>
      <c r="C50" t="s">
        <v>1106</v>
      </c>
      <c r="D50" t="s">
        <v>40</v>
      </c>
      <c r="E50" t="s">
        <v>41</v>
      </c>
      <c r="F50" t="s">
        <v>42</v>
      </c>
      <c r="G50" t="s">
        <v>1301</v>
      </c>
      <c r="H50">
        <v>0.3</v>
      </c>
      <c r="I50">
        <v>12</v>
      </c>
      <c r="J50" t="s">
        <v>1302</v>
      </c>
      <c r="K50" t="s">
        <v>1257</v>
      </c>
      <c r="L50" t="s">
        <v>86</v>
      </c>
      <c r="M50" t="s">
        <v>1115</v>
      </c>
    </row>
    <row r="51" spans="1:13">
      <c r="A51" t="s">
        <v>1116</v>
      </c>
      <c r="B51" t="s">
        <v>1104</v>
      </c>
      <c r="C51" t="s">
        <v>1106</v>
      </c>
      <c r="D51" t="s">
        <v>44</v>
      </c>
      <c r="E51" t="s">
        <v>355</v>
      </c>
      <c r="G51" t="s">
        <v>1303</v>
      </c>
      <c r="H51">
        <v>0.7</v>
      </c>
      <c r="I51">
        <v>17</v>
      </c>
      <c r="J51" t="s">
        <v>1302</v>
      </c>
      <c r="K51" t="s">
        <v>1257</v>
      </c>
      <c r="L51" t="s">
        <v>86</v>
      </c>
      <c r="M51" t="s">
        <v>1115</v>
      </c>
    </row>
    <row r="52" spans="1:13">
      <c r="A52" t="s">
        <v>1118</v>
      </c>
      <c r="B52" t="s">
        <v>1086</v>
      </c>
      <c r="C52" t="s">
        <v>1087</v>
      </c>
      <c r="D52" t="s">
        <v>40</v>
      </c>
      <c r="E52" t="s">
        <v>157</v>
      </c>
      <c r="F52" t="s">
        <v>158</v>
      </c>
      <c r="G52" t="s">
        <v>1304</v>
      </c>
      <c r="H52">
        <v>0.5</v>
      </c>
      <c r="I52" t="s">
        <v>1305</v>
      </c>
      <c r="J52" t="s">
        <v>1306</v>
      </c>
      <c r="K52" t="s">
        <v>1257</v>
      </c>
      <c r="L52" t="s">
        <v>86</v>
      </c>
      <c r="M52" t="s">
        <v>1115</v>
      </c>
    </row>
    <row r="53" spans="1:13">
      <c r="A53" t="s">
        <v>1118</v>
      </c>
      <c r="B53" t="s">
        <v>1086</v>
      </c>
      <c r="C53" t="s">
        <v>1087</v>
      </c>
      <c r="D53" t="s">
        <v>44</v>
      </c>
      <c r="E53" t="s">
        <v>157</v>
      </c>
      <c r="F53" t="s">
        <v>158</v>
      </c>
      <c r="G53" t="s">
        <v>1307</v>
      </c>
      <c r="H53">
        <v>0.5</v>
      </c>
      <c r="I53" t="s">
        <v>1308</v>
      </c>
      <c r="J53" t="s">
        <v>1306</v>
      </c>
      <c r="K53" t="s">
        <v>1257</v>
      </c>
      <c r="L53" t="s">
        <v>86</v>
      </c>
      <c r="M53" t="s">
        <v>1115</v>
      </c>
    </row>
    <row r="54" spans="1:13">
      <c r="A54" t="s">
        <v>1118</v>
      </c>
      <c r="B54" t="s">
        <v>1093</v>
      </c>
      <c r="C54" t="s">
        <v>1120</v>
      </c>
      <c r="D54" t="s">
        <v>40</v>
      </c>
      <c r="E54" t="s">
        <v>41</v>
      </c>
      <c r="G54" t="s">
        <v>1309</v>
      </c>
      <c r="H54">
        <v>0.5</v>
      </c>
      <c r="I54">
        <v>8</v>
      </c>
      <c r="J54" t="s">
        <v>1310</v>
      </c>
      <c r="K54" t="s">
        <v>1257</v>
      </c>
      <c r="L54" t="s">
        <v>86</v>
      </c>
      <c r="M54" t="s">
        <v>1115</v>
      </c>
    </row>
    <row r="55" spans="1:13">
      <c r="A55" t="s">
        <v>1118</v>
      </c>
      <c r="B55" t="s">
        <v>1093</v>
      </c>
      <c r="C55" t="s">
        <v>1120</v>
      </c>
      <c r="D55" t="s">
        <v>44</v>
      </c>
      <c r="E55" t="s">
        <v>157</v>
      </c>
      <c r="F55" t="s">
        <v>158</v>
      </c>
      <c r="G55" t="s">
        <v>1311</v>
      </c>
      <c r="H55">
        <v>0.5</v>
      </c>
      <c r="I55" t="s">
        <v>1312</v>
      </c>
      <c r="J55" t="s">
        <v>1310</v>
      </c>
      <c r="K55" t="s">
        <v>1257</v>
      </c>
      <c r="L55" t="s">
        <v>86</v>
      </c>
      <c r="M55" t="s">
        <v>1115</v>
      </c>
    </row>
    <row r="56" spans="1:13">
      <c r="A56" t="s">
        <v>1118</v>
      </c>
      <c r="B56" t="s">
        <v>1100</v>
      </c>
      <c r="C56" t="s">
        <v>1101</v>
      </c>
      <c r="D56" t="s">
        <v>40</v>
      </c>
      <c r="E56" t="s">
        <v>355</v>
      </c>
      <c r="G56" t="s">
        <v>1313</v>
      </c>
      <c r="H56">
        <v>0.5</v>
      </c>
      <c r="I56">
        <v>8</v>
      </c>
      <c r="J56" t="s">
        <v>1314</v>
      </c>
      <c r="K56" t="s">
        <v>1257</v>
      </c>
      <c r="L56" t="s">
        <v>86</v>
      </c>
      <c r="M56" t="s">
        <v>1115</v>
      </c>
    </row>
    <row r="57" spans="1:13">
      <c r="A57" t="s">
        <v>1118</v>
      </c>
      <c r="B57" t="s">
        <v>1100</v>
      </c>
      <c r="C57" t="s">
        <v>1101</v>
      </c>
      <c r="D57" t="s">
        <v>44</v>
      </c>
      <c r="E57" t="s">
        <v>157</v>
      </c>
      <c r="F57" t="s">
        <v>356</v>
      </c>
      <c r="G57" t="s">
        <v>1315</v>
      </c>
      <c r="H57">
        <v>0.5</v>
      </c>
      <c r="I57">
        <v>17</v>
      </c>
      <c r="J57" t="s">
        <v>1314</v>
      </c>
      <c r="K57" t="s">
        <v>1257</v>
      </c>
      <c r="L57" t="s">
        <v>86</v>
      </c>
      <c r="M57" t="s">
        <v>1115</v>
      </c>
    </row>
  </sheetData>
  <pageMargins left="0.7" right="0.7" top="0.75" bottom="0.75" header="0.3" footer="0.3"/>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97934D-3D95-403F-A8E4-DF26A5EDA21F}">
  <sheetPr codeName="Sheet36"/>
  <dimension ref="A1:I80"/>
  <sheetViews>
    <sheetView workbookViewId="0">
      <selection sqref="A1:I75"/>
    </sheetView>
  </sheetViews>
  <sheetFormatPr defaultColWidth="8.85546875" defaultRowHeight="15"/>
  <cols>
    <col min="1" max="1" width="49" bestFit="1" customWidth="1"/>
    <col min="2" max="2" width="24.42578125" bestFit="1" customWidth="1"/>
    <col min="3" max="3" width="14.85546875" bestFit="1" customWidth="1"/>
    <col min="4" max="4" width="65.42578125" bestFit="1" customWidth="1"/>
    <col min="5" max="5" width="13.42578125" bestFit="1" customWidth="1"/>
    <col min="6" max="6" width="81.140625" bestFit="1" customWidth="1"/>
    <col min="7" max="7" width="13.42578125" bestFit="1" customWidth="1"/>
    <col min="8" max="8" width="12.7109375" bestFit="1" customWidth="1"/>
    <col min="9" max="9" width="12.140625" bestFit="1" customWidth="1"/>
  </cols>
  <sheetData>
    <row r="1" spans="1:9">
      <c r="A1" t="s">
        <v>1109</v>
      </c>
      <c r="B1" t="s">
        <v>1110</v>
      </c>
      <c r="C1" t="s">
        <v>1080</v>
      </c>
      <c r="D1" t="s">
        <v>1081</v>
      </c>
      <c r="E1" t="s">
        <v>26</v>
      </c>
      <c r="F1" t="s">
        <v>27</v>
      </c>
      <c r="G1" t="s">
        <v>1111</v>
      </c>
      <c r="H1" t="s">
        <v>1195</v>
      </c>
      <c r="I1" t="s">
        <v>1112</v>
      </c>
    </row>
    <row r="2" spans="1:9">
      <c r="A2" t="s">
        <v>1123</v>
      </c>
      <c r="B2" t="s">
        <v>86</v>
      </c>
      <c r="C2" t="s">
        <v>178</v>
      </c>
      <c r="D2" t="s">
        <v>179</v>
      </c>
      <c r="E2" t="s">
        <v>28</v>
      </c>
      <c r="F2" t="s">
        <v>189</v>
      </c>
      <c r="G2" t="s">
        <v>1316</v>
      </c>
      <c r="H2" t="s">
        <v>1317</v>
      </c>
      <c r="I2" t="s">
        <v>1115</v>
      </c>
    </row>
    <row r="3" spans="1:9">
      <c r="A3" t="s">
        <v>1123</v>
      </c>
      <c r="B3" t="s">
        <v>86</v>
      </c>
      <c r="C3" t="s">
        <v>178</v>
      </c>
      <c r="D3" t="s">
        <v>179</v>
      </c>
      <c r="E3" t="s">
        <v>29</v>
      </c>
      <c r="F3" t="s">
        <v>190</v>
      </c>
      <c r="G3" t="s">
        <v>1316</v>
      </c>
      <c r="H3" t="s">
        <v>1317</v>
      </c>
      <c r="I3" t="s">
        <v>1115</v>
      </c>
    </row>
    <row r="4" spans="1:9">
      <c r="A4" t="s">
        <v>1123</v>
      </c>
      <c r="B4" t="s">
        <v>86</v>
      </c>
      <c r="C4" t="s">
        <v>217</v>
      </c>
      <c r="D4" t="s">
        <v>1091</v>
      </c>
      <c r="E4" t="s">
        <v>28</v>
      </c>
      <c r="F4" t="s">
        <v>233</v>
      </c>
      <c r="G4" t="s">
        <v>1318</v>
      </c>
      <c r="H4" t="s">
        <v>1317</v>
      </c>
      <c r="I4" t="s">
        <v>1115</v>
      </c>
    </row>
    <row r="5" spans="1:9">
      <c r="A5" t="s">
        <v>1123</v>
      </c>
      <c r="B5" t="s">
        <v>86</v>
      </c>
      <c r="C5" t="s">
        <v>217</v>
      </c>
      <c r="D5" t="s">
        <v>1091</v>
      </c>
      <c r="E5" t="s">
        <v>29</v>
      </c>
      <c r="F5" t="s">
        <v>234</v>
      </c>
      <c r="G5" t="s">
        <v>1318</v>
      </c>
      <c r="H5" t="s">
        <v>1317</v>
      </c>
      <c r="I5" t="s">
        <v>1115</v>
      </c>
    </row>
    <row r="6" spans="1:9">
      <c r="A6" t="s">
        <v>1123</v>
      </c>
      <c r="B6" t="s">
        <v>86</v>
      </c>
      <c r="C6" t="s">
        <v>217</v>
      </c>
      <c r="D6" t="s">
        <v>1091</v>
      </c>
      <c r="E6" t="s">
        <v>30</v>
      </c>
      <c r="F6" t="s">
        <v>235</v>
      </c>
      <c r="G6" t="s">
        <v>1318</v>
      </c>
      <c r="H6" t="s">
        <v>1317</v>
      </c>
      <c r="I6" t="s">
        <v>1115</v>
      </c>
    </row>
    <row r="7" spans="1:9">
      <c r="A7" t="s">
        <v>1118</v>
      </c>
      <c r="B7" t="s">
        <v>86</v>
      </c>
      <c r="C7" t="s">
        <v>1086</v>
      </c>
      <c r="D7" t="s">
        <v>1087</v>
      </c>
      <c r="E7" t="s">
        <v>28</v>
      </c>
      <c r="F7" t="s">
        <v>1319</v>
      </c>
      <c r="G7" t="s">
        <v>1320</v>
      </c>
      <c r="H7" t="s">
        <v>1317</v>
      </c>
      <c r="I7" t="s">
        <v>1115</v>
      </c>
    </row>
    <row r="8" spans="1:9">
      <c r="A8" t="s">
        <v>1118</v>
      </c>
      <c r="B8" t="s">
        <v>86</v>
      </c>
      <c r="C8" t="s">
        <v>1086</v>
      </c>
      <c r="D8" t="s">
        <v>1087</v>
      </c>
      <c r="E8" t="s">
        <v>29</v>
      </c>
      <c r="F8" t="s">
        <v>1321</v>
      </c>
      <c r="G8" t="s">
        <v>1320</v>
      </c>
      <c r="H8" t="s">
        <v>1317</v>
      </c>
      <c r="I8" t="s">
        <v>1115</v>
      </c>
    </row>
    <row r="9" spans="1:9">
      <c r="A9" t="s">
        <v>1118</v>
      </c>
      <c r="B9" t="s">
        <v>86</v>
      </c>
      <c r="C9" t="s">
        <v>1086</v>
      </c>
      <c r="D9" t="s">
        <v>1087</v>
      </c>
      <c r="E9" t="s">
        <v>30</v>
      </c>
      <c r="F9" t="s">
        <v>1322</v>
      </c>
      <c r="G9" t="s">
        <v>1320</v>
      </c>
      <c r="H9" t="s">
        <v>1317</v>
      </c>
      <c r="I9" t="s">
        <v>1115</v>
      </c>
    </row>
    <row r="10" spans="1:9">
      <c r="A10" t="s">
        <v>1123</v>
      </c>
      <c r="B10" t="s">
        <v>86</v>
      </c>
      <c r="C10" t="s">
        <v>279</v>
      </c>
      <c r="D10" t="s">
        <v>281</v>
      </c>
      <c r="E10" t="s">
        <v>28</v>
      </c>
      <c r="F10" t="s">
        <v>293</v>
      </c>
      <c r="G10" t="s">
        <v>1323</v>
      </c>
      <c r="H10" t="s">
        <v>1317</v>
      </c>
      <c r="I10" t="s">
        <v>1115</v>
      </c>
    </row>
    <row r="11" spans="1:9">
      <c r="A11" t="s">
        <v>1123</v>
      </c>
      <c r="B11" t="s">
        <v>86</v>
      </c>
      <c r="C11" t="s">
        <v>279</v>
      </c>
      <c r="D11" t="s">
        <v>281</v>
      </c>
      <c r="E11" t="s">
        <v>29</v>
      </c>
      <c r="F11" t="s">
        <v>295</v>
      </c>
      <c r="G11" t="s">
        <v>1323</v>
      </c>
      <c r="H11" t="s">
        <v>1317</v>
      </c>
      <c r="I11" t="s">
        <v>1115</v>
      </c>
    </row>
    <row r="12" spans="1:9">
      <c r="A12" t="s">
        <v>1123</v>
      </c>
      <c r="B12" t="s">
        <v>86</v>
      </c>
      <c r="C12" t="s">
        <v>279</v>
      </c>
      <c r="D12" t="s">
        <v>281</v>
      </c>
      <c r="E12" t="s">
        <v>30</v>
      </c>
      <c r="F12" t="s">
        <v>297</v>
      </c>
      <c r="G12" t="s">
        <v>1323</v>
      </c>
      <c r="H12" t="s">
        <v>1317</v>
      </c>
      <c r="I12" t="s">
        <v>1115</v>
      </c>
    </row>
    <row r="13" spans="1:9">
      <c r="A13" t="s">
        <v>1123</v>
      </c>
      <c r="B13" t="s">
        <v>86</v>
      </c>
      <c r="C13" t="s">
        <v>80</v>
      </c>
      <c r="D13" t="s">
        <v>1092</v>
      </c>
      <c r="E13" t="s">
        <v>28</v>
      </c>
      <c r="F13" t="s">
        <v>92</v>
      </c>
      <c r="G13" t="s">
        <v>1324</v>
      </c>
      <c r="H13" t="s">
        <v>1317</v>
      </c>
      <c r="I13" t="s">
        <v>1115</v>
      </c>
    </row>
    <row r="14" spans="1:9">
      <c r="A14" t="s">
        <v>1123</v>
      </c>
      <c r="B14" t="s">
        <v>86</v>
      </c>
      <c r="C14" t="s">
        <v>80</v>
      </c>
      <c r="D14" t="s">
        <v>1092</v>
      </c>
      <c r="E14" t="s">
        <v>29</v>
      </c>
      <c r="F14" t="s">
        <v>93</v>
      </c>
      <c r="G14" t="s">
        <v>1324</v>
      </c>
      <c r="H14" t="s">
        <v>1317</v>
      </c>
      <c r="I14" t="s">
        <v>1115</v>
      </c>
    </row>
    <row r="15" spans="1:9">
      <c r="A15" t="s">
        <v>1123</v>
      </c>
      <c r="B15" t="s">
        <v>86</v>
      </c>
      <c r="C15" t="s">
        <v>80</v>
      </c>
      <c r="D15" t="s">
        <v>1092</v>
      </c>
      <c r="E15" t="s">
        <v>30</v>
      </c>
      <c r="F15" t="s">
        <v>94</v>
      </c>
      <c r="G15" t="s">
        <v>1324</v>
      </c>
      <c r="H15" t="s">
        <v>1317</v>
      </c>
      <c r="I15" t="s">
        <v>1115</v>
      </c>
    </row>
    <row r="16" spans="1:9">
      <c r="A16" t="s">
        <v>1123</v>
      </c>
      <c r="B16" t="s">
        <v>86</v>
      </c>
      <c r="C16" t="s">
        <v>141</v>
      </c>
      <c r="D16" t="s">
        <v>143</v>
      </c>
      <c r="E16" t="s">
        <v>28</v>
      </c>
      <c r="F16" t="s">
        <v>155</v>
      </c>
      <c r="G16" t="s">
        <v>1325</v>
      </c>
      <c r="H16" t="s">
        <v>1317</v>
      </c>
      <c r="I16" t="s">
        <v>1115</v>
      </c>
    </row>
    <row r="17" spans="1:9">
      <c r="A17" t="s">
        <v>1123</v>
      </c>
      <c r="B17" t="s">
        <v>86</v>
      </c>
      <c r="C17" t="s">
        <v>141</v>
      </c>
      <c r="D17" t="s">
        <v>143</v>
      </c>
      <c r="E17" t="s">
        <v>29</v>
      </c>
      <c r="F17" t="s">
        <v>156</v>
      </c>
      <c r="G17" t="s">
        <v>1325</v>
      </c>
      <c r="H17" t="s">
        <v>1317</v>
      </c>
      <c r="I17" t="s">
        <v>1115</v>
      </c>
    </row>
    <row r="18" spans="1:9">
      <c r="A18" t="s">
        <v>1123</v>
      </c>
      <c r="B18" t="s">
        <v>86</v>
      </c>
      <c r="C18" t="s">
        <v>339</v>
      </c>
      <c r="D18" t="s">
        <v>341</v>
      </c>
      <c r="E18" t="s">
        <v>28</v>
      </c>
      <c r="F18" t="s">
        <v>351</v>
      </c>
      <c r="G18" t="s">
        <v>1326</v>
      </c>
      <c r="H18" t="s">
        <v>1317</v>
      </c>
      <c r="I18" t="s">
        <v>1115</v>
      </c>
    </row>
    <row r="19" spans="1:9">
      <c r="A19" t="s">
        <v>1123</v>
      </c>
      <c r="B19" t="s">
        <v>86</v>
      </c>
      <c r="C19" t="s">
        <v>339</v>
      </c>
      <c r="D19" t="s">
        <v>341</v>
      </c>
      <c r="E19" t="s">
        <v>29</v>
      </c>
      <c r="F19" t="s">
        <v>352</v>
      </c>
      <c r="G19" t="s">
        <v>1326</v>
      </c>
      <c r="H19" t="s">
        <v>1317</v>
      </c>
      <c r="I19" t="s">
        <v>1115</v>
      </c>
    </row>
    <row r="20" spans="1:9">
      <c r="A20" t="s">
        <v>1123</v>
      </c>
      <c r="B20" t="s">
        <v>86</v>
      </c>
      <c r="C20" t="s">
        <v>339</v>
      </c>
      <c r="D20" t="s">
        <v>341</v>
      </c>
      <c r="E20" t="s">
        <v>30</v>
      </c>
      <c r="F20" t="s">
        <v>353</v>
      </c>
      <c r="G20" t="s">
        <v>1326</v>
      </c>
      <c r="H20" t="s">
        <v>1317</v>
      </c>
      <c r="I20" t="s">
        <v>1115</v>
      </c>
    </row>
    <row r="21" spans="1:9">
      <c r="A21" t="s">
        <v>1123</v>
      </c>
      <c r="B21" t="s">
        <v>86</v>
      </c>
      <c r="C21" t="s">
        <v>473</v>
      </c>
      <c r="D21" t="s">
        <v>474</v>
      </c>
      <c r="E21" t="s">
        <v>28</v>
      </c>
      <c r="F21" t="s">
        <v>486</v>
      </c>
      <c r="G21" t="s">
        <v>1327</v>
      </c>
      <c r="H21" t="s">
        <v>1317</v>
      </c>
      <c r="I21" t="s">
        <v>1115</v>
      </c>
    </row>
    <row r="22" spans="1:9">
      <c r="A22" t="s">
        <v>1123</v>
      </c>
      <c r="B22" t="s">
        <v>86</v>
      </c>
      <c r="C22" t="s">
        <v>473</v>
      </c>
      <c r="D22" t="s">
        <v>474</v>
      </c>
      <c r="E22" t="s">
        <v>29</v>
      </c>
      <c r="F22" t="s">
        <v>487</v>
      </c>
      <c r="G22" t="s">
        <v>1327</v>
      </c>
      <c r="H22" t="s">
        <v>1317</v>
      </c>
      <c r="I22" t="s">
        <v>1115</v>
      </c>
    </row>
    <row r="23" spans="1:9">
      <c r="A23" t="s">
        <v>1118</v>
      </c>
      <c r="B23" t="s">
        <v>86</v>
      </c>
      <c r="C23" t="s">
        <v>1093</v>
      </c>
      <c r="D23" t="s">
        <v>1120</v>
      </c>
      <c r="E23" t="s">
        <v>28</v>
      </c>
      <c r="F23" t="s">
        <v>1328</v>
      </c>
      <c r="G23" t="s">
        <v>1329</v>
      </c>
      <c r="H23" t="s">
        <v>1317</v>
      </c>
      <c r="I23" t="s">
        <v>1115</v>
      </c>
    </row>
    <row r="24" spans="1:9">
      <c r="A24" t="s">
        <v>1118</v>
      </c>
      <c r="B24" t="s">
        <v>86</v>
      </c>
      <c r="C24" t="s">
        <v>1093</v>
      </c>
      <c r="D24" t="s">
        <v>1120</v>
      </c>
      <c r="E24" t="s">
        <v>29</v>
      </c>
      <c r="F24" t="s">
        <v>1330</v>
      </c>
      <c r="G24" t="s">
        <v>1329</v>
      </c>
      <c r="H24" t="s">
        <v>1317</v>
      </c>
      <c r="I24" t="s">
        <v>1115</v>
      </c>
    </row>
    <row r="25" spans="1:9">
      <c r="A25" t="s">
        <v>1123</v>
      </c>
      <c r="B25" t="s">
        <v>86</v>
      </c>
      <c r="C25" t="s">
        <v>368</v>
      </c>
      <c r="D25" t="s">
        <v>370</v>
      </c>
      <c r="E25" t="s">
        <v>28</v>
      </c>
      <c r="F25" t="s">
        <v>377</v>
      </c>
      <c r="G25" t="s">
        <v>1331</v>
      </c>
      <c r="H25" t="s">
        <v>1317</v>
      </c>
      <c r="I25" t="s">
        <v>1115</v>
      </c>
    </row>
    <row r="26" spans="1:9">
      <c r="A26" t="s">
        <v>1123</v>
      </c>
      <c r="B26" t="s">
        <v>86</v>
      </c>
      <c r="C26" t="s">
        <v>368</v>
      </c>
      <c r="D26" t="s">
        <v>370</v>
      </c>
      <c r="E26" t="s">
        <v>29</v>
      </c>
      <c r="F26" t="s">
        <v>378</v>
      </c>
      <c r="G26" t="s">
        <v>1331</v>
      </c>
      <c r="H26" t="s">
        <v>1317</v>
      </c>
      <c r="I26" t="s">
        <v>1115</v>
      </c>
    </row>
    <row r="27" spans="1:9">
      <c r="A27" t="s">
        <v>1123</v>
      </c>
      <c r="B27" t="s">
        <v>86</v>
      </c>
      <c r="C27" t="s">
        <v>368</v>
      </c>
      <c r="D27" t="s">
        <v>370</v>
      </c>
      <c r="E27" t="s">
        <v>30</v>
      </c>
      <c r="F27" t="s">
        <v>379</v>
      </c>
      <c r="G27" t="s">
        <v>1331</v>
      </c>
      <c r="H27" t="s">
        <v>1317</v>
      </c>
      <c r="I27" t="s">
        <v>1115</v>
      </c>
    </row>
    <row r="28" spans="1:9">
      <c r="A28" t="s">
        <v>1123</v>
      </c>
      <c r="B28" t="s">
        <v>86</v>
      </c>
      <c r="C28" t="s">
        <v>396</v>
      </c>
      <c r="D28" t="s">
        <v>398</v>
      </c>
      <c r="E28" t="s">
        <v>28</v>
      </c>
      <c r="F28" t="s">
        <v>409</v>
      </c>
      <c r="G28" t="s">
        <v>1332</v>
      </c>
      <c r="H28" t="s">
        <v>1317</v>
      </c>
      <c r="I28" t="s">
        <v>1115</v>
      </c>
    </row>
    <row r="29" spans="1:9">
      <c r="A29" t="s">
        <v>1123</v>
      </c>
      <c r="B29" t="s">
        <v>86</v>
      </c>
      <c r="C29" t="s">
        <v>396</v>
      </c>
      <c r="D29" t="s">
        <v>398</v>
      </c>
      <c r="E29" t="s">
        <v>29</v>
      </c>
      <c r="F29" t="s">
        <v>411</v>
      </c>
      <c r="G29" t="s">
        <v>1332</v>
      </c>
      <c r="H29" t="s">
        <v>1317</v>
      </c>
      <c r="I29" t="s">
        <v>1115</v>
      </c>
    </row>
    <row r="30" spans="1:9">
      <c r="A30" t="s">
        <v>1123</v>
      </c>
      <c r="B30" t="s">
        <v>86</v>
      </c>
      <c r="C30" t="s">
        <v>396</v>
      </c>
      <c r="D30" t="s">
        <v>398</v>
      </c>
      <c r="E30" t="s">
        <v>30</v>
      </c>
      <c r="F30" t="s">
        <v>413</v>
      </c>
      <c r="G30" t="s">
        <v>1332</v>
      </c>
      <c r="H30" t="s">
        <v>1317</v>
      </c>
      <c r="I30" t="s">
        <v>1115</v>
      </c>
    </row>
    <row r="31" spans="1:9">
      <c r="A31" t="s">
        <v>1123</v>
      </c>
      <c r="B31" t="s">
        <v>86</v>
      </c>
      <c r="C31" t="s">
        <v>438</v>
      </c>
      <c r="D31" t="s">
        <v>1096</v>
      </c>
      <c r="E31" t="s">
        <v>28</v>
      </c>
      <c r="F31" t="s">
        <v>445</v>
      </c>
      <c r="G31" t="s">
        <v>1333</v>
      </c>
      <c r="H31" t="s">
        <v>1317</v>
      </c>
      <c r="I31" t="s">
        <v>1115</v>
      </c>
    </row>
    <row r="32" spans="1:9">
      <c r="A32" t="s">
        <v>1123</v>
      </c>
      <c r="B32" t="s">
        <v>86</v>
      </c>
      <c r="C32" t="s">
        <v>438</v>
      </c>
      <c r="D32" t="s">
        <v>1096</v>
      </c>
      <c r="E32" t="s">
        <v>29</v>
      </c>
      <c r="F32" t="s">
        <v>446</v>
      </c>
      <c r="G32" t="s">
        <v>1333</v>
      </c>
      <c r="H32" t="s">
        <v>1317</v>
      </c>
      <c r="I32" t="s">
        <v>1115</v>
      </c>
    </row>
    <row r="33" spans="1:9">
      <c r="A33" t="s">
        <v>1118</v>
      </c>
      <c r="B33" t="s">
        <v>86</v>
      </c>
      <c r="C33" t="s">
        <v>1100</v>
      </c>
      <c r="D33" t="s">
        <v>1101</v>
      </c>
      <c r="E33" t="s">
        <v>28</v>
      </c>
      <c r="F33" t="s">
        <v>1334</v>
      </c>
      <c r="G33" t="s">
        <v>1335</v>
      </c>
      <c r="H33" t="s">
        <v>1317</v>
      </c>
      <c r="I33" t="s">
        <v>1115</v>
      </c>
    </row>
    <row r="34" spans="1:9">
      <c r="A34" t="s">
        <v>1118</v>
      </c>
      <c r="B34" t="s">
        <v>86</v>
      </c>
      <c r="C34" t="s">
        <v>1100</v>
      </c>
      <c r="D34" t="s">
        <v>1101</v>
      </c>
      <c r="E34" t="s">
        <v>29</v>
      </c>
      <c r="F34" t="s">
        <v>1336</v>
      </c>
      <c r="G34" t="s">
        <v>1335</v>
      </c>
      <c r="H34" t="s">
        <v>1317</v>
      </c>
      <c r="I34" t="s">
        <v>1115</v>
      </c>
    </row>
    <row r="35" spans="1:9">
      <c r="A35" t="s">
        <v>1118</v>
      </c>
      <c r="B35" t="s">
        <v>86</v>
      </c>
      <c r="C35" t="s">
        <v>1100</v>
      </c>
      <c r="D35" t="s">
        <v>1101</v>
      </c>
      <c r="E35" t="s">
        <v>30</v>
      </c>
      <c r="F35" t="s">
        <v>1337</v>
      </c>
      <c r="G35" t="s">
        <v>1335</v>
      </c>
      <c r="H35" t="s">
        <v>1317</v>
      </c>
      <c r="I35" t="s">
        <v>1115</v>
      </c>
    </row>
    <row r="36" spans="1:9">
      <c r="A36" t="s">
        <v>1123</v>
      </c>
      <c r="B36" t="s">
        <v>86</v>
      </c>
      <c r="C36" t="s">
        <v>877</v>
      </c>
      <c r="D36" t="s">
        <v>879</v>
      </c>
      <c r="E36" t="s">
        <v>28</v>
      </c>
      <c r="F36" t="s">
        <v>896</v>
      </c>
      <c r="G36" t="s">
        <v>1338</v>
      </c>
      <c r="H36" t="s">
        <v>1317</v>
      </c>
      <c r="I36" t="s">
        <v>1115</v>
      </c>
    </row>
    <row r="37" spans="1:9">
      <c r="A37" t="s">
        <v>1123</v>
      </c>
      <c r="B37" t="s">
        <v>86</v>
      </c>
      <c r="C37" t="s">
        <v>877</v>
      </c>
      <c r="D37" t="s">
        <v>879</v>
      </c>
      <c r="E37" t="s">
        <v>29</v>
      </c>
      <c r="F37" t="s">
        <v>898</v>
      </c>
      <c r="G37" t="s">
        <v>1338</v>
      </c>
      <c r="H37" t="s">
        <v>1317</v>
      </c>
      <c r="I37" t="s">
        <v>1115</v>
      </c>
    </row>
    <row r="38" spans="1:9">
      <c r="A38" t="s">
        <v>1123</v>
      </c>
      <c r="B38" t="s">
        <v>86</v>
      </c>
      <c r="C38" t="s">
        <v>877</v>
      </c>
      <c r="D38" t="s">
        <v>879</v>
      </c>
      <c r="E38" t="s">
        <v>30</v>
      </c>
      <c r="F38" t="s">
        <v>900</v>
      </c>
      <c r="G38" t="s">
        <v>1338</v>
      </c>
      <c r="H38" t="s">
        <v>1317</v>
      </c>
      <c r="I38" t="s">
        <v>1115</v>
      </c>
    </row>
    <row r="39" spans="1:9">
      <c r="A39" t="s">
        <v>1123</v>
      </c>
      <c r="B39" t="s">
        <v>86</v>
      </c>
      <c r="C39" t="s">
        <v>930</v>
      </c>
      <c r="D39" t="s">
        <v>932</v>
      </c>
      <c r="E39" t="s">
        <v>28</v>
      </c>
      <c r="F39" t="s">
        <v>937</v>
      </c>
      <c r="G39" t="s">
        <v>1339</v>
      </c>
      <c r="H39" t="s">
        <v>1317</v>
      </c>
      <c r="I39" t="s">
        <v>1115</v>
      </c>
    </row>
    <row r="40" spans="1:9">
      <c r="A40" t="s">
        <v>1123</v>
      </c>
      <c r="B40" t="s">
        <v>86</v>
      </c>
      <c r="C40" t="s">
        <v>930</v>
      </c>
      <c r="D40" t="s">
        <v>932</v>
      </c>
      <c r="E40" t="s">
        <v>29</v>
      </c>
      <c r="F40" t="s">
        <v>938</v>
      </c>
      <c r="G40" t="s">
        <v>1339</v>
      </c>
      <c r="H40" t="s">
        <v>1317</v>
      </c>
      <c r="I40" t="s">
        <v>1115</v>
      </c>
    </row>
    <row r="41" spans="1:9">
      <c r="A41" t="s">
        <v>1123</v>
      </c>
      <c r="B41" t="s">
        <v>86</v>
      </c>
      <c r="C41" t="s">
        <v>930</v>
      </c>
      <c r="D41" t="s">
        <v>932</v>
      </c>
      <c r="E41" t="s">
        <v>30</v>
      </c>
      <c r="F41" t="s">
        <v>939</v>
      </c>
      <c r="G41" t="s">
        <v>1339</v>
      </c>
      <c r="H41" t="s">
        <v>1317</v>
      </c>
      <c r="I41" t="s">
        <v>1115</v>
      </c>
    </row>
    <row r="42" spans="1:9">
      <c r="A42" t="s">
        <v>1123</v>
      </c>
      <c r="B42" t="s">
        <v>86</v>
      </c>
      <c r="C42" t="s">
        <v>965</v>
      </c>
      <c r="D42" t="s">
        <v>967</v>
      </c>
      <c r="E42" t="s">
        <v>28</v>
      </c>
      <c r="F42" t="s">
        <v>976</v>
      </c>
      <c r="G42" t="s">
        <v>1340</v>
      </c>
      <c r="H42" t="s">
        <v>1317</v>
      </c>
      <c r="I42" t="s">
        <v>1115</v>
      </c>
    </row>
    <row r="43" spans="1:9">
      <c r="A43" t="s">
        <v>1123</v>
      </c>
      <c r="B43" t="s">
        <v>86</v>
      </c>
      <c r="C43" t="s">
        <v>965</v>
      </c>
      <c r="D43" t="s">
        <v>967</v>
      </c>
      <c r="E43" t="s">
        <v>29</v>
      </c>
      <c r="F43" t="s">
        <v>977</v>
      </c>
      <c r="G43" t="s">
        <v>1340</v>
      </c>
      <c r="H43" t="s">
        <v>1317</v>
      </c>
      <c r="I43" t="s">
        <v>1115</v>
      </c>
    </row>
    <row r="44" spans="1:9">
      <c r="A44" t="s">
        <v>1123</v>
      </c>
      <c r="B44" t="s">
        <v>86</v>
      </c>
      <c r="C44" t="s">
        <v>965</v>
      </c>
      <c r="D44" t="s">
        <v>967</v>
      </c>
      <c r="E44" t="s">
        <v>30</v>
      </c>
      <c r="F44" t="s">
        <v>978</v>
      </c>
      <c r="G44" t="s">
        <v>1340</v>
      </c>
      <c r="H44" t="s">
        <v>1317</v>
      </c>
      <c r="I44" t="s">
        <v>1115</v>
      </c>
    </row>
    <row r="45" spans="1:9">
      <c r="A45" t="s">
        <v>1123</v>
      </c>
      <c r="B45" t="s">
        <v>86</v>
      </c>
      <c r="C45" t="s">
        <v>992</v>
      </c>
      <c r="D45" t="s">
        <v>994</v>
      </c>
      <c r="E45" t="s">
        <v>28</v>
      </c>
      <c r="F45" t="s">
        <v>1000</v>
      </c>
      <c r="G45" t="s">
        <v>1341</v>
      </c>
      <c r="H45" t="s">
        <v>1317</v>
      </c>
      <c r="I45" t="s">
        <v>1115</v>
      </c>
    </row>
    <row r="46" spans="1:9">
      <c r="A46" t="s">
        <v>1123</v>
      </c>
      <c r="B46" t="s">
        <v>86</v>
      </c>
      <c r="C46" t="s">
        <v>992</v>
      </c>
      <c r="D46" t="s">
        <v>994</v>
      </c>
      <c r="E46" t="s">
        <v>29</v>
      </c>
      <c r="F46" t="s">
        <v>1001</v>
      </c>
      <c r="G46" t="s">
        <v>1341</v>
      </c>
      <c r="H46" t="s">
        <v>1317</v>
      </c>
      <c r="I46" t="s">
        <v>1115</v>
      </c>
    </row>
    <row r="47" spans="1:9">
      <c r="A47" t="s">
        <v>1113</v>
      </c>
      <c r="B47" t="s">
        <v>86</v>
      </c>
      <c r="C47" t="s">
        <v>1097</v>
      </c>
      <c r="D47" t="s">
        <v>1098</v>
      </c>
      <c r="E47" t="s">
        <v>28</v>
      </c>
      <c r="F47" t="s">
        <v>1342</v>
      </c>
      <c r="G47" t="s">
        <v>1343</v>
      </c>
      <c r="H47" t="s">
        <v>1317</v>
      </c>
      <c r="I47" t="s">
        <v>1115</v>
      </c>
    </row>
    <row r="48" spans="1:9">
      <c r="A48" t="s">
        <v>1113</v>
      </c>
      <c r="B48" t="s">
        <v>86</v>
      </c>
      <c r="C48" t="s">
        <v>1097</v>
      </c>
      <c r="D48" t="s">
        <v>1098</v>
      </c>
      <c r="E48" t="s">
        <v>29</v>
      </c>
      <c r="F48" t="s">
        <v>1344</v>
      </c>
      <c r="G48" t="s">
        <v>1343</v>
      </c>
      <c r="H48" t="s">
        <v>1317</v>
      </c>
      <c r="I48" t="s">
        <v>1115</v>
      </c>
    </row>
    <row r="49" spans="1:9">
      <c r="A49" t="s">
        <v>1113</v>
      </c>
      <c r="B49" t="s">
        <v>86</v>
      </c>
      <c r="C49" t="s">
        <v>1097</v>
      </c>
      <c r="D49" t="s">
        <v>1098</v>
      </c>
      <c r="E49" t="s">
        <v>30</v>
      </c>
      <c r="F49" t="s">
        <v>1345</v>
      </c>
      <c r="G49" t="s">
        <v>1343</v>
      </c>
      <c r="H49" t="s">
        <v>1317</v>
      </c>
      <c r="I49" t="s">
        <v>1115</v>
      </c>
    </row>
    <row r="50" spans="1:9">
      <c r="A50" t="s">
        <v>1116</v>
      </c>
      <c r="B50" t="s">
        <v>86</v>
      </c>
      <c r="C50" t="s">
        <v>1104</v>
      </c>
      <c r="D50" t="s">
        <v>1106</v>
      </c>
      <c r="E50" t="s">
        <v>28</v>
      </c>
      <c r="F50" t="s">
        <v>1346</v>
      </c>
      <c r="G50" t="s">
        <v>1347</v>
      </c>
      <c r="H50" t="s">
        <v>1317</v>
      </c>
      <c r="I50" t="s">
        <v>1115</v>
      </c>
    </row>
    <row r="51" spans="1:9">
      <c r="A51" t="s">
        <v>1116</v>
      </c>
      <c r="B51" t="s">
        <v>86</v>
      </c>
      <c r="C51" t="s">
        <v>1104</v>
      </c>
      <c r="D51" t="s">
        <v>1106</v>
      </c>
      <c r="E51" t="s">
        <v>29</v>
      </c>
      <c r="F51" t="s">
        <v>1348</v>
      </c>
      <c r="G51" t="s">
        <v>1347</v>
      </c>
      <c r="H51" t="s">
        <v>1317</v>
      </c>
      <c r="I51" t="s">
        <v>1115</v>
      </c>
    </row>
    <row r="52" spans="1:9">
      <c r="A52" t="s">
        <v>1116</v>
      </c>
      <c r="B52" t="s">
        <v>86</v>
      </c>
      <c r="C52" t="s">
        <v>1104</v>
      </c>
      <c r="D52" t="s">
        <v>1106</v>
      </c>
      <c r="E52" t="s">
        <v>30</v>
      </c>
      <c r="F52" t="s">
        <v>1349</v>
      </c>
      <c r="G52" t="s">
        <v>1347</v>
      </c>
      <c r="H52" t="s">
        <v>1317</v>
      </c>
      <c r="I52" t="s">
        <v>1115</v>
      </c>
    </row>
    <row r="53" spans="1:9">
      <c r="A53" t="s">
        <v>1123</v>
      </c>
      <c r="B53" t="s">
        <v>86</v>
      </c>
      <c r="C53" t="s">
        <v>526</v>
      </c>
      <c r="D53" t="s">
        <v>1103</v>
      </c>
      <c r="E53" t="s">
        <v>28</v>
      </c>
      <c r="F53" t="s">
        <v>534</v>
      </c>
      <c r="G53" t="s">
        <v>1350</v>
      </c>
      <c r="H53" t="s">
        <v>1317</v>
      </c>
      <c r="I53" t="s">
        <v>1115</v>
      </c>
    </row>
    <row r="54" spans="1:9">
      <c r="A54" t="s">
        <v>1123</v>
      </c>
      <c r="B54" t="s">
        <v>86</v>
      </c>
      <c r="C54" t="s">
        <v>526</v>
      </c>
      <c r="D54" t="s">
        <v>1103</v>
      </c>
      <c r="E54" t="s">
        <v>29</v>
      </c>
      <c r="F54" t="s">
        <v>535</v>
      </c>
      <c r="G54" t="s">
        <v>1350</v>
      </c>
      <c r="H54" t="s">
        <v>1317</v>
      </c>
      <c r="I54" t="s">
        <v>1115</v>
      </c>
    </row>
    <row r="55" spans="1:9">
      <c r="A55" t="s">
        <v>1123</v>
      </c>
      <c r="B55" t="s">
        <v>86</v>
      </c>
      <c r="C55" t="s">
        <v>526</v>
      </c>
      <c r="D55" t="s">
        <v>1103</v>
      </c>
      <c r="E55" t="s">
        <v>30</v>
      </c>
      <c r="F55" t="s">
        <v>536</v>
      </c>
      <c r="G55" t="s">
        <v>1350</v>
      </c>
      <c r="H55" t="s">
        <v>1317</v>
      </c>
      <c r="I55" t="s">
        <v>1115</v>
      </c>
    </row>
    <row r="56" spans="1:9">
      <c r="A56" t="s">
        <v>1123</v>
      </c>
      <c r="B56" t="s">
        <v>86</v>
      </c>
      <c r="C56" t="s">
        <v>545</v>
      </c>
      <c r="D56" t="s">
        <v>546</v>
      </c>
      <c r="E56" t="s">
        <v>28</v>
      </c>
      <c r="F56" t="s">
        <v>560</v>
      </c>
      <c r="G56" t="s">
        <v>1351</v>
      </c>
      <c r="H56" t="s">
        <v>1317</v>
      </c>
      <c r="I56" t="s">
        <v>1115</v>
      </c>
    </row>
    <row r="57" spans="1:9">
      <c r="A57" t="s">
        <v>1123</v>
      </c>
      <c r="B57" t="s">
        <v>86</v>
      </c>
      <c r="C57" t="s">
        <v>545</v>
      </c>
      <c r="D57" t="s">
        <v>546</v>
      </c>
      <c r="E57" t="s">
        <v>29</v>
      </c>
      <c r="F57" t="s">
        <v>560</v>
      </c>
      <c r="G57" t="s">
        <v>1351</v>
      </c>
      <c r="H57" t="s">
        <v>1317</v>
      </c>
      <c r="I57" t="s">
        <v>1115</v>
      </c>
    </row>
    <row r="58" spans="1:9">
      <c r="A58" t="s">
        <v>1123</v>
      </c>
      <c r="B58" t="s">
        <v>86</v>
      </c>
      <c r="C58" t="s">
        <v>545</v>
      </c>
      <c r="D58" t="s">
        <v>546</v>
      </c>
      <c r="E58" t="s">
        <v>30</v>
      </c>
      <c r="F58" t="s">
        <v>562</v>
      </c>
      <c r="G58" t="s">
        <v>1351</v>
      </c>
      <c r="H58" t="s">
        <v>1317</v>
      </c>
      <c r="I58" t="s">
        <v>1115</v>
      </c>
    </row>
    <row r="59" spans="1:9">
      <c r="A59" t="s">
        <v>1123</v>
      </c>
      <c r="B59" t="s">
        <v>86</v>
      </c>
      <c r="C59" t="s">
        <v>545</v>
      </c>
      <c r="D59" t="s">
        <v>546</v>
      </c>
      <c r="E59" t="s">
        <v>31</v>
      </c>
      <c r="F59" t="s">
        <v>564</v>
      </c>
      <c r="G59" t="s">
        <v>1351</v>
      </c>
      <c r="H59" t="s">
        <v>1317</v>
      </c>
      <c r="I59" t="s">
        <v>1115</v>
      </c>
    </row>
    <row r="60" spans="1:9">
      <c r="A60" t="s">
        <v>1123</v>
      </c>
      <c r="B60" t="s">
        <v>86</v>
      </c>
      <c r="C60" t="s">
        <v>601</v>
      </c>
      <c r="D60" t="s">
        <v>603</v>
      </c>
      <c r="E60" t="s">
        <v>28</v>
      </c>
      <c r="F60" t="s">
        <v>609</v>
      </c>
      <c r="G60" t="s">
        <v>1352</v>
      </c>
      <c r="H60" t="s">
        <v>1317</v>
      </c>
      <c r="I60" t="s">
        <v>1115</v>
      </c>
    </row>
    <row r="61" spans="1:9">
      <c r="A61" t="s">
        <v>1123</v>
      </c>
      <c r="B61" t="s">
        <v>86</v>
      </c>
      <c r="C61" t="s">
        <v>601</v>
      </c>
      <c r="D61" t="s">
        <v>603</v>
      </c>
      <c r="E61" t="s">
        <v>29</v>
      </c>
      <c r="F61" t="s">
        <v>610</v>
      </c>
      <c r="G61" t="s">
        <v>1352</v>
      </c>
      <c r="H61" t="s">
        <v>1317</v>
      </c>
      <c r="I61" t="s">
        <v>1115</v>
      </c>
    </row>
    <row r="62" spans="1:9">
      <c r="A62" t="s">
        <v>1123</v>
      </c>
      <c r="B62" t="s">
        <v>86</v>
      </c>
      <c r="C62" t="s">
        <v>601</v>
      </c>
      <c r="D62" t="s">
        <v>603</v>
      </c>
      <c r="E62" t="s">
        <v>30</v>
      </c>
      <c r="F62" t="s">
        <v>611</v>
      </c>
      <c r="G62" t="s">
        <v>1352</v>
      </c>
      <c r="H62" t="s">
        <v>1317</v>
      </c>
      <c r="I62" t="s">
        <v>1115</v>
      </c>
    </row>
    <row r="63" spans="1:9">
      <c r="A63" t="s">
        <v>1123</v>
      </c>
      <c r="B63" t="s">
        <v>86</v>
      </c>
      <c r="C63" t="s">
        <v>641</v>
      </c>
      <c r="D63" t="s">
        <v>643</v>
      </c>
      <c r="E63" t="s">
        <v>28</v>
      </c>
      <c r="F63" t="s">
        <v>1353</v>
      </c>
      <c r="G63" t="s">
        <v>1354</v>
      </c>
      <c r="H63" t="s">
        <v>1317</v>
      </c>
      <c r="I63" t="s">
        <v>1115</v>
      </c>
    </row>
    <row r="64" spans="1:9">
      <c r="A64" t="s">
        <v>1123</v>
      </c>
      <c r="B64" t="s">
        <v>86</v>
      </c>
      <c r="C64" t="s">
        <v>641</v>
      </c>
      <c r="D64" t="s">
        <v>643</v>
      </c>
      <c r="E64" t="s">
        <v>29</v>
      </c>
      <c r="F64" t="s">
        <v>1355</v>
      </c>
      <c r="G64" t="s">
        <v>1354</v>
      </c>
      <c r="H64" t="s">
        <v>1317</v>
      </c>
      <c r="I64" t="s">
        <v>1115</v>
      </c>
    </row>
    <row r="65" spans="1:9">
      <c r="A65" t="s">
        <v>1123</v>
      </c>
      <c r="B65" t="s">
        <v>86</v>
      </c>
      <c r="C65" t="s">
        <v>641</v>
      </c>
      <c r="D65" t="s">
        <v>643</v>
      </c>
      <c r="E65" t="s">
        <v>30</v>
      </c>
      <c r="F65" t="s">
        <v>1356</v>
      </c>
      <c r="G65" t="s">
        <v>1354</v>
      </c>
      <c r="H65" t="s">
        <v>1317</v>
      </c>
      <c r="I65" t="s">
        <v>1115</v>
      </c>
    </row>
    <row r="66" spans="1:9">
      <c r="A66" t="s">
        <v>1123</v>
      </c>
      <c r="B66" t="s">
        <v>86</v>
      </c>
      <c r="C66" t="s">
        <v>678</v>
      </c>
      <c r="D66" t="s">
        <v>680</v>
      </c>
      <c r="E66" t="s">
        <v>28</v>
      </c>
      <c r="F66" t="s">
        <v>691</v>
      </c>
      <c r="G66" t="s">
        <v>1357</v>
      </c>
      <c r="H66" t="s">
        <v>1317</v>
      </c>
      <c r="I66" t="s">
        <v>1115</v>
      </c>
    </row>
    <row r="67" spans="1:9">
      <c r="A67" t="s">
        <v>1123</v>
      </c>
      <c r="B67" t="s">
        <v>86</v>
      </c>
      <c r="C67" t="s">
        <v>678</v>
      </c>
      <c r="D67" t="s">
        <v>680</v>
      </c>
      <c r="E67" t="s">
        <v>29</v>
      </c>
      <c r="F67" t="s">
        <v>693</v>
      </c>
      <c r="G67" t="s">
        <v>1357</v>
      </c>
      <c r="H67" t="s">
        <v>1317</v>
      </c>
      <c r="I67" t="s">
        <v>1115</v>
      </c>
    </row>
    <row r="68" spans="1:9">
      <c r="A68" t="s">
        <v>1123</v>
      </c>
      <c r="B68" t="s">
        <v>86</v>
      </c>
      <c r="C68" t="s">
        <v>720</v>
      </c>
      <c r="D68" t="s">
        <v>6</v>
      </c>
      <c r="E68" t="s">
        <v>28</v>
      </c>
      <c r="F68" t="s">
        <v>733</v>
      </c>
      <c r="G68" t="s">
        <v>1358</v>
      </c>
      <c r="H68" t="s">
        <v>1317</v>
      </c>
      <c r="I68" t="s">
        <v>1115</v>
      </c>
    </row>
    <row r="69" spans="1:9">
      <c r="A69" t="s">
        <v>1123</v>
      </c>
      <c r="B69" t="s">
        <v>86</v>
      </c>
      <c r="C69" t="s">
        <v>720</v>
      </c>
      <c r="D69" t="s">
        <v>6</v>
      </c>
      <c r="E69" t="s">
        <v>29</v>
      </c>
      <c r="F69" t="s">
        <v>734</v>
      </c>
      <c r="G69" t="s">
        <v>1358</v>
      </c>
      <c r="H69" t="s">
        <v>1317</v>
      </c>
      <c r="I69" t="s">
        <v>1115</v>
      </c>
    </row>
    <row r="70" spans="1:9">
      <c r="A70" t="s">
        <v>1123</v>
      </c>
      <c r="B70" t="s">
        <v>86</v>
      </c>
      <c r="C70" t="s">
        <v>720</v>
      </c>
      <c r="D70" t="s">
        <v>6</v>
      </c>
      <c r="E70" t="s">
        <v>30</v>
      </c>
      <c r="F70" t="s">
        <v>735</v>
      </c>
      <c r="G70" t="s">
        <v>1358</v>
      </c>
      <c r="H70" t="s">
        <v>1317</v>
      </c>
      <c r="I70" t="s">
        <v>1115</v>
      </c>
    </row>
    <row r="71" spans="1:9">
      <c r="A71" t="s">
        <v>1123</v>
      </c>
      <c r="B71" t="s">
        <v>86</v>
      </c>
      <c r="C71" t="s">
        <v>720</v>
      </c>
      <c r="D71" t="s">
        <v>6</v>
      </c>
      <c r="E71" t="s">
        <v>31</v>
      </c>
      <c r="F71" t="s">
        <v>736</v>
      </c>
      <c r="G71" t="s">
        <v>1358</v>
      </c>
      <c r="H71" t="s">
        <v>1317</v>
      </c>
      <c r="I71" t="s">
        <v>1115</v>
      </c>
    </row>
    <row r="72" spans="1:9">
      <c r="A72" t="s">
        <v>1123</v>
      </c>
      <c r="B72" t="s">
        <v>86</v>
      </c>
      <c r="C72" t="s">
        <v>720</v>
      </c>
      <c r="D72" t="s">
        <v>6</v>
      </c>
      <c r="E72" t="s">
        <v>32</v>
      </c>
      <c r="F72" t="s">
        <v>737</v>
      </c>
      <c r="G72" t="s">
        <v>1358</v>
      </c>
      <c r="H72" t="s">
        <v>1317</v>
      </c>
      <c r="I72" t="s">
        <v>1115</v>
      </c>
    </row>
    <row r="73" spans="1:9">
      <c r="A73" t="s">
        <v>1123</v>
      </c>
      <c r="B73" t="s">
        <v>86</v>
      </c>
      <c r="C73" t="s">
        <v>756</v>
      </c>
      <c r="D73" t="s">
        <v>757</v>
      </c>
      <c r="E73" t="s">
        <v>28</v>
      </c>
      <c r="F73" t="s">
        <v>768</v>
      </c>
      <c r="G73" t="s">
        <v>1359</v>
      </c>
      <c r="H73" t="s">
        <v>1317</v>
      </c>
      <c r="I73" t="s">
        <v>1115</v>
      </c>
    </row>
    <row r="74" spans="1:9">
      <c r="A74" t="s">
        <v>1123</v>
      </c>
      <c r="B74" t="s">
        <v>86</v>
      </c>
      <c r="C74" t="s">
        <v>756</v>
      </c>
      <c r="D74" t="s">
        <v>757</v>
      </c>
      <c r="E74" t="s">
        <v>29</v>
      </c>
      <c r="F74" t="s">
        <v>770</v>
      </c>
      <c r="G74" t="s">
        <v>1359</v>
      </c>
      <c r="H74" t="s">
        <v>1317</v>
      </c>
      <c r="I74" t="s">
        <v>1115</v>
      </c>
    </row>
    <row r="75" spans="1:9">
      <c r="A75" t="s">
        <v>1123</v>
      </c>
      <c r="B75" t="s">
        <v>86</v>
      </c>
      <c r="C75" t="s">
        <v>803</v>
      </c>
      <c r="D75" t="s">
        <v>805</v>
      </c>
      <c r="E75" t="s">
        <v>28</v>
      </c>
      <c r="F75" t="s">
        <v>814</v>
      </c>
      <c r="G75" t="s">
        <v>1360</v>
      </c>
      <c r="H75" t="s">
        <v>1317</v>
      </c>
      <c r="I75" t="s">
        <v>1115</v>
      </c>
    </row>
    <row r="76" spans="1:9">
      <c r="A76" t="s">
        <v>1123</v>
      </c>
      <c r="B76" t="s">
        <v>86</v>
      </c>
      <c r="C76" t="s">
        <v>803</v>
      </c>
      <c r="D76" t="s">
        <v>805</v>
      </c>
      <c r="E76" t="s">
        <v>29</v>
      </c>
      <c r="F76" t="s">
        <v>815</v>
      </c>
      <c r="G76" t="s">
        <v>1360</v>
      </c>
      <c r="H76" t="s">
        <v>1317</v>
      </c>
      <c r="I76" t="s">
        <v>1115</v>
      </c>
    </row>
    <row r="77" spans="1:9">
      <c r="A77" t="s">
        <v>1123</v>
      </c>
      <c r="B77" t="s">
        <v>86</v>
      </c>
      <c r="C77" t="s">
        <v>803</v>
      </c>
      <c r="D77" t="s">
        <v>805</v>
      </c>
      <c r="E77" t="s">
        <v>30</v>
      </c>
      <c r="F77" t="s">
        <v>816</v>
      </c>
      <c r="G77" t="s">
        <v>1360</v>
      </c>
      <c r="H77" t="s">
        <v>1317</v>
      </c>
      <c r="I77" t="s">
        <v>1115</v>
      </c>
    </row>
    <row r="78" spans="1:9">
      <c r="A78" t="s">
        <v>1123</v>
      </c>
      <c r="B78" t="s">
        <v>86</v>
      </c>
      <c r="C78" t="s">
        <v>840</v>
      </c>
      <c r="D78" t="s">
        <v>1105</v>
      </c>
      <c r="E78" t="s">
        <v>28</v>
      </c>
      <c r="F78" t="s">
        <v>849</v>
      </c>
      <c r="G78" t="s">
        <v>1361</v>
      </c>
      <c r="H78" t="s">
        <v>1317</v>
      </c>
      <c r="I78" t="s">
        <v>1115</v>
      </c>
    </row>
    <row r="79" spans="1:9">
      <c r="A79" t="s">
        <v>1123</v>
      </c>
      <c r="B79" t="s">
        <v>86</v>
      </c>
      <c r="C79" t="s">
        <v>840</v>
      </c>
      <c r="D79" t="s">
        <v>1105</v>
      </c>
      <c r="E79" t="s">
        <v>29</v>
      </c>
      <c r="F79" t="s">
        <v>850</v>
      </c>
      <c r="G79" t="s">
        <v>1361</v>
      </c>
      <c r="H79" t="s">
        <v>1317</v>
      </c>
      <c r="I79" t="s">
        <v>1115</v>
      </c>
    </row>
    <row r="80" spans="1:9">
      <c r="A80" t="s">
        <v>1123</v>
      </c>
      <c r="B80" t="s">
        <v>86</v>
      </c>
      <c r="C80" t="s">
        <v>840</v>
      </c>
      <c r="D80" t="s">
        <v>1105</v>
      </c>
      <c r="E80" t="s">
        <v>30</v>
      </c>
      <c r="F80" t="s">
        <v>851</v>
      </c>
      <c r="G80" t="s">
        <v>1361</v>
      </c>
      <c r="H80" t="s">
        <v>1317</v>
      </c>
      <c r="I80" t="s">
        <v>1115</v>
      </c>
    </row>
  </sheetData>
  <pageMargins left="0.7" right="0.7" top="0.75" bottom="0.75" header="0.3" footer="0.3"/>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7B0003-E68F-4E76-8679-21E46B6A34F4}">
  <sheetPr codeName="Sheet37"/>
  <dimension ref="A1:I225"/>
  <sheetViews>
    <sheetView workbookViewId="0">
      <selection sqref="A1:I225"/>
    </sheetView>
  </sheetViews>
  <sheetFormatPr defaultColWidth="8.85546875" defaultRowHeight="15"/>
  <cols>
    <col min="1" max="1" width="49" bestFit="1" customWidth="1"/>
    <col min="2" max="2" width="13.42578125" bestFit="1" customWidth="1"/>
    <col min="3" max="3" width="14.42578125" bestFit="1" customWidth="1"/>
    <col min="4" max="4" width="65.42578125" bestFit="1" customWidth="1"/>
    <col min="5" max="5" width="14.85546875" bestFit="1" customWidth="1"/>
    <col min="6" max="6" width="12.7109375" bestFit="1" customWidth="1"/>
    <col min="7" max="7" width="24.42578125" bestFit="1" customWidth="1"/>
    <col min="8" max="8" width="12.140625" bestFit="1" customWidth="1"/>
    <col min="9" max="9" width="65.42578125" bestFit="1" customWidth="1"/>
  </cols>
  <sheetData>
    <row r="1" spans="1:9">
      <c r="A1" t="s">
        <v>1109</v>
      </c>
      <c r="B1" t="s">
        <v>1111</v>
      </c>
      <c r="C1" t="s">
        <v>1</v>
      </c>
      <c r="D1" t="s">
        <v>2</v>
      </c>
      <c r="E1" t="s">
        <v>1080</v>
      </c>
      <c r="F1" t="s">
        <v>1195</v>
      </c>
      <c r="G1" t="s">
        <v>1110</v>
      </c>
      <c r="H1" t="s">
        <v>1112</v>
      </c>
      <c r="I1" t="s">
        <v>1081</v>
      </c>
    </row>
    <row r="2" spans="1:9">
      <c r="A2" t="s">
        <v>1123</v>
      </c>
      <c r="B2" t="s">
        <v>1207</v>
      </c>
      <c r="C2" t="s">
        <v>4</v>
      </c>
      <c r="D2" t="s">
        <v>80</v>
      </c>
      <c r="E2" t="s">
        <v>80</v>
      </c>
      <c r="F2" t="s">
        <v>1197</v>
      </c>
      <c r="G2" t="s">
        <v>86</v>
      </c>
      <c r="H2" t="s">
        <v>1115</v>
      </c>
      <c r="I2" t="s">
        <v>1092</v>
      </c>
    </row>
    <row r="3" spans="1:9">
      <c r="A3" t="s">
        <v>1123</v>
      </c>
      <c r="B3" t="s">
        <v>1207</v>
      </c>
      <c r="C3" t="s">
        <v>6</v>
      </c>
      <c r="D3" t="s">
        <v>1206</v>
      </c>
      <c r="E3" t="s">
        <v>80</v>
      </c>
      <c r="F3" t="s">
        <v>1197</v>
      </c>
      <c r="G3" t="s">
        <v>86</v>
      </c>
      <c r="H3" t="s">
        <v>1115</v>
      </c>
      <c r="I3" t="s">
        <v>1092</v>
      </c>
    </row>
    <row r="4" spans="1:9">
      <c r="A4" t="s">
        <v>1123</v>
      </c>
      <c r="B4" t="s">
        <v>1207</v>
      </c>
      <c r="C4" t="s">
        <v>7</v>
      </c>
      <c r="D4">
        <v>20</v>
      </c>
      <c r="E4" t="s">
        <v>80</v>
      </c>
      <c r="F4" t="s">
        <v>1197</v>
      </c>
      <c r="G4" t="s">
        <v>86</v>
      </c>
      <c r="H4" t="s">
        <v>1115</v>
      </c>
      <c r="I4" t="s">
        <v>1092</v>
      </c>
    </row>
    <row r="5" spans="1:9">
      <c r="A5" t="s">
        <v>1123</v>
      </c>
      <c r="B5" t="s">
        <v>1207</v>
      </c>
      <c r="C5" t="s">
        <v>8</v>
      </c>
      <c r="D5">
        <v>1</v>
      </c>
      <c r="E5" t="s">
        <v>80</v>
      </c>
      <c r="F5" t="s">
        <v>1197</v>
      </c>
      <c r="G5" t="s">
        <v>86</v>
      </c>
      <c r="H5" t="s">
        <v>1115</v>
      </c>
      <c r="I5" t="s">
        <v>1092</v>
      </c>
    </row>
    <row r="6" spans="1:9">
      <c r="A6" t="s">
        <v>1123</v>
      </c>
      <c r="B6" t="s">
        <v>1207</v>
      </c>
      <c r="C6" t="s">
        <v>10</v>
      </c>
      <c r="D6">
        <v>4</v>
      </c>
      <c r="E6" t="s">
        <v>80</v>
      </c>
      <c r="F6" t="s">
        <v>1197</v>
      </c>
      <c r="G6" t="s">
        <v>86</v>
      </c>
      <c r="H6" t="s">
        <v>1115</v>
      </c>
      <c r="I6" t="s">
        <v>1092</v>
      </c>
    </row>
    <row r="7" spans="1:9">
      <c r="A7" t="s">
        <v>1123</v>
      </c>
      <c r="B7" t="s">
        <v>1207</v>
      </c>
      <c r="C7" t="s">
        <v>11</v>
      </c>
      <c r="D7" t="s">
        <v>84</v>
      </c>
      <c r="E7" t="s">
        <v>80</v>
      </c>
      <c r="F7" t="s">
        <v>1197</v>
      </c>
      <c r="G7" t="s">
        <v>86</v>
      </c>
      <c r="H7" t="s">
        <v>1115</v>
      </c>
      <c r="I7" t="s">
        <v>1092</v>
      </c>
    </row>
    <row r="8" spans="1:9">
      <c r="A8" t="s">
        <v>1123</v>
      </c>
      <c r="B8" t="s">
        <v>1207</v>
      </c>
      <c r="C8" t="s">
        <v>12</v>
      </c>
      <c r="D8" t="s">
        <v>85</v>
      </c>
      <c r="E8" t="s">
        <v>80</v>
      </c>
      <c r="F8" t="s">
        <v>1197</v>
      </c>
      <c r="G8" t="s">
        <v>86</v>
      </c>
      <c r="H8" t="s">
        <v>1115</v>
      </c>
      <c r="I8" t="s">
        <v>1092</v>
      </c>
    </row>
    <row r="9" spans="1:9">
      <c r="A9" t="s">
        <v>1123</v>
      </c>
      <c r="B9" t="s">
        <v>1207</v>
      </c>
      <c r="C9" t="s">
        <v>13</v>
      </c>
      <c r="D9" t="s">
        <v>86</v>
      </c>
      <c r="E9" t="s">
        <v>80</v>
      </c>
      <c r="F9" t="s">
        <v>1197</v>
      </c>
      <c r="G9" t="s">
        <v>86</v>
      </c>
      <c r="H9" t="s">
        <v>1115</v>
      </c>
      <c r="I9" t="s">
        <v>1092</v>
      </c>
    </row>
    <row r="10" spans="1:9">
      <c r="A10" t="s">
        <v>1123</v>
      </c>
      <c r="B10" t="s">
        <v>1208</v>
      </c>
      <c r="C10" t="s">
        <v>4</v>
      </c>
      <c r="D10" t="s">
        <v>141</v>
      </c>
      <c r="E10" t="s">
        <v>141</v>
      </c>
      <c r="F10" t="s">
        <v>1197</v>
      </c>
      <c r="G10" t="s">
        <v>86</v>
      </c>
      <c r="H10" t="s">
        <v>1115</v>
      </c>
      <c r="I10" t="s">
        <v>143</v>
      </c>
    </row>
    <row r="11" spans="1:9">
      <c r="A11" t="s">
        <v>1123</v>
      </c>
      <c r="B11" t="s">
        <v>1208</v>
      </c>
      <c r="C11" t="s">
        <v>6</v>
      </c>
      <c r="D11" t="s">
        <v>143</v>
      </c>
      <c r="E11" t="s">
        <v>141</v>
      </c>
      <c r="F11" t="s">
        <v>1197</v>
      </c>
      <c r="G11" t="s">
        <v>86</v>
      </c>
      <c r="H11" t="s">
        <v>1115</v>
      </c>
      <c r="I11" t="s">
        <v>143</v>
      </c>
    </row>
    <row r="12" spans="1:9">
      <c r="A12" t="s">
        <v>1123</v>
      </c>
      <c r="B12" t="s">
        <v>1208</v>
      </c>
      <c r="C12" t="s">
        <v>7</v>
      </c>
      <c r="D12">
        <v>20</v>
      </c>
      <c r="E12" t="s">
        <v>141</v>
      </c>
      <c r="F12" t="s">
        <v>1197</v>
      </c>
      <c r="G12" t="s">
        <v>86</v>
      </c>
      <c r="H12" t="s">
        <v>1115</v>
      </c>
      <c r="I12" t="s">
        <v>143</v>
      </c>
    </row>
    <row r="13" spans="1:9">
      <c r="A13" t="s">
        <v>1123</v>
      </c>
      <c r="B13" t="s">
        <v>1208</v>
      </c>
      <c r="C13" t="s">
        <v>8</v>
      </c>
      <c r="D13">
        <v>2</v>
      </c>
      <c r="E13" t="s">
        <v>141</v>
      </c>
      <c r="F13" t="s">
        <v>1197</v>
      </c>
      <c r="G13" t="s">
        <v>86</v>
      </c>
      <c r="H13" t="s">
        <v>1115</v>
      </c>
      <c r="I13" t="s">
        <v>143</v>
      </c>
    </row>
    <row r="14" spans="1:9">
      <c r="A14" t="s">
        <v>1123</v>
      </c>
      <c r="B14" t="s">
        <v>1208</v>
      </c>
      <c r="C14" t="s">
        <v>10</v>
      </c>
      <c r="D14">
        <v>4</v>
      </c>
      <c r="E14" t="s">
        <v>141</v>
      </c>
      <c r="F14" t="s">
        <v>1197</v>
      </c>
      <c r="G14" t="s">
        <v>86</v>
      </c>
      <c r="H14" t="s">
        <v>1115</v>
      </c>
      <c r="I14" t="s">
        <v>143</v>
      </c>
    </row>
    <row r="15" spans="1:9">
      <c r="A15" t="s">
        <v>1123</v>
      </c>
      <c r="B15" t="s">
        <v>1208</v>
      </c>
      <c r="C15" t="s">
        <v>11</v>
      </c>
      <c r="D15" t="s">
        <v>146</v>
      </c>
      <c r="E15" t="s">
        <v>141</v>
      </c>
      <c r="F15" t="s">
        <v>1197</v>
      </c>
      <c r="G15" t="s">
        <v>86</v>
      </c>
      <c r="H15" t="s">
        <v>1115</v>
      </c>
      <c r="I15" t="s">
        <v>143</v>
      </c>
    </row>
    <row r="16" spans="1:9">
      <c r="A16" t="s">
        <v>1123</v>
      </c>
      <c r="B16" t="s">
        <v>1208</v>
      </c>
      <c r="C16" t="s">
        <v>12</v>
      </c>
      <c r="D16" t="s">
        <v>147</v>
      </c>
      <c r="E16" t="s">
        <v>141</v>
      </c>
      <c r="F16" t="s">
        <v>1197</v>
      </c>
      <c r="G16" t="s">
        <v>86</v>
      </c>
      <c r="H16" t="s">
        <v>1115</v>
      </c>
      <c r="I16" t="s">
        <v>143</v>
      </c>
    </row>
    <row r="17" spans="1:9">
      <c r="A17" t="s">
        <v>1123</v>
      </c>
      <c r="B17" t="s">
        <v>1208</v>
      </c>
      <c r="C17" t="s">
        <v>13</v>
      </c>
      <c r="D17" t="s">
        <v>86</v>
      </c>
      <c r="E17" t="s">
        <v>141</v>
      </c>
      <c r="F17" t="s">
        <v>1197</v>
      </c>
      <c r="G17" t="s">
        <v>86</v>
      </c>
      <c r="H17" t="s">
        <v>1115</v>
      </c>
      <c r="I17" t="s">
        <v>143</v>
      </c>
    </row>
    <row r="18" spans="1:9">
      <c r="A18" t="s">
        <v>1123</v>
      </c>
      <c r="B18" t="s">
        <v>1202</v>
      </c>
      <c r="C18" t="s">
        <v>4</v>
      </c>
      <c r="D18" t="s">
        <v>178</v>
      </c>
      <c r="E18" t="s">
        <v>178</v>
      </c>
      <c r="F18" t="s">
        <v>1197</v>
      </c>
      <c r="G18" t="s">
        <v>86</v>
      </c>
      <c r="H18" t="s">
        <v>1115</v>
      </c>
      <c r="I18" t="s">
        <v>179</v>
      </c>
    </row>
    <row r="19" spans="1:9">
      <c r="A19" t="s">
        <v>1123</v>
      </c>
      <c r="B19" t="s">
        <v>1202</v>
      </c>
      <c r="C19" t="s">
        <v>6</v>
      </c>
      <c r="D19" t="s">
        <v>179</v>
      </c>
      <c r="E19" t="s">
        <v>178</v>
      </c>
      <c r="F19" t="s">
        <v>1197</v>
      </c>
      <c r="G19" t="s">
        <v>86</v>
      </c>
      <c r="H19" t="s">
        <v>1115</v>
      </c>
      <c r="I19" t="s">
        <v>179</v>
      </c>
    </row>
    <row r="20" spans="1:9">
      <c r="A20" t="s">
        <v>1123</v>
      </c>
      <c r="B20" t="s">
        <v>1202</v>
      </c>
      <c r="C20" t="s">
        <v>7</v>
      </c>
      <c r="D20">
        <v>20</v>
      </c>
      <c r="E20" t="s">
        <v>178</v>
      </c>
      <c r="F20" t="s">
        <v>1197</v>
      </c>
      <c r="G20" t="s">
        <v>86</v>
      </c>
      <c r="H20" t="s">
        <v>1115</v>
      </c>
      <c r="I20" t="s">
        <v>179</v>
      </c>
    </row>
    <row r="21" spans="1:9">
      <c r="A21" t="s">
        <v>1123</v>
      </c>
      <c r="B21" t="s">
        <v>1202</v>
      </c>
      <c r="C21" t="s">
        <v>8</v>
      </c>
      <c r="D21">
        <v>2</v>
      </c>
      <c r="E21" t="s">
        <v>178</v>
      </c>
      <c r="F21" t="s">
        <v>1197</v>
      </c>
      <c r="G21" t="s">
        <v>86</v>
      </c>
      <c r="H21" t="s">
        <v>1115</v>
      </c>
      <c r="I21" t="s">
        <v>179</v>
      </c>
    </row>
    <row r="22" spans="1:9">
      <c r="A22" t="s">
        <v>1123</v>
      </c>
      <c r="B22" t="s">
        <v>1202</v>
      </c>
      <c r="C22" t="s">
        <v>10</v>
      </c>
      <c r="D22">
        <v>4</v>
      </c>
      <c r="E22" t="s">
        <v>178</v>
      </c>
      <c r="F22" t="s">
        <v>1197</v>
      </c>
      <c r="G22" t="s">
        <v>86</v>
      </c>
      <c r="H22" t="s">
        <v>1115</v>
      </c>
      <c r="I22" t="s">
        <v>179</v>
      </c>
    </row>
    <row r="23" spans="1:9">
      <c r="A23" t="s">
        <v>1123</v>
      </c>
      <c r="B23" t="s">
        <v>1202</v>
      </c>
      <c r="C23" t="s">
        <v>11</v>
      </c>
      <c r="D23" t="s">
        <v>182</v>
      </c>
      <c r="E23" t="s">
        <v>178</v>
      </c>
      <c r="F23" t="s">
        <v>1197</v>
      </c>
      <c r="G23" t="s">
        <v>86</v>
      </c>
      <c r="H23" t="s">
        <v>1115</v>
      </c>
      <c r="I23" t="s">
        <v>179</v>
      </c>
    </row>
    <row r="24" spans="1:9">
      <c r="A24" t="s">
        <v>1123</v>
      </c>
      <c r="B24" t="s">
        <v>1202</v>
      </c>
      <c r="C24" t="s">
        <v>12</v>
      </c>
      <c r="D24" t="s">
        <v>184</v>
      </c>
      <c r="E24" t="s">
        <v>178</v>
      </c>
      <c r="F24" t="s">
        <v>1197</v>
      </c>
      <c r="G24" t="s">
        <v>86</v>
      </c>
      <c r="H24" t="s">
        <v>1115</v>
      </c>
      <c r="I24" t="s">
        <v>179</v>
      </c>
    </row>
    <row r="25" spans="1:9">
      <c r="A25" t="s">
        <v>1123</v>
      </c>
      <c r="B25" t="s">
        <v>1202</v>
      </c>
      <c r="C25" t="s">
        <v>13</v>
      </c>
      <c r="D25" t="s">
        <v>186</v>
      </c>
      <c r="E25" t="s">
        <v>178</v>
      </c>
      <c r="F25" t="s">
        <v>1197</v>
      </c>
      <c r="G25" t="s">
        <v>86</v>
      </c>
      <c r="H25" t="s">
        <v>1115</v>
      </c>
      <c r="I25" t="s">
        <v>179</v>
      </c>
    </row>
    <row r="26" spans="1:9">
      <c r="A26" t="s">
        <v>1123</v>
      </c>
      <c r="B26" t="s">
        <v>1204</v>
      </c>
      <c r="C26" t="s">
        <v>4</v>
      </c>
      <c r="D26" t="s">
        <v>217</v>
      </c>
      <c r="E26" t="s">
        <v>217</v>
      </c>
      <c r="F26" t="s">
        <v>1197</v>
      </c>
      <c r="G26" t="s">
        <v>86</v>
      </c>
      <c r="H26" t="s">
        <v>1115</v>
      </c>
      <c r="I26" t="s">
        <v>1091</v>
      </c>
    </row>
    <row r="27" spans="1:9">
      <c r="A27" t="s">
        <v>1123</v>
      </c>
      <c r="B27" t="s">
        <v>1204</v>
      </c>
      <c r="C27" t="s">
        <v>6</v>
      </c>
      <c r="D27" t="s">
        <v>1203</v>
      </c>
      <c r="E27" t="s">
        <v>217</v>
      </c>
      <c r="F27" t="s">
        <v>1197</v>
      </c>
      <c r="G27" t="s">
        <v>86</v>
      </c>
      <c r="H27" t="s">
        <v>1115</v>
      </c>
      <c r="I27" t="s">
        <v>1091</v>
      </c>
    </row>
    <row r="28" spans="1:9">
      <c r="A28" t="s">
        <v>1123</v>
      </c>
      <c r="B28" t="s">
        <v>1204</v>
      </c>
      <c r="C28" t="s">
        <v>7</v>
      </c>
      <c r="D28">
        <v>20</v>
      </c>
      <c r="E28" t="s">
        <v>217</v>
      </c>
      <c r="F28" t="s">
        <v>1197</v>
      </c>
      <c r="G28" t="s">
        <v>86</v>
      </c>
      <c r="H28" t="s">
        <v>1115</v>
      </c>
      <c r="I28" t="s">
        <v>1091</v>
      </c>
    </row>
    <row r="29" spans="1:9">
      <c r="A29" t="s">
        <v>1123</v>
      </c>
      <c r="B29" t="s">
        <v>1204</v>
      </c>
      <c r="C29" t="s">
        <v>8</v>
      </c>
      <c r="D29">
        <v>1</v>
      </c>
      <c r="E29" t="s">
        <v>217</v>
      </c>
      <c r="F29" t="s">
        <v>1197</v>
      </c>
      <c r="G29" t="s">
        <v>86</v>
      </c>
      <c r="H29" t="s">
        <v>1115</v>
      </c>
      <c r="I29" t="s">
        <v>1091</v>
      </c>
    </row>
    <row r="30" spans="1:9">
      <c r="A30" t="s">
        <v>1123</v>
      </c>
      <c r="B30" t="s">
        <v>1204</v>
      </c>
      <c r="C30" t="s">
        <v>10</v>
      </c>
      <c r="D30">
        <v>4</v>
      </c>
      <c r="E30" t="s">
        <v>217</v>
      </c>
      <c r="F30" t="s">
        <v>1197</v>
      </c>
      <c r="G30" t="s">
        <v>86</v>
      </c>
      <c r="H30" t="s">
        <v>1115</v>
      </c>
      <c r="I30" t="s">
        <v>1091</v>
      </c>
    </row>
    <row r="31" spans="1:9">
      <c r="A31" t="s">
        <v>1123</v>
      </c>
      <c r="B31" t="s">
        <v>1204</v>
      </c>
      <c r="C31" t="s">
        <v>11</v>
      </c>
      <c r="D31" t="s">
        <v>222</v>
      </c>
      <c r="E31" t="s">
        <v>217</v>
      </c>
      <c r="F31" t="s">
        <v>1197</v>
      </c>
      <c r="G31" t="s">
        <v>86</v>
      </c>
      <c r="H31" t="s">
        <v>1115</v>
      </c>
      <c r="I31" t="s">
        <v>1091</v>
      </c>
    </row>
    <row r="32" spans="1:9">
      <c r="A32" t="s">
        <v>1123</v>
      </c>
      <c r="B32" t="s">
        <v>1204</v>
      </c>
      <c r="C32" t="s">
        <v>12</v>
      </c>
      <c r="D32" t="s">
        <v>147</v>
      </c>
      <c r="E32" t="s">
        <v>217</v>
      </c>
      <c r="F32" t="s">
        <v>1197</v>
      </c>
      <c r="G32" t="s">
        <v>86</v>
      </c>
      <c r="H32" t="s">
        <v>1115</v>
      </c>
      <c r="I32" t="s">
        <v>1091</v>
      </c>
    </row>
    <row r="33" spans="1:9">
      <c r="A33" t="s">
        <v>1123</v>
      </c>
      <c r="B33" t="s">
        <v>1204</v>
      </c>
      <c r="C33" t="s">
        <v>13</v>
      </c>
      <c r="D33" t="s">
        <v>186</v>
      </c>
      <c r="E33" t="s">
        <v>217</v>
      </c>
      <c r="F33" t="s">
        <v>1197</v>
      </c>
      <c r="G33" t="s">
        <v>86</v>
      </c>
      <c r="H33" t="s">
        <v>1115</v>
      </c>
      <c r="I33" t="s">
        <v>1091</v>
      </c>
    </row>
    <row r="34" spans="1:9">
      <c r="A34" t="s">
        <v>1123</v>
      </c>
      <c r="B34" t="s">
        <v>1205</v>
      </c>
      <c r="C34" t="s">
        <v>4</v>
      </c>
      <c r="D34" t="s">
        <v>279</v>
      </c>
      <c r="E34" t="s">
        <v>279</v>
      </c>
      <c r="F34" t="s">
        <v>1197</v>
      </c>
      <c r="G34" t="s">
        <v>86</v>
      </c>
      <c r="H34" t="s">
        <v>1115</v>
      </c>
      <c r="I34" t="s">
        <v>281</v>
      </c>
    </row>
    <row r="35" spans="1:9">
      <c r="A35" t="s">
        <v>1123</v>
      </c>
      <c r="B35" t="s">
        <v>1205</v>
      </c>
      <c r="C35" t="s">
        <v>6</v>
      </c>
      <c r="D35" t="s">
        <v>281</v>
      </c>
      <c r="E35" t="s">
        <v>279</v>
      </c>
      <c r="F35" t="s">
        <v>1197</v>
      </c>
      <c r="G35" t="s">
        <v>86</v>
      </c>
      <c r="H35" t="s">
        <v>1115</v>
      </c>
      <c r="I35" t="s">
        <v>281</v>
      </c>
    </row>
    <row r="36" spans="1:9">
      <c r="A36" t="s">
        <v>1123</v>
      </c>
      <c r="B36" t="s">
        <v>1205</v>
      </c>
      <c r="C36" t="s">
        <v>7</v>
      </c>
      <c r="D36">
        <v>20</v>
      </c>
      <c r="E36" t="s">
        <v>279</v>
      </c>
      <c r="F36" t="s">
        <v>1197</v>
      </c>
      <c r="G36" t="s">
        <v>86</v>
      </c>
      <c r="H36" t="s">
        <v>1115</v>
      </c>
      <c r="I36" t="s">
        <v>281</v>
      </c>
    </row>
    <row r="37" spans="1:9">
      <c r="A37" t="s">
        <v>1123</v>
      </c>
      <c r="B37" t="s">
        <v>1205</v>
      </c>
      <c r="C37" t="s">
        <v>8</v>
      </c>
      <c r="D37">
        <v>2</v>
      </c>
      <c r="E37" t="s">
        <v>279</v>
      </c>
      <c r="F37" t="s">
        <v>1197</v>
      </c>
      <c r="G37" t="s">
        <v>86</v>
      </c>
      <c r="H37" t="s">
        <v>1115</v>
      </c>
      <c r="I37" t="s">
        <v>281</v>
      </c>
    </row>
    <row r="38" spans="1:9">
      <c r="A38" t="s">
        <v>1123</v>
      </c>
      <c r="B38" t="s">
        <v>1205</v>
      </c>
      <c r="C38" t="s">
        <v>10</v>
      </c>
      <c r="D38">
        <v>4</v>
      </c>
      <c r="E38" t="s">
        <v>279</v>
      </c>
      <c r="F38" t="s">
        <v>1197</v>
      </c>
      <c r="G38" t="s">
        <v>86</v>
      </c>
      <c r="H38" t="s">
        <v>1115</v>
      </c>
      <c r="I38" t="s">
        <v>281</v>
      </c>
    </row>
    <row r="39" spans="1:9">
      <c r="A39" t="s">
        <v>1123</v>
      </c>
      <c r="B39" t="s">
        <v>1205</v>
      </c>
      <c r="C39" t="s">
        <v>11</v>
      </c>
      <c r="D39" t="s">
        <v>283</v>
      </c>
      <c r="E39" t="s">
        <v>279</v>
      </c>
      <c r="F39" t="s">
        <v>1197</v>
      </c>
      <c r="G39" t="s">
        <v>86</v>
      </c>
      <c r="H39" t="s">
        <v>1115</v>
      </c>
      <c r="I39" t="s">
        <v>281</v>
      </c>
    </row>
    <row r="40" spans="1:9">
      <c r="A40" t="s">
        <v>1123</v>
      </c>
      <c r="B40" t="s">
        <v>1205</v>
      </c>
      <c r="C40" t="s">
        <v>12</v>
      </c>
      <c r="D40" t="s">
        <v>147</v>
      </c>
      <c r="E40" t="s">
        <v>279</v>
      </c>
      <c r="F40" t="s">
        <v>1197</v>
      </c>
      <c r="G40" t="s">
        <v>86</v>
      </c>
      <c r="H40" t="s">
        <v>1115</v>
      </c>
      <c r="I40" t="s">
        <v>281</v>
      </c>
    </row>
    <row r="41" spans="1:9">
      <c r="A41" t="s">
        <v>1123</v>
      </c>
      <c r="B41" t="s">
        <v>1205</v>
      </c>
      <c r="C41" t="s">
        <v>13</v>
      </c>
      <c r="D41" t="s">
        <v>225</v>
      </c>
      <c r="E41" t="s">
        <v>279</v>
      </c>
      <c r="F41" t="s">
        <v>1197</v>
      </c>
      <c r="G41" t="s">
        <v>86</v>
      </c>
      <c r="H41" t="s">
        <v>1115</v>
      </c>
      <c r="I41" t="s">
        <v>281</v>
      </c>
    </row>
    <row r="42" spans="1:9">
      <c r="A42" t="s">
        <v>1123</v>
      </c>
      <c r="B42" t="s">
        <v>1209</v>
      </c>
      <c r="C42" t="s">
        <v>4</v>
      </c>
      <c r="D42" t="s">
        <v>339</v>
      </c>
      <c r="E42" t="s">
        <v>339</v>
      </c>
      <c r="F42" t="s">
        <v>1197</v>
      </c>
      <c r="G42" t="s">
        <v>86</v>
      </c>
      <c r="H42" t="s">
        <v>1115</v>
      </c>
      <c r="I42" t="s">
        <v>341</v>
      </c>
    </row>
    <row r="43" spans="1:9">
      <c r="A43" t="s">
        <v>1123</v>
      </c>
      <c r="B43" t="s">
        <v>1209</v>
      </c>
      <c r="C43" t="s">
        <v>6</v>
      </c>
      <c r="D43" t="s">
        <v>341</v>
      </c>
      <c r="E43" t="s">
        <v>339</v>
      </c>
      <c r="F43" t="s">
        <v>1197</v>
      </c>
      <c r="G43" t="s">
        <v>86</v>
      </c>
      <c r="H43" t="s">
        <v>1115</v>
      </c>
      <c r="I43" t="s">
        <v>341</v>
      </c>
    </row>
    <row r="44" spans="1:9">
      <c r="A44" t="s">
        <v>1123</v>
      </c>
      <c r="B44" t="s">
        <v>1209</v>
      </c>
      <c r="C44" t="s">
        <v>7</v>
      </c>
      <c r="D44">
        <v>20</v>
      </c>
      <c r="E44" t="s">
        <v>339</v>
      </c>
      <c r="F44" t="s">
        <v>1197</v>
      </c>
      <c r="G44" t="s">
        <v>86</v>
      </c>
      <c r="H44" t="s">
        <v>1115</v>
      </c>
      <c r="I44" t="s">
        <v>341</v>
      </c>
    </row>
    <row r="45" spans="1:9">
      <c r="A45" t="s">
        <v>1123</v>
      </c>
      <c r="B45" t="s">
        <v>1209</v>
      </c>
      <c r="C45" t="s">
        <v>8</v>
      </c>
      <c r="D45">
        <v>2</v>
      </c>
      <c r="E45" t="s">
        <v>339</v>
      </c>
      <c r="F45" t="s">
        <v>1197</v>
      </c>
      <c r="G45" t="s">
        <v>86</v>
      </c>
      <c r="H45" t="s">
        <v>1115</v>
      </c>
      <c r="I45" t="s">
        <v>341</v>
      </c>
    </row>
    <row r="46" spans="1:9">
      <c r="A46" t="s">
        <v>1123</v>
      </c>
      <c r="B46" t="s">
        <v>1209</v>
      </c>
      <c r="C46" t="s">
        <v>10</v>
      </c>
      <c r="D46">
        <v>5</v>
      </c>
      <c r="E46" t="s">
        <v>339</v>
      </c>
      <c r="F46" t="s">
        <v>1197</v>
      </c>
      <c r="G46" t="s">
        <v>86</v>
      </c>
      <c r="H46" t="s">
        <v>1115</v>
      </c>
      <c r="I46" t="s">
        <v>341</v>
      </c>
    </row>
    <row r="47" spans="1:9">
      <c r="A47" t="s">
        <v>1123</v>
      </c>
      <c r="B47" t="s">
        <v>1209</v>
      </c>
      <c r="C47" t="s">
        <v>11</v>
      </c>
      <c r="D47" t="s">
        <v>343</v>
      </c>
      <c r="E47" t="s">
        <v>339</v>
      </c>
      <c r="F47" t="s">
        <v>1197</v>
      </c>
      <c r="G47" t="s">
        <v>86</v>
      </c>
      <c r="H47" t="s">
        <v>1115</v>
      </c>
      <c r="I47" t="s">
        <v>341</v>
      </c>
    </row>
    <row r="48" spans="1:9">
      <c r="A48" t="s">
        <v>1123</v>
      </c>
      <c r="B48" t="s">
        <v>1209</v>
      </c>
      <c r="C48" t="s">
        <v>12</v>
      </c>
      <c r="D48" t="s">
        <v>184</v>
      </c>
      <c r="E48" t="s">
        <v>339</v>
      </c>
      <c r="F48" t="s">
        <v>1197</v>
      </c>
      <c r="G48" t="s">
        <v>86</v>
      </c>
      <c r="H48" t="s">
        <v>1115</v>
      </c>
      <c r="I48" t="s">
        <v>341</v>
      </c>
    </row>
    <row r="49" spans="1:9">
      <c r="A49" t="s">
        <v>1123</v>
      </c>
      <c r="B49" t="s">
        <v>1209</v>
      </c>
      <c r="C49" t="s">
        <v>13</v>
      </c>
      <c r="D49" t="s">
        <v>186</v>
      </c>
      <c r="E49" t="s">
        <v>339</v>
      </c>
      <c r="F49" t="s">
        <v>1197</v>
      </c>
      <c r="G49" t="s">
        <v>86</v>
      </c>
      <c r="H49" t="s">
        <v>1115</v>
      </c>
      <c r="I49" t="s">
        <v>341</v>
      </c>
    </row>
    <row r="50" spans="1:9">
      <c r="A50" t="s">
        <v>1123</v>
      </c>
      <c r="B50" t="s">
        <v>1210</v>
      </c>
      <c r="C50" t="s">
        <v>4</v>
      </c>
      <c r="D50" t="s">
        <v>473</v>
      </c>
      <c r="E50" t="s">
        <v>473</v>
      </c>
      <c r="F50" t="s">
        <v>1197</v>
      </c>
      <c r="G50" t="s">
        <v>86</v>
      </c>
      <c r="H50" t="s">
        <v>1115</v>
      </c>
      <c r="I50" t="s">
        <v>474</v>
      </c>
    </row>
    <row r="51" spans="1:9">
      <c r="A51" t="s">
        <v>1123</v>
      </c>
      <c r="B51" t="s">
        <v>1210</v>
      </c>
      <c r="C51" t="s">
        <v>6</v>
      </c>
      <c r="D51" t="s">
        <v>474</v>
      </c>
      <c r="E51" t="s">
        <v>473</v>
      </c>
      <c r="F51" t="s">
        <v>1197</v>
      </c>
      <c r="G51" t="s">
        <v>86</v>
      </c>
      <c r="H51" t="s">
        <v>1115</v>
      </c>
      <c r="I51" t="s">
        <v>474</v>
      </c>
    </row>
    <row r="52" spans="1:9">
      <c r="A52" t="s">
        <v>1123</v>
      </c>
      <c r="B52" t="s">
        <v>1210</v>
      </c>
      <c r="C52" t="s">
        <v>7</v>
      </c>
      <c r="D52">
        <v>20</v>
      </c>
      <c r="E52" t="s">
        <v>473</v>
      </c>
      <c r="F52" t="s">
        <v>1197</v>
      </c>
      <c r="G52" t="s">
        <v>86</v>
      </c>
      <c r="H52" t="s">
        <v>1115</v>
      </c>
      <c r="I52" t="s">
        <v>474</v>
      </c>
    </row>
    <row r="53" spans="1:9">
      <c r="A53" t="s">
        <v>1123</v>
      </c>
      <c r="B53" t="s">
        <v>1210</v>
      </c>
      <c r="C53" t="s">
        <v>8</v>
      </c>
      <c r="D53">
        <v>2</v>
      </c>
      <c r="E53" t="s">
        <v>473</v>
      </c>
      <c r="F53" t="s">
        <v>1197</v>
      </c>
      <c r="G53" t="s">
        <v>86</v>
      </c>
      <c r="H53" t="s">
        <v>1115</v>
      </c>
      <c r="I53" t="s">
        <v>474</v>
      </c>
    </row>
    <row r="54" spans="1:9">
      <c r="A54" t="s">
        <v>1123</v>
      </c>
      <c r="B54" t="s">
        <v>1210</v>
      </c>
      <c r="C54" t="s">
        <v>10</v>
      </c>
      <c r="D54">
        <v>5</v>
      </c>
      <c r="E54" t="s">
        <v>473</v>
      </c>
      <c r="F54" t="s">
        <v>1197</v>
      </c>
      <c r="G54" t="s">
        <v>86</v>
      </c>
      <c r="H54" t="s">
        <v>1115</v>
      </c>
      <c r="I54" t="s">
        <v>474</v>
      </c>
    </row>
    <row r="55" spans="1:9">
      <c r="A55" t="s">
        <v>1123</v>
      </c>
      <c r="B55" t="s">
        <v>1210</v>
      </c>
      <c r="C55" t="s">
        <v>11</v>
      </c>
      <c r="D55" t="s">
        <v>477</v>
      </c>
      <c r="E55" t="s">
        <v>473</v>
      </c>
      <c r="F55" t="s">
        <v>1197</v>
      </c>
      <c r="G55" t="s">
        <v>86</v>
      </c>
      <c r="H55" t="s">
        <v>1115</v>
      </c>
      <c r="I55" t="s">
        <v>474</v>
      </c>
    </row>
    <row r="56" spans="1:9">
      <c r="A56" t="s">
        <v>1123</v>
      </c>
      <c r="B56" t="s">
        <v>1210</v>
      </c>
      <c r="C56" t="s">
        <v>12</v>
      </c>
      <c r="D56" t="s">
        <v>147</v>
      </c>
      <c r="E56" t="s">
        <v>473</v>
      </c>
      <c r="F56" t="s">
        <v>1197</v>
      </c>
      <c r="G56" t="s">
        <v>86</v>
      </c>
      <c r="H56" t="s">
        <v>1115</v>
      </c>
      <c r="I56" t="s">
        <v>474</v>
      </c>
    </row>
    <row r="57" spans="1:9">
      <c r="A57" t="s">
        <v>1123</v>
      </c>
      <c r="B57" t="s">
        <v>1210</v>
      </c>
      <c r="C57" t="s">
        <v>13</v>
      </c>
      <c r="D57" t="s">
        <v>225</v>
      </c>
      <c r="E57" t="s">
        <v>473</v>
      </c>
      <c r="F57" t="s">
        <v>1197</v>
      </c>
      <c r="G57" t="s">
        <v>86</v>
      </c>
      <c r="H57" t="s">
        <v>1115</v>
      </c>
      <c r="I57" t="s">
        <v>474</v>
      </c>
    </row>
    <row r="58" spans="1:9">
      <c r="A58" t="s">
        <v>1123</v>
      </c>
      <c r="B58" t="s">
        <v>1211</v>
      </c>
      <c r="C58" t="s">
        <v>4</v>
      </c>
      <c r="D58" t="s">
        <v>368</v>
      </c>
      <c r="E58" t="s">
        <v>368</v>
      </c>
      <c r="F58" t="s">
        <v>1197</v>
      </c>
      <c r="G58" t="s">
        <v>86</v>
      </c>
      <c r="H58" t="s">
        <v>1115</v>
      </c>
      <c r="I58" t="s">
        <v>370</v>
      </c>
    </row>
    <row r="59" spans="1:9">
      <c r="A59" t="s">
        <v>1123</v>
      </c>
      <c r="B59" t="s">
        <v>1211</v>
      </c>
      <c r="C59" t="s">
        <v>6</v>
      </c>
      <c r="D59" t="s">
        <v>370</v>
      </c>
      <c r="E59" t="s">
        <v>368</v>
      </c>
      <c r="F59" t="s">
        <v>1197</v>
      </c>
      <c r="G59" t="s">
        <v>86</v>
      </c>
      <c r="H59" t="s">
        <v>1115</v>
      </c>
      <c r="I59" t="s">
        <v>370</v>
      </c>
    </row>
    <row r="60" spans="1:9">
      <c r="A60" t="s">
        <v>1123</v>
      </c>
      <c r="B60" t="s">
        <v>1211</v>
      </c>
      <c r="C60" t="s">
        <v>7</v>
      </c>
      <c r="D60">
        <v>20</v>
      </c>
      <c r="E60" t="s">
        <v>368</v>
      </c>
      <c r="F60" t="s">
        <v>1197</v>
      </c>
      <c r="G60" t="s">
        <v>86</v>
      </c>
      <c r="H60" t="s">
        <v>1115</v>
      </c>
      <c r="I60" t="s">
        <v>370</v>
      </c>
    </row>
    <row r="61" spans="1:9">
      <c r="A61" t="s">
        <v>1123</v>
      </c>
      <c r="B61" t="s">
        <v>1211</v>
      </c>
      <c r="C61" t="s">
        <v>8</v>
      </c>
      <c r="D61">
        <v>1</v>
      </c>
      <c r="E61" t="s">
        <v>368</v>
      </c>
      <c r="F61" t="s">
        <v>1197</v>
      </c>
      <c r="G61" t="s">
        <v>86</v>
      </c>
      <c r="H61" t="s">
        <v>1115</v>
      </c>
      <c r="I61" t="s">
        <v>370</v>
      </c>
    </row>
    <row r="62" spans="1:9">
      <c r="A62" t="s">
        <v>1123</v>
      </c>
      <c r="B62" t="s">
        <v>1211</v>
      </c>
      <c r="C62" t="s">
        <v>10</v>
      </c>
      <c r="D62">
        <v>5</v>
      </c>
      <c r="E62" t="s">
        <v>368</v>
      </c>
      <c r="F62" t="s">
        <v>1197</v>
      </c>
      <c r="G62" t="s">
        <v>86</v>
      </c>
      <c r="H62" t="s">
        <v>1115</v>
      </c>
      <c r="I62" t="s">
        <v>370</v>
      </c>
    </row>
    <row r="63" spans="1:9">
      <c r="A63" t="s">
        <v>1123</v>
      </c>
      <c r="B63" t="s">
        <v>1211</v>
      </c>
      <c r="C63" t="s">
        <v>11</v>
      </c>
      <c r="E63" t="s">
        <v>368</v>
      </c>
      <c r="F63" t="s">
        <v>1197</v>
      </c>
      <c r="G63" t="s">
        <v>86</v>
      </c>
      <c r="H63" t="s">
        <v>1115</v>
      </c>
      <c r="I63" t="s">
        <v>370</v>
      </c>
    </row>
    <row r="64" spans="1:9">
      <c r="A64" t="s">
        <v>1123</v>
      </c>
      <c r="B64" t="s">
        <v>1211</v>
      </c>
      <c r="C64" t="s">
        <v>12</v>
      </c>
      <c r="D64" t="s">
        <v>85</v>
      </c>
      <c r="E64" t="s">
        <v>368</v>
      </c>
      <c r="F64" t="s">
        <v>1197</v>
      </c>
      <c r="G64" t="s">
        <v>86</v>
      </c>
      <c r="H64" t="s">
        <v>1115</v>
      </c>
      <c r="I64" t="s">
        <v>370</v>
      </c>
    </row>
    <row r="65" spans="1:9">
      <c r="A65" t="s">
        <v>1123</v>
      </c>
      <c r="B65" t="s">
        <v>1211</v>
      </c>
      <c r="C65" t="s">
        <v>13</v>
      </c>
      <c r="D65" t="s">
        <v>86</v>
      </c>
      <c r="E65" t="s">
        <v>368</v>
      </c>
      <c r="F65" t="s">
        <v>1197</v>
      </c>
      <c r="G65" t="s">
        <v>86</v>
      </c>
      <c r="H65" t="s">
        <v>1115</v>
      </c>
      <c r="I65" t="s">
        <v>370</v>
      </c>
    </row>
    <row r="66" spans="1:9">
      <c r="A66" t="s">
        <v>1123</v>
      </c>
      <c r="B66" t="s">
        <v>1212</v>
      </c>
      <c r="C66" t="s">
        <v>4</v>
      </c>
      <c r="D66" t="s">
        <v>396</v>
      </c>
      <c r="E66" t="s">
        <v>396</v>
      </c>
      <c r="F66" t="s">
        <v>1197</v>
      </c>
      <c r="G66" t="s">
        <v>86</v>
      </c>
      <c r="H66" t="s">
        <v>1115</v>
      </c>
      <c r="I66" t="s">
        <v>398</v>
      </c>
    </row>
    <row r="67" spans="1:9">
      <c r="A67" t="s">
        <v>1123</v>
      </c>
      <c r="B67" t="s">
        <v>1212</v>
      </c>
      <c r="C67" t="s">
        <v>6</v>
      </c>
      <c r="D67" t="s">
        <v>398</v>
      </c>
      <c r="E67" t="s">
        <v>396</v>
      </c>
      <c r="F67" t="s">
        <v>1197</v>
      </c>
      <c r="G67" t="s">
        <v>86</v>
      </c>
      <c r="H67" t="s">
        <v>1115</v>
      </c>
      <c r="I67" t="s">
        <v>398</v>
      </c>
    </row>
    <row r="68" spans="1:9">
      <c r="A68" t="s">
        <v>1123</v>
      </c>
      <c r="B68" t="s">
        <v>1212</v>
      </c>
      <c r="C68" t="s">
        <v>7</v>
      </c>
      <c r="D68">
        <v>20</v>
      </c>
      <c r="E68" t="s">
        <v>396</v>
      </c>
      <c r="F68" t="s">
        <v>1197</v>
      </c>
      <c r="G68" t="s">
        <v>86</v>
      </c>
      <c r="H68" t="s">
        <v>1115</v>
      </c>
      <c r="I68" t="s">
        <v>398</v>
      </c>
    </row>
    <row r="69" spans="1:9">
      <c r="A69" t="s">
        <v>1123</v>
      </c>
      <c r="B69" t="s">
        <v>1212</v>
      </c>
      <c r="C69" t="s">
        <v>8</v>
      </c>
      <c r="D69">
        <v>1</v>
      </c>
      <c r="E69" t="s">
        <v>396</v>
      </c>
      <c r="F69" t="s">
        <v>1197</v>
      </c>
      <c r="G69" t="s">
        <v>86</v>
      </c>
      <c r="H69" t="s">
        <v>1115</v>
      </c>
      <c r="I69" t="s">
        <v>398</v>
      </c>
    </row>
    <row r="70" spans="1:9">
      <c r="A70" t="s">
        <v>1123</v>
      </c>
      <c r="B70" t="s">
        <v>1212</v>
      </c>
      <c r="C70" t="s">
        <v>10</v>
      </c>
      <c r="D70">
        <v>5</v>
      </c>
      <c r="E70" t="s">
        <v>396</v>
      </c>
      <c r="F70" t="s">
        <v>1197</v>
      </c>
      <c r="G70" t="s">
        <v>86</v>
      </c>
      <c r="H70" t="s">
        <v>1115</v>
      </c>
      <c r="I70" t="s">
        <v>398</v>
      </c>
    </row>
    <row r="71" spans="1:9">
      <c r="A71" t="s">
        <v>1123</v>
      </c>
      <c r="B71" t="s">
        <v>1212</v>
      </c>
      <c r="C71" t="s">
        <v>11</v>
      </c>
      <c r="D71" t="s">
        <v>400</v>
      </c>
      <c r="E71" t="s">
        <v>396</v>
      </c>
      <c r="F71" t="s">
        <v>1197</v>
      </c>
      <c r="G71" t="s">
        <v>86</v>
      </c>
      <c r="H71" t="s">
        <v>1115</v>
      </c>
      <c r="I71" t="s">
        <v>398</v>
      </c>
    </row>
    <row r="72" spans="1:9">
      <c r="A72" t="s">
        <v>1123</v>
      </c>
      <c r="B72" t="s">
        <v>1212</v>
      </c>
      <c r="C72" t="s">
        <v>12</v>
      </c>
      <c r="D72" t="s">
        <v>147</v>
      </c>
      <c r="E72" t="s">
        <v>396</v>
      </c>
      <c r="F72" t="s">
        <v>1197</v>
      </c>
      <c r="G72" t="s">
        <v>86</v>
      </c>
      <c r="H72" t="s">
        <v>1115</v>
      </c>
      <c r="I72" t="s">
        <v>398</v>
      </c>
    </row>
    <row r="73" spans="1:9">
      <c r="A73" t="s">
        <v>1123</v>
      </c>
      <c r="B73" t="s">
        <v>1212</v>
      </c>
      <c r="C73" t="s">
        <v>13</v>
      </c>
      <c r="D73" t="s">
        <v>86</v>
      </c>
      <c r="E73" t="s">
        <v>396</v>
      </c>
      <c r="F73" t="s">
        <v>1197</v>
      </c>
      <c r="G73" t="s">
        <v>86</v>
      </c>
      <c r="H73" t="s">
        <v>1115</v>
      </c>
      <c r="I73" t="s">
        <v>398</v>
      </c>
    </row>
    <row r="74" spans="1:9">
      <c r="A74" t="s">
        <v>1123</v>
      </c>
      <c r="B74" t="s">
        <v>1213</v>
      </c>
      <c r="C74" t="s">
        <v>4</v>
      </c>
      <c r="D74" t="s">
        <v>438</v>
      </c>
      <c r="E74" t="s">
        <v>438</v>
      </c>
      <c r="F74" t="s">
        <v>1197</v>
      </c>
      <c r="G74" t="s">
        <v>86</v>
      </c>
      <c r="H74" t="s">
        <v>1115</v>
      </c>
      <c r="I74" t="s">
        <v>1096</v>
      </c>
    </row>
    <row r="75" spans="1:9">
      <c r="A75" t="s">
        <v>1123</v>
      </c>
      <c r="B75" t="s">
        <v>1213</v>
      </c>
      <c r="C75" t="s">
        <v>6</v>
      </c>
      <c r="D75" t="s">
        <v>440</v>
      </c>
      <c r="E75" t="s">
        <v>438</v>
      </c>
      <c r="F75" t="s">
        <v>1197</v>
      </c>
      <c r="G75" t="s">
        <v>86</v>
      </c>
      <c r="H75" t="s">
        <v>1115</v>
      </c>
      <c r="I75" t="s">
        <v>1096</v>
      </c>
    </row>
    <row r="76" spans="1:9">
      <c r="A76" t="s">
        <v>1123</v>
      </c>
      <c r="B76" t="s">
        <v>1213</v>
      </c>
      <c r="C76" t="s">
        <v>7</v>
      </c>
      <c r="E76" t="s">
        <v>438</v>
      </c>
      <c r="F76" t="s">
        <v>1197</v>
      </c>
      <c r="G76" t="s">
        <v>86</v>
      </c>
      <c r="H76" t="s">
        <v>1115</v>
      </c>
      <c r="I76" t="s">
        <v>1096</v>
      </c>
    </row>
    <row r="77" spans="1:9">
      <c r="A77" t="s">
        <v>1123</v>
      </c>
      <c r="B77" t="s">
        <v>1213</v>
      </c>
      <c r="C77" t="s">
        <v>8</v>
      </c>
      <c r="E77" t="s">
        <v>438</v>
      </c>
      <c r="F77" t="s">
        <v>1197</v>
      </c>
      <c r="G77" t="s">
        <v>86</v>
      </c>
      <c r="H77" t="s">
        <v>1115</v>
      </c>
      <c r="I77" t="s">
        <v>1096</v>
      </c>
    </row>
    <row r="78" spans="1:9">
      <c r="A78" t="s">
        <v>1123</v>
      </c>
      <c r="B78" t="s">
        <v>1213</v>
      </c>
      <c r="C78" t="s">
        <v>10</v>
      </c>
      <c r="D78">
        <v>5</v>
      </c>
      <c r="E78" t="s">
        <v>438</v>
      </c>
      <c r="F78" t="s">
        <v>1197</v>
      </c>
      <c r="G78" t="s">
        <v>86</v>
      </c>
      <c r="H78" t="s">
        <v>1115</v>
      </c>
      <c r="I78" t="s">
        <v>1096</v>
      </c>
    </row>
    <row r="79" spans="1:9">
      <c r="A79" t="s">
        <v>1123</v>
      </c>
      <c r="B79" t="s">
        <v>1213</v>
      </c>
      <c r="C79" t="s">
        <v>11</v>
      </c>
      <c r="D79" t="s">
        <v>442</v>
      </c>
      <c r="E79" t="s">
        <v>438</v>
      </c>
      <c r="F79" t="s">
        <v>1197</v>
      </c>
      <c r="G79" t="s">
        <v>86</v>
      </c>
      <c r="H79" t="s">
        <v>1115</v>
      </c>
      <c r="I79" t="s">
        <v>1096</v>
      </c>
    </row>
    <row r="80" spans="1:9">
      <c r="A80" t="s">
        <v>1123</v>
      </c>
      <c r="B80" t="s">
        <v>1213</v>
      </c>
      <c r="C80" t="s">
        <v>12</v>
      </c>
      <c r="D80" t="s">
        <v>147</v>
      </c>
      <c r="E80" t="s">
        <v>438</v>
      </c>
      <c r="F80" t="s">
        <v>1197</v>
      </c>
      <c r="G80" t="s">
        <v>86</v>
      </c>
      <c r="H80" t="s">
        <v>1115</v>
      </c>
      <c r="I80" t="s">
        <v>1096</v>
      </c>
    </row>
    <row r="81" spans="1:9">
      <c r="A81" t="s">
        <v>1123</v>
      </c>
      <c r="B81" t="s">
        <v>1213</v>
      </c>
      <c r="C81" t="s">
        <v>13</v>
      </c>
      <c r="D81" t="s">
        <v>443</v>
      </c>
      <c r="E81" t="s">
        <v>438</v>
      </c>
      <c r="F81" t="s">
        <v>1197</v>
      </c>
      <c r="G81" t="s">
        <v>86</v>
      </c>
      <c r="H81" t="s">
        <v>1115</v>
      </c>
      <c r="I81" t="s">
        <v>1096</v>
      </c>
    </row>
    <row r="82" spans="1:9">
      <c r="A82" t="s">
        <v>1123</v>
      </c>
      <c r="B82" t="s">
        <v>1218</v>
      </c>
      <c r="C82" t="s">
        <v>4</v>
      </c>
      <c r="D82" t="s">
        <v>526</v>
      </c>
      <c r="E82" t="s">
        <v>526</v>
      </c>
      <c r="F82" t="s">
        <v>1197</v>
      </c>
      <c r="G82" t="s">
        <v>86</v>
      </c>
      <c r="H82" t="s">
        <v>1115</v>
      </c>
      <c r="I82" t="s">
        <v>1103</v>
      </c>
    </row>
    <row r="83" spans="1:9">
      <c r="A83" t="s">
        <v>1123</v>
      </c>
      <c r="B83" t="s">
        <v>1218</v>
      </c>
      <c r="C83" t="s">
        <v>6</v>
      </c>
      <c r="D83" t="s">
        <v>528</v>
      </c>
      <c r="E83" t="s">
        <v>526</v>
      </c>
      <c r="F83" t="s">
        <v>1197</v>
      </c>
      <c r="G83" t="s">
        <v>86</v>
      </c>
      <c r="H83" t="s">
        <v>1115</v>
      </c>
      <c r="I83" t="s">
        <v>1103</v>
      </c>
    </row>
    <row r="84" spans="1:9">
      <c r="A84" t="s">
        <v>1123</v>
      </c>
      <c r="B84" t="s">
        <v>1218</v>
      </c>
      <c r="C84" t="s">
        <v>7</v>
      </c>
      <c r="D84">
        <v>20</v>
      </c>
      <c r="E84" t="s">
        <v>526</v>
      </c>
      <c r="F84" t="s">
        <v>1197</v>
      </c>
      <c r="G84" t="s">
        <v>86</v>
      </c>
      <c r="H84" t="s">
        <v>1115</v>
      </c>
      <c r="I84" t="s">
        <v>1103</v>
      </c>
    </row>
    <row r="85" spans="1:9">
      <c r="A85" t="s">
        <v>1123</v>
      </c>
      <c r="B85" t="s">
        <v>1218</v>
      </c>
      <c r="C85" t="s">
        <v>8</v>
      </c>
      <c r="D85">
        <v>1</v>
      </c>
      <c r="E85" t="s">
        <v>526</v>
      </c>
      <c r="F85" t="s">
        <v>1197</v>
      </c>
      <c r="G85" t="s">
        <v>86</v>
      </c>
      <c r="H85" t="s">
        <v>1115</v>
      </c>
      <c r="I85" t="s">
        <v>1103</v>
      </c>
    </row>
    <row r="86" spans="1:9">
      <c r="A86" t="s">
        <v>1123</v>
      </c>
      <c r="B86" t="s">
        <v>1218</v>
      </c>
      <c r="C86" t="s">
        <v>10</v>
      </c>
      <c r="D86">
        <v>6</v>
      </c>
      <c r="E86" t="s">
        <v>526</v>
      </c>
      <c r="F86" t="s">
        <v>1197</v>
      </c>
      <c r="G86" t="s">
        <v>86</v>
      </c>
      <c r="H86" t="s">
        <v>1115</v>
      </c>
      <c r="I86" t="s">
        <v>1103</v>
      </c>
    </row>
    <row r="87" spans="1:9">
      <c r="A87" t="s">
        <v>1123</v>
      </c>
      <c r="B87" t="s">
        <v>1218</v>
      </c>
      <c r="C87" t="s">
        <v>11</v>
      </c>
      <c r="D87" t="s">
        <v>530</v>
      </c>
      <c r="E87" t="s">
        <v>526</v>
      </c>
      <c r="F87" t="s">
        <v>1197</v>
      </c>
      <c r="G87" t="s">
        <v>86</v>
      </c>
      <c r="H87" t="s">
        <v>1115</v>
      </c>
      <c r="I87" t="s">
        <v>1103</v>
      </c>
    </row>
    <row r="88" spans="1:9">
      <c r="A88" t="s">
        <v>1123</v>
      </c>
      <c r="B88" t="s">
        <v>1218</v>
      </c>
      <c r="C88" t="s">
        <v>12</v>
      </c>
      <c r="D88" t="s">
        <v>532</v>
      </c>
      <c r="E88" t="s">
        <v>526</v>
      </c>
      <c r="F88" t="s">
        <v>1197</v>
      </c>
      <c r="G88" t="s">
        <v>86</v>
      </c>
      <c r="H88" t="s">
        <v>1115</v>
      </c>
      <c r="I88" t="s">
        <v>1103</v>
      </c>
    </row>
    <row r="89" spans="1:9">
      <c r="A89" t="s">
        <v>1123</v>
      </c>
      <c r="B89" t="s">
        <v>1218</v>
      </c>
      <c r="C89" t="s">
        <v>13</v>
      </c>
      <c r="D89" t="s">
        <v>86</v>
      </c>
      <c r="E89" t="s">
        <v>526</v>
      </c>
      <c r="F89" t="s">
        <v>1197</v>
      </c>
      <c r="G89" t="s">
        <v>86</v>
      </c>
      <c r="H89" t="s">
        <v>1115</v>
      </c>
      <c r="I89" t="s">
        <v>1103</v>
      </c>
    </row>
    <row r="90" spans="1:9">
      <c r="A90" t="s">
        <v>1123</v>
      </c>
      <c r="B90" t="s">
        <v>1219</v>
      </c>
      <c r="C90" t="s">
        <v>4</v>
      </c>
      <c r="D90" t="s">
        <v>545</v>
      </c>
      <c r="E90" t="s">
        <v>545</v>
      </c>
      <c r="F90" t="s">
        <v>1197</v>
      </c>
      <c r="G90" t="s">
        <v>86</v>
      </c>
      <c r="H90" t="s">
        <v>1115</v>
      </c>
      <c r="I90" t="s">
        <v>546</v>
      </c>
    </row>
    <row r="91" spans="1:9">
      <c r="A91" t="s">
        <v>1123</v>
      </c>
      <c r="B91" t="s">
        <v>1219</v>
      </c>
      <c r="C91" t="s">
        <v>6</v>
      </c>
      <c r="D91" t="s">
        <v>546</v>
      </c>
      <c r="E91" t="s">
        <v>545</v>
      </c>
      <c r="F91" t="s">
        <v>1197</v>
      </c>
      <c r="G91" t="s">
        <v>86</v>
      </c>
      <c r="H91" t="s">
        <v>1115</v>
      </c>
      <c r="I91" t="s">
        <v>546</v>
      </c>
    </row>
    <row r="92" spans="1:9">
      <c r="A92" t="s">
        <v>1123</v>
      </c>
      <c r="B92" t="s">
        <v>1219</v>
      </c>
      <c r="C92" t="s">
        <v>7</v>
      </c>
      <c r="D92">
        <v>20</v>
      </c>
      <c r="E92" t="s">
        <v>545</v>
      </c>
      <c r="F92" t="s">
        <v>1197</v>
      </c>
      <c r="G92" t="s">
        <v>86</v>
      </c>
      <c r="H92" t="s">
        <v>1115</v>
      </c>
      <c r="I92" t="s">
        <v>546</v>
      </c>
    </row>
    <row r="93" spans="1:9">
      <c r="A93" t="s">
        <v>1123</v>
      </c>
      <c r="B93" t="s">
        <v>1219</v>
      </c>
      <c r="C93" t="s">
        <v>8</v>
      </c>
      <c r="D93">
        <v>1</v>
      </c>
      <c r="E93" t="s">
        <v>545</v>
      </c>
      <c r="F93" t="s">
        <v>1197</v>
      </c>
      <c r="G93" t="s">
        <v>86</v>
      </c>
      <c r="H93" t="s">
        <v>1115</v>
      </c>
      <c r="I93" t="s">
        <v>546</v>
      </c>
    </row>
    <row r="94" spans="1:9">
      <c r="A94" t="s">
        <v>1123</v>
      </c>
      <c r="B94" t="s">
        <v>1219</v>
      </c>
      <c r="C94" t="s">
        <v>10</v>
      </c>
      <c r="D94">
        <v>6</v>
      </c>
      <c r="E94" t="s">
        <v>545</v>
      </c>
      <c r="F94" t="s">
        <v>1197</v>
      </c>
      <c r="G94" t="s">
        <v>86</v>
      </c>
      <c r="H94" t="s">
        <v>1115</v>
      </c>
      <c r="I94" t="s">
        <v>546</v>
      </c>
    </row>
    <row r="95" spans="1:9">
      <c r="A95" t="s">
        <v>1123</v>
      </c>
      <c r="B95" t="s">
        <v>1219</v>
      </c>
      <c r="C95" t="s">
        <v>11</v>
      </c>
      <c r="D95" t="s">
        <v>549</v>
      </c>
      <c r="E95" t="s">
        <v>545</v>
      </c>
      <c r="F95" t="s">
        <v>1197</v>
      </c>
      <c r="G95" t="s">
        <v>86</v>
      </c>
      <c r="H95" t="s">
        <v>1115</v>
      </c>
      <c r="I95" t="s">
        <v>546</v>
      </c>
    </row>
    <row r="96" spans="1:9">
      <c r="A96" t="s">
        <v>1123</v>
      </c>
      <c r="B96" t="s">
        <v>1219</v>
      </c>
      <c r="C96" t="s">
        <v>12</v>
      </c>
      <c r="D96" t="s">
        <v>532</v>
      </c>
      <c r="E96" t="s">
        <v>545</v>
      </c>
      <c r="F96" t="s">
        <v>1197</v>
      </c>
      <c r="G96" t="s">
        <v>86</v>
      </c>
      <c r="H96" t="s">
        <v>1115</v>
      </c>
      <c r="I96" t="s">
        <v>546</v>
      </c>
    </row>
    <row r="97" spans="1:9">
      <c r="A97" t="s">
        <v>1123</v>
      </c>
      <c r="B97" t="s">
        <v>1219</v>
      </c>
      <c r="C97" t="s">
        <v>13</v>
      </c>
      <c r="D97" t="s">
        <v>86</v>
      </c>
      <c r="E97" t="s">
        <v>545</v>
      </c>
      <c r="F97" t="s">
        <v>1197</v>
      </c>
      <c r="G97" t="s">
        <v>86</v>
      </c>
      <c r="H97" t="s">
        <v>1115</v>
      </c>
      <c r="I97" t="s">
        <v>546</v>
      </c>
    </row>
    <row r="98" spans="1:9">
      <c r="A98" t="s">
        <v>1113</v>
      </c>
      <c r="B98" t="s">
        <v>1196</v>
      </c>
      <c r="C98" t="s">
        <v>4</v>
      </c>
      <c r="D98" t="s">
        <v>1097</v>
      </c>
      <c r="E98" t="s">
        <v>1097</v>
      </c>
      <c r="F98" t="s">
        <v>1197</v>
      </c>
      <c r="G98" t="s">
        <v>86</v>
      </c>
      <c r="H98" t="s">
        <v>1115</v>
      </c>
      <c r="I98" t="s">
        <v>1098</v>
      </c>
    </row>
    <row r="99" spans="1:9">
      <c r="A99" t="s">
        <v>1113</v>
      </c>
      <c r="B99" t="s">
        <v>1196</v>
      </c>
      <c r="C99" t="s">
        <v>6</v>
      </c>
      <c r="D99" t="s">
        <v>1098</v>
      </c>
      <c r="E99" t="s">
        <v>1097</v>
      </c>
      <c r="F99" t="s">
        <v>1197</v>
      </c>
      <c r="G99" t="s">
        <v>86</v>
      </c>
      <c r="H99" t="s">
        <v>1115</v>
      </c>
      <c r="I99" t="s">
        <v>1098</v>
      </c>
    </row>
    <row r="100" spans="1:9">
      <c r="A100" t="s">
        <v>1113</v>
      </c>
      <c r="B100" t="s">
        <v>1196</v>
      </c>
      <c r="C100" t="s">
        <v>7</v>
      </c>
      <c r="D100">
        <v>20</v>
      </c>
      <c r="E100" t="s">
        <v>1097</v>
      </c>
      <c r="F100" t="s">
        <v>1197</v>
      </c>
      <c r="G100" t="s">
        <v>86</v>
      </c>
      <c r="H100" t="s">
        <v>1115</v>
      </c>
      <c r="I100" t="s">
        <v>1098</v>
      </c>
    </row>
    <row r="101" spans="1:9">
      <c r="A101" t="s">
        <v>1113</v>
      </c>
      <c r="B101" t="s">
        <v>1196</v>
      </c>
      <c r="C101" t="s">
        <v>8</v>
      </c>
      <c r="D101">
        <v>1</v>
      </c>
      <c r="E101" t="s">
        <v>1097</v>
      </c>
      <c r="F101" t="s">
        <v>1197</v>
      </c>
      <c r="G101" t="s">
        <v>86</v>
      </c>
      <c r="H101" t="s">
        <v>1115</v>
      </c>
      <c r="I101" t="s">
        <v>1098</v>
      </c>
    </row>
    <row r="102" spans="1:9">
      <c r="A102" t="s">
        <v>1113</v>
      </c>
      <c r="B102" t="s">
        <v>1196</v>
      </c>
      <c r="C102" t="s">
        <v>10</v>
      </c>
      <c r="D102">
        <v>6</v>
      </c>
      <c r="E102" t="s">
        <v>1097</v>
      </c>
      <c r="F102" t="s">
        <v>1197</v>
      </c>
      <c r="G102" t="s">
        <v>86</v>
      </c>
      <c r="H102" t="s">
        <v>1115</v>
      </c>
      <c r="I102" t="s">
        <v>1098</v>
      </c>
    </row>
    <row r="103" spans="1:9">
      <c r="A103" t="s">
        <v>1113</v>
      </c>
      <c r="B103" t="s">
        <v>1196</v>
      </c>
      <c r="C103" t="s">
        <v>11</v>
      </c>
      <c r="D103" t="s">
        <v>1099</v>
      </c>
      <c r="E103" t="s">
        <v>1097</v>
      </c>
      <c r="F103" t="s">
        <v>1197</v>
      </c>
      <c r="G103" t="s">
        <v>86</v>
      </c>
      <c r="H103" t="s">
        <v>1115</v>
      </c>
      <c r="I103" t="s">
        <v>1098</v>
      </c>
    </row>
    <row r="104" spans="1:9">
      <c r="A104" t="s">
        <v>1113</v>
      </c>
      <c r="B104" t="s">
        <v>1196</v>
      </c>
      <c r="C104" t="s">
        <v>12</v>
      </c>
      <c r="D104" t="s">
        <v>532</v>
      </c>
      <c r="E104" t="s">
        <v>1097</v>
      </c>
      <c r="F104" t="s">
        <v>1197</v>
      </c>
      <c r="G104" t="s">
        <v>86</v>
      </c>
      <c r="H104" t="s">
        <v>1115</v>
      </c>
      <c r="I104" t="s">
        <v>1098</v>
      </c>
    </row>
    <row r="105" spans="1:9">
      <c r="A105" t="s">
        <v>1113</v>
      </c>
      <c r="B105" t="s">
        <v>1196</v>
      </c>
      <c r="C105" t="s">
        <v>13</v>
      </c>
      <c r="D105" t="s">
        <v>935</v>
      </c>
      <c r="E105" t="s">
        <v>1097</v>
      </c>
      <c r="F105" t="s">
        <v>1197</v>
      </c>
      <c r="G105" t="s">
        <v>86</v>
      </c>
      <c r="H105" t="s">
        <v>1115</v>
      </c>
      <c r="I105" t="s">
        <v>1098</v>
      </c>
    </row>
    <row r="106" spans="1:9">
      <c r="A106" t="s">
        <v>1123</v>
      </c>
      <c r="B106" t="s">
        <v>1220</v>
      </c>
      <c r="C106" t="s">
        <v>4</v>
      </c>
      <c r="D106" t="s">
        <v>601</v>
      </c>
      <c r="E106" t="s">
        <v>601</v>
      </c>
      <c r="F106" t="s">
        <v>1197</v>
      </c>
      <c r="G106" t="s">
        <v>86</v>
      </c>
      <c r="H106" t="s">
        <v>1115</v>
      </c>
      <c r="I106" t="s">
        <v>603</v>
      </c>
    </row>
    <row r="107" spans="1:9">
      <c r="A107" t="s">
        <v>1123</v>
      </c>
      <c r="B107" t="s">
        <v>1220</v>
      </c>
      <c r="C107" t="s">
        <v>6</v>
      </c>
      <c r="D107" t="s">
        <v>603</v>
      </c>
      <c r="E107" t="s">
        <v>601</v>
      </c>
      <c r="F107" t="s">
        <v>1197</v>
      </c>
      <c r="G107" t="s">
        <v>86</v>
      </c>
      <c r="H107" t="s">
        <v>1115</v>
      </c>
      <c r="I107" t="s">
        <v>603</v>
      </c>
    </row>
    <row r="108" spans="1:9">
      <c r="A108" t="s">
        <v>1123</v>
      </c>
      <c r="B108" t="s">
        <v>1220</v>
      </c>
      <c r="C108" t="s">
        <v>7</v>
      </c>
      <c r="D108">
        <v>20</v>
      </c>
      <c r="E108" t="s">
        <v>601</v>
      </c>
      <c r="F108" t="s">
        <v>1197</v>
      </c>
      <c r="G108" t="s">
        <v>86</v>
      </c>
      <c r="H108" t="s">
        <v>1115</v>
      </c>
      <c r="I108" t="s">
        <v>603</v>
      </c>
    </row>
    <row r="109" spans="1:9">
      <c r="A109" t="s">
        <v>1123</v>
      </c>
      <c r="B109" t="s">
        <v>1220</v>
      </c>
      <c r="C109" t="s">
        <v>8</v>
      </c>
      <c r="D109">
        <v>1</v>
      </c>
      <c r="E109" t="s">
        <v>601</v>
      </c>
      <c r="F109" t="s">
        <v>1197</v>
      </c>
      <c r="G109" t="s">
        <v>86</v>
      </c>
      <c r="H109" t="s">
        <v>1115</v>
      </c>
      <c r="I109" t="s">
        <v>603</v>
      </c>
    </row>
    <row r="110" spans="1:9">
      <c r="A110" t="s">
        <v>1123</v>
      </c>
      <c r="B110" t="s">
        <v>1220</v>
      </c>
      <c r="C110" t="s">
        <v>10</v>
      </c>
      <c r="D110">
        <v>6</v>
      </c>
      <c r="E110" t="s">
        <v>601</v>
      </c>
      <c r="F110" t="s">
        <v>1197</v>
      </c>
      <c r="G110" t="s">
        <v>86</v>
      </c>
      <c r="H110" t="s">
        <v>1115</v>
      </c>
      <c r="I110" t="s">
        <v>603</v>
      </c>
    </row>
    <row r="111" spans="1:9">
      <c r="A111" t="s">
        <v>1123</v>
      </c>
      <c r="B111" t="s">
        <v>1220</v>
      </c>
      <c r="C111" t="s">
        <v>11</v>
      </c>
      <c r="D111" t="s">
        <v>605</v>
      </c>
      <c r="E111" t="s">
        <v>601</v>
      </c>
      <c r="F111" t="s">
        <v>1197</v>
      </c>
      <c r="G111" t="s">
        <v>86</v>
      </c>
      <c r="H111" t="s">
        <v>1115</v>
      </c>
      <c r="I111" t="s">
        <v>603</v>
      </c>
    </row>
    <row r="112" spans="1:9">
      <c r="A112" t="s">
        <v>1123</v>
      </c>
      <c r="B112" t="s">
        <v>1220</v>
      </c>
      <c r="C112" t="s">
        <v>12</v>
      </c>
      <c r="D112" t="s">
        <v>532</v>
      </c>
      <c r="E112" t="s">
        <v>601</v>
      </c>
      <c r="F112" t="s">
        <v>1197</v>
      </c>
      <c r="G112" t="s">
        <v>86</v>
      </c>
      <c r="H112" t="s">
        <v>1115</v>
      </c>
      <c r="I112" t="s">
        <v>603</v>
      </c>
    </row>
    <row r="113" spans="1:9">
      <c r="A113" t="s">
        <v>1123</v>
      </c>
      <c r="B113" t="s">
        <v>1220</v>
      </c>
      <c r="C113" t="s">
        <v>13</v>
      </c>
      <c r="D113" t="s">
        <v>86</v>
      </c>
      <c r="E113" t="s">
        <v>601</v>
      </c>
      <c r="F113" t="s">
        <v>1197</v>
      </c>
      <c r="G113" t="s">
        <v>86</v>
      </c>
      <c r="H113" t="s">
        <v>1115</v>
      </c>
      <c r="I113" t="s">
        <v>603</v>
      </c>
    </row>
    <row r="114" spans="1:9">
      <c r="A114" t="s">
        <v>1123</v>
      </c>
      <c r="B114" t="s">
        <v>1221</v>
      </c>
      <c r="C114" t="s">
        <v>4</v>
      </c>
      <c r="D114" t="s">
        <v>641</v>
      </c>
      <c r="E114" t="s">
        <v>641</v>
      </c>
      <c r="F114" t="s">
        <v>1197</v>
      </c>
      <c r="G114" t="s">
        <v>86</v>
      </c>
      <c r="H114" t="s">
        <v>1115</v>
      </c>
      <c r="I114" t="s">
        <v>643</v>
      </c>
    </row>
    <row r="115" spans="1:9">
      <c r="A115" t="s">
        <v>1123</v>
      </c>
      <c r="B115" t="s">
        <v>1221</v>
      </c>
      <c r="C115" t="s">
        <v>6</v>
      </c>
      <c r="D115" t="s">
        <v>643</v>
      </c>
      <c r="E115" t="s">
        <v>641</v>
      </c>
      <c r="F115" t="s">
        <v>1197</v>
      </c>
      <c r="G115" t="s">
        <v>86</v>
      </c>
      <c r="H115" t="s">
        <v>1115</v>
      </c>
      <c r="I115" t="s">
        <v>643</v>
      </c>
    </row>
    <row r="116" spans="1:9">
      <c r="A116" t="s">
        <v>1123</v>
      </c>
      <c r="B116" t="s">
        <v>1221</v>
      </c>
      <c r="C116" t="s">
        <v>7</v>
      </c>
      <c r="D116">
        <v>20</v>
      </c>
      <c r="E116" t="s">
        <v>641</v>
      </c>
      <c r="F116" t="s">
        <v>1197</v>
      </c>
      <c r="G116" t="s">
        <v>86</v>
      </c>
      <c r="H116" t="s">
        <v>1115</v>
      </c>
      <c r="I116" t="s">
        <v>643</v>
      </c>
    </row>
    <row r="117" spans="1:9">
      <c r="A117" t="s">
        <v>1123</v>
      </c>
      <c r="B117" t="s">
        <v>1221</v>
      </c>
      <c r="C117" t="s">
        <v>8</v>
      </c>
      <c r="D117">
        <v>1</v>
      </c>
      <c r="E117" t="s">
        <v>641</v>
      </c>
      <c r="F117" t="s">
        <v>1197</v>
      </c>
      <c r="G117" t="s">
        <v>86</v>
      </c>
      <c r="H117" t="s">
        <v>1115</v>
      </c>
      <c r="I117" t="s">
        <v>643</v>
      </c>
    </row>
    <row r="118" spans="1:9">
      <c r="A118" t="s">
        <v>1123</v>
      </c>
      <c r="B118" t="s">
        <v>1221</v>
      </c>
      <c r="C118" t="s">
        <v>10</v>
      </c>
      <c r="D118">
        <v>6</v>
      </c>
      <c r="E118" t="s">
        <v>641</v>
      </c>
      <c r="F118" t="s">
        <v>1197</v>
      </c>
      <c r="G118" t="s">
        <v>86</v>
      </c>
      <c r="H118" t="s">
        <v>1115</v>
      </c>
      <c r="I118" t="s">
        <v>643</v>
      </c>
    </row>
    <row r="119" spans="1:9">
      <c r="A119" t="s">
        <v>1123</v>
      </c>
      <c r="B119" t="s">
        <v>1221</v>
      </c>
      <c r="C119" t="s">
        <v>11</v>
      </c>
      <c r="D119" t="s">
        <v>645</v>
      </c>
      <c r="E119" t="s">
        <v>641</v>
      </c>
      <c r="F119" t="s">
        <v>1197</v>
      </c>
      <c r="G119" t="s">
        <v>86</v>
      </c>
      <c r="H119" t="s">
        <v>1115</v>
      </c>
      <c r="I119" t="s">
        <v>643</v>
      </c>
    </row>
    <row r="120" spans="1:9">
      <c r="A120" t="s">
        <v>1123</v>
      </c>
      <c r="B120" t="s">
        <v>1221</v>
      </c>
      <c r="C120" t="s">
        <v>12</v>
      </c>
      <c r="D120" t="s">
        <v>532</v>
      </c>
      <c r="E120" t="s">
        <v>641</v>
      </c>
      <c r="F120" t="s">
        <v>1197</v>
      </c>
      <c r="G120" t="s">
        <v>86</v>
      </c>
      <c r="H120" t="s">
        <v>1115</v>
      </c>
      <c r="I120" t="s">
        <v>643</v>
      </c>
    </row>
    <row r="121" spans="1:9">
      <c r="A121" t="s">
        <v>1123</v>
      </c>
      <c r="B121" t="s">
        <v>1221</v>
      </c>
      <c r="C121" t="s">
        <v>13</v>
      </c>
      <c r="D121" t="s">
        <v>86</v>
      </c>
      <c r="E121" t="s">
        <v>641</v>
      </c>
      <c r="F121" t="s">
        <v>1197</v>
      </c>
      <c r="G121" t="s">
        <v>86</v>
      </c>
      <c r="H121" t="s">
        <v>1115</v>
      </c>
      <c r="I121" t="s">
        <v>643</v>
      </c>
    </row>
    <row r="122" spans="1:9">
      <c r="A122" t="s">
        <v>1123</v>
      </c>
      <c r="B122" t="s">
        <v>1222</v>
      </c>
      <c r="C122" t="s">
        <v>4</v>
      </c>
      <c r="D122" t="s">
        <v>678</v>
      </c>
      <c r="E122" t="s">
        <v>678</v>
      </c>
      <c r="F122" t="s">
        <v>1197</v>
      </c>
      <c r="G122" t="s">
        <v>86</v>
      </c>
      <c r="H122" t="s">
        <v>1115</v>
      </c>
      <c r="I122" t="s">
        <v>680</v>
      </c>
    </row>
    <row r="123" spans="1:9">
      <c r="A123" t="s">
        <v>1123</v>
      </c>
      <c r="B123" t="s">
        <v>1222</v>
      </c>
      <c r="C123" t="s">
        <v>6</v>
      </c>
      <c r="D123" t="s">
        <v>680</v>
      </c>
      <c r="E123" t="s">
        <v>678</v>
      </c>
      <c r="F123" t="s">
        <v>1197</v>
      </c>
      <c r="G123" t="s">
        <v>86</v>
      </c>
      <c r="H123" t="s">
        <v>1115</v>
      </c>
      <c r="I123" t="s">
        <v>680</v>
      </c>
    </row>
    <row r="124" spans="1:9">
      <c r="A124" t="s">
        <v>1123</v>
      </c>
      <c r="B124" t="s">
        <v>1222</v>
      </c>
      <c r="C124" t="s">
        <v>7</v>
      </c>
      <c r="D124">
        <v>20</v>
      </c>
      <c r="E124" t="s">
        <v>678</v>
      </c>
      <c r="F124" t="s">
        <v>1197</v>
      </c>
      <c r="G124" t="s">
        <v>86</v>
      </c>
      <c r="H124" t="s">
        <v>1115</v>
      </c>
      <c r="I124" t="s">
        <v>680</v>
      </c>
    </row>
    <row r="125" spans="1:9">
      <c r="A125" t="s">
        <v>1123</v>
      </c>
      <c r="B125" t="s">
        <v>1222</v>
      </c>
      <c r="C125" t="s">
        <v>8</v>
      </c>
      <c r="D125">
        <v>2</v>
      </c>
      <c r="E125" t="s">
        <v>678</v>
      </c>
      <c r="F125" t="s">
        <v>1197</v>
      </c>
      <c r="G125" t="s">
        <v>86</v>
      </c>
      <c r="H125" t="s">
        <v>1115</v>
      </c>
      <c r="I125" t="s">
        <v>680</v>
      </c>
    </row>
    <row r="126" spans="1:9">
      <c r="A126" t="s">
        <v>1123</v>
      </c>
      <c r="B126" t="s">
        <v>1222</v>
      </c>
      <c r="C126" t="s">
        <v>10</v>
      </c>
      <c r="D126">
        <v>6</v>
      </c>
      <c r="E126" t="s">
        <v>678</v>
      </c>
      <c r="F126" t="s">
        <v>1197</v>
      </c>
      <c r="G126" t="s">
        <v>86</v>
      </c>
      <c r="H126" t="s">
        <v>1115</v>
      </c>
      <c r="I126" t="s">
        <v>680</v>
      </c>
    </row>
    <row r="127" spans="1:9">
      <c r="A127" t="s">
        <v>1123</v>
      </c>
      <c r="B127" t="s">
        <v>1222</v>
      </c>
      <c r="C127" t="s">
        <v>11</v>
      </c>
      <c r="D127" t="s">
        <v>683</v>
      </c>
      <c r="E127" t="s">
        <v>678</v>
      </c>
      <c r="F127" t="s">
        <v>1197</v>
      </c>
      <c r="G127" t="s">
        <v>86</v>
      </c>
      <c r="H127" t="s">
        <v>1115</v>
      </c>
      <c r="I127" t="s">
        <v>680</v>
      </c>
    </row>
    <row r="128" spans="1:9">
      <c r="A128" t="s">
        <v>1123</v>
      </c>
      <c r="B128" t="s">
        <v>1222</v>
      </c>
      <c r="C128" t="s">
        <v>12</v>
      </c>
      <c r="D128" t="s">
        <v>532</v>
      </c>
      <c r="E128" t="s">
        <v>678</v>
      </c>
      <c r="F128" t="s">
        <v>1197</v>
      </c>
      <c r="G128" t="s">
        <v>86</v>
      </c>
      <c r="H128" t="s">
        <v>1115</v>
      </c>
      <c r="I128" t="s">
        <v>680</v>
      </c>
    </row>
    <row r="129" spans="1:9">
      <c r="A129" t="s">
        <v>1123</v>
      </c>
      <c r="B129" t="s">
        <v>1222</v>
      </c>
      <c r="C129" t="s">
        <v>13</v>
      </c>
      <c r="D129" t="s">
        <v>443</v>
      </c>
      <c r="E129" t="s">
        <v>678</v>
      </c>
      <c r="F129" t="s">
        <v>1197</v>
      </c>
      <c r="G129" t="s">
        <v>86</v>
      </c>
      <c r="H129" t="s">
        <v>1115</v>
      </c>
      <c r="I129" t="s">
        <v>680</v>
      </c>
    </row>
    <row r="130" spans="1:9">
      <c r="A130" t="s">
        <v>1123</v>
      </c>
      <c r="B130" t="s">
        <v>1223</v>
      </c>
      <c r="C130" t="s">
        <v>4</v>
      </c>
      <c r="D130" t="s">
        <v>720</v>
      </c>
      <c r="E130" t="s">
        <v>720</v>
      </c>
      <c r="F130" t="s">
        <v>1197</v>
      </c>
      <c r="G130" t="s">
        <v>86</v>
      </c>
      <c r="H130" t="s">
        <v>1115</v>
      </c>
      <c r="I130" t="s">
        <v>6</v>
      </c>
    </row>
    <row r="131" spans="1:9">
      <c r="A131" t="s">
        <v>1123</v>
      </c>
      <c r="B131" t="s">
        <v>1223</v>
      </c>
      <c r="C131" t="s">
        <v>6</v>
      </c>
      <c r="D131" t="s">
        <v>6</v>
      </c>
      <c r="E131" t="s">
        <v>720</v>
      </c>
      <c r="F131" t="s">
        <v>1197</v>
      </c>
      <c r="G131" t="s">
        <v>86</v>
      </c>
      <c r="H131" t="s">
        <v>1115</v>
      </c>
      <c r="I131" t="s">
        <v>6</v>
      </c>
    </row>
    <row r="132" spans="1:9">
      <c r="A132" t="s">
        <v>1123</v>
      </c>
      <c r="B132" t="s">
        <v>1223</v>
      </c>
      <c r="C132" t="s">
        <v>7</v>
      </c>
      <c r="D132">
        <v>20</v>
      </c>
      <c r="E132" t="s">
        <v>720</v>
      </c>
      <c r="F132" t="s">
        <v>1197</v>
      </c>
      <c r="G132" t="s">
        <v>86</v>
      </c>
      <c r="H132" t="s">
        <v>1115</v>
      </c>
      <c r="I132" t="s">
        <v>6</v>
      </c>
    </row>
    <row r="133" spans="1:9">
      <c r="A133" t="s">
        <v>1123</v>
      </c>
      <c r="B133" t="s">
        <v>1223</v>
      </c>
      <c r="C133" t="s">
        <v>8</v>
      </c>
      <c r="D133">
        <v>2</v>
      </c>
      <c r="E133" t="s">
        <v>720</v>
      </c>
      <c r="F133" t="s">
        <v>1197</v>
      </c>
      <c r="G133" t="s">
        <v>86</v>
      </c>
      <c r="H133" t="s">
        <v>1115</v>
      </c>
      <c r="I133" t="s">
        <v>6</v>
      </c>
    </row>
    <row r="134" spans="1:9">
      <c r="A134" t="s">
        <v>1123</v>
      </c>
      <c r="B134" t="s">
        <v>1223</v>
      </c>
      <c r="C134" t="s">
        <v>10</v>
      </c>
      <c r="D134">
        <v>6</v>
      </c>
      <c r="E134" t="s">
        <v>720</v>
      </c>
      <c r="F134" t="s">
        <v>1197</v>
      </c>
      <c r="G134" t="s">
        <v>86</v>
      </c>
      <c r="H134" t="s">
        <v>1115</v>
      </c>
      <c r="I134" t="s">
        <v>6</v>
      </c>
    </row>
    <row r="135" spans="1:9">
      <c r="A135" t="s">
        <v>1123</v>
      </c>
      <c r="B135" t="s">
        <v>1223</v>
      </c>
      <c r="C135" t="s">
        <v>11</v>
      </c>
      <c r="D135" t="s">
        <v>724</v>
      </c>
      <c r="E135" t="s">
        <v>720</v>
      </c>
      <c r="F135" t="s">
        <v>1197</v>
      </c>
      <c r="G135" t="s">
        <v>86</v>
      </c>
      <c r="H135" t="s">
        <v>1115</v>
      </c>
      <c r="I135" t="s">
        <v>6</v>
      </c>
    </row>
    <row r="136" spans="1:9">
      <c r="A136" t="s">
        <v>1123</v>
      </c>
      <c r="B136" t="s">
        <v>1223</v>
      </c>
      <c r="C136" t="s">
        <v>12</v>
      </c>
      <c r="D136" t="s">
        <v>532</v>
      </c>
      <c r="E136" t="s">
        <v>720</v>
      </c>
      <c r="F136" t="s">
        <v>1197</v>
      </c>
      <c r="G136" t="s">
        <v>86</v>
      </c>
      <c r="H136" t="s">
        <v>1115</v>
      </c>
      <c r="I136" t="s">
        <v>6</v>
      </c>
    </row>
    <row r="137" spans="1:9">
      <c r="A137" t="s">
        <v>1123</v>
      </c>
      <c r="B137" t="s">
        <v>1223</v>
      </c>
      <c r="C137" t="s">
        <v>13</v>
      </c>
      <c r="D137" t="s">
        <v>86</v>
      </c>
      <c r="E137" t="s">
        <v>720</v>
      </c>
      <c r="F137" t="s">
        <v>1197</v>
      </c>
      <c r="G137" t="s">
        <v>86</v>
      </c>
      <c r="H137" t="s">
        <v>1115</v>
      </c>
      <c r="I137" t="s">
        <v>6</v>
      </c>
    </row>
    <row r="138" spans="1:9">
      <c r="A138" t="s">
        <v>1123</v>
      </c>
      <c r="B138" t="s">
        <v>1224</v>
      </c>
      <c r="C138" t="s">
        <v>4</v>
      </c>
      <c r="D138" t="s">
        <v>756</v>
      </c>
      <c r="E138" t="s">
        <v>756</v>
      </c>
      <c r="F138" t="s">
        <v>1197</v>
      </c>
      <c r="G138" t="s">
        <v>86</v>
      </c>
      <c r="H138" t="s">
        <v>1115</v>
      </c>
      <c r="I138" t="s">
        <v>757</v>
      </c>
    </row>
    <row r="139" spans="1:9">
      <c r="A139" t="s">
        <v>1123</v>
      </c>
      <c r="B139" t="s">
        <v>1224</v>
      </c>
      <c r="C139" t="s">
        <v>6</v>
      </c>
      <c r="D139" t="s">
        <v>757</v>
      </c>
      <c r="E139" t="s">
        <v>756</v>
      </c>
      <c r="F139" t="s">
        <v>1197</v>
      </c>
      <c r="G139" t="s">
        <v>86</v>
      </c>
      <c r="H139" t="s">
        <v>1115</v>
      </c>
      <c r="I139" t="s">
        <v>757</v>
      </c>
    </row>
    <row r="140" spans="1:9">
      <c r="A140" t="s">
        <v>1123</v>
      </c>
      <c r="B140" t="s">
        <v>1224</v>
      </c>
      <c r="C140" t="s">
        <v>7</v>
      </c>
      <c r="D140">
        <v>20</v>
      </c>
      <c r="E140" t="s">
        <v>756</v>
      </c>
      <c r="F140" t="s">
        <v>1197</v>
      </c>
      <c r="G140" t="s">
        <v>86</v>
      </c>
      <c r="H140" t="s">
        <v>1115</v>
      </c>
      <c r="I140" t="s">
        <v>757</v>
      </c>
    </row>
    <row r="141" spans="1:9">
      <c r="A141" t="s">
        <v>1123</v>
      </c>
      <c r="B141" t="s">
        <v>1224</v>
      </c>
      <c r="C141" t="s">
        <v>8</v>
      </c>
      <c r="D141">
        <v>2</v>
      </c>
      <c r="E141" t="s">
        <v>756</v>
      </c>
      <c r="F141" t="s">
        <v>1197</v>
      </c>
      <c r="G141" t="s">
        <v>86</v>
      </c>
      <c r="H141" t="s">
        <v>1115</v>
      </c>
      <c r="I141" t="s">
        <v>757</v>
      </c>
    </row>
    <row r="142" spans="1:9">
      <c r="A142" t="s">
        <v>1123</v>
      </c>
      <c r="B142" t="s">
        <v>1224</v>
      </c>
      <c r="C142" t="s">
        <v>10</v>
      </c>
      <c r="D142">
        <v>6</v>
      </c>
      <c r="E142" t="s">
        <v>756</v>
      </c>
      <c r="F142" t="s">
        <v>1197</v>
      </c>
      <c r="G142" t="s">
        <v>86</v>
      </c>
      <c r="H142" t="s">
        <v>1115</v>
      </c>
      <c r="I142" t="s">
        <v>757</v>
      </c>
    </row>
    <row r="143" spans="1:9">
      <c r="A143" t="s">
        <v>1123</v>
      </c>
      <c r="B143" t="s">
        <v>1224</v>
      </c>
      <c r="C143" t="s">
        <v>11</v>
      </c>
      <c r="D143" t="s">
        <v>760</v>
      </c>
      <c r="E143" t="s">
        <v>756</v>
      </c>
      <c r="F143" t="s">
        <v>1197</v>
      </c>
      <c r="G143" t="s">
        <v>86</v>
      </c>
      <c r="H143" t="s">
        <v>1115</v>
      </c>
      <c r="I143" t="s">
        <v>757</v>
      </c>
    </row>
    <row r="144" spans="1:9">
      <c r="A144" t="s">
        <v>1123</v>
      </c>
      <c r="B144" t="s">
        <v>1224</v>
      </c>
      <c r="C144" t="s">
        <v>12</v>
      </c>
      <c r="D144" t="s">
        <v>532</v>
      </c>
      <c r="E144" t="s">
        <v>756</v>
      </c>
      <c r="F144" t="s">
        <v>1197</v>
      </c>
      <c r="G144" t="s">
        <v>86</v>
      </c>
      <c r="H144" t="s">
        <v>1115</v>
      </c>
      <c r="I144" t="s">
        <v>757</v>
      </c>
    </row>
    <row r="145" spans="1:9">
      <c r="A145" t="s">
        <v>1123</v>
      </c>
      <c r="B145" t="s">
        <v>1224</v>
      </c>
      <c r="C145" t="s">
        <v>13</v>
      </c>
      <c r="D145" t="s">
        <v>86</v>
      </c>
      <c r="E145" t="s">
        <v>756</v>
      </c>
      <c r="F145" t="s">
        <v>1197</v>
      </c>
      <c r="G145" t="s">
        <v>86</v>
      </c>
      <c r="H145" t="s">
        <v>1115</v>
      </c>
      <c r="I145" t="s">
        <v>757</v>
      </c>
    </row>
    <row r="146" spans="1:9">
      <c r="A146" t="s">
        <v>1123</v>
      </c>
      <c r="B146" t="s">
        <v>1225</v>
      </c>
      <c r="C146" t="s">
        <v>4</v>
      </c>
      <c r="D146" t="s">
        <v>803</v>
      </c>
      <c r="E146" t="s">
        <v>803</v>
      </c>
      <c r="F146" t="s">
        <v>1197</v>
      </c>
      <c r="G146" t="s">
        <v>86</v>
      </c>
      <c r="H146" t="s">
        <v>1115</v>
      </c>
      <c r="I146" t="s">
        <v>805</v>
      </c>
    </row>
    <row r="147" spans="1:9">
      <c r="A147" t="s">
        <v>1123</v>
      </c>
      <c r="B147" t="s">
        <v>1225</v>
      </c>
      <c r="C147" t="s">
        <v>6</v>
      </c>
      <c r="D147" t="s">
        <v>805</v>
      </c>
      <c r="E147" t="s">
        <v>803</v>
      </c>
      <c r="F147" t="s">
        <v>1197</v>
      </c>
      <c r="G147" t="s">
        <v>86</v>
      </c>
      <c r="H147" t="s">
        <v>1115</v>
      </c>
      <c r="I147" t="s">
        <v>805</v>
      </c>
    </row>
    <row r="148" spans="1:9">
      <c r="A148" t="s">
        <v>1123</v>
      </c>
      <c r="B148" t="s">
        <v>1225</v>
      </c>
      <c r="C148" t="s">
        <v>7</v>
      </c>
      <c r="D148">
        <v>20</v>
      </c>
      <c r="E148" t="s">
        <v>803</v>
      </c>
      <c r="F148" t="s">
        <v>1197</v>
      </c>
      <c r="G148" t="s">
        <v>86</v>
      </c>
      <c r="H148" t="s">
        <v>1115</v>
      </c>
      <c r="I148" t="s">
        <v>805</v>
      </c>
    </row>
    <row r="149" spans="1:9">
      <c r="A149" t="s">
        <v>1123</v>
      </c>
      <c r="B149" t="s">
        <v>1225</v>
      </c>
      <c r="C149" t="s">
        <v>8</v>
      </c>
      <c r="D149">
        <v>1</v>
      </c>
      <c r="E149" t="s">
        <v>803</v>
      </c>
      <c r="F149" t="s">
        <v>1197</v>
      </c>
      <c r="G149" t="s">
        <v>86</v>
      </c>
      <c r="H149" t="s">
        <v>1115</v>
      </c>
      <c r="I149" t="s">
        <v>805</v>
      </c>
    </row>
    <row r="150" spans="1:9">
      <c r="A150" t="s">
        <v>1123</v>
      </c>
      <c r="B150" t="s">
        <v>1225</v>
      </c>
      <c r="C150" t="s">
        <v>10</v>
      </c>
      <c r="D150">
        <v>6</v>
      </c>
      <c r="E150" t="s">
        <v>803</v>
      </c>
      <c r="F150" t="s">
        <v>1197</v>
      </c>
      <c r="G150" t="s">
        <v>86</v>
      </c>
      <c r="H150" t="s">
        <v>1115</v>
      </c>
      <c r="I150" t="s">
        <v>805</v>
      </c>
    </row>
    <row r="151" spans="1:9">
      <c r="A151" t="s">
        <v>1123</v>
      </c>
      <c r="B151" t="s">
        <v>1225</v>
      </c>
      <c r="C151" t="s">
        <v>11</v>
      </c>
      <c r="D151" t="s">
        <v>808</v>
      </c>
      <c r="E151" t="s">
        <v>803</v>
      </c>
      <c r="F151" t="s">
        <v>1197</v>
      </c>
      <c r="G151" t="s">
        <v>86</v>
      </c>
      <c r="H151" t="s">
        <v>1115</v>
      </c>
      <c r="I151" t="s">
        <v>805</v>
      </c>
    </row>
    <row r="152" spans="1:9">
      <c r="A152" t="s">
        <v>1123</v>
      </c>
      <c r="B152" t="s">
        <v>1225</v>
      </c>
      <c r="C152" t="s">
        <v>12</v>
      </c>
      <c r="D152" t="s">
        <v>532</v>
      </c>
      <c r="E152" t="s">
        <v>803</v>
      </c>
      <c r="F152" t="s">
        <v>1197</v>
      </c>
      <c r="G152" t="s">
        <v>86</v>
      </c>
      <c r="H152" t="s">
        <v>1115</v>
      </c>
      <c r="I152" t="s">
        <v>805</v>
      </c>
    </row>
    <row r="153" spans="1:9">
      <c r="A153" t="s">
        <v>1123</v>
      </c>
      <c r="B153" t="s">
        <v>1225</v>
      </c>
      <c r="C153" t="s">
        <v>13</v>
      </c>
      <c r="D153" t="s">
        <v>86</v>
      </c>
      <c r="E153" t="s">
        <v>803</v>
      </c>
      <c r="F153" t="s">
        <v>1197</v>
      </c>
      <c r="G153" t="s">
        <v>86</v>
      </c>
      <c r="H153" t="s">
        <v>1115</v>
      </c>
      <c r="I153" t="s">
        <v>805</v>
      </c>
    </row>
    <row r="154" spans="1:9">
      <c r="A154" t="s">
        <v>1123</v>
      </c>
      <c r="B154" t="s">
        <v>1226</v>
      </c>
      <c r="C154" t="s">
        <v>4</v>
      </c>
      <c r="D154" t="s">
        <v>840</v>
      </c>
      <c r="E154" t="s">
        <v>840</v>
      </c>
      <c r="F154" t="s">
        <v>1197</v>
      </c>
      <c r="G154" t="s">
        <v>86</v>
      </c>
      <c r="H154" t="s">
        <v>1115</v>
      </c>
      <c r="I154" t="s">
        <v>1105</v>
      </c>
    </row>
    <row r="155" spans="1:9">
      <c r="A155" t="s">
        <v>1123</v>
      </c>
      <c r="B155" t="s">
        <v>1226</v>
      </c>
      <c r="C155" t="s">
        <v>6</v>
      </c>
      <c r="D155" t="s">
        <v>842</v>
      </c>
      <c r="E155" t="s">
        <v>840</v>
      </c>
      <c r="F155" t="s">
        <v>1197</v>
      </c>
      <c r="G155" t="s">
        <v>86</v>
      </c>
      <c r="H155" t="s">
        <v>1115</v>
      </c>
      <c r="I155" t="s">
        <v>1105</v>
      </c>
    </row>
    <row r="156" spans="1:9">
      <c r="A156" t="s">
        <v>1123</v>
      </c>
      <c r="B156" t="s">
        <v>1226</v>
      </c>
      <c r="C156" t="s">
        <v>7</v>
      </c>
      <c r="D156">
        <v>20</v>
      </c>
      <c r="E156" t="s">
        <v>840</v>
      </c>
      <c r="F156" t="s">
        <v>1197</v>
      </c>
      <c r="G156" t="s">
        <v>86</v>
      </c>
      <c r="H156" t="s">
        <v>1115</v>
      </c>
      <c r="I156" t="s">
        <v>1105</v>
      </c>
    </row>
    <row r="157" spans="1:9">
      <c r="A157" t="s">
        <v>1123</v>
      </c>
      <c r="B157" t="s">
        <v>1226</v>
      </c>
      <c r="C157" t="s">
        <v>8</v>
      </c>
      <c r="D157" t="s">
        <v>843</v>
      </c>
      <c r="E157" t="s">
        <v>840</v>
      </c>
      <c r="F157" t="s">
        <v>1197</v>
      </c>
      <c r="G157" t="s">
        <v>86</v>
      </c>
      <c r="H157" t="s">
        <v>1115</v>
      </c>
      <c r="I157" t="s">
        <v>1105</v>
      </c>
    </row>
    <row r="158" spans="1:9">
      <c r="A158" t="s">
        <v>1123</v>
      </c>
      <c r="B158" t="s">
        <v>1226</v>
      </c>
      <c r="C158" t="s">
        <v>10</v>
      </c>
      <c r="D158">
        <v>6</v>
      </c>
      <c r="E158" t="s">
        <v>840</v>
      </c>
      <c r="F158" t="s">
        <v>1197</v>
      </c>
      <c r="G158" t="s">
        <v>86</v>
      </c>
      <c r="H158" t="s">
        <v>1115</v>
      </c>
      <c r="I158" t="s">
        <v>1105</v>
      </c>
    </row>
    <row r="159" spans="1:9">
      <c r="A159" t="s">
        <v>1123</v>
      </c>
      <c r="B159" t="s">
        <v>1226</v>
      </c>
      <c r="C159" t="s">
        <v>11</v>
      </c>
      <c r="D159" t="s">
        <v>845</v>
      </c>
      <c r="E159" t="s">
        <v>840</v>
      </c>
      <c r="F159" t="s">
        <v>1197</v>
      </c>
      <c r="G159" t="s">
        <v>86</v>
      </c>
      <c r="H159" t="s">
        <v>1115</v>
      </c>
      <c r="I159" t="s">
        <v>1105</v>
      </c>
    </row>
    <row r="160" spans="1:9">
      <c r="A160" t="s">
        <v>1123</v>
      </c>
      <c r="B160" t="s">
        <v>1226</v>
      </c>
      <c r="C160" t="s">
        <v>12</v>
      </c>
      <c r="D160" t="s">
        <v>85</v>
      </c>
      <c r="E160" t="s">
        <v>840</v>
      </c>
      <c r="F160" t="s">
        <v>1197</v>
      </c>
      <c r="G160" t="s">
        <v>86</v>
      </c>
      <c r="H160" t="s">
        <v>1115</v>
      </c>
      <c r="I160" t="s">
        <v>1105</v>
      </c>
    </row>
    <row r="161" spans="1:9">
      <c r="A161" t="s">
        <v>1123</v>
      </c>
      <c r="B161" t="s">
        <v>1226</v>
      </c>
      <c r="C161" t="s">
        <v>13</v>
      </c>
      <c r="D161" t="s">
        <v>86</v>
      </c>
      <c r="E161" t="s">
        <v>840</v>
      </c>
      <c r="F161" t="s">
        <v>1197</v>
      </c>
      <c r="G161" t="s">
        <v>86</v>
      </c>
      <c r="H161" t="s">
        <v>1115</v>
      </c>
      <c r="I161" t="s">
        <v>1105</v>
      </c>
    </row>
    <row r="162" spans="1:9">
      <c r="A162" t="s">
        <v>1123</v>
      </c>
      <c r="B162" t="s">
        <v>1214</v>
      </c>
      <c r="C162" t="s">
        <v>4</v>
      </c>
      <c r="D162" t="s">
        <v>877</v>
      </c>
      <c r="E162" t="s">
        <v>877</v>
      </c>
      <c r="F162" t="s">
        <v>1197</v>
      </c>
      <c r="G162" t="s">
        <v>86</v>
      </c>
      <c r="H162" t="s">
        <v>1115</v>
      </c>
      <c r="I162" t="s">
        <v>879</v>
      </c>
    </row>
    <row r="163" spans="1:9">
      <c r="A163" t="s">
        <v>1123</v>
      </c>
      <c r="B163" t="s">
        <v>1214</v>
      </c>
      <c r="C163" t="s">
        <v>6</v>
      </c>
      <c r="D163" t="s">
        <v>879</v>
      </c>
      <c r="E163" t="s">
        <v>877</v>
      </c>
      <c r="F163" t="s">
        <v>1197</v>
      </c>
      <c r="G163" t="s">
        <v>86</v>
      </c>
      <c r="H163" t="s">
        <v>1115</v>
      </c>
      <c r="I163" t="s">
        <v>879</v>
      </c>
    </row>
    <row r="164" spans="1:9">
      <c r="A164" t="s">
        <v>1123</v>
      </c>
      <c r="B164" t="s">
        <v>1214</v>
      </c>
      <c r="C164" t="s">
        <v>7</v>
      </c>
      <c r="D164">
        <v>40</v>
      </c>
      <c r="E164" t="s">
        <v>877</v>
      </c>
      <c r="F164" t="s">
        <v>1197</v>
      </c>
      <c r="G164" t="s">
        <v>86</v>
      </c>
      <c r="H164" t="s">
        <v>1115</v>
      </c>
      <c r="I164" t="s">
        <v>879</v>
      </c>
    </row>
    <row r="165" spans="1:9">
      <c r="A165" t="s">
        <v>1123</v>
      </c>
      <c r="B165" t="s">
        <v>1214</v>
      </c>
      <c r="C165" t="s">
        <v>8</v>
      </c>
      <c r="D165" t="s">
        <v>843</v>
      </c>
      <c r="E165" t="s">
        <v>877</v>
      </c>
      <c r="F165" t="s">
        <v>1197</v>
      </c>
      <c r="G165" t="s">
        <v>86</v>
      </c>
      <c r="H165" t="s">
        <v>1115</v>
      </c>
      <c r="I165" t="s">
        <v>879</v>
      </c>
    </row>
    <row r="166" spans="1:9">
      <c r="A166" t="s">
        <v>1123</v>
      </c>
      <c r="B166" t="s">
        <v>1214</v>
      </c>
      <c r="C166" t="s">
        <v>10</v>
      </c>
      <c r="D166">
        <v>6</v>
      </c>
      <c r="E166" t="s">
        <v>877</v>
      </c>
      <c r="F166" t="s">
        <v>1197</v>
      </c>
      <c r="G166" t="s">
        <v>86</v>
      </c>
      <c r="H166" t="s">
        <v>1115</v>
      </c>
      <c r="I166" t="s">
        <v>879</v>
      </c>
    </row>
    <row r="167" spans="1:9">
      <c r="A167" t="s">
        <v>1123</v>
      </c>
      <c r="B167" t="s">
        <v>1214</v>
      </c>
      <c r="C167" t="s">
        <v>11</v>
      </c>
      <c r="D167" t="s">
        <v>881</v>
      </c>
      <c r="E167" t="s">
        <v>877</v>
      </c>
      <c r="F167" t="s">
        <v>1197</v>
      </c>
      <c r="G167" t="s">
        <v>86</v>
      </c>
      <c r="H167" t="s">
        <v>1115</v>
      </c>
      <c r="I167" t="s">
        <v>879</v>
      </c>
    </row>
    <row r="168" spans="1:9">
      <c r="A168" t="s">
        <v>1123</v>
      </c>
      <c r="B168" t="s">
        <v>1214</v>
      </c>
      <c r="C168" t="s">
        <v>12</v>
      </c>
      <c r="D168" t="s">
        <v>883</v>
      </c>
      <c r="E168" t="s">
        <v>877</v>
      </c>
      <c r="F168" t="s">
        <v>1197</v>
      </c>
      <c r="G168" t="s">
        <v>86</v>
      </c>
      <c r="H168" t="s">
        <v>1115</v>
      </c>
      <c r="I168" t="s">
        <v>879</v>
      </c>
    </row>
    <row r="169" spans="1:9">
      <c r="A169" t="s">
        <v>1123</v>
      </c>
      <c r="B169" t="s">
        <v>1214</v>
      </c>
      <c r="C169" t="s">
        <v>13</v>
      </c>
      <c r="D169" t="s">
        <v>186</v>
      </c>
      <c r="E169" t="s">
        <v>877</v>
      </c>
      <c r="F169" t="s">
        <v>1197</v>
      </c>
      <c r="G169" t="s">
        <v>86</v>
      </c>
      <c r="H169" t="s">
        <v>1115</v>
      </c>
      <c r="I169" t="s">
        <v>879</v>
      </c>
    </row>
    <row r="170" spans="1:9">
      <c r="A170" t="s">
        <v>1123</v>
      </c>
      <c r="B170" t="s">
        <v>1215</v>
      </c>
      <c r="C170" t="s">
        <v>4</v>
      </c>
      <c r="D170" t="s">
        <v>930</v>
      </c>
      <c r="E170" t="s">
        <v>930</v>
      </c>
      <c r="F170" t="s">
        <v>1197</v>
      </c>
      <c r="G170" t="s">
        <v>86</v>
      </c>
      <c r="H170" t="s">
        <v>1115</v>
      </c>
      <c r="I170" t="s">
        <v>932</v>
      </c>
    </row>
    <row r="171" spans="1:9">
      <c r="A171" t="s">
        <v>1123</v>
      </c>
      <c r="B171" t="s">
        <v>1215</v>
      </c>
      <c r="C171" t="s">
        <v>6</v>
      </c>
      <c r="D171" t="s">
        <v>932</v>
      </c>
      <c r="E171" t="s">
        <v>930</v>
      </c>
      <c r="F171" t="s">
        <v>1197</v>
      </c>
      <c r="G171" t="s">
        <v>86</v>
      </c>
      <c r="H171" t="s">
        <v>1115</v>
      </c>
      <c r="I171" t="s">
        <v>932</v>
      </c>
    </row>
    <row r="172" spans="1:9">
      <c r="A172" t="s">
        <v>1123</v>
      </c>
      <c r="B172" t="s">
        <v>1215</v>
      </c>
      <c r="C172" t="s">
        <v>7</v>
      </c>
      <c r="D172">
        <v>20</v>
      </c>
      <c r="E172" t="s">
        <v>930</v>
      </c>
      <c r="F172" t="s">
        <v>1197</v>
      </c>
      <c r="G172" t="s">
        <v>86</v>
      </c>
      <c r="H172" t="s">
        <v>1115</v>
      </c>
      <c r="I172" t="s">
        <v>932</v>
      </c>
    </row>
    <row r="173" spans="1:9">
      <c r="A173" t="s">
        <v>1123</v>
      </c>
      <c r="B173" t="s">
        <v>1215</v>
      </c>
      <c r="C173" t="s">
        <v>8</v>
      </c>
      <c r="D173">
        <v>1</v>
      </c>
      <c r="E173" t="s">
        <v>930</v>
      </c>
      <c r="F173" t="s">
        <v>1197</v>
      </c>
      <c r="G173" t="s">
        <v>86</v>
      </c>
      <c r="H173" t="s">
        <v>1115</v>
      </c>
      <c r="I173" t="s">
        <v>932</v>
      </c>
    </row>
    <row r="174" spans="1:9">
      <c r="A174" t="s">
        <v>1123</v>
      </c>
      <c r="B174" t="s">
        <v>1215</v>
      </c>
      <c r="C174" t="s">
        <v>10</v>
      </c>
      <c r="D174">
        <v>6</v>
      </c>
      <c r="E174" t="s">
        <v>930</v>
      </c>
      <c r="F174" t="s">
        <v>1197</v>
      </c>
      <c r="G174" t="s">
        <v>86</v>
      </c>
      <c r="H174" t="s">
        <v>1115</v>
      </c>
      <c r="I174" t="s">
        <v>932</v>
      </c>
    </row>
    <row r="175" spans="1:9">
      <c r="A175" t="s">
        <v>1123</v>
      </c>
      <c r="B175" t="s">
        <v>1215</v>
      </c>
      <c r="C175" t="s">
        <v>11</v>
      </c>
      <c r="D175" t="s">
        <v>934</v>
      </c>
      <c r="E175" t="s">
        <v>930</v>
      </c>
      <c r="F175" t="s">
        <v>1197</v>
      </c>
      <c r="G175" t="s">
        <v>86</v>
      </c>
      <c r="H175" t="s">
        <v>1115</v>
      </c>
      <c r="I175" t="s">
        <v>932</v>
      </c>
    </row>
    <row r="176" spans="1:9">
      <c r="A176" t="s">
        <v>1123</v>
      </c>
      <c r="B176" t="s">
        <v>1215</v>
      </c>
      <c r="C176" t="s">
        <v>12</v>
      </c>
      <c r="D176" t="s">
        <v>532</v>
      </c>
      <c r="E176" t="s">
        <v>930</v>
      </c>
      <c r="F176" t="s">
        <v>1197</v>
      </c>
      <c r="G176" t="s">
        <v>86</v>
      </c>
      <c r="H176" t="s">
        <v>1115</v>
      </c>
      <c r="I176" t="s">
        <v>932</v>
      </c>
    </row>
    <row r="177" spans="1:9">
      <c r="A177" t="s">
        <v>1123</v>
      </c>
      <c r="B177" t="s">
        <v>1215</v>
      </c>
      <c r="C177" t="s">
        <v>13</v>
      </c>
      <c r="D177" t="s">
        <v>935</v>
      </c>
      <c r="E177" t="s">
        <v>930</v>
      </c>
      <c r="F177" t="s">
        <v>1197</v>
      </c>
      <c r="G177" t="s">
        <v>86</v>
      </c>
      <c r="H177" t="s">
        <v>1115</v>
      </c>
      <c r="I177" t="s">
        <v>932</v>
      </c>
    </row>
    <row r="178" spans="1:9">
      <c r="A178" t="s">
        <v>1123</v>
      </c>
      <c r="B178" t="s">
        <v>1216</v>
      </c>
      <c r="C178" t="s">
        <v>4</v>
      </c>
      <c r="D178" t="s">
        <v>965</v>
      </c>
      <c r="E178" t="s">
        <v>965</v>
      </c>
      <c r="F178" t="s">
        <v>1197</v>
      </c>
      <c r="G178" t="s">
        <v>86</v>
      </c>
      <c r="H178" t="s">
        <v>1115</v>
      </c>
      <c r="I178" t="s">
        <v>967</v>
      </c>
    </row>
    <row r="179" spans="1:9">
      <c r="A179" t="s">
        <v>1123</v>
      </c>
      <c r="B179" t="s">
        <v>1216</v>
      </c>
      <c r="C179" t="s">
        <v>6</v>
      </c>
      <c r="D179" t="s">
        <v>967</v>
      </c>
      <c r="E179" t="s">
        <v>965</v>
      </c>
      <c r="F179" t="s">
        <v>1197</v>
      </c>
      <c r="G179" t="s">
        <v>86</v>
      </c>
      <c r="H179" t="s">
        <v>1115</v>
      </c>
      <c r="I179" t="s">
        <v>967</v>
      </c>
    </row>
    <row r="180" spans="1:9">
      <c r="A180" t="s">
        <v>1123</v>
      </c>
      <c r="B180" t="s">
        <v>1216</v>
      </c>
      <c r="C180" t="s">
        <v>7</v>
      </c>
      <c r="D180">
        <v>20</v>
      </c>
      <c r="E180" t="s">
        <v>965</v>
      </c>
      <c r="F180" t="s">
        <v>1197</v>
      </c>
      <c r="G180" t="s">
        <v>86</v>
      </c>
      <c r="H180" t="s">
        <v>1115</v>
      </c>
      <c r="I180" t="s">
        <v>967</v>
      </c>
    </row>
    <row r="181" spans="1:9">
      <c r="A181" t="s">
        <v>1123</v>
      </c>
      <c r="B181" t="s">
        <v>1216</v>
      </c>
      <c r="C181" t="s">
        <v>8</v>
      </c>
      <c r="D181">
        <v>1</v>
      </c>
      <c r="E181" t="s">
        <v>965</v>
      </c>
      <c r="F181" t="s">
        <v>1197</v>
      </c>
      <c r="G181" t="s">
        <v>86</v>
      </c>
      <c r="H181" t="s">
        <v>1115</v>
      </c>
      <c r="I181" t="s">
        <v>967</v>
      </c>
    </row>
    <row r="182" spans="1:9">
      <c r="A182" t="s">
        <v>1123</v>
      </c>
      <c r="B182" t="s">
        <v>1216</v>
      </c>
      <c r="C182" t="s">
        <v>10</v>
      </c>
      <c r="D182">
        <v>6</v>
      </c>
      <c r="E182" t="s">
        <v>965</v>
      </c>
      <c r="F182" t="s">
        <v>1197</v>
      </c>
      <c r="G182" t="s">
        <v>86</v>
      </c>
      <c r="H182" t="s">
        <v>1115</v>
      </c>
      <c r="I182" t="s">
        <v>967</v>
      </c>
    </row>
    <row r="183" spans="1:9">
      <c r="A183" t="s">
        <v>1123</v>
      </c>
      <c r="B183" t="s">
        <v>1216</v>
      </c>
      <c r="C183" t="s">
        <v>11</v>
      </c>
      <c r="D183" t="s">
        <v>969</v>
      </c>
      <c r="E183" t="s">
        <v>965</v>
      </c>
      <c r="F183" t="s">
        <v>1197</v>
      </c>
      <c r="G183" t="s">
        <v>86</v>
      </c>
      <c r="H183" t="s">
        <v>1115</v>
      </c>
      <c r="I183" t="s">
        <v>967</v>
      </c>
    </row>
    <row r="184" spans="1:9">
      <c r="A184" t="s">
        <v>1123</v>
      </c>
      <c r="B184" t="s">
        <v>1216</v>
      </c>
      <c r="C184" t="s">
        <v>12</v>
      </c>
      <c r="D184" t="s">
        <v>532</v>
      </c>
      <c r="E184" t="s">
        <v>965</v>
      </c>
      <c r="F184" t="s">
        <v>1197</v>
      </c>
      <c r="G184" t="s">
        <v>86</v>
      </c>
      <c r="H184" t="s">
        <v>1115</v>
      </c>
      <c r="I184" t="s">
        <v>967</v>
      </c>
    </row>
    <row r="185" spans="1:9">
      <c r="A185" t="s">
        <v>1123</v>
      </c>
      <c r="B185" t="s">
        <v>1216</v>
      </c>
      <c r="C185" t="s">
        <v>13</v>
      </c>
      <c r="D185" t="s">
        <v>935</v>
      </c>
      <c r="E185" t="s">
        <v>965</v>
      </c>
      <c r="F185" t="s">
        <v>1197</v>
      </c>
      <c r="G185" t="s">
        <v>86</v>
      </c>
      <c r="H185" t="s">
        <v>1115</v>
      </c>
      <c r="I185" t="s">
        <v>967</v>
      </c>
    </row>
    <row r="186" spans="1:9">
      <c r="A186" t="s">
        <v>1123</v>
      </c>
      <c r="B186" t="s">
        <v>1217</v>
      </c>
      <c r="C186" t="s">
        <v>4</v>
      </c>
      <c r="D186" t="s">
        <v>992</v>
      </c>
      <c r="E186" t="s">
        <v>992</v>
      </c>
      <c r="F186" t="s">
        <v>1197</v>
      </c>
      <c r="G186" t="s">
        <v>86</v>
      </c>
      <c r="H186" t="s">
        <v>1115</v>
      </c>
      <c r="I186" t="s">
        <v>994</v>
      </c>
    </row>
    <row r="187" spans="1:9">
      <c r="A187" t="s">
        <v>1123</v>
      </c>
      <c r="B187" t="s">
        <v>1217</v>
      </c>
      <c r="C187" t="s">
        <v>6</v>
      </c>
      <c r="D187" t="s">
        <v>994</v>
      </c>
      <c r="E187" t="s">
        <v>992</v>
      </c>
      <c r="F187" t="s">
        <v>1197</v>
      </c>
      <c r="G187" t="s">
        <v>86</v>
      </c>
      <c r="H187" t="s">
        <v>1115</v>
      </c>
      <c r="I187" t="s">
        <v>994</v>
      </c>
    </row>
    <row r="188" spans="1:9">
      <c r="A188" t="s">
        <v>1123</v>
      </c>
      <c r="B188" t="s">
        <v>1217</v>
      </c>
      <c r="C188" t="s">
        <v>7</v>
      </c>
      <c r="D188">
        <v>20</v>
      </c>
      <c r="E188" t="s">
        <v>992</v>
      </c>
      <c r="F188" t="s">
        <v>1197</v>
      </c>
      <c r="G188" t="s">
        <v>86</v>
      </c>
      <c r="H188" t="s">
        <v>1115</v>
      </c>
      <c r="I188" t="s">
        <v>994</v>
      </c>
    </row>
    <row r="189" spans="1:9">
      <c r="A189" t="s">
        <v>1123</v>
      </c>
      <c r="B189" t="s">
        <v>1217</v>
      </c>
      <c r="C189" t="s">
        <v>8</v>
      </c>
      <c r="D189">
        <v>1</v>
      </c>
      <c r="E189" t="s">
        <v>992</v>
      </c>
      <c r="F189" t="s">
        <v>1197</v>
      </c>
      <c r="G189" t="s">
        <v>86</v>
      </c>
      <c r="H189" t="s">
        <v>1115</v>
      </c>
      <c r="I189" t="s">
        <v>994</v>
      </c>
    </row>
    <row r="190" spans="1:9">
      <c r="A190" t="s">
        <v>1123</v>
      </c>
      <c r="B190" t="s">
        <v>1217</v>
      </c>
      <c r="C190" t="s">
        <v>10</v>
      </c>
      <c r="D190">
        <v>6</v>
      </c>
      <c r="E190" t="s">
        <v>992</v>
      </c>
      <c r="F190" t="s">
        <v>1197</v>
      </c>
      <c r="G190" t="s">
        <v>86</v>
      </c>
      <c r="H190" t="s">
        <v>1115</v>
      </c>
      <c r="I190" t="s">
        <v>994</v>
      </c>
    </row>
    <row r="191" spans="1:9">
      <c r="A191" t="s">
        <v>1123</v>
      </c>
      <c r="B191" t="s">
        <v>1217</v>
      </c>
      <c r="C191" t="s">
        <v>11</v>
      </c>
      <c r="D191" t="s">
        <v>996</v>
      </c>
      <c r="E191" t="s">
        <v>992</v>
      </c>
      <c r="F191" t="s">
        <v>1197</v>
      </c>
      <c r="G191" t="s">
        <v>86</v>
      </c>
      <c r="H191" t="s">
        <v>1115</v>
      </c>
      <c r="I191" t="s">
        <v>994</v>
      </c>
    </row>
    <row r="192" spans="1:9">
      <c r="A192" t="s">
        <v>1123</v>
      </c>
      <c r="B192" t="s">
        <v>1217</v>
      </c>
      <c r="C192" t="s">
        <v>12</v>
      </c>
      <c r="D192" t="s">
        <v>532</v>
      </c>
      <c r="E192" t="s">
        <v>992</v>
      </c>
      <c r="F192" t="s">
        <v>1197</v>
      </c>
      <c r="G192" t="s">
        <v>86</v>
      </c>
      <c r="H192" t="s">
        <v>1115</v>
      </c>
      <c r="I192" t="s">
        <v>994</v>
      </c>
    </row>
    <row r="193" spans="1:9">
      <c r="A193" t="s">
        <v>1123</v>
      </c>
      <c r="B193" t="s">
        <v>1217</v>
      </c>
      <c r="C193" t="s">
        <v>13</v>
      </c>
      <c r="D193" t="s">
        <v>935</v>
      </c>
      <c r="E193" t="s">
        <v>992</v>
      </c>
      <c r="F193" t="s">
        <v>1197</v>
      </c>
      <c r="G193" t="s">
        <v>86</v>
      </c>
      <c r="H193" t="s">
        <v>1115</v>
      </c>
      <c r="I193" t="s">
        <v>994</v>
      </c>
    </row>
    <row r="194" spans="1:9">
      <c r="A194" t="s">
        <v>1116</v>
      </c>
      <c r="B194" t="s">
        <v>1198</v>
      </c>
      <c r="C194" t="s">
        <v>4</v>
      </c>
      <c r="D194" t="s">
        <v>1104</v>
      </c>
      <c r="E194" t="s">
        <v>1104</v>
      </c>
      <c r="F194" t="s">
        <v>1197</v>
      </c>
      <c r="G194" t="s">
        <v>86</v>
      </c>
      <c r="H194" t="s">
        <v>1115</v>
      </c>
      <c r="I194" t="s">
        <v>1106</v>
      </c>
    </row>
    <row r="195" spans="1:9">
      <c r="A195" t="s">
        <v>1116</v>
      </c>
      <c r="B195" t="s">
        <v>1198</v>
      </c>
      <c r="C195" t="s">
        <v>6</v>
      </c>
      <c r="D195" t="s">
        <v>1106</v>
      </c>
      <c r="E195" t="s">
        <v>1104</v>
      </c>
      <c r="F195" t="s">
        <v>1197</v>
      </c>
      <c r="G195" t="s">
        <v>86</v>
      </c>
      <c r="H195" t="s">
        <v>1115</v>
      </c>
      <c r="I195" t="s">
        <v>1106</v>
      </c>
    </row>
    <row r="196" spans="1:9">
      <c r="A196" t="s">
        <v>1116</v>
      </c>
      <c r="B196" t="s">
        <v>1198</v>
      </c>
      <c r="C196" t="s">
        <v>7</v>
      </c>
      <c r="D196">
        <v>20</v>
      </c>
      <c r="E196" t="s">
        <v>1104</v>
      </c>
      <c r="F196" t="s">
        <v>1197</v>
      </c>
      <c r="G196" t="s">
        <v>86</v>
      </c>
      <c r="H196" t="s">
        <v>1115</v>
      </c>
      <c r="I196" t="s">
        <v>1106</v>
      </c>
    </row>
    <row r="197" spans="1:9">
      <c r="A197" t="s">
        <v>1116</v>
      </c>
      <c r="B197" t="s">
        <v>1198</v>
      </c>
      <c r="C197" t="s">
        <v>8</v>
      </c>
      <c r="D197">
        <v>1</v>
      </c>
      <c r="E197" t="s">
        <v>1104</v>
      </c>
      <c r="F197" t="s">
        <v>1197</v>
      </c>
      <c r="G197" t="s">
        <v>86</v>
      </c>
      <c r="H197" t="s">
        <v>1115</v>
      </c>
      <c r="I197" t="s">
        <v>1106</v>
      </c>
    </row>
    <row r="198" spans="1:9">
      <c r="A198" t="s">
        <v>1116</v>
      </c>
      <c r="B198" t="s">
        <v>1198</v>
      </c>
      <c r="C198" t="s">
        <v>10</v>
      </c>
      <c r="D198">
        <v>6</v>
      </c>
      <c r="E198" t="s">
        <v>1104</v>
      </c>
      <c r="F198" t="s">
        <v>1197</v>
      </c>
      <c r="G198" t="s">
        <v>86</v>
      </c>
      <c r="H198" t="s">
        <v>1115</v>
      </c>
      <c r="I198" t="s">
        <v>1106</v>
      </c>
    </row>
    <row r="199" spans="1:9">
      <c r="A199" t="s">
        <v>1116</v>
      </c>
      <c r="B199" t="s">
        <v>1198</v>
      </c>
      <c r="C199" t="s">
        <v>11</v>
      </c>
      <c r="D199" t="s">
        <v>1194</v>
      </c>
      <c r="E199" t="s">
        <v>1104</v>
      </c>
      <c r="F199" t="s">
        <v>1197</v>
      </c>
      <c r="G199" t="s">
        <v>86</v>
      </c>
      <c r="H199" t="s">
        <v>1115</v>
      </c>
      <c r="I199" t="s">
        <v>1106</v>
      </c>
    </row>
    <row r="200" spans="1:9">
      <c r="A200" t="s">
        <v>1116</v>
      </c>
      <c r="B200" t="s">
        <v>1198</v>
      </c>
      <c r="C200" t="s">
        <v>12</v>
      </c>
      <c r="D200" t="s">
        <v>532</v>
      </c>
      <c r="E200" t="s">
        <v>1104</v>
      </c>
      <c r="F200" t="s">
        <v>1197</v>
      </c>
      <c r="G200" t="s">
        <v>86</v>
      </c>
      <c r="H200" t="s">
        <v>1115</v>
      </c>
      <c r="I200" t="s">
        <v>1106</v>
      </c>
    </row>
    <row r="201" spans="1:9">
      <c r="A201" t="s">
        <v>1116</v>
      </c>
      <c r="B201" t="s">
        <v>1198</v>
      </c>
      <c r="C201" t="s">
        <v>13</v>
      </c>
      <c r="D201" t="s">
        <v>186</v>
      </c>
      <c r="E201" t="s">
        <v>1104</v>
      </c>
      <c r="F201" t="s">
        <v>1197</v>
      </c>
      <c r="G201" t="s">
        <v>86</v>
      </c>
      <c r="H201" t="s">
        <v>1115</v>
      </c>
      <c r="I201" t="s">
        <v>1106</v>
      </c>
    </row>
    <row r="202" spans="1:9">
      <c r="A202" t="s">
        <v>1118</v>
      </c>
      <c r="B202" t="s">
        <v>1199</v>
      </c>
      <c r="C202" t="s">
        <v>4</v>
      </c>
      <c r="D202" t="s">
        <v>1086</v>
      </c>
      <c r="E202" t="s">
        <v>1086</v>
      </c>
      <c r="F202" t="s">
        <v>1197</v>
      </c>
      <c r="G202" t="s">
        <v>86</v>
      </c>
      <c r="H202" t="s">
        <v>1115</v>
      </c>
      <c r="I202" t="s">
        <v>1087</v>
      </c>
    </row>
    <row r="203" spans="1:9">
      <c r="A203" t="s">
        <v>1118</v>
      </c>
      <c r="B203" t="s">
        <v>1199</v>
      </c>
      <c r="C203" t="s">
        <v>6</v>
      </c>
      <c r="D203" t="s">
        <v>1087</v>
      </c>
      <c r="E203" t="s">
        <v>1086</v>
      </c>
      <c r="F203" t="s">
        <v>1197</v>
      </c>
      <c r="G203" t="s">
        <v>86</v>
      </c>
      <c r="H203" t="s">
        <v>1115</v>
      </c>
      <c r="I203" t="s">
        <v>1087</v>
      </c>
    </row>
    <row r="204" spans="1:9">
      <c r="A204" t="s">
        <v>1118</v>
      </c>
      <c r="B204" t="s">
        <v>1199</v>
      </c>
      <c r="C204" t="s">
        <v>7</v>
      </c>
      <c r="D204">
        <v>20</v>
      </c>
      <c r="E204" t="s">
        <v>1086</v>
      </c>
      <c r="F204" t="s">
        <v>1197</v>
      </c>
      <c r="G204" t="s">
        <v>86</v>
      </c>
      <c r="H204" t="s">
        <v>1115</v>
      </c>
      <c r="I204" t="s">
        <v>1087</v>
      </c>
    </row>
    <row r="205" spans="1:9">
      <c r="A205" t="s">
        <v>1118</v>
      </c>
      <c r="B205" t="s">
        <v>1199</v>
      </c>
      <c r="C205" t="s">
        <v>8</v>
      </c>
      <c r="D205">
        <v>1</v>
      </c>
      <c r="E205" t="s">
        <v>1086</v>
      </c>
      <c r="F205" t="s">
        <v>1197</v>
      </c>
      <c r="G205" t="s">
        <v>86</v>
      </c>
      <c r="H205" t="s">
        <v>1115</v>
      </c>
      <c r="I205" t="s">
        <v>1087</v>
      </c>
    </row>
    <row r="206" spans="1:9">
      <c r="A206" t="s">
        <v>1118</v>
      </c>
      <c r="B206" t="s">
        <v>1199</v>
      </c>
      <c r="C206" t="s">
        <v>10</v>
      </c>
      <c r="D206">
        <v>4</v>
      </c>
      <c r="E206" t="s">
        <v>1086</v>
      </c>
      <c r="F206" t="s">
        <v>1197</v>
      </c>
      <c r="G206" t="s">
        <v>86</v>
      </c>
      <c r="H206" t="s">
        <v>1115</v>
      </c>
      <c r="I206" t="s">
        <v>1087</v>
      </c>
    </row>
    <row r="207" spans="1:9">
      <c r="A207" t="s">
        <v>1118</v>
      </c>
      <c r="B207" t="s">
        <v>1199</v>
      </c>
      <c r="C207" t="s">
        <v>11</v>
      </c>
      <c r="D207" t="s">
        <v>1088</v>
      </c>
      <c r="E207" t="s">
        <v>1086</v>
      </c>
      <c r="F207" t="s">
        <v>1197</v>
      </c>
      <c r="G207" t="s">
        <v>86</v>
      </c>
      <c r="H207" t="s">
        <v>1115</v>
      </c>
      <c r="I207" t="s">
        <v>1087</v>
      </c>
    </row>
    <row r="208" spans="1:9">
      <c r="A208" t="s">
        <v>1118</v>
      </c>
      <c r="B208" t="s">
        <v>1199</v>
      </c>
      <c r="C208" t="s">
        <v>12</v>
      </c>
      <c r="D208" t="s">
        <v>147</v>
      </c>
      <c r="E208" t="s">
        <v>1086</v>
      </c>
      <c r="F208" t="s">
        <v>1197</v>
      </c>
      <c r="G208" t="s">
        <v>86</v>
      </c>
      <c r="H208" t="s">
        <v>1115</v>
      </c>
      <c r="I208" t="s">
        <v>1087</v>
      </c>
    </row>
    <row r="209" spans="1:9">
      <c r="A209" t="s">
        <v>1118</v>
      </c>
      <c r="B209" t="s">
        <v>1199</v>
      </c>
      <c r="C209" t="s">
        <v>13</v>
      </c>
      <c r="D209" t="s">
        <v>225</v>
      </c>
      <c r="E209" t="s">
        <v>1086</v>
      </c>
      <c r="F209" t="s">
        <v>1197</v>
      </c>
      <c r="G209" t="s">
        <v>86</v>
      </c>
      <c r="H209" t="s">
        <v>1115</v>
      </c>
      <c r="I209" t="s">
        <v>1087</v>
      </c>
    </row>
    <row r="210" spans="1:9">
      <c r="A210" t="s">
        <v>1118</v>
      </c>
      <c r="B210" t="s">
        <v>1200</v>
      </c>
      <c r="C210" t="s">
        <v>4</v>
      </c>
      <c r="D210" t="s">
        <v>1093</v>
      </c>
      <c r="E210" t="s">
        <v>1093</v>
      </c>
      <c r="F210" t="s">
        <v>1197</v>
      </c>
      <c r="G210" t="s">
        <v>86</v>
      </c>
      <c r="H210" t="s">
        <v>1115</v>
      </c>
      <c r="I210" t="s">
        <v>1120</v>
      </c>
    </row>
    <row r="211" spans="1:9">
      <c r="A211" t="s">
        <v>1118</v>
      </c>
      <c r="B211" t="s">
        <v>1200</v>
      </c>
      <c r="C211" t="s">
        <v>6</v>
      </c>
      <c r="D211" t="s">
        <v>1120</v>
      </c>
      <c r="E211" t="s">
        <v>1093</v>
      </c>
      <c r="F211" t="s">
        <v>1197</v>
      </c>
      <c r="G211" t="s">
        <v>86</v>
      </c>
      <c r="H211" t="s">
        <v>1115</v>
      </c>
      <c r="I211" t="s">
        <v>1120</v>
      </c>
    </row>
    <row r="212" spans="1:9">
      <c r="A212" t="s">
        <v>1118</v>
      </c>
      <c r="B212" t="s">
        <v>1200</v>
      </c>
      <c r="C212" t="s">
        <v>7</v>
      </c>
      <c r="D212">
        <v>20</v>
      </c>
      <c r="E212" t="s">
        <v>1093</v>
      </c>
      <c r="F212" t="s">
        <v>1197</v>
      </c>
      <c r="G212" t="s">
        <v>86</v>
      </c>
      <c r="H212" t="s">
        <v>1115</v>
      </c>
      <c r="I212" t="s">
        <v>1120</v>
      </c>
    </row>
    <row r="213" spans="1:9">
      <c r="A213" t="s">
        <v>1118</v>
      </c>
      <c r="B213" t="s">
        <v>1200</v>
      </c>
      <c r="C213" t="s">
        <v>8</v>
      </c>
      <c r="D213">
        <v>2</v>
      </c>
      <c r="E213" t="s">
        <v>1093</v>
      </c>
      <c r="F213" t="s">
        <v>1197</v>
      </c>
      <c r="G213" t="s">
        <v>86</v>
      </c>
      <c r="H213" t="s">
        <v>1115</v>
      </c>
      <c r="I213" t="s">
        <v>1120</v>
      </c>
    </row>
    <row r="214" spans="1:9">
      <c r="A214" t="s">
        <v>1118</v>
      </c>
      <c r="B214" t="s">
        <v>1200</v>
      </c>
      <c r="C214" t="s">
        <v>10</v>
      </c>
      <c r="D214">
        <v>5</v>
      </c>
      <c r="E214" t="s">
        <v>1093</v>
      </c>
      <c r="F214" t="s">
        <v>1197</v>
      </c>
      <c r="G214" t="s">
        <v>86</v>
      </c>
      <c r="H214" t="s">
        <v>1115</v>
      </c>
      <c r="I214" t="s">
        <v>1120</v>
      </c>
    </row>
    <row r="215" spans="1:9">
      <c r="A215" t="s">
        <v>1118</v>
      </c>
      <c r="B215" t="s">
        <v>1200</v>
      </c>
      <c r="C215" t="s">
        <v>11</v>
      </c>
      <c r="D215" t="s">
        <v>1095</v>
      </c>
      <c r="E215" t="s">
        <v>1093</v>
      </c>
      <c r="F215" t="s">
        <v>1197</v>
      </c>
      <c r="G215" t="s">
        <v>86</v>
      </c>
      <c r="H215" t="s">
        <v>1115</v>
      </c>
      <c r="I215" t="s">
        <v>1120</v>
      </c>
    </row>
    <row r="216" spans="1:9">
      <c r="A216" t="s">
        <v>1118</v>
      </c>
      <c r="B216" t="s">
        <v>1200</v>
      </c>
      <c r="C216" t="s">
        <v>12</v>
      </c>
      <c r="D216" t="s">
        <v>147</v>
      </c>
      <c r="E216" t="s">
        <v>1093</v>
      </c>
      <c r="F216" t="s">
        <v>1197</v>
      </c>
      <c r="G216" t="s">
        <v>86</v>
      </c>
      <c r="H216" t="s">
        <v>1115</v>
      </c>
      <c r="I216" t="s">
        <v>1120</v>
      </c>
    </row>
    <row r="217" spans="1:9">
      <c r="A217" t="s">
        <v>1118</v>
      </c>
      <c r="B217" t="s">
        <v>1200</v>
      </c>
      <c r="C217" t="s">
        <v>13</v>
      </c>
      <c r="D217" t="s">
        <v>186</v>
      </c>
      <c r="E217" t="s">
        <v>1093</v>
      </c>
      <c r="F217" t="s">
        <v>1197</v>
      </c>
      <c r="G217" t="s">
        <v>86</v>
      </c>
      <c r="H217" t="s">
        <v>1115</v>
      </c>
      <c r="I217" t="s">
        <v>1120</v>
      </c>
    </row>
    <row r="218" spans="1:9">
      <c r="A218" t="s">
        <v>1118</v>
      </c>
      <c r="B218" t="s">
        <v>1201</v>
      </c>
      <c r="C218" t="s">
        <v>4</v>
      </c>
      <c r="D218" t="s">
        <v>1100</v>
      </c>
      <c r="E218" t="s">
        <v>1100</v>
      </c>
      <c r="F218" t="s">
        <v>1197</v>
      </c>
      <c r="G218" t="s">
        <v>86</v>
      </c>
      <c r="H218" t="s">
        <v>1115</v>
      </c>
      <c r="I218" t="s">
        <v>1101</v>
      </c>
    </row>
    <row r="219" spans="1:9">
      <c r="A219" t="s">
        <v>1118</v>
      </c>
      <c r="B219" t="s">
        <v>1201</v>
      </c>
      <c r="C219" t="s">
        <v>6</v>
      </c>
      <c r="D219" t="s">
        <v>1101</v>
      </c>
      <c r="E219" t="s">
        <v>1100</v>
      </c>
      <c r="F219" t="s">
        <v>1197</v>
      </c>
      <c r="G219" t="s">
        <v>86</v>
      </c>
      <c r="H219" t="s">
        <v>1115</v>
      </c>
      <c r="I219" t="s">
        <v>1101</v>
      </c>
    </row>
    <row r="220" spans="1:9">
      <c r="A220" t="s">
        <v>1118</v>
      </c>
      <c r="B220" t="s">
        <v>1201</v>
      </c>
      <c r="C220" t="s">
        <v>7</v>
      </c>
      <c r="D220">
        <v>20</v>
      </c>
      <c r="E220" t="s">
        <v>1100</v>
      </c>
      <c r="F220" t="s">
        <v>1197</v>
      </c>
      <c r="G220" t="s">
        <v>86</v>
      </c>
      <c r="H220" t="s">
        <v>1115</v>
      </c>
      <c r="I220" t="s">
        <v>1101</v>
      </c>
    </row>
    <row r="221" spans="1:9">
      <c r="A221" t="s">
        <v>1118</v>
      </c>
      <c r="B221" t="s">
        <v>1201</v>
      </c>
      <c r="C221" t="s">
        <v>8</v>
      </c>
      <c r="D221">
        <v>1</v>
      </c>
      <c r="E221" t="s">
        <v>1100</v>
      </c>
      <c r="F221" t="s">
        <v>1197</v>
      </c>
      <c r="G221" t="s">
        <v>86</v>
      </c>
      <c r="H221" t="s">
        <v>1115</v>
      </c>
      <c r="I221" t="s">
        <v>1101</v>
      </c>
    </row>
    <row r="222" spans="1:9">
      <c r="A222" t="s">
        <v>1118</v>
      </c>
      <c r="B222" t="s">
        <v>1201</v>
      </c>
      <c r="C222" t="s">
        <v>10</v>
      </c>
      <c r="D222">
        <v>6</v>
      </c>
      <c r="E222" t="s">
        <v>1100</v>
      </c>
      <c r="F222" t="s">
        <v>1197</v>
      </c>
      <c r="G222" t="s">
        <v>86</v>
      </c>
      <c r="H222" t="s">
        <v>1115</v>
      </c>
      <c r="I222" t="s">
        <v>1101</v>
      </c>
    </row>
    <row r="223" spans="1:9">
      <c r="A223" t="s">
        <v>1118</v>
      </c>
      <c r="B223" t="s">
        <v>1201</v>
      </c>
      <c r="C223" t="s">
        <v>11</v>
      </c>
      <c r="D223" t="s">
        <v>1102</v>
      </c>
      <c r="E223" t="s">
        <v>1100</v>
      </c>
      <c r="F223" t="s">
        <v>1197</v>
      </c>
      <c r="G223" t="s">
        <v>86</v>
      </c>
      <c r="H223" t="s">
        <v>1115</v>
      </c>
      <c r="I223" t="s">
        <v>1101</v>
      </c>
    </row>
    <row r="224" spans="1:9">
      <c r="A224" t="s">
        <v>1118</v>
      </c>
      <c r="B224" t="s">
        <v>1201</v>
      </c>
      <c r="C224" t="s">
        <v>12</v>
      </c>
      <c r="D224" t="s">
        <v>147</v>
      </c>
      <c r="E224" t="s">
        <v>1100</v>
      </c>
      <c r="F224" t="s">
        <v>1197</v>
      </c>
      <c r="G224" t="s">
        <v>86</v>
      </c>
      <c r="H224" t="s">
        <v>1115</v>
      </c>
      <c r="I224" t="s">
        <v>1101</v>
      </c>
    </row>
    <row r="225" spans="1:9">
      <c r="A225" t="s">
        <v>1118</v>
      </c>
      <c r="B225" t="s">
        <v>1201</v>
      </c>
      <c r="C225" t="s">
        <v>13</v>
      </c>
      <c r="D225" t="s">
        <v>1059</v>
      </c>
      <c r="E225" t="s">
        <v>1100</v>
      </c>
      <c r="F225" t="s">
        <v>1197</v>
      </c>
      <c r="G225" t="s">
        <v>86</v>
      </c>
      <c r="H225" t="s">
        <v>1115</v>
      </c>
      <c r="I225" t="s">
        <v>1101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F5424D8F461E94980DF8EC8486B8636" ma:contentTypeVersion="10" ma:contentTypeDescription="Create a new document." ma:contentTypeScope="" ma:versionID="bcfcf74337161f6441250f8f4cf7d932">
  <xsd:schema xmlns:xsd="http://www.w3.org/2001/XMLSchema" xmlns:xs="http://www.w3.org/2001/XMLSchema" xmlns:p="http://schemas.microsoft.com/office/2006/metadata/properties" xmlns:ns2="f1436123-e04c-43f8-b7d8-6e3401685a6a" xmlns:ns3="e2acc87f-978a-4c56-9887-574fe2c7e53e" targetNamespace="http://schemas.microsoft.com/office/2006/metadata/properties" ma:root="true" ma:fieldsID="c081e04d381fea11733dd13b3c4e862f" ns2:_="" ns3:_="">
    <xsd:import namespace="f1436123-e04c-43f8-b7d8-6e3401685a6a"/>
    <xsd:import namespace="e2acc87f-978a-4c56-9887-574fe2c7e53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Location"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1436123-e04c-43f8-b7d8-6e3401685a6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13fea976-0fb7-4036-bc8a-08177e9f5879" ma:termSetId="09814cd3-568e-fe90-9814-8d621ff8fb84" ma:anchorId="fba54fb3-c3e1-fe81-a776-ca4b69148c4d" ma:open="true" ma:isKeyword="false">
      <xsd:complexType>
        <xsd:sequence>
          <xsd:element ref="pc:Terms" minOccurs="0" maxOccurs="1"/>
        </xsd:sequence>
      </xsd:complexType>
    </xsd:element>
    <xsd:element name="MediaServiceLocation" ma:index="15" nillable="true" ma:displayName="Location" ma:indexed="true" ma:internalName="MediaServiceLocation" ma:readOnly="true">
      <xsd:simpleType>
        <xsd:restriction base="dms:Text"/>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e2acc87f-978a-4c56-9887-574fe2c7e53e"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ac9bdcf-c2d0-47d2-a991-206be5278a68}" ma:internalName="TaxCatchAll" ma:showField="CatchAllData" ma:web="e2acc87f-978a-4c56-9887-574fe2c7e53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f1436123-e04c-43f8-b7d8-6e3401685a6a">
      <Terms xmlns="http://schemas.microsoft.com/office/infopath/2007/PartnerControls"/>
    </lcf76f155ced4ddcb4097134ff3c332f>
    <TaxCatchAll xmlns="e2acc87f-978a-4c56-9887-574fe2c7e53e" xsi:nil="true"/>
  </documentManagement>
</p:properties>
</file>

<file path=customXml/item4.xml>�� 
</file>

<file path=customXml/itemProps1.xml><?xml version="1.0" encoding="utf-8"?>
<ds:datastoreItem xmlns:ds="http://schemas.openxmlformats.org/officeDocument/2006/customXml" ds:itemID="{4EC2277A-D9ED-4816-935C-C90FD1E76CA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1436123-e04c-43f8-b7d8-6e3401685a6a"/>
    <ds:schemaRef ds:uri="e2acc87f-978a-4c56-9887-574fe2c7e53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F68FF4DD-0CC1-430F-BDA6-0C89361FBF19}">
  <ds:schemaRefs>
    <ds:schemaRef ds:uri="http://schemas.microsoft.com/sharepoint/v3/contenttype/forms"/>
  </ds:schemaRefs>
</ds:datastoreItem>
</file>

<file path=customXml/itemProps3.xml><?xml version="1.0" encoding="utf-8"?>
<ds:datastoreItem xmlns:ds="http://schemas.openxmlformats.org/officeDocument/2006/customXml" ds:itemID="{E926B8C1-52E8-4875-97D8-8065275A389C}">
  <ds:schemaRefs>
    <ds:schemaRef ds:uri="http://purl.org/dc/elements/1.1/"/>
    <ds:schemaRef ds:uri="http://schemas.openxmlformats.org/package/2006/metadata/core-properties"/>
    <ds:schemaRef ds:uri="http://schemas.microsoft.com/office/2006/documentManagement/types"/>
    <ds:schemaRef ds:uri="f1436123-e04c-43f8-b7d8-6e3401685a6a"/>
    <ds:schemaRef ds:uri="http://www.w3.org/XML/1998/namespace"/>
    <ds:schemaRef ds:uri="http://schemas.microsoft.com/office/2006/metadata/properties"/>
    <ds:schemaRef ds:uri="http://purl.org/dc/terms/"/>
    <ds:schemaRef ds:uri="http://schemas.microsoft.com/office/infopath/2007/PartnerControls"/>
    <ds:schemaRef ds:uri="e2acc87f-978a-4c56-9887-574fe2c7e53e"/>
    <ds:schemaRef ds:uri="http://purl.org/dc/dcmitype/"/>
  </ds:schemaRefs>
</ds:datastoreItem>
</file>

<file path=customXml/itemProps4.xml><?xml version="1.0" encoding="utf-8"?>
<ds:datastoreItem xmlns:ds="http://schemas.openxmlformats.org/officeDocument/2006/customXml" ds:itemID="{589D2076-FDB4-4F5A-9AB8-4257F37ABF2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37</vt:i4>
      </vt:variant>
      <vt:variant>
        <vt:lpstr>Named Ranges</vt:lpstr>
      </vt:variant>
      <vt:variant>
        <vt:i4>1</vt:i4>
      </vt:variant>
    </vt:vector>
  </HeadingPairs>
  <TitlesOfParts>
    <vt:vector size="38" baseType="lpstr">
      <vt:lpstr>Module</vt:lpstr>
      <vt:lpstr>4101SPS</vt:lpstr>
      <vt:lpstr>4102SPS</vt:lpstr>
      <vt:lpstr>4091SPS</vt:lpstr>
      <vt:lpstr>4092SPS</vt:lpstr>
      <vt:lpstr>4094SPS</vt:lpstr>
      <vt:lpstr>5091SPS</vt:lpstr>
      <vt:lpstr>5101SPS</vt:lpstr>
      <vt:lpstr>5102SPS</vt:lpstr>
      <vt:lpstr>5103SPS</vt:lpstr>
      <vt:lpstr>5092SPS</vt:lpstr>
      <vt:lpstr>6101SPS</vt:lpstr>
      <vt:lpstr>6102SPS</vt:lpstr>
      <vt:lpstr>6103SPS</vt:lpstr>
      <vt:lpstr>6104SPS</vt:lpstr>
      <vt:lpstr>6105SPS</vt:lpstr>
      <vt:lpstr>6106SPS</vt:lpstr>
      <vt:lpstr>6107SPS</vt:lpstr>
      <vt:lpstr>6108SPS</vt:lpstr>
      <vt:lpstr>6109SPS</vt:lpstr>
      <vt:lpstr>6091SPS</vt:lpstr>
      <vt:lpstr>6093SPS</vt:lpstr>
      <vt:lpstr>6094SPS</vt:lpstr>
      <vt:lpstr>6095SPS</vt:lpstr>
      <vt:lpstr>Module (22)</vt:lpstr>
      <vt:lpstr>Template</vt:lpstr>
      <vt:lpstr>LISTS</vt:lpstr>
      <vt:lpstr>DASH</vt:lpstr>
      <vt:lpstr>SES_Hours_Wide</vt:lpstr>
      <vt:lpstr>SES_SkillsCoverage</vt:lpstr>
      <vt:lpstr>SES_Module_Overview</vt:lpstr>
      <vt:lpstr>SES_Meta_Wide</vt:lpstr>
      <vt:lpstr>SES_Mapping</vt:lpstr>
      <vt:lpstr>SES_Hours</vt:lpstr>
      <vt:lpstr>SES_Assess</vt:lpstr>
      <vt:lpstr>SES_LO</vt:lpstr>
      <vt:lpstr>SES_Meta</vt:lpstr>
      <vt:lpstr>SkillNameMap</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Robinson, Mark</dc:creator>
  <cp:keywords/>
  <dc:description/>
  <cp:lastModifiedBy>Robinson, Mark</cp:lastModifiedBy>
  <cp:revision/>
  <dcterms:created xsi:type="dcterms:W3CDTF">2026-07-01T09:36:48Z</dcterms:created>
  <dcterms:modified xsi:type="dcterms:W3CDTF">2026-10-11T19:23:16Z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0x010100AF5424D8F461E94980DF8EC8486B8636</vt:lpwstr>
  </property>
  <property fmtid="{D5CDD505-2E9C-101B-9397-08002B2CF9AE}" pid="3" name="MediaServiceImageTags">
    <vt:lpwstr/>
  </property>
</Properties>
</file>