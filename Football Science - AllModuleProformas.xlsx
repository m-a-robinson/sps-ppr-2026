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drawings/drawing1.xml" ContentType="application/vnd.openxmlformats-officedocument.drawing+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queryTables/queryTable1.xml" ContentType="application/vnd.openxmlformats-officedocument.spreadsheetml.queryTable+xml"/>
  <Override PartName="/xl/tables/table84.xml" ContentType="application/vnd.openxmlformats-officedocument.spreadsheetml.table+xml"/>
  <Override PartName="/xl/queryTables/queryTable2.xml" ContentType="application/vnd.openxmlformats-officedocument.spreadsheetml.queryTable+xml"/>
  <Override PartName="/xl/tables/table85.xml" ContentType="application/vnd.openxmlformats-officedocument.spreadsheetml.table+xml"/>
  <Override PartName="/xl/queryTables/queryTable3.xml" ContentType="application/vnd.openxmlformats-officedocument.spreadsheetml.queryTable+xml"/>
  <Override PartName="/xl/tables/table86.xml" ContentType="application/vnd.openxmlformats-officedocument.spreadsheetml.table+xml"/>
  <Override PartName="/xl/queryTables/queryTable4.xml" ContentType="application/vnd.openxmlformats-officedocument.spreadsheetml.queryTable+xml"/>
  <Override PartName="/xl/tables/table87.xml" ContentType="application/vnd.openxmlformats-officedocument.spreadsheetml.table+xml"/>
  <Override PartName="/xl/queryTables/queryTable5.xml" ContentType="application/vnd.openxmlformats-officedocument.spreadsheetml.queryTable+xml"/>
  <Override PartName="/xl/tables/table88.xml" ContentType="application/vnd.openxmlformats-officedocument.spreadsheetml.table+xml"/>
  <Override PartName="/xl/queryTables/queryTable6.xml" ContentType="application/vnd.openxmlformats-officedocument.spreadsheetml.queryTable+xml"/>
  <Override PartName="/xl/tables/table89.xml" ContentType="application/vnd.openxmlformats-officedocument.spreadsheetml.table+xml"/>
  <Override PartName="/xl/queryTables/queryTable7.xml" ContentType="application/vnd.openxmlformats-officedocument.spreadsheetml.queryTable+xml"/>
  <Override PartName="/xl/tables/table90.xml" ContentType="application/vnd.openxmlformats-officedocument.spreadsheetml.table+xml"/>
  <Override PartName="/xl/queryTables/queryTable8.xml" ContentType="application/vnd.openxmlformats-officedocument.spreadsheetml.queryTable+xml"/>
  <Override PartName="/xl/tables/table91.xml" ContentType="application/vnd.openxmlformats-officedocument.spreadsheetml.table+xml"/>
  <Override PartName="/xl/queryTables/queryTable9.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ljmu.sharepoint.com/teams/SPSRe-validation2026Team/Shared Documents/Football Science/Module Documents/"/>
    </mc:Choice>
  </mc:AlternateContent>
  <xr:revisionPtr revIDLastSave="2958" documentId="8_{20AD63D6-7E4E-4EFA-BE5C-A6DF2DDE1EA8}" xr6:coauthVersionLast="47" xr6:coauthVersionMax="47" xr10:uidLastSave="{EB6F3349-E817-4DD2-99FB-82F0A504380A}"/>
  <bookViews>
    <workbookView xWindow="-110" yWindow="-110" windowWidth="19420" windowHeight="10300" firstSheet="1" activeTab="7" xr2:uid="{8D7B9789-0724-4FF2-A9AF-E462B2920CAC}"/>
  </bookViews>
  <sheets>
    <sheet name="4301SPS" sheetId="76" r:id="rId1"/>
    <sheet name="4303SPS" sheetId="68" r:id="rId2"/>
    <sheet name="5301SPS" sheetId="75" r:id="rId3"/>
    <sheet name="5302SPS" sheetId="77" r:id="rId4"/>
    <sheet name="6301SPS" sheetId="79" r:id="rId5"/>
    <sheet name="6302SPS" sheetId="81" r:id="rId6"/>
    <sheet name="6303SPS" sheetId="80" r:id="rId7"/>
    <sheet name="6304SPS" sheetId="78" r:id="rId8"/>
    <sheet name="LISTS" sheetId="4" state="hidden" r:id="rId9"/>
    <sheet name="FS_Meta" sheetId="94" state="hidden" r:id="rId10"/>
    <sheet name="FS_LO" sheetId="95" r:id="rId11"/>
    <sheet name="FS_Assess" sheetId="96" r:id="rId12"/>
    <sheet name="FS_Hours" sheetId="97" r:id="rId13"/>
    <sheet name="FS_Mapping" sheetId="98" r:id="rId14"/>
    <sheet name="FS_Meta_Wide" sheetId="99" r:id="rId15"/>
    <sheet name="FS_Hours_Wide" sheetId="100" r:id="rId16"/>
    <sheet name="FS_Module_Overview" sheetId="101" r:id="rId17"/>
    <sheet name="FS_SkillsCoverage" sheetId="102" r:id="rId18"/>
  </sheets>
  <definedNames>
    <definedName name="ApplicationofKnowledge">_xlfn.ANCHORARRAY(LISTS!$O$37)</definedName>
    <definedName name="Communication">_xlfn.ANCHORARRAY(LISTS!$O$62)</definedName>
    <definedName name="DeliveryEnvironment">_xlfn.ANCHORARRAY(LISTS!$O$89)</definedName>
    <definedName name="ExternalData_1" localSheetId="11" hidden="1">FS_Assess!$A$1:$M$32</definedName>
    <definedName name="ExternalData_1" localSheetId="12" hidden="1">FS_Hours!$A$1:$I$103</definedName>
    <definedName name="ExternalData_1" localSheetId="15" hidden="1">FS_Hours_Wide!$A$1:$M$18</definedName>
    <definedName name="ExternalData_1" localSheetId="10" hidden="1">FS_LO!$A$1:$I$45</definedName>
    <definedName name="ExternalData_1" localSheetId="13" hidden="1">FS_Mapping!$A$1:$K$152</definedName>
    <definedName name="ExternalData_1" localSheetId="9" hidden="1">FS_Meta!$A$1:$I$137</definedName>
    <definedName name="ExternalData_1" localSheetId="14" hidden="1">FS_Meta_Wide!$A$1:$O$18</definedName>
    <definedName name="ExternalData_1" localSheetId="16" hidden="1">FS_Module_Overview!$A$1:$I$18</definedName>
    <definedName name="ExternalData_1" localSheetId="17" hidden="1">FS_SkillsCoverage!$A$1:$E$65</definedName>
    <definedName name="MgmtSelf">_xlfn.ANCHORARRAY(LISTS!$O$78)</definedName>
    <definedName name="ProblemSolving">_xlfn.ANCHORARRAY(LISTS!$O$70)</definedName>
    <definedName name="ProfRelationships">_xlfn.ANCHORARRAY(LISTS!$O$96)</definedName>
    <definedName name="ScientificKnowledge">_xlfn.ANCHORARRAY(LISTS!$O$21)</definedName>
    <definedName name="SelfEvaluation">_xlfn.ANCHORARRAY(LISTS!$O$53)</definedName>
    <definedName name="SkillNameMap">LISTS!$S$20:$T$30</definedName>
    <definedName name="TechnicalSkills">_xlfn.ANCHORARRAY(LISTS!$O$29)</definedName>
    <definedName name="UnderstandingResearch">_xlfn.ANCHORARRAY(LISTS!$O$45)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4" i="78" l="1"/>
  <c r="D24" i="81"/>
  <c r="D2" i="81"/>
  <c r="C2" i="81"/>
  <c r="D24" i="80"/>
  <c r="D2" i="80"/>
  <c r="C2" i="80"/>
  <c r="D24" i="79"/>
  <c r="D2" i="79"/>
  <c r="C2" i="79"/>
  <c r="D24" i="77"/>
  <c r="D2" i="77"/>
  <c r="C2" i="77"/>
  <c r="D24" i="76"/>
  <c r="D2" i="76"/>
  <c r="C2" i="76"/>
  <c r="D24" i="75"/>
  <c r="D2" i="75"/>
  <c r="C2" i="75"/>
  <c r="D24" i="68"/>
  <c r="D2" i="68"/>
  <c r="C2" i="68"/>
  <c r="O96" i="4" a="1"/>
  <c r="O89" i="4" a="1"/>
  <c r="O78" i="4" a="1"/>
  <c r="O70" i="4" a="1"/>
  <c r="O62" i="4" a="1"/>
  <c r="O53" i="4" a="1"/>
  <c r="O45" i="4" a="1"/>
  <c r="O37" i="4" a="1"/>
  <c r="O29" i="4" a="1"/>
  <c r="O21" i="4" a="1"/>
  <c r="O96" i="4"/>
  <c r="O89" i="4"/>
  <c r="O78" i="4"/>
  <c r="O70" i="4"/>
  <c r="O62" i="4"/>
  <c r="O53" i="4"/>
  <c r="O45" i="4"/>
  <c r="O37" i="4"/>
  <c r="O29" i="4"/>
  <c r="O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tc={A7245DC9-381A-4C82-B2DF-4EE31599BA4E}</author>
  </authors>
  <commentList>
    <comment ref="D22" authorId="0" shapeId="0" xr:uid="{A7245DC9-381A-4C82-B2DF-4EE31599BA4E}">
      <text>
        <t>[Threaded comment]
Your version of Excel allows you to read this threaded comment; however, any edits to it will get removed if the file is opened in a newer version of Excel. Learn more: https://go.microsoft.com/fwlink/?linkid=870924
Comment:
    Guesstimate for Industry Event and Field Trip to Finch Farm.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tc={BDB03220-0AF7-2B47-B355-ACAB853FDAB5}</author>
  </authors>
  <commentList>
    <comment ref="D38" authorId="0" shapeId="0" xr:uid="{BDB03220-0AF7-2B47-B355-ACAB853FDAB5}">
      <text>
        <t>[Threaded comment]
Your version of Excel allows you to read this threaded comment; however, any edits to it will get removed if the file is opened in a newer version of Excel. Learn more: https://go.microsoft.com/fwlink/?linkid=870924
Comment:
    For review: i) keep assessment types (AS1 - exam instead of report to counter AI?); ii) keep assessment specifics (AS1); iii) keep weighting 50:50?
@Robinson, Mark @Lake, Mark</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69389D-E4D5-4F18-9E28-47EE094F045D}" keepAlive="1" name="Query - fnModuleOverview" description="Connection to the 'fnModuleOverview' query in the workbook." type="5" refreshedVersion="0" background="1">
    <dbPr connection="Provider=Microsoft.Mashup.OleDb.1;Data Source=$Workbook$;Location=fnModuleOverview;Extended Properties=&quot;&quot;" command="SELECT * FROM [fnModuleOverview]"/>
  </connection>
  <connection id="2" xr16:uid="{AD6D8DAD-8FCE-4106-A6BE-4ED3C5AF138E}" keepAlive="1" name="Query - fnParseTableName" description="Connection to the 'fnParseTableName' query in the workbook." type="5" refreshedVersion="0" background="1">
    <dbPr connection="Provider=Microsoft.Mashup.OleDb.1;Data Source=$Workbook$;Location=fnParseTableName;Extended Properties=&quot;&quot;" command="SELECT * FROM [fnParseTableName]"/>
  </connection>
  <connection id="3" xr16:uid="{CAF737D6-B9D4-439D-A8EE-4BB278DA336F}" keepAlive="1" name="Query - fnPivotKeyValue" description="Connection to the 'fnPivotKeyValue' query in the workbook." type="5" refreshedVersion="0" background="1">
    <dbPr connection="Provider=Microsoft.Mashup.OleDb.1;Data Source=$Workbook$;Location=fnPivotKeyValue;Extended Properties=&quot;&quot;" command="SELECT * FROM [fnPivotKeyValue]"/>
  </connection>
  <connection id="4" xr16:uid="{C45E1C66-8F2F-4C9C-B9FC-96A6D1B46308}" keepAlive="1" name="Query - FS_Assess" description="Connection to the 'FS_Assess' query in the workbook." type="5" refreshedVersion="8" background="1" saveData="1">
    <dbPr connection="Provider=Microsoft.Mashup.OleDb.1;Data Source=$Workbook$;Location=FS_Assess;Extended Properties=&quot;&quot;" command="SELECT * FROM [FS_Assess]"/>
  </connection>
  <connection id="5" xr16:uid="{E92E18EE-1D6E-42FF-856A-877032936BBA}" keepAlive="1" name="Query - FS_Hours" description="Connection to the 'FS_Hours' query in the workbook." type="5" refreshedVersion="8" background="1" saveData="1">
    <dbPr connection="Provider=Microsoft.Mashup.OleDb.1;Data Source=$Workbook$;Location=FS_Hours;Extended Properties=&quot;&quot;" command="SELECT * FROM [FS_Hours]"/>
  </connection>
  <connection id="6" xr16:uid="{A63B4021-EB2A-4091-9214-975A6A176F5A}" keepAlive="1" name="Query - FS_Hours_Wide" description="Connection to the 'FS_Hours_Wide' query in the workbook." type="5" refreshedVersion="8" background="1" saveData="1">
    <dbPr connection="Provider=Microsoft.Mashup.OleDb.1;Data Source=$Workbook$;Location=FS_Hours_Wide;Extended Properties=&quot;&quot;" command="SELECT * FROM [FS_Hours_Wide]"/>
  </connection>
  <connection id="7" xr16:uid="{A66BBA66-4C7D-416A-B6BA-9FBE565D7A9F}" keepAlive="1" name="Query - FS_LO" description="Connection to the 'FS_LO' query in the workbook." type="5" refreshedVersion="8" background="1" saveData="1">
    <dbPr connection="Provider=Microsoft.Mashup.OleDb.1;Data Source=$Workbook$;Location=FS_LO;Extended Properties=&quot;&quot;" command="SELECT * FROM [FS_LO]"/>
  </connection>
  <connection id="8" xr16:uid="{5D56653C-5012-4A08-973E-CA18182F283D}" keepAlive="1" name="Query - FS_Mapping" description="Connection to the 'FS_Mapping' query in the workbook." type="5" refreshedVersion="8" background="1" saveData="1">
    <dbPr connection="Provider=Microsoft.Mashup.OleDb.1;Data Source=$Workbook$;Location=FS_Mapping;Extended Properties=&quot;&quot;" command="SELECT * FROM [FS_Mapping]"/>
  </connection>
  <connection id="9" xr16:uid="{DC363A75-4F8C-4922-9D50-74FDE8C31450}" keepAlive="1" name="Query - FS_Meta" description="Connection to the 'FS_Meta' query in the workbook." type="5" refreshedVersion="8" background="1" saveData="1">
    <dbPr connection="Provider=Microsoft.Mashup.OleDb.1;Data Source=$Workbook$;Location=FS_Meta;Extended Properties=&quot;&quot;" command="SELECT * FROM [FS_Meta]"/>
  </connection>
  <connection id="10" xr16:uid="{23501ADA-46BC-4512-AD0E-52AE344AC066}" keepAlive="1" name="Query - FS_Meta_Wide" description="Connection to the 'FS_Meta_Wide' query in the workbook." type="5" refreshedVersion="8" background="1" saveData="1">
    <dbPr connection="Provider=Microsoft.Mashup.OleDb.1;Data Source=$Workbook$;Location=FS_Meta_Wide;Extended Properties=&quot;&quot;" command="SELECT * FROM [FS_Meta_Wide]"/>
  </connection>
  <connection id="11" xr16:uid="{F26928F1-BA65-4587-AF9B-9A871EECA56F}" keepAlive="1" name="Query - FS_Module_Overview" description="Connection to the 'FS_Module_Overview' query in the workbook." type="5" refreshedVersion="8" background="1" saveData="1">
    <dbPr connection="Provider=Microsoft.Mashup.OleDb.1;Data Source=$Workbook$;Location=FS_Module_Overview;Extended Properties=&quot;&quot;" command="SELECT * FROM [FS_Module_Overview]"/>
  </connection>
  <connection id="12" xr16:uid="{75E5F5A4-54D5-4618-9032-4D3C2856A07B}" keepAlive="1" name="Query - FS_SkillsCoverage" description="Connection to the 'FS_SkillsCoverage' query in the workbook." type="5" refreshedVersion="8" background="1" saveData="1">
    <dbPr connection="Provider=Microsoft.Mashup.OleDb.1;Data Source=$Workbook$;Location=FS_SkillsCoverage;Extended Properties=&quot;&quot;" command="SELECT * FROM [FS_SkillsCoverage]"/>
  </connection>
  <connection id="13" xr16:uid="{859ED4FC-3AD2-402A-A9BB-C86D4DC3D6B4}" keepAlive="1" name="Query - RegisterBlocks" description="Connection to the 'RegisterBlocks' query in the workbook." type="5" refreshedVersion="8" background="1" saveData="1">
    <dbPr connection="Provider=Microsoft.Mashup.OleDb.1;Data Source=$Workbook$;Location=RegisterBlocks;Extended Properties=&quot;&quot;" command="SELECT * FROM [RegisterBlocks]"/>
  </connection>
  <connection id="14" xr16:uid="{2E3E999C-AE5C-48E7-B2DE-8F87B13BDBE7}" keepAlive="1" name="Query - RelevantItems" description="Connection to the 'RelevantItems' query in the workbook." type="5" refreshedVersion="8" background="1" saveData="1">
    <dbPr connection="Provider=Microsoft.Mashup.OleDb.1;Data Source=$Workbook$;Location=RelevantItems;Extended Properties=&quot;&quot;" command="SELECT * FROM [RelevantItems]"/>
  </connection>
  <connection id="15" xr16:uid="{B97CF070-EC65-4D03-AA0E-3BDB12551A94}" keepAlive="1" name="Query - SharePointSiteRoot" description="Connection to the 'SharePointSiteRoot' query in the workbook." type="5" refreshedVersion="0" background="1">
    <dbPr connection="Provider=Microsoft.Mashup.OleDb.1;Data Source=$Workbook$;Location=SharePointSiteRoot;Extended Properties=&quot;&quot;" command="SELECT * FROM [SharePointSiteRoo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<sst xmlns="http://schemas.openxmlformats.org/spreadsheetml/2006/main" count="6291" uniqueCount="633">
  <si>
    <t>Module Information</t>
  </si>
  <si>
    <t>Module Data</t>
  </si>
  <si>
    <t>Details</t>
  </si>
  <si>
    <t>Aims</t>
  </si>
  <si>
    <t>Module Code</t>
  </si>
  <si>
    <t>4301SPS</t>
  </si>
  <si>
    <t>This module aims to develop the student's knowledge and understanding of the football industry (inclusive of governing and professional bodies) and the multifaceted roles in football science. Furthermore, students will identify and start to develop some of the personal and professional competencies required by football scientists</t>
  </si>
  <si>
    <t>Module Title</t>
  </si>
  <si>
    <t>Professional Practice in Football Science</t>
  </si>
  <si>
    <t>Credits</t>
  </si>
  <si>
    <t>Semester</t>
  </si>
  <si>
    <t>Outline Syllabus</t>
  </si>
  <si>
    <t>Level</t>
  </si>
  <si>
    <t>Introduction to relevant football systems (e.g., EPPP), sectors (e.g., coaching and player development) and types (e.g., elite and professional).</t>
  </si>
  <si>
    <t>Module Leader</t>
  </si>
  <si>
    <t>Dr Francesca Champ</t>
  </si>
  <si>
    <t>Introduction to football science disciplines in line with the EPPP and CASES</t>
  </si>
  <si>
    <t>Module Type</t>
  </si>
  <si>
    <t>Core module</t>
  </si>
  <si>
    <t>Consideration of the personal qualities and professional characteristics required to work in the football industry</t>
  </si>
  <si>
    <t>Programme(s)</t>
  </si>
  <si>
    <t>Football Science</t>
  </si>
  <si>
    <t>Module Overview</t>
  </si>
  <si>
    <t>This module aims to provide an insight into the football landscape and the multifacteted role of a football scientist. Students should start to identify and consider the development of relevant personal and professional competencies.</t>
  </si>
  <si>
    <t>Contact Hours</t>
  </si>
  <si>
    <t>Component</t>
  </si>
  <si>
    <t>Lecture</t>
  </si>
  <si>
    <t>Seminar</t>
  </si>
  <si>
    <t>Practical</t>
  </si>
  <si>
    <t>Workshop</t>
  </si>
  <si>
    <t>Additional Information/Notes</t>
  </si>
  <si>
    <t>Online</t>
  </si>
  <si>
    <t xml:space="preserve">BUES mapped </t>
  </si>
  <si>
    <t>Total</t>
  </si>
  <si>
    <t>To incorporate formative assessments, I will provide students with a follow-up worksheet after the content for each week. The completion and detail of the worksheet will then be discussed in-class as part of the next workshop/seminar. Furthermore, I will include opportunities for formative assessment within the weeks where there is an element of assessment support/feedback.</t>
  </si>
  <si>
    <t>Learning Outcomes</t>
  </si>
  <si>
    <t>After completing the module the student should be able to:</t>
  </si>
  <si>
    <t>LO Number</t>
  </si>
  <si>
    <t>LO Description</t>
  </si>
  <si>
    <t>LO1</t>
  </si>
  <si>
    <t>Understand and be able to describe the football landscape. For example, students should be able to identify the 'types' of football and 'sectors' that they may work within</t>
  </si>
  <si>
    <t>LO2</t>
  </si>
  <si>
    <t>Students should be able to identify personal characteristics and professional competencies associated with the role of a football scientist</t>
  </si>
  <si>
    <t>LO3</t>
  </si>
  <si>
    <t>LO4</t>
  </si>
  <si>
    <t>LO5</t>
  </si>
  <si>
    <t>Assessment</t>
  </si>
  <si>
    <t>Assessment No</t>
  </si>
  <si>
    <t>Assessment Type</t>
  </si>
  <si>
    <t>Assessment Specific</t>
  </si>
  <si>
    <t>Assessment Description</t>
  </si>
  <si>
    <t>Weighting</t>
  </si>
  <si>
    <t>Due Week</t>
  </si>
  <si>
    <t>A1</t>
  </si>
  <si>
    <t>Presentation</t>
  </si>
  <si>
    <t>Individual Presentation</t>
  </si>
  <si>
    <t>Students will be required to deliver a 5-minute presentation covering; (1) role of a football scientist, (2) personal and professional competencies associated with this role, (3) current skillset and development plan</t>
  </si>
  <si>
    <t>A2</t>
  </si>
  <si>
    <t>Portfolio</t>
  </si>
  <si>
    <t>Viva</t>
  </si>
  <si>
    <t>Students will engage in a 'world cafe' style viva discussion about 2 current topics in football science. Upon the completion of the viva, students will submit a 1 page reflective account considering their personal growth and development during the module</t>
  </si>
  <si>
    <t>Week 8 &amp; Assessment Period January</t>
  </si>
  <si>
    <t>A3</t>
  </si>
  <si>
    <t>A4</t>
  </si>
  <si>
    <t>Assessment Mapping</t>
  </si>
  <si>
    <t>Graduate Skills Category</t>
  </si>
  <si>
    <t>Graduate Skill</t>
  </si>
  <si>
    <t>Communication</t>
  </si>
  <si>
    <t>Oral presentation</t>
  </si>
  <si>
    <t>Digital communication</t>
  </si>
  <si>
    <t>Interpersonal communication</t>
  </si>
  <si>
    <t>Understanding the delivery environment</t>
  </si>
  <si>
    <t>Professional awareness</t>
  </si>
  <si>
    <t>Self-evaluation and professional development</t>
  </si>
  <si>
    <t>Personal development planning</t>
  </si>
  <si>
    <t>Reflective practice</t>
  </si>
  <si>
    <t>Application of knowledge and skills</t>
  </si>
  <si>
    <t>Contextual application</t>
  </si>
  <si>
    <t>Resilience</t>
  </si>
  <si>
    <t>Professional relationships and behaviours</t>
  </si>
  <si>
    <t>Teamwork</t>
  </si>
  <si>
    <t>Weekly Content</t>
  </si>
  <si>
    <t xml:space="preserve">Semester </t>
  </si>
  <si>
    <t>Week Number</t>
  </si>
  <si>
    <t>Weekly Content 1</t>
  </si>
  <si>
    <t>Weekly Content 2</t>
  </si>
  <si>
    <t>Weekly Content 3</t>
  </si>
  <si>
    <t>Positioning yourself on the pathway to a career in Football Science</t>
  </si>
  <si>
    <t>Understanding the landscape of Football Science</t>
  </si>
  <si>
    <t xml:space="preserve">Current topics in Football Science </t>
  </si>
  <si>
    <t>Introduction to S&amp;C in Football</t>
  </si>
  <si>
    <t>Managing and presenting data in Football</t>
  </si>
  <si>
    <t>The importance of nutrition in football</t>
  </si>
  <si>
    <t>Self-directed study</t>
  </si>
  <si>
    <t>Self-evaluation and professional development through reflective practice</t>
  </si>
  <si>
    <t>Coaching in Football Science</t>
  </si>
  <si>
    <t xml:space="preserve">Health in Football Science </t>
  </si>
  <si>
    <t xml:space="preserve">Assessment support </t>
  </si>
  <si>
    <t>Assessment Presentations</t>
  </si>
  <si>
    <t>4303SPS</t>
  </si>
  <si>
    <t>To develop students' understanding of how talent is conceptualised, predicted and identified in football, and to equip them to observe, profile and report on players using systematic and defensible methods across live and video-based contexts.</t>
  </si>
  <si>
    <t>Talent Identification, Development and Selection in Football</t>
  </si>
  <si>
    <t>To develop students' understanding of the multidisciplinary determinants of long-term player development, and to equip them to design evidence-informed, individualised support within the regulatory, organisational and ethical realities of the English football academy system.</t>
  </si>
  <si>
    <t>Conceptualising talent</t>
  </si>
  <si>
    <t>Dr Andrew Triggs</t>
  </si>
  <si>
    <t>Predictors of talent</t>
  </si>
  <si>
    <t>Observation strategies in talent identification
Challenges in talent identification
Long term player development</t>
  </si>
  <si>
    <t>Football academies are the bridge between grassroots and the professional game. Their job is to recognise future playing potential in young players, and then to build it, providing the coaching, resources and support that develop the required qualities a future first-team footballer needs.
Financial regulation and the pressure to produce homegrown players have raised the stakes considerably. Academies are now expected to supply the first team, generate transfer revenue, or both, and they are continually trying to sharpen how they identify, develop and select the players in their care. 
This module takes you inside that problem. You will explore what helps to predict who might make it as a professional, why so many decisions go wrong, and what the research tells us about developing players once they are through the academy door.</t>
  </si>
  <si>
    <t>AS2 - Report, not essay.</t>
  </si>
  <si>
    <t xml:space="preserve">Formative feedback opportunities are in week 6 where students will practice delivery of a maximum of 3 slides and recieve feedback on factors such as delivery style, content, slide design and in week 11 where they have the opportunity to have 12paragraph of their choice read by staff with some specific feedback that they have to ask us for. </t>
  </si>
  <si>
    <t>Identify the multidisciplinary factors that influence a young player's potential and progression.</t>
  </si>
  <si>
    <t>Describe the key concepts, models and processes that underpin talent identification, development and selection in football.</t>
  </si>
  <si>
    <t>Explain the challenges, ethical considerations and organisational constraints associated with identifying, developing and selecting players within academy environments.</t>
  </si>
  <si>
    <t>Apply systematic observation methods and evidence-based principles to evaluate individual player performance and development needs.</t>
  </si>
  <si>
    <t>Group Presentation</t>
  </si>
  <si>
    <t>Group presentation with question and answer session
Working in groups of three to five, you will act as a scouting team reporting to a football academy on one of its age groups. 
Over a four-week observation period you will combine live match observation with video analysis to profile three to five players. Observations will be recorded using a structured scouting template provided by the module team. Each group member will assess the players independently before comparing judgements with the group identifying areas of agreement, disagreement or uncertainty.
Groups will deliver a 20-minute presentation followed by a 10-minute question and answer session.
The presentation will include: the age-group context and the observation approach; a profile of each player using selected video clips and completed scout reports; and explain the groups recommendation with reference to relevant research.  Students will consider factors that may influence their judgments, (e.g., growth and maturation), with a clear, research-informed rationale explaining how the group reached them.
The question and answer section will assess each student's understanding of the evidence and the recommendations presented.</t>
  </si>
  <si>
    <t>Report</t>
  </si>
  <si>
    <t>Essay</t>
  </si>
  <si>
    <t>Written report and individual development plan
Choose one of the players profiled in AS1 and produce an individual academic report of 2,000 words outlining how an academy could support that player’s long-term development.
 Using your scout reports and observations as a starting point, identify the player's key strengths and development needs across the physical, perceptual-cognitive, technical and psychosocial areas, and prioritise those most important for the player's stage of development.
For each priority, discuss evidence-based strategies to support the player, taking account of the academy environment: the player's developmental phase, the relevant regulatory framework, growth and maturation, and the roles of coaches, support staff and parents. You should also consider the ethical implications of your recommendations and the limitations of the available evidence.
The report will include an appended individual learning plan. The plan will translate the recommendations into measurable targets, practical activities, and arrangements for monitoring the plan. The appendix will not contribute to the word count.</t>
  </si>
  <si>
    <t>Scientific knowledge</t>
  </si>
  <si>
    <t>Domain-specific analytical skills</t>
  </si>
  <si>
    <t>Scientific literacy</t>
  </si>
  <si>
    <t>Critical thinking</t>
  </si>
  <si>
    <t>Professional judgement</t>
  </si>
  <si>
    <t>Technical skills</t>
  </si>
  <si>
    <t>Data collection</t>
  </si>
  <si>
    <t>Problem solving and impact</t>
  </si>
  <si>
    <t>Evidence-based decision making</t>
  </si>
  <si>
    <t>problem identification</t>
  </si>
  <si>
    <t>Knowledge synthesis</t>
  </si>
  <si>
    <t>Scientific writing</t>
  </si>
  <si>
    <t>Stakeholder awareness</t>
  </si>
  <si>
    <t>Policy interpretation</t>
  </si>
  <si>
    <t>Ethical practice</t>
  </si>
  <si>
    <t>Understanding and use of research</t>
  </si>
  <si>
    <t>Evidence-based practice</t>
  </si>
  <si>
    <t>Translational practice</t>
  </si>
  <si>
    <t xml:space="preserve">Module introduction: what do we mean by 'talent'? </t>
  </si>
  <si>
    <t xml:space="preserve">The notion of talent: structured debate on nature, nurture and lay theories </t>
  </si>
  <si>
    <t>How do we identify talent? Systems, scouts and identification models</t>
  </si>
  <si>
    <t>Assignment 1 feedforward: The brief, the reporting template, and academic skills development</t>
  </si>
  <si>
    <t>The predictors of talent: What the evidence supports, and what it doesn't</t>
  </si>
  <si>
    <t>Observation skills workshop: Using the scout report template, live vs. video, reliability</t>
  </si>
  <si>
    <t xml:space="preserve">Live match observation </t>
  </si>
  <si>
    <t>Live match observation</t>
  </si>
  <si>
    <t>Practical applications in talent identification environments (Guest Speaker)</t>
  </si>
  <si>
    <t>Observation debrief: Comparing notes, inter-observer agreement</t>
  </si>
  <si>
    <t xml:space="preserve">Challenges in talent identification: Relative age, maturation and birthplace effects </t>
  </si>
  <si>
    <t>Presentation Workshop: Formative feedback opportunity</t>
  </si>
  <si>
    <t>Directed study week</t>
  </si>
  <si>
    <t>The EPPP &amp; The Women's Professional Game: Structure, philosophy and the regulatory reality of academy football</t>
  </si>
  <si>
    <t xml:space="preserve">The talent development environment: what makes a good one, and how would you know? </t>
  </si>
  <si>
    <t>Managing a talent development programme (Guest Speaker)</t>
  </si>
  <si>
    <t>Talent development in the Foundation Phase (Guest Speaker)</t>
  </si>
  <si>
    <t>Developing the player 1: Physical development</t>
  </si>
  <si>
    <t>Developing the player 2: Perceptual-cognitive development</t>
  </si>
  <si>
    <t>Developing the player 3: Technical development</t>
  </si>
  <si>
    <t>Developing the player 4: Psychosocial development</t>
  </si>
  <si>
    <t>The future of talent identification and development</t>
  </si>
  <si>
    <t>Individual learning plan workshop and Assignment 2 support &amp; 1 paragraph feedback opportunity</t>
  </si>
  <si>
    <t>5301SPS</t>
  </si>
  <si>
    <t xml:space="preserve">To develop students' understanding of the interdisciplinary nature of football science practice and its application within contemporary football environments. </t>
  </si>
  <si>
    <t>Professional Practice in Football Science 2</t>
  </si>
  <si>
    <t>To develop the professional knowledge, skills, and behaviours required to support performance, health, welfare, and participation in football, while enhancing readiness for employment within the sport sector.</t>
  </si>
  <si>
    <t>Analyse the contribution of football science disciplines and apply interdisciplinary approaches; Load management, nutrition, football for health, disability football, player care</t>
  </si>
  <si>
    <t>Dr Ed Hope</t>
  </si>
  <si>
    <t>Applied experiences and authentic industry engagement; player care, ethical practice, disability football, professional practice</t>
  </si>
  <si>
    <t>Professional development and employability; career planning, reflective practice, interview preparation, industry engagement</t>
  </si>
  <si>
    <t>This module explores contemporary professional practice in football science through an interdisciplinary examination of performance, health, welfare, and participation. Through lectures, workshops, practical activities, and industry engagement, students will develop an understanding of how football science disciplines work together to support players across a range of football environments. The module also promotes employability through reflective practice, career planning, and the development of professional skills required for careers in football and the wider sport industry.</t>
  </si>
  <si>
    <t>BUES mapped</t>
  </si>
  <si>
    <t>Analyse the contribution of football science disciplines and apply interdisciplinary approaches to address performance, participation, health, and welfare challenges in authentic football settings.</t>
  </si>
  <si>
    <t>Recognise and evaluate the ethical and professional responsibilities of football science practitioners and their impact on decision-making and practice.</t>
  </si>
  <si>
    <t>Evaluate their professional development and employability skills through reflective practice, career planning, and preparation for employment within football science and related industries.</t>
  </si>
  <si>
    <t>Case Study</t>
  </si>
  <si>
    <t>Student chooses one case study and provides an inter-disciplinary report as to how to support the individual</t>
  </si>
  <si>
    <t>Reflection</t>
  </si>
  <si>
    <t xml:space="preserve">3 component parts:
- Individual mock interviews (10-mins) tailored to chosen job 
- Students to develop 1-page CV for the role and submit
- Students to critically reflect on their performance within the interview, current skill set, and outline next steps in their professional practice (1000 words max) </t>
  </si>
  <si>
    <t>Week 12 for CV and Interview;                                                                                                                                                                                                                                                                                                  January assessment period for reflective component</t>
  </si>
  <si>
    <t>Information retrieval</t>
  </si>
  <si>
    <t>Professionalism</t>
  </si>
  <si>
    <t>Interdisciplinary Approach to Football Science</t>
  </si>
  <si>
    <t>Load Management and Performance Monitoring</t>
  </si>
  <si>
    <t>Nutrition for Performance</t>
  </si>
  <si>
    <t>Football for Health</t>
  </si>
  <si>
    <t>Disability Football</t>
  </si>
  <si>
    <t>Player Care in Football</t>
  </si>
  <si>
    <t>Reading Week</t>
  </si>
  <si>
    <t>Industry Event</t>
  </si>
  <si>
    <t>Formative feedback: plan of report</t>
  </si>
  <si>
    <t>Application Ready?</t>
  </si>
  <si>
    <t>Field Trip: Everton's Training Ground - Finch Farm</t>
  </si>
  <si>
    <t>Assessment 1 Consultancy Report</t>
  </si>
  <si>
    <t>Working as an Ethical Practitioner in Football Science</t>
  </si>
  <si>
    <t>Reflective Practice as a Practitioner</t>
  </si>
  <si>
    <t>Assessment Individual Interviews</t>
  </si>
  <si>
    <t>6301SPS</t>
  </si>
  <si>
    <t>To develop students' understanding of the role of technology and data in football performance.</t>
  </si>
  <si>
    <t>Football Performance and Technology</t>
  </si>
  <si>
    <t>To develop students' practical and analytical skills in the collection, analysis, and interpretation of football performance data.
To develop students' ability to critically evaluate technologies that support evidence-informed decision-making in football.</t>
  </si>
  <si>
    <t>Football performance technologies</t>
  </si>
  <si>
    <t>Sigrid Olthof</t>
  </si>
  <si>
    <t>Lab and field-based performance assessment</t>
  </si>
  <si>
    <t>Player monitoring and workload management
Football performance data and analytics
Critical evaluation of technology in football practice</t>
  </si>
  <si>
    <t>This module develops students' understanding of the role of technology in the assessment and monitoring of football performance. Through a combination of lectures, lab and field-based practicals, and data workshops, students will develop practical and analytical skills in the operation of football performance technologies and the collection, analysis and interpretation of performance data. Students will critically evaluate the application of technology within football, with particular emphasis on football performance including testing and monitoring to support evidence-informed practice. Students will develop data literacy through the management, analysis, visualisation and interpretation of football performance data, including data generated through performance testing and player monitoring technologies.</t>
  </si>
  <si>
    <t>Critically evaluate the use of technology in football to assess and monitor football performance</t>
  </si>
  <si>
    <t>Apply football performance technologies competently within laboratory and field-based environments</t>
  </si>
  <si>
    <t>Analyse, interpret, and communicate football performance data to support evidence-informed practice</t>
  </si>
  <si>
    <t>Exam</t>
  </si>
  <si>
    <t>Data Analysis</t>
  </si>
  <si>
    <t>Individual and practical examination comprising performance testing and data analysis task.</t>
  </si>
  <si>
    <t>Individual presentation followed by an extended question-and-answer/viva examining the student's understanding of player monitoring, training load analysis and their application to football practice</t>
  </si>
  <si>
    <t>Data analysis</t>
  </si>
  <si>
    <t>Equipment and technology utilisation</t>
  </si>
  <si>
    <t>Written communication</t>
  </si>
  <si>
    <t>Digital literacy</t>
  </si>
  <si>
    <t>Module introduction + Assessment 1 feedforward</t>
  </si>
  <si>
    <t>Data analysis and data literacy (workshop)</t>
  </si>
  <si>
    <t>Speed and agility</t>
  </si>
  <si>
    <t>Speed and agility (Practical - lab)</t>
  </si>
  <si>
    <t>Speed and agility (Practical - Sports Hall)</t>
  </si>
  <si>
    <t>Jumping</t>
  </si>
  <si>
    <t>Jumping (Practical - lab)</t>
  </si>
  <si>
    <t>Injuries and rehabilitation testing</t>
  </si>
  <si>
    <t>Injuries and rehabilitation testing (Practical - lab)</t>
  </si>
  <si>
    <t>Injuries</t>
  </si>
  <si>
    <t>Data collection assessment 1</t>
  </si>
  <si>
    <t>Data analysis and data literacy  (workshop)</t>
  </si>
  <si>
    <t>Injuries and Analytics</t>
  </si>
  <si>
    <t xml:space="preserve">Formative checkpoint: AS1 support </t>
  </si>
  <si>
    <t>Assessment 1</t>
  </si>
  <si>
    <t>Introduction to player monitoring + Assessment 2 feedforward</t>
  </si>
  <si>
    <t>Data collection assessment 2 (practical - LPS/GPS)</t>
  </si>
  <si>
    <t>Match performance</t>
  </si>
  <si>
    <t>Training load</t>
  </si>
  <si>
    <t>Data analysis, data literacy, and data visualisation (workshop)</t>
  </si>
  <si>
    <t>Biomechanical load monitoring</t>
  </si>
  <si>
    <t>Formative checkpoint: Recap and AS2 support</t>
  </si>
  <si>
    <t>Assessment 2</t>
  </si>
  <si>
    <t>5302SPS</t>
  </si>
  <si>
    <t>Football tactics and match analysis</t>
  </si>
  <si>
    <t>6302SPS</t>
  </si>
  <si>
    <t>Physical Performance in Football</t>
  </si>
  <si>
    <t>To develop students' ability to critically examine physiological responses to football-specific exercise, build theoretical knowledge of the factors underpinning effective training programme design in football, and critically evaluate the associated research evidence.</t>
  </si>
  <si>
    <t>Kevin Enright</t>
  </si>
  <si>
    <t>Approaches to applied practice
Lab and field-based measurement of physical function in football
Aerobic &amp; Anaerobic training (adaptations and prescription)
Principles of training / periodisation
Strength training in football (Formative Assessment)
Concurrent training
Microcycle scheduling, contextual constraints, applied scenarios</t>
  </si>
  <si>
    <t>The aim of this module is to develop your knowledge, understanding and ability to critically evaluate key psychological concepts that influence development and performance in and through football-related contexts. It will also develop your critical understanding of the application of these principles in football settings.</t>
  </si>
  <si>
    <t>Formative Assessment: Students will undertake In Class student led  / peer reviewed Presentations related to the Weekly content and assessment.</t>
  </si>
  <si>
    <t>Critically analyse the responses to football-specific exercise, and evaluate how these responses inform training design and execution.</t>
  </si>
  <si>
    <t>Critically evaluate the implementation of evidence-based training across the football microcycle, and orally defend programming decisions.</t>
  </si>
  <si>
    <t xml:space="preserve">Students will work in groups to produce a practical video based training resource for coaches. </t>
  </si>
  <si>
    <t>Assessment Week</t>
  </si>
  <si>
    <t>Viva Voice Demonstrating Students understanding of Training Theory</t>
  </si>
  <si>
    <t>Evidence evaluation</t>
  </si>
  <si>
    <t>Critical appraisal</t>
  </si>
  <si>
    <t xml:space="preserve">               </t>
  </si>
  <si>
    <t>Interval Training 1</t>
  </si>
  <si>
    <t>Interval Training 2</t>
  </si>
  <si>
    <t>Adaptations to interval training</t>
  </si>
  <si>
    <t>Directed Study</t>
  </si>
  <si>
    <t>Strength Training (Formative Assessment)</t>
  </si>
  <si>
    <t xml:space="preserve">Concurrent Training </t>
  </si>
  <si>
    <t>Micro cycle perioisation</t>
  </si>
  <si>
    <t>Guest Speaker</t>
  </si>
  <si>
    <t>Presentations</t>
  </si>
  <si>
    <t>6303SPS</t>
  </si>
  <si>
    <t>To develop students’ knowledge, understanding and ability to critically evaluate key psychological concepts that influence development and performance in and through football related contexts. </t>
  </si>
  <si>
    <t>Applied Psychology of Football</t>
  </si>
  <si>
    <t>To develop students’ critical understanding of the application of these principles in football settings. </t>
  </si>
  <si>
    <t>Career transitions and critical moments in football</t>
  </si>
  <si>
    <t>Dr Martin Littlewood</t>
  </si>
  <si>
    <t>Understanding the talent development pathway in football</t>
  </si>
  <si>
    <t>Identity in football players and support staff</t>
  </si>
  <si>
    <r>
      <rPr>
        <b/>
        <sz val="11"/>
        <color rgb="FF000000"/>
        <rFont val="Aptos Narrow"/>
        <family val="2"/>
        <scheme val="minor"/>
      </rPr>
      <t xml:space="preserve">Formative Assessment: </t>
    </r>
    <r>
      <rPr>
        <sz val="11"/>
        <color rgb="FF000000"/>
        <rFont val="Aptos Narrow"/>
        <family val="2"/>
        <scheme val="minor"/>
      </rPr>
      <t>Students will undertake in class student led /peer reviewed Presentations related to the Weekly content and assessment.</t>
    </r>
  </si>
  <si>
    <t>To critically analyse and discuss the psychological and cultural concepts within a youth and senior level in football environments. </t>
  </si>
  <si>
    <t>To critically discuss the role of the applied sports psychologist in supporting players, teams and organisations with the various challenges in a development and performance context.</t>
  </si>
  <si>
    <t>To critically discuss applied practice philosophy within the context of the sports psychologist. </t>
  </si>
  <si>
    <r>
      <rPr>
        <b/>
        <sz val="11"/>
        <color rgb="FF000000"/>
        <rFont val="Aptos Narrow"/>
        <family val="2"/>
        <scheme val="minor"/>
      </rPr>
      <t>Infographic:</t>
    </r>
    <r>
      <rPr>
        <sz val="11"/>
        <color rgb="FF000000"/>
        <rFont val="Aptos Narrow"/>
        <family val="2"/>
        <scheme val="minor"/>
      </rPr>
      <t xml:space="preserve"> Students will be required to produce a one-page infographic on a ‘current’ topic of their choice within the area of psychology in football.  The infographic should be designed specifically for a group of academy footballers (male or female) and will (hypothetically) be placed on the wall in the training ground.
Students chosen topic should be inspired and informed by the taught content and additional reading material for the module and raise awareness/education of the area. A one page additional written document is also required to explain and discuss what literature has been used to support the development of the infographic.</t>
    </r>
  </si>
  <si>
    <r>
      <rPr>
        <b/>
        <sz val="11"/>
        <color rgb="FF000000"/>
        <rFont val="Aptos Narrow"/>
        <family val="2"/>
        <scheme val="minor"/>
      </rPr>
      <t>Psychological Development Programme:</t>
    </r>
    <r>
      <rPr>
        <sz val="11"/>
        <color rgb="FF000000"/>
        <rFont val="Aptos Narrow"/>
        <family val="2"/>
        <scheme val="minor"/>
      </rPr>
      <t xml:space="preserve"> Students will work in groups of 4/5 to design and present a Psychological Development Programme to implement within a professional football club.  Specifically this should be focussed on a particular critical moment that a player may experience within a club on their journey through an Academy/1st team environment.  Students are required to identify one critical moment and present how this critical moment may impact the psychological performance and wellbeing of players.  They will also then present your proposed programme to the respective academy staff (Academy Manager, Lead Academy Sport Psychologist).  The presentation should include an introduction, and context (aims, critical moment, rationale) critical analysis and outline of programme, discussion and conclusion.</t>
    </r>
  </si>
  <si>
    <t>Applied sports psychology philosophy of practice</t>
  </si>
  <si>
    <t>Career Transitions and Critical moments in football</t>
  </si>
  <si>
    <t>Identity Development in Football</t>
  </si>
  <si>
    <t>Delivering counselling psychology in football</t>
  </si>
  <si>
    <t>Delivering organisational psychology in football</t>
  </si>
  <si>
    <t>Psycho-social considerations in talent development</t>
  </si>
  <si>
    <t>DSW</t>
  </si>
  <si>
    <t>Panel Discussion</t>
  </si>
  <si>
    <t>Sports Psychology in Academy settings</t>
  </si>
  <si>
    <t>Sports Psychology in 1st Team settings</t>
  </si>
  <si>
    <t>Mental Health in football</t>
  </si>
  <si>
    <t>Professional Practice in Football Science 3</t>
  </si>
  <si>
    <t>The aims of this module are to:</t>
  </si>
  <si>
    <t>1.Provide Experiential Learning: Deliver extensive, hands-on experiential learning within an approved football environment (e.g. professional club, academy, grassroots, or community trust).</t>
  </si>
  <si>
    <t>6304SPS</t>
  </si>
  <si>
    <t>2.Facilitate Interdisciplinary Application: Enable the critical application of interdisciplinary football science principles (e.g. physiology, biomechanics, psychology, skill acquisition, performance analysis) to solve real-world operational challenges.</t>
  </si>
  <si>
    <t>3.Foster Critical Reflection &amp; Employability: Develop advanced critical self-reflection utilising established frameworks, accelerating student readiness for employment, entrepreneurship, and continuing professional development (CPD) in football.</t>
  </si>
  <si>
    <t>4.Promote Ethical, Inclusive &amp; Digital Practice: Embed an understanding of safe, ethical, and inclusive practice—heavily emphasising Equity, Diversity, and Inclusion (EDI), culturally responsive practices, governance, and the ethical deployment of digital technologies and AI.</t>
  </si>
  <si>
    <t>YL</t>
  </si>
  <si>
    <t>Professional Practice in Football Science 3 module serves as the capstone applied learning experience for Level 6 students on the BSc (Hons) Football Science degree. Designed to transition students from academic learners to industry-ready practitioners, this module embeds students directly within the dynamic environment of modern football - including elite professional academies, first-team environments, grassroots initiatives, performance analysis departments, or community trusts.
Knowing scientific theory is only part of professional practice; knowing how to translate and adapt that science within complex, fast-paced operational environments is what defines elite practitioners. This module challenges students to integrate interdisciplinary football science, digital tracking technologies, and ethical AI tools into real-world settings while operating effectively within Multidisciplinary Teams (MDTs).</t>
  </si>
  <si>
    <t>Ian Beattie</t>
  </si>
  <si>
    <t>Prof Practice Strand</t>
  </si>
  <si>
    <t>Working in Football - Reflections from the player</t>
  </si>
  <si>
    <t>Standards, Safeguarding, EDI &amp; Assessments</t>
  </si>
  <si>
    <t>Practitioner Identity &amp; Football Culture</t>
  </si>
  <si>
    <t>Professional Knowledge &amp; Skills </t>
  </si>
  <si>
    <t>Practice Framework (Plan-Do-Review)</t>
  </si>
  <si>
    <t xml:space="preserve">Formative Assessments: Alongside the formative Presentation Part 1 assessment in Week 10, there are formative tasks in Weeks 5 of Semester 1 and Weeks 1 and 8 of Semester 2, </t>
  </si>
  <si>
    <t>Critically evaluate and apply interdisciplinary theoretical concepts of football science to practical scenarios within a real-world football placement environment or project scenario.</t>
  </si>
  <si>
    <t>Critically reflect upon personal and professional development, utilising established reflective frameworks to evaluate strengths, weaknesses, biases, and future employability needs.</t>
  </si>
  <si>
    <t>Work independently and collaboratively within a Multidisciplinary Team (MDT), demonstrating effective communication and digital technology integration (e.g., tracking data systems, ethical AI insights) tailored to diverse stakeholders.</t>
  </si>
  <si>
    <t>Demonstrate a critical understanding of ethical guidelines, safeguarding, governance, and the impact of systemic issues (e.g., race, gender, socio-economic status) on equity, diversity, and inclusion within football science practice.</t>
  </si>
  <si>
    <t>REPORT: The report should be in a professionally relevant format and specific to the placement/project completed. This format should be agreed with your supervisor. You must select one of three options tailored to your placement/project focus. All three pathways are mapped to the Plan-Do-Review Cycle to ensure equitable assessment regardless of the chosen deliverable.</t>
  </si>
  <si>
    <t>Individual report</t>
  </si>
  <si>
    <t>This assignment consists of a Formative element and a Summative element:
PRESENTATION/S: These are individual PowerPoint presentations showcasing the placement/project that you are proposing and have subsequently completed for 6304SPS, which should give consideration of your skills, experience and next steps upon completion of Level 6. Within the presentation you are required to reflect upon the important craft skills, applied knowledge and evidence-base required to work in industry and critically reflect on issues relating to your professional practice.
Using a Plan-Do-Review Cycle, the presentation assessment is divided into:
Part 1 (Formative): Focuses on the proposal, baseline checks, and preliminary initial insight.
Part 2 (Summative): Focuses on final outcomes, critical appraisal, and future professional application.</t>
  </si>
  <si>
    <t>Individual reflective presentation</t>
  </si>
  <si>
    <t>A1: Individual Reflective Report (50%)</t>
  </si>
  <si>
    <t>Critical thinking, Reflective practice, Evidence synthesis, EDI and ethical awareness, Self-evaluation.</t>
  </si>
  <si>
    <t>Management of self and others</t>
  </si>
  <si>
    <t>A2: Individual Reflective Presentation (50%)</t>
  </si>
  <si>
    <t>  Introduction to Module </t>
  </si>
  <si>
    <t>Professional Practice 1: Working in Football - Reflections from the player</t>
  </si>
  <si>
    <t>  Module Progression</t>
  </si>
  <si>
    <t>Professional Practice 2: Standards, Safeguarding, EDI &amp; Assessments</t>
  </si>
  <si>
    <t>Professional Practice 3: Practitioner Identity &amp; Football Culture</t>
  </si>
  <si>
    <t>Professional Practice 4: Professional Knowledge &amp; Skills </t>
  </si>
  <si>
    <r>
      <t xml:space="preserve">  </t>
    </r>
    <r>
      <rPr>
        <sz val="12"/>
        <color theme="1"/>
        <rFont val="Arial"/>
        <family val="2"/>
      </rPr>
      <t>Checkpoint</t>
    </r>
  </si>
  <si>
    <t>Professional Practice 5: Practice Framework (Plan-Do-Review)</t>
  </si>
  <si>
    <t>Self Directed Task: Ensure all paperwork is completed.</t>
  </si>
  <si>
    <t>Self Directed Task: "Plan"</t>
  </si>
  <si>
    <t>Self Directed Task: Supervisor Conversations - how are things going?</t>
  </si>
  <si>
    <r>
      <t> </t>
    </r>
    <r>
      <rPr>
        <b/>
        <sz val="12"/>
        <color theme="1"/>
        <rFont val="Arial"/>
        <family val="2"/>
      </rPr>
      <t xml:space="preserve"> </t>
    </r>
    <r>
      <rPr>
        <sz val="12"/>
        <color theme="1"/>
        <rFont val="Arial"/>
        <family val="2"/>
      </rPr>
      <t>Assessment</t>
    </r>
  </si>
  <si>
    <t>Presentation - Part 1</t>
  </si>
  <si>
    <t>Feedforward: From "Plan" to "Do"</t>
  </si>
  <si>
    <t>Self Directed Task: Prepare for Christmas Break and Semester 2.</t>
  </si>
  <si>
    <t>Spring Break</t>
  </si>
  <si>
    <t>Table 1</t>
  </si>
  <si>
    <t>Table 3</t>
  </si>
  <si>
    <t>Table 5</t>
  </si>
  <si>
    <t>Lab Report</t>
  </si>
  <si>
    <t>Dissertation</t>
  </si>
  <si>
    <t>Research Strand</t>
  </si>
  <si>
    <t>Research Project</t>
  </si>
  <si>
    <t>Category</t>
  </si>
  <si>
    <t>Skill</t>
  </si>
  <si>
    <t>Placement</t>
  </si>
  <si>
    <t>Scientific Knowledge</t>
  </si>
  <si>
    <t>Category text shown to user</t>
  </si>
  <si>
    <t>Defined Name</t>
  </si>
  <si>
    <t>Option module</t>
  </si>
  <si>
    <t>ScientificKnowledge</t>
  </si>
  <si>
    <t>TechnicalSkills</t>
  </si>
  <si>
    <t>Video</t>
  </si>
  <si>
    <t>ApplicationofKnowledge</t>
  </si>
  <si>
    <t>Infographic</t>
  </si>
  <si>
    <t>UnderstandingResearch</t>
  </si>
  <si>
    <t>SelfEvaluation</t>
  </si>
  <si>
    <t>Journal</t>
  </si>
  <si>
    <t>Laboratory/clinical techniques</t>
  </si>
  <si>
    <t>Physical Education</t>
  </si>
  <si>
    <t>MCQ Online Test</t>
  </si>
  <si>
    <t>ProblemSolving</t>
  </si>
  <si>
    <t>Sport and Exercise Science</t>
  </si>
  <si>
    <t>In Person Exam</t>
  </si>
  <si>
    <t>Technical Skills</t>
  </si>
  <si>
    <t>MgmtSelf</t>
  </si>
  <si>
    <t>Sport Coaching</t>
  </si>
  <si>
    <t>DeliveryEnvironment</t>
  </si>
  <si>
    <t>Sport Nutrition</t>
  </si>
  <si>
    <t>ProfRelationships</t>
  </si>
  <si>
    <t>Sport Psychology</t>
  </si>
  <si>
    <t>Technical proficiency</t>
  </si>
  <si>
    <t>All Programmes</t>
  </si>
  <si>
    <t>Decision-making</t>
  </si>
  <si>
    <t>SES and FS</t>
  </si>
  <si>
    <t>SES, SC, PE</t>
  </si>
  <si>
    <t>SES and SN</t>
  </si>
  <si>
    <t>SC and PE</t>
  </si>
  <si>
    <t>Adaptability</t>
  </si>
  <si>
    <t>Application of Knowledge &amp; Skills</t>
  </si>
  <si>
    <t>Other combination</t>
  </si>
  <si>
    <t>Risk assessment</t>
  </si>
  <si>
    <t>Research literacy</t>
  </si>
  <si>
    <t>Literature searching</t>
  </si>
  <si>
    <t>Data interpretation</t>
  </si>
  <si>
    <t>Research communication</t>
  </si>
  <si>
    <t>Self-awareness</t>
  </si>
  <si>
    <t>Lifelong learning</t>
  </si>
  <si>
    <t>Initiative</t>
  </si>
  <si>
    <t>Accountability</t>
  </si>
  <si>
    <t>Active listening</t>
  </si>
  <si>
    <t>Analytical thinking</t>
  </si>
  <si>
    <t>Creative thinking</t>
  </si>
  <si>
    <t>Innovation</t>
  </si>
  <si>
    <t>Evaluation of outcomes</t>
  </si>
  <si>
    <t>Leadership</t>
  </si>
  <si>
    <t>Coaching and mentoring</t>
  </si>
  <si>
    <t>Time management</t>
  </si>
  <si>
    <t>Organisation</t>
  </si>
  <si>
    <t>Delegation</t>
  </si>
  <si>
    <t>Conflict resolution</t>
  </si>
  <si>
    <t>Empathy</t>
  </si>
  <si>
    <t>Multi-tasking</t>
  </si>
  <si>
    <t>Resource management</t>
  </si>
  <si>
    <t>Organisational awareness</t>
  </si>
  <si>
    <t>Service delivery</t>
  </si>
  <si>
    <t>Collaboration/multi-disciplinary working</t>
  </si>
  <si>
    <t>Cultural awareness and competence</t>
  </si>
  <si>
    <t>Integrity</t>
  </si>
  <si>
    <t>Respect</t>
  </si>
  <si>
    <t>Professional relationships &amp; behaviours</t>
  </si>
  <si>
    <t>SourceWorkbook</t>
  </si>
  <si>
    <t>TableName</t>
  </si>
  <si>
    <t>ModuleCode</t>
  </si>
  <si>
    <t>ItemSuffix</t>
  </si>
  <si>
    <t>Programme</t>
  </si>
  <si>
    <t>ProgCode</t>
  </si>
  <si>
    <t>ModuleTitle</t>
  </si>
  <si>
    <t>Football Science - AllModuleProformas.xlsx</t>
  </si>
  <si>
    <t>4301SPS_Meta</t>
  </si>
  <si>
    <t>Meta</t>
  </si>
  <si>
    <t>FS</t>
  </si>
  <si>
    <t>4303SPS_Meta</t>
  </si>
  <si>
    <t>Talent Identification, Development and Selection</t>
  </si>
  <si>
    <t>Andrew Triggs</t>
  </si>
  <si>
    <t>5301SPS_Meta</t>
  </si>
  <si>
    <t>5302SPS_Meta</t>
  </si>
  <si>
    <t>6301SPS_Meta</t>
  </si>
  <si>
    <t>6302SPS_Meta</t>
  </si>
  <si>
    <t>6303SPS_Meta</t>
  </si>
  <si>
    <t>6304SPS_Meta</t>
  </si>
  <si>
    <t>Applied Practice in Football Science</t>
  </si>
  <si>
    <t>Sport and Exercise Science - AllModuleProformas.xlsx</t>
  </si>
  <si>
    <t>4091SPS_Meta</t>
  </si>
  <si>
    <t>4091SPS</t>
  </si>
  <si>
    <t>Research Methods 1</t>
  </si>
  <si>
    <t>Theodoors Bampouras</t>
  </si>
  <si>
    <t>4092SPS_Meta</t>
  </si>
  <si>
    <t>4092SPS</t>
  </si>
  <si>
    <t>Exercise Phys L4</t>
  </si>
  <si>
    <t>xxx</t>
  </si>
  <si>
    <t>Gemma Miller (TBC)</t>
  </si>
  <si>
    <t>4094SPS_Meta</t>
  </si>
  <si>
    <t>4094SPS</t>
  </si>
  <si>
    <t>Human Movement</t>
  </si>
  <si>
    <t>Katie Fitton Davies</t>
  </si>
  <si>
    <t>5091SPS_Meta</t>
  </si>
  <si>
    <t>5091SPS</t>
  </si>
  <si>
    <t>Research Methods 2</t>
  </si>
  <si>
    <t>Jonathan Foulkes</t>
  </si>
  <si>
    <t>5103SPS_Meta</t>
  </si>
  <si>
    <t>5103SPS</t>
  </si>
  <si>
    <t>Biomechanics</t>
  </si>
  <si>
    <t xml:space="preserve">Biomechanics </t>
  </si>
  <si>
    <t xml:space="preserve">Thomas O'Brien </t>
  </si>
  <si>
    <t>5092SPS_Meta</t>
  </si>
  <si>
    <t>5092SPS</t>
  </si>
  <si>
    <t>Physiological adaptations to exercise</t>
  </si>
  <si>
    <t>Pascale Kippelen</t>
  </si>
  <si>
    <t>6091SPS_Meta</t>
  </si>
  <si>
    <t>6091SPS</t>
  </si>
  <si>
    <t>Major Project</t>
  </si>
  <si>
    <t>Dave Low</t>
  </si>
  <si>
    <t>Sport Psychology - AllModuleProformas.xlsx</t>
  </si>
  <si>
    <t>4093SPS_Meta</t>
  </si>
  <si>
    <t>4093SPS</t>
  </si>
  <si>
    <t>Psychosocial Principles of Sport and Exercise</t>
  </si>
  <si>
    <t>Kathryn Curran</t>
  </si>
  <si>
    <t>5093SPS_Meta</t>
  </si>
  <si>
    <t>5093SPS</t>
  </si>
  <si>
    <t>Sport and Performance Psychology</t>
  </si>
  <si>
    <t>James Roberts</t>
  </si>
  <si>
    <t>4301SPS_LO</t>
  </si>
  <si>
    <t>LO</t>
  </si>
  <si>
    <t>4303SPS_LO</t>
  </si>
  <si>
    <t>5301SPS_LO</t>
  </si>
  <si>
    <t>Recognise the ethical, welfare, and professional responsibilities associated with football science practice.</t>
  </si>
  <si>
    <t>6301SPS_LO</t>
  </si>
  <si>
    <t>6302SPS_LO</t>
  </si>
  <si>
    <t>Critically analyse the metabolic responses to football-specific exercise, and evaluate how these responses inform HIIT training design and execution.</t>
  </si>
  <si>
    <t>Critically evaluate the implementation of evidence-based training across the football microcycle, and orally defend programming decisions in response to applied scenarios.</t>
  </si>
  <si>
    <t>6303SPS_LO</t>
  </si>
  <si>
    <t>To critically analyse the psychological and cultural challenges that elite players experience within youth and senior football environments. </t>
  </si>
  <si>
    <t>6304SPS_LO</t>
  </si>
  <si>
    <t>4091SPS_LO</t>
  </si>
  <si>
    <t>Identify characteristics of different research designs</t>
  </si>
  <si>
    <t>Apply, interpret and report quantitative and qualitative techniques</t>
  </si>
  <si>
    <t>4092SPS_LO</t>
  </si>
  <si>
    <t>Describe the basic structure and function of key physiological systems and metabolic processes.</t>
  </si>
  <si>
    <t>Describe and explain how key physiological systems and metabolic processes respond to acute exercise.</t>
  </si>
  <si>
    <t>Collect, present and interpret physiological data using appropriate scientific methods and conventions.</t>
  </si>
  <si>
    <t>4094SPS_LO</t>
  </si>
  <si>
    <t>Describe human anatomical structure and function and apply these concepts to sport, exercise and health</t>
  </si>
  <si>
    <t>Apply concepts and techniques of biomechanics to sport, exercise, and health</t>
  </si>
  <si>
    <t>Apply concepts and techniques of skill acquisition to sport, exercise, and health</t>
  </si>
  <si>
    <t>5091SPS_LO</t>
  </si>
  <si>
    <t>Deploy accurately established techniques of analysis and enquiry within a discipline</t>
  </si>
  <si>
    <t>Describe and comment upon aspects of current research, or equivalent advanced scholarship, in the discipline</t>
  </si>
  <si>
    <t>Manage their own learning, and to make use of scholarly reviews and primary sources (for example, refereed research articles and/or original materials appropriate to the discipline).</t>
  </si>
  <si>
    <t>5103SPS_LO</t>
  </si>
  <si>
    <t>Collect, analyse and report biomechanical data and in sports and exercise applications</t>
  </si>
  <si>
    <t xml:space="preserve">Explain how biomechanical principles can be used to improve performance and reduce injury </t>
  </si>
  <si>
    <t>5092SPS_LO</t>
  </si>
  <si>
    <t>Analyse and critically evaluate the physiological effects of sport and exercise interventions in diverse populations.</t>
  </si>
  <si>
    <t>Critically assess the impact of environmental factors, nutritional interventions, and disease states on physiological responses and adaptations to exercise training,</t>
  </si>
  <si>
    <t>6091SPS_LO</t>
  </si>
  <si>
    <t>Apply skills and competencies to conduct research in an area relevant to their programme of study</t>
  </si>
  <si>
    <t>Critically appraise the research in a written format as specified by the major project guidelines</t>
  </si>
  <si>
    <t>Present and defend the progress and summary of the project and its findings in a scientific manner</t>
  </si>
  <si>
    <t>4093SPS_LO</t>
  </si>
  <si>
    <t xml:space="preserve">Outline the importance of psychology, sociology and psychosocial principles in sport and exercise. </t>
  </si>
  <si>
    <t>Explain how psychological factors influence behaviour, performance and participation in sport and exercise</t>
  </si>
  <si>
    <t>Describe how social, cultural, and structural factors influence participation, behaviour and experiences in sport and exercise</t>
  </si>
  <si>
    <t>5093SPS_LO</t>
  </si>
  <si>
    <t>Evaluate individual and environmental psychological principles associated with sport performance.</t>
  </si>
  <si>
    <t>Evaluate the identification and development of perceptual-cognitive expertise within sport.</t>
  </si>
  <si>
    <t>4091SPS_Assess</t>
  </si>
  <si>
    <t>Online test with multiple-choice, fill in the gap or true/false questions. The questions are based around the content of the first 4 weeks. Practice questions will be available on Canvas.</t>
  </si>
  <si>
    <t>Assess</t>
  </si>
  <si>
    <t>Online exam with multiple-choice, fill in the gap or true/false questions. The questions are based around the remaining content (after 4 weeks) of the module. Practice questions will be available on Canvas.</t>
  </si>
  <si>
    <t>Assessment period</t>
  </si>
  <si>
    <t>4092SPS_Assess</t>
  </si>
  <si>
    <t>Lab Report Portfolio: Lab Report 1 Submission + Peer Review Activity + Reflection + Lab Report 2 Submission</t>
  </si>
  <si>
    <t xml:space="preserve">In person Online MCQ Exam </t>
  </si>
  <si>
    <t>4093SPS_Assess</t>
  </si>
  <si>
    <t xml:space="preserve">60 minute and 50 question MCT to cover material delivered during weeks 1-6 of the module. </t>
  </si>
  <si>
    <t>Week 8</t>
  </si>
  <si>
    <t>60 minute and 50 question MCT to cover material delivered during weeks 8-12 of the module. </t>
  </si>
  <si>
    <t>January Assessment Weeks</t>
  </si>
  <si>
    <t>4094SPS_Assess</t>
  </si>
  <si>
    <t>Online exam where students choose 3 out of 6 possible videos of movement to deconstruct a joint of their choice through MCQ and open text responses</t>
  </si>
  <si>
    <t>Using biomechanical and skill acquisition theories, students will work in groups and pick a skill to progress through the stages of learning and create a short video to document this progression and how they have applied the theories gained through the module. It will also include an individual reflective piece on how their knowledge has developed over the module and how it might impact on work in sport, exercise and health.</t>
  </si>
  <si>
    <t>4301SPS_Assess</t>
  </si>
  <si>
    <t>4303SPS_Assess</t>
  </si>
  <si>
    <t>Group presentation with question and answer</t>
  </si>
  <si>
    <t>Written report and individual development plan</t>
  </si>
  <si>
    <t>5091SPS_Assess</t>
  </si>
  <si>
    <t>Group presentation demonstrating analysis of mixed-methods data</t>
  </si>
  <si>
    <t>Research Proposal outlining a feasible study to undertake at L6</t>
  </si>
  <si>
    <t>5092SPS_Assess</t>
  </si>
  <si>
    <t>Using the experimental data provided and an AI-generated draft report, students will produce a scientific laboratory report that analyses and evaluates the physiological effects of exercise training</t>
  </si>
  <si>
    <t>Pro/con debate: working in groups, students will research, prepare, and participate in a structured debate on a controversial topic related to sport and exercise physiology</t>
  </si>
  <si>
    <t>Assessment week</t>
  </si>
  <si>
    <t>5093SPS_Assess</t>
  </si>
  <si>
    <t>In-class video observation and short-answer questions</t>
  </si>
  <si>
    <t>In-class short- and multi-choice answer questions</t>
  </si>
  <si>
    <t>13-14</t>
  </si>
  <si>
    <t>5103SPS_Assess</t>
  </si>
  <si>
    <t xml:space="preserve">Porfoiolo of biomechanical analysis reports to a 'Performance Director', linked to taught labs </t>
  </si>
  <si>
    <t xml:space="preserve">Exam testing knowledge of taught conetent and assessing depth of knowlegde and seeking justifications and critique of portfolio </t>
  </si>
  <si>
    <t>5301SPS_Assess</t>
  </si>
  <si>
    <t>6091SPS_Assess</t>
  </si>
  <si>
    <t>Students are required to submit a thesis that describes and reports the major project that they conducted using the scientific method, e.g., Introduction, Methods, Results and Discussion. This could be in the format of an Empirical type project or a Systeamtic Review type project.</t>
  </si>
  <si>
    <t xml:space="preserve">Students are required to manage their own project throughout the year and produce, present and defend their major project </t>
  </si>
  <si>
    <t>6301SPS_Assess</t>
  </si>
  <si>
    <t>Performance testing and technology</t>
  </si>
  <si>
    <t>Training Load</t>
  </si>
  <si>
    <t>6302SPS_Assess</t>
  </si>
  <si>
    <t>6303SPS_Assess</t>
  </si>
  <si>
    <t xml:space="preserve">Individual presentation of infographic </t>
  </si>
  <si>
    <t>Psychological Development Programme</t>
  </si>
  <si>
    <t>6304SPS_Assess</t>
  </si>
  <si>
    <t>Individual reflective report</t>
  </si>
  <si>
    <t>4301SPS_Hours</t>
  </si>
  <si>
    <t>Hours</t>
  </si>
  <si>
    <t>4303SPS_Hours</t>
  </si>
  <si>
    <t>5301SPS_Hours</t>
  </si>
  <si>
    <t>5302SPS_Hours</t>
  </si>
  <si>
    <t>6301SPS_Hours</t>
  </si>
  <si>
    <t>6302SPS_Hours</t>
  </si>
  <si>
    <t>6303SPS_Hours</t>
  </si>
  <si>
    <t>6304SPS_Hours</t>
  </si>
  <si>
    <t>4091SPS_Hours</t>
  </si>
  <si>
    <t>4092SPS_Hours</t>
  </si>
  <si>
    <t>4094SPS_Hours</t>
  </si>
  <si>
    <t>5091SPS_Hours</t>
  </si>
  <si>
    <t>5103SPS_Hours</t>
  </si>
  <si>
    <t>5092SPS_Hours</t>
  </si>
  <si>
    <t>6091SPS_Hours</t>
  </si>
  <si>
    <t>4093SPS_Hours</t>
  </si>
  <si>
    <t>5093SPS_Hours</t>
  </si>
  <si>
    <t>4301SPS_Mapping</t>
  </si>
  <si>
    <t>Mapping</t>
  </si>
  <si>
    <t>4303SPS_Mapping</t>
  </si>
  <si>
    <t>5301SPS_Mapping</t>
  </si>
  <si>
    <t>6301SPS_Mapping</t>
  </si>
  <si>
    <t>6302SPS_Mapping</t>
  </si>
  <si>
    <t>6303SPS_Mapping</t>
  </si>
  <si>
    <t>6304SPS_Mapping</t>
  </si>
  <si>
    <t>Assessment Task</t>
  </si>
  <si>
    <t>Module LOs</t>
  </si>
  <si>
    <t>Programme Learning Outcomes (PLOs) Mapped</t>
  </si>
  <si>
    <t>Graduate Skills &amp; Competencies</t>
  </si>
  <si>
    <t>LO1, LO2, LO4</t>
  </si>
  <si>
    <t>PLO1: Discipline Knowledge</t>
  </si>
  <si>
    <t>LO1, LO2, LO3</t>
  </si>
  <si>
    <t>PLO3: Practical &amp; Applied Execution</t>
  </si>
  <si>
    <t>Oral presentation, Digital literacy, Data visualization, MDT communication, Problem-solving and adaptability.</t>
  </si>
  <si>
    <t>4091SPS_Mapping</t>
  </si>
  <si>
    <t>4092SPS_Mapping</t>
  </si>
  <si>
    <t>4094SPS_Mapping</t>
  </si>
  <si>
    <t>5091SPS_Mapping</t>
  </si>
  <si>
    <t>5103SPS_Mapping</t>
  </si>
  <si>
    <t>5092SPS_Mapping</t>
  </si>
  <si>
    <t>6091SPS_Mapping</t>
  </si>
  <si>
    <t>4093SPS_Mapping</t>
  </si>
  <si>
    <t>5093SPS_Mapping</t>
  </si>
  <si>
    <t>Total Contact Hours</t>
  </si>
  <si>
    <t>Hours per Credit</t>
  </si>
  <si>
    <t>Modules Covering</t>
  </si>
  <si>
    <t>Module Count</t>
  </si>
  <si>
    <t>Covered</t>
  </si>
  <si>
    <t>Football Performance and Technology; Exercise Phys L4; Physiological adaptations to exercise; Major Project</t>
  </si>
  <si>
    <t>Professional Practice in Football Science; Football Performance and Technology; Physical Performance in Football; Applied Psychology of Football; Research Methods 2; Physiological adaptations to exercise; Major Project</t>
  </si>
  <si>
    <t>Talent Identification, Development and Selection; Football Performance and Technology; Physical Performance in Football; Applied Psychology of Football; Research Methods 1; Exercise Phys L4; Research Methods 2; Physiological adaptations to exercise; Major Project</t>
  </si>
  <si>
    <t>Professional Practice in Football Science; Human Movement</t>
  </si>
  <si>
    <t>Talent Identification, Development and Selection; Professional Practice in Football Science 2; Applied Psychology of Football; Research Methods 1; Human Movement; Research Methods 2; Psychosocial Principles of Sport and Exercise; Sport and Performance Psychology</t>
  </si>
  <si>
    <t>Professional Practice in Football Science; Professional Practice in Football Science 2</t>
  </si>
  <si>
    <t>Human Movement; Major Project</t>
  </si>
  <si>
    <t>Physiological adaptations to exercise; Psychosocial Principles of Sport and Exercise; Sport and Performance Psychology</t>
  </si>
  <si>
    <t>Professional Practice in Football Science; Professional Practice in Football Science 2; Research Methods 1; Exercise Phys L4</t>
  </si>
  <si>
    <t>Professional Practice in Football Science; Talent Identification, Development and Selection; Research Methods 1; Human Movement</t>
  </si>
  <si>
    <t>Football Performance and Technology; Exercise Phys L4; Human Movement; Major Project</t>
  </si>
  <si>
    <t>Football Performance and Technology; Physiological adaptations to exercise</t>
  </si>
  <si>
    <t>Football Performance and Technology; Physical Performance in Football; Applied Psychology of Football; Research Methods 1; Research Methods 2</t>
  </si>
  <si>
    <t>Talent Identification, Development and Selection; Professional Practice in Football Science 2; Exercise Phys L4; Major Project; Psychosocial Principles of Sport and Exercise; Sport and Performance Psychology</t>
  </si>
  <si>
    <t>Physical Performance in Football; Applied Psychology of Football; Research Methods 2</t>
  </si>
  <si>
    <t>Talent Identification, Development and Selection; Professional Practice in Football Science 2</t>
  </si>
  <si>
    <t>Professional Practice in Football Science 2; Psychosocial Principles of Sport and Exercise; Sport and Performance Psychology</t>
  </si>
  <si>
    <t>Football Performance and Technology; Exercise Phys L4</t>
  </si>
  <si>
    <t>Research Methods 1; Exercise Phys L4; Research Methods 2; Physiological adaptations to exercise; Major Project</t>
  </si>
  <si>
    <t>Applied Psychology of Football; Research Methods 2; Physiological adaptations to exercise; Major Project</t>
  </si>
  <si>
    <t>Psychosocial Principles of Sport and Exercise; Sport and Performance Psychology</t>
  </si>
  <si>
    <t>Human Movement; Physiological adaptations to exercise; Major Project</t>
  </si>
  <si>
    <t>Physical Performance in Football; Human Movement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</si>
</sst>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20"/>
      <color theme="1"/>
      <name val="Aptos Narrow"/>
      <family val="2"/>
      <scheme val="minor"/>
    </font>
    <font>
      <b/>
      <sz val="11"/>
      <color theme="0"/>
      <name val="Aptos Narrow"/>
      <family val="2"/>
      <scheme val="minor"/>
    </font>
    <font>
      <i/>
      <sz val="12"/>
      <color theme="1"/>
      <name val="Aptos Narrow"/>
      <family val="2"/>
    </font>
    <font>
      <sz val="11"/>
      <color theme="1"/>
      <name val="Arial"/>
      <family val="2"/>
      <charset val="1"/>
    </font>
    <font>
      <sz val="12"/>
      <color theme="1"/>
      <name val="Arial"/>
      <family val="2"/>
      <charset val="1"/>
    </font>
    <font>
      <sz val="11"/>
      <color rgb="FF242424"/>
      <name val="Aptos Narrow"/>
      <family val="2"/>
    </font>
    <font>
      <sz val="11"/>
      <color theme="1"/>
      <name val="Aptos"/>
      <family val="2"/>
      <charset val="1"/>
    </font>
    <font>
      <b/>
      <sz val="11"/>
      <color theme="1"/>
      <name val="Aptos"/>
      <family val="2"/>
      <charset val="1"/>
    </font>
    <font>
      <sz val="12"/>
      <color theme="1"/>
      <name val="Aptos"/>
      <family val="2"/>
      <charset val="1"/>
    </font>
    <font>
      <sz val="12"/>
      <color theme="1"/>
      <name val="Aptos Narrow"/>
      <family val="2"/>
      <scheme val="minor"/>
    </font>
    <font>
      <sz val="12"/>
      <color rgb="FF000000"/>
      <name val="Aptos"/>
      <family val="2"/>
    </font>
    <font>
      <sz val="11"/>
      <color theme="1"/>
      <name val="Aptos Narrow"/>
      <family val="2"/>
      <scheme val="minor"/>
    </font>
    <font>
      <sz val="12"/>
      <color rgb="FF333333"/>
      <name val="Arial"/>
      <family val="2"/>
    </font>
    <font>
      <sz val="12"/>
      <color rgb="FF000000"/>
      <name val="Arial"/>
      <family val="2"/>
    </font>
    <font>
      <i/>
      <sz val="12"/>
      <color theme="1"/>
      <name val="Arial"/>
      <family val="2"/>
    </font>
    <font>
      <sz val="12"/>
      <color theme="1"/>
      <name val="Arial"/>
      <family val="2"/>
    </font>
    <font>
      <b/>
      <sz val="12"/>
      <color theme="1"/>
      <name val="Arial"/>
      <family val="2"/>
    </font>
    <font>
      <sz val="12"/>
      <color rgb="FF011A42"/>
      <name val="Arial"/>
      <family val="2"/>
    </font>
    <font>
      <b/>
      <sz val="11"/>
      <color rgb="FF000000"/>
      <name val="Aptos Narrow"/>
      <family val="2"/>
      <scheme val="minor"/>
    </font>
    <font>
      <sz val="11"/>
      <color rgb="FF000000"/>
      <name val="Aptos Narrow"/>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rgb="FFFFFFFF"/>
        <bgColor indexed="64"/>
      </patternFill>
    </fill>
  </fills>
  <borders count="16">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rgb="FFC4C7C5"/>
      </left>
      <right style="thin">
        <color rgb="FFC4C7C5"/>
      </right>
      <top style="thin">
        <color rgb="FFC4C7C5"/>
      </top>
      <bottom/>
      <diagonal/>
    </border>
    <border>
      <left style="thin">
        <color rgb="FFC4C7C5"/>
      </left>
      <right style="thin">
        <color rgb="FFC4C7C5"/>
      </right>
      <top/>
      <bottom/>
      <diagonal/>
    </border>
    <border>
      <left style="thin">
        <color rgb="FFC4C7C5"/>
      </left>
      <right style="thin">
        <color rgb="FFC4C7C5"/>
      </right>
      <top/>
      <bottom style="thin">
        <color rgb="FFC4C7C5"/>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93">
    <xf numFmtId="0" fontId="0" fillId="0" borderId="0" xfId="0"/>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9" fontId="0" fillId="0" borderId="0" xfId="0" applyNumberFormat="1" applyAlignment="1" applyProtection="1">
      <alignment horizontal="left" vertical="center" wrapText="1"/>
      <protection locked="0"/>
    </xf>
    <xf numFmtId="0" fontId="0" fillId="0" borderId="0" xfId="0" applyProtection="1">
      <protection locked="0"/>
    </xf>
    <xf numFmtId="0" fontId="1" fillId="0" borderId="0" xfId="0" applyFont="1" applyProtection="1">
      <protection locked="0"/>
    </xf>
    <xf numFmtId="0" fontId="7" fillId="0" borderId="0" xfId="0" applyFont="1" applyAlignment="1" applyProtection="1">
      <alignment wrapText="1"/>
      <protection locked="0"/>
    </xf>
    <xf numFmtId="0" fontId="8" fillId="0" borderId="0" xfId="0" applyFont="1" applyProtection="1">
      <protection locked="0"/>
    </xf>
    <xf numFmtId="0" fontId="8" fillId="0" borderId="0" xfId="0" applyFont="1" applyAlignment="1" applyProtection="1">
      <alignment wrapText="1"/>
      <protection locked="0"/>
    </xf>
    <xf numFmtId="0" fontId="0" fillId="0" borderId="0" xfId="0" applyAlignment="1" applyProtection="1">
      <alignment wrapText="1"/>
      <protection locked="0"/>
    </xf>
    <xf numFmtId="0" fontId="9" fillId="0" borderId="0" xfId="0" applyFont="1" applyProtection="1">
      <protection locked="0"/>
    </xf>
    <xf numFmtId="0" fontId="10" fillId="0" borderId="0" xfId="0" applyFont="1" applyProtection="1">
      <protection locked="0"/>
    </xf>
    <xf numFmtId="0" fontId="11" fillId="0" borderId="0" xfId="0" applyFont="1" applyProtection="1">
      <protection locked="0"/>
    </xf>
    <xf numFmtId="0" fontId="13" fillId="0" borderId="0" xfId="0" applyFont="1" applyProtection="1">
      <protection locked="0"/>
    </xf>
    <xf numFmtId="0" fontId="12" fillId="0" borderId="0" xfId="0" applyFont="1" applyProtection="1">
      <protection locked="0"/>
    </xf>
    <xf numFmtId="0" fontId="14" fillId="0" borderId="0" xfId="0" applyFont="1" applyProtection="1">
      <protection locked="0"/>
    </xf>
    <xf numFmtId="0" fontId="15" fillId="0" borderId="0" xfId="0" applyFont="1" applyProtection="1">
      <protection locked="0"/>
    </xf>
    <xf numFmtId="0" fontId="15" fillId="0" borderId="0" xfId="0" applyFont="1" applyAlignment="1" applyProtection="1">
      <alignment horizontal="left" vertical="center" wrapText="1"/>
      <protection locked="0"/>
    </xf>
    <xf numFmtId="0" fontId="0" fillId="0" borderId="0" xfId="0" applyAlignment="1" applyProtection="1">
      <alignment wrapText="1" readingOrder="1"/>
      <protection locked="0"/>
    </xf>
    <xf numFmtId="0" fontId="0" fillId="0" borderId="0" xfId="0" applyAlignment="1" applyProtection="1">
      <alignment horizontal="center"/>
      <protection locked="0"/>
    </xf>
    <xf numFmtId="0" fontId="0" fillId="0" borderId="0" xfId="0" applyAlignment="1" applyProtection="1">
      <alignment horizontal="center" vertical="center"/>
      <protection locked="0"/>
    </xf>
    <xf numFmtId="0" fontId="1" fillId="0" borderId="0" xfId="0" applyFont="1" applyAlignment="1" applyProtection="1">
      <alignment horizontal="left" vertical="center" wrapText="1"/>
      <protection locked="0"/>
    </xf>
    <xf numFmtId="0" fontId="20" fillId="0" borderId="6" xfId="0" applyFont="1" applyBorder="1" applyProtection="1">
      <protection locked="0"/>
    </xf>
    <xf numFmtId="0" fontId="19" fillId="0" borderId="0" xfId="0" applyFont="1" applyAlignment="1" applyProtection="1">
      <alignment horizontal="left" vertical="center" wrapText="1"/>
      <protection locked="0"/>
    </xf>
    <xf numFmtId="0" fontId="17" fillId="0" borderId="0" xfId="0" applyFont="1" applyProtection="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9" fontId="19" fillId="0" borderId="0" xfId="0" applyNumberFormat="1" applyFont="1" applyAlignment="1" applyProtection="1">
      <alignment horizontal="left" vertical="center" wrapText="1"/>
      <protection locked="0"/>
    </xf>
    <xf numFmtId="0" fontId="19" fillId="0" borderId="6" xfId="0" applyFont="1" applyBorder="1" applyProtection="1">
      <protection locked="0"/>
    </xf>
    <xf numFmtId="0" fontId="4" fillId="4" borderId="0" xfId="0" applyFont="1" applyFill="1"/>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6" fillId="0" borderId="0" xfId="0" applyFont="1"/>
    <xf numFmtId="0" fontId="1" fillId="0" borderId="0" xfId="0" applyFont="1"/>
    <xf numFmtId="0" fontId="0" fillId="0" borderId="0" xfId="0" applyAlignment="1">
      <alignment horizontal="center"/>
    </xf>
    <xf numFmtId="0" fontId="1" fillId="0" borderId="0" xfId="0" applyFont="1" applyAlignment="1" applyProtection="1">
      <alignment horizontal="center" vertical="center" wrapText="1"/>
      <protection locked="0"/>
    </xf>
    <xf numFmtId="0" fontId="19" fillId="0" borderId="0" xfId="0" applyFont="1"/>
    <xf numFmtId="0" fontId="19" fillId="4" borderId="0" xfId="0" applyFont="1" applyFill="1"/>
    <xf numFmtId="0" fontId="20" fillId="4" borderId="0" xfId="0" applyFont="1" applyFill="1"/>
    <xf numFmtId="0" fontId="20" fillId="0" borderId="0" xfId="0" applyFont="1" applyAlignment="1">
      <alignment horizontal="center" vertical="center" wrapText="1"/>
    </xf>
    <xf numFmtId="0" fontId="19" fillId="0" borderId="0" xfId="0" applyFont="1" applyAlignment="1">
      <alignment vertical="center" wrapText="1"/>
    </xf>
    <xf numFmtId="0" fontId="20" fillId="0" borderId="0" xfId="0" applyFont="1" applyAlignment="1">
      <alignment vertical="center" wrapText="1"/>
    </xf>
    <xf numFmtId="0" fontId="20" fillId="0" borderId="0" xfId="0" applyFont="1" applyAlignment="1">
      <alignment horizontal="left" vertical="center" wrapText="1"/>
    </xf>
    <xf numFmtId="0" fontId="19" fillId="0" borderId="0" xfId="0" applyFont="1" applyAlignment="1">
      <alignment horizontal="left" vertical="center" wrapText="1"/>
    </xf>
    <xf numFmtId="0" fontId="18" fillId="0" borderId="0" xfId="0" applyFont="1"/>
    <xf numFmtId="0" fontId="19" fillId="6" borderId="9" xfId="0" applyFont="1" applyFill="1" applyBorder="1" applyAlignment="1">
      <alignment horizontal="left" vertical="center" wrapText="1"/>
    </xf>
    <xf numFmtId="0" fontId="19" fillId="6" borderId="9" xfId="0" applyFont="1" applyFill="1" applyBorder="1"/>
    <xf numFmtId="0" fontId="19" fillId="6" borderId="10" xfId="0" applyFont="1" applyFill="1" applyBorder="1"/>
    <xf numFmtId="0" fontId="19" fillId="5" borderId="0" xfId="0" applyFont="1" applyFill="1"/>
    <xf numFmtId="0" fontId="19" fillId="0" borderId="12" xfId="0" applyFont="1" applyBorder="1"/>
    <xf numFmtId="0" fontId="19" fillId="6" borderId="0" xfId="0" applyFont="1" applyFill="1" applyAlignment="1">
      <alignment horizontal="left" vertical="center" wrapText="1"/>
    </xf>
    <xf numFmtId="0" fontId="19" fillId="6" borderId="0" xfId="0" applyFont="1" applyFill="1"/>
    <xf numFmtId="0" fontId="19" fillId="6" borderId="12" xfId="0" applyFont="1" applyFill="1" applyBorder="1"/>
    <xf numFmtId="0" fontId="19" fillId="0" borderId="14" xfId="0" applyFont="1" applyBorder="1" applyAlignment="1">
      <alignment horizontal="left" vertical="center" wrapText="1"/>
    </xf>
    <xf numFmtId="0" fontId="19" fillId="5" borderId="14" xfId="0" applyFont="1" applyFill="1" applyBorder="1"/>
    <xf numFmtId="0" fontId="19" fillId="0" borderId="14" xfId="0" applyFont="1" applyBorder="1"/>
    <xf numFmtId="0" fontId="19" fillId="0" borderId="15" xfId="0" applyFont="1" applyBorder="1"/>
    <xf numFmtId="0" fontId="21" fillId="0" borderId="0" xfId="0" applyFont="1" applyAlignment="1">
      <alignment wrapText="1"/>
    </xf>
    <xf numFmtId="0" fontId="20" fillId="0" borderId="0" xfId="0" applyFont="1" applyAlignment="1" applyProtection="1">
      <alignment horizontal="left" vertical="center" wrapText="1"/>
      <protection locked="0"/>
    </xf>
    <xf numFmtId="0" fontId="20" fillId="0" borderId="8" xfId="0" applyFont="1" applyBorder="1" applyAlignment="1" applyProtection="1">
      <alignment horizontal="left" vertical="center" wrapText="1"/>
      <protection locked="0"/>
    </xf>
    <xf numFmtId="0" fontId="20" fillId="0" borderId="11" xfId="0" applyFont="1" applyBorder="1" applyAlignment="1" applyProtection="1">
      <alignment horizontal="left" vertical="center" wrapText="1"/>
      <protection locked="0"/>
    </xf>
    <xf numFmtId="0" fontId="20" fillId="0" borderId="13" xfId="0" applyFont="1" applyBorder="1" applyAlignment="1" applyProtection="1">
      <alignment horizontal="left" vertical="center" wrapText="1"/>
      <protection locked="0"/>
    </xf>
    <xf numFmtId="0" fontId="19" fillId="0" borderId="0" xfId="0" applyFont="1" applyAlignment="1" applyProtection="1">
      <alignment horizontal="center"/>
      <protection locked="0"/>
    </xf>
    <xf numFmtId="0" fontId="20" fillId="0" borderId="0" xfId="0" applyFont="1" applyAlignment="1" applyProtection="1">
      <alignment horizontal="center" vertical="center" wrapText="1"/>
      <protection locked="0"/>
    </xf>
    <xf numFmtId="0" fontId="19" fillId="0" borderId="5" xfId="0" applyFont="1" applyBorder="1" applyProtection="1">
      <protection locked="0"/>
    </xf>
    <xf numFmtId="0" fontId="19" fillId="0" borderId="7" xfId="0" applyFont="1" applyBorder="1" applyProtection="1">
      <protection locked="0"/>
    </xf>
    <xf numFmtId="0" fontId="1" fillId="2" borderId="1" xfId="0" applyFont="1" applyFill="1" applyBorder="1"/>
    <xf numFmtId="0" fontId="5" fillId="3" borderId="3" xfId="0" applyFont="1" applyFill="1" applyBorder="1"/>
    <xf numFmtId="0" fontId="5" fillId="3" borderId="4" xfId="0" applyFont="1" applyFill="1" applyBorder="1"/>
    <xf numFmtId="0" fontId="0" fillId="2" borderId="3" xfId="0" applyFill="1" applyBorder="1"/>
    <xf numFmtId="0" fontId="0" fillId="2" borderId="4" xfId="0" applyFill="1" applyBorder="1"/>
    <xf numFmtId="0" fontId="0" fillId="0" borderId="3" xfId="0" applyBorder="1"/>
    <xf numFmtId="0" fontId="0" fillId="0" borderId="4" xfId="0" applyBorder="1"/>
    <xf numFmtId="0" fontId="0" fillId="0" borderId="1" xfId="0" applyBorder="1"/>
    <xf numFmtId="0" fontId="0" fillId="0" borderId="2" xfId="0" applyBorder="1"/>
    <xf numFmtId="0" fontId="0" fillId="2" borderId="1" xfId="0" applyFill="1" applyBorder="1"/>
    <xf numFmtId="0" fontId="1" fillId="0" borderId="1" xfId="0" applyFont="1" applyBorder="1"/>
    <xf numFmtId="0" fontId="1" fillId="0" borderId="0" xfId="0" applyFont="1" applyAlignment="1" applyProtection="1">
      <alignment horizontal="center" vertical="center"/>
      <protection locked="0"/>
    </xf>
    <xf numFmtId="0" fontId="21" fillId="0" borderId="14" xfId="0" applyFont="1" applyBorder="1" applyAlignment="1" applyProtection="1">
      <alignment vertical="top" wrapText="1"/>
      <protection locked="0"/>
    </xf>
    <xf numFmtId="0" fontId="21" fillId="0" borderId="9" xfId="0" applyFont="1" applyBorder="1" applyAlignment="1" applyProtection="1">
      <alignment vertical="top" wrapText="1"/>
      <protection locked="0"/>
    </xf>
    <xf numFmtId="0" fontId="19" fillId="0" borderId="0" xfId="0" applyFont="1" applyAlignment="1" applyProtection="1">
      <alignment vertical="top" wrapText="1"/>
      <protection locked="0"/>
    </xf>
    <xf numFmtId="0" fontId="17" fillId="0" borderId="0" xfId="0" applyFont="1" applyAlignment="1" applyProtection="1">
      <alignment vertical="top" wrapText="1"/>
      <protection locked="0"/>
    </xf>
    <xf numFmtId="0" fontId="17" fillId="0" borderId="0" xfId="0" applyFont="1" applyAlignment="1" applyProtection="1">
      <alignment vertical="top"/>
      <protection locked="0"/>
    </xf>
    <xf numFmtId="0" fontId="16" fillId="7" borderId="0" xfId="0" applyFont="1" applyFill="1" applyAlignment="1" applyProtection="1">
      <alignment vertical="top" wrapText="1"/>
      <protection locked="0"/>
    </xf>
    <xf numFmtId="0" fontId="17" fillId="0" borderId="0" xfId="0" applyFont="1" applyAlignment="1">
      <alignment vertical="center" wrapText="1"/>
    </xf>
    <xf numFmtId="0" fontId="17" fillId="0" borderId="0" xfId="0" applyFont="1" applyAlignment="1">
      <alignment horizontal="center" vertical="center" wrapText="1"/>
    </xf>
    <xf numFmtId="0" fontId="19" fillId="0" borderId="0" xfId="0" applyFont="1" applyAlignment="1" applyProtection="1">
      <alignment wrapText="1"/>
      <protection locked="0"/>
    </xf>
    <xf numFmtId="0" fontId="19" fillId="0" borderId="0" xfId="0" applyFont="1" applyAlignment="1">
      <alignment vertical="top"/>
    </xf>
    <xf numFmtId="0" fontId="23" fillId="0" borderId="0" xfId="0" applyFont="1" applyAlignment="1" applyProtection="1">
      <alignment wrapText="1"/>
      <protection locked="0"/>
    </xf>
    <xf numFmtId="0" fontId="23" fillId="0" borderId="0" xfId="0" applyFont="1" applyAlignment="1" applyProtection="1">
      <alignment horizontal="left" vertical="center" wrapText="1"/>
      <protection locked="0"/>
    </xf>
  </cellXfs>
  <cellStyles count="1">
    <cellStyle name="Normal" xfId="0" builtinId="0"/>
  </cellStyles>
  <dxfs count="383">
    <dxf>
      <font>
        <strike val="0"/>
        <outline val="0"/>
        <shadow val="0"/>
        <u val="none"/>
        <vertAlign val="baseline"/>
        <sz val="12"/>
        <color theme="1"/>
        <name val="Arial"/>
        <family val="2"/>
        <scheme val="none"/>
      </font>
      <protection locked="0" hidden="0"/>
    </dxf>
    <dxf>
      <font>
        <strike val="0"/>
        <outline val="0"/>
        <shadow val="0"/>
        <u val="none"/>
        <vertAlign val="baseline"/>
        <sz val="12"/>
        <color theme="1"/>
        <name val="Arial"/>
        <family val="2"/>
        <scheme val="none"/>
      </font>
      <protection locked="0" hidden="0"/>
    </dxf>
    <dxf>
      <font>
        <strike val="0"/>
        <outline val="0"/>
        <shadow val="0"/>
        <u val="none"/>
        <vertAlign val="baseline"/>
        <sz val="12"/>
        <color theme="1"/>
        <name val="Arial"/>
        <family val="2"/>
        <scheme val="none"/>
      </font>
      <protection locked="0" hidden="0"/>
    </dxf>
    <dxf>
      <font>
        <strike val="0"/>
        <outline val="0"/>
        <shadow val="0"/>
        <u val="none"/>
        <vertAlign val="baseline"/>
        <sz val="12"/>
        <color theme="1"/>
        <name val="Arial"/>
        <family val="2"/>
        <scheme val="none"/>
      </font>
      <protection locked="0" hidden="0"/>
    </dxf>
    <dxf>
      <font>
        <b/>
        <strike val="0"/>
        <outline val="0"/>
        <shadow val="0"/>
        <u val="none"/>
        <vertAlign val="baseline"/>
        <sz val="12"/>
        <color theme="1"/>
        <name val="Arial"/>
        <family val="2"/>
        <scheme val="none"/>
      </font>
      <protection locked="0" hidden="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protection locked="1" hidden="0"/>
    </dxf>
    <dxf>
      <protection locked="1" hidden="0"/>
    </dxf>
    <dxf>
      <protection locked="1" hidden="0"/>
    </dxf>
    <dxf>
      <protection locked="1" hidden="0"/>
    </dxf>
    <dxf>
      <protection locked="1" hidden="0"/>
    </dxf>
    <dxf>
      <protection locked="1" hidden="0"/>
    </dxf>
    <dxf>
      <protection locked="1" hidden="0"/>
    </dxf>
    <dxf>
      <font>
        <strike val="0"/>
        <outline val="0"/>
        <shadow val="0"/>
        <u val="none"/>
        <vertAlign val="baseline"/>
        <sz val="12"/>
        <name val="Arial"/>
        <family val="2"/>
        <scheme val="none"/>
      </font>
      <alignment horizontal="general" vertical="top" textRotation="0" wrapText="1" indent="0" justifyLastLine="0" shrinkToFit="0" readingOrder="0"/>
      <border diagonalUp="0" diagonalDown="0" outline="0">
        <left/>
        <right style="thin">
          <color indexed="64"/>
        </right>
        <top/>
        <bottom/>
      </border>
      <protection locked="0" hidden="0"/>
    </dxf>
    <dxf>
      <font>
        <b/>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outline="0">
        <left style="thin">
          <color indexed="64"/>
        </left>
        <right/>
        <top/>
        <bottom/>
      </border>
      <protection locked="0" hidden="0"/>
    </dxf>
    <dxf>
      <font>
        <strike val="0"/>
        <outline val="0"/>
        <shadow val="0"/>
        <u val="none"/>
        <vertAlign val="baseline"/>
        <sz val="12"/>
        <name val="Arial"/>
        <family val="2"/>
        <scheme val="none"/>
      </font>
      <protection locked="0" hidden="0"/>
    </dxf>
    <dxf>
      <font>
        <b/>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protection locked="1"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1"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1"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1" hidden="0"/>
    </dxf>
    <dxf>
      <font>
        <strike val="0"/>
        <outline val="0"/>
        <shadow val="0"/>
        <u val="none"/>
        <vertAlign val="baseline"/>
        <sz val="12"/>
        <name val="Arial"/>
        <family val="2"/>
        <scheme val="none"/>
      </font>
      <alignment horizontal="center" vertical="center" textRotation="0" wrapText="1" indent="0" justifyLastLine="0" shrinkToFit="0" readingOrder="0"/>
      <protection locked="0" hidden="0"/>
    </dxf>
    <dxf>
      <font>
        <b/>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protection locked="0"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1" hidden="0"/>
    </dxf>
    <dxf>
      <font>
        <strike val="0"/>
        <outline val="0"/>
        <shadow val="0"/>
        <u val="none"/>
        <vertAlign val="baseline"/>
        <sz val="12"/>
        <color rgb="FF000000"/>
        <name val="Arial"/>
        <family val="2"/>
        <scheme val="none"/>
      </font>
      <fill>
        <patternFill patternType="none"/>
      </fill>
      <alignment horizontal="general" vertical="top" textRotation="0" indent="0" justifyLastLine="0" shrinkToFit="0" readingOrder="0"/>
      <protection locked="0" hidden="0"/>
    </dxf>
    <dxf>
      <font>
        <strike val="0"/>
        <outline val="0"/>
        <shadow val="0"/>
        <u val="none"/>
        <vertAlign val="baseline"/>
        <sz val="12"/>
        <color rgb="FF000000"/>
        <name val="Arial"/>
        <family val="2"/>
        <scheme val="none"/>
      </font>
      <fill>
        <patternFill patternType="none"/>
      </fill>
      <alignment horizontal="general" vertical="top" textRotation="0" indent="0" justifyLastLine="0" shrinkToFit="0" readingOrder="0"/>
      <protection locked="0" hidden="0"/>
    </dxf>
    <dxf>
      <font>
        <strike val="0"/>
        <outline val="0"/>
        <shadow val="0"/>
        <u val="none"/>
        <vertAlign val="baseline"/>
        <sz val="12"/>
        <name val="Arial"/>
        <family val="2"/>
        <scheme val="none"/>
      </font>
      <protection locked="1" hidden="0"/>
    </dxf>
    <dxf>
      <font>
        <b/>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1" hidden="0"/>
    </dxf>
    <dxf>
      <font>
        <strike val="0"/>
        <outline val="0"/>
        <shadow val="0"/>
        <u val="none"/>
        <vertAlign val="baseline"/>
        <sz val="12"/>
        <name val="Arial"/>
        <family val="2"/>
        <scheme val="none"/>
      </font>
      <alignment horizontal="left" vertical="center" textRotation="0" wrapText="1" indent="0" justifyLastLine="0" shrinkToFit="0" readingOrder="0"/>
      <protection locked="0" hidden="0"/>
    </dxf>
    <dxf>
      <font>
        <strike val="0"/>
        <outline val="0"/>
        <shadow val="0"/>
        <u val="none"/>
        <vertAlign val="baseline"/>
        <sz val="12"/>
        <name val="Arial"/>
        <family val="2"/>
        <scheme val="none"/>
      </font>
      <alignment horizontal="left" vertical="center" textRotation="0" wrapText="1" indent="0" justifyLastLine="0" shrinkToFit="0" readingOrder="0"/>
      <protection locked="0" hidden="0"/>
    </dxf>
    <dxf>
      <font>
        <strike val="0"/>
        <outline val="0"/>
        <shadow val="0"/>
        <u val="none"/>
        <vertAlign val="baseline"/>
        <sz val="12"/>
        <name val="Arial"/>
        <family val="2"/>
        <scheme val="none"/>
      </font>
    </dxf>
    <dxf>
      <font>
        <b/>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strike val="0"/>
        <outline val="0"/>
        <shadow val="0"/>
        <u val="none"/>
        <vertAlign val="baseline"/>
        <sz val="12"/>
        <name val="Arial"/>
        <family val="2"/>
        <scheme val="none"/>
      </font>
      <alignment horizontal="center" vertical="bottom" textRotation="0" wrapText="0" indent="0" justifyLastLine="0" shrinkToFit="0" readingOrder="0"/>
      <protection locked="0"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1"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0" hidden="0"/>
    </dxf>
    <dxf>
      <font>
        <b/>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protection locked="0" hidden="0"/>
    </dxf>
    <dxf>
      <font>
        <strike val="0"/>
        <outline val="0"/>
        <shadow val="0"/>
        <u val="none"/>
        <vertAlign val="baseline"/>
        <sz val="12"/>
        <name val="Arial"/>
        <family val="2"/>
        <scheme val="none"/>
      </font>
      <protection locked="0" hidden="0"/>
    </dxf>
    <dxf>
      <font>
        <b/>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protection locked="1" hidden="0"/>
    </dxf>
    <dxf>
      <font>
        <strike val="0"/>
        <outline val="0"/>
        <shadow val="0"/>
        <u val="none"/>
        <vertAlign val="baseline"/>
        <sz val="12"/>
        <name val="Arial"/>
        <family val="2"/>
        <scheme val="none"/>
      </font>
      <alignment horizontal="left" vertical="center" textRotation="0" wrapText="1" indent="0" justifyLastLine="0" shrinkToFit="0" readingOrder="0"/>
      <protection locked="0" hidden="0"/>
    </dxf>
    <dxf>
      <font>
        <b/>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protection locked="0" hidden="0"/>
    </dxf>
    <dxf>
      <font>
        <strike val="0"/>
        <outline val="0"/>
        <shadow val="0"/>
        <u val="none"/>
        <vertAlign val="baseline"/>
        <sz val="12"/>
        <name val="Arial"/>
        <family val="2"/>
        <scheme val="none"/>
      </font>
      <protection locked="0" hidden="0"/>
    </dxf>
    <dxf>
      <font>
        <strike val="0"/>
        <outline val="0"/>
        <shadow val="0"/>
        <u val="none"/>
        <vertAlign val="baseline"/>
        <sz val="12"/>
        <name val="Arial"/>
        <family val="2"/>
        <scheme val="none"/>
      </font>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font>
        <name val="Aptos Narrow"/>
        <scheme val="minor"/>
      </font>
      <protection locked="0" hidden="0"/>
    </dxf>
    <dxf>
      <font>
        <name val="Aptos Narrow"/>
        <scheme val="minor"/>
      </font>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59</xdr:row>
      <xdr:rowOff>0</xdr:rowOff>
    </xdr:from>
    <xdr:to>
      <xdr:col>3</xdr:col>
      <xdr:colOff>304800</xdr:colOff>
      <xdr:row>60</xdr:row>
      <xdr:rowOff>108899</xdr:rowOff>
    </xdr:to>
    <xdr:sp macro="" textlink="">
      <xdr:nvSpPr>
        <xdr:cNvPr id="5121" name="AutoShape 1" descr="A Player's Perspective: Succeeding as a Sports Scientist Infographic">
          <a:extLst>
            <a:ext uri="{FF2B5EF4-FFF2-40B4-BE49-F238E27FC236}">
              <a16:creationId xmlns:a16="http://schemas.microsoft.com/office/drawing/2014/main" id="{A8F001C1-EA0E-0070-B72C-103429028CAF}"/>
            </a:ext>
          </a:extLst>
        </xdr:cNvPr>
        <xdr:cNvSpPr>
          <a:spLocks noChangeAspect="1" noChangeArrowheads="1"/>
        </xdr:cNvSpPr>
      </xdr:nvSpPr>
      <xdr:spPr bwMode="auto">
        <a:xfrm>
          <a:off x="4330700" y="2310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Lake, Mark" id="{26CAB64E-5892-214E-9F45-F20B0B3136BA}" userId="SPSMLAKE@ljmu.ac.uk" providerId="PeoplePicker"/>
  <person displayName="Robinson, Mark" id="{C5431128-65D9-3247-9C65-762E6878DEB0}" userId="SPSMROBI@ljmu.ac.uk" providerId="PeoplePicker"/>
  <person displayName="Olthof, Sigrid" id="{1FB70237-4933-EA4C-BE41-2A58EC89DA19}" userId="S::SPSSOLTH@ljmu.ac.uk::06464399-b4f4-429a-a4c0-8261fbca90fe" providerId="AD"/>
  <person displayName="Hope, Edward" id="{F2D151A0-82A2-4ABE-B7B0-CF7967121786}" userId="S::spsehope@ljmu.ac.uk::2fa563ac-a690-4beb-8a48-bc94f5b724d9"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F3EE938D-E44F-4BCC-B11A-E8BDC3A941D6}"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Module Data" tableColumnId="3"/>
      <queryTableField id="4" name="Detail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69DF5C1F-60A2-4F56-9D15-32109E690B3C}"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LO Number" tableColumnId="3"/>
      <queryTableField id="4" name="LO Description"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5571DA55-26B4-4390-B6EA-6555EB9CDBF5}" autoFormatId="16" applyNumberFormats="0" applyBorderFormats="0" applyFontFormats="0" applyPatternFormats="0" applyAlignmentFormats="0" applyWidthHeightFormats="0">
  <queryTableRefresh nextId="14">
    <queryTableFields count="13">
      <queryTableField id="1" name="SourceWorkbook" tableColumnId="1"/>
      <queryTableField id="2" name="TableName" tableColumnId="2"/>
      <queryTableField id="3" name="Assessment No" tableColumnId="3"/>
      <queryTableField id="4" name="Assessment Type" tableColumnId="4"/>
      <queryTableField id="5" name="Assessment Specific" tableColumnId="5"/>
      <queryTableField id="6" name="Assessment Description" tableColumnId="6"/>
      <queryTableField id="7" name="Weighting" tableColumnId="7"/>
      <queryTableField id="8" name="Due Week" tableColumnId="8"/>
      <queryTableField id="9" name="ModuleCode" tableColumnId="9"/>
      <queryTableField id="10" name="ItemSuffix" tableColumnId="10"/>
      <queryTableField id="11" name="Programme" tableColumnId="11"/>
      <queryTableField id="12" name="ProgCode" tableColumnId="12"/>
      <queryTableField id="13" name="ModuleTitle"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CA315661-F931-4BE6-9016-DBB1262BA793}"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Component" tableColumnId="3"/>
      <queryTableField id="4" name="Contact Hour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8" xr16:uid="{71013A21-0093-414C-8EB0-017EE4591D9A}" autoFormatId="16" applyNumberFormats="0" applyBorderFormats="0" applyFontFormats="0" applyPatternFormats="0" applyAlignmentFormats="0" applyWidthHeightFormats="0">
  <queryTableRefresh nextId="12">
    <queryTableFields count="11">
      <queryTableField id="1" name="SourceWorkbook" tableColumnId="1"/>
      <queryTableField id="2" name="TableName" tableColumnId="2"/>
      <queryTableField id="3" name="Assessment No" tableColumnId="3"/>
      <queryTableField id="4" name="LO Number" tableColumnId="4"/>
      <queryTableField id="5" name="Graduate Skills Category" tableColumnId="5"/>
      <queryTableField id="6" name="Graduate Skill" tableColumnId="6"/>
      <queryTableField id="7" name="ModuleCode" tableColumnId="7"/>
      <queryTableField id="8" name="ItemSuffix" tableColumnId="8"/>
      <queryTableField id="9" name="Programme" tableColumnId="9"/>
      <queryTableField id="10" name="ProgCode" tableColumnId="10"/>
      <queryTableField id="11" name="ModuleTitle"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0" xr16:uid="{7E4473E5-5957-4682-B6ED-85F82832ABBA}" autoFormatId="16" applyNumberFormats="0" applyBorderFormats="0" applyFontFormats="0" applyPatternFormats="0" applyAlignmentFormats="0" applyWidthHeightFormats="0">
  <queryTableRefresh nextId="16">
    <queryTableFields count="15">
      <queryTableField id="1" name="SourceWorkbook" tableColumnId="1"/>
      <queryTableField id="2" name="TableName" tableColumnId="2"/>
      <queryTableField id="3" name="ModuleCode" tableColumnId="3"/>
      <queryTableField id="4" name="ItemSuffix" tableColumnId="4"/>
      <queryTableField id="5" name="Programme" tableColumnId="5"/>
      <queryTableField id="6" name="ProgCode" tableColumnId="6"/>
      <queryTableField id="7" name="ModuleTitle" tableColumnId="7"/>
      <queryTableField id="8" name="Module Code" tableColumnId="8"/>
      <queryTableField id="9" name="Module Title" tableColumnId="9"/>
      <queryTableField id="10" name="Credits" tableColumnId="10"/>
      <queryTableField id="11" name="Semester" tableColumnId="11"/>
      <queryTableField id="12" name="Level" tableColumnId="12"/>
      <queryTableField id="13" name="Module Leader" tableColumnId="13"/>
      <queryTableField id="14" name="Module Type" tableColumnId="14"/>
      <queryTableField id="15" name="Programme(s)" tableColumnId="1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6" xr16:uid="{5DC437B7-9C1B-4C6C-B2B9-452A62A3DD60}" autoFormatId="16" applyNumberFormats="0" applyBorderFormats="0" applyFontFormats="0" applyPatternFormats="0" applyAlignmentFormats="0" applyWidthHeightFormats="0">
  <queryTableRefresh nextId="14">
    <queryTableFields count="13">
      <queryTableField id="1" name="SourceWorkbook" tableColumnId="1"/>
      <queryTableField id="2" name="TableName" tableColumnId="2"/>
      <queryTableField id="3" name="ModuleCode" tableColumnId="3"/>
      <queryTableField id="4" name="ItemSuffix" tableColumnId="4"/>
      <queryTableField id="5" name="Programme" tableColumnId="5"/>
      <queryTableField id="6" name="ProgCode" tableColumnId="6"/>
      <queryTableField id="7" name="ModuleTitle" tableColumnId="7"/>
      <queryTableField id="8" name="Lecture" tableColumnId="8"/>
      <queryTableField id="9" name="Seminar" tableColumnId="9"/>
      <queryTableField id="10" name="Practical" tableColumnId="10"/>
      <queryTableField id="11" name="Workshop" tableColumnId="11"/>
      <queryTableField id="12" name="Online" tableColumnId="12"/>
      <queryTableField id="13" name="Total"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1" xr16:uid="{059B1FCF-65B6-4F73-A68B-28797AEF6143}" autoFormatId="16" applyNumberFormats="0" applyBorderFormats="0" applyFontFormats="0" applyPatternFormats="0" applyAlignmentFormats="0" applyWidthHeightFormats="0">
  <queryTableRefresh nextId="10">
    <queryTableFields count="9">
      <queryTableField id="1" name="ModuleCode" tableColumnId="1"/>
      <queryTableField id="2" name="ModuleTitle" tableColumnId="2"/>
      <queryTableField id="3" name="Level" tableColumnId="3"/>
      <queryTableField id="4" name="Semester" tableColumnId="4"/>
      <queryTableField id="5" name="Credits" tableColumnId="5"/>
      <queryTableField id="6" name="Module Leader" tableColumnId="6"/>
      <queryTableField id="7" name="Module Type" tableColumnId="7"/>
      <queryTableField id="8" name="Total Contact Hours" tableColumnId="8"/>
      <queryTableField id="9" name="Hours per Credit" tableColumnId="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2" xr16:uid="{1BB2BBCA-0705-4B35-A44D-9A72B5BE974C}" autoFormatId="16" applyNumberFormats="0" applyBorderFormats="0" applyFontFormats="0" applyPatternFormats="0" applyAlignmentFormats="0" applyWidthHeightFormats="0">
  <queryTableRefresh nextId="6">
    <queryTableFields count="5">
      <queryTableField id="1" name="Category" tableColumnId="1"/>
      <queryTableField id="2" name="Skill" tableColumnId="2"/>
      <queryTableField id="3" name="Modules Covering" tableColumnId="3"/>
      <queryTableField id="4" name="Module Count" tableColumnId="4"/>
      <queryTableField id="5" name="Covered" tableColumnId="5"/>
    </queryTableFields>
  </queryTableRefresh>
</queryTable>
</file>

<file path=xl/tables/_rels/table8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E9FA17F3-8510-4713-9EFA-F81B9896C75F}" name="4301SPS_Meta" displayName="_4301SPS_Meta" ref="C6:D14" totalsRowShown="0" headerRowDxfId="337" dataDxfId="336">
  <autoFilter ref="C6:D14" xr:uid="{CD75D2A7-14B1-4ABD-B64D-6E875F9BC652}">
    <filterColumn colId="0" hiddenButton="1"/>
    <filterColumn colId="1" hiddenButton="1"/>
  </autoFilter>
  <tableColumns count="2">
    <tableColumn id="1" xr3:uid="{644E4444-F68A-4E74-BD5D-8748CD05A7D2}" name="Module Data" dataDxfId="335"/>
    <tableColumn id="2" xr3:uid="{AF6CCCE6-633B-4669-B570-EB4F893B50C4}" name="Details" dataDxfId="33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A4EE75AE-77CE-4A68-A718-983DED4FF7A1}" name="4301SPS_LO" displayName="_4301SPS_LO" ref="C28:D33" totalsRowShown="0" headerRowDxfId="333" dataDxfId="332">
  <autoFilter ref="C28:D33" xr:uid="{22316987-6BEB-4FAF-9619-BF9BE9909CFA}">
    <filterColumn colId="0" hiddenButton="1"/>
    <filterColumn colId="1" hiddenButton="1"/>
  </autoFilter>
  <tableColumns count="2">
    <tableColumn id="1" xr3:uid="{589112ED-5C99-4CD7-912A-F216AEC245F3}" name="LO Number" dataDxfId="331"/>
    <tableColumn id="2" xr3:uid="{D42319CA-BEAF-49C8-8EC7-B45F24386E7A}" name="LO Description" dataDxfId="3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FCAE2B91-6BD8-4529-8B59-5DB7121B1D24}" name="4301SPS_Assess" displayName="_4301SPS_Assess" ref="C37:H41" totalsRowShown="0" headerRowDxfId="329" dataDxfId="32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6FED30EF-9DFC-4FCF-9A98-B1395296BD26}" name="Assessment No" dataDxfId="327"/>
    <tableColumn id="2" xr3:uid="{0C168E40-BC62-40F7-8494-D9D585BBF5DD}" name="Assessment Type" dataDxfId="326"/>
    <tableColumn id="7" xr3:uid="{03042C7C-BE5A-4EDB-B18A-F162688CAFDA}" name="Assessment Specific" dataDxfId="325"/>
    <tableColumn id="3" xr3:uid="{B536E57C-91CB-491F-8850-5E1F4FFB6EC2}" name="Assessment Description" dataDxfId="324"/>
    <tableColumn id="4" xr3:uid="{CFEF4DCA-7026-4AB8-9930-965F672B21EC}" name="Weighting" dataDxfId="323"/>
    <tableColumn id="5" xr3:uid="{268A91DF-58B1-43BF-A340-0E1D33705BAA}" name="Due Week" dataDxfId="322"/>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AFDD563-D76D-4667-B964-69DE19A2F370}" name="4301SPS_Weekly" displayName="_4301SPS_Weekly" ref="B70:F94" totalsRowShown="0" headerRowDxfId="321" dataDxfId="32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2EC0DE77-F537-4352-B465-CD91C72B6257}" name="Semester " dataDxfId="319"/>
    <tableColumn id="2" xr3:uid="{916AD303-2708-4E40-8E0C-DE9D347BA8EA}" name="Week Number" dataDxfId="318"/>
    <tableColumn id="3" xr3:uid="{66580F8A-FF82-4503-9EBF-1B44DD45F9F5}" name="Weekly Content 1" dataDxfId="317"/>
    <tableColumn id="4" xr3:uid="{5E6D35EA-634F-45B1-8A96-068CB99E3BA7}" name="Weekly Content 2" dataDxfId="316"/>
    <tableColumn id="5" xr3:uid="{25F8B45E-A68A-40F6-AADD-D3228D0F228B}" name="Weekly Content 3" dataDxfId="315"/>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102355DE-CDC7-4C13-A897-B84D0D96A8FC}" name="4301SPS_Hours" displayName="_4301SPS_Hours" ref="C18:D24" totalsRowShown="0" headerRowDxfId="314" dataDxfId="313">
  <autoFilter ref="C18:D24" xr:uid="{B71A3569-AA65-4A4E-98A2-885F5C38B46D}">
    <filterColumn colId="0" hiddenButton="1"/>
    <filterColumn colId="1" hiddenButton="1"/>
  </autoFilter>
  <tableColumns count="2">
    <tableColumn id="1" xr3:uid="{E6DA5AB3-0374-477C-BB37-91CD5B04A8A7}" name="Component" dataDxfId="312"/>
    <tableColumn id="2" xr3:uid="{25171EA2-F360-4480-9A69-30F0637E5E19}" name="Contact Hours" dataDxfId="3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20E05B93-0CDB-4250-BCA8-9C03D039B5AA}" name="4301SPS_Mapping" displayName="_4301SPS_Mapping" ref="C45:F66" totalsRowShown="0" headerRowDxfId="310" dataDxfId="309">
  <autoFilter ref="C45:F66" xr:uid="{E0A841BB-B6D5-4048-B5F2-18CF9F502EBA}">
    <filterColumn colId="0" hiddenButton="1"/>
    <filterColumn colId="1" hiddenButton="1"/>
    <filterColumn colId="2" hiddenButton="1"/>
    <filterColumn colId="3" hiddenButton="1"/>
  </autoFilter>
  <tableColumns count="4">
    <tableColumn id="1" xr3:uid="{5D5BD11A-55EF-4A54-875D-6C3259B55C2B}" name="Assessment No" dataDxfId="308"/>
    <tableColumn id="2" xr3:uid="{220CCF7F-D01D-41B9-83FA-AB3772B56C47}" name="LO Number" dataDxfId="307"/>
    <tableColumn id="3" xr3:uid="{35876AFA-8C5D-4EB6-A40B-8013521A5A47}" name="Graduate Skills Category" dataDxfId="306"/>
    <tableColumn id="4" xr3:uid="{8CC8B0ED-B11D-43C6-AB11-C69764FE383C}" name="Graduate Skill" dataDxfId="305"/>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AD421795-C657-4B23-85A2-74B0174B165C}" name="4301SPS_Aims" displayName="_4301SPS_Aims" ref="F6:F8" totalsRowShown="0" headerRowDxfId="304" dataDxfId="303">
  <autoFilter ref="F6:F8" xr:uid="{9552138F-2332-4BC4-A585-0E13162881A5}"/>
  <tableColumns count="1">
    <tableColumn id="1" xr3:uid="{17C9A3A3-D0C1-421C-8D52-32617D054C2E}" name="Aims" dataDxfId="302"/>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4C708692-CFFF-4D84-88A9-BCE4B09138E0}" name="4301SPS_Syllabus" displayName="_4301SPS_Syllabus" ref="F10:F13" totalsRowShown="0" headerRowDxfId="301" dataDxfId="300">
  <autoFilter ref="F10:F13" xr:uid="{94F18F67-3F10-4F6E-A953-4FE3399B07F2}"/>
  <tableColumns count="1">
    <tableColumn id="1" xr3:uid="{D7FF23A0-D568-4D96-9868-A6319DCE887A}" name="Outline Syllabus" dataDxfId="299"/>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4CADD0E-07B9-4D59-8E61-01F39F116463}" name="4301SPS_Overview" displayName="_4301SPS_Overview" ref="F15:F20" totalsRowShown="0" headerRowDxfId="298" dataDxfId="297">
  <autoFilter ref="F15:F20" xr:uid="{1B2BCD7B-6C15-4B1C-86BC-48FF83D8F225}"/>
  <tableColumns count="1">
    <tableColumn id="1" xr3:uid="{E558D902-00D8-4FEB-8431-38F38D3FD8C5}" name="Module Overview" dataDxfId="296"/>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AF1F5DED-CF26-4C92-A936-AD81E729AA08}" name="4301SPS_Notes" displayName="_4301SPS_Notes" ref="F22:F33" totalsRowShown="0" headerRowDxfId="295" dataDxfId="294">
  <autoFilter ref="F22:F33" xr:uid="{D5968C0A-6D7E-4221-87EE-78A85A4039B3}"/>
  <tableColumns count="1">
    <tableColumn id="1" xr3:uid="{C6EF2F48-EFDC-40BF-8A10-F2C80BC78705}" name="Additional Information/Notes" dataDxfId="293"/>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7D2E46-20CA-4E3C-B2E0-BBFDD53504A7}" name="4303SPS_Meta" displayName="_4303SPS_Meta" ref="C6:D14" totalsRowShown="0" headerRowDxfId="292" dataDxfId="291">
  <autoFilter ref="C6:D14" xr:uid="{CD75D2A7-14B1-4ABD-B64D-6E875F9BC652}">
    <filterColumn colId="0" hiddenButton="1"/>
    <filterColumn colId="1" hiddenButton="1"/>
  </autoFilter>
  <tableColumns count="2">
    <tableColumn id="1" xr3:uid="{ACF32678-77E3-4DB8-8FD6-8F313C0082A9}" name="Module Data" dataDxfId="290"/>
    <tableColumn id="2" xr3:uid="{DD1FE0F1-BC22-47E6-B097-D50D8388821E}" name="Details" dataDxfId="289"/>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AD0A51-796C-42E3-A2CB-4698AC5634E2}" name="4303SPS_LO" displayName="_4303SPS_LO" ref="C28:D33" totalsRowShown="0" headerRowDxfId="288" dataDxfId="287">
  <autoFilter ref="C28:D33" xr:uid="{22316987-6BEB-4FAF-9619-BF9BE9909CFA}">
    <filterColumn colId="0" hiddenButton="1"/>
    <filterColumn colId="1" hiddenButton="1"/>
  </autoFilter>
  <tableColumns count="2">
    <tableColumn id="1" xr3:uid="{6CB2DC80-959E-4050-BA4D-48CD62403E05}" name="LO Number" dataDxfId="286"/>
    <tableColumn id="2" xr3:uid="{85688B06-9831-461B-B933-1E407D860BB8}" name="LO Description" dataDxfId="28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5D0629-EB1D-4813-BD7D-E585D72A4BD3}" name="4303SPS_Assess" displayName="_4303SPS_Assess" ref="C37:H41" totalsRowShown="0" headerRowDxfId="284" dataDxfId="28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F802E997-1B43-47D3-BE02-499B71A9E504}" name="Assessment No" dataDxfId="282"/>
    <tableColumn id="2" xr3:uid="{F4594AC5-B575-460A-8B6B-2EF3FCBAB24A}" name="Assessment Type" dataDxfId="281"/>
    <tableColumn id="7" xr3:uid="{AAABE4DC-4613-4F22-97E3-44DC05E3C8C2}" name="Assessment Specific" dataDxfId="280"/>
    <tableColumn id="3" xr3:uid="{C3DF3668-A1BF-4CA9-A035-72DE23145404}" name="Assessment Description" dataDxfId="279"/>
    <tableColumn id="4" xr3:uid="{3D9A7936-2757-4200-8A20-0CA5D42BA49F}" name="Weighting" dataDxfId="278"/>
    <tableColumn id="5" xr3:uid="{8EF3572C-5F74-4584-B936-B47EF6784AC5}" name="Due Week" dataDxfId="277"/>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D1A8E39-0E8F-4461-9CD0-BAED3F9153AA}" name="4303SPS_Weekly" displayName="_4303SPS_Weekly" ref="B70:F94" totalsRowShown="0" headerRowDxfId="276" dataDxfId="27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7B3CFE4C-4542-4F37-A796-803C120DA3A8}" name="Semester " dataDxfId="274"/>
    <tableColumn id="2" xr3:uid="{FBC07EB1-2635-4DBE-A175-763442B26942}" name="Week Number" dataDxfId="273"/>
    <tableColumn id="3" xr3:uid="{D5767446-3CE7-477F-86AC-430EDC126EA2}" name="Weekly Content 1" dataDxfId="272"/>
    <tableColumn id="4" xr3:uid="{9EAF880D-82C8-4C10-BC2E-5F1E7B2ED0C1}" name="Weekly Content 2" dataDxfId="271"/>
    <tableColumn id="5" xr3:uid="{322143D7-C33E-4E77-9B9F-4AFE42EC2AA6}" name="Weekly Content 3" dataDxfId="270"/>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70F3EDC-BBF5-489E-9F42-5224BBE1CD49}" name="4303SPS_Hours" displayName="_4303SPS_Hours" ref="C18:D24" totalsRowShown="0" headerRowDxfId="269" dataDxfId="268">
  <autoFilter ref="C18:D24" xr:uid="{B71A3569-AA65-4A4E-98A2-885F5C38B46D}">
    <filterColumn colId="0" hiddenButton="1"/>
    <filterColumn colId="1" hiddenButton="1"/>
  </autoFilter>
  <tableColumns count="2">
    <tableColumn id="1" xr3:uid="{CF6425D2-EB8D-46CC-B2D7-B49E8963FCEB}" name="Component" dataDxfId="267"/>
    <tableColumn id="2" xr3:uid="{BD9901A8-2A59-4CEC-ADF1-EDBA06D8EC9A}" name="Contact Hours" dataDxfId="26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AEAAA9F-CEFA-44C3-A54E-F2BA30C0D409}" name="4303SPS_Mapping" displayName="_4303SPS_Mapping" ref="C45:F66" totalsRowShown="0" headerRowDxfId="265" dataDxfId="264">
  <autoFilter ref="C45:F66" xr:uid="{E0A841BB-B6D5-4048-B5F2-18CF9F502EBA}">
    <filterColumn colId="0" hiddenButton="1"/>
    <filterColumn colId="1" hiddenButton="1"/>
    <filterColumn colId="2" hiddenButton="1"/>
    <filterColumn colId="3" hiddenButton="1"/>
  </autoFilter>
  <tableColumns count="4">
    <tableColumn id="1" xr3:uid="{B7230EFB-0A7F-419F-81C2-C9BFFB988192}" name="Assessment No" dataDxfId="263"/>
    <tableColumn id="2" xr3:uid="{7A675E84-DDDC-4998-99E6-205908A58F57}" name="LO Number" dataDxfId="262"/>
    <tableColumn id="3" xr3:uid="{66CA6E22-8945-41E1-BB50-73156CC69517}" name="Graduate Skills Category" dataDxfId="261"/>
    <tableColumn id="4" xr3:uid="{325393C6-2FBF-4ABB-8CB2-DF104C6AB43E}" name="Graduate Skill" dataDxfId="260"/>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4BDA32-9DC2-4107-9CE7-44CBEB4C67B7}" name="4303SPS_Aims" displayName="_4303SPS_Aims" ref="F6:F8" totalsRowShown="0" headerRowDxfId="259" dataDxfId="258">
  <autoFilter ref="F6:F8" xr:uid="{9552138F-2332-4BC4-A585-0E13162881A5}"/>
  <tableColumns count="1">
    <tableColumn id="1" xr3:uid="{67F975D0-E9AC-4452-A379-A1359EC2808C}" name="Aims" dataDxfId="257"/>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EEE860E-45CA-47CA-BBA2-61D6A01BA1D6}" name="4303SPS_Syllabus" displayName="_4303SPS_Syllabus" ref="F10:F13" totalsRowShown="0" headerRowDxfId="256" dataDxfId="255">
  <autoFilter ref="F10:F13" xr:uid="{94F18F67-3F10-4F6E-A953-4FE3399B07F2}"/>
  <tableColumns count="1">
    <tableColumn id="1" xr3:uid="{BFF28868-E7E3-4275-B13E-588F6503F19C}" name="Outline Syllabus" dataDxfId="254"/>
  </tableColumns>
  <tableStyleInfo name="TableStyleMedium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435E393-57B9-4F17-94C3-35EA9CC21840}" name="4303SPS_Overview" displayName="_4303SPS_Overview" ref="F15:F20" totalsRowShown="0" headerRowDxfId="253" dataDxfId="252">
  <autoFilter ref="F15:F20" xr:uid="{1B2BCD7B-6C15-4B1C-86BC-48FF83D8F225}"/>
  <tableColumns count="1">
    <tableColumn id="1" xr3:uid="{AD6B21BA-8875-45A9-8932-F4F0FB08A980}" name="Module Overview" dataDxfId="251"/>
  </tableColumns>
  <tableStyleInfo name="TableStyleMedium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9DD1CC4-8FCD-4438-91A2-90693EC04391}" name="4303SPS_Notes" displayName="_4303SPS_Notes" ref="F22:F33" totalsRowShown="0" headerRowDxfId="250" dataDxfId="249">
  <autoFilter ref="F22:F33" xr:uid="{D5968C0A-6D7E-4221-87EE-78A85A4039B3}"/>
  <tableColumns count="1">
    <tableColumn id="1" xr3:uid="{91D0B8DA-30D1-4338-88D9-5A2355C1DF22}" name="Additional Information/Notes" dataDxfId="248"/>
  </tableColumns>
  <tableStyleInfo name="TableStyleMedium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F8365005-B598-4738-B9AF-07D1E238BC9C}" name="5301SPS_Meta" displayName="_5301SPS_Meta" ref="C6:D14" totalsRowShown="0" headerRowDxfId="247" dataDxfId="246">
  <autoFilter ref="C6:D14" xr:uid="{CD75D2A7-14B1-4ABD-B64D-6E875F9BC652}">
    <filterColumn colId="0" hiddenButton="1"/>
    <filterColumn colId="1" hiddenButton="1"/>
  </autoFilter>
  <tableColumns count="2">
    <tableColumn id="1" xr3:uid="{7B568BCE-928C-447D-BD05-0832B97C0D72}" name="Module Data" dataDxfId="245"/>
    <tableColumn id="2" xr3:uid="{706D7CC6-0EB1-4219-8291-567821A0A5B8}" name="Details" dataDxfId="244"/>
  </tableColumns>
  <tableStyleInfo name="TableStyleMedium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7A07E87-B596-4463-9B78-6555D43A4B3D}" name="5301SPS_LO" displayName="_5301SPS_LO" ref="C28:D33" totalsRowShown="0" headerRowDxfId="243" dataDxfId="242">
  <autoFilter ref="C28:D33" xr:uid="{22316987-6BEB-4FAF-9619-BF9BE9909CFA}">
    <filterColumn colId="0" hiddenButton="1"/>
    <filterColumn colId="1" hiddenButton="1"/>
  </autoFilter>
  <tableColumns count="2">
    <tableColumn id="1" xr3:uid="{C19B4674-B83E-4A42-A7E5-5468C8752F20}" name="LO Number" dataDxfId="241"/>
    <tableColumn id="2" xr3:uid="{78F135DA-0213-417E-88FD-2F76325B6D58}" name="LO Description" dataDxfId="24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8F69EEF1-22B4-4163-8A76-0105B5FDEC70}" name="5301SPS_Assess" displayName="_5301SPS_Assess" ref="C37:H41" totalsRowShown="0" headerRowDxfId="239" dataDxfId="23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892EAF8-7C5D-41E6-A727-FB21DB64B28D}" name="Assessment No" dataDxfId="237"/>
    <tableColumn id="2" xr3:uid="{43E55016-0B24-4AE6-8341-2CF6FE45EFE0}" name="Assessment Type" dataDxfId="236"/>
    <tableColumn id="7" xr3:uid="{74FB69C4-57FE-4D4F-92C7-425CCB32340D}" name="Assessment Specific" dataDxfId="235"/>
    <tableColumn id="3" xr3:uid="{F392CA10-65BB-49CE-8FEA-065DB3B1250A}" name="Assessment Description" dataDxfId="234"/>
    <tableColumn id="4" xr3:uid="{63105FFB-71CB-4889-BE3D-BA168F2B1D15}" name="Weighting" dataDxfId="233"/>
    <tableColumn id="5" xr3:uid="{942301B1-78DA-47AC-B487-4A82010FBC22}" name="Due Week" dataDxfId="232"/>
  </tableColumns>
  <tableStyleInfo name="TableStyleMedium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D89A5C6D-23F5-46A1-94E8-CF627C641E3E}" name="5301SPS_Weekly" displayName="_5301SPS_Weekly" ref="B70:F94" totalsRowShown="0" headerRowDxfId="231" dataDxfId="23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1345FE91-A274-4410-84E7-94ACC245A1B0}" name="Semester " dataDxfId="229"/>
    <tableColumn id="2" xr3:uid="{D37085D6-4B13-4E18-BF1D-72E1D211C5E2}" name="Week Number" dataDxfId="228"/>
    <tableColumn id="3" xr3:uid="{E63B3791-EF8C-42D0-9D20-9E40C6780395}" name="Weekly Content 1" dataDxfId="227"/>
    <tableColumn id="4" xr3:uid="{B1BA8E95-AF48-472D-8022-4FFD3C39E6FD}" name="Weekly Content 2" dataDxfId="226"/>
    <tableColumn id="5" xr3:uid="{77ED77D2-DF2D-4913-862F-82B54D142645}" name="Weekly Content 3" dataDxfId="225"/>
  </tableColumns>
  <tableStyleInfo name="TableStyleMedium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13D81E92-9BBD-40B0-B885-F022CB13A68D}" name="5301SPS_Hours" displayName="_5301SPS_Hours" ref="C18:D24" totalsRowShown="0" headerRowDxfId="224" dataDxfId="223">
  <autoFilter ref="C18:D24" xr:uid="{B71A3569-AA65-4A4E-98A2-885F5C38B46D}">
    <filterColumn colId="0" hiddenButton="1"/>
    <filterColumn colId="1" hiddenButton="1"/>
  </autoFilter>
  <tableColumns count="2">
    <tableColumn id="1" xr3:uid="{A4027C00-55EA-4E91-A17F-FC7D936AA12D}" name="Component" dataDxfId="222"/>
    <tableColumn id="2" xr3:uid="{2B461470-C937-400F-A861-E1EF437460FC}" name="Contact Hours" dataDxfId="22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3DE5F36-B6B6-48CA-B033-B6C2A61B46F8}" name="5301SPS_Mapping" displayName="_5301SPS_Mapping" ref="C45:F66" totalsRowShown="0" headerRowDxfId="220" dataDxfId="219">
  <autoFilter ref="C45:F66" xr:uid="{E0A841BB-B6D5-4048-B5F2-18CF9F502EBA}">
    <filterColumn colId="0" hiddenButton="1"/>
    <filterColumn colId="1" hiddenButton="1"/>
    <filterColumn colId="2" hiddenButton="1"/>
    <filterColumn colId="3" hiddenButton="1"/>
  </autoFilter>
  <tableColumns count="4">
    <tableColumn id="1" xr3:uid="{318F8255-76AC-4F17-ABBB-6A771AD200A7}" name="Assessment No" dataDxfId="218"/>
    <tableColumn id="2" xr3:uid="{01ED9B44-AD4B-499E-8D3C-3B9247E57323}" name="LO Number" dataDxfId="217"/>
    <tableColumn id="3" xr3:uid="{D52384A9-63E3-4ABE-86FB-4619A06E02AF}" name="Graduate Skills Category" dataDxfId="216"/>
    <tableColumn id="4" xr3:uid="{B45DCF04-04F9-4B36-A81D-CEBACC18D2E8}" name="Graduate Skill" dataDxfId="215"/>
  </tableColumns>
  <tableStyleInfo name="TableStyleMedium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3046BD9A-2B11-4104-9334-CBD68741AB03}" name="5301SPS_Aims" displayName="_5301SPS_Aims" ref="F6:F8" totalsRowShown="0" headerRowDxfId="214" dataDxfId="213">
  <autoFilter ref="F6:F8" xr:uid="{9552138F-2332-4BC4-A585-0E13162881A5}"/>
  <tableColumns count="1">
    <tableColumn id="1" xr3:uid="{00C11AD8-5667-494A-85B4-23C210D1B918}" name="Aims" dataDxfId="212"/>
  </tableColumns>
  <tableStyleInfo name="TableStyleMedium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6B305FF-72A4-4559-8E2D-B9A63503D4FA}" name="5301SPS_Syllabus" displayName="_5301SPS_Syllabus" ref="F10:F13" totalsRowShown="0" headerRowDxfId="211" dataDxfId="210">
  <autoFilter ref="F10:F13" xr:uid="{94F18F67-3F10-4F6E-A953-4FE3399B07F2}"/>
  <tableColumns count="1">
    <tableColumn id="1" xr3:uid="{8917F32D-2D78-4B3C-93BA-03E82057EA4B}" name="Outline Syllabus" dataDxfId="209"/>
  </tableColumns>
  <tableStyleInfo name="TableStyleMedium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A8B96ED-8A76-44E9-8A2C-4B9FD261E59C}" name="5301SPS_Overview" displayName="_5301SPS_Overview" ref="F15:F20" totalsRowShown="0" headerRowDxfId="208" dataDxfId="207">
  <autoFilter ref="F15:F20" xr:uid="{1B2BCD7B-6C15-4B1C-86BC-48FF83D8F225}"/>
  <tableColumns count="1">
    <tableColumn id="1" xr3:uid="{B53F9EDB-3125-4C5C-A219-EFA16F274EFC}" name="Module Overview" dataDxfId="206"/>
  </tableColumns>
  <tableStyleInfo name="TableStyleMedium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B219707-18B1-442D-9B23-49B95E064644}" name="5301SPS_Notes" displayName="_5301SPS_Notes" ref="F22:F33" totalsRowShown="0" headerRowDxfId="205" dataDxfId="204">
  <autoFilter ref="F22:F33" xr:uid="{D5968C0A-6D7E-4221-87EE-78A85A4039B3}"/>
  <tableColumns count="1">
    <tableColumn id="1" xr3:uid="{2E1C0BC3-8EFB-4AA5-A23B-DEAB35C7DEA7}" name="Additional Information/Notes" dataDxfId="203"/>
  </tableColumns>
  <tableStyleInfo name="TableStyleMedium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6C1815BC-3D96-4CE2-A3C0-E524ED84C584}" name="5302SPS_Meta" displayName="_5302SPS_Meta" ref="C6:D14" totalsRowShown="0" headerRowDxfId="157" dataDxfId="156">
  <autoFilter ref="C6:D14" xr:uid="{CD75D2A7-14B1-4ABD-B64D-6E875F9BC652}">
    <filterColumn colId="0" hiddenButton="1"/>
    <filterColumn colId="1" hiddenButton="1"/>
  </autoFilter>
  <tableColumns count="2">
    <tableColumn id="1" xr3:uid="{5D38FCD1-7A3F-4025-AC69-E6A90C68A79E}" name="Module Data" dataDxfId="155"/>
    <tableColumn id="2" xr3:uid="{ACE861FD-0C1D-4D19-A0A8-AC83427FA81A}" name="Details" dataDxfId="154"/>
  </tableColumns>
  <tableStyleInfo name="TableStyleMedium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D5D2633F-A72A-4EBD-BB0D-2D2560E496A6}" name="5302SPS_LO" displayName="_5302SPS_LO" ref="C28:D33" totalsRowShown="0" headerRowDxfId="153" dataDxfId="152">
  <autoFilter ref="C28:D33" xr:uid="{22316987-6BEB-4FAF-9619-BF9BE9909CFA}">
    <filterColumn colId="0" hiddenButton="1"/>
    <filterColumn colId="1" hiddenButton="1"/>
  </autoFilter>
  <tableColumns count="2">
    <tableColumn id="1" xr3:uid="{92FDE3DF-EAC0-4CA6-A5B4-E15BAAC4A01D}" name="LO Number" dataDxfId="151"/>
    <tableColumn id="2" xr3:uid="{A384CFCB-55B0-46B7-AF9A-FAAC6022096A}" name="LO Description" dataDxfId="150"/>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F820147B-082B-4FA1-97BA-0F1A0D69376D}" name="5302SPS_Assess" displayName="_5302SPS_Assess" ref="C37:H41" totalsRowShown="0" headerRowDxfId="149" dataDxfId="148">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2063B804-9290-4363-A24F-BA34F88A89EF}" name="Assessment No" dataDxfId="147"/>
    <tableColumn id="2" xr3:uid="{390EF809-FA62-405F-B84C-B2AD571CEBAA}" name="Assessment Type" dataDxfId="146"/>
    <tableColumn id="7" xr3:uid="{2B1618E6-AA98-4A15-AE0C-79993F1BAFB7}" name="Assessment Specific" dataDxfId="145"/>
    <tableColumn id="3" xr3:uid="{138C3352-0967-40A6-A5BE-4B32DEC01ACB}" name="Assessment Description" dataDxfId="144"/>
    <tableColumn id="4" xr3:uid="{F4B4B6BF-3460-42E3-849C-1BBE242E83C3}" name="Weighting" dataDxfId="143"/>
    <tableColumn id="5" xr3:uid="{E52307F9-F56A-42FC-9A76-6A630F2C5B71}" name="Due Week" dataDxfId="142"/>
  </tableColumns>
  <tableStyleInfo name="TableStyleMedium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36DF56C-F5DF-42FA-9C3E-466BEB6A9B25}" name="5302SPS_Weekly" displayName="_5302SPS_Weekly" ref="B70:F94" totalsRowShown="0" headerRowDxfId="141" dataDxfId="14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5D23D0B-4E1E-44F9-A154-416BAE9F0E6A}" name="Semester " dataDxfId="139"/>
    <tableColumn id="2" xr3:uid="{1B7B234D-0DD9-4913-9C62-18CC4E0FD5D6}" name="Week Number" dataDxfId="138"/>
    <tableColumn id="3" xr3:uid="{FDA6287D-7D09-41DC-96F1-E9BCD4B11D2E}" name="Weekly Content 1" dataDxfId="137"/>
    <tableColumn id="4" xr3:uid="{C104D628-2E09-432B-BC7A-B7E29838D1BD}" name="Weekly Content 2" dataDxfId="136"/>
    <tableColumn id="5" xr3:uid="{6CD950CC-83A5-4FD3-93FC-B284F6F6350E}" name="Weekly Content 3" dataDxfId="135"/>
  </tableColumns>
  <tableStyleInfo name="TableStyleMedium4"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92B2FE4A-AD2A-4354-81FF-92DECA27A716}" name="5302SPS_Hours" displayName="_5302SPS_Hours" ref="C18:D24" totalsRowShown="0" headerRowDxfId="134" dataDxfId="133">
  <autoFilter ref="C18:D24" xr:uid="{B71A3569-AA65-4A4E-98A2-885F5C38B46D}">
    <filterColumn colId="0" hiddenButton="1"/>
    <filterColumn colId="1" hiddenButton="1"/>
  </autoFilter>
  <tableColumns count="2">
    <tableColumn id="1" xr3:uid="{27F817B7-6395-4976-9120-60D5C9775BA5}" name="Component" dataDxfId="132"/>
    <tableColumn id="2" xr3:uid="{D9B68E50-AFDD-4B94-80F2-BAB157C2FF40}" name="Contact Hours" dataDxfId="131"/>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ACD4F23-19CD-490A-863B-D357A075F62D}" name="5302SPS_Mapping" displayName="_5302SPS_Mapping" ref="C45:F66" totalsRowShown="0" headerRowDxfId="130" dataDxfId="129">
  <autoFilter ref="C45:F66" xr:uid="{E0A841BB-B6D5-4048-B5F2-18CF9F502EBA}">
    <filterColumn colId="0" hiddenButton="1"/>
    <filterColumn colId="1" hiddenButton="1"/>
    <filterColumn colId="2" hiddenButton="1"/>
    <filterColumn colId="3" hiddenButton="1"/>
  </autoFilter>
  <tableColumns count="4">
    <tableColumn id="1" xr3:uid="{4320F17F-7532-4CD6-9873-A1CBAAFA9F7C}" name="Assessment No" dataDxfId="128"/>
    <tableColumn id="2" xr3:uid="{CF29F699-8C1A-4AC4-A563-FCBB128AC8F3}" name="LO Number" dataDxfId="127"/>
    <tableColumn id="3" xr3:uid="{B1082C18-E8C1-42F9-B74D-584EBA4A0A39}" name="Graduate Skills Category" dataDxfId="126"/>
    <tableColumn id="4" xr3:uid="{BD6D6488-ABFD-45B6-B06F-748690280986}" name="Graduate Skill" dataDxfId="125"/>
  </tableColumns>
  <tableStyleInfo name="TableStyleMedium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BD2BE49-9025-454E-A9D0-BE88D8AF0F0B}" name="5302SPS_Aims" displayName="_5302SPS_Aims" ref="F6:F8" totalsRowShown="0" headerRowDxfId="124" dataDxfId="123">
  <autoFilter ref="F6:F8" xr:uid="{9552138F-2332-4BC4-A585-0E13162881A5}"/>
  <tableColumns count="1">
    <tableColumn id="1" xr3:uid="{E2B338AF-53C9-469A-B45D-DF4BE4CCBDD0}" name="Aims" dataDxfId="122"/>
  </tableColumns>
  <tableStyleInfo name="TableStyleMedium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963A62B5-6BD6-4FF7-AC53-AE2CCA7AF0AD}" name="5302SPS_Syllabus" displayName="_5302SPS_Syllabus" ref="F10:F13" totalsRowShown="0" headerRowDxfId="121" dataDxfId="120">
  <autoFilter ref="F10:F13" xr:uid="{94F18F67-3F10-4F6E-A953-4FE3399B07F2}"/>
  <tableColumns count="1">
    <tableColumn id="1" xr3:uid="{0B585185-EFA9-44AB-A953-91DF09E1C8F4}" name="Outline Syllabus" dataDxfId="119"/>
  </tableColumns>
  <tableStyleInfo name="TableStyleMedium6"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49D78F64-BBE3-4F16-BBE6-34802F612A15}" name="5302SPS_Overview" displayName="_5302SPS_Overview" ref="F15:F20" totalsRowShown="0" headerRowDxfId="118" dataDxfId="117">
  <autoFilter ref="F15:F20" xr:uid="{1B2BCD7B-6C15-4B1C-86BC-48FF83D8F225}"/>
  <tableColumns count="1">
    <tableColumn id="1" xr3:uid="{8DA5C005-FC9F-4CBE-A281-B2B92A53526A}" name="Module Overview" dataDxfId="116"/>
  </tableColumns>
  <tableStyleInfo name="TableStyleMedium6"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E2516B-A7EA-432E-92EE-6643A09A6407}" name="5302SPS_Notes" displayName="_5302SPS_Notes" ref="F22:F33" totalsRowShown="0" headerRowDxfId="115" dataDxfId="114">
  <autoFilter ref="F22:F33" xr:uid="{D5968C0A-6D7E-4221-87EE-78A85A4039B3}"/>
  <tableColumns count="1">
    <tableColumn id="1" xr3:uid="{D67854B5-D179-408B-A477-7F6E3033D84B}" name="Additional Information/Notes" dataDxfId="113"/>
  </tableColumns>
  <tableStyleInfo name="TableStyleMedium6"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C86E48D9-F82B-402B-A44C-BC8F8F7303D0}" name="6301SPS_Meta" displayName="_6301SPS_Meta" ref="C6:D14" totalsRowShown="0" headerRowDxfId="202" dataDxfId="201">
  <autoFilter ref="C6:D14" xr:uid="{CD75D2A7-14B1-4ABD-B64D-6E875F9BC652}">
    <filterColumn colId="0" hiddenButton="1"/>
    <filterColumn colId="1" hiddenButton="1"/>
  </autoFilter>
  <tableColumns count="2">
    <tableColumn id="1" xr3:uid="{7833E623-ED87-40CE-93D2-B78B6A7D7E94}" name="Module Data" dataDxfId="200"/>
    <tableColumn id="2" xr3:uid="{0659839B-A1DA-4204-9267-1A4CC295A6EF}" name="Details" dataDxfId="199"/>
  </tableColumns>
  <tableStyleInfo name="TableStyleMedium6"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32A9936-076B-4BC2-B13B-069BFBBB1804}" name="6301SPS_LO" displayName="_6301SPS_LO" ref="C28:D33" totalsRowShown="0" headerRowDxfId="198" dataDxfId="197">
  <autoFilter ref="C28:D33" xr:uid="{22316987-6BEB-4FAF-9619-BF9BE9909CFA}">
    <filterColumn colId="0" hiddenButton="1"/>
    <filterColumn colId="1" hiddenButton="1"/>
  </autoFilter>
  <tableColumns count="2">
    <tableColumn id="1" xr3:uid="{FEDC5FCD-23F6-4532-A565-C979DFEE6452}" name="LO Number" dataDxfId="196"/>
    <tableColumn id="2" xr3:uid="{1F64A8B9-B360-490C-BD12-64A29F9CF82F}" name="LO Description" dataDxfId="195"/>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A199E17E-33E1-438A-8DFD-E5E7B9D9B6AD}" name="6301SPS_Assess" displayName="_6301SPS_Assess" ref="C37:H41" totalsRowShown="0" headerRowDxfId="194" dataDxfId="19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257FCD3-320E-4A09-882E-104641C1FD58}" name="Assessment No" dataDxfId="192"/>
    <tableColumn id="2" xr3:uid="{0FE47FA8-B999-4405-B49D-E106E82A7509}" name="Assessment Type" dataDxfId="191"/>
    <tableColumn id="7" xr3:uid="{61D6D411-EDDD-4962-A754-A4B5EEB96263}" name="Assessment Specific" dataDxfId="190"/>
    <tableColumn id="3" xr3:uid="{1A288D47-FFDF-4BA0-94F1-9B647BE04DCC}" name="Assessment Description" dataDxfId="189"/>
    <tableColumn id="4" xr3:uid="{ED08857B-A938-490D-9B30-962DE64252AB}" name="Weighting" dataDxfId="188"/>
    <tableColumn id="5" xr3:uid="{581E13F4-4545-426B-8995-08E09758F5CB}" name="Due Week" dataDxfId="187"/>
  </tableColumns>
  <tableStyleInfo name="TableStyleMedium3"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BF4AD49-2241-4DE3-B6F1-0E1C2F3DE17D}" name="6301SPS_Weekly" displayName="_6301SPS_Weekly" ref="B70:F94" totalsRowShown="0" headerRowDxfId="186" dataDxfId="18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D1DA16D2-1087-49A1-9BB0-8496A2968E4A}" name="Semester " dataDxfId="184"/>
    <tableColumn id="2" xr3:uid="{BED16F5A-D8C5-4300-A763-C0065F48E598}" name="Week Number" dataDxfId="183"/>
    <tableColumn id="3" xr3:uid="{1C3278D5-9F89-43C0-84A5-ACE6AE3BF8C8}" name="Weekly Content 1" dataDxfId="182"/>
    <tableColumn id="4" xr3:uid="{8ADEF497-35DC-4945-B42C-DCA4C8DB67C9}" name="Weekly Content 2" dataDxfId="181"/>
    <tableColumn id="5" xr3:uid="{E6B69E39-A78E-4994-8E8F-40C76F0002A1}" name="Weekly Content 3" dataDxfId="180"/>
  </tableColumns>
  <tableStyleInfo name="TableStyleMedium4"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2E7FD2E5-9819-4DDA-9192-9962A61B1C4E}" name="6301SPS_Hours" displayName="_6301SPS_Hours" ref="C18:D24" totalsRowShown="0" headerRowDxfId="179" dataDxfId="178">
  <autoFilter ref="C18:D24" xr:uid="{B71A3569-AA65-4A4E-98A2-885F5C38B46D}">
    <filterColumn colId="0" hiddenButton="1"/>
    <filterColumn colId="1" hiddenButton="1"/>
  </autoFilter>
  <tableColumns count="2">
    <tableColumn id="1" xr3:uid="{2FFE33E1-E3D8-499A-B70C-70494FCFC11F}" name="Component" dataDxfId="177"/>
    <tableColumn id="2" xr3:uid="{D8D74B7C-DED1-4107-9D9B-A69709137AF1}" name="Contact Hours" dataDxfId="176"/>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568775CE-CA9A-402A-A796-7C84FDD56B4E}" name="6301SPS_Mapping" displayName="_6301SPS_Mapping" ref="C45:F66" totalsRowShown="0" headerRowDxfId="175" dataDxfId="174">
  <autoFilter ref="C45:F66" xr:uid="{E0A841BB-B6D5-4048-B5F2-18CF9F502EBA}">
    <filterColumn colId="0" hiddenButton="1"/>
    <filterColumn colId="1" hiddenButton="1"/>
    <filterColumn colId="2" hiddenButton="1"/>
    <filterColumn colId="3" hiddenButton="1"/>
  </autoFilter>
  <tableColumns count="4">
    <tableColumn id="1" xr3:uid="{1EFBBED1-A4EE-4381-813E-E578917BA7ED}" name="Assessment No" dataDxfId="173"/>
    <tableColumn id="2" xr3:uid="{3DE98FE2-3138-46D6-BD99-F2FB47042775}" name="LO Number" dataDxfId="172"/>
    <tableColumn id="3" xr3:uid="{810A03D8-C153-4962-9C3C-D761D27C4A3F}" name="Graduate Skills Category" dataDxfId="171"/>
    <tableColumn id="4" xr3:uid="{C3B0D1F6-1274-4ED1-9705-01F40BB1E2F2}" name="Graduate Skill" dataDxfId="170"/>
  </tableColumns>
  <tableStyleInfo name="TableStyleMedium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F6D575A-6B50-40E0-9195-2B0B7EBAA31D}" name="6301SPS_Aims" displayName="_6301SPS_Aims" ref="F6:F8" totalsRowShown="0" headerRowDxfId="169" dataDxfId="168">
  <autoFilter ref="F6:F8" xr:uid="{9552138F-2332-4BC4-A585-0E13162881A5}"/>
  <tableColumns count="1">
    <tableColumn id="1" xr3:uid="{C445F0C7-61B3-46CB-A56F-67D79AE54D5C}" name="Aims" dataDxfId="167"/>
  </tableColumns>
  <tableStyleInfo name="TableStyleMedium6"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4737D9A0-1182-4F4B-8A02-69208479CE71}" name="6301SPS_Syllabus" displayName="_6301SPS_Syllabus" ref="F10:F13" totalsRowShown="0" headerRowDxfId="166" dataDxfId="165">
  <autoFilter ref="F10:F13" xr:uid="{94F18F67-3F10-4F6E-A953-4FE3399B07F2}"/>
  <tableColumns count="1">
    <tableColumn id="1" xr3:uid="{CAABEA9D-6FBF-459A-AD97-585A17318A01}" name="Outline Syllabus" dataDxfId="164"/>
  </tableColumns>
  <tableStyleInfo name="TableStyleMedium6"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235D63BF-CDCE-4B35-AC53-8391B5EC5408}" name="6301SPS_Overview" displayName="_6301SPS_Overview" ref="F15:F20" totalsRowShown="0" headerRowDxfId="163" dataDxfId="162">
  <autoFilter ref="F15:F20" xr:uid="{1B2BCD7B-6C15-4B1C-86BC-48FF83D8F225}"/>
  <tableColumns count="1">
    <tableColumn id="1" xr3:uid="{A14625FC-0807-41B3-BEF3-09E7E979EFED}" name="Module Overview" dataDxfId="161"/>
  </tableColumns>
  <tableStyleInfo name="TableStyleMedium6"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9E4EB89-A002-43BB-BD42-A6CBE09A1C1C}" name="6301SPS_Notes" displayName="_6301SPS_Notes" ref="F22:F33" totalsRowShown="0" headerRowDxfId="160" dataDxfId="159">
  <autoFilter ref="F22:F33" xr:uid="{D5968C0A-6D7E-4221-87EE-78A85A4039B3}"/>
  <tableColumns count="1">
    <tableColumn id="1" xr3:uid="{0F69CA79-BA33-4E25-8FA9-233F7FC95036}" name="Additional Information/Notes" dataDxfId="158"/>
  </tableColumns>
  <tableStyleInfo name="TableStyleMedium6"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74B2B836-FEE3-4D8C-A583-FCE8AD37DA97}" name="6302SPS_Meta" displayName="_6302SPS_Meta" ref="C6:D14" totalsRowShown="0" headerRowDxfId="382" dataDxfId="381">
  <autoFilter ref="C6:D14" xr:uid="{CD75D2A7-14B1-4ABD-B64D-6E875F9BC652}">
    <filterColumn colId="0" hiddenButton="1"/>
    <filterColumn colId="1" hiddenButton="1"/>
  </autoFilter>
  <tableColumns count="2">
    <tableColumn id="1" xr3:uid="{4312B193-D095-44A4-B0FA-8864AE0BCBEF}" name="Module Data" dataDxfId="380"/>
    <tableColumn id="2" xr3:uid="{4F08D2F7-88F2-4061-857B-CBAD6623F570}" name="Details" dataDxfId="379"/>
  </tableColumns>
  <tableStyleInfo name="TableStyleMedium6"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6B4EAB99-124D-42E9-8E49-DC0D3280A770}" name="6302SPS_LO" displayName="_6302SPS_LO" ref="C28:D33" totalsRowShown="0" headerRowDxfId="378" dataDxfId="377">
  <autoFilter ref="C28:D33" xr:uid="{22316987-6BEB-4FAF-9619-BF9BE9909CFA}">
    <filterColumn colId="0" hiddenButton="1"/>
    <filterColumn colId="1" hiddenButton="1"/>
  </autoFilter>
  <tableColumns count="2">
    <tableColumn id="1" xr3:uid="{87282965-A2DA-4B4E-8D06-98090F28BEEF}" name="LO Number" dataDxfId="376"/>
    <tableColumn id="2" xr3:uid="{5860F21B-133F-4A88-A61B-07CF39BC7E21}" name="LO Description" dataDxfId="37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3B225F4-04B9-42E5-AA5E-0B231BCFA0EF}" name="6302SPS_Assess" displayName="_6302SPS_Assess" ref="C37:H41" totalsRowShown="0" headerRowDxfId="374" dataDxfId="37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8DF47951-A7BD-47A8-B1ED-B6F5AF65DA1D}" name="Assessment No" dataDxfId="372"/>
    <tableColumn id="2" xr3:uid="{02E86080-DD71-4108-821B-E566F188DEA2}" name="Assessment Type" dataDxfId="371"/>
    <tableColumn id="7" xr3:uid="{47CA01EB-2FAC-4F47-BB5B-4ACF9B64B490}" name="Assessment Specific" dataDxfId="370"/>
    <tableColumn id="3" xr3:uid="{FBD48AF8-7B7F-4162-9266-C7CCFD60F0E7}" name="Assessment Description" dataDxfId="369"/>
    <tableColumn id="4" xr3:uid="{B1C6A884-1B35-475C-8890-451E2B62B45B}" name="Weighting" dataDxfId="368"/>
    <tableColumn id="5" xr3:uid="{52275FFC-C744-424D-9DA8-F4384F058801}" name="Due Week" dataDxfId="367"/>
  </tableColumns>
  <tableStyleInfo name="TableStyleMedium3"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11C1444-7D9D-41F0-B07B-761DA8B67262}" name="6302SPS_Weekly" displayName="_6302SPS_Weekly" ref="B70:F94" totalsRowShown="0" headerRowDxfId="366" dataDxfId="365">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A171258-098F-40B4-886F-EAA2D59C0870}" name="Semester " dataDxfId="364"/>
    <tableColumn id="2" xr3:uid="{F2C231FA-6829-4DDE-AADC-3E8FA43A1138}" name="Week Number" dataDxfId="363"/>
    <tableColumn id="3" xr3:uid="{BF2905C5-0007-47A2-850C-6A3A59009B1B}" name="Weekly Content 1" dataDxfId="362"/>
    <tableColumn id="4" xr3:uid="{87E349A9-C7DB-4B62-AE2D-73DF6FE87FF2}" name="Weekly Content 2" dataDxfId="361"/>
    <tableColumn id="5" xr3:uid="{9335E186-D4FA-4BC9-96F6-48CA2E66C8B8}" name="Weekly Content 3" dataDxfId="360"/>
  </tableColumns>
  <tableStyleInfo name="TableStyleMedium4"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93C3D93-C0B3-4DC1-A2AD-C094B48CCC3E}" name="6302SPS_Hours" displayName="_6302SPS_Hours" ref="C18:D24" totalsRowShown="0" headerRowDxfId="359" dataDxfId="358">
  <autoFilter ref="C18:D24" xr:uid="{B71A3569-AA65-4A4E-98A2-885F5C38B46D}">
    <filterColumn colId="0" hiddenButton="1"/>
    <filterColumn colId="1" hiddenButton="1"/>
  </autoFilter>
  <tableColumns count="2">
    <tableColumn id="1" xr3:uid="{9CDDC04F-6E44-4B1D-B2F7-BCFB91288FF8}" name="Component" dataDxfId="357"/>
    <tableColumn id="2" xr3:uid="{0A78BA71-0A43-4908-AD5D-EAD433A8F0CB}" name="Contact Hours" dataDxfId="35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74D72A6-497B-41F6-AEDC-764E0477FB4D}" name="6302SPS_Mapping" displayName="_6302SPS_Mapping" ref="C45:F66" totalsRowShown="0" headerRowDxfId="355" dataDxfId="354">
  <autoFilter ref="C45:F66" xr:uid="{E0A841BB-B6D5-4048-B5F2-18CF9F502EBA}">
    <filterColumn colId="0" hiddenButton="1"/>
    <filterColumn colId="1" hiddenButton="1"/>
    <filterColumn colId="2" hiddenButton="1"/>
    <filterColumn colId="3" hiddenButton="1"/>
  </autoFilter>
  <tableColumns count="4">
    <tableColumn id="1" xr3:uid="{EACDE5D0-DCC0-4C25-9632-DAE8298C79C4}" name="Assessment No" dataDxfId="353"/>
    <tableColumn id="2" xr3:uid="{38F835BE-5EB1-4FFA-8259-BEB6E39C8FA1}" name="LO Number" dataDxfId="352"/>
    <tableColumn id="3" xr3:uid="{C6B979A3-0E5A-464F-B5CD-CBA3047E98BE}" name="Graduate Skills Category" dataDxfId="351"/>
    <tableColumn id="4" xr3:uid="{2D7AD4B8-14A9-4533-A3C6-5E7125BAACC7}" name="Graduate Skill" dataDxfId="350"/>
  </tableColumns>
  <tableStyleInfo name="TableStyleMedium3"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3DFB63D-58AB-47FF-9208-A470E9348B6F}" name="6302SPS_Aims" displayName="_6302SPS_Aims" ref="F6:F8" totalsRowShown="0" headerRowDxfId="349" dataDxfId="348">
  <autoFilter ref="F6:F8" xr:uid="{9552138F-2332-4BC4-A585-0E13162881A5}"/>
  <tableColumns count="1">
    <tableColumn id="1" xr3:uid="{9E1F2909-CE11-40D2-90E4-0F2548AB10B2}" name="Aims" dataDxfId="347"/>
  </tableColumns>
  <tableStyleInfo name="TableStyleMedium6"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5CFA8ECE-8F57-4ECA-B2A5-317B767EA53F}" name="6302SPS_Syllabus" displayName="_6302SPS_Syllabus" ref="F10:F13" totalsRowShown="0" headerRowDxfId="346" dataDxfId="345">
  <autoFilter ref="F10:F13" xr:uid="{94F18F67-3F10-4F6E-A953-4FE3399B07F2}"/>
  <tableColumns count="1">
    <tableColumn id="1" xr3:uid="{454BC257-77E7-4C9C-B231-D65E8EE20325}" name="Outline Syllabus" dataDxfId="344"/>
  </tableColumns>
  <tableStyleInfo name="TableStyleMedium6"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CDE255B-3A1A-451C-A13C-91436E9FCF71}" name="6302SPS_Overview" displayName="_6302SPS_Overview" ref="F15:F20" totalsRowShown="0" headerRowDxfId="343" dataDxfId="342">
  <autoFilter ref="F15:F20" xr:uid="{1B2BCD7B-6C15-4B1C-86BC-48FF83D8F225}"/>
  <tableColumns count="1">
    <tableColumn id="1" xr3:uid="{D37E1C0D-C9AF-4C78-BCFF-8B2CE993F50A}" name="Module Overview" dataDxfId="341"/>
  </tableColumns>
  <tableStyleInfo name="TableStyleMedium6"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1D041108-8D42-47AB-9472-C648C6F01A1B}" name="6302SPS_Notes" displayName="_6302SPS_Notes" ref="F22:F33" totalsRowShown="0" headerRowDxfId="340" dataDxfId="339">
  <autoFilter ref="F22:F33" xr:uid="{D5968C0A-6D7E-4221-87EE-78A85A4039B3}"/>
  <tableColumns count="1">
    <tableColumn id="1" xr3:uid="{E8342C1A-2B62-4E1C-B80B-B12917066000}" name="Additional Information/Notes" dataDxfId="338"/>
  </tableColumns>
  <tableStyleInfo name="TableStyleMedium6"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17E94F5D-87D3-4DF8-986C-B28A1AFAD773}" name="6303SPS_Meta" displayName="_6303SPS_Meta" ref="C6:D14" totalsRowShown="0" headerRowDxfId="112" dataDxfId="111">
  <autoFilter ref="C6:D14" xr:uid="{CD75D2A7-14B1-4ABD-B64D-6E875F9BC652}">
    <filterColumn colId="0" hiddenButton="1"/>
    <filterColumn colId="1" hiddenButton="1"/>
  </autoFilter>
  <tableColumns count="2">
    <tableColumn id="1" xr3:uid="{DC5E8FB2-F1EF-4C76-ADAD-8DF1D4236058}" name="Module Data" dataDxfId="110"/>
    <tableColumn id="2" xr3:uid="{3CEC4644-C90E-484A-BB04-BC7E2522484B}" name="Details" dataDxfId="109"/>
  </tableColumns>
  <tableStyleInfo name="TableStyleMedium6"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9E236EF1-A2F6-44EA-9CD3-686F2C6247E0}" name="6303SPS_LO" displayName="_6303SPS_LO" ref="C28:D33" totalsRowShown="0" headerRowDxfId="108" dataDxfId="107">
  <autoFilter ref="C28:D33" xr:uid="{22316987-6BEB-4FAF-9619-BF9BE9909CFA}">
    <filterColumn colId="0" hiddenButton="1"/>
    <filterColumn colId="1" hiddenButton="1"/>
  </autoFilter>
  <tableColumns count="2">
    <tableColumn id="1" xr3:uid="{96E1C0A4-F310-4104-877A-16C95A9DF8F8}" name="LO Number" dataDxfId="106"/>
    <tableColumn id="2" xr3:uid="{5193B932-1BB4-4665-BB60-1094CB27D2FB}" name="LO Description" dataDxfId="105"/>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8FFE59E6-A839-4DF2-B28B-BA390FAAC7FF}" name="6303SPS_Assess" displayName="_6303SPS_Assess" ref="C37:H41" totalsRowShown="0" headerRowDxfId="104" dataDxfId="10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0154566D-F16C-483F-9906-53214A1163EC}" name="Assessment No" dataDxfId="102"/>
    <tableColumn id="2" xr3:uid="{F6CC8F23-24C9-49E1-A7E1-F0C42C5E4062}" name="Assessment Type" dataDxfId="101"/>
    <tableColumn id="7" xr3:uid="{23445359-B102-481A-9626-644EC1147971}" name="Assessment Specific" dataDxfId="100"/>
    <tableColumn id="3" xr3:uid="{09F68760-DB1D-47DA-9C3B-991E85819122}" name="Assessment Description" dataDxfId="99"/>
    <tableColumn id="4" xr3:uid="{9C4EFAF0-0549-4906-AB40-C8046612A4D0}" name="Weighting" dataDxfId="98"/>
    <tableColumn id="5" xr3:uid="{6867F2EF-8B96-4C7F-A3F0-4AD115D6B611}" name="Due Week" dataDxfId="97"/>
  </tableColumns>
  <tableStyleInfo name="TableStyleMedium3"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563A272D-E3F6-4799-9E67-4B36BC407350}" name="6303SPS_Weekly" displayName="_6303SPS_Weekly" ref="B71:F95" totalsRowShown="0" headerRowDxfId="96" dataDxfId="95">
  <autoFilter ref="B71:F95" xr:uid="{3A41AF80-1AD3-44F6-93D1-6C4A16CCF943}">
    <filterColumn colId="0" hiddenButton="1"/>
    <filterColumn colId="1" hiddenButton="1"/>
    <filterColumn colId="2" hiddenButton="1"/>
    <filterColumn colId="3" hiddenButton="1"/>
    <filterColumn colId="4" hiddenButton="1"/>
  </autoFilter>
  <tableColumns count="5">
    <tableColumn id="1" xr3:uid="{DB0408B6-1C06-4309-B9B2-E387A6531EBC}" name="Semester " dataDxfId="94"/>
    <tableColumn id="2" xr3:uid="{3DC0D0B8-ED93-4FAA-ACD1-6A257B8D7D8B}" name="Week Number" dataDxfId="93"/>
    <tableColumn id="3" xr3:uid="{396A1CD9-0EA8-4576-AC19-41A37C40C78C}" name="Weekly Content 1" dataDxfId="92"/>
    <tableColumn id="4" xr3:uid="{27E6FFD2-4BB2-4380-B643-929F8059E10C}" name="Weekly Content 2" dataDxfId="91"/>
    <tableColumn id="5" xr3:uid="{5D410880-EC3B-476E-B727-61773B3F1720}" name="Weekly Content 3" dataDxfId="90"/>
  </tableColumns>
  <tableStyleInfo name="TableStyleMedium4"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2034533F-3C96-4BBB-B91F-96B2BF107FF6}" name="6303SPS_Hours" displayName="_6303SPS_Hours" ref="C18:D24" totalsRowShown="0" headerRowDxfId="89" dataDxfId="88">
  <autoFilter ref="C18:D24" xr:uid="{B71A3569-AA65-4A4E-98A2-885F5C38B46D}">
    <filterColumn colId="0" hiddenButton="1"/>
    <filterColumn colId="1" hiddenButton="1"/>
  </autoFilter>
  <tableColumns count="2">
    <tableColumn id="1" xr3:uid="{50ADF208-83C1-48D5-9F5C-65E697F266B7}" name="Component" dataDxfId="87"/>
    <tableColumn id="2" xr3:uid="{1EADC3A3-1557-4323-A40A-C84AEA0F188A}" name="Contact Hours" dataDxfId="86"/>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5BB88119-4CEC-4B9F-9734-616397E661D4}" name="6303SPS_Mapping" displayName="_6303SPS_Mapping" ref="C45:F67" totalsRowShown="0" headerRowDxfId="85" dataDxfId="84">
  <autoFilter ref="C45:F67" xr:uid="{E0A841BB-B6D5-4048-B5F2-18CF9F502EBA}">
    <filterColumn colId="0" hiddenButton="1"/>
    <filterColumn colId="1" hiddenButton="1"/>
    <filterColumn colId="2" hiddenButton="1"/>
    <filterColumn colId="3" hiddenButton="1"/>
  </autoFilter>
  <tableColumns count="4">
    <tableColumn id="1" xr3:uid="{4F176BC0-31BF-4358-B856-EFBB6BB7AAB0}" name="Assessment No" dataDxfId="83"/>
    <tableColumn id="2" xr3:uid="{162D175A-F572-46B3-8399-9FF334864C28}" name="LO Number" dataDxfId="82"/>
    <tableColumn id="3" xr3:uid="{4B8F87D6-8076-4256-870F-FFB0D542729A}" name="Graduate Skills Category" dataDxfId="81"/>
    <tableColumn id="4" xr3:uid="{3DB5254F-E5B1-45EA-B3FC-772579673F08}" name="Graduate Skill" dataDxfId="80"/>
  </tableColumns>
  <tableStyleInfo name="TableStyleMedium3"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6D0C022-EFBE-4464-91FC-F436D7DFB43A}" name="6303SPS_Aims" displayName="_6303SPS_Aims" ref="F6:F8" totalsRowShown="0" headerRowDxfId="79" dataDxfId="78">
  <autoFilter ref="F6:F8" xr:uid="{9552138F-2332-4BC4-A585-0E13162881A5}"/>
  <tableColumns count="1">
    <tableColumn id="1" xr3:uid="{D5911F00-3A12-4884-94FA-2461F2E6A773}" name="Aims" dataDxfId="77"/>
  </tableColumns>
  <tableStyleInfo name="TableStyleMedium6"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5F89D8F4-40FF-4A85-91D9-660D46503FEA}" name="6303SPS_Syllabus" displayName="_6303SPS_Syllabus" ref="F10:F13" totalsRowShown="0" headerRowDxfId="76" dataDxfId="75">
  <autoFilter ref="F10:F13" xr:uid="{94F18F67-3F10-4F6E-A953-4FE3399B07F2}"/>
  <tableColumns count="1">
    <tableColumn id="1" xr3:uid="{1984609B-7A7C-44AA-A114-5466EF451351}" name="Outline Syllabus" dataDxfId="74"/>
  </tableColumns>
  <tableStyleInfo name="TableStyleMedium6"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CE8D45C-F32D-403F-87CE-50D315C2F149}" name="6303SPS_Overview" displayName="_6303SPS_Overview" ref="F15:F20" totalsRowShown="0" headerRowDxfId="73" dataDxfId="72">
  <autoFilter ref="F15:F20" xr:uid="{1B2BCD7B-6C15-4B1C-86BC-48FF83D8F225}"/>
  <tableColumns count="1">
    <tableColumn id="1" xr3:uid="{19A46962-3EFC-4EE2-ACCE-5363E30EDC4F}" name="Module Overview" dataDxfId="71"/>
  </tableColumns>
  <tableStyleInfo name="TableStyleMedium6"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9A33D543-C10F-446B-A3DE-E3B66E260D5A}" name="6303SPS_Notes" displayName="_6303SPS_Notes" ref="F22:F33" totalsRowShown="0" headerRowDxfId="70" dataDxfId="69">
  <autoFilter ref="F22:F33" xr:uid="{D5968C0A-6D7E-4221-87EE-78A85A4039B3}"/>
  <tableColumns count="1">
    <tableColumn id="1" xr3:uid="{EEDA3204-13C4-4B95-A550-B650C09B689D}" name="Additional Information/Notes" dataDxfId="68"/>
  </tableColumns>
  <tableStyleInfo name="TableStyleMedium6"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3D9C059-9C0F-4D85-8B52-4BE4E2F3A820}" name="6304SPS_Meta" displayName="_6304SPS_Meta" ref="C6:D14" totalsRowShown="0" headerRowDxfId="67" dataDxfId="66">
  <autoFilter ref="C6:D14" xr:uid="{CD75D2A7-14B1-4ABD-B64D-6E875F9BC652}">
    <filterColumn colId="0" hiddenButton="1"/>
    <filterColumn colId="1" hiddenButton="1"/>
  </autoFilter>
  <tableColumns count="2">
    <tableColumn id="1" xr3:uid="{294825A0-B000-4273-A73D-4BDF1B0EEF00}" name="Module Data" dataDxfId="65"/>
    <tableColumn id="2" xr3:uid="{BFFFACD7-D0A7-40F6-BF15-469686406C3F}" name="Details" dataDxfId="64"/>
  </tableColumns>
  <tableStyleInfo name="TableStyleMedium6"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FBE7F226-F525-4AEE-9051-8E8C19804E49}" name="6304SPS_Assess" displayName="_6304SPS_Assess" ref="C38:H40" totalsRowShown="0" headerRowDxfId="63" dataDxfId="62">
  <autoFilter ref="C38:H40"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1623195A-EACB-49C4-931F-4FDDF41A020A}" name="Assessment No" dataDxfId="61"/>
    <tableColumn id="2" xr3:uid="{1FA5C130-1C0E-45D6-8735-EA79A0166F2D}" name="Assessment Type" dataDxfId="60"/>
    <tableColumn id="7" xr3:uid="{34024CC2-5A32-45FD-95BD-978953E7F41B}" name="Assessment Specific" dataDxfId="59"/>
    <tableColumn id="3" xr3:uid="{5DA2B338-CCFE-4568-ACFD-CC8F0B883170}" name="Assessment Description" dataDxfId="58"/>
    <tableColumn id="4" xr3:uid="{597ADF95-B9B9-411B-8079-7F615E89550C}" name="Weighting" dataDxfId="57"/>
    <tableColumn id="5" xr3:uid="{A0D1FD19-8DF8-4595-ADE8-675937B4A7F4}" name="Due Week" dataDxfId="56"/>
  </tableColumns>
  <tableStyleInfo name="TableStyleMedium3"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7F94D071-7B51-4AEF-B4B4-033ED66B10D3}" name="6304SPS_Weekly" displayName="_6304SPS_Weekly" ref="B59:F96" totalsRowShown="0" headerRowDxfId="55" dataDxfId="54">
  <autoFilter ref="B59:F96" xr:uid="{3A41AF80-1AD3-44F6-93D1-6C4A16CCF943}">
    <filterColumn colId="0" hiddenButton="1"/>
    <filterColumn colId="1" hiddenButton="1"/>
    <filterColumn colId="2" hiddenButton="1"/>
    <filterColumn colId="3" hiddenButton="1"/>
    <filterColumn colId="4" hiddenButton="1"/>
  </autoFilter>
  <tableColumns count="5">
    <tableColumn id="1" xr3:uid="{57BA6DA9-286D-48FA-A29C-33DB01958BBC}" name="Semester " dataDxfId="53"/>
    <tableColumn id="2" xr3:uid="{633971FF-9E7F-4A44-865E-D409908313D1}" name="Week Number" dataDxfId="52"/>
    <tableColumn id="3" xr3:uid="{77413702-BFB9-4DEA-BF99-C2A188E22509}" name="Weekly Content 1" dataDxfId="51"/>
    <tableColumn id="4" xr3:uid="{DD1B7D42-32B3-4CC2-9308-AD66B052F8DB}" name="Weekly Content 2" dataDxfId="50"/>
    <tableColumn id="5" xr3:uid="{504E9A1A-C43C-49D3-BB42-E4DD5A49EFCE}" name="Weekly Content 3" dataDxfId="49"/>
  </tableColumns>
  <tableStyleInfo name="TableStyleMedium4"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374EC906-9B9F-48BF-8818-9671FFE04486}" name="6304SPS_Mapping" displayName="_6304SPS_Mapping" ref="C44:F54" totalsRowShown="0" headerRowDxfId="48" dataDxfId="0">
  <autoFilter ref="C44:F54" xr:uid="{E0A841BB-B6D5-4048-B5F2-18CF9F502EBA}">
    <filterColumn colId="0" hiddenButton="1"/>
    <filterColumn colId="1" hiddenButton="1"/>
    <filterColumn colId="2" hiddenButton="1"/>
    <filterColumn colId="3" hiddenButton="1"/>
  </autoFilter>
  <tableColumns count="4">
    <tableColumn id="1" xr3:uid="{BF66E6C2-D388-4188-90AD-9408AE3ED7DA}" name="Assessment No" dataDxfId="4"/>
    <tableColumn id="2" xr3:uid="{A7D6827C-7020-4950-BD3E-00625169C68E}" name="LO Number" dataDxfId="3"/>
    <tableColumn id="3" xr3:uid="{1F68EB03-6C47-4955-9791-229A42D1A45A}" name="Graduate Skills Category" dataDxfId="2"/>
    <tableColumn id="4" xr3:uid="{1FD832D4-8E97-4B72-9B09-606CF407E6C7}" name="Graduate Skill" dataDxfId="1"/>
  </tableColumns>
  <tableStyleInfo name="TableStyleMedium3"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59817139-EB2F-4EEA-A5A5-14E06D17B2BD}" name="6304SPS_Aims" displayName="_6304SPS_Aims" ref="F4:F9" totalsRowShown="0" headerRowDxfId="47" dataDxfId="46">
  <autoFilter ref="F4:F9" xr:uid="{9552138F-2332-4BC4-A585-0E13162881A5}"/>
  <tableColumns count="1">
    <tableColumn id="1" xr3:uid="{2EE5D059-BB6B-4406-AF24-CB56C5C24856}" name="Aims" dataDxfId="45"/>
  </tableColumns>
  <tableStyleInfo name="TableStyleMedium6"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E1658A09-6752-4A08-B64F-A2B57CA717E6}" name="6304SPS_Hours" displayName="_6304SPS_Hours" ref="C18:D24" totalsRowShown="0" headerRowDxfId="44" dataDxfId="43">
  <autoFilter ref="C18:D24" xr:uid="{B71A3569-AA65-4A4E-98A2-885F5C38B46D}">
    <filterColumn colId="0" hiddenButton="1"/>
    <filterColumn colId="1" hiddenButton="1"/>
  </autoFilter>
  <tableColumns count="2">
    <tableColumn id="1" xr3:uid="{5D165BDB-09FC-4AAA-91DB-E67A247DFF72}" name="Component" dataDxfId="42"/>
    <tableColumn id="2" xr3:uid="{E28A3B10-E692-47D9-A3AD-18128B6A4794}" name="Contact Hours" dataDxfId="41"/>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641172B8-C240-400A-88D4-1BDB4D30A1C9}" name="6304SPS_Notes" displayName="_6304SPS_Notes" ref="F23:F27" totalsRowShown="0" headerRowDxfId="40" dataDxfId="39">
  <autoFilter ref="F23:F27" xr:uid="{D5968C0A-6D7E-4221-87EE-78A85A4039B3}"/>
  <tableColumns count="1">
    <tableColumn id="1" xr3:uid="{719B4DA9-E67A-4094-A58E-921C645096BE}" name="Additional Information/Notes" dataDxfId="38"/>
  </tableColumns>
  <tableStyleInfo name="TableStyleMedium6"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8871805-3392-4A3F-AFF8-B6F3E2CBA152}" name="6304SPS_Overview" displayName="_6304SPS_Overview" ref="F10:F16" totalsRowShown="0" headerRowDxfId="37" dataDxfId="36">
  <autoFilter ref="F10:F16" xr:uid="{1B2BCD7B-6C15-4B1C-86BC-48FF83D8F225}"/>
  <tableColumns count="1">
    <tableColumn id="1" xr3:uid="{C16E0E90-DC44-4185-AB55-C39332B32B2D}" name="Module Overview" dataDxfId="35"/>
  </tableColumns>
  <tableStyleInfo name="TableStyleMedium6"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0CEA09-0E52-4E67-81D5-309BC496565C}" name="_4301SPS_Syllabus2" displayName="_4301SPS_Syllabus2" ref="F17:F22" totalsRowShown="0" headerRowDxfId="34" dataDxfId="33">
  <autoFilter ref="F17:F22" xr:uid="{5E0CEA09-0E52-4E67-81D5-309BC496565C}"/>
  <tableColumns count="1">
    <tableColumn id="1" xr3:uid="{1EC704A3-910F-4774-B567-2F6BE7B5D14C}" name="Outline Syllabus" dataDxfId="32"/>
  </tableColumns>
  <tableStyleInfo name="TableStyleMedium6"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D0C48BE-F6F8-4E15-8EEF-3079EE79AB53}" name="6304SPS_LO" displayName="_6304SPS_LO" ref="C31:D35" totalsRowShown="0" headerRowDxfId="31" dataDxfId="30">
  <autoFilter ref="C31:D35" xr:uid="{22316987-6BEB-4FAF-9619-BF9BE9909CFA}">
    <filterColumn colId="0" hiddenButton="1"/>
    <filterColumn colId="1" hiddenButton="1"/>
  </autoFilter>
  <tableColumns count="2">
    <tableColumn id="1" xr3:uid="{EB0958A2-9E66-44D9-A8DF-610B48FE0AC6}" name="LO Number" dataDxfId="29"/>
    <tableColumn id="2" xr3:uid="{0F368925-4523-471B-A68D-184E05AABCF7}" name="LO Description" dataDxfId="28"/>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8D849E-6EFC-4A5A-932B-B6AE93050561}" name="LISTS_Assess" displayName="LISTS_Assess" ref="G14:G28" totalsRowShown="0" headerRowDxfId="27" dataDxfId="26">
  <autoFilter ref="G14:G28" xr:uid="{A28D849E-6EFC-4A5A-932B-B6AE93050561}"/>
  <tableColumns count="1">
    <tableColumn id="1" xr3:uid="{F9243E19-CFCD-47CF-90F4-B3457FC6A715}" name="Assessment Specific" dataDxfId="25"/>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D39377-1E4D-4F11-AC33-A85FBA00A712}" name="LISTS_Table" displayName="LISTS_Table" ref="J19:K83" totalsRowShown="0" headerRowDxfId="24" dataDxfId="23">
  <autoFilter ref="J19:K83" xr:uid="{EBD39377-1E4D-4F11-AC33-A85FBA00A712}"/>
  <tableColumns count="2">
    <tableColumn id="1" xr3:uid="{88D4BEFB-0FE7-43D9-9144-A385F91AD367}" name="Category" dataDxfId="22"/>
    <tableColumn id="2" xr3:uid="{F16DBD3E-74AC-4DBC-9629-934DF2FB76A6}" name="Skill" dataDxfId="21"/>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B4F80B-A6E5-48AE-B631-14BC297081E2}" name="FS_Meta" displayName="FS_Meta" ref="A1:I137" tableType="queryTable" totalsRowShown="0">
  <autoFilter ref="A1:I137" xr:uid="{DBB4F80B-A6E5-48AE-B631-14BC297081E2}"/>
  <tableColumns count="9">
    <tableColumn id="1" xr3:uid="{8190852F-5E3F-4B47-B478-814AB2684471}" uniqueName="1" name="SourceWorkbook" queryTableFieldId="1" dataDxfId="20"/>
    <tableColumn id="2" xr3:uid="{6F37CE9E-0E9F-47C0-A742-315AE9F5D31F}" uniqueName="2" name="TableName" queryTableFieldId="2"/>
    <tableColumn id="3" xr3:uid="{9484EC22-39BB-4257-B572-C23F9A8832E2}" uniqueName="3" name="Module Data" queryTableFieldId="3"/>
    <tableColumn id="4" xr3:uid="{24F49A67-A2C9-42FA-898C-AB2DDCD36A36}" uniqueName="4" name="Details" queryTableFieldId="4"/>
    <tableColumn id="5" xr3:uid="{4910279A-AD37-4684-9E42-5EFD45B960C3}" uniqueName="5" name="ModuleCode" queryTableFieldId="5"/>
    <tableColumn id="6" xr3:uid="{ACCF5FA6-6FB5-4460-A59C-D3BA9302E1BD}" uniqueName="6" name="ItemSuffix" queryTableFieldId="6"/>
    <tableColumn id="7" xr3:uid="{0CAF6C87-72B1-42CB-BDC0-F4F9B9CAA822}" uniqueName="7" name="Programme" queryTableFieldId="7"/>
    <tableColumn id="8" xr3:uid="{A597C099-C314-4CF3-8BD1-E53DE812E62C}" uniqueName="8" name="ProgCode" queryTableFieldId="8"/>
    <tableColumn id="9" xr3:uid="{238FFBE3-C562-42A0-8B0F-091681386D51}" uniqueName="9" name="ModuleTitle" queryTableFieldId="9" dataDxfId="19"/>
  </tableColumns>
  <tableStyleInfo name="TableStyleMedium7"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49E33A-F5DC-4569-9A40-00B346C2D729}" name="FS_LO" displayName="FS_LO" ref="A1:I45" tableType="queryTable" totalsRowShown="0">
  <autoFilter ref="A1:I45" xr:uid="{1749E33A-F5DC-4569-9A40-00B346C2D729}"/>
  <tableColumns count="9">
    <tableColumn id="1" xr3:uid="{8F66E1A1-8F01-4651-9DD2-788FE5FDB92F}" uniqueName="1" name="SourceWorkbook" queryTableFieldId="1" dataDxfId="18"/>
    <tableColumn id="2" xr3:uid="{6AC0BF47-9FF4-4A5F-827D-F9D8C703411F}" uniqueName="2" name="TableName" queryTableFieldId="2"/>
    <tableColumn id="3" xr3:uid="{CC4951FE-537A-4158-A562-1F3FB46B693B}" uniqueName="3" name="LO Number" queryTableFieldId="3"/>
    <tableColumn id="4" xr3:uid="{2CE1738D-C657-4968-A55C-75B2B8C1ADBF}" uniqueName="4" name="LO Description" queryTableFieldId="4"/>
    <tableColumn id="5" xr3:uid="{40FBA96B-7547-40C2-AB22-35ED479F6E71}" uniqueName="5" name="ModuleCode" queryTableFieldId="5"/>
    <tableColumn id="6" xr3:uid="{FE0ABC6B-CC75-45AA-845A-0E73C31691B4}" uniqueName="6" name="ItemSuffix" queryTableFieldId="6"/>
    <tableColumn id="7" xr3:uid="{A0EB73BB-0F4C-4271-B859-5BB38CEFD983}" uniqueName="7" name="Programme" queryTableFieldId="7"/>
    <tableColumn id="8" xr3:uid="{F3E61B67-0356-4D54-AEB5-09996A08327C}" uniqueName="8" name="ProgCode" queryTableFieldId="8"/>
    <tableColumn id="9" xr3:uid="{9BD4A92B-D514-456A-8CA4-B22B2E3AC0C8}" uniqueName="9" name="ModuleTitle" queryTableFieldId="9" dataDxfId="17"/>
  </tableColumns>
  <tableStyleInfo name="TableStyleMedium7"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9E6E4A7-A8E4-4CCE-9762-B11D6CF2E6CB}" name="FS_Assess" displayName="FS_Assess" ref="A1:M32" tableType="queryTable" totalsRowShown="0">
  <autoFilter ref="A1:M32" xr:uid="{C9E6E4A7-A8E4-4CCE-9762-B11D6CF2E6CB}"/>
  <sortState xmlns:xlrd2="http://schemas.microsoft.com/office/spreadsheetml/2017/richdata2" ref="A2:M32">
    <sortCondition ref="B1:B32"/>
  </sortState>
  <tableColumns count="13">
    <tableColumn id="1" xr3:uid="{B7261F2C-F524-4BB0-83D6-AD6EE698BB94}" uniqueName="1" name="SourceWorkbook" queryTableFieldId="1" dataDxfId="16"/>
    <tableColumn id="2" xr3:uid="{42A38ED9-BC3F-4A65-A4F0-B4721A7DFE7F}" uniqueName="2" name="TableName" queryTableFieldId="2"/>
    <tableColumn id="3" xr3:uid="{AEF70D57-F2DD-4FD6-941D-73A5FF9695CD}" uniqueName="3" name="Assessment No" queryTableFieldId="3"/>
    <tableColumn id="4" xr3:uid="{FC92966A-8FB8-47B1-8F66-E0D0B09D3D50}" uniqueName="4" name="Assessment Type" queryTableFieldId="4"/>
    <tableColumn id="5" xr3:uid="{EBCBB79D-0C53-469C-B55E-5CCFE3D778CA}" uniqueName="5" name="Assessment Specific" queryTableFieldId="5"/>
    <tableColumn id="6" xr3:uid="{A4B66951-E619-41CF-B161-7AD88F7CEC90}" uniqueName="6" name="Assessment Description" queryTableFieldId="6"/>
    <tableColumn id="7" xr3:uid="{BAA3A5DF-425F-4A74-A0D2-34C3C938147D}" uniqueName="7" name="Weighting" queryTableFieldId="7"/>
    <tableColumn id="8" xr3:uid="{7BA79F68-4D05-40D5-BDF1-7E11DEC3FCCD}" uniqueName="8" name="Due Week" queryTableFieldId="8"/>
    <tableColumn id="9" xr3:uid="{A31B31FE-AF11-49E8-AED4-9ADADB507119}" uniqueName="9" name="ModuleCode" queryTableFieldId="9"/>
    <tableColumn id="10" xr3:uid="{E02E948E-93C2-48C7-BA57-8F51E1BC0D9B}" uniqueName="10" name="ItemSuffix" queryTableFieldId="10"/>
    <tableColumn id="11" xr3:uid="{D5C25DED-F303-492C-A620-DE88AE52963C}" uniqueName="11" name="Programme" queryTableFieldId="11"/>
    <tableColumn id="12" xr3:uid="{FD2B53ED-0CB9-433B-8964-7328317E5ED5}" uniqueName="12" name="ProgCode" queryTableFieldId="12"/>
    <tableColumn id="13" xr3:uid="{B13285B8-CB81-48BC-98AD-8D09E8A86665}" uniqueName="13" name="ModuleTitle" queryTableFieldId="13" dataDxfId="15"/>
  </tableColumns>
  <tableStyleInfo name="TableStyleMedium7"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440EED6-1ABF-43CC-A82B-9A413F84A80C}" name="FS_Hours" displayName="FS_Hours" ref="A1:I103" tableType="queryTable" totalsRowShown="0">
  <autoFilter ref="A1:I103" xr:uid="{6440EED6-1ABF-43CC-A82B-9A413F84A80C}"/>
  <tableColumns count="9">
    <tableColumn id="1" xr3:uid="{E8CA27F7-BE94-4829-8020-78DA9F2748C9}" uniqueName="1" name="SourceWorkbook" queryTableFieldId="1" dataDxfId="14"/>
    <tableColumn id="2" xr3:uid="{3ED38C94-33C9-46EE-8E3A-EFE1479D7821}" uniqueName="2" name="TableName" queryTableFieldId="2"/>
    <tableColumn id="3" xr3:uid="{F967165C-5555-494B-ACC4-8EFDC1BE7760}" uniqueName="3" name="Component" queryTableFieldId="3"/>
    <tableColumn id="4" xr3:uid="{083DCC0A-FC69-4727-A790-C9AA06BEE83A}" uniqueName="4" name="Contact Hours" queryTableFieldId="4"/>
    <tableColumn id="5" xr3:uid="{FE16DD87-81A1-4F9B-A023-6D30B50669F8}" uniqueName="5" name="ModuleCode" queryTableFieldId="5"/>
    <tableColumn id="6" xr3:uid="{4A8CD129-1A3E-4B5A-B26F-06FA6B9FA222}" uniqueName="6" name="ItemSuffix" queryTableFieldId="6"/>
    <tableColumn id="7" xr3:uid="{4C964EC9-7485-4AA5-89D6-98CCF4858EC2}" uniqueName="7" name="Programme" queryTableFieldId="7"/>
    <tableColumn id="8" xr3:uid="{63703FFC-F485-4411-8CAF-73EF0B943028}" uniqueName="8" name="ProgCode" queryTableFieldId="8"/>
    <tableColumn id="9" xr3:uid="{2B95A713-6D3E-49EF-AC4A-14DAFA0693CC}" uniqueName="9" name="ModuleTitle" queryTableFieldId="9" dataDxfId="13"/>
  </tableColumns>
  <tableStyleInfo name="TableStyleMedium7"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6F2DDBC-378E-43EE-9C7F-299FC71C6A04}" name="FS_Mapping" displayName="FS_Mapping" ref="A1:K152" tableType="queryTable" totalsRowShown="0">
  <autoFilter ref="A1:K152" xr:uid="{96F2DDBC-378E-43EE-9C7F-299FC71C6A04}"/>
  <tableColumns count="11">
    <tableColumn id="1" xr3:uid="{7A0DFE44-B75B-4932-8E69-4CBABAD729EE}" uniqueName="1" name="SourceWorkbook" queryTableFieldId="1" dataDxfId="12"/>
    <tableColumn id="2" xr3:uid="{B07967B6-354A-409E-AE6B-6CD0667AE45F}" uniqueName="2" name="TableName" queryTableFieldId="2"/>
    <tableColumn id="3" xr3:uid="{21F9F120-75D7-4836-BF56-65C15A9080A2}" uniqueName="3" name="Assessment No" queryTableFieldId="3"/>
    <tableColumn id="4" xr3:uid="{131A9285-B0BF-4D95-A4F1-C7A978BB4D33}" uniqueName="4" name="LO Number" queryTableFieldId="4"/>
    <tableColumn id="5" xr3:uid="{582818FD-AE38-4416-A8A8-B21F3B786011}" uniqueName="5" name="Graduate Skills Category" queryTableFieldId="5"/>
    <tableColumn id="6" xr3:uid="{1BB9799A-3E5A-4B92-BF41-7FC8656E0EA8}" uniqueName="6" name="Graduate Skill" queryTableFieldId="6"/>
    <tableColumn id="7" xr3:uid="{AA538E3C-4CB5-4162-B2F4-9896A11E92A1}" uniqueName="7" name="ModuleCode" queryTableFieldId="7"/>
    <tableColumn id="8" xr3:uid="{84185C8B-4814-495B-95B4-AAC0C0E0E444}" uniqueName="8" name="ItemSuffix" queryTableFieldId="8"/>
    <tableColumn id="9" xr3:uid="{61F32765-0588-4DD4-AD4F-6439D12A363B}" uniqueName="9" name="Programme" queryTableFieldId="9"/>
    <tableColumn id="10" xr3:uid="{37DBB0F6-E7A4-480C-A6EE-452457190953}" uniqueName="10" name="ProgCode" queryTableFieldId="10"/>
    <tableColumn id="11" xr3:uid="{9C0E6BB8-9502-4241-9995-D6CD13A43CA3}" uniqueName="11" name="ModuleTitle" queryTableFieldId="11" dataDxfId="11"/>
  </tableColumns>
  <tableStyleInfo name="TableStyleMedium7"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1D03718-409C-4D40-9CD5-1FB8389E243B}" name="FS_Meta_Wide" displayName="FS_Meta_Wide" ref="A1:O18" tableType="queryTable" totalsRowShown="0">
  <autoFilter ref="A1:O18" xr:uid="{C1D03718-409C-4D40-9CD5-1FB8389E243B}"/>
  <tableColumns count="15">
    <tableColumn id="1" xr3:uid="{F44EB091-F69B-4BBF-9FA6-E30168D269EE}" uniqueName="1" name="SourceWorkbook" queryTableFieldId="1" dataDxfId="10"/>
    <tableColumn id="2" xr3:uid="{696FEF69-CAFC-40F6-AAD7-53DAF50A0AB9}" uniqueName="2" name="TableName" queryTableFieldId="2"/>
    <tableColumn id="3" xr3:uid="{31338EE4-1AAB-42DB-9E7E-DAECABFDB483}" uniqueName="3" name="ModuleCode" queryTableFieldId="3"/>
    <tableColumn id="4" xr3:uid="{2441E343-B991-4B2E-BF4F-C352543115CF}" uniqueName="4" name="ItemSuffix" queryTableFieldId="4"/>
    <tableColumn id="5" xr3:uid="{5B8A2873-9921-44E8-9C73-6534137DD39A}" uniqueName="5" name="Programme" queryTableFieldId="5"/>
    <tableColumn id="6" xr3:uid="{9AAF8A12-97DF-4F1E-9788-D96BEFC1A383}" uniqueName="6" name="ProgCode" queryTableFieldId="6"/>
    <tableColumn id="7" xr3:uid="{D604C8C4-B7BC-4ED2-9DC4-00B38025777B}" uniqueName="7" name="ModuleTitle" queryTableFieldId="7" dataDxfId="9"/>
    <tableColumn id="8" xr3:uid="{F837EBAD-877A-4A06-9836-D714F73C7B16}" uniqueName="8" name="Module Code" queryTableFieldId="8"/>
    <tableColumn id="9" xr3:uid="{25CC6845-7AA2-4D36-8329-F3DF0CCAB9D1}" uniqueName="9" name="Module Title" queryTableFieldId="9"/>
    <tableColumn id="10" xr3:uid="{D8D35029-D912-44A3-99C8-2EC4367FB93F}" uniqueName="10" name="Credits" queryTableFieldId="10"/>
    <tableColumn id="11" xr3:uid="{58FE3E7E-B850-4F31-A23E-21E81E88D46A}" uniqueName="11" name="Semester" queryTableFieldId="11"/>
    <tableColumn id="12" xr3:uid="{A8DF5724-D643-4B44-9DD4-0AEF8E9CB7DD}" uniqueName="12" name="Level" queryTableFieldId="12"/>
    <tableColumn id="13" xr3:uid="{D799333B-AD73-4738-818B-A09617322F72}" uniqueName="13" name="Module Leader" queryTableFieldId="13"/>
    <tableColumn id="14" xr3:uid="{8A45F77E-792E-4E20-ADD8-5B21B8503DAD}" uniqueName="14" name="Module Type" queryTableFieldId="14"/>
    <tableColumn id="15" xr3:uid="{D7D49B96-359F-42A9-AC7E-C42FA10567DA}" uniqueName="15" name="Programme(s)" queryTableFieldId="15"/>
  </tableColumns>
  <tableStyleInfo name="TableStyleMedium7"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2A44BD-49F7-4CE3-A528-F5FECB3A6D14}" name="FS_Hours_Wide" displayName="FS_Hours_Wide" ref="A1:M18" tableType="queryTable" totalsRowShown="0">
  <autoFilter ref="A1:M18" xr:uid="{A32A44BD-49F7-4CE3-A528-F5FECB3A6D14}"/>
  <tableColumns count="13">
    <tableColumn id="1" xr3:uid="{E8AB9703-BB5D-4157-9790-995D60E1479F}" uniqueName="1" name="SourceWorkbook" queryTableFieldId="1" dataDxfId="8"/>
    <tableColumn id="2" xr3:uid="{98A0658E-4929-4175-B230-3B7E4B043ADB}" uniqueName="2" name="TableName" queryTableFieldId="2"/>
    <tableColumn id="3" xr3:uid="{1C5CB053-D088-47EA-BA01-EBB31FC0FEB2}" uniqueName="3" name="ModuleCode" queryTableFieldId="3"/>
    <tableColumn id="4" xr3:uid="{7099143B-E8CA-4DBD-8B1B-E6B169C4547D}" uniqueName="4" name="ItemSuffix" queryTableFieldId="4"/>
    <tableColumn id="5" xr3:uid="{AAA4F5C4-FD96-444A-A436-327B0B4DE2B8}" uniqueName="5" name="Programme" queryTableFieldId="5"/>
    <tableColumn id="6" xr3:uid="{97C2FFEB-8B7C-48F5-BA43-9FF1207F479E}" uniqueName="6" name="ProgCode" queryTableFieldId="6"/>
    <tableColumn id="7" xr3:uid="{C094EB6E-02ED-43D6-8024-9CE4CFBC962B}" uniqueName="7" name="ModuleTitle" queryTableFieldId="7" dataDxfId="7"/>
    <tableColumn id="8" xr3:uid="{3DB548B9-70B3-4478-911C-0F5DE693EB42}" uniqueName="8" name="Lecture" queryTableFieldId="8"/>
    <tableColumn id="9" xr3:uid="{A789A230-46D9-49D2-850D-591E4324DA7B}" uniqueName="9" name="Seminar" queryTableFieldId="9"/>
    <tableColumn id="10" xr3:uid="{5AA2C52E-C47A-4E77-8E90-64DFBB37F88A}" uniqueName="10" name="Practical" queryTableFieldId="10"/>
    <tableColumn id="11" xr3:uid="{BBF2929C-4707-403C-BDF2-47B8CCB5EA89}" uniqueName="11" name="Workshop" queryTableFieldId="11"/>
    <tableColumn id="12" xr3:uid="{4FC29B27-7345-47E4-B2EA-4CD971CD5FFE}" uniqueName="12" name="Online" queryTableFieldId="12"/>
    <tableColumn id="13" xr3:uid="{082BBFDC-EDEB-4E66-814B-26DCB30DF08D}" uniqueName="13" name="Total" queryTableFieldId="13"/>
  </tableColumns>
  <tableStyleInfo name="TableStyleMedium7"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A49B85-60D3-4700-BFE1-669427CAA719}" name="FS_Module_Overview" displayName="FS_Module_Overview" ref="A1:I18" tableType="queryTable" totalsRowShown="0">
  <autoFilter ref="A1:I18" xr:uid="{94A49B85-60D3-4700-BFE1-669427CAA719}"/>
  <tableColumns count="9">
    <tableColumn id="1" xr3:uid="{7A200DC1-154C-4571-925F-0702F1421CD2}" uniqueName="1" name="ModuleCode" queryTableFieldId="1"/>
    <tableColumn id="2" xr3:uid="{B805D57F-DEB3-46EB-8A7D-0EF986215BB1}" uniqueName="2" name="ModuleTitle" queryTableFieldId="2" dataDxfId="6"/>
    <tableColumn id="3" xr3:uid="{13E4614C-38F5-463F-B339-73D3ECC06D95}" uniqueName="3" name="Level" queryTableFieldId="3"/>
    <tableColumn id="4" xr3:uid="{09F0524B-4D7F-42B6-AA38-CF2FC5CA8395}" uniqueName="4" name="Semester" queryTableFieldId="4"/>
    <tableColumn id="5" xr3:uid="{1DE812EA-FE75-4865-A7AE-14E6887B4CE3}" uniqueName="5" name="Credits" queryTableFieldId="5"/>
    <tableColumn id="6" xr3:uid="{718FCBFA-A852-4162-9B37-605CDE27D15C}" uniqueName="6" name="Module Leader" queryTableFieldId="6"/>
    <tableColumn id="7" xr3:uid="{E81DF9F0-1266-4E29-A7FF-2CD4D35149F1}" uniqueName="7" name="Module Type" queryTableFieldId="7"/>
    <tableColumn id="8" xr3:uid="{1B3571E9-12D6-4022-8C6E-3D6349E5E5B9}" uniqueName="8" name="Total Contact Hours" queryTableFieldId="8"/>
    <tableColumn id="9" xr3:uid="{504B2365-8671-4C1C-A792-B1ECC67A6004}" uniqueName="9" name="Hours per Credit" queryTableFieldId="9"/>
  </tableColumns>
  <tableStyleInfo name="TableStyleMedium7"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80644B3-D23B-466E-909F-37E4415CCDCF}" name="FS_SkillsCoverage" displayName="FS_SkillsCoverage" ref="A1:E65" tableType="queryTable" totalsRowShown="0">
  <autoFilter ref="A1:E65" xr:uid="{480644B3-D23B-466E-909F-37E4415CCDCF}"/>
  <tableColumns count="5">
    <tableColumn id="1" xr3:uid="{2AA7BA67-9BE4-4DAB-9582-13991092EDB5}" uniqueName="1" name="Category" queryTableFieldId="1"/>
    <tableColumn id="2" xr3:uid="{7542E16C-D215-4ECF-9998-4A46869C8C64}" uniqueName="2" name="Skill" queryTableFieldId="2"/>
    <tableColumn id="3" xr3:uid="{71BC08FF-0F37-4712-8B64-05164095121E}" uniqueName="3" name="Modules Covering" queryTableFieldId="3" dataDxfId="5"/>
    <tableColumn id="4" xr3:uid="{0ACE8D40-DF31-4A63-9C26-AC9C16542FBE}" uniqueName="4" name="Module Count" queryTableFieldId="4"/>
    <tableColumn id="5" xr3:uid="{5178E5CB-AB23-499A-96C3-FFB22BFCE3B7}" uniqueName="5" name="Covered"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2" dT="2026-07-28T13:42:41.65" personId="{F2D151A0-82A2-4ABE-B7B0-CF7967121786}" id="{A7245DC9-381A-4C82-B2DF-4EE31599BA4E}">
    <text>Guesstimate for Industry Event and Field Trip to Finch Farm.</text>
  </threadedComment>
</ThreadedComments>
</file>

<file path=xl/threadedComments/threadedComment2.xml><?xml version="1.0" encoding="utf-8"?>
<ThreadedComments xmlns="http://schemas.microsoft.com/office/spreadsheetml/2018/threadedcomments" xmlns:x="http://schemas.openxmlformats.org/spreadsheetml/2006/main">
  <threadedComment ref="D38" dT="2026-07-21T16:11:42.14" personId="{1FB70237-4933-EA4C-BE41-2A58EC89DA19}" id="{BDB03220-0AF7-2B47-B355-ACAB853FDAB5}">
    <text>For review: i) keep assessment types (AS1 - exam instead of report to counter AI?); ii) keep assessment specifics (AS1); iii) keep weighting 50:50?
@Robinson, Mark @Lake, Mark</text>
    <mentions>
      <mention mentionpersonId="{C5431128-65D9-3247-9C65-762E6878DEB0}" mentionId="{5C773A5F-1254-C547-947B-0497DD829477}" startIndex="148" length="15"/>
      <mention mentionpersonId="{26CAB64E-5892-214E-9F45-F20B0B3136BA}" mentionId="{BF2EC040-7A00-9C4A-9055-88C661E6CAA8}" startIndex="164" length="11"/>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printerSettings" Target="../printerSettings/printerSettings2.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6.xml"/><Relationship Id="rId13" Type="http://schemas.openxmlformats.org/officeDocument/2006/relationships/comments" Target="../comments1.xml"/><Relationship Id="rId3" Type="http://schemas.openxmlformats.org/officeDocument/2006/relationships/table" Target="../tables/table21.xml"/><Relationship Id="rId7" Type="http://schemas.openxmlformats.org/officeDocument/2006/relationships/table" Target="../tables/table25.xml"/><Relationship Id="rId12" Type="http://schemas.openxmlformats.org/officeDocument/2006/relationships/table" Target="../tables/table30.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6" Type="http://schemas.openxmlformats.org/officeDocument/2006/relationships/table" Target="../tables/table24.xml"/><Relationship Id="rId11" Type="http://schemas.openxmlformats.org/officeDocument/2006/relationships/table" Target="../tables/table29.xml"/><Relationship Id="rId5" Type="http://schemas.openxmlformats.org/officeDocument/2006/relationships/table" Target="../tables/table23.xml"/><Relationship Id="rId10" Type="http://schemas.openxmlformats.org/officeDocument/2006/relationships/table" Target="../tables/table28.xml"/><Relationship Id="rId4" Type="http://schemas.openxmlformats.org/officeDocument/2006/relationships/table" Target="../tables/table22.xml"/><Relationship Id="rId9" Type="http://schemas.openxmlformats.org/officeDocument/2006/relationships/table" Target="../tables/table27.xml"/><Relationship Id="rId1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7.xml"/><Relationship Id="rId3" Type="http://schemas.openxmlformats.org/officeDocument/2006/relationships/table" Target="../tables/table32.xml"/><Relationship Id="rId7" Type="http://schemas.openxmlformats.org/officeDocument/2006/relationships/table" Target="../tables/table36.xml"/><Relationship Id="rId2" Type="http://schemas.openxmlformats.org/officeDocument/2006/relationships/table" Target="../tables/table31.xml"/><Relationship Id="rId1" Type="http://schemas.openxmlformats.org/officeDocument/2006/relationships/printerSettings" Target="../printerSettings/printerSettings4.bin"/><Relationship Id="rId6" Type="http://schemas.openxmlformats.org/officeDocument/2006/relationships/table" Target="../tables/table35.xml"/><Relationship Id="rId11" Type="http://schemas.openxmlformats.org/officeDocument/2006/relationships/table" Target="../tables/table40.xml"/><Relationship Id="rId5" Type="http://schemas.openxmlformats.org/officeDocument/2006/relationships/table" Target="../tables/table34.xml"/><Relationship Id="rId10" Type="http://schemas.openxmlformats.org/officeDocument/2006/relationships/table" Target="../tables/table39.xml"/><Relationship Id="rId4" Type="http://schemas.openxmlformats.org/officeDocument/2006/relationships/table" Target="../tables/table33.xml"/><Relationship Id="rId9" Type="http://schemas.openxmlformats.org/officeDocument/2006/relationships/table" Target="../tables/table38.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6.xml"/><Relationship Id="rId13" Type="http://schemas.openxmlformats.org/officeDocument/2006/relationships/comments" Target="../comments2.xml"/><Relationship Id="rId3" Type="http://schemas.openxmlformats.org/officeDocument/2006/relationships/table" Target="../tables/table41.xml"/><Relationship Id="rId7" Type="http://schemas.openxmlformats.org/officeDocument/2006/relationships/table" Target="../tables/table45.xml"/><Relationship Id="rId12" Type="http://schemas.openxmlformats.org/officeDocument/2006/relationships/table" Target="../tables/table50.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6" Type="http://schemas.openxmlformats.org/officeDocument/2006/relationships/table" Target="../tables/table44.xml"/><Relationship Id="rId11" Type="http://schemas.openxmlformats.org/officeDocument/2006/relationships/table" Target="../tables/table49.xml"/><Relationship Id="rId5" Type="http://schemas.openxmlformats.org/officeDocument/2006/relationships/table" Target="../tables/table43.xml"/><Relationship Id="rId10" Type="http://schemas.openxmlformats.org/officeDocument/2006/relationships/table" Target="../tables/table48.xml"/><Relationship Id="rId4" Type="http://schemas.openxmlformats.org/officeDocument/2006/relationships/table" Target="../tables/table42.xml"/><Relationship Id="rId9" Type="http://schemas.openxmlformats.org/officeDocument/2006/relationships/table" Target="../tables/table47.xml"/><Relationship Id="rId1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7.xml"/><Relationship Id="rId3" Type="http://schemas.openxmlformats.org/officeDocument/2006/relationships/table" Target="../tables/table52.xml"/><Relationship Id="rId7" Type="http://schemas.openxmlformats.org/officeDocument/2006/relationships/table" Target="../tables/table56.xml"/><Relationship Id="rId2" Type="http://schemas.openxmlformats.org/officeDocument/2006/relationships/table" Target="../tables/table51.xml"/><Relationship Id="rId1" Type="http://schemas.openxmlformats.org/officeDocument/2006/relationships/printerSettings" Target="../printerSettings/printerSettings6.bin"/><Relationship Id="rId6" Type="http://schemas.openxmlformats.org/officeDocument/2006/relationships/table" Target="../tables/table55.xml"/><Relationship Id="rId11" Type="http://schemas.openxmlformats.org/officeDocument/2006/relationships/table" Target="../tables/table60.xml"/><Relationship Id="rId5" Type="http://schemas.openxmlformats.org/officeDocument/2006/relationships/table" Target="../tables/table54.xml"/><Relationship Id="rId10" Type="http://schemas.openxmlformats.org/officeDocument/2006/relationships/table" Target="../tables/table59.xml"/><Relationship Id="rId4" Type="http://schemas.openxmlformats.org/officeDocument/2006/relationships/table" Target="../tables/table53.xml"/><Relationship Id="rId9" Type="http://schemas.openxmlformats.org/officeDocument/2006/relationships/table" Target="../tables/table5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67.xml"/><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printerSettings" Target="../printerSettings/printerSettings7.bin"/><Relationship Id="rId6" Type="http://schemas.openxmlformats.org/officeDocument/2006/relationships/table" Target="../tables/table65.xml"/><Relationship Id="rId11" Type="http://schemas.openxmlformats.org/officeDocument/2006/relationships/table" Target="../tables/table70.xml"/><Relationship Id="rId5" Type="http://schemas.openxmlformats.org/officeDocument/2006/relationships/table" Target="../tables/table64.xml"/><Relationship Id="rId10" Type="http://schemas.openxmlformats.org/officeDocument/2006/relationships/table" Target="../tables/table69.xml"/><Relationship Id="rId4" Type="http://schemas.openxmlformats.org/officeDocument/2006/relationships/table" Target="../tables/table63.xml"/><Relationship Id="rId9" Type="http://schemas.openxmlformats.org/officeDocument/2006/relationships/table" Target="../tables/table68.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12" Type="http://schemas.openxmlformats.org/officeDocument/2006/relationships/table" Target="../tables/table80.xml"/><Relationship Id="rId2" Type="http://schemas.openxmlformats.org/officeDocument/2006/relationships/drawing" Target="../drawings/drawing1.xml"/><Relationship Id="rId1" Type="http://schemas.openxmlformats.org/officeDocument/2006/relationships/printerSettings" Target="../printerSettings/printerSettings8.bin"/><Relationship Id="rId6" Type="http://schemas.openxmlformats.org/officeDocument/2006/relationships/table" Target="../tables/table74.xml"/><Relationship Id="rId11" Type="http://schemas.openxmlformats.org/officeDocument/2006/relationships/table" Target="../tables/table79.xml"/><Relationship Id="rId5" Type="http://schemas.openxmlformats.org/officeDocument/2006/relationships/table" Target="../tables/table73.xml"/><Relationship Id="rId10" Type="http://schemas.openxmlformats.org/officeDocument/2006/relationships/table" Target="../tables/table78.xml"/><Relationship Id="rId4" Type="http://schemas.openxmlformats.org/officeDocument/2006/relationships/table" Target="../tables/table72.xml"/><Relationship Id="rId9" Type="http://schemas.openxmlformats.org/officeDocument/2006/relationships/table" Target="../tables/table7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2.xml"/><Relationship Id="rId1" Type="http://schemas.openxmlformats.org/officeDocument/2006/relationships/table" Target="../tables/table8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0.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5F39-4768-4BDC-BBAF-EDA933F6EC41}">
  <sheetPr codeName="Sheet1"/>
  <dimension ref="B2:H94"/>
  <sheetViews>
    <sheetView showGridLines="0" topLeftCell="C7" zoomScale="70" zoomScaleNormal="70" workbookViewId="0">
      <selection activeCell="F10" sqref="F10:F13"/>
    </sheetView>
  </sheetViews>
  <sheetFormatPr defaultColWidth="8.81640625" defaultRowHeight="14.5" x14ac:dyDescent="0.35"/>
  <cols>
    <col min="3" max="3" width="33.453125" customWidth="1"/>
    <col min="4" max="4" width="51.453125" customWidth="1"/>
    <col min="5" max="5" width="67.453125" customWidth="1"/>
    <col min="6" max="6" width="63.1796875" customWidth="1"/>
    <col min="7" max="7" width="12.453125" customWidth="1"/>
    <col min="8" max="8" width="15.453125" customWidth="1"/>
    <col min="9" max="9" width="14.54296875" customWidth="1"/>
  </cols>
  <sheetData>
    <row r="2" spans="2:6" ht="26" x14ac:dyDescent="0.6">
      <c r="C2" s="29" t="str">
        <f>D7</f>
        <v>4301SPS</v>
      </c>
      <c r="D2" s="29" t="str">
        <f>D8</f>
        <v>Professional Practice in Football Science</v>
      </c>
    </row>
    <row r="3" spans="2:6" x14ac:dyDescent="0.35">
      <c r="B3" s="30"/>
      <c r="C3" s="30"/>
    </row>
    <row r="4" spans="2:6" x14ac:dyDescent="0.35">
      <c r="B4" s="31"/>
      <c r="C4" s="31"/>
    </row>
    <row r="5" spans="2:6" ht="18.5" x14ac:dyDescent="0.35">
      <c r="B5" s="31"/>
      <c r="C5" s="32" t="s">
        <v>0</v>
      </c>
    </row>
    <row r="6" spans="2:6" x14ac:dyDescent="0.35">
      <c r="B6" s="31"/>
      <c r="C6" s="33" t="s">
        <v>1</v>
      </c>
      <c r="D6" s="34" t="s">
        <v>2</v>
      </c>
      <c r="E6" s="34"/>
      <c r="F6" t="s">
        <v>3</v>
      </c>
    </row>
    <row r="7" spans="2:6" x14ac:dyDescent="0.35">
      <c r="B7" s="31"/>
      <c r="C7" s="21" t="s">
        <v>4</v>
      </c>
      <c r="D7" s="1" t="s">
        <v>5</v>
      </c>
      <c r="E7" s="34"/>
      <c r="F7" s="4" t="s">
        <v>6</v>
      </c>
    </row>
    <row r="8" spans="2:6" x14ac:dyDescent="0.35">
      <c r="B8" s="31"/>
      <c r="C8" s="21" t="s">
        <v>7</v>
      </c>
      <c r="D8" s="1" t="s">
        <v>8</v>
      </c>
      <c r="E8" s="34"/>
      <c r="F8" s="4"/>
    </row>
    <row r="9" spans="2:6" x14ac:dyDescent="0.35">
      <c r="C9" s="21" t="s">
        <v>9</v>
      </c>
      <c r="D9" s="1">
        <v>20</v>
      </c>
      <c r="E9" s="34"/>
    </row>
    <row r="10" spans="2:6" x14ac:dyDescent="0.35">
      <c r="C10" s="21" t="s">
        <v>10</v>
      </c>
      <c r="D10" s="1">
        <v>1</v>
      </c>
      <c r="E10" s="34"/>
      <c r="F10" t="s">
        <v>11</v>
      </c>
    </row>
    <row r="11" spans="2:6" x14ac:dyDescent="0.35">
      <c r="C11" s="21" t="s">
        <v>12</v>
      </c>
      <c r="D11" s="1">
        <v>4</v>
      </c>
      <c r="E11" s="34"/>
      <c r="F11" s="4" t="s">
        <v>13</v>
      </c>
    </row>
    <row r="12" spans="2:6" x14ac:dyDescent="0.35">
      <c r="C12" s="21" t="s">
        <v>14</v>
      </c>
      <c r="D12" s="1" t="s">
        <v>15</v>
      </c>
      <c r="E12" s="34"/>
      <c r="F12" s="4" t="s">
        <v>16</v>
      </c>
    </row>
    <row r="13" spans="2:6" x14ac:dyDescent="0.35">
      <c r="C13" s="21" t="s">
        <v>17</v>
      </c>
      <c r="D13" s="1" t="s">
        <v>18</v>
      </c>
      <c r="E13" s="34"/>
      <c r="F13" s="4" t="s">
        <v>19</v>
      </c>
    </row>
    <row r="14" spans="2:6" x14ac:dyDescent="0.35">
      <c r="C14" s="21" t="s">
        <v>20</v>
      </c>
      <c r="D14" s="1" t="s">
        <v>21</v>
      </c>
      <c r="E14" s="34"/>
    </row>
    <row r="15" spans="2:6" x14ac:dyDescent="0.35">
      <c r="C15" s="33"/>
      <c r="D15" s="34"/>
      <c r="E15" s="34"/>
      <c r="F15" t="s">
        <v>22</v>
      </c>
    </row>
    <row r="16" spans="2:6" x14ac:dyDescent="0.35">
      <c r="C16" s="33"/>
      <c r="D16" s="34"/>
      <c r="E16" s="34"/>
      <c r="F16" s="4" t="s">
        <v>23</v>
      </c>
    </row>
    <row r="17" spans="3:6" ht="18.5" x14ac:dyDescent="0.35">
      <c r="C17" s="32" t="s">
        <v>24</v>
      </c>
      <c r="D17" s="34"/>
      <c r="E17" s="34"/>
      <c r="F17" s="4"/>
    </row>
    <row r="18" spans="3:6" x14ac:dyDescent="0.35">
      <c r="C18" s="33" t="s">
        <v>25</v>
      </c>
      <c r="D18" s="30" t="s">
        <v>24</v>
      </c>
      <c r="E18" s="34"/>
      <c r="F18" s="4"/>
    </row>
    <row r="19" spans="3:6" x14ac:dyDescent="0.35">
      <c r="C19" s="21" t="s">
        <v>26</v>
      </c>
      <c r="D19" s="2">
        <v>24</v>
      </c>
      <c r="E19" s="34"/>
      <c r="F19" s="4"/>
    </row>
    <row r="20" spans="3:6" x14ac:dyDescent="0.35">
      <c r="C20" s="21" t="s">
        <v>27</v>
      </c>
      <c r="D20" s="2">
        <v>10</v>
      </c>
      <c r="E20" s="34"/>
      <c r="F20" s="4"/>
    </row>
    <row r="21" spans="3:6" x14ac:dyDescent="0.35">
      <c r="C21" s="21" t="s">
        <v>28</v>
      </c>
      <c r="D21" s="2">
        <v>8</v>
      </c>
      <c r="E21" s="34"/>
    </row>
    <row r="22" spans="3:6" x14ac:dyDescent="0.35">
      <c r="C22" s="21" t="s">
        <v>29</v>
      </c>
      <c r="D22" s="2">
        <v>6</v>
      </c>
      <c r="E22" s="34"/>
      <c r="F22" t="s">
        <v>30</v>
      </c>
    </row>
    <row r="23" spans="3:6" x14ac:dyDescent="0.35">
      <c r="C23" s="21" t="s">
        <v>31</v>
      </c>
      <c r="D23" s="2">
        <v>0</v>
      </c>
      <c r="E23" s="34"/>
      <c r="F23" s="4" t="s">
        <v>32</v>
      </c>
    </row>
    <row r="24" spans="3:6" x14ac:dyDescent="0.35">
      <c r="C24" s="21" t="s">
        <v>33</v>
      </c>
      <c r="D24" s="30">
        <f>SUM(D19:D23)</f>
        <v>48</v>
      </c>
      <c r="E24" s="34"/>
      <c r="F24" s="4" t="s">
        <v>34</v>
      </c>
    </row>
    <row r="25" spans="3:6" x14ac:dyDescent="0.35">
      <c r="F25" s="4"/>
    </row>
    <row r="26" spans="3:6" x14ac:dyDescent="0.35">
      <c r="F26" s="4"/>
    </row>
    <row r="27" spans="3:6" ht="18.5" x14ac:dyDescent="0.4">
      <c r="C27" s="32" t="s">
        <v>35</v>
      </c>
      <c r="D27" s="35" t="s">
        <v>36</v>
      </c>
      <c r="F27" s="4"/>
    </row>
    <row r="28" spans="3:6" x14ac:dyDescent="0.35">
      <c r="C28" s="33" t="s">
        <v>37</v>
      </c>
      <c r="D28" s="33" t="s">
        <v>38</v>
      </c>
      <c r="E28" s="33"/>
      <c r="F28" s="4"/>
    </row>
    <row r="29" spans="3:6" ht="43.5" x14ac:dyDescent="0.35">
      <c r="C29" s="21" t="s">
        <v>39</v>
      </c>
      <c r="D29" s="1" t="s">
        <v>40</v>
      </c>
      <c r="E29" s="34"/>
      <c r="F29" s="4"/>
    </row>
    <row r="30" spans="3:6" ht="43.5" x14ac:dyDescent="0.35">
      <c r="C30" s="21" t="s">
        <v>41</v>
      </c>
      <c r="D30" s="1" t="s">
        <v>42</v>
      </c>
      <c r="E30" s="34"/>
      <c r="F30" s="4"/>
    </row>
    <row r="31" spans="3:6" x14ac:dyDescent="0.35">
      <c r="C31" s="21" t="s">
        <v>43</v>
      </c>
      <c r="D31" s="1"/>
      <c r="E31" s="34"/>
      <c r="F31" s="4"/>
    </row>
    <row r="32" spans="3:6" x14ac:dyDescent="0.35">
      <c r="C32" s="21" t="s">
        <v>44</v>
      </c>
      <c r="D32" s="1"/>
      <c r="E32" s="34"/>
      <c r="F32" s="4"/>
    </row>
    <row r="33" spans="3:8" x14ac:dyDescent="0.35">
      <c r="C33" s="21" t="s">
        <v>45</v>
      </c>
      <c r="D33" s="1"/>
      <c r="E33" s="34"/>
      <c r="F33" s="4"/>
    </row>
    <row r="36" spans="3:8" ht="18.5" x14ac:dyDescent="0.35">
      <c r="C36" s="32" t="s">
        <v>46</v>
      </c>
    </row>
    <row r="37" spans="3:8" x14ac:dyDescent="0.35">
      <c r="C37" s="33" t="s">
        <v>47</v>
      </c>
      <c r="D37" s="33" t="s">
        <v>48</v>
      </c>
      <c r="E37" s="33" t="s">
        <v>49</v>
      </c>
      <c r="F37" s="33" t="s">
        <v>50</v>
      </c>
      <c r="G37" s="33" t="s">
        <v>51</v>
      </c>
      <c r="H37" s="33" t="s">
        <v>52</v>
      </c>
    </row>
    <row r="38" spans="3:8" ht="43.5" x14ac:dyDescent="0.35">
      <c r="C38" s="21" t="s">
        <v>53</v>
      </c>
      <c r="D38" s="1" t="s">
        <v>54</v>
      </c>
      <c r="E38" s="1" t="s">
        <v>55</v>
      </c>
      <c r="F38" s="1" t="s">
        <v>56</v>
      </c>
      <c r="G38" s="3">
        <v>0.5</v>
      </c>
      <c r="H38" s="1">
        <v>12</v>
      </c>
    </row>
    <row r="39" spans="3:8" ht="58" x14ac:dyDescent="0.35">
      <c r="C39" s="21" t="s">
        <v>57</v>
      </c>
      <c r="D39" s="1" t="s">
        <v>58</v>
      </c>
      <c r="E39" s="1" t="s">
        <v>59</v>
      </c>
      <c r="F39" s="1" t="s">
        <v>60</v>
      </c>
      <c r="G39" s="3">
        <v>0.5</v>
      </c>
      <c r="H39" s="1" t="s">
        <v>61</v>
      </c>
    </row>
    <row r="40" spans="3:8" x14ac:dyDescent="0.35">
      <c r="C40" s="21" t="s">
        <v>62</v>
      </c>
      <c r="D40" s="4"/>
      <c r="E40" s="4"/>
      <c r="F40" s="4"/>
      <c r="G40" s="4"/>
      <c r="H40" s="4"/>
    </row>
    <row r="41" spans="3:8" x14ac:dyDescent="0.35">
      <c r="C41" s="21" t="s">
        <v>63</v>
      </c>
      <c r="D41" s="4"/>
      <c r="E41" s="4"/>
      <c r="F41" s="4"/>
      <c r="G41" s="4"/>
      <c r="H41" s="4"/>
    </row>
    <row r="42" spans="3:8" x14ac:dyDescent="0.35">
      <c r="C42" s="33"/>
    </row>
    <row r="44" spans="3:8" ht="18.5" x14ac:dyDescent="0.4">
      <c r="C44" s="32" t="s">
        <v>64</v>
      </c>
      <c r="D44" s="35"/>
    </row>
    <row r="45" spans="3:8" x14ac:dyDescent="0.35">
      <c r="C45" s="30" t="s">
        <v>47</v>
      </c>
      <c r="D45" s="30" t="s">
        <v>37</v>
      </c>
      <c r="E45" s="30" t="s">
        <v>65</v>
      </c>
      <c r="F45" s="30" t="s">
        <v>66</v>
      </c>
    </row>
    <row r="46" spans="3:8" x14ac:dyDescent="0.35">
      <c r="C46" s="5" t="s">
        <v>53</v>
      </c>
      <c r="D46" s="4" t="s">
        <v>39</v>
      </c>
      <c r="E46" s="4" t="s">
        <v>67</v>
      </c>
      <c r="F46" s="4" t="s">
        <v>68</v>
      </c>
    </row>
    <row r="47" spans="3:8" x14ac:dyDescent="0.35">
      <c r="C47" s="5" t="s">
        <v>53</v>
      </c>
      <c r="D47" s="4" t="s">
        <v>39</v>
      </c>
      <c r="E47" s="4" t="s">
        <v>67</v>
      </c>
      <c r="F47" s="4" t="s">
        <v>69</v>
      </c>
    </row>
    <row r="48" spans="3:8" x14ac:dyDescent="0.35">
      <c r="C48" s="5" t="s">
        <v>53</v>
      </c>
      <c r="D48" s="4" t="s">
        <v>39</v>
      </c>
      <c r="E48" s="4" t="s">
        <v>67</v>
      </c>
      <c r="F48" s="4" t="s">
        <v>70</v>
      </c>
    </row>
    <row r="49" spans="3:6" x14ac:dyDescent="0.35">
      <c r="C49" s="5" t="s">
        <v>53</v>
      </c>
      <c r="D49" s="4" t="s">
        <v>39</v>
      </c>
      <c r="E49" s="4" t="s">
        <v>71</v>
      </c>
      <c r="F49" s="4" t="s">
        <v>72</v>
      </c>
    </row>
    <row r="50" spans="3:6" x14ac:dyDescent="0.35">
      <c r="C50" s="5" t="s">
        <v>53</v>
      </c>
      <c r="D50" s="4" t="s">
        <v>39</v>
      </c>
      <c r="E50" s="4" t="s">
        <v>73</v>
      </c>
      <c r="F50" s="4" t="s">
        <v>74</v>
      </c>
    </row>
    <row r="51" spans="3:6" x14ac:dyDescent="0.35">
      <c r="C51" s="5" t="s">
        <v>57</v>
      </c>
      <c r="D51" s="4" t="s">
        <v>41</v>
      </c>
      <c r="E51" s="4" t="s">
        <v>73</v>
      </c>
      <c r="F51" s="4" t="s">
        <v>75</v>
      </c>
    </row>
    <row r="52" spans="3:6" x14ac:dyDescent="0.35">
      <c r="C52" s="5" t="s">
        <v>57</v>
      </c>
      <c r="D52" s="4" t="s">
        <v>41</v>
      </c>
      <c r="E52" s="4" t="s">
        <v>76</v>
      </c>
      <c r="F52" s="4" t="s">
        <v>77</v>
      </c>
    </row>
    <row r="53" spans="3:6" x14ac:dyDescent="0.35">
      <c r="C53" s="5" t="s">
        <v>57</v>
      </c>
      <c r="D53" s="4" t="s">
        <v>41</v>
      </c>
      <c r="E53" s="4" t="s">
        <v>73</v>
      </c>
      <c r="F53" s="4" t="s">
        <v>78</v>
      </c>
    </row>
    <row r="54" spans="3:6" x14ac:dyDescent="0.35">
      <c r="C54" s="5" t="s">
        <v>57</v>
      </c>
      <c r="D54" s="4" t="s">
        <v>39</v>
      </c>
      <c r="E54" s="4" t="s">
        <v>79</v>
      </c>
      <c r="F54" s="4" t="s">
        <v>80</v>
      </c>
    </row>
    <row r="55" spans="3:6" x14ac:dyDescent="0.35">
      <c r="C55" s="5" t="s">
        <v>57</v>
      </c>
      <c r="D55" s="4"/>
      <c r="E55" s="4"/>
      <c r="F55" s="4"/>
    </row>
    <row r="56" spans="3:6" x14ac:dyDescent="0.35">
      <c r="C56" s="5" t="s">
        <v>57</v>
      </c>
      <c r="D56" s="4"/>
      <c r="E56" s="4"/>
      <c r="F56" s="4"/>
    </row>
    <row r="57" spans="3:6" x14ac:dyDescent="0.35">
      <c r="C57" s="5"/>
      <c r="D57" s="4"/>
      <c r="E57" s="4"/>
      <c r="F57" s="4"/>
    </row>
    <row r="58" spans="3:6" x14ac:dyDescent="0.35">
      <c r="C58" s="5"/>
      <c r="D58" s="4"/>
      <c r="E58" s="4"/>
      <c r="F58" s="4"/>
    </row>
    <row r="59" spans="3:6" x14ac:dyDescent="0.35">
      <c r="C59" s="5"/>
      <c r="D59" s="4"/>
      <c r="E59" s="4"/>
      <c r="F59" s="4"/>
    </row>
    <row r="60" spans="3:6" x14ac:dyDescent="0.35">
      <c r="C60" s="5"/>
      <c r="D60" s="4"/>
      <c r="E60" s="4"/>
      <c r="F60" s="4"/>
    </row>
    <row r="61" spans="3:6" x14ac:dyDescent="0.35">
      <c r="C61" s="5"/>
      <c r="D61" s="4"/>
      <c r="E61" s="4"/>
      <c r="F61" s="4"/>
    </row>
    <row r="62" spans="3:6" x14ac:dyDescent="0.35">
      <c r="C62" s="5"/>
      <c r="D62" s="4"/>
      <c r="E62" s="4"/>
      <c r="F62" s="4"/>
    </row>
    <row r="63" spans="3:6" x14ac:dyDescent="0.35">
      <c r="C63" s="5"/>
      <c r="D63" s="4"/>
      <c r="E63" s="4"/>
      <c r="F63" s="4"/>
    </row>
    <row r="64" spans="3:6" x14ac:dyDescent="0.35">
      <c r="C64" s="5"/>
      <c r="D64" s="4"/>
      <c r="E64" s="4"/>
      <c r="F64" s="4"/>
    </row>
    <row r="65" spans="2:6" x14ac:dyDescent="0.35">
      <c r="C65" s="5"/>
      <c r="D65" s="4"/>
      <c r="E65" s="4"/>
      <c r="F65" s="4"/>
    </row>
    <row r="66" spans="2:6" x14ac:dyDescent="0.35">
      <c r="C66" s="5"/>
      <c r="D66" s="4"/>
      <c r="E66" s="4"/>
      <c r="F66" s="4"/>
    </row>
    <row r="69" spans="2:6" ht="18.5" x14ac:dyDescent="0.35">
      <c r="C69" s="32" t="s">
        <v>81</v>
      </c>
    </row>
    <row r="70" spans="2:6" x14ac:dyDescent="0.35">
      <c r="B70" t="s">
        <v>82</v>
      </c>
      <c r="C70" s="30" t="s">
        <v>83</v>
      </c>
      <c r="D70" s="30" t="s">
        <v>84</v>
      </c>
      <c r="E70" s="30" t="s">
        <v>85</v>
      </c>
      <c r="F70" s="30" t="s">
        <v>86</v>
      </c>
    </row>
    <row r="71" spans="2:6" ht="29" x14ac:dyDescent="0.35">
      <c r="B71" s="19">
        <v>1</v>
      </c>
      <c r="C71" s="38">
        <v>1</v>
      </c>
      <c r="D71" s="1" t="s">
        <v>87</v>
      </c>
      <c r="E71" s="1" t="s">
        <v>27</v>
      </c>
      <c r="F71" s="1"/>
    </row>
    <row r="72" spans="2:6" x14ac:dyDescent="0.35">
      <c r="B72" s="19">
        <v>1</v>
      </c>
      <c r="C72" s="38">
        <v>2</v>
      </c>
      <c r="D72" s="1" t="s">
        <v>88</v>
      </c>
      <c r="E72" s="1" t="s">
        <v>27</v>
      </c>
      <c r="F72" s="1"/>
    </row>
    <row r="73" spans="2:6" x14ac:dyDescent="0.35">
      <c r="B73" s="19">
        <v>1</v>
      </c>
      <c r="C73" s="38">
        <v>3</v>
      </c>
      <c r="D73" s="1" t="s">
        <v>89</v>
      </c>
      <c r="E73" s="1" t="s">
        <v>27</v>
      </c>
      <c r="F73" s="1"/>
    </row>
    <row r="74" spans="2:6" x14ac:dyDescent="0.35">
      <c r="B74" s="19">
        <v>1</v>
      </c>
      <c r="C74" s="38">
        <v>4</v>
      </c>
      <c r="D74" s="1" t="s">
        <v>90</v>
      </c>
      <c r="E74" s="1" t="s">
        <v>28</v>
      </c>
      <c r="F74" s="1"/>
    </row>
    <row r="75" spans="2:6" x14ac:dyDescent="0.35">
      <c r="B75" s="19">
        <v>1</v>
      </c>
      <c r="C75" s="38">
        <v>5</v>
      </c>
      <c r="D75" s="1" t="s">
        <v>91</v>
      </c>
      <c r="E75" s="1" t="s">
        <v>29</v>
      </c>
      <c r="F75" s="1"/>
    </row>
    <row r="76" spans="2:6" x14ac:dyDescent="0.35">
      <c r="B76" s="19">
        <v>1</v>
      </c>
      <c r="C76" s="38">
        <v>6</v>
      </c>
      <c r="D76" s="1" t="s">
        <v>92</v>
      </c>
      <c r="E76" s="1" t="s">
        <v>29</v>
      </c>
      <c r="F76" s="1"/>
    </row>
    <row r="77" spans="2:6" x14ac:dyDescent="0.35">
      <c r="B77" s="19">
        <v>1</v>
      </c>
      <c r="C77" s="38">
        <v>7</v>
      </c>
      <c r="D77" s="1" t="s">
        <v>93</v>
      </c>
      <c r="E77" s="1"/>
      <c r="F77" s="1"/>
    </row>
    <row r="78" spans="2:6" ht="29" x14ac:dyDescent="0.35">
      <c r="B78" s="19">
        <v>1</v>
      </c>
      <c r="C78" s="38">
        <v>8</v>
      </c>
      <c r="D78" s="1" t="s">
        <v>94</v>
      </c>
      <c r="E78" s="1" t="s">
        <v>27</v>
      </c>
      <c r="F78" s="1"/>
    </row>
    <row r="79" spans="2:6" x14ac:dyDescent="0.35">
      <c r="B79" s="19">
        <v>1</v>
      </c>
      <c r="C79" s="38">
        <v>9</v>
      </c>
      <c r="D79" s="1" t="s">
        <v>95</v>
      </c>
      <c r="E79" s="1" t="s">
        <v>28</v>
      </c>
      <c r="F79" s="1" t="s">
        <v>29</v>
      </c>
    </row>
    <row r="80" spans="2:6" x14ac:dyDescent="0.35">
      <c r="B80" s="19">
        <v>1</v>
      </c>
      <c r="C80" s="38">
        <v>10</v>
      </c>
      <c r="D80" s="1" t="s">
        <v>96</v>
      </c>
      <c r="E80" s="1" t="s">
        <v>28</v>
      </c>
      <c r="F80" s="1"/>
    </row>
    <row r="81" spans="2:6" x14ac:dyDescent="0.35">
      <c r="B81" s="19">
        <v>1</v>
      </c>
      <c r="C81" s="38">
        <v>11</v>
      </c>
      <c r="D81" s="1" t="s">
        <v>97</v>
      </c>
      <c r="E81" s="1" t="s">
        <v>27</v>
      </c>
      <c r="F81" s="1"/>
    </row>
    <row r="82" spans="2:6" x14ac:dyDescent="0.35">
      <c r="B82" s="19">
        <v>1</v>
      </c>
      <c r="C82" s="38">
        <v>12</v>
      </c>
      <c r="D82" s="1" t="s">
        <v>98</v>
      </c>
      <c r="E82" s="1"/>
      <c r="F82" s="1"/>
    </row>
    <row r="83" spans="2:6" x14ac:dyDescent="0.35">
      <c r="B83" s="19">
        <v>2</v>
      </c>
      <c r="C83" s="38">
        <v>1</v>
      </c>
      <c r="D83" s="1"/>
      <c r="E83" s="1"/>
      <c r="F83" s="1"/>
    </row>
    <row r="84" spans="2:6" x14ac:dyDescent="0.35">
      <c r="B84" s="19">
        <v>2</v>
      </c>
      <c r="C84" s="38">
        <v>2</v>
      </c>
      <c r="D84" s="1"/>
      <c r="E84" s="1"/>
      <c r="F84" s="1"/>
    </row>
    <row r="85" spans="2:6" x14ac:dyDescent="0.35">
      <c r="B85" s="19">
        <v>2</v>
      </c>
      <c r="C85" s="38">
        <v>3</v>
      </c>
      <c r="D85" s="1"/>
      <c r="E85" s="1"/>
      <c r="F85" s="1"/>
    </row>
    <row r="86" spans="2:6" x14ac:dyDescent="0.35">
      <c r="B86" s="19">
        <v>2</v>
      </c>
      <c r="C86" s="38">
        <v>4</v>
      </c>
      <c r="D86" s="1"/>
      <c r="E86" s="1"/>
      <c r="F86" s="1"/>
    </row>
    <row r="87" spans="2:6" x14ac:dyDescent="0.35">
      <c r="B87" s="19">
        <v>2</v>
      </c>
      <c r="C87" s="38">
        <v>5</v>
      </c>
      <c r="D87" s="1"/>
      <c r="E87" s="1"/>
      <c r="F87" s="1"/>
    </row>
    <row r="88" spans="2:6" x14ac:dyDescent="0.35">
      <c r="B88" s="19">
        <v>2</v>
      </c>
      <c r="C88" s="38">
        <v>6</v>
      </c>
      <c r="D88" s="1"/>
      <c r="E88" s="1"/>
      <c r="F88" s="1"/>
    </row>
    <row r="89" spans="2:6" x14ac:dyDescent="0.35">
      <c r="B89" s="19">
        <v>2</v>
      </c>
      <c r="C89" s="38">
        <v>7</v>
      </c>
      <c r="D89" s="1"/>
      <c r="E89" s="1"/>
      <c r="F89" s="1"/>
    </row>
    <row r="90" spans="2:6" x14ac:dyDescent="0.35">
      <c r="B90" s="19">
        <v>2</v>
      </c>
      <c r="C90" s="38">
        <v>8</v>
      </c>
      <c r="D90" s="1"/>
      <c r="E90" s="1"/>
      <c r="F90" s="1"/>
    </row>
    <row r="91" spans="2:6" x14ac:dyDescent="0.35">
      <c r="B91" s="19">
        <v>2</v>
      </c>
      <c r="C91" s="38">
        <v>9</v>
      </c>
      <c r="D91" s="1"/>
      <c r="E91" s="1"/>
      <c r="F91" s="1"/>
    </row>
    <row r="92" spans="2:6" x14ac:dyDescent="0.35">
      <c r="B92" s="19">
        <v>2</v>
      </c>
      <c r="C92" s="38">
        <v>10</v>
      </c>
      <c r="D92" s="1"/>
      <c r="E92" s="1"/>
      <c r="F92" s="1"/>
    </row>
    <row r="93" spans="2:6" x14ac:dyDescent="0.35">
      <c r="B93" s="19">
        <v>2</v>
      </c>
      <c r="C93" s="38">
        <v>11</v>
      </c>
      <c r="D93" s="1"/>
      <c r="E93" s="1"/>
      <c r="F93" s="1"/>
    </row>
    <row r="94" spans="2:6" x14ac:dyDescent="0.35">
      <c r="B94" s="19">
        <v>2</v>
      </c>
      <c r="C94" s="38">
        <v>12</v>
      </c>
      <c r="D94" s="1"/>
      <c r="E94" s="1"/>
      <c r="F94"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06524273-2360-4C43-9154-4A480587EC5E}">
      <formula1>0</formula1>
      <formula2>80</formula2>
    </dataValidation>
    <dataValidation type="whole" showInputMessage="1" showErrorMessage="1" error="This is not a realistic number of contact hours please change" sqref="D19" xr:uid="{7B949394-BE34-4CC9-A9D6-7A75315A2DBB}">
      <formula1>0</formula1>
      <formula2>80</formula2>
    </dataValidation>
    <dataValidation type="list" allowBlank="1" showInputMessage="1" showErrorMessage="1" sqref="E38:E41" xr:uid="{B9D0113D-C789-41AE-B9C8-690F6C7A67B0}">
      <formula1>INDIRECT("LISTAssess[Assessment Specific]")</formula1>
    </dataValidation>
    <dataValidation type="list" allowBlank="1" showInputMessage="1" showErrorMessage="1" sqref="F46:F66" xr:uid="{3D662EF6-94E1-4350-B3D5-9F339CA0FD80}">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D03A4CC7-9A30-452E-97E5-E03FCC9419A4}">
          <x14:formula1>
            <xm:f>LISTS!$C$26:$C$37</xm:f>
          </x14:formula1>
          <xm:sqref>D14</xm:sqref>
        </x14:dataValidation>
        <x14:dataValidation type="list" allowBlank="1" showInputMessage="1" showErrorMessage="1" xr:uid="{B7DB85EB-DFB5-437F-BA0C-32D4D2070C4D}">
          <x14:formula1>
            <xm:f>LISTS!$C$17:$C$22</xm:f>
          </x14:formula1>
          <xm:sqref>D13</xm:sqref>
        </x14:dataValidation>
        <x14:dataValidation type="list" allowBlank="1" showInputMessage="1" showErrorMessage="1" xr:uid="{82DFBB4E-D28E-4403-815A-4704BBB7702D}">
          <x14:formula1>
            <xm:f>LISTS!$C$7:$C$9</xm:f>
          </x14:formula1>
          <xm:sqref>D10</xm:sqref>
        </x14:dataValidation>
        <x14:dataValidation type="list" allowBlank="1" showInputMessage="1" showErrorMessage="1" xr:uid="{D8278727-60ED-4240-AED9-43FB98158BAE}">
          <x14:formula1>
            <xm:f>LISTS!$C$11:$C$15</xm:f>
          </x14:formula1>
          <xm:sqref>D11</xm:sqref>
        </x14:dataValidation>
        <x14:dataValidation type="list" allowBlank="1" showInputMessage="1" showErrorMessage="1" xr:uid="{7F080A95-6299-4905-8FCE-548941111CEB}">
          <x14:formula1>
            <xm:f>LISTS!$G$7:$G$11</xm:f>
          </x14:formula1>
          <xm:sqref>D38:D42</xm:sqref>
        </x14:dataValidation>
        <x14:dataValidation type="list" allowBlank="1" showInputMessage="1" showErrorMessage="1" xr:uid="{DD24076C-D431-4B83-8FB6-3800945C7C90}">
          <x14:formula1>
            <xm:f>LISTS!$E$7:$E$11</xm:f>
          </x14:formula1>
          <xm:sqref>D46:D66</xm:sqref>
        </x14:dataValidation>
        <x14:dataValidation type="list" allowBlank="1" showInputMessage="1" showErrorMessage="1" xr:uid="{C1ACB768-367A-4765-AEE3-B6D50718CC09}">
          <x14:formula1>
            <xm:f>LISTS!$J$7:$J$16</xm:f>
          </x14:formula1>
          <xm:sqref>E46:E66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45A9-AC63-4333-865C-D4B13C7A4426}">
  <sheetPr codeName="Sheet2"/>
  <dimension ref="B2:H94"/>
  <sheetViews>
    <sheetView showGridLines="0" topLeftCell="A88" zoomScale="85" zoomScaleNormal="85" workbookViewId="0">
      <selection activeCell="F25" sqref="F25"/>
    </sheetView>
  </sheetViews>
  <sheetFormatPr defaultColWidth="8.81640625" defaultRowHeight="14.5" x14ac:dyDescent="0.35"/>
  <cols>
    <col min="3" max="3" width="33.453125" customWidth="1"/>
    <col min="4" max="4" width="51.453125" customWidth="1"/>
    <col min="5" max="5" width="67.453125" customWidth="1"/>
    <col min="6" max="6" width="63.1796875" customWidth="1"/>
    <col min="7" max="7" width="12.453125" customWidth="1"/>
    <col min="8" max="8" width="15.453125" customWidth="1"/>
    <col min="9" max="9" width="14.54296875" customWidth="1"/>
  </cols>
  <sheetData>
    <row r="2" spans="2:6" ht="26" x14ac:dyDescent="0.6">
      <c r="C2" s="29" t="str">
        <f>D7</f>
        <v>4303SPS</v>
      </c>
      <c r="D2" s="29" t="str">
        <f>D8</f>
        <v>Talent Identification, Development and Selection in Football</v>
      </c>
    </row>
    <row r="3" spans="2:6" x14ac:dyDescent="0.35">
      <c r="B3" s="30"/>
      <c r="C3" s="30"/>
    </row>
    <row r="4" spans="2:6" x14ac:dyDescent="0.35">
      <c r="B4" s="31"/>
      <c r="C4" s="31"/>
    </row>
    <row r="5" spans="2:6" ht="18.5" x14ac:dyDescent="0.35">
      <c r="B5" s="31"/>
      <c r="C5" s="32" t="s">
        <v>0</v>
      </c>
    </row>
    <row r="6" spans="2:6" x14ac:dyDescent="0.35">
      <c r="B6" s="31"/>
      <c r="C6" s="33" t="s">
        <v>1</v>
      </c>
      <c r="D6" s="34" t="s">
        <v>2</v>
      </c>
      <c r="E6" s="34"/>
      <c r="F6" t="s">
        <v>3</v>
      </c>
    </row>
    <row r="7" spans="2:6" ht="58" x14ac:dyDescent="0.35">
      <c r="B7" s="31"/>
      <c r="C7" s="21" t="s">
        <v>4</v>
      </c>
      <c r="D7" s="1" t="s">
        <v>99</v>
      </c>
      <c r="E7" s="34"/>
      <c r="F7" s="9" t="s">
        <v>100</v>
      </c>
    </row>
    <row r="8" spans="2:6" ht="58" x14ac:dyDescent="0.35">
      <c r="B8" s="31"/>
      <c r="C8" s="21" t="s">
        <v>7</v>
      </c>
      <c r="D8" s="1" t="s">
        <v>101</v>
      </c>
      <c r="E8" s="34"/>
      <c r="F8" s="9" t="s">
        <v>102</v>
      </c>
    </row>
    <row r="9" spans="2:6" x14ac:dyDescent="0.35">
      <c r="C9" s="21" t="s">
        <v>9</v>
      </c>
      <c r="D9" s="1">
        <v>20</v>
      </c>
      <c r="E9" s="34"/>
    </row>
    <row r="10" spans="2:6" x14ac:dyDescent="0.35">
      <c r="C10" s="21" t="s">
        <v>10</v>
      </c>
      <c r="D10" s="1">
        <v>2</v>
      </c>
      <c r="E10" s="34"/>
      <c r="F10" t="s">
        <v>11</v>
      </c>
    </row>
    <row r="11" spans="2:6" x14ac:dyDescent="0.35">
      <c r="C11" s="21" t="s">
        <v>12</v>
      </c>
      <c r="D11" s="1">
        <v>4</v>
      </c>
      <c r="E11" s="34"/>
      <c r="F11" s="4" t="s">
        <v>103</v>
      </c>
    </row>
    <row r="12" spans="2:6" x14ac:dyDescent="0.35">
      <c r="C12" s="21" t="s">
        <v>14</v>
      </c>
      <c r="D12" s="1" t="s">
        <v>104</v>
      </c>
      <c r="E12" s="34"/>
      <c r="F12" s="4" t="s">
        <v>105</v>
      </c>
    </row>
    <row r="13" spans="2:6" ht="43.5" x14ac:dyDescent="0.35">
      <c r="C13" s="21" t="s">
        <v>17</v>
      </c>
      <c r="D13" s="1" t="s">
        <v>18</v>
      </c>
      <c r="E13" s="34"/>
      <c r="F13" s="9" t="s">
        <v>106</v>
      </c>
    </row>
    <row r="14" spans="2:6" x14ac:dyDescent="0.35">
      <c r="C14" s="21" t="s">
        <v>20</v>
      </c>
      <c r="D14" s="1" t="s">
        <v>21</v>
      </c>
      <c r="E14" s="34"/>
    </row>
    <row r="15" spans="2:6" x14ac:dyDescent="0.35">
      <c r="C15" s="33"/>
      <c r="D15" s="34"/>
      <c r="E15" s="34"/>
      <c r="F15" t="s">
        <v>22</v>
      </c>
    </row>
    <row r="16" spans="2:6" ht="203" x14ac:dyDescent="0.35">
      <c r="C16" s="33"/>
      <c r="D16" s="34"/>
      <c r="E16" s="34"/>
      <c r="F16" s="18" t="s">
        <v>107</v>
      </c>
    </row>
    <row r="17" spans="3:6" ht="18.5" x14ac:dyDescent="0.35">
      <c r="C17" s="32" t="s">
        <v>24</v>
      </c>
      <c r="D17" s="34"/>
      <c r="E17" s="34"/>
      <c r="F17" s="18"/>
    </row>
    <row r="18" spans="3:6" x14ac:dyDescent="0.35">
      <c r="C18" s="33" t="s">
        <v>25</v>
      </c>
      <c r="D18" s="30" t="s">
        <v>24</v>
      </c>
      <c r="E18" s="34"/>
      <c r="F18" s="18"/>
    </row>
    <row r="19" spans="3:6" x14ac:dyDescent="0.35">
      <c r="C19" s="21" t="s">
        <v>26</v>
      </c>
      <c r="D19" s="2">
        <v>22</v>
      </c>
      <c r="E19" s="34"/>
      <c r="F19" s="4"/>
    </row>
    <row r="20" spans="3:6" x14ac:dyDescent="0.35">
      <c r="C20" s="21" t="s">
        <v>27</v>
      </c>
      <c r="D20" s="2">
        <v>14</v>
      </c>
      <c r="E20" s="34"/>
      <c r="F20" s="4"/>
    </row>
    <row r="21" spans="3:6" x14ac:dyDescent="0.35">
      <c r="C21" s="21" t="s">
        <v>28</v>
      </c>
      <c r="D21" s="2">
        <v>4</v>
      </c>
      <c r="E21" s="34"/>
    </row>
    <row r="22" spans="3:6" x14ac:dyDescent="0.35">
      <c r="C22" s="21" t="s">
        <v>29</v>
      </c>
      <c r="D22" s="2">
        <v>8</v>
      </c>
      <c r="E22" s="34"/>
      <c r="F22" t="s">
        <v>30</v>
      </c>
    </row>
    <row r="23" spans="3:6" x14ac:dyDescent="0.35">
      <c r="C23" s="21" t="s">
        <v>31</v>
      </c>
      <c r="D23" s="2">
        <v>0</v>
      </c>
      <c r="E23" s="34"/>
      <c r="F23" s="4" t="s">
        <v>108</v>
      </c>
    </row>
    <row r="24" spans="3:6" ht="72.5" x14ac:dyDescent="0.35">
      <c r="C24" s="21" t="s">
        <v>33</v>
      </c>
      <c r="D24" s="30">
        <f>SUM(D19:D23)</f>
        <v>48</v>
      </c>
      <c r="E24" s="34"/>
      <c r="F24" s="9" t="s">
        <v>109</v>
      </c>
    </row>
    <row r="25" spans="3:6" x14ac:dyDescent="0.35">
      <c r="F25" s="4"/>
    </row>
    <row r="26" spans="3:6" x14ac:dyDescent="0.35">
      <c r="F26" s="4"/>
    </row>
    <row r="27" spans="3:6" ht="18.5" x14ac:dyDescent="0.4">
      <c r="C27" s="32" t="s">
        <v>35</v>
      </c>
      <c r="D27" s="35" t="s">
        <v>36</v>
      </c>
      <c r="F27" s="4"/>
    </row>
    <row r="28" spans="3:6" x14ac:dyDescent="0.35">
      <c r="C28" s="33" t="s">
        <v>37</v>
      </c>
      <c r="D28" s="33" t="s">
        <v>38</v>
      </c>
      <c r="E28" s="33"/>
      <c r="F28" s="4"/>
    </row>
    <row r="29" spans="3:6" ht="29" x14ac:dyDescent="0.35">
      <c r="C29" s="21" t="s">
        <v>39</v>
      </c>
      <c r="D29" s="9" t="s">
        <v>110</v>
      </c>
      <c r="E29" s="34"/>
      <c r="F29" s="4"/>
    </row>
    <row r="30" spans="3:6" ht="43.5" x14ac:dyDescent="0.35">
      <c r="C30" s="21" t="s">
        <v>41</v>
      </c>
      <c r="D30" s="9" t="s">
        <v>111</v>
      </c>
      <c r="E30" s="34"/>
      <c r="F30" s="4"/>
    </row>
    <row r="31" spans="3:6" ht="58" x14ac:dyDescent="0.35">
      <c r="C31" s="21" t="s">
        <v>43</v>
      </c>
      <c r="D31" s="9" t="s">
        <v>112</v>
      </c>
      <c r="E31" s="34"/>
      <c r="F31" s="4"/>
    </row>
    <row r="32" spans="3:6" ht="43.5" x14ac:dyDescent="0.35">
      <c r="C32" s="21" t="s">
        <v>44</v>
      </c>
      <c r="D32" s="9" t="s">
        <v>113</v>
      </c>
      <c r="E32" s="34"/>
      <c r="F32" s="4"/>
    </row>
    <row r="33" spans="3:8" x14ac:dyDescent="0.35">
      <c r="C33" s="21" t="s">
        <v>45</v>
      </c>
      <c r="D33" s="1"/>
      <c r="E33" s="34"/>
      <c r="F33" s="4"/>
    </row>
    <row r="36" spans="3:8" ht="18.5" x14ac:dyDescent="0.35">
      <c r="C36" s="32" t="s">
        <v>46</v>
      </c>
    </row>
    <row r="37" spans="3:8" x14ac:dyDescent="0.35">
      <c r="C37" s="33" t="s">
        <v>47</v>
      </c>
      <c r="D37" s="33" t="s">
        <v>48</v>
      </c>
      <c r="E37" s="33" t="s">
        <v>49</v>
      </c>
      <c r="F37" s="33" t="s">
        <v>50</v>
      </c>
      <c r="G37" s="33" t="s">
        <v>51</v>
      </c>
      <c r="H37" s="33" t="s">
        <v>52</v>
      </c>
    </row>
    <row r="38" spans="3:8" ht="404.25" customHeight="1" x14ac:dyDescent="0.35">
      <c r="C38" s="21" t="s">
        <v>53</v>
      </c>
      <c r="D38" s="1" t="s">
        <v>54</v>
      </c>
      <c r="E38" s="1" t="s">
        <v>114</v>
      </c>
      <c r="F38" s="1" t="s">
        <v>115</v>
      </c>
      <c r="G38" s="3">
        <v>0.4</v>
      </c>
      <c r="H38" s="1">
        <v>7</v>
      </c>
    </row>
    <row r="39" spans="3:8" ht="350.25" customHeight="1" x14ac:dyDescent="0.35">
      <c r="C39" s="21" t="s">
        <v>57</v>
      </c>
      <c r="D39" s="1" t="s">
        <v>116</v>
      </c>
      <c r="E39" s="1" t="s">
        <v>117</v>
      </c>
      <c r="F39" s="1" t="s">
        <v>118</v>
      </c>
      <c r="G39" s="3">
        <v>0.6</v>
      </c>
      <c r="H39" s="1">
        <v>12</v>
      </c>
    </row>
    <row r="40" spans="3:8" x14ac:dyDescent="0.35">
      <c r="C40" s="21" t="s">
        <v>62</v>
      </c>
      <c r="D40" s="4"/>
      <c r="E40" s="4"/>
      <c r="F40" s="4"/>
      <c r="G40" s="4"/>
      <c r="H40" s="4"/>
    </row>
    <row r="41" spans="3:8" x14ac:dyDescent="0.35">
      <c r="C41" s="21" t="s">
        <v>63</v>
      </c>
      <c r="D41" s="4"/>
      <c r="E41" s="4"/>
      <c r="F41" s="4"/>
      <c r="G41" s="4"/>
      <c r="H41" s="4"/>
    </row>
    <row r="42" spans="3:8" x14ac:dyDescent="0.35">
      <c r="C42" s="33"/>
    </row>
    <row r="44" spans="3:8" ht="18.5" x14ac:dyDescent="0.4">
      <c r="C44" s="32" t="s">
        <v>64</v>
      </c>
      <c r="D44" s="35"/>
    </row>
    <row r="45" spans="3:8" x14ac:dyDescent="0.35">
      <c r="C45" s="30" t="s">
        <v>47</v>
      </c>
      <c r="D45" s="30" t="s">
        <v>37</v>
      </c>
      <c r="E45" s="30" t="s">
        <v>65</v>
      </c>
      <c r="F45" s="30" t="s">
        <v>66</v>
      </c>
    </row>
    <row r="46" spans="3:8" x14ac:dyDescent="0.35">
      <c r="C46" s="80" t="s">
        <v>53</v>
      </c>
      <c r="D46" s="20" t="s">
        <v>39</v>
      </c>
      <c r="E46" s="20" t="s">
        <v>119</v>
      </c>
      <c r="F46" s="20" t="s">
        <v>120</v>
      </c>
    </row>
    <row r="47" spans="3:8" x14ac:dyDescent="0.35">
      <c r="C47" s="80" t="s">
        <v>53</v>
      </c>
      <c r="D47" s="20" t="s">
        <v>41</v>
      </c>
      <c r="E47" s="20" t="s">
        <v>119</v>
      </c>
      <c r="F47" s="20" t="s">
        <v>121</v>
      </c>
    </row>
    <row r="48" spans="3:8" x14ac:dyDescent="0.35">
      <c r="C48" s="80" t="s">
        <v>53</v>
      </c>
      <c r="D48" s="20" t="s">
        <v>41</v>
      </c>
      <c r="E48" s="20" t="s">
        <v>67</v>
      </c>
      <c r="F48" s="20" t="s">
        <v>68</v>
      </c>
    </row>
    <row r="49" spans="3:6" x14ac:dyDescent="0.35">
      <c r="C49" s="80" t="s">
        <v>53</v>
      </c>
      <c r="D49" s="20" t="s">
        <v>43</v>
      </c>
      <c r="E49" s="20" t="s">
        <v>119</v>
      </c>
      <c r="F49" s="20" t="s">
        <v>122</v>
      </c>
    </row>
    <row r="50" spans="3:6" x14ac:dyDescent="0.35">
      <c r="C50" s="80" t="s">
        <v>53</v>
      </c>
      <c r="D50" s="20" t="s">
        <v>43</v>
      </c>
      <c r="E50" s="20" t="s">
        <v>76</v>
      </c>
      <c r="F50" s="20" t="s">
        <v>123</v>
      </c>
    </row>
    <row r="51" spans="3:6" x14ac:dyDescent="0.35">
      <c r="C51" s="80" t="s">
        <v>53</v>
      </c>
      <c r="D51" s="20" t="s">
        <v>44</v>
      </c>
      <c r="E51" s="20" t="s">
        <v>124</v>
      </c>
      <c r="F51" s="20" t="s">
        <v>125</v>
      </c>
    </row>
    <row r="52" spans="3:6" x14ac:dyDescent="0.35">
      <c r="C52" s="80" t="s">
        <v>53</v>
      </c>
      <c r="D52" s="20" t="s">
        <v>44</v>
      </c>
      <c r="E52" s="20" t="s">
        <v>126</v>
      </c>
      <c r="F52" s="20" t="s">
        <v>127</v>
      </c>
    </row>
    <row r="53" spans="3:6" x14ac:dyDescent="0.35">
      <c r="C53" s="80" t="s">
        <v>53</v>
      </c>
      <c r="D53" s="20" t="s">
        <v>44</v>
      </c>
      <c r="E53" s="20" t="s">
        <v>79</v>
      </c>
      <c r="F53" s="20" t="s">
        <v>80</v>
      </c>
    </row>
    <row r="54" spans="3:6" x14ac:dyDescent="0.35">
      <c r="C54" s="80" t="s">
        <v>57</v>
      </c>
      <c r="D54" s="20" t="s">
        <v>39</v>
      </c>
      <c r="E54" s="20" t="s">
        <v>126</v>
      </c>
      <c r="F54" s="20" t="s">
        <v>128</v>
      </c>
    </row>
    <row r="55" spans="3:6" x14ac:dyDescent="0.35">
      <c r="C55" s="80" t="s">
        <v>57</v>
      </c>
      <c r="D55" s="20" t="s">
        <v>41</v>
      </c>
      <c r="E55" s="20" t="s">
        <v>119</v>
      </c>
      <c r="F55" s="20" t="s">
        <v>129</v>
      </c>
    </row>
    <row r="56" spans="3:6" x14ac:dyDescent="0.35">
      <c r="C56" s="80" t="s">
        <v>57</v>
      </c>
      <c r="D56" s="20" t="s">
        <v>41</v>
      </c>
      <c r="E56" s="20" t="s">
        <v>67</v>
      </c>
      <c r="F56" s="20" t="s">
        <v>130</v>
      </c>
    </row>
    <row r="57" spans="3:6" x14ac:dyDescent="0.35">
      <c r="C57" s="80" t="s">
        <v>57</v>
      </c>
      <c r="D57" s="20" t="s">
        <v>43</v>
      </c>
      <c r="E57" s="20" t="s">
        <v>71</v>
      </c>
      <c r="F57" s="20" t="s">
        <v>131</v>
      </c>
    </row>
    <row r="58" spans="3:6" x14ac:dyDescent="0.35">
      <c r="C58" s="80" t="s">
        <v>57</v>
      </c>
      <c r="D58" s="20" t="s">
        <v>43</v>
      </c>
      <c r="E58" s="20" t="s">
        <v>71</v>
      </c>
      <c r="F58" s="20" t="s">
        <v>132</v>
      </c>
    </row>
    <row r="59" spans="3:6" x14ac:dyDescent="0.35">
      <c r="C59" s="80" t="s">
        <v>57</v>
      </c>
      <c r="D59" s="20" t="s">
        <v>43</v>
      </c>
      <c r="E59" s="20" t="s">
        <v>79</v>
      </c>
      <c r="F59" s="20" t="s">
        <v>133</v>
      </c>
    </row>
    <row r="60" spans="3:6" x14ac:dyDescent="0.35">
      <c r="C60" s="80" t="s">
        <v>57</v>
      </c>
      <c r="D60" s="20" t="s">
        <v>44</v>
      </c>
      <c r="E60" s="20" t="s">
        <v>134</v>
      </c>
      <c r="F60" s="20" t="s">
        <v>135</v>
      </c>
    </row>
    <row r="61" spans="3:6" x14ac:dyDescent="0.35">
      <c r="C61" s="80" t="s">
        <v>57</v>
      </c>
      <c r="D61" s="20" t="s">
        <v>44</v>
      </c>
      <c r="E61" s="20" t="s">
        <v>76</v>
      </c>
      <c r="F61" s="20" t="s">
        <v>136</v>
      </c>
    </row>
    <row r="62" spans="3:6" x14ac:dyDescent="0.35">
      <c r="C62" s="5"/>
      <c r="D62" s="4"/>
      <c r="E62" s="4"/>
      <c r="F62" s="4"/>
    </row>
    <row r="63" spans="3:6" x14ac:dyDescent="0.35">
      <c r="C63" s="5"/>
      <c r="D63" s="4"/>
      <c r="E63" s="4"/>
      <c r="F63" s="4"/>
    </row>
    <row r="64" spans="3:6" x14ac:dyDescent="0.35">
      <c r="C64" s="5"/>
      <c r="D64" s="4"/>
      <c r="E64" s="4"/>
      <c r="F64" s="4"/>
    </row>
    <row r="65" spans="2:6" x14ac:dyDescent="0.35">
      <c r="C65" s="5"/>
      <c r="D65" s="4"/>
      <c r="E65" s="4"/>
      <c r="F65" s="4"/>
    </row>
    <row r="66" spans="2:6" x14ac:dyDescent="0.35">
      <c r="C66" s="5"/>
      <c r="D66" s="4"/>
      <c r="E66" s="4"/>
      <c r="F66" s="4"/>
    </row>
    <row r="69" spans="2:6" ht="18.5" x14ac:dyDescent="0.35">
      <c r="C69" s="32" t="s">
        <v>81</v>
      </c>
    </row>
    <row r="70" spans="2:6" x14ac:dyDescent="0.35">
      <c r="B70" t="s">
        <v>82</v>
      </c>
      <c r="C70" s="30" t="s">
        <v>83</v>
      </c>
      <c r="D70" s="30" t="s">
        <v>84</v>
      </c>
      <c r="E70" s="30" t="s">
        <v>85</v>
      </c>
      <c r="F70" s="30" t="s">
        <v>86</v>
      </c>
    </row>
    <row r="71" spans="2:6" x14ac:dyDescent="0.35">
      <c r="B71" s="19">
        <v>1</v>
      </c>
      <c r="C71" s="38">
        <v>1</v>
      </c>
      <c r="D71" s="1"/>
      <c r="E71" s="1"/>
      <c r="F71" s="1"/>
    </row>
    <row r="72" spans="2:6" x14ac:dyDescent="0.35">
      <c r="B72" s="19">
        <v>1</v>
      </c>
      <c r="C72" s="38">
        <v>2</v>
      </c>
      <c r="D72" s="1"/>
      <c r="E72" s="1"/>
      <c r="F72" s="1"/>
    </row>
    <row r="73" spans="2:6" x14ac:dyDescent="0.35">
      <c r="B73" s="19">
        <v>1</v>
      </c>
      <c r="C73" s="38">
        <v>3</v>
      </c>
      <c r="D73" s="1"/>
      <c r="E73" s="1"/>
      <c r="F73" s="1"/>
    </row>
    <row r="74" spans="2:6" x14ac:dyDescent="0.35">
      <c r="B74" s="19">
        <v>1</v>
      </c>
      <c r="C74" s="38">
        <v>4</v>
      </c>
      <c r="D74" s="1"/>
      <c r="E74" s="1"/>
      <c r="F74" s="1"/>
    </row>
    <row r="75" spans="2:6" x14ac:dyDescent="0.35">
      <c r="B75" s="19">
        <v>1</v>
      </c>
      <c r="C75" s="38">
        <v>5</v>
      </c>
      <c r="D75" s="1"/>
      <c r="E75" s="1"/>
      <c r="F75" s="1"/>
    </row>
    <row r="76" spans="2:6" x14ac:dyDescent="0.35">
      <c r="B76" s="19">
        <v>1</v>
      </c>
      <c r="C76" s="38">
        <v>6</v>
      </c>
      <c r="D76" s="1"/>
      <c r="E76" s="1"/>
      <c r="F76" s="1"/>
    </row>
    <row r="77" spans="2:6" x14ac:dyDescent="0.35">
      <c r="B77" s="19">
        <v>1</v>
      </c>
      <c r="C77" s="38">
        <v>7</v>
      </c>
      <c r="D77" s="1"/>
      <c r="E77" s="1"/>
      <c r="F77" s="1"/>
    </row>
    <row r="78" spans="2:6" x14ac:dyDescent="0.35">
      <c r="B78" s="19">
        <v>1</v>
      </c>
      <c r="C78" s="38">
        <v>8</v>
      </c>
      <c r="D78" s="1"/>
      <c r="E78" s="1"/>
      <c r="F78" s="1"/>
    </row>
    <row r="79" spans="2:6" x14ac:dyDescent="0.35">
      <c r="B79" s="19">
        <v>1</v>
      </c>
      <c r="C79" s="38">
        <v>9</v>
      </c>
      <c r="D79" s="1"/>
      <c r="E79" s="1"/>
      <c r="F79" s="1"/>
    </row>
    <row r="80" spans="2:6" x14ac:dyDescent="0.35">
      <c r="B80" s="19">
        <v>1</v>
      </c>
      <c r="C80" s="38">
        <v>10</v>
      </c>
      <c r="D80" s="1"/>
      <c r="E80" s="1"/>
      <c r="F80" s="1"/>
    </row>
    <row r="81" spans="2:6" x14ac:dyDescent="0.35">
      <c r="B81" s="19">
        <v>1</v>
      </c>
      <c r="C81" s="38">
        <v>11</v>
      </c>
      <c r="D81" s="1"/>
      <c r="E81" s="1"/>
      <c r="F81" s="1"/>
    </row>
    <row r="82" spans="2:6" x14ac:dyDescent="0.35">
      <c r="B82" s="19">
        <v>1</v>
      </c>
      <c r="C82" s="38">
        <v>12</v>
      </c>
      <c r="D82" s="1"/>
      <c r="E82" s="1"/>
      <c r="F82" s="1"/>
    </row>
    <row r="83" spans="2:6" x14ac:dyDescent="0.35">
      <c r="B83" s="19">
        <v>2</v>
      </c>
      <c r="C83" s="38">
        <v>1</v>
      </c>
      <c r="D83" s="1" t="s">
        <v>137</v>
      </c>
      <c r="E83" s="1" t="s">
        <v>138</v>
      </c>
      <c r="F83" s="1"/>
    </row>
    <row r="84" spans="2:6" ht="29" x14ac:dyDescent="0.35">
      <c r="B84" s="19">
        <v>2</v>
      </c>
      <c r="C84" s="38">
        <v>2</v>
      </c>
      <c r="D84" s="1" t="s">
        <v>139</v>
      </c>
      <c r="E84" s="1" t="s">
        <v>140</v>
      </c>
      <c r="F84" s="1"/>
    </row>
    <row r="85" spans="2:6" ht="29" x14ac:dyDescent="0.35">
      <c r="B85" s="19">
        <v>2</v>
      </c>
      <c r="C85" s="38">
        <v>3</v>
      </c>
      <c r="D85" s="1" t="s">
        <v>141</v>
      </c>
      <c r="E85" s="1" t="s">
        <v>142</v>
      </c>
      <c r="F85" s="1"/>
    </row>
    <row r="86" spans="2:6" x14ac:dyDescent="0.35">
      <c r="B86" s="19">
        <v>2</v>
      </c>
      <c r="C86" s="38">
        <v>4</v>
      </c>
      <c r="D86" s="1" t="s">
        <v>143</v>
      </c>
      <c r="E86" s="1" t="s">
        <v>144</v>
      </c>
      <c r="F86" s="1"/>
    </row>
    <row r="87" spans="2:6" ht="29" x14ac:dyDescent="0.35">
      <c r="B87" s="19">
        <v>2</v>
      </c>
      <c r="C87" s="38">
        <v>5</v>
      </c>
      <c r="D87" s="1" t="s">
        <v>145</v>
      </c>
      <c r="E87" s="1" t="s">
        <v>146</v>
      </c>
      <c r="F87" s="1"/>
    </row>
    <row r="88" spans="2:6" ht="29" x14ac:dyDescent="0.35">
      <c r="B88" s="19">
        <v>2</v>
      </c>
      <c r="C88" s="38">
        <v>6</v>
      </c>
      <c r="D88" s="1" t="s">
        <v>147</v>
      </c>
      <c r="E88" s="1" t="s">
        <v>148</v>
      </c>
      <c r="F88" s="1"/>
    </row>
    <row r="89" spans="2:6" x14ac:dyDescent="0.35">
      <c r="B89" s="19">
        <v>2</v>
      </c>
      <c r="C89" s="38">
        <v>7</v>
      </c>
      <c r="D89" s="21" t="s">
        <v>149</v>
      </c>
      <c r="E89" s="21" t="s">
        <v>149</v>
      </c>
      <c r="F89" s="1"/>
    </row>
    <row r="90" spans="2:6" ht="29" x14ac:dyDescent="0.35">
      <c r="B90" s="19">
        <v>2</v>
      </c>
      <c r="C90" s="38">
        <v>8</v>
      </c>
      <c r="D90" s="1" t="s">
        <v>150</v>
      </c>
      <c r="E90" s="1" t="s">
        <v>151</v>
      </c>
      <c r="F90" s="1"/>
    </row>
    <row r="91" spans="2:6" x14ac:dyDescent="0.35">
      <c r="B91" s="19">
        <v>2</v>
      </c>
      <c r="C91" s="38">
        <v>9</v>
      </c>
      <c r="D91" s="1" t="s">
        <v>152</v>
      </c>
      <c r="E91" s="1" t="s">
        <v>153</v>
      </c>
      <c r="F91" s="1"/>
    </row>
    <row r="92" spans="2:6" x14ac:dyDescent="0.35">
      <c r="B92" s="19">
        <v>2</v>
      </c>
      <c r="C92" s="38">
        <v>10</v>
      </c>
      <c r="D92" s="1" t="s">
        <v>154</v>
      </c>
      <c r="E92" s="1" t="s">
        <v>155</v>
      </c>
      <c r="F92" s="1"/>
    </row>
    <row r="93" spans="2:6" x14ac:dyDescent="0.35">
      <c r="B93" s="19">
        <v>2</v>
      </c>
      <c r="C93" s="38">
        <v>11</v>
      </c>
      <c r="D93" s="1" t="s">
        <v>156</v>
      </c>
      <c r="E93" s="1" t="s">
        <v>157</v>
      </c>
      <c r="F93" s="1"/>
    </row>
    <row r="94" spans="2:6" ht="29" x14ac:dyDescent="0.35">
      <c r="B94" s="19">
        <v>2</v>
      </c>
      <c r="C94" s="38">
        <v>12</v>
      </c>
      <c r="D94" s="1" t="s">
        <v>158</v>
      </c>
      <c r="E94" s="1" t="s">
        <v>159</v>
      </c>
      <c r="F94" s="1"/>
    </row>
  </sheetData>
  <sheetProtection sheet="1" objects="1" scenarios="1" formatCells="0" formatColumns="0" formatRows="0" insertHyperlinks="0"/>
  <dataValidations count="3">
    <dataValidation type="list" allowBlank="1" showInputMessage="1" showErrorMessage="1" sqref="E38:E41" xr:uid="{0DB2D524-94AD-40F2-A499-A222D2B8D15F}">
      <formula1>INDIRECT("LISTAssess[Assessment Specific]")</formula1>
    </dataValidation>
    <dataValidation type="list" allowBlank="1" showInputMessage="1" showErrorMessage="1" sqref="F46:F66" xr:uid="{C50ABEDB-8163-4FC5-B679-6468E42D1DD9}">
      <formula1>INDIRECT(VLOOKUP($E46, SkillNameMap, 2, FALSE))</formula1>
    </dataValidation>
    <dataValidation type="whole" showInputMessage="1" showErrorMessage="1" error="This is not a realistic number of contact hours please reduce" sqref="D21:D23 D19" xr:uid="{EABA9475-595C-4986-ACB3-2B03E9611389}">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93AA01AF-B1EF-4507-B697-CCEBAB31CA7E}">
          <x14:formula1>
            <xm:f>LISTS!$C$26:$C$37</xm:f>
          </x14:formula1>
          <xm:sqref>D14</xm:sqref>
        </x14:dataValidation>
        <x14:dataValidation type="list" allowBlank="1" showInputMessage="1" showErrorMessage="1" xr:uid="{591B513E-05C3-435C-813F-26A60432C203}">
          <x14:formula1>
            <xm:f>LISTS!$C$17:$C$22</xm:f>
          </x14:formula1>
          <xm:sqref>D13</xm:sqref>
        </x14:dataValidation>
        <x14:dataValidation type="list" allowBlank="1" showInputMessage="1" showErrorMessage="1" xr:uid="{7CC409A8-6354-405F-8333-F463E1CAD86E}">
          <x14:formula1>
            <xm:f>LISTS!$C$7:$C$9</xm:f>
          </x14:formula1>
          <xm:sqref>D10</xm:sqref>
        </x14:dataValidation>
        <x14:dataValidation type="list" allowBlank="1" showInputMessage="1" showErrorMessage="1" xr:uid="{9306451D-6D0D-4680-87B3-1AD89B932998}">
          <x14:formula1>
            <xm:f>LISTS!$C$11:$C$15</xm:f>
          </x14:formula1>
          <xm:sqref>D11</xm:sqref>
        </x14:dataValidation>
        <x14:dataValidation type="list" allowBlank="1" showInputMessage="1" showErrorMessage="1" xr:uid="{B6C0BF8E-CA1A-44B7-8E19-D14A23F2ECD8}">
          <x14:formula1>
            <xm:f>LISTS!$G$7:$G$11</xm:f>
          </x14:formula1>
          <xm:sqref>D38:D42</xm:sqref>
        </x14:dataValidation>
        <x14:dataValidation type="list" allowBlank="1" showInputMessage="1" showErrorMessage="1" xr:uid="{D179A474-A86E-41E5-9898-8B49B0B60399}">
          <x14:formula1>
            <xm:f>LISTS!$E$7:$E$11</xm:f>
          </x14:formula1>
          <xm:sqref>D46:D66</xm:sqref>
        </x14:dataValidation>
        <x14:dataValidation type="list" allowBlank="1" showInputMessage="1" showErrorMessage="1" xr:uid="{C4F92686-9322-4C4E-8993-76138DE80E0B}">
          <x14:formula1>
            <xm:f>LISTS!$J$7:$J$16</xm:f>
          </x14:formula1>
          <xm:sqref>E46:E66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7B7A-D282-4FA8-AE69-A4F29B437E85}">
  <sheetPr codeName="Sheet3"/>
  <dimension ref="B2:H94"/>
  <sheetViews>
    <sheetView showGridLines="0" topLeftCell="E39" zoomScale="85" zoomScaleNormal="85" workbookViewId="0">
      <selection activeCell="B71" sqref="B71"/>
    </sheetView>
  </sheetViews>
  <sheetFormatPr defaultColWidth="8.81640625" defaultRowHeight="14.5" x14ac:dyDescent="0.35"/>
  <cols>
    <col min="3" max="3" width="33.453125" customWidth="1"/>
    <col min="4" max="4" width="51.453125" customWidth="1"/>
    <col min="5" max="5" width="67.453125" customWidth="1"/>
    <col min="6" max="6" width="63.1796875" customWidth="1"/>
    <col min="7" max="7" width="12.453125" customWidth="1"/>
    <col min="8" max="8" width="35.81640625" customWidth="1"/>
    <col min="9" max="9" width="14.54296875" customWidth="1"/>
  </cols>
  <sheetData>
    <row r="2" spans="2:6" ht="26" x14ac:dyDescent="0.6">
      <c r="C2" s="29" t="str">
        <f>D7</f>
        <v>5301SPS</v>
      </c>
      <c r="D2" s="29" t="str">
        <f>D8</f>
        <v>Professional Practice in Football Science 2</v>
      </c>
    </row>
    <row r="3" spans="2:6" x14ac:dyDescent="0.35">
      <c r="B3" s="30"/>
      <c r="C3" s="30"/>
    </row>
    <row r="4" spans="2:6" x14ac:dyDescent="0.35">
      <c r="B4" s="31"/>
      <c r="C4" s="31"/>
    </row>
    <row r="5" spans="2:6" ht="18.5" x14ac:dyDescent="0.35">
      <c r="B5" s="31"/>
      <c r="C5" s="32" t="s">
        <v>0</v>
      </c>
    </row>
    <row r="6" spans="2:6" x14ac:dyDescent="0.35">
      <c r="B6" s="31"/>
      <c r="C6" s="33" t="s">
        <v>1</v>
      </c>
      <c r="D6" s="34" t="s">
        <v>2</v>
      </c>
      <c r="E6" s="34"/>
      <c r="F6" t="s">
        <v>3</v>
      </c>
    </row>
    <row r="7" spans="2:6" ht="16" x14ac:dyDescent="0.4">
      <c r="B7" s="31"/>
      <c r="C7" s="21" t="s">
        <v>4</v>
      </c>
      <c r="D7" s="1" t="s">
        <v>160</v>
      </c>
      <c r="E7" s="34"/>
      <c r="F7" s="14" t="s">
        <v>161</v>
      </c>
    </row>
    <row r="8" spans="2:6" ht="16" x14ac:dyDescent="0.4">
      <c r="B8" s="31"/>
      <c r="C8" s="21" t="s">
        <v>7</v>
      </c>
      <c r="D8" s="1" t="s">
        <v>162</v>
      </c>
      <c r="E8" s="34"/>
      <c r="F8" s="15" t="s">
        <v>163</v>
      </c>
    </row>
    <row r="9" spans="2:6" x14ac:dyDescent="0.35">
      <c r="C9" s="21" t="s">
        <v>9</v>
      </c>
      <c r="D9" s="1">
        <v>20</v>
      </c>
      <c r="E9" s="34"/>
    </row>
    <row r="10" spans="2:6" x14ac:dyDescent="0.35">
      <c r="C10" s="21" t="s">
        <v>10</v>
      </c>
      <c r="D10" s="1">
        <v>1</v>
      </c>
      <c r="E10" s="34"/>
      <c r="F10" t="s">
        <v>11</v>
      </c>
    </row>
    <row r="11" spans="2:6" ht="16" x14ac:dyDescent="0.4">
      <c r="C11" s="21" t="s">
        <v>12</v>
      </c>
      <c r="D11" s="1">
        <v>5</v>
      </c>
      <c r="E11" s="34"/>
      <c r="F11" s="13" t="s">
        <v>164</v>
      </c>
    </row>
    <row r="12" spans="2:6" ht="16" x14ac:dyDescent="0.4">
      <c r="C12" s="21" t="s">
        <v>14</v>
      </c>
      <c r="D12" s="1" t="s">
        <v>165</v>
      </c>
      <c r="E12" s="34"/>
      <c r="F12" s="13" t="s">
        <v>166</v>
      </c>
    </row>
    <row r="13" spans="2:6" ht="16" x14ac:dyDescent="0.4">
      <c r="C13" s="21" t="s">
        <v>17</v>
      </c>
      <c r="D13" s="1" t="s">
        <v>18</v>
      </c>
      <c r="E13" s="34"/>
      <c r="F13" s="13" t="s">
        <v>167</v>
      </c>
    </row>
    <row r="14" spans="2:6" x14ac:dyDescent="0.35">
      <c r="C14" s="21" t="s">
        <v>20</v>
      </c>
      <c r="D14" s="1" t="s">
        <v>21</v>
      </c>
      <c r="E14" s="34"/>
    </row>
    <row r="15" spans="2:6" x14ac:dyDescent="0.35">
      <c r="C15" s="33"/>
      <c r="D15" s="34"/>
      <c r="E15" s="34"/>
      <c r="F15" t="s">
        <v>22</v>
      </c>
    </row>
    <row r="16" spans="2:6" x14ac:dyDescent="0.35">
      <c r="C16" s="33"/>
      <c r="D16" s="34"/>
      <c r="E16" s="34"/>
      <c r="F16" s="11" t="s">
        <v>168</v>
      </c>
    </row>
    <row r="17" spans="3:6" ht="18.5" x14ac:dyDescent="0.35">
      <c r="C17" s="32" t="s">
        <v>24</v>
      </c>
      <c r="D17" s="34"/>
      <c r="E17" s="34"/>
      <c r="F17" s="4"/>
    </row>
    <row r="18" spans="3:6" x14ac:dyDescent="0.35">
      <c r="C18" s="33" t="s">
        <v>25</v>
      </c>
      <c r="D18" s="30" t="s">
        <v>24</v>
      </c>
      <c r="E18" s="34"/>
      <c r="F18" s="4"/>
    </row>
    <row r="19" spans="3:6" x14ac:dyDescent="0.35">
      <c r="C19" s="21" t="s">
        <v>26</v>
      </c>
      <c r="D19" s="2">
        <v>18</v>
      </c>
      <c r="E19" s="34"/>
      <c r="F19" s="4"/>
    </row>
    <row r="20" spans="3:6" x14ac:dyDescent="0.35">
      <c r="C20" s="21" t="s">
        <v>27</v>
      </c>
      <c r="D20" s="2">
        <v>14</v>
      </c>
      <c r="E20" s="34"/>
      <c r="F20" s="4"/>
    </row>
    <row r="21" spans="3:6" x14ac:dyDescent="0.35">
      <c r="C21" s="21" t="s">
        <v>28</v>
      </c>
      <c r="D21" s="2">
        <v>6</v>
      </c>
      <c r="E21" s="34"/>
    </row>
    <row r="22" spans="3:6" x14ac:dyDescent="0.35">
      <c r="C22" s="21" t="s">
        <v>29</v>
      </c>
      <c r="D22" s="2">
        <v>10</v>
      </c>
      <c r="E22" s="34"/>
      <c r="F22" t="s">
        <v>30</v>
      </c>
    </row>
    <row r="23" spans="3:6" x14ac:dyDescent="0.35">
      <c r="C23" s="21" t="s">
        <v>31</v>
      </c>
      <c r="D23" s="2"/>
      <c r="E23" s="34"/>
      <c r="F23" s="10" t="s">
        <v>169</v>
      </c>
    </row>
    <row r="24" spans="3:6" x14ac:dyDescent="0.35">
      <c r="C24" s="21" t="s">
        <v>33</v>
      </c>
      <c r="D24" s="30">
        <f>SUM(D19:D23)</f>
        <v>48</v>
      </c>
      <c r="E24" s="34"/>
      <c r="F24" s="4"/>
    </row>
    <row r="25" spans="3:6" x14ac:dyDescent="0.35">
      <c r="F25" s="4"/>
    </row>
    <row r="26" spans="3:6" x14ac:dyDescent="0.35">
      <c r="F26" s="4"/>
    </row>
    <row r="27" spans="3:6" ht="18.5" x14ac:dyDescent="0.4">
      <c r="C27" s="32" t="s">
        <v>35</v>
      </c>
      <c r="D27" s="35" t="s">
        <v>36</v>
      </c>
      <c r="F27" s="4"/>
    </row>
    <row r="28" spans="3:6" x14ac:dyDescent="0.35">
      <c r="C28" s="33" t="s">
        <v>37</v>
      </c>
      <c r="D28" s="33" t="s">
        <v>38</v>
      </c>
      <c r="E28" s="33"/>
      <c r="F28" s="4"/>
    </row>
    <row r="29" spans="3:6" ht="16" x14ac:dyDescent="0.4">
      <c r="C29" s="21" t="s">
        <v>39</v>
      </c>
      <c r="D29" s="13" t="s">
        <v>170</v>
      </c>
      <c r="E29" s="34"/>
      <c r="F29" s="4"/>
    </row>
    <row r="30" spans="3:6" ht="16" x14ac:dyDescent="0.4">
      <c r="C30" s="21" t="s">
        <v>41</v>
      </c>
      <c r="D30" s="13" t="s">
        <v>171</v>
      </c>
      <c r="E30" s="34"/>
      <c r="F30" s="4"/>
    </row>
    <row r="31" spans="3:6" ht="16" x14ac:dyDescent="0.4">
      <c r="C31" s="21" t="s">
        <v>43</v>
      </c>
      <c r="D31" s="13" t="s">
        <v>172</v>
      </c>
      <c r="E31" s="34"/>
      <c r="F31" s="4"/>
    </row>
    <row r="32" spans="3:6" x14ac:dyDescent="0.35">
      <c r="C32" s="21" t="s">
        <v>44</v>
      </c>
      <c r="D32" s="1"/>
      <c r="E32" s="34"/>
      <c r="F32" s="4"/>
    </row>
    <row r="33" spans="3:8" x14ac:dyDescent="0.35">
      <c r="C33" s="21" t="s">
        <v>45</v>
      </c>
      <c r="D33" s="1"/>
      <c r="E33" s="34"/>
      <c r="F33" s="4"/>
    </row>
    <row r="36" spans="3:8" ht="18.5" x14ac:dyDescent="0.35">
      <c r="C36" s="32" t="s">
        <v>46</v>
      </c>
    </row>
    <row r="37" spans="3:8" x14ac:dyDescent="0.35">
      <c r="C37" s="33" t="s">
        <v>47</v>
      </c>
      <c r="D37" s="33" t="s">
        <v>48</v>
      </c>
      <c r="E37" s="33" t="s">
        <v>49</v>
      </c>
      <c r="F37" s="33" t="s">
        <v>50</v>
      </c>
      <c r="G37" s="33" t="s">
        <v>51</v>
      </c>
      <c r="H37" s="33" t="s">
        <v>52</v>
      </c>
    </row>
    <row r="38" spans="3:8" ht="29" x14ac:dyDescent="0.35">
      <c r="C38" s="21" t="s">
        <v>53</v>
      </c>
      <c r="D38" s="1" t="s">
        <v>116</v>
      </c>
      <c r="E38" s="1" t="s">
        <v>173</v>
      </c>
      <c r="F38" s="1" t="s">
        <v>174</v>
      </c>
      <c r="G38" s="3">
        <v>0.5</v>
      </c>
      <c r="H38" s="1">
        <v>10</v>
      </c>
    </row>
    <row r="39" spans="3:8" ht="87" x14ac:dyDescent="0.35">
      <c r="C39" s="21" t="s">
        <v>57</v>
      </c>
      <c r="D39" s="1" t="s">
        <v>54</v>
      </c>
      <c r="E39" s="1" t="s">
        <v>175</v>
      </c>
      <c r="F39" s="1" t="s">
        <v>176</v>
      </c>
      <c r="G39" s="3">
        <v>0.5</v>
      </c>
      <c r="H39" s="1" t="s">
        <v>177</v>
      </c>
    </row>
    <row r="40" spans="3:8" x14ac:dyDescent="0.35">
      <c r="C40" s="21" t="s">
        <v>62</v>
      </c>
      <c r="D40" s="4"/>
      <c r="E40" s="4"/>
      <c r="F40" s="4"/>
      <c r="G40" s="4"/>
      <c r="H40" s="4"/>
    </row>
    <row r="41" spans="3:8" x14ac:dyDescent="0.35">
      <c r="C41" s="21" t="s">
        <v>63</v>
      </c>
      <c r="D41" s="4"/>
      <c r="E41" s="4"/>
      <c r="F41" s="4"/>
      <c r="G41" s="4"/>
      <c r="H41" s="4"/>
    </row>
    <row r="42" spans="3:8" x14ac:dyDescent="0.35">
      <c r="C42" s="33"/>
    </row>
    <row r="44" spans="3:8" ht="18.5" x14ac:dyDescent="0.4">
      <c r="C44" s="32" t="s">
        <v>64</v>
      </c>
      <c r="D44" s="35"/>
    </row>
    <row r="45" spans="3:8" x14ac:dyDescent="0.35">
      <c r="C45" s="30" t="s">
        <v>47</v>
      </c>
      <c r="D45" s="30" t="s">
        <v>37</v>
      </c>
      <c r="E45" s="30" t="s">
        <v>65</v>
      </c>
      <c r="F45" s="30" t="s">
        <v>66</v>
      </c>
    </row>
    <row r="46" spans="3:8" x14ac:dyDescent="0.35">
      <c r="C46" s="5" t="s">
        <v>53</v>
      </c>
      <c r="D46" s="4" t="s">
        <v>39</v>
      </c>
      <c r="E46" s="4" t="s">
        <v>76</v>
      </c>
      <c r="F46" s="4" t="s">
        <v>123</v>
      </c>
    </row>
    <row r="47" spans="3:8" x14ac:dyDescent="0.35">
      <c r="C47" s="5" t="s">
        <v>53</v>
      </c>
      <c r="D47" s="4" t="s">
        <v>39</v>
      </c>
      <c r="E47" s="4" t="s">
        <v>126</v>
      </c>
      <c r="F47" s="4" t="s">
        <v>127</v>
      </c>
    </row>
    <row r="48" spans="3:8" x14ac:dyDescent="0.35">
      <c r="C48" s="5" t="s">
        <v>53</v>
      </c>
      <c r="D48" s="4" t="s">
        <v>39</v>
      </c>
      <c r="E48" s="4" t="s">
        <v>134</v>
      </c>
      <c r="F48" s="4" t="s">
        <v>135</v>
      </c>
    </row>
    <row r="49" spans="3:6" x14ac:dyDescent="0.35">
      <c r="C49" s="5" t="s">
        <v>53</v>
      </c>
      <c r="D49" s="4" t="s">
        <v>41</v>
      </c>
      <c r="E49" s="4" t="s">
        <v>71</v>
      </c>
      <c r="F49" s="4" t="s">
        <v>131</v>
      </c>
    </row>
    <row r="50" spans="3:6" x14ac:dyDescent="0.35">
      <c r="C50" s="5" t="s">
        <v>57</v>
      </c>
      <c r="D50" s="4" t="s">
        <v>39</v>
      </c>
      <c r="E50" s="4" t="s">
        <v>119</v>
      </c>
      <c r="F50" s="4" t="s">
        <v>178</v>
      </c>
    </row>
    <row r="51" spans="3:6" x14ac:dyDescent="0.35">
      <c r="C51" s="5" t="s">
        <v>57</v>
      </c>
      <c r="D51" s="4" t="s">
        <v>41</v>
      </c>
      <c r="E51" s="4" t="s">
        <v>71</v>
      </c>
      <c r="F51" s="4" t="s">
        <v>72</v>
      </c>
    </row>
    <row r="52" spans="3:6" x14ac:dyDescent="0.35">
      <c r="C52" s="5" t="s">
        <v>57</v>
      </c>
      <c r="D52" s="4" t="s">
        <v>41</v>
      </c>
      <c r="E52" s="4" t="s">
        <v>67</v>
      </c>
      <c r="F52" s="4" t="s">
        <v>70</v>
      </c>
    </row>
    <row r="53" spans="3:6" x14ac:dyDescent="0.35">
      <c r="C53" s="5" t="s">
        <v>57</v>
      </c>
      <c r="D53" s="4" t="s">
        <v>43</v>
      </c>
      <c r="E53" s="4" t="s">
        <v>73</v>
      </c>
      <c r="F53" s="4" t="s">
        <v>75</v>
      </c>
    </row>
    <row r="54" spans="3:6" x14ac:dyDescent="0.35">
      <c r="C54" s="5" t="s">
        <v>57</v>
      </c>
      <c r="D54" s="4" t="s">
        <v>43</v>
      </c>
      <c r="E54" s="4" t="s">
        <v>79</v>
      </c>
      <c r="F54" s="4" t="s">
        <v>179</v>
      </c>
    </row>
    <row r="55" spans="3:6" x14ac:dyDescent="0.35">
      <c r="C55" s="5" t="s">
        <v>53</v>
      </c>
      <c r="D55" s="4" t="s">
        <v>39</v>
      </c>
      <c r="E55" s="4" t="s">
        <v>79</v>
      </c>
      <c r="F55" s="4" t="s">
        <v>80</v>
      </c>
    </row>
    <row r="56" spans="3:6" x14ac:dyDescent="0.35">
      <c r="C56" s="5" t="s">
        <v>53</v>
      </c>
      <c r="D56" s="4" t="s">
        <v>41</v>
      </c>
      <c r="E56" s="4" t="s">
        <v>79</v>
      </c>
      <c r="F56" s="4" t="s">
        <v>133</v>
      </c>
    </row>
    <row r="57" spans="3:6" x14ac:dyDescent="0.35">
      <c r="C57" s="5"/>
      <c r="D57" s="4"/>
      <c r="E57" s="4"/>
      <c r="F57" s="4"/>
    </row>
    <row r="58" spans="3:6" x14ac:dyDescent="0.35">
      <c r="C58" s="5"/>
      <c r="D58" s="4"/>
      <c r="E58" s="4"/>
      <c r="F58" s="4"/>
    </row>
    <row r="59" spans="3:6" x14ac:dyDescent="0.35">
      <c r="C59" s="5"/>
      <c r="D59" s="4"/>
      <c r="E59" s="4"/>
      <c r="F59" s="4"/>
    </row>
    <row r="60" spans="3:6" x14ac:dyDescent="0.35">
      <c r="C60" s="5"/>
      <c r="D60" s="4"/>
      <c r="E60" s="4"/>
      <c r="F60" s="4"/>
    </row>
    <row r="61" spans="3:6" x14ac:dyDescent="0.35">
      <c r="C61" s="5"/>
      <c r="D61" s="4"/>
      <c r="E61" s="4"/>
      <c r="F61" s="4"/>
    </row>
    <row r="62" spans="3:6" x14ac:dyDescent="0.35">
      <c r="C62" s="5"/>
      <c r="D62" s="4"/>
      <c r="E62" s="4"/>
      <c r="F62" s="4"/>
    </row>
    <row r="63" spans="3:6" x14ac:dyDescent="0.35">
      <c r="C63" s="5"/>
      <c r="D63" s="4"/>
      <c r="E63" s="4"/>
      <c r="F63" s="4"/>
    </row>
    <row r="64" spans="3:6" x14ac:dyDescent="0.35">
      <c r="C64" s="5"/>
      <c r="D64" s="4"/>
      <c r="E64" s="4"/>
      <c r="F64" s="4"/>
    </row>
    <row r="65" spans="2:6" x14ac:dyDescent="0.35">
      <c r="C65" s="5"/>
      <c r="D65" s="4"/>
      <c r="E65" s="4"/>
      <c r="F65" s="4"/>
    </row>
    <row r="66" spans="2:6" x14ac:dyDescent="0.35">
      <c r="C66" s="5"/>
      <c r="D66" s="4"/>
      <c r="E66" s="4"/>
      <c r="F66" s="4"/>
    </row>
    <row r="69" spans="2:6" ht="18.5" x14ac:dyDescent="0.35">
      <c r="C69" s="32" t="s">
        <v>81</v>
      </c>
    </row>
    <row r="70" spans="2:6" x14ac:dyDescent="0.35">
      <c r="B70" t="s">
        <v>82</v>
      </c>
      <c r="C70" s="30" t="s">
        <v>83</v>
      </c>
      <c r="D70" s="30" t="s">
        <v>84</v>
      </c>
      <c r="E70" s="30" t="s">
        <v>85</v>
      </c>
      <c r="F70" s="30" t="s">
        <v>86</v>
      </c>
    </row>
    <row r="71" spans="2:6" x14ac:dyDescent="0.35">
      <c r="B71" s="19">
        <v>1</v>
      </c>
      <c r="C71" s="38">
        <v>1</v>
      </c>
      <c r="D71" s="16" t="s">
        <v>180</v>
      </c>
      <c r="E71" s="12"/>
      <c r="F71" s="12"/>
    </row>
    <row r="72" spans="2:6" x14ac:dyDescent="0.35">
      <c r="B72" s="19">
        <v>1</v>
      </c>
      <c r="C72" s="38">
        <v>2</v>
      </c>
      <c r="D72" s="16" t="s">
        <v>181</v>
      </c>
      <c r="E72" s="12"/>
      <c r="F72" s="12"/>
    </row>
    <row r="73" spans="2:6" x14ac:dyDescent="0.35">
      <c r="B73" s="19">
        <v>1</v>
      </c>
      <c r="C73" s="38">
        <v>3</v>
      </c>
      <c r="D73" s="16" t="s">
        <v>182</v>
      </c>
      <c r="E73" s="1"/>
      <c r="F73" s="1"/>
    </row>
    <row r="74" spans="2:6" x14ac:dyDescent="0.35">
      <c r="B74" s="19">
        <v>1</v>
      </c>
      <c r="C74" s="38">
        <v>4</v>
      </c>
      <c r="D74" s="16" t="s">
        <v>183</v>
      </c>
      <c r="E74" s="1"/>
      <c r="F74" s="1"/>
    </row>
    <row r="75" spans="2:6" x14ac:dyDescent="0.35">
      <c r="B75" s="19">
        <v>1</v>
      </c>
      <c r="C75" s="38">
        <v>5</v>
      </c>
      <c r="D75" s="16" t="s">
        <v>184</v>
      </c>
      <c r="E75" s="1"/>
      <c r="F75" s="1"/>
    </row>
    <row r="76" spans="2:6" x14ac:dyDescent="0.35">
      <c r="B76" s="19">
        <v>1</v>
      </c>
      <c r="C76" s="38">
        <v>6</v>
      </c>
      <c r="D76" s="16" t="s">
        <v>185</v>
      </c>
      <c r="E76" s="1"/>
      <c r="F76" s="1"/>
    </row>
    <row r="77" spans="2:6" x14ac:dyDescent="0.35">
      <c r="B77" s="19">
        <v>1</v>
      </c>
      <c r="C77" s="38">
        <v>7</v>
      </c>
      <c r="D77" s="17" t="s">
        <v>186</v>
      </c>
      <c r="E77" s="1"/>
      <c r="F77" s="1"/>
    </row>
    <row r="78" spans="2:6" x14ac:dyDescent="0.35">
      <c r="B78" s="19">
        <v>1</v>
      </c>
      <c r="C78" s="38">
        <v>8</v>
      </c>
      <c r="D78" s="17" t="s">
        <v>187</v>
      </c>
      <c r="E78" s="1" t="s">
        <v>188</v>
      </c>
      <c r="F78" s="1"/>
    </row>
    <row r="79" spans="2:6" x14ac:dyDescent="0.35">
      <c r="B79" s="19">
        <v>1</v>
      </c>
      <c r="C79" s="38">
        <v>9</v>
      </c>
      <c r="D79" s="17" t="s">
        <v>189</v>
      </c>
      <c r="E79" s="1"/>
      <c r="F79" s="1"/>
    </row>
    <row r="80" spans="2:6" x14ac:dyDescent="0.35">
      <c r="B80" s="19">
        <v>1</v>
      </c>
      <c r="C80" s="38">
        <v>10</v>
      </c>
      <c r="D80" s="16" t="s">
        <v>190</v>
      </c>
      <c r="E80" s="1" t="s">
        <v>191</v>
      </c>
      <c r="F80" s="1"/>
    </row>
    <row r="81" spans="2:6" x14ac:dyDescent="0.35">
      <c r="B81" s="19">
        <v>1</v>
      </c>
      <c r="C81" s="38">
        <v>11</v>
      </c>
      <c r="D81" s="16" t="s">
        <v>192</v>
      </c>
      <c r="E81" s="1"/>
      <c r="F81" s="1"/>
    </row>
    <row r="82" spans="2:6" x14ac:dyDescent="0.35">
      <c r="B82" s="19">
        <v>1</v>
      </c>
      <c r="C82" s="38">
        <v>12</v>
      </c>
      <c r="D82" s="16" t="s">
        <v>193</v>
      </c>
      <c r="E82" s="1" t="s">
        <v>194</v>
      </c>
      <c r="F82" s="1"/>
    </row>
    <row r="83" spans="2:6" x14ac:dyDescent="0.35">
      <c r="B83" s="19">
        <v>2</v>
      </c>
      <c r="C83" s="38">
        <v>1</v>
      </c>
      <c r="D83" s="1"/>
      <c r="E83" s="1"/>
      <c r="F83" s="1"/>
    </row>
    <row r="84" spans="2:6" x14ac:dyDescent="0.35">
      <c r="B84" s="19">
        <v>2</v>
      </c>
      <c r="C84" s="38">
        <v>2</v>
      </c>
      <c r="D84" s="1"/>
      <c r="E84" s="1"/>
      <c r="F84" s="1"/>
    </row>
    <row r="85" spans="2:6" x14ac:dyDescent="0.35">
      <c r="B85" s="19">
        <v>2</v>
      </c>
      <c r="C85" s="38">
        <v>3</v>
      </c>
      <c r="D85" s="1"/>
      <c r="E85" s="1"/>
      <c r="F85" s="1"/>
    </row>
    <row r="86" spans="2:6" x14ac:dyDescent="0.35">
      <c r="B86" s="19">
        <v>2</v>
      </c>
      <c r="C86" s="38">
        <v>4</v>
      </c>
      <c r="D86" s="1"/>
      <c r="E86" s="1"/>
      <c r="F86" s="1"/>
    </row>
    <row r="87" spans="2:6" x14ac:dyDescent="0.35">
      <c r="B87" s="19">
        <v>2</v>
      </c>
      <c r="C87" s="38">
        <v>5</v>
      </c>
      <c r="D87" s="1"/>
      <c r="E87" s="1"/>
      <c r="F87" s="1"/>
    </row>
    <row r="88" spans="2:6" x14ac:dyDescent="0.35">
      <c r="B88" s="19">
        <v>2</v>
      </c>
      <c r="C88" s="38">
        <v>6</v>
      </c>
      <c r="D88" s="1"/>
      <c r="E88" s="1"/>
      <c r="F88" s="1"/>
    </row>
    <row r="89" spans="2:6" x14ac:dyDescent="0.35">
      <c r="B89" s="19">
        <v>2</v>
      </c>
      <c r="C89" s="38">
        <v>7</v>
      </c>
      <c r="D89" s="1"/>
      <c r="E89" s="1"/>
      <c r="F89" s="1"/>
    </row>
    <row r="90" spans="2:6" x14ac:dyDescent="0.35">
      <c r="B90" s="19">
        <v>2</v>
      </c>
      <c r="C90" s="38">
        <v>8</v>
      </c>
      <c r="D90" s="1"/>
      <c r="E90" s="1"/>
      <c r="F90" s="1"/>
    </row>
    <row r="91" spans="2:6" x14ac:dyDescent="0.35">
      <c r="B91" s="19">
        <v>2</v>
      </c>
      <c r="C91" s="38">
        <v>9</v>
      </c>
      <c r="D91" s="1"/>
      <c r="E91" s="1"/>
      <c r="F91" s="1"/>
    </row>
    <row r="92" spans="2:6" x14ac:dyDescent="0.35">
      <c r="B92" s="19">
        <v>2</v>
      </c>
      <c r="C92" s="38">
        <v>10</v>
      </c>
      <c r="D92" s="1"/>
      <c r="E92" s="1"/>
      <c r="F92" s="1"/>
    </row>
    <row r="93" spans="2:6" x14ac:dyDescent="0.35">
      <c r="B93" s="19">
        <v>2</v>
      </c>
      <c r="C93" s="38">
        <v>11</v>
      </c>
      <c r="D93" s="1"/>
      <c r="E93" s="1"/>
      <c r="F93" s="1"/>
    </row>
    <row r="94" spans="2:6" x14ac:dyDescent="0.35">
      <c r="B94" s="19">
        <v>2</v>
      </c>
      <c r="C94" s="38">
        <v>12</v>
      </c>
      <c r="D94" s="1"/>
      <c r="E94" s="1"/>
      <c r="F94" s="1"/>
    </row>
  </sheetData>
  <sheetProtection sheet="1" objects="1" scenarios="1" formatCells="0" formatColumns="0" formatRows="0" insertHyperlinks="0"/>
  <dataValidations count="4">
    <dataValidation type="list" allowBlank="1" showInputMessage="1" showErrorMessage="1" sqref="F46:F66" xr:uid="{199417CD-50E7-40D5-ADCF-61994B27264E}">
      <formula1>INDIRECT(VLOOKUP($E46, SkillNameMap, 2, FALSE))</formula1>
    </dataValidation>
    <dataValidation type="list" allowBlank="1" showInputMessage="1" showErrorMessage="1" sqref="E38:E41" xr:uid="{9A8779B4-6AB6-45B5-A32C-6D89EAF36C8E}">
      <formula1>INDIRECT("LISTAssess[Assessment Specific]")</formula1>
    </dataValidation>
    <dataValidation type="whole" showInputMessage="1" showErrorMessage="1" error="This is not a realistic number of contact hours please change" sqref="D19" xr:uid="{DA3D6AB5-532B-4E6E-B5DD-7DD3330DB48F}">
      <formula1>0</formula1>
      <formula2>80</formula2>
    </dataValidation>
    <dataValidation type="whole" showInputMessage="1" showErrorMessage="1" error="This is not a realistic number of contact hours please reduce" sqref="D20:D23" xr:uid="{3732E239-C09D-43A7-9D17-84966769CD9A}">
      <formula1>0</formula1>
      <formula2>80</formula2>
    </dataValidation>
  </dataValidations>
  <pageMargins left="0.7" right="0.7" top="0.75" bottom="0.75" header="0.3" footer="0.3"/>
  <pageSetup paperSize="9" orientation="portrait" horizontalDpi="4294967293" verticalDpi="0" r:id="rId1"/>
  <legacy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7">
        <x14:dataValidation type="list" allowBlank="1" showInputMessage="1" showErrorMessage="1" xr:uid="{5C65280C-5249-4CA6-9640-3CC5D292F59A}">
          <x14:formula1>
            <xm:f>LISTS!$J$7:$J$16</xm:f>
          </x14:formula1>
          <xm:sqref>E46:E66</xm:sqref>
        </x14:dataValidation>
        <x14:dataValidation type="list" allowBlank="1" showInputMessage="1" showErrorMessage="1" xr:uid="{009B3F76-CBC5-41A8-84DE-D4AD00A25980}">
          <x14:formula1>
            <xm:f>LISTS!$E$7:$E$11</xm:f>
          </x14:formula1>
          <xm:sqref>D46:D66</xm:sqref>
        </x14:dataValidation>
        <x14:dataValidation type="list" allowBlank="1" showInputMessage="1" showErrorMessage="1" xr:uid="{E4C466FC-4B20-43FE-83BB-6DB372D1E2AF}">
          <x14:formula1>
            <xm:f>LISTS!$G$7:$G$11</xm:f>
          </x14:formula1>
          <xm:sqref>D38:D42</xm:sqref>
        </x14:dataValidation>
        <x14:dataValidation type="list" allowBlank="1" showInputMessage="1" showErrorMessage="1" xr:uid="{FDF99DCE-273A-4E69-9925-00724A3BE75B}">
          <x14:formula1>
            <xm:f>LISTS!$C$11:$C$15</xm:f>
          </x14:formula1>
          <xm:sqref>D11</xm:sqref>
        </x14:dataValidation>
        <x14:dataValidation type="list" allowBlank="1" showInputMessage="1" showErrorMessage="1" xr:uid="{B71F4674-23DF-4DB6-881E-607B855CE61E}">
          <x14:formula1>
            <xm:f>LISTS!$C$7:$C$9</xm:f>
          </x14:formula1>
          <xm:sqref>D10</xm:sqref>
        </x14:dataValidation>
        <x14:dataValidation type="list" allowBlank="1" showInputMessage="1" showErrorMessage="1" xr:uid="{13441B70-6771-46A0-B42D-7619C487A66C}">
          <x14:formula1>
            <xm:f>LISTS!$C$17:$C$22</xm:f>
          </x14:formula1>
          <xm:sqref>D13</xm:sqref>
        </x14:dataValidation>
        <x14:dataValidation type="list" allowBlank="1" showInputMessage="1" showErrorMessage="1" xr:uid="{27FAA946-26BF-4A0D-A78A-94B40A846A90}">
          <x14:formula1>
            <xm:f>LISTS!$C$26:$C$37</xm:f>
          </x14:formula1>
          <xm:sqref>D14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DFE9-F6DD-4E3D-9B0A-EE0E4450ED7C}">
  <sheetPr codeName="Sheet4"/>
  <dimension ref="B2:H94"/>
  <sheetViews>
    <sheetView showGridLines="0" topLeftCell="C35" zoomScale="85" zoomScaleNormal="85" workbookViewId="0">
      <selection activeCell="E46" sqref="E46"/>
    </sheetView>
  </sheetViews>
  <sheetFormatPr defaultColWidth="8.81640625" defaultRowHeight="14.5" x14ac:dyDescent="0.35"/>
  <cols>
    <col min="3" max="3" width="33.453125" customWidth="1"/>
    <col min="4" max="4" width="51.453125" customWidth="1"/>
    <col min="5" max="5" width="67.453125" customWidth="1"/>
    <col min="6" max="6" width="63.1796875" customWidth="1"/>
    <col min="7" max="7" width="12.453125" customWidth="1"/>
    <col min="8" max="8" width="15.453125" customWidth="1"/>
    <col min="9" max="9" width="14.54296875" customWidth="1"/>
  </cols>
  <sheetData>
    <row r="2" spans="2:6" ht="26" x14ac:dyDescent="0.6">
      <c r="C2" s="29" t="str">
        <f>D7</f>
        <v>5302SPS</v>
      </c>
      <c r="D2" s="29" t="str">
        <f>D8</f>
        <v>Football tactics and match analysis</v>
      </c>
    </row>
    <row r="3" spans="2:6" x14ac:dyDescent="0.35">
      <c r="B3" s="30"/>
      <c r="C3" s="30"/>
    </row>
    <row r="4" spans="2:6" x14ac:dyDescent="0.35">
      <c r="B4" s="31"/>
      <c r="C4" s="31"/>
    </row>
    <row r="5" spans="2:6" ht="18.5" x14ac:dyDescent="0.35">
      <c r="B5" s="31"/>
      <c r="C5" s="32" t="s">
        <v>0</v>
      </c>
    </row>
    <row r="6" spans="2:6" x14ac:dyDescent="0.35">
      <c r="B6" s="31"/>
      <c r="C6" s="33" t="s">
        <v>1</v>
      </c>
      <c r="D6" s="34" t="s">
        <v>2</v>
      </c>
      <c r="E6" s="34"/>
      <c r="F6" t="s">
        <v>3</v>
      </c>
    </row>
    <row r="7" spans="2:6" x14ac:dyDescent="0.35">
      <c r="B7" s="31"/>
      <c r="C7" s="21" t="s">
        <v>4</v>
      </c>
      <c r="D7" s="1" t="s">
        <v>238</v>
      </c>
      <c r="E7" s="34"/>
      <c r="F7" s="4"/>
    </row>
    <row r="8" spans="2:6" x14ac:dyDescent="0.35">
      <c r="B8" s="31"/>
      <c r="C8" s="21" t="s">
        <v>7</v>
      </c>
      <c r="D8" s="1" t="s">
        <v>239</v>
      </c>
      <c r="E8" s="34"/>
      <c r="F8" s="4"/>
    </row>
    <row r="9" spans="2:6" x14ac:dyDescent="0.35">
      <c r="C9" s="21" t="s">
        <v>9</v>
      </c>
      <c r="D9" s="1">
        <v>20</v>
      </c>
      <c r="E9" s="34"/>
    </row>
    <row r="10" spans="2:6" x14ac:dyDescent="0.35">
      <c r="C10" s="21" t="s">
        <v>10</v>
      </c>
      <c r="D10" s="1"/>
      <c r="E10" s="34"/>
      <c r="F10" t="s">
        <v>11</v>
      </c>
    </row>
    <row r="11" spans="2:6" x14ac:dyDescent="0.35">
      <c r="C11" s="21" t="s">
        <v>12</v>
      </c>
      <c r="D11" s="1">
        <v>5</v>
      </c>
      <c r="E11" s="34"/>
      <c r="F11" s="4"/>
    </row>
    <row r="12" spans="2:6" x14ac:dyDescent="0.35">
      <c r="C12" s="21" t="s">
        <v>14</v>
      </c>
      <c r="D12" s="1"/>
      <c r="E12" s="34"/>
      <c r="F12" s="4"/>
    </row>
    <row r="13" spans="2:6" x14ac:dyDescent="0.35">
      <c r="C13" s="21" t="s">
        <v>17</v>
      </c>
      <c r="D13" s="1"/>
      <c r="E13" s="34"/>
      <c r="F13" s="4"/>
    </row>
    <row r="14" spans="2:6" x14ac:dyDescent="0.35">
      <c r="C14" s="21" t="s">
        <v>20</v>
      </c>
      <c r="D14" s="1"/>
      <c r="E14" s="34"/>
    </row>
    <row r="15" spans="2:6" x14ac:dyDescent="0.35">
      <c r="C15" s="33"/>
      <c r="D15" s="34"/>
      <c r="E15" s="34"/>
      <c r="F15" t="s">
        <v>22</v>
      </c>
    </row>
    <row r="16" spans="2:6" x14ac:dyDescent="0.35">
      <c r="C16" s="33"/>
      <c r="D16" s="34"/>
      <c r="E16" s="34"/>
      <c r="F16" s="4"/>
    </row>
    <row r="17" spans="3:6" ht="18.5" x14ac:dyDescent="0.35">
      <c r="C17" s="32" t="s">
        <v>24</v>
      </c>
      <c r="D17" s="34"/>
      <c r="E17" s="34"/>
      <c r="F17" s="4"/>
    </row>
    <row r="18" spans="3:6" x14ac:dyDescent="0.35">
      <c r="C18" s="33" t="s">
        <v>25</v>
      </c>
      <c r="D18" s="30" t="s">
        <v>24</v>
      </c>
      <c r="E18" s="34"/>
      <c r="F18" s="4"/>
    </row>
    <row r="19" spans="3:6" x14ac:dyDescent="0.35">
      <c r="C19" s="21" t="s">
        <v>26</v>
      </c>
      <c r="D19" s="2"/>
      <c r="E19" s="34"/>
      <c r="F19" s="4"/>
    </row>
    <row r="20" spans="3:6" x14ac:dyDescent="0.35">
      <c r="C20" s="21" t="s">
        <v>27</v>
      </c>
      <c r="D20" s="2"/>
      <c r="E20" s="34"/>
      <c r="F20" s="4"/>
    </row>
    <row r="21" spans="3:6" x14ac:dyDescent="0.35">
      <c r="C21" s="21" t="s">
        <v>28</v>
      </c>
      <c r="D21" s="2"/>
      <c r="E21" s="34"/>
    </row>
    <row r="22" spans="3:6" x14ac:dyDescent="0.35">
      <c r="C22" s="21" t="s">
        <v>29</v>
      </c>
      <c r="D22" s="2"/>
      <c r="E22" s="34"/>
      <c r="F22" t="s">
        <v>30</v>
      </c>
    </row>
    <row r="23" spans="3:6" x14ac:dyDescent="0.35">
      <c r="C23" s="21" t="s">
        <v>31</v>
      </c>
      <c r="D23" s="2"/>
      <c r="E23" s="34"/>
      <c r="F23" s="4"/>
    </row>
    <row r="24" spans="3:6" x14ac:dyDescent="0.35">
      <c r="C24" s="21" t="s">
        <v>33</v>
      </c>
      <c r="D24" s="30">
        <f>SUM(D19:D23)</f>
        <v>0</v>
      </c>
      <c r="E24" s="34"/>
      <c r="F24" s="4"/>
    </row>
    <row r="25" spans="3:6" x14ac:dyDescent="0.35">
      <c r="F25" s="4"/>
    </row>
    <row r="26" spans="3:6" x14ac:dyDescent="0.35">
      <c r="F26" s="4"/>
    </row>
    <row r="27" spans="3:6" ht="18.5" x14ac:dyDescent="0.4">
      <c r="C27" s="32" t="s">
        <v>35</v>
      </c>
      <c r="D27" s="35" t="s">
        <v>36</v>
      </c>
      <c r="F27" s="4"/>
    </row>
    <row r="28" spans="3:6" x14ac:dyDescent="0.35">
      <c r="C28" s="33" t="s">
        <v>37</v>
      </c>
      <c r="D28" s="33" t="s">
        <v>38</v>
      </c>
      <c r="E28" s="33"/>
      <c r="F28" s="4"/>
    </row>
    <row r="29" spans="3:6" x14ac:dyDescent="0.35">
      <c r="C29" s="21" t="s">
        <v>39</v>
      </c>
      <c r="D29" s="1"/>
      <c r="E29" s="34"/>
      <c r="F29" s="4"/>
    </row>
    <row r="30" spans="3:6" x14ac:dyDescent="0.35">
      <c r="C30" s="21" t="s">
        <v>41</v>
      </c>
      <c r="D30" s="1"/>
      <c r="E30" s="34"/>
      <c r="F30" s="4"/>
    </row>
    <row r="31" spans="3:6" x14ac:dyDescent="0.35">
      <c r="C31" s="21" t="s">
        <v>43</v>
      </c>
      <c r="D31" s="1"/>
      <c r="E31" s="34"/>
      <c r="F31" s="4"/>
    </row>
    <row r="32" spans="3:6" x14ac:dyDescent="0.35">
      <c r="C32" s="21" t="s">
        <v>44</v>
      </c>
      <c r="D32" s="1"/>
      <c r="E32" s="34"/>
      <c r="F32" s="4"/>
    </row>
    <row r="33" spans="3:8" x14ac:dyDescent="0.35">
      <c r="C33" s="21" t="s">
        <v>45</v>
      </c>
      <c r="D33" s="1"/>
      <c r="E33" s="34"/>
      <c r="F33" s="4"/>
    </row>
    <row r="36" spans="3:8" ht="18.5" x14ac:dyDescent="0.35">
      <c r="C36" s="32" t="s">
        <v>46</v>
      </c>
    </row>
    <row r="37" spans="3:8" x14ac:dyDescent="0.35">
      <c r="C37" s="33" t="s">
        <v>47</v>
      </c>
      <c r="D37" s="33" t="s">
        <v>48</v>
      </c>
      <c r="E37" s="33" t="s">
        <v>49</v>
      </c>
      <c r="F37" s="33" t="s">
        <v>50</v>
      </c>
      <c r="G37" s="33" t="s">
        <v>51</v>
      </c>
      <c r="H37" s="33" t="s">
        <v>52</v>
      </c>
    </row>
    <row r="38" spans="3:8" x14ac:dyDescent="0.35">
      <c r="C38" s="21" t="s">
        <v>53</v>
      </c>
      <c r="D38" s="1"/>
      <c r="E38" s="1"/>
      <c r="F38" s="1"/>
      <c r="G38" s="3"/>
      <c r="H38" s="1"/>
    </row>
    <row r="39" spans="3:8" x14ac:dyDescent="0.35">
      <c r="C39" s="21" t="s">
        <v>57</v>
      </c>
      <c r="D39" s="1"/>
      <c r="E39" s="1"/>
      <c r="F39" s="1"/>
      <c r="G39" s="3"/>
      <c r="H39" s="1"/>
    </row>
    <row r="40" spans="3:8" x14ac:dyDescent="0.35">
      <c r="C40" s="21" t="s">
        <v>62</v>
      </c>
      <c r="D40" s="4"/>
      <c r="E40" s="4"/>
      <c r="F40" s="4"/>
      <c r="G40" s="4"/>
      <c r="H40" s="4"/>
    </row>
    <row r="41" spans="3:8" x14ac:dyDescent="0.35">
      <c r="C41" s="21" t="s">
        <v>63</v>
      </c>
      <c r="D41" s="4"/>
      <c r="E41" s="4"/>
      <c r="F41" s="4"/>
      <c r="G41" s="4"/>
      <c r="H41" s="4"/>
    </row>
    <row r="42" spans="3:8" x14ac:dyDescent="0.35">
      <c r="C42" s="33"/>
    </row>
    <row r="44" spans="3:8" ht="18.5" x14ac:dyDescent="0.4">
      <c r="C44" s="32" t="s">
        <v>64</v>
      </c>
      <c r="D44" s="35"/>
    </row>
    <row r="45" spans="3:8" x14ac:dyDescent="0.35">
      <c r="C45" s="30" t="s">
        <v>47</v>
      </c>
      <c r="D45" s="30" t="s">
        <v>37</v>
      </c>
      <c r="E45" s="30" t="s">
        <v>65</v>
      </c>
      <c r="F45" s="30" t="s">
        <v>66</v>
      </c>
    </row>
    <row r="46" spans="3:8" x14ac:dyDescent="0.35">
      <c r="C46" s="5" t="s">
        <v>53</v>
      </c>
      <c r="D46" s="4"/>
      <c r="E46" s="4"/>
      <c r="F46" s="4"/>
    </row>
    <row r="47" spans="3:8" x14ac:dyDescent="0.35">
      <c r="C47" s="5" t="s">
        <v>53</v>
      </c>
      <c r="D47" s="4"/>
      <c r="E47" s="4"/>
      <c r="F47" s="4"/>
    </row>
    <row r="48" spans="3:8" x14ac:dyDescent="0.35">
      <c r="C48" s="5" t="s">
        <v>53</v>
      </c>
      <c r="D48" s="4"/>
      <c r="E48" s="4"/>
      <c r="F48" s="4"/>
    </row>
    <row r="49" spans="3:6" x14ac:dyDescent="0.35">
      <c r="C49" s="5" t="s">
        <v>57</v>
      </c>
      <c r="D49" s="4"/>
      <c r="E49" s="4"/>
      <c r="F49" s="4"/>
    </row>
    <row r="50" spans="3:6" x14ac:dyDescent="0.35">
      <c r="C50" s="5" t="s">
        <v>57</v>
      </c>
      <c r="D50" s="4"/>
      <c r="E50" s="4"/>
      <c r="F50" s="4"/>
    </row>
    <row r="51" spans="3:6" x14ac:dyDescent="0.35">
      <c r="C51" s="5" t="s">
        <v>57</v>
      </c>
      <c r="D51" s="4"/>
      <c r="E51" s="4"/>
      <c r="F51" s="4"/>
    </row>
    <row r="52" spans="3:6" x14ac:dyDescent="0.35">
      <c r="C52" s="5" t="s">
        <v>62</v>
      </c>
      <c r="D52" s="4"/>
      <c r="E52" s="4"/>
      <c r="F52" s="4"/>
    </row>
    <row r="53" spans="3:6" x14ac:dyDescent="0.35">
      <c r="C53" s="5" t="s">
        <v>62</v>
      </c>
      <c r="D53" s="4"/>
      <c r="E53" s="4"/>
      <c r="F53" s="4"/>
    </row>
    <row r="54" spans="3:6" x14ac:dyDescent="0.35">
      <c r="C54" s="5" t="s">
        <v>62</v>
      </c>
      <c r="D54" s="4"/>
      <c r="E54" s="4"/>
      <c r="F54" s="4"/>
    </row>
    <row r="55" spans="3:6" x14ac:dyDescent="0.35">
      <c r="C55" s="5" t="s">
        <v>63</v>
      </c>
      <c r="D55" s="4"/>
      <c r="E55" s="4"/>
      <c r="F55" s="4"/>
    </row>
    <row r="56" spans="3:6" x14ac:dyDescent="0.35">
      <c r="C56" s="5" t="s">
        <v>63</v>
      </c>
      <c r="D56" s="4"/>
      <c r="E56" s="4"/>
      <c r="F56" s="4"/>
    </row>
    <row r="57" spans="3:6" x14ac:dyDescent="0.35">
      <c r="C57" s="5"/>
      <c r="D57" s="4"/>
      <c r="E57" s="4"/>
      <c r="F57" s="4"/>
    </row>
    <row r="58" spans="3:6" x14ac:dyDescent="0.35">
      <c r="C58" s="5"/>
      <c r="D58" s="4"/>
      <c r="E58" s="4"/>
      <c r="F58" s="4"/>
    </row>
    <row r="59" spans="3:6" x14ac:dyDescent="0.35">
      <c r="C59" s="5"/>
      <c r="D59" s="4"/>
      <c r="E59" s="4"/>
      <c r="F59" s="4"/>
    </row>
    <row r="60" spans="3:6" x14ac:dyDescent="0.35">
      <c r="C60" s="5"/>
      <c r="D60" s="4"/>
      <c r="E60" s="4"/>
      <c r="F60" s="4"/>
    </row>
    <row r="61" spans="3:6" x14ac:dyDescent="0.35">
      <c r="C61" s="5"/>
      <c r="D61" s="4"/>
      <c r="E61" s="4"/>
      <c r="F61" s="4"/>
    </row>
    <row r="62" spans="3:6" x14ac:dyDescent="0.35">
      <c r="C62" s="5"/>
      <c r="D62" s="4"/>
      <c r="E62" s="4"/>
      <c r="F62" s="4"/>
    </row>
    <row r="63" spans="3:6" x14ac:dyDescent="0.35">
      <c r="C63" s="5"/>
      <c r="D63" s="4"/>
      <c r="E63" s="4"/>
      <c r="F63" s="4"/>
    </row>
    <row r="64" spans="3:6" x14ac:dyDescent="0.35">
      <c r="C64" s="5"/>
      <c r="D64" s="4"/>
      <c r="E64" s="4"/>
      <c r="F64" s="4"/>
    </row>
    <row r="65" spans="2:6" x14ac:dyDescent="0.35">
      <c r="C65" s="5"/>
      <c r="D65" s="4"/>
      <c r="E65" s="4"/>
      <c r="F65" s="4"/>
    </row>
    <row r="66" spans="2:6" x14ac:dyDescent="0.35">
      <c r="C66" s="5"/>
      <c r="D66" s="4"/>
      <c r="E66" s="4"/>
      <c r="F66" s="4"/>
    </row>
    <row r="69" spans="2:6" ht="18.5" x14ac:dyDescent="0.35">
      <c r="C69" s="32" t="s">
        <v>81</v>
      </c>
    </row>
    <row r="70" spans="2:6" x14ac:dyDescent="0.35">
      <c r="B70" t="s">
        <v>82</v>
      </c>
      <c r="C70" s="30" t="s">
        <v>83</v>
      </c>
      <c r="D70" s="30" t="s">
        <v>84</v>
      </c>
      <c r="E70" s="30" t="s">
        <v>85</v>
      </c>
      <c r="F70" s="30" t="s">
        <v>86</v>
      </c>
    </row>
    <row r="71" spans="2:6" x14ac:dyDescent="0.35">
      <c r="B71" s="19">
        <v>1</v>
      </c>
      <c r="C71" s="38">
        <v>1</v>
      </c>
      <c r="D71" s="1"/>
      <c r="E71" s="1"/>
      <c r="F71" s="1"/>
    </row>
    <row r="72" spans="2:6" x14ac:dyDescent="0.35">
      <c r="B72" s="19">
        <v>1</v>
      </c>
      <c r="C72" s="38">
        <v>2</v>
      </c>
      <c r="D72" s="1"/>
      <c r="E72" s="1"/>
      <c r="F72" s="1"/>
    </row>
    <row r="73" spans="2:6" x14ac:dyDescent="0.35">
      <c r="B73" s="19">
        <v>1</v>
      </c>
      <c r="C73" s="38">
        <v>3</v>
      </c>
      <c r="D73" s="1"/>
      <c r="E73" s="1"/>
      <c r="F73" s="1"/>
    </row>
    <row r="74" spans="2:6" x14ac:dyDescent="0.35">
      <c r="B74" s="19">
        <v>1</v>
      </c>
      <c r="C74" s="38">
        <v>4</v>
      </c>
      <c r="D74" s="1"/>
      <c r="E74" s="1"/>
      <c r="F74" s="1"/>
    </row>
    <row r="75" spans="2:6" x14ac:dyDescent="0.35">
      <c r="B75" s="19">
        <v>1</v>
      </c>
      <c r="C75" s="38">
        <v>5</v>
      </c>
      <c r="D75" s="1"/>
      <c r="E75" s="1"/>
      <c r="F75" s="1"/>
    </row>
    <row r="76" spans="2:6" x14ac:dyDescent="0.35">
      <c r="B76" s="19">
        <v>1</v>
      </c>
      <c r="C76" s="38">
        <v>6</v>
      </c>
      <c r="D76" s="1"/>
      <c r="E76" s="1"/>
      <c r="F76" s="1"/>
    </row>
    <row r="77" spans="2:6" x14ac:dyDescent="0.35">
      <c r="B77" s="19">
        <v>1</v>
      </c>
      <c r="C77" s="38">
        <v>7</v>
      </c>
      <c r="D77" s="1"/>
      <c r="E77" s="1"/>
      <c r="F77" s="1"/>
    </row>
    <row r="78" spans="2:6" x14ac:dyDescent="0.35">
      <c r="B78" s="19">
        <v>1</v>
      </c>
      <c r="C78" s="38">
        <v>8</v>
      </c>
      <c r="D78" s="1"/>
      <c r="E78" s="1"/>
      <c r="F78" s="1"/>
    </row>
    <row r="79" spans="2:6" x14ac:dyDescent="0.35">
      <c r="B79" s="19">
        <v>1</v>
      </c>
      <c r="C79" s="38">
        <v>9</v>
      </c>
      <c r="D79" s="1"/>
      <c r="E79" s="1"/>
      <c r="F79" s="1"/>
    </row>
    <row r="80" spans="2:6" x14ac:dyDescent="0.35">
      <c r="B80" s="19">
        <v>1</v>
      </c>
      <c r="C80" s="38">
        <v>10</v>
      </c>
      <c r="D80" s="1"/>
      <c r="E80" s="1"/>
      <c r="F80" s="1"/>
    </row>
    <row r="81" spans="2:6" x14ac:dyDescent="0.35">
      <c r="B81" s="19">
        <v>1</v>
      </c>
      <c r="C81" s="38">
        <v>11</v>
      </c>
      <c r="D81" s="1"/>
      <c r="E81" s="1"/>
      <c r="F81" s="1"/>
    </row>
    <row r="82" spans="2:6" x14ac:dyDescent="0.35">
      <c r="B82" s="19">
        <v>1</v>
      </c>
      <c r="C82" s="38">
        <v>12</v>
      </c>
      <c r="D82" s="1"/>
      <c r="E82" s="1"/>
      <c r="F82" s="1"/>
    </row>
    <row r="83" spans="2:6" x14ac:dyDescent="0.35">
      <c r="B83" s="19">
        <v>2</v>
      </c>
      <c r="C83" s="38">
        <v>1</v>
      </c>
      <c r="D83" s="1"/>
      <c r="E83" s="1"/>
      <c r="F83" s="1"/>
    </row>
    <row r="84" spans="2:6" x14ac:dyDescent="0.35">
      <c r="B84" s="19">
        <v>2</v>
      </c>
      <c r="C84" s="38">
        <v>2</v>
      </c>
      <c r="D84" s="1"/>
      <c r="E84" s="1"/>
      <c r="F84" s="1"/>
    </row>
    <row r="85" spans="2:6" x14ac:dyDescent="0.35">
      <c r="B85" s="19">
        <v>2</v>
      </c>
      <c r="C85" s="38">
        <v>3</v>
      </c>
      <c r="D85" s="1"/>
      <c r="E85" s="1"/>
      <c r="F85" s="1"/>
    </row>
    <row r="86" spans="2:6" x14ac:dyDescent="0.35">
      <c r="B86" s="19">
        <v>2</v>
      </c>
      <c r="C86" s="38">
        <v>4</v>
      </c>
      <c r="D86" s="1"/>
      <c r="E86" s="1"/>
      <c r="F86" s="1"/>
    </row>
    <row r="87" spans="2:6" x14ac:dyDescent="0.35">
      <c r="B87" s="19">
        <v>2</v>
      </c>
      <c r="C87" s="38">
        <v>5</v>
      </c>
      <c r="D87" s="1"/>
      <c r="E87" s="1"/>
      <c r="F87" s="1"/>
    </row>
    <row r="88" spans="2:6" x14ac:dyDescent="0.35">
      <c r="B88" s="19">
        <v>2</v>
      </c>
      <c r="C88" s="38">
        <v>6</v>
      </c>
      <c r="D88" s="1"/>
      <c r="E88" s="1"/>
      <c r="F88" s="1"/>
    </row>
    <row r="89" spans="2:6" x14ac:dyDescent="0.35">
      <c r="B89" s="19">
        <v>2</v>
      </c>
      <c r="C89" s="38">
        <v>7</v>
      </c>
      <c r="D89" s="1"/>
      <c r="E89" s="1"/>
      <c r="F89" s="1"/>
    </row>
    <row r="90" spans="2:6" x14ac:dyDescent="0.35">
      <c r="B90" s="19">
        <v>2</v>
      </c>
      <c r="C90" s="38">
        <v>8</v>
      </c>
      <c r="D90" s="1"/>
      <c r="E90" s="1"/>
      <c r="F90" s="1"/>
    </row>
    <row r="91" spans="2:6" x14ac:dyDescent="0.35">
      <c r="B91" s="19">
        <v>2</v>
      </c>
      <c r="C91" s="38">
        <v>9</v>
      </c>
      <c r="D91" s="1"/>
      <c r="E91" s="1"/>
      <c r="F91" s="1"/>
    </row>
    <row r="92" spans="2:6" x14ac:dyDescent="0.35">
      <c r="B92" s="19">
        <v>2</v>
      </c>
      <c r="C92" s="38">
        <v>10</v>
      </c>
      <c r="D92" s="1"/>
      <c r="E92" s="1"/>
      <c r="F92" s="1"/>
    </row>
    <row r="93" spans="2:6" x14ac:dyDescent="0.35">
      <c r="B93" s="19">
        <v>2</v>
      </c>
      <c r="C93" s="38">
        <v>11</v>
      </c>
      <c r="D93" s="1"/>
      <c r="E93" s="1"/>
      <c r="F93" s="1"/>
    </row>
    <row r="94" spans="2:6" x14ac:dyDescent="0.35">
      <c r="B94" s="19">
        <v>2</v>
      </c>
      <c r="C94" s="38">
        <v>12</v>
      </c>
      <c r="D94" s="1"/>
      <c r="E94" s="1"/>
      <c r="F94" s="1"/>
    </row>
  </sheetData>
  <sheetProtection sheet="1" objects="1" scenarios="1" formatCells="0" formatColumns="0" formatRows="0" insertHyperlinks="0"/>
  <dataValidations count="6">
    <dataValidation type="list" allowBlank="1" showInputMessage="1" showErrorMessage="1" sqref="E38:E41" xr:uid="{E6388B7F-A9E3-4C08-A727-105A96FF068A}">
      <formula1>INDIRECT("LISTAssess[Assessment Specific]")</formula1>
    </dataValidation>
    <dataValidation type="whole" showInputMessage="1" showErrorMessage="1" error="This is not a realistic number of contact hours please change" sqref="D19" xr:uid="{466D2F45-4014-4FFE-9EE5-692E9DAA9D88}">
      <formula1>0</formula1>
      <formula2>80</formula2>
    </dataValidation>
    <dataValidation type="whole" showInputMessage="1" showErrorMessage="1" error="This is not a realistic number of contact hours please reduce" sqref="D20:D23" xr:uid="{E0A54E99-98C7-4272-9BE4-FF527DC8B57A}">
      <formula1>0</formula1>
      <formula2>80</formula2>
    </dataValidation>
    <dataValidation type="list" allowBlank="1" showInputMessage="1" showErrorMessage="1" sqref="F47:F53 F55:F66" xr:uid="{4FC1F177-A64E-4C6E-85C8-FFECB190D2F6}">
      <formula1>INDIRECT(VLOOKUP($E47, SkillNameMap, 2, FALSE))</formula1>
    </dataValidation>
    <dataValidation type="list" allowBlank="1" showInputMessage="1" showErrorMessage="1" sqref="E46" xr:uid="{C9A809AB-D3EF-41E3-9DE5-AD9A2FFAD04A}">
      <formula1>INDIRECT(VLOOKUP($E54, SkillNameMap, 2, FALSE))</formula1>
    </dataValidation>
    <dataValidation type="list" allowBlank="1" showInputMessage="1" showErrorMessage="1" sqref="F46" xr:uid="{28A425AC-4F9A-496B-9CC4-43178A576D43}">
      <formula1>INDIRECT(VLOOKUP(#REF!,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0D88A783-B440-42D8-B7B1-047C27CE44EC}">
          <x14:formula1>
            <xm:f>LISTS!$J$7:$J$16</xm:f>
          </x14:formula1>
          <xm:sqref>E46:E66</xm:sqref>
        </x14:dataValidation>
        <x14:dataValidation type="list" allowBlank="1" showInputMessage="1" showErrorMessage="1" xr:uid="{6056E02F-FBE4-4A7F-B092-1C836B3F24CD}">
          <x14:formula1>
            <xm:f>LISTS!$E$7:$E$11</xm:f>
          </x14:formula1>
          <xm:sqref>D46:D66</xm:sqref>
        </x14:dataValidation>
        <x14:dataValidation type="list" allowBlank="1" showInputMessage="1" showErrorMessage="1" xr:uid="{4734DBAF-0994-40B8-8BEF-FC54F6EB131C}">
          <x14:formula1>
            <xm:f>LISTS!$G$7:$G$11</xm:f>
          </x14:formula1>
          <xm:sqref>D38:D42</xm:sqref>
        </x14:dataValidation>
        <x14:dataValidation type="list" allowBlank="1" showInputMessage="1" showErrorMessage="1" xr:uid="{D67639F1-62B3-4BE4-A7AD-60738D1B8B45}">
          <x14:formula1>
            <xm:f>LISTS!$C$11:$C$15</xm:f>
          </x14:formula1>
          <xm:sqref>D11</xm:sqref>
        </x14:dataValidation>
        <x14:dataValidation type="list" allowBlank="1" showInputMessage="1" showErrorMessage="1" xr:uid="{52F7C0E0-19D7-4F96-AC6F-B10FF9BA802B}">
          <x14:formula1>
            <xm:f>LISTS!$C$7:$C$9</xm:f>
          </x14:formula1>
          <xm:sqref>D10</xm:sqref>
        </x14:dataValidation>
        <x14:dataValidation type="list" allowBlank="1" showInputMessage="1" showErrorMessage="1" xr:uid="{765F669A-9779-4521-B76C-7C26C75C21E9}">
          <x14:formula1>
            <xm:f>LISTS!$C$17:$C$22</xm:f>
          </x14:formula1>
          <xm:sqref>D13</xm:sqref>
        </x14:dataValidation>
        <x14:dataValidation type="list" allowBlank="1" showInputMessage="1" showErrorMessage="1" xr:uid="{1A88BBCA-297B-4BA4-928A-5911B7DAB291}">
          <x14:formula1>
            <xm:f>LISTS!$C$26:$C$37</xm:f>
          </x14:formula1>
          <xm:sqref>D14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7D3E-176C-4A98-919A-BC8974D66F1E}">
  <sheetPr codeName="Sheet5"/>
  <dimension ref="B2:H94"/>
  <sheetViews>
    <sheetView showGridLines="0" topLeftCell="A42" zoomScale="106" zoomScaleNormal="70" workbookViewId="0">
      <selection activeCell="E38" sqref="E38"/>
    </sheetView>
  </sheetViews>
  <sheetFormatPr defaultColWidth="8.81640625" defaultRowHeight="14.5" x14ac:dyDescent="0.35"/>
  <cols>
    <col min="3" max="3" width="33.453125" customWidth="1"/>
    <col min="4" max="4" width="51.453125" customWidth="1"/>
    <col min="5" max="5" width="67.453125" customWidth="1"/>
    <col min="6" max="6" width="63.1796875" customWidth="1"/>
    <col min="7" max="7" width="12.453125" customWidth="1"/>
    <col min="8" max="8" width="15.453125" customWidth="1"/>
    <col min="9" max="9" width="14.54296875" customWidth="1"/>
  </cols>
  <sheetData>
    <row r="2" spans="2:6" ht="26" x14ac:dyDescent="0.6">
      <c r="C2" s="29" t="str">
        <f>D7</f>
        <v>6301SPS</v>
      </c>
      <c r="D2" s="29" t="str">
        <f>D8</f>
        <v>Football Performance and Technology</v>
      </c>
    </row>
    <row r="3" spans="2:6" x14ac:dyDescent="0.35">
      <c r="B3" s="30"/>
      <c r="C3" s="30"/>
    </row>
    <row r="4" spans="2:6" x14ac:dyDescent="0.35">
      <c r="B4" s="31"/>
      <c r="C4" s="31"/>
    </row>
    <row r="5" spans="2:6" ht="18.5" x14ac:dyDescent="0.35">
      <c r="B5" s="31"/>
      <c r="C5" s="32" t="s">
        <v>0</v>
      </c>
    </row>
    <row r="6" spans="2:6" x14ac:dyDescent="0.35">
      <c r="B6" s="31"/>
      <c r="C6" s="33" t="s">
        <v>1</v>
      </c>
      <c r="D6" s="34" t="s">
        <v>2</v>
      </c>
      <c r="E6" s="34"/>
      <c r="F6" t="s">
        <v>3</v>
      </c>
    </row>
    <row r="7" spans="2:6" ht="29" x14ac:dyDescent="0.35">
      <c r="B7" s="31"/>
      <c r="C7" s="21" t="s">
        <v>4</v>
      </c>
      <c r="D7" s="1" t="s">
        <v>195</v>
      </c>
      <c r="E7" s="34"/>
      <c r="F7" s="9" t="s">
        <v>196</v>
      </c>
    </row>
    <row r="8" spans="2:6" ht="58" x14ac:dyDescent="0.35">
      <c r="B8" s="31"/>
      <c r="C8" s="21" t="s">
        <v>7</v>
      </c>
      <c r="D8" s="1" t="s">
        <v>197</v>
      </c>
      <c r="E8" s="34"/>
      <c r="F8" s="9" t="s">
        <v>198</v>
      </c>
    </row>
    <row r="9" spans="2:6" x14ac:dyDescent="0.35">
      <c r="C9" s="21" t="s">
        <v>9</v>
      </c>
      <c r="D9" s="1">
        <v>20</v>
      </c>
      <c r="E9" s="34"/>
    </row>
    <row r="10" spans="2:6" x14ac:dyDescent="0.35">
      <c r="C10" s="21" t="s">
        <v>10</v>
      </c>
      <c r="D10" s="1">
        <v>1</v>
      </c>
      <c r="E10" s="34"/>
      <c r="F10" t="s">
        <v>11</v>
      </c>
    </row>
    <row r="11" spans="2:6" x14ac:dyDescent="0.35">
      <c r="C11" s="21" t="s">
        <v>12</v>
      </c>
      <c r="D11" s="1">
        <v>6</v>
      </c>
      <c r="E11" s="34"/>
      <c r="F11" s="4" t="s">
        <v>199</v>
      </c>
    </row>
    <row r="12" spans="2:6" x14ac:dyDescent="0.35">
      <c r="C12" s="21" t="s">
        <v>14</v>
      </c>
      <c r="D12" s="1" t="s">
        <v>200</v>
      </c>
      <c r="E12" s="34"/>
      <c r="F12" s="4" t="s">
        <v>201</v>
      </c>
    </row>
    <row r="13" spans="2:6" ht="43.5" x14ac:dyDescent="0.35">
      <c r="C13" s="21" t="s">
        <v>17</v>
      </c>
      <c r="D13" s="1" t="s">
        <v>18</v>
      </c>
      <c r="E13" s="34"/>
      <c r="F13" s="9" t="s">
        <v>202</v>
      </c>
    </row>
    <row r="14" spans="2:6" x14ac:dyDescent="0.35">
      <c r="C14" s="21" t="s">
        <v>20</v>
      </c>
      <c r="D14" s="1" t="s">
        <v>21</v>
      </c>
      <c r="E14" s="34"/>
    </row>
    <row r="15" spans="2:6" x14ac:dyDescent="0.35">
      <c r="C15" s="33"/>
      <c r="D15" s="34"/>
      <c r="E15" s="34"/>
      <c r="F15" t="s">
        <v>22</v>
      </c>
    </row>
    <row r="16" spans="2:6" ht="159.5" x14ac:dyDescent="0.35">
      <c r="C16" s="33"/>
      <c r="D16" s="34"/>
      <c r="E16" s="34"/>
      <c r="F16" s="9" t="s">
        <v>203</v>
      </c>
    </row>
    <row r="17" spans="3:6" ht="18.5" x14ac:dyDescent="0.35">
      <c r="C17" s="32" t="s">
        <v>24</v>
      </c>
      <c r="D17" s="34"/>
      <c r="E17" s="34"/>
      <c r="F17" s="4"/>
    </row>
    <row r="18" spans="3:6" x14ac:dyDescent="0.35">
      <c r="C18" s="33" t="s">
        <v>25</v>
      </c>
      <c r="D18" s="30" t="s">
        <v>24</v>
      </c>
      <c r="E18" s="34"/>
      <c r="F18" s="4"/>
    </row>
    <row r="19" spans="3:6" x14ac:dyDescent="0.35">
      <c r="C19" s="21" t="s">
        <v>26</v>
      </c>
      <c r="D19" s="2">
        <v>22</v>
      </c>
      <c r="E19" s="34"/>
      <c r="F19" s="4"/>
    </row>
    <row r="20" spans="3:6" x14ac:dyDescent="0.35">
      <c r="C20" s="21" t="s">
        <v>27</v>
      </c>
      <c r="D20" s="2"/>
      <c r="E20" s="34"/>
      <c r="F20" s="4"/>
    </row>
    <row r="21" spans="3:6" x14ac:dyDescent="0.35">
      <c r="C21" s="21" t="s">
        <v>28</v>
      </c>
      <c r="D21" s="2">
        <v>16</v>
      </c>
      <c r="E21" s="34"/>
    </row>
    <row r="22" spans="3:6" x14ac:dyDescent="0.35">
      <c r="C22" s="21" t="s">
        <v>29</v>
      </c>
      <c r="D22" s="2">
        <v>8</v>
      </c>
      <c r="E22" s="34"/>
      <c r="F22" t="s">
        <v>30</v>
      </c>
    </row>
    <row r="23" spans="3:6" x14ac:dyDescent="0.35">
      <c r="C23" s="21" t="s">
        <v>31</v>
      </c>
      <c r="D23" s="2"/>
      <c r="E23" s="34"/>
      <c r="F23" s="4" t="s">
        <v>169</v>
      </c>
    </row>
    <row r="24" spans="3:6" x14ac:dyDescent="0.35">
      <c r="C24" s="21" t="s">
        <v>33</v>
      </c>
      <c r="D24" s="30">
        <f>SUM(D19:D23)</f>
        <v>46</v>
      </c>
      <c r="E24" s="34"/>
      <c r="F24" s="4"/>
    </row>
    <row r="25" spans="3:6" x14ac:dyDescent="0.35">
      <c r="F25" s="4"/>
    </row>
    <row r="26" spans="3:6" x14ac:dyDescent="0.35">
      <c r="F26" s="4"/>
    </row>
    <row r="27" spans="3:6" ht="18.5" x14ac:dyDescent="0.4">
      <c r="C27" s="32" t="s">
        <v>35</v>
      </c>
      <c r="D27" s="35" t="s">
        <v>36</v>
      </c>
      <c r="F27" s="4"/>
    </row>
    <row r="28" spans="3:6" x14ac:dyDescent="0.35">
      <c r="C28" s="33" t="s">
        <v>37</v>
      </c>
      <c r="D28" s="33" t="s">
        <v>38</v>
      </c>
      <c r="E28" s="33"/>
      <c r="F28" s="4"/>
    </row>
    <row r="29" spans="3:6" ht="29" x14ac:dyDescent="0.35">
      <c r="C29" s="21" t="s">
        <v>39</v>
      </c>
      <c r="D29" s="1" t="s">
        <v>204</v>
      </c>
      <c r="E29" s="34"/>
      <c r="F29" s="4"/>
    </row>
    <row r="30" spans="3:6" ht="29" x14ac:dyDescent="0.35">
      <c r="C30" s="21" t="s">
        <v>41</v>
      </c>
      <c r="D30" s="1" t="s">
        <v>205</v>
      </c>
      <c r="E30" s="34"/>
      <c r="F30" s="4"/>
    </row>
    <row r="31" spans="3:6" ht="29" x14ac:dyDescent="0.35">
      <c r="C31" s="21" t="s">
        <v>43</v>
      </c>
      <c r="D31" s="1" t="s">
        <v>206</v>
      </c>
      <c r="E31" s="34"/>
      <c r="F31" s="4"/>
    </row>
    <row r="32" spans="3:6" x14ac:dyDescent="0.35">
      <c r="C32" s="21" t="s">
        <v>44</v>
      </c>
      <c r="D32" s="1"/>
      <c r="E32" s="34"/>
      <c r="F32" s="4"/>
    </row>
    <row r="33" spans="3:8" x14ac:dyDescent="0.35">
      <c r="C33" s="21" t="s">
        <v>45</v>
      </c>
      <c r="D33" s="1"/>
      <c r="E33" s="34"/>
      <c r="F33" s="4"/>
    </row>
    <row r="36" spans="3:8" ht="18.5" x14ac:dyDescent="0.35">
      <c r="C36" s="32" t="s">
        <v>46</v>
      </c>
    </row>
    <row r="37" spans="3:8" x14ac:dyDescent="0.35">
      <c r="C37" s="33" t="s">
        <v>47</v>
      </c>
      <c r="D37" s="33" t="s">
        <v>48</v>
      </c>
      <c r="E37" s="33" t="s">
        <v>49</v>
      </c>
      <c r="F37" s="33" t="s">
        <v>50</v>
      </c>
      <c r="G37" s="33" t="s">
        <v>51</v>
      </c>
      <c r="H37" s="33" t="s">
        <v>52</v>
      </c>
    </row>
    <row r="38" spans="3:8" ht="29" x14ac:dyDescent="0.35">
      <c r="C38" s="21" t="s">
        <v>53</v>
      </c>
      <c r="D38" s="1" t="s">
        <v>207</v>
      </c>
      <c r="E38" s="1" t="s">
        <v>208</v>
      </c>
      <c r="F38" s="9" t="s">
        <v>209</v>
      </c>
      <c r="G38" s="3">
        <v>0.5</v>
      </c>
      <c r="H38" s="1">
        <v>7</v>
      </c>
    </row>
    <row r="39" spans="3:8" ht="43.5" x14ac:dyDescent="0.35">
      <c r="C39" s="21" t="s">
        <v>57</v>
      </c>
      <c r="D39" s="1" t="s">
        <v>54</v>
      </c>
      <c r="E39" s="1" t="s">
        <v>55</v>
      </c>
      <c r="F39" s="1" t="s">
        <v>210</v>
      </c>
      <c r="G39" s="3">
        <v>0.5</v>
      </c>
      <c r="H39" s="1">
        <v>12</v>
      </c>
    </row>
    <row r="40" spans="3:8" x14ac:dyDescent="0.35">
      <c r="C40" s="21" t="s">
        <v>62</v>
      </c>
      <c r="D40" s="4"/>
      <c r="E40" s="1"/>
      <c r="F40" s="4"/>
      <c r="G40" s="4"/>
      <c r="H40" s="4"/>
    </row>
    <row r="41" spans="3:8" x14ac:dyDescent="0.35">
      <c r="C41" s="21" t="s">
        <v>63</v>
      </c>
      <c r="D41" s="4"/>
      <c r="E41" s="4"/>
      <c r="F41" s="4"/>
      <c r="G41" s="4"/>
      <c r="H41" s="4"/>
    </row>
    <row r="42" spans="3:8" x14ac:dyDescent="0.35">
      <c r="C42" s="33"/>
    </row>
    <row r="44" spans="3:8" ht="18.5" x14ac:dyDescent="0.4">
      <c r="C44" s="32" t="s">
        <v>64</v>
      </c>
      <c r="D44" s="35"/>
    </row>
    <row r="45" spans="3:8" x14ac:dyDescent="0.35">
      <c r="C45" s="30" t="s">
        <v>47</v>
      </c>
      <c r="D45" s="30" t="s">
        <v>37</v>
      </c>
      <c r="E45" s="30" t="s">
        <v>65</v>
      </c>
      <c r="F45" s="30" t="s">
        <v>66</v>
      </c>
    </row>
    <row r="46" spans="3:8" x14ac:dyDescent="0.35">
      <c r="C46" s="5" t="s">
        <v>53</v>
      </c>
      <c r="D46" s="4" t="s">
        <v>39</v>
      </c>
      <c r="E46" s="4" t="s">
        <v>119</v>
      </c>
      <c r="F46" s="4" t="s">
        <v>121</v>
      </c>
    </row>
    <row r="47" spans="3:8" x14ac:dyDescent="0.35">
      <c r="C47" s="5" t="s">
        <v>53</v>
      </c>
      <c r="D47" s="4" t="s">
        <v>39</v>
      </c>
      <c r="E47" s="4" t="s">
        <v>119</v>
      </c>
      <c r="F47" s="4" t="s">
        <v>122</v>
      </c>
    </row>
    <row r="48" spans="3:8" x14ac:dyDescent="0.35">
      <c r="C48" s="5" t="s">
        <v>53</v>
      </c>
      <c r="D48" s="4" t="s">
        <v>39</v>
      </c>
      <c r="E48" s="4" t="s">
        <v>124</v>
      </c>
      <c r="F48" s="4" t="s">
        <v>125</v>
      </c>
    </row>
    <row r="49" spans="3:6" x14ac:dyDescent="0.35">
      <c r="C49" s="5" t="s">
        <v>53</v>
      </c>
      <c r="D49" s="4" t="s">
        <v>43</v>
      </c>
      <c r="E49" s="4" t="s">
        <v>124</v>
      </c>
      <c r="F49" s="4" t="s">
        <v>211</v>
      </c>
    </row>
    <row r="50" spans="3:6" x14ac:dyDescent="0.35">
      <c r="C50" s="5" t="s">
        <v>53</v>
      </c>
      <c r="D50" s="4" t="s">
        <v>43</v>
      </c>
      <c r="E50" s="4" t="s">
        <v>124</v>
      </c>
      <c r="F50" s="4" t="s">
        <v>212</v>
      </c>
    </row>
    <row r="51" spans="3:6" x14ac:dyDescent="0.35">
      <c r="C51" s="5" t="s">
        <v>53</v>
      </c>
      <c r="D51" s="4" t="s">
        <v>43</v>
      </c>
      <c r="E51" s="4" t="s">
        <v>67</v>
      </c>
      <c r="F51" s="4" t="s">
        <v>213</v>
      </c>
    </row>
    <row r="52" spans="3:6" x14ac:dyDescent="0.35">
      <c r="C52" s="5" t="s">
        <v>53</v>
      </c>
      <c r="D52" s="4" t="s">
        <v>41</v>
      </c>
      <c r="E52" s="4" t="s">
        <v>119</v>
      </c>
      <c r="F52" s="4" t="s">
        <v>120</v>
      </c>
    </row>
    <row r="53" spans="3:6" x14ac:dyDescent="0.35">
      <c r="C53" s="5" t="s">
        <v>57</v>
      </c>
      <c r="D53" s="4" t="s">
        <v>41</v>
      </c>
      <c r="E53" s="4" t="s">
        <v>124</v>
      </c>
      <c r="F53" s="4" t="s">
        <v>211</v>
      </c>
    </row>
    <row r="54" spans="3:6" x14ac:dyDescent="0.35">
      <c r="C54" s="5" t="s">
        <v>57</v>
      </c>
      <c r="D54" s="4" t="s">
        <v>43</v>
      </c>
      <c r="E54" s="4" t="s">
        <v>67</v>
      </c>
      <c r="F54" s="4" t="s">
        <v>68</v>
      </c>
    </row>
    <row r="55" spans="3:6" x14ac:dyDescent="0.35">
      <c r="C55" s="5" t="s">
        <v>57</v>
      </c>
      <c r="D55" s="4" t="s">
        <v>41</v>
      </c>
      <c r="E55" s="4" t="s">
        <v>119</v>
      </c>
      <c r="F55" s="4" t="s">
        <v>120</v>
      </c>
    </row>
    <row r="56" spans="3:6" x14ac:dyDescent="0.35">
      <c r="C56" s="5" t="s">
        <v>57</v>
      </c>
      <c r="D56" s="4" t="s">
        <v>43</v>
      </c>
      <c r="E56" s="4" t="s">
        <v>124</v>
      </c>
      <c r="F56" s="4" t="s">
        <v>214</v>
      </c>
    </row>
    <row r="57" spans="3:6" x14ac:dyDescent="0.35">
      <c r="C57" s="5"/>
      <c r="D57" s="4"/>
      <c r="E57" s="4"/>
      <c r="F57" s="4"/>
    </row>
    <row r="58" spans="3:6" x14ac:dyDescent="0.35">
      <c r="C58" s="5"/>
      <c r="D58" s="4"/>
      <c r="E58" s="4"/>
      <c r="F58" s="4"/>
    </row>
    <row r="59" spans="3:6" x14ac:dyDescent="0.35">
      <c r="C59" s="5"/>
      <c r="D59" s="4"/>
      <c r="E59" s="4"/>
      <c r="F59" s="4"/>
    </row>
    <row r="60" spans="3:6" x14ac:dyDescent="0.35">
      <c r="C60" s="5"/>
      <c r="D60" s="4"/>
      <c r="E60" s="4"/>
      <c r="F60" s="4"/>
    </row>
    <row r="61" spans="3:6" x14ac:dyDescent="0.35">
      <c r="C61" s="5"/>
      <c r="D61" s="4"/>
      <c r="E61" s="4"/>
      <c r="F61" s="4"/>
    </row>
    <row r="62" spans="3:6" x14ac:dyDescent="0.35">
      <c r="C62" s="5"/>
      <c r="D62" s="4"/>
      <c r="E62" s="4"/>
      <c r="F62" s="4"/>
    </row>
    <row r="63" spans="3:6" x14ac:dyDescent="0.35">
      <c r="C63" s="5"/>
      <c r="D63" s="4"/>
      <c r="E63" s="4"/>
      <c r="F63" s="4"/>
    </row>
    <row r="64" spans="3:6" x14ac:dyDescent="0.35">
      <c r="C64" s="5"/>
      <c r="D64" s="4"/>
      <c r="E64" s="4"/>
      <c r="F64" s="4"/>
    </row>
    <row r="65" spans="2:6" x14ac:dyDescent="0.35">
      <c r="C65" s="5"/>
      <c r="D65" s="4"/>
      <c r="E65" s="4"/>
      <c r="F65" s="4"/>
    </row>
    <row r="66" spans="2:6" x14ac:dyDescent="0.35">
      <c r="C66" s="5"/>
      <c r="D66" s="4"/>
      <c r="E66" s="4"/>
      <c r="F66" s="4"/>
    </row>
    <row r="69" spans="2:6" ht="18.5" x14ac:dyDescent="0.35">
      <c r="C69" s="32" t="s">
        <v>81</v>
      </c>
    </row>
    <row r="70" spans="2:6" x14ac:dyDescent="0.35">
      <c r="B70" t="s">
        <v>82</v>
      </c>
      <c r="C70" s="30" t="s">
        <v>83</v>
      </c>
      <c r="D70" s="30" t="s">
        <v>84</v>
      </c>
      <c r="E70" s="30" t="s">
        <v>85</v>
      </c>
      <c r="F70" s="30" t="s">
        <v>86</v>
      </c>
    </row>
    <row r="71" spans="2:6" x14ac:dyDescent="0.35">
      <c r="B71" s="19">
        <v>1</v>
      </c>
      <c r="C71" s="38">
        <v>1</v>
      </c>
      <c r="D71" s="1" t="s">
        <v>215</v>
      </c>
      <c r="E71" s="1" t="s">
        <v>216</v>
      </c>
      <c r="F71" s="1"/>
    </row>
    <row r="72" spans="2:6" x14ac:dyDescent="0.35">
      <c r="B72" s="19">
        <v>1</v>
      </c>
      <c r="C72" s="38">
        <v>2</v>
      </c>
      <c r="D72" s="1" t="s">
        <v>217</v>
      </c>
      <c r="E72" s="1" t="s">
        <v>218</v>
      </c>
      <c r="F72" s="1" t="s">
        <v>219</v>
      </c>
    </row>
    <row r="73" spans="2:6" x14ac:dyDescent="0.35">
      <c r="B73" s="19">
        <v>1</v>
      </c>
      <c r="C73" s="38">
        <v>3</v>
      </c>
      <c r="D73" s="1" t="s">
        <v>220</v>
      </c>
      <c r="E73" s="4" t="s">
        <v>221</v>
      </c>
      <c r="F73" s="1"/>
    </row>
    <row r="74" spans="2:6" x14ac:dyDescent="0.35">
      <c r="B74" s="19">
        <v>1</v>
      </c>
      <c r="C74" s="38">
        <v>4</v>
      </c>
      <c r="D74" s="1" t="s">
        <v>222</v>
      </c>
      <c r="E74" s="1" t="s">
        <v>223</v>
      </c>
      <c r="F74" s="1"/>
    </row>
    <row r="75" spans="2:6" x14ac:dyDescent="0.35">
      <c r="B75" s="19">
        <v>1</v>
      </c>
      <c r="C75" s="38">
        <v>5</v>
      </c>
      <c r="D75" s="1" t="s">
        <v>224</v>
      </c>
      <c r="E75" s="1" t="s">
        <v>225</v>
      </c>
      <c r="F75" s="1" t="s">
        <v>226</v>
      </c>
    </row>
    <row r="76" spans="2:6" x14ac:dyDescent="0.35">
      <c r="B76" s="19">
        <v>1</v>
      </c>
      <c r="C76" s="38">
        <v>6</v>
      </c>
      <c r="D76" s="1" t="s">
        <v>227</v>
      </c>
      <c r="E76" s="1" t="s">
        <v>228</v>
      </c>
      <c r="F76" s="1"/>
    </row>
    <row r="77" spans="2:6" x14ac:dyDescent="0.35">
      <c r="B77" s="19">
        <v>1</v>
      </c>
      <c r="C77" s="38">
        <v>7</v>
      </c>
      <c r="D77" s="1" t="s">
        <v>229</v>
      </c>
      <c r="E77" s="1"/>
      <c r="F77" s="1"/>
    </row>
    <row r="78" spans="2:6" x14ac:dyDescent="0.35">
      <c r="B78" s="19">
        <v>1</v>
      </c>
      <c r="C78" s="38">
        <v>8</v>
      </c>
      <c r="D78" s="1" t="s">
        <v>230</v>
      </c>
      <c r="E78" s="1" t="s">
        <v>226</v>
      </c>
      <c r="F78" s="1" t="s">
        <v>231</v>
      </c>
    </row>
    <row r="79" spans="2:6" x14ac:dyDescent="0.35">
      <c r="B79" s="19">
        <v>1</v>
      </c>
      <c r="C79" s="38">
        <v>9</v>
      </c>
      <c r="D79" s="1" t="s">
        <v>232</v>
      </c>
      <c r="E79" s="1" t="s">
        <v>231</v>
      </c>
      <c r="F79" s="1"/>
    </row>
    <row r="80" spans="2:6" x14ac:dyDescent="0.35">
      <c r="B80" s="19">
        <v>1</v>
      </c>
      <c r="C80" s="38">
        <v>10</v>
      </c>
      <c r="D80" s="1" t="s">
        <v>233</v>
      </c>
      <c r="E80" s="1" t="s">
        <v>231</v>
      </c>
      <c r="F80" s="1" t="s">
        <v>234</v>
      </c>
    </row>
    <row r="81" spans="2:6" x14ac:dyDescent="0.35">
      <c r="B81" s="19">
        <v>1</v>
      </c>
      <c r="C81" s="38">
        <v>11</v>
      </c>
      <c r="D81" s="1" t="s">
        <v>235</v>
      </c>
      <c r="E81" s="1"/>
      <c r="F81" s="1"/>
    </row>
    <row r="82" spans="2:6" x14ac:dyDescent="0.35">
      <c r="B82" s="19">
        <v>1</v>
      </c>
      <c r="C82" s="38">
        <v>12</v>
      </c>
      <c r="D82" s="1" t="s">
        <v>236</v>
      </c>
      <c r="E82" s="1" t="s">
        <v>237</v>
      </c>
      <c r="F82" s="1"/>
    </row>
    <row r="83" spans="2:6" x14ac:dyDescent="0.35">
      <c r="B83" s="19">
        <v>2</v>
      </c>
      <c r="C83" s="38">
        <v>1</v>
      </c>
      <c r="D83" s="1"/>
      <c r="E83" s="1"/>
      <c r="F83" s="1"/>
    </row>
    <row r="84" spans="2:6" x14ac:dyDescent="0.35">
      <c r="B84" s="19">
        <v>2</v>
      </c>
      <c r="C84" s="38">
        <v>2</v>
      </c>
      <c r="D84" s="1"/>
      <c r="E84" s="1"/>
      <c r="F84" s="1"/>
    </row>
    <row r="85" spans="2:6" x14ac:dyDescent="0.35">
      <c r="B85" s="19">
        <v>2</v>
      </c>
      <c r="C85" s="38">
        <v>3</v>
      </c>
      <c r="D85" s="1"/>
      <c r="E85" s="1"/>
      <c r="F85" s="1"/>
    </row>
    <row r="86" spans="2:6" x14ac:dyDescent="0.35">
      <c r="B86" s="19">
        <v>2</v>
      </c>
      <c r="C86" s="38">
        <v>4</v>
      </c>
      <c r="D86" s="1"/>
      <c r="E86" s="1"/>
      <c r="F86" s="1"/>
    </row>
    <row r="87" spans="2:6" x14ac:dyDescent="0.35">
      <c r="B87" s="19">
        <v>2</v>
      </c>
      <c r="C87" s="38">
        <v>5</v>
      </c>
      <c r="D87" s="1"/>
      <c r="E87" s="1"/>
      <c r="F87" s="1"/>
    </row>
    <row r="88" spans="2:6" x14ac:dyDescent="0.35">
      <c r="B88" s="19">
        <v>2</v>
      </c>
      <c r="C88" s="38">
        <v>6</v>
      </c>
      <c r="D88" s="1"/>
      <c r="E88" s="1"/>
      <c r="F88" s="1"/>
    </row>
    <row r="89" spans="2:6" x14ac:dyDescent="0.35">
      <c r="B89" s="19">
        <v>2</v>
      </c>
      <c r="C89" s="38">
        <v>7</v>
      </c>
      <c r="D89" s="1"/>
      <c r="E89" s="1"/>
      <c r="F89" s="1"/>
    </row>
    <row r="90" spans="2:6" x14ac:dyDescent="0.35">
      <c r="B90" s="19">
        <v>2</v>
      </c>
      <c r="C90" s="38">
        <v>8</v>
      </c>
      <c r="D90" s="1"/>
      <c r="E90" s="1"/>
      <c r="F90" s="1"/>
    </row>
    <row r="91" spans="2:6" x14ac:dyDescent="0.35">
      <c r="B91" s="19">
        <v>2</v>
      </c>
      <c r="C91" s="38">
        <v>9</v>
      </c>
      <c r="D91" s="1"/>
      <c r="E91" s="1"/>
      <c r="F91" s="1"/>
    </row>
    <row r="92" spans="2:6" x14ac:dyDescent="0.35">
      <c r="B92" s="19">
        <v>2</v>
      </c>
      <c r="C92" s="38">
        <v>10</v>
      </c>
      <c r="D92" s="1"/>
      <c r="E92" s="1"/>
      <c r="F92" s="1"/>
    </row>
    <row r="93" spans="2:6" x14ac:dyDescent="0.35">
      <c r="B93" s="19">
        <v>2</v>
      </c>
      <c r="C93" s="38">
        <v>11</v>
      </c>
      <c r="D93" s="1"/>
      <c r="E93" s="1"/>
      <c r="F93" s="1"/>
    </row>
    <row r="94" spans="2:6" x14ac:dyDescent="0.35">
      <c r="B94" s="19">
        <v>2</v>
      </c>
      <c r="C94" s="38">
        <v>12</v>
      </c>
      <c r="D94" s="1"/>
      <c r="E94" s="1"/>
      <c r="F94" s="1"/>
    </row>
  </sheetData>
  <sheetProtection formatCells="0" formatColumns="0" formatRows="0" insertHyperlinks="0"/>
  <dataValidations count="4">
    <dataValidation type="list" allowBlank="1" showInputMessage="1" showErrorMessage="1" sqref="F46:F66" xr:uid="{A6F5F47F-6866-478E-9880-CF9E3CF9BFDA}">
      <formula1>INDIRECT(VLOOKUP($E46, SkillNameMap, 2, FALSE))</formula1>
    </dataValidation>
    <dataValidation type="list" allowBlank="1" showInputMessage="1" showErrorMessage="1" sqref="E38:E41" xr:uid="{6B033663-DA4C-4E1E-ACA3-197C23B3DA27}">
      <formula1>INDIRECT("LISTAssess[Assessment Specific]")</formula1>
    </dataValidation>
    <dataValidation type="whole" showInputMessage="1" showErrorMessage="1" error="This is not a realistic number of contact hours please change" sqref="D19" xr:uid="{002B1BD8-24F6-46FD-A0E4-8333C78B8357}">
      <formula1>0</formula1>
      <formula2>80</formula2>
    </dataValidation>
    <dataValidation type="whole" showInputMessage="1" showErrorMessage="1" error="This is not a realistic number of contact hours please reduce" sqref="D20:D23" xr:uid="{E4839EC2-0B62-4F96-A8C1-2B68B106BEF1}">
      <formula1>0</formula1>
      <formula2>80</formula2>
    </dataValidation>
  </dataValidations>
  <pageMargins left="0.7" right="0.7" top="0.75" bottom="0.75" header="0.3" footer="0.3"/>
  <pageSetup paperSize="9" orientation="portrait" horizontalDpi="4294967293" verticalDpi="0" r:id="rId1"/>
  <legacy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7">
        <x14:dataValidation type="list" allowBlank="1" showInputMessage="1" showErrorMessage="1" xr:uid="{F8A31BEF-5E3B-417C-9E73-D27481A5C886}">
          <x14:formula1>
            <xm:f>LISTS!$J$7:$J$16</xm:f>
          </x14:formula1>
          <xm:sqref>E46:E66</xm:sqref>
        </x14:dataValidation>
        <x14:dataValidation type="list" allowBlank="1" showInputMessage="1" showErrorMessage="1" xr:uid="{4A234C3A-C5D8-4DCE-A391-988FDC67A9B9}">
          <x14:formula1>
            <xm:f>LISTS!$E$7:$E$11</xm:f>
          </x14:formula1>
          <xm:sqref>D46:D66</xm:sqref>
        </x14:dataValidation>
        <x14:dataValidation type="list" allowBlank="1" showInputMessage="1" showErrorMessage="1" xr:uid="{3192E7A5-766C-4AB3-9259-83B852E400AB}">
          <x14:formula1>
            <xm:f>LISTS!$G$7:$G$11</xm:f>
          </x14:formula1>
          <xm:sqref>D38:D42</xm:sqref>
        </x14:dataValidation>
        <x14:dataValidation type="list" allowBlank="1" showInputMessage="1" showErrorMessage="1" xr:uid="{71464BA5-EA7B-4280-8E21-FEA97DF76E39}">
          <x14:formula1>
            <xm:f>LISTS!$C$11:$C$15</xm:f>
          </x14:formula1>
          <xm:sqref>D11</xm:sqref>
        </x14:dataValidation>
        <x14:dataValidation type="list" allowBlank="1" showInputMessage="1" showErrorMessage="1" xr:uid="{ED74EE7F-E73A-4E7D-BB1B-77B834D943C7}">
          <x14:formula1>
            <xm:f>LISTS!$C$7:$C$9</xm:f>
          </x14:formula1>
          <xm:sqref>D10</xm:sqref>
        </x14:dataValidation>
        <x14:dataValidation type="list" allowBlank="1" showInputMessage="1" showErrorMessage="1" xr:uid="{F88D41F7-E6D7-4EA0-ABD2-42A925615DAA}">
          <x14:formula1>
            <xm:f>LISTS!$C$17:$C$22</xm:f>
          </x14:formula1>
          <xm:sqref>D13</xm:sqref>
        </x14:dataValidation>
        <x14:dataValidation type="list" allowBlank="1" showInputMessage="1" showErrorMessage="1" xr:uid="{799447E1-E0B9-422D-8078-3D88555E8F5B}">
          <x14:formula1>
            <xm:f>LISTS!$C$26:$C$37</xm:f>
          </x14:formula1>
          <xm:sqref>D14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4455-5C9F-407B-9192-42F597732675}">
  <sheetPr codeName="Sheet6"/>
  <dimension ref="B2:H94"/>
  <sheetViews>
    <sheetView showGridLines="0" topLeftCell="D45" zoomScale="113" zoomScaleNormal="85" workbookViewId="0">
      <selection activeCell="F45" sqref="F45:F55"/>
    </sheetView>
  </sheetViews>
  <sheetFormatPr defaultColWidth="8.81640625" defaultRowHeight="14.5" x14ac:dyDescent="0.35"/>
  <cols>
    <col min="3" max="3" width="33.453125" customWidth="1"/>
    <col min="4" max="4" width="51.453125" customWidth="1"/>
    <col min="5" max="5" width="67.453125" customWidth="1"/>
    <col min="6" max="6" width="63.1796875" customWidth="1"/>
    <col min="7" max="7" width="12.453125" customWidth="1"/>
    <col min="8" max="8" width="20.1796875" customWidth="1"/>
    <col min="9" max="9" width="14.54296875" customWidth="1"/>
  </cols>
  <sheetData>
    <row r="2" spans="2:6" ht="26" x14ac:dyDescent="0.6">
      <c r="C2" s="29" t="str">
        <f>D7</f>
        <v>6302SPS</v>
      </c>
      <c r="D2" s="29" t="str">
        <f>D8</f>
        <v>Physical Performance in Football</v>
      </c>
    </row>
    <row r="3" spans="2:6" x14ac:dyDescent="0.35">
      <c r="B3" s="30"/>
      <c r="C3" s="30"/>
    </row>
    <row r="4" spans="2:6" x14ac:dyDescent="0.35">
      <c r="B4" s="31"/>
      <c r="C4" s="31"/>
    </row>
    <row r="5" spans="2:6" ht="18.5" x14ac:dyDescent="0.35">
      <c r="B5" s="31"/>
      <c r="C5" s="32" t="s">
        <v>0</v>
      </c>
    </row>
    <row r="6" spans="2:6" x14ac:dyDescent="0.35">
      <c r="B6" s="31"/>
      <c r="C6" s="33" t="s">
        <v>1</v>
      </c>
      <c r="D6" s="34" t="s">
        <v>2</v>
      </c>
      <c r="E6" s="34"/>
      <c r="F6" t="s">
        <v>3</v>
      </c>
    </row>
    <row r="7" spans="2:6" x14ac:dyDescent="0.35">
      <c r="B7" s="31"/>
      <c r="C7" s="21" t="s">
        <v>4</v>
      </c>
      <c r="D7" s="1" t="s">
        <v>240</v>
      </c>
      <c r="E7" s="34"/>
      <c r="F7" s="4"/>
    </row>
    <row r="8" spans="2:6" ht="58" x14ac:dyDescent="0.35">
      <c r="B8" s="31"/>
      <c r="C8" s="21" t="s">
        <v>7</v>
      </c>
      <c r="D8" s="1" t="s">
        <v>241</v>
      </c>
      <c r="E8" s="34"/>
      <c r="F8" s="9" t="s">
        <v>242</v>
      </c>
    </row>
    <row r="9" spans="2:6" x14ac:dyDescent="0.35">
      <c r="C9" s="21" t="s">
        <v>9</v>
      </c>
      <c r="D9" s="1">
        <v>20</v>
      </c>
      <c r="E9" s="34"/>
    </row>
    <row r="10" spans="2:6" x14ac:dyDescent="0.35">
      <c r="C10" s="21" t="s">
        <v>10</v>
      </c>
      <c r="D10" s="1">
        <v>2</v>
      </c>
      <c r="E10" s="34"/>
      <c r="F10" t="s">
        <v>11</v>
      </c>
    </row>
    <row r="11" spans="2:6" x14ac:dyDescent="0.35">
      <c r="C11" s="21" t="s">
        <v>12</v>
      </c>
      <c r="D11" s="1">
        <v>6</v>
      </c>
      <c r="E11" s="34"/>
      <c r="F11" s="4"/>
    </row>
    <row r="12" spans="2:6" ht="101.5" x14ac:dyDescent="0.35">
      <c r="C12" s="21" t="s">
        <v>14</v>
      </c>
      <c r="D12" s="1" t="s">
        <v>243</v>
      </c>
      <c r="E12" s="34"/>
      <c r="F12" s="9" t="s">
        <v>244</v>
      </c>
    </row>
    <row r="13" spans="2:6" x14ac:dyDescent="0.35">
      <c r="C13" s="21" t="s">
        <v>17</v>
      </c>
      <c r="D13" s="1" t="s">
        <v>18</v>
      </c>
      <c r="E13" s="34"/>
      <c r="F13" s="4"/>
    </row>
    <row r="14" spans="2:6" x14ac:dyDescent="0.35">
      <c r="C14" s="21" t="s">
        <v>20</v>
      </c>
      <c r="D14" s="1" t="s">
        <v>21</v>
      </c>
      <c r="E14" s="34"/>
    </row>
    <row r="15" spans="2:6" x14ac:dyDescent="0.35">
      <c r="C15" s="33"/>
      <c r="D15" s="34"/>
      <c r="E15" s="34"/>
      <c r="F15" t="s">
        <v>22</v>
      </c>
    </row>
    <row r="16" spans="2:6" x14ac:dyDescent="0.35">
      <c r="C16" s="33"/>
      <c r="D16" s="34"/>
      <c r="E16" s="34"/>
      <c r="F16" s="4"/>
    </row>
    <row r="17" spans="3:6" ht="72.5" x14ac:dyDescent="0.35">
      <c r="C17" s="32" t="s">
        <v>24</v>
      </c>
      <c r="D17" s="34"/>
      <c r="E17" s="34"/>
      <c r="F17" s="9" t="s">
        <v>245</v>
      </c>
    </row>
    <row r="18" spans="3:6" x14ac:dyDescent="0.35">
      <c r="C18" s="33" t="s">
        <v>25</v>
      </c>
      <c r="D18" s="30" t="s">
        <v>24</v>
      </c>
      <c r="E18" s="34"/>
      <c r="F18" s="4"/>
    </row>
    <row r="19" spans="3:6" x14ac:dyDescent="0.35">
      <c r="C19" s="21" t="s">
        <v>26</v>
      </c>
      <c r="D19" s="2">
        <v>8</v>
      </c>
      <c r="E19" s="34"/>
      <c r="F19" s="4"/>
    </row>
    <row r="20" spans="3:6" x14ac:dyDescent="0.35">
      <c r="C20" s="21" t="s">
        <v>27</v>
      </c>
      <c r="D20" s="2"/>
      <c r="E20" s="34"/>
      <c r="F20" s="4"/>
    </row>
    <row r="21" spans="3:6" x14ac:dyDescent="0.35">
      <c r="C21" s="21" t="s">
        <v>28</v>
      </c>
      <c r="D21" s="2">
        <v>12</v>
      </c>
      <c r="E21" s="34"/>
    </row>
    <row r="22" spans="3:6" x14ac:dyDescent="0.35">
      <c r="C22" s="21" t="s">
        <v>29</v>
      </c>
      <c r="D22" s="2">
        <v>20</v>
      </c>
      <c r="E22" s="34"/>
      <c r="F22" t="s">
        <v>30</v>
      </c>
    </row>
    <row r="23" spans="3:6" ht="29" x14ac:dyDescent="0.35">
      <c r="C23" s="21" t="s">
        <v>31</v>
      </c>
      <c r="D23" s="2"/>
      <c r="E23" s="34"/>
      <c r="F23" s="9" t="s">
        <v>246</v>
      </c>
    </row>
    <row r="24" spans="3:6" x14ac:dyDescent="0.35">
      <c r="C24" s="21" t="s">
        <v>33</v>
      </c>
      <c r="D24" s="30">
        <f>SUM(D19:D23)</f>
        <v>40</v>
      </c>
      <c r="E24" s="34"/>
      <c r="F24" s="4"/>
    </row>
    <row r="25" spans="3:6" x14ac:dyDescent="0.35">
      <c r="F25" s="4"/>
    </row>
    <row r="26" spans="3:6" x14ac:dyDescent="0.35">
      <c r="F26" s="4"/>
    </row>
    <row r="27" spans="3:6" ht="18.5" x14ac:dyDescent="0.4">
      <c r="C27" s="32" t="s">
        <v>35</v>
      </c>
      <c r="D27" s="35" t="s">
        <v>36</v>
      </c>
      <c r="F27" s="4"/>
    </row>
    <row r="28" spans="3:6" x14ac:dyDescent="0.35">
      <c r="C28" s="33" t="s">
        <v>37</v>
      </c>
      <c r="D28" s="33" t="s">
        <v>38</v>
      </c>
      <c r="E28" s="33"/>
      <c r="F28" s="4"/>
    </row>
    <row r="29" spans="3:6" ht="43.5" x14ac:dyDescent="0.35">
      <c r="C29" s="21" t="s">
        <v>39</v>
      </c>
      <c r="D29" s="1" t="s">
        <v>247</v>
      </c>
      <c r="E29" s="34"/>
      <c r="F29" s="4"/>
    </row>
    <row r="30" spans="3:6" ht="43.5" x14ac:dyDescent="0.35">
      <c r="C30" s="21" t="s">
        <v>41</v>
      </c>
      <c r="D30" s="1" t="s">
        <v>248</v>
      </c>
      <c r="E30" s="34"/>
      <c r="F30" s="4"/>
    </row>
    <row r="31" spans="3:6" x14ac:dyDescent="0.35">
      <c r="C31" s="21"/>
      <c r="D31" s="1"/>
      <c r="E31" s="34"/>
      <c r="F31" s="4"/>
    </row>
    <row r="32" spans="3:6" x14ac:dyDescent="0.35">
      <c r="C32" s="21"/>
      <c r="D32" s="1"/>
      <c r="E32" s="34"/>
      <c r="F32" s="4"/>
    </row>
    <row r="33" spans="3:8" x14ac:dyDescent="0.35">
      <c r="C33" s="21"/>
      <c r="D33" s="1"/>
      <c r="E33" s="34"/>
      <c r="F33" s="4"/>
    </row>
    <row r="36" spans="3:8" ht="18.5" x14ac:dyDescent="0.35">
      <c r="C36" s="32" t="s">
        <v>46</v>
      </c>
    </row>
    <row r="37" spans="3:8" x14ac:dyDescent="0.35">
      <c r="C37" s="33" t="s">
        <v>47</v>
      </c>
      <c r="D37" s="33" t="s">
        <v>48</v>
      </c>
      <c r="E37" s="33" t="s">
        <v>49</v>
      </c>
      <c r="F37" s="33" t="s">
        <v>50</v>
      </c>
      <c r="G37" s="33" t="s">
        <v>51</v>
      </c>
      <c r="H37" s="33" t="s">
        <v>52</v>
      </c>
    </row>
    <row r="38" spans="3:8" ht="29" x14ac:dyDescent="0.35">
      <c r="C38" s="21" t="s">
        <v>53</v>
      </c>
      <c r="D38" s="1" t="s">
        <v>54</v>
      </c>
      <c r="E38" s="1"/>
      <c r="F38" s="1" t="s">
        <v>249</v>
      </c>
      <c r="G38" s="3">
        <v>0.6</v>
      </c>
      <c r="H38" s="1" t="s">
        <v>250</v>
      </c>
    </row>
    <row r="39" spans="3:8" x14ac:dyDescent="0.35">
      <c r="C39" s="21" t="s">
        <v>57</v>
      </c>
      <c r="D39" s="1" t="s">
        <v>207</v>
      </c>
      <c r="E39" s="1"/>
      <c r="F39" s="1" t="s">
        <v>251</v>
      </c>
      <c r="G39" s="3">
        <v>0.4</v>
      </c>
      <c r="H39" s="1">
        <v>12</v>
      </c>
    </row>
    <row r="40" spans="3:8" x14ac:dyDescent="0.35">
      <c r="C40" s="21" t="s">
        <v>62</v>
      </c>
      <c r="D40" s="4"/>
      <c r="E40" s="4"/>
      <c r="F40" s="4"/>
      <c r="G40" s="4"/>
      <c r="H40" s="4"/>
    </row>
    <row r="41" spans="3:8" x14ac:dyDescent="0.35">
      <c r="C41" s="21" t="s">
        <v>63</v>
      </c>
      <c r="D41" s="4"/>
      <c r="E41" s="4"/>
      <c r="F41" s="4"/>
      <c r="G41" s="4"/>
      <c r="H41" s="4"/>
    </row>
    <row r="42" spans="3:8" x14ac:dyDescent="0.35">
      <c r="C42" s="33"/>
    </row>
    <row r="44" spans="3:8" ht="18.5" x14ac:dyDescent="0.4">
      <c r="C44" s="32" t="s">
        <v>64</v>
      </c>
      <c r="D44" s="35"/>
    </row>
    <row r="45" spans="3:8" x14ac:dyDescent="0.35">
      <c r="C45" s="30" t="s">
        <v>47</v>
      </c>
      <c r="D45" s="30" t="s">
        <v>37</v>
      </c>
      <c r="E45" s="30" t="s">
        <v>65</v>
      </c>
      <c r="F45" s="30" t="s">
        <v>66</v>
      </c>
    </row>
    <row r="46" spans="3:8" x14ac:dyDescent="0.35">
      <c r="C46" s="5" t="s">
        <v>53</v>
      </c>
      <c r="D46" s="4" t="s">
        <v>39</v>
      </c>
      <c r="E46" s="4" t="s">
        <v>76</v>
      </c>
      <c r="F46" s="4" t="s">
        <v>136</v>
      </c>
    </row>
    <row r="47" spans="3:8" x14ac:dyDescent="0.35">
      <c r="C47" s="5" t="s">
        <v>53</v>
      </c>
      <c r="D47" s="4" t="s">
        <v>39</v>
      </c>
      <c r="E47" s="4" t="s">
        <v>119</v>
      </c>
      <c r="F47" s="4" t="s">
        <v>252</v>
      </c>
    </row>
    <row r="48" spans="3:8" x14ac:dyDescent="0.35">
      <c r="C48" s="5" t="s">
        <v>53</v>
      </c>
      <c r="D48" s="4" t="s">
        <v>39</v>
      </c>
      <c r="E48" s="4" t="s">
        <v>119</v>
      </c>
      <c r="F48" s="4" t="s">
        <v>129</v>
      </c>
    </row>
    <row r="49" spans="3:6" x14ac:dyDescent="0.35">
      <c r="C49" s="5" t="s">
        <v>53</v>
      </c>
      <c r="D49" s="4" t="s">
        <v>39</v>
      </c>
      <c r="E49" s="4" t="s">
        <v>67</v>
      </c>
      <c r="F49" s="4" t="s">
        <v>69</v>
      </c>
    </row>
    <row r="50" spans="3:6" x14ac:dyDescent="0.35">
      <c r="C50" s="5" t="s">
        <v>57</v>
      </c>
      <c r="D50" s="4" t="s">
        <v>41</v>
      </c>
      <c r="E50" s="4" t="s">
        <v>126</v>
      </c>
      <c r="F50" s="4" t="s">
        <v>127</v>
      </c>
    </row>
    <row r="51" spans="3:6" x14ac:dyDescent="0.35">
      <c r="C51" s="5" t="s">
        <v>57</v>
      </c>
      <c r="D51" s="4" t="s">
        <v>41</v>
      </c>
      <c r="E51" s="4" t="s">
        <v>134</v>
      </c>
      <c r="F51" s="4" t="s">
        <v>253</v>
      </c>
    </row>
    <row r="52" spans="3:6" x14ac:dyDescent="0.35">
      <c r="C52" s="5" t="s">
        <v>57</v>
      </c>
      <c r="D52" s="4" t="s">
        <v>41</v>
      </c>
      <c r="E52" s="4" t="s">
        <v>76</v>
      </c>
      <c r="F52" s="4" t="s">
        <v>123</v>
      </c>
    </row>
    <row r="53" spans="3:6" x14ac:dyDescent="0.35">
      <c r="C53" s="5" t="s">
        <v>57</v>
      </c>
      <c r="D53" s="4" t="s">
        <v>41</v>
      </c>
      <c r="E53" s="4" t="s">
        <v>67</v>
      </c>
      <c r="F53" s="4" t="s">
        <v>68</v>
      </c>
    </row>
    <row r="54" spans="3:6" x14ac:dyDescent="0.35">
      <c r="C54" s="5"/>
      <c r="D54" s="4"/>
      <c r="E54" s="4"/>
      <c r="F54" s="4"/>
    </row>
    <row r="55" spans="3:6" x14ac:dyDescent="0.35">
      <c r="C55" s="5"/>
      <c r="D55" s="4"/>
      <c r="E55" s="4"/>
      <c r="F55" s="4"/>
    </row>
    <row r="56" spans="3:6" x14ac:dyDescent="0.35">
      <c r="C56" s="5"/>
      <c r="D56" s="4"/>
      <c r="E56" s="4"/>
      <c r="F56" s="4"/>
    </row>
    <row r="57" spans="3:6" x14ac:dyDescent="0.35">
      <c r="C57" s="5"/>
      <c r="D57" s="4"/>
      <c r="E57" s="4"/>
      <c r="F57" s="4" t="s">
        <v>254</v>
      </c>
    </row>
    <row r="58" spans="3:6" x14ac:dyDescent="0.35">
      <c r="C58" s="5"/>
      <c r="D58" s="4"/>
      <c r="E58" s="4"/>
      <c r="F58" s="4"/>
    </row>
    <row r="59" spans="3:6" x14ac:dyDescent="0.35">
      <c r="C59" s="5"/>
      <c r="D59" s="4"/>
      <c r="E59" s="4"/>
      <c r="F59" s="4"/>
    </row>
    <row r="60" spans="3:6" x14ac:dyDescent="0.35">
      <c r="C60" s="5"/>
      <c r="D60" s="4"/>
      <c r="E60" s="4"/>
      <c r="F60" s="4"/>
    </row>
    <row r="61" spans="3:6" x14ac:dyDescent="0.35">
      <c r="C61" s="5"/>
      <c r="D61" s="4"/>
      <c r="E61" s="4"/>
      <c r="F61" s="4"/>
    </row>
    <row r="62" spans="3:6" x14ac:dyDescent="0.35">
      <c r="C62" s="5"/>
      <c r="D62" s="4"/>
      <c r="E62" s="4"/>
      <c r="F62" s="4"/>
    </row>
    <row r="63" spans="3:6" x14ac:dyDescent="0.35">
      <c r="C63" s="5"/>
      <c r="D63" s="4"/>
      <c r="E63" s="4"/>
      <c r="F63" s="4"/>
    </row>
    <row r="64" spans="3:6" x14ac:dyDescent="0.35">
      <c r="C64" s="5"/>
      <c r="D64" s="4"/>
      <c r="E64" s="4"/>
      <c r="F64" s="4"/>
    </row>
    <row r="65" spans="2:6" x14ac:dyDescent="0.35">
      <c r="C65" s="5"/>
      <c r="D65" s="4"/>
      <c r="E65" s="4"/>
      <c r="F65" s="4"/>
    </row>
    <row r="66" spans="2:6" x14ac:dyDescent="0.35">
      <c r="C66" s="5"/>
      <c r="D66" s="4"/>
      <c r="E66" s="4"/>
      <c r="F66" s="4"/>
    </row>
    <row r="69" spans="2:6" ht="18.5" x14ac:dyDescent="0.35">
      <c r="C69" s="32" t="s">
        <v>81</v>
      </c>
    </row>
    <row r="70" spans="2:6" x14ac:dyDescent="0.35">
      <c r="B70" t="s">
        <v>82</v>
      </c>
      <c r="C70" s="30" t="s">
        <v>83</v>
      </c>
      <c r="D70" s="30" t="s">
        <v>84</v>
      </c>
      <c r="E70" s="30" t="s">
        <v>85</v>
      </c>
      <c r="F70" s="30" t="s">
        <v>86</v>
      </c>
    </row>
    <row r="71" spans="2:6" x14ac:dyDescent="0.35">
      <c r="B71" s="19">
        <v>1</v>
      </c>
      <c r="C71" s="38">
        <v>1</v>
      </c>
      <c r="D71" s="1"/>
      <c r="E71" s="1"/>
      <c r="F71" s="1"/>
    </row>
    <row r="72" spans="2:6" x14ac:dyDescent="0.35">
      <c r="B72" s="19">
        <v>1</v>
      </c>
      <c r="C72" s="38">
        <v>2</v>
      </c>
      <c r="D72" s="1"/>
      <c r="E72" s="1"/>
      <c r="F72" s="1"/>
    </row>
    <row r="73" spans="2:6" x14ac:dyDescent="0.35">
      <c r="B73" s="19">
        <v>1</v>
      </c>
      <c r="C73" s="38">
        <v>3</v>
      </c>
      <c r="D73" s="1"/>
      <c r="E73" s="1"/>
      <c r="F73" s="1"/>
    </row>
    <row r="74" spans="2:6" x14ac:dyDescent="0.35">
      <c r="B74" s="19">
        <v>1</v>
      </c>
      <c r="C74" s="38">
        <v>4</v>
      </c>
      <c r="D74" s="1"/>
      <c r="E74" s="1"/>
      <c r="F74" s="1"/>
    </row>
    <row r="75" spans="2:6" x14ac:dyDescent="0.35">
      <c r="B75" s="19">
        <v>1</v>
      </c>
      <c r="C75" s="38">
        <v>5</v>
      </c>
      <c r="D75" s="1"/>
      <c r="E75" s="1"/>
      <c r="F75" s="1"/>
    </row>
    <row r="76" spans="2:6" x14ac:dyDescent="0.35">
      <c r="B76" s="19">
        <v>1</v>
      </c>
      <c r="C76" s="38">
        <v>6</v>
      </c>
      <c r="D76" s="1"/>
      <c r="E76" s="1"/>
      <c r="F76" s="1"/>
    </row>
    <row r="77" spans="2:6" x14ac:dyDescent="0.35">
      <c r="B77" s="19">
        <v>1</v>
      </c>
      <c r="C77" s="38">
        <v>7</v>
      </c>
      <c r="D77" s="1"/>
      <c r="E77" s="1"/>
      <c r="F77" s="1"/>
    </row>
    <row r="78" spans="2:6" x14ac:dyDescent="0.35">
      <c r="B78" s="19">
        <v>1</v>
      </c>
      <c r="C78" s="38">
        <v>8</v>
      </c>
      <c r="D78" s="1"/>
      <c r="E78" s="1"/>
      <c r="F78" s="1"/>
    </row>
    <row r="79" spans="2:6" x14ac:dyDescent="0.35">
      <c r="B79" s="19">
        <v>1</v>
      </c>
      <c r="C79" s="38">
        <v>9</v>
      </c>
      <c r="D79" s="1"/>
      <c r="E79" s="1"/>
      <c r="F79" s="1"/>
    </row>
    <row r="80" spans="2:6" x14ac:dyDescent="0.35">
      <c r="B80" s="19">
        <v>1</v>
      </c>
      <c r="C80" s="38">
        <v>10</v>
      </c>
      <c r="D80" s="1"/>
      <c r="E80" s="1"/>
      <c r="F80" s="1"/>
    </row>
    <row r="81" spans="2:6" x14ac:dyDescent="0.35">
      <c r="B81" s="19">
        <v>1</v>
      </c>
      <c r="C81" s="38">
        <v>11</v>
      </c>
      <c r="D81" s="1"/>
      <c r="E81" s="1"/>
      <c r="F81" s="1"/>
    </row>
    <row r="82" spans="2:6" x14ac:dyDescent="0.35">
      <c r="B82" s="19">
        <v>1</v>
      </c>
      <c r="C82" s="38">
        <v>12</v>
      </c>
      <c r="D82" s="1"/>
      <c r="E82" s="1"/>
      <c r="F82" s="1"/>
    </row>
    <row r="83" spans="2:6" x14ac:dyDescent="0.35">
      <c r="B83" s="19">
        <v>2</v>
      </c>
      <c r="C83" s="38">
        <v>1</v>
      </c>
      <c r="D83" s="1" t="s">
        <v>255</v>
      </c>
      <c r="E83" s="1"/>
      <c r="F83" s="1"/>
    </row>
    <row r="84" spans="2:6" x14ac:dyDescent="0.35">
      <c r="B84" s="19">
        <v>2</v>
      </c>
      <c r="C84" s="38">
        <v>2</v>
      </c>
      <c r="D84" s="1" t="s">
        <v>28</v>
      </c>
      <c r="E84" s="1"/>
      <c r="F84" s="1"/>
    </row>
    <row r="85" spans="2:6" x14ac:dyDescent="0.35">
      <c r="B85" s="19">
        <v>2</v>
      </c>
      <c r="C85" s="38">
        <v>3</v>
      </c>
      <c r="D85" s="1" t="s">
        <v>28</v>
      </c>
      <c r="E85" s="1"/>
      <c r="F85" s="1"/>
    </row>
    <row r="86" spans="2:6" x14ac:dyDescent="0.35">
      <c r="B86" s="19">
        <v>2</v>
      </c>
      <c r="C86" s="38">
        <v>4</v>
      </c>
      <c r="D86" s="1" t="s">
        <v>28</v>
      </c>
      <c r="E86" s="1"/>
      <c r="F86" s="1"/>
    </row>
    <row r="87" spans="2:6" x14ac:dyDescent="0.35">
      <c r="B87" s="19">
        <v>2</v>
      </c>
      <c r="C87" s="38">
        <v>5</v>
      </c>
      <c r="D87" s="1" t="s">
        <v>256</v>
      </c>
      <c r="E87" s="1"/>
      <c r="F87" s="1"/>
    </row>
    <row r="88" spans="2:6" x14ac:dyDescent="0.35">
      <c r="B88" s="19">
        <v>2</v>
      </c>
      <c r="C88" s="38">
        <v>6</v>
      </c>
      <c r="D88" s="1" t="s">
        <v>257</v>
      </c>
      <c r="E88" s="1"/>
      <c r="F88" s="1"/>
    </row>
    <row r="89" spans="2:6" x14ac:dyDescent="0.35">
      <c r="B89" s="19">
        <v>2</v>
      </c>
      <c r="C89" s="38">
        <v>7</v>
      </c>
      <c r="D89" s="1" t="s">
        <v>258</v>
      </c>
      <c r="E89" s="1"/>
      <c r="F89" s="1"/>
    </row>
    <row r="90" spans="2:6" x14ac:dyDescent="0.35">
      <c r="B90" s="19">
        <v>2</v>
      </c>
      <c r="C90" s="38">
        <v>8</v>
      </c>
      <c r="D90" s="1" t="s">
        <v>259</v>
      </c>
      <c r="E90" s="1"/>
      <c r="F90" s="1"/>
    </row>
    <row r="91" spans="2:6" x14ac:dyDescent="0.35">
      <c r="B91" s="19">
        <v>2</v>
      </c>
      <c r="C91" s="38">
        <v>9</v>
      </c>
      <c r="D91" s="1" t="s">
        <v>260</v>
      </c>
      <c r="E91" s="1"/>
      <c r="F91" s="1"/>
    </row>
    <row r="92" spans="2:6" x14ac:dyDescent="0.35">
      <c r="B92" s="19">
        <v>2</v>
      </c>
      <c r="C92" s="38">
        <v>10</v>
      </c>
      <c r="D92" s="1" t="s">
        <v>261</v>
      </c>
      <c r="E92" s="1"/>
      <c r="F92" s="1"/>
    </row>
    <row r="93" spans="2:6" x14ac:dyDescent="0.35">
      <c r="B93" s="19">
        <v>2</v>
      </c>
      <c r="C93" s="38">
        <v>11</v>
      </c>
      <c r="D93" s="1" t="s">
        <v>262</v>
      </c>
      <c r="E93" s="1"/>
      <c r="F93" s="1"/>
    </row>
    <row r="94" spans="2:6" x14ac:dyDescent="0.35">
      <c r="B94" s="19">
        <v>2</v>
      </c>
      <c r="C94" s="38">
        <v>12</v>
      </c>
      <c r="D94" s="1" t="s">
        <v>263</v>
      </c>
      <c r="E94" s="1"/>
      <c r="F94" s="1"/>
    </row>
  </sheetData>
  <sheetProtection sheet="1" objects="1" scenarios="1" formatCells="0" formatColumns="0" formatRows="0" insertHyperlinks="0"/>
  <dataValidations count="4">
    <dataValidation type="list" allowBlank="1" showInputMessage="1" showErrorMessage="1" sqref="F46:F66" xr:uid="{6DEBE8EC-2B57-4380-910E-0A2154580682}">
      <formula1>INDIRECT(VLOOKUP($E46, SkillNameMap, 2, FALSE))</formula1>
    </dataValidation>
    <dataValidation type="list" allowBlank="1" showInputMessage="1" showErrorMessage="1" sqref="E38:E41" xr:uid="{6274686E-0972-4BC0-8A91-115628F0C35E}">
      <formula1>INDIRECT("LISTAssess[Assessment Specific]")</formula1>
    </dataValidation>
    <dataValidation type="whole" showInputMessage="1" showErrorMessage="1" error="This is not a realistic number of contact hours please change" sqref="D19" xr:uid="{D71B7080-AED5-4BD2-BC61-46D1FB03F689}">
      <formula1>0</formula1>
      <formula2>80</formula2>
    </dataValidation>
    <dataValidation type="whole" showInputMessage="1" showErrorMessage="1" error="This is not a realistic number of contact hours please reduce" sqref="D20:D23" xr:uid="{50629AB0-717B-48FC-8FF1-8B4D77B3991E}">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96DA8F40-9192-4741-B2FE-57A9C46482DF}">
          <x14:formula1>
            <xm:f>LISTS!$J$7:$J$16</xm:f>
          </x14:formula1>
          <xm:sqref>E46:E66</xm:sqref>
        </x14:dataValidation>
        <x14:dataValidation type="list" allowBlank="1" showInputMessage="1" showErrorMessage="1" xr:uid="{A4EF2000-8BB6-4BFE-B91D-91E943534494}">
          <x14:formula1>
            <xm:f>LISTS!$E$7:$E$11</xm:f>
          </x14:formula1>
          <xm:sqref>D46:D66</xm:sqref>
        </x14:dataValidation>
        <x14:dataValidation type="list" allowBlank="1" showInputMessage="1" showErrorMessage="1" xr:uid="{C6D73155-D6B3-465B-BEF7-0FA25E168DED}">
          <x14:formula1>
            <xm:f>LISTS!$G$7:$G$11</xm:f>
          </x14:formula1>
          <xm:sqref>D38:D42</xm:sqref>
        </x14:dataValidation>
        <x14:dataValidation type="list" allowBlank="1" showInputMessage="1" showErrorMessage="1" xr:uid="{B0028DB5-73A5-49CC-9F11-A5A6090C114A}">
          <x14:formula1>
            <xm:f>LISTS!$C$11:$C$15</xm:f>
          </x14:formula1>
          <xm:sqref>D11</xm:sqref>
        </x14:dataValidation>
        <x14:dataValidation type="list" allowBlank="1" showInputMessage="1" showErrorMessage="1" xr:uid="{B42E3CF9-1ABB-4684-872B-EC2BAFBA300F}">
          <x14:formula1>
            <xm:f>LISTS!$C$7:$C$9</xm:f>
          </x14:formula1>
          <xm:sqref>D10</xm:sqref>
        </x14:dataValidation>
        <x14:dataValidation type="list" allowBlank="1" showInputMessage="1" showErrorMessage="1" xr:uid="{A8C95E66-AD61-4BFC-ABB4-381106E7EE30}">
          <x14:formula1>
            <xm:f>LISTS!$C$17:$C$22</xm:f>
          </x14:formula1>
          <xm:sqref>D13</xm:sqref>
        </x14:dataValidation>
        <x14:dataValidation type="list" allowBlank="1" showInputMessage="1" showErrorMessage="1" xr:uid="{6D716C63-5AE4-4FD1-B40D-675960865ED5}">
          <x14:formula1>
            <xm:f>LISTS!$C$26:$C$37</xm:f>
          </x14:formula1>
          <xm:sqref>D14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3168-6B81-47CF-B045-12BB97D9E5BE}">
  <sheetPr codeName="Sheet7"/>
  <dimension ref="B2:H95"/>
  <sheetViews>
    <sheetView showGridLines="0" topLeftCell="D43" zoomScale="85" zoomScaleNormal="85" workbookViewId="0">
      <selection activeCell="F23" sqref="F23"/>
    </sheetView>
  </sheetViews>
  <sheetFormatPr defaultColWidth="8.81640625" defaultRowHeight="14.5" x14ac:dyDescent="0.35"/>
  <cols>
    <col min="3" max="3" width="33.453125" customWidth="1"/>
    <col min="4" max="4" width="51.453125" customWidth="1"/>
    <col min="5" max="5" width="67.453125" customWidth="1"/>
    <col min="6" max="6" width="63.1796875" customWidth="1"/>
    <col min="7" max="7" width="12.453125" customWidth="1"/>
    <col min="8" max="8" width="15.453125" customWidth="1"/>
    <col min="9" max="9" width="14.54296875" customWidth="1"/>
  </cols>
  <sheetData>
    <row r="2" spans="2:6" ht="26" x14ac:dyDescent="0.6">
      <c r="C2" s="29" t="str">
        <f>D7</f>
        <v>6303SPS</v>
      </c>
      <c r="D2" s="29" t="str">
        <f>D8</f>
        <v>Applied Psychology of Football</v>
      </c>
    </row>
    <row r="3" spans="2:6" x14ac:dyDescent="0.35">
      <c r="B3" s="30"/>
      <c r="C3" s="30"/>
    </row>
    <row r="4" spans="2:6" x14ac:dyDescent="0.35">
      <c r="B4" s="31"/>
      <c r="C4" s="31"/>
    </row>
    <row r="5" spans="2:6" ht="18.5" x14ac:dyDescent="0.35">
      <c r="B5" s="31"/>
      <c r="C5" s="32" t="s">
        <v>0</v>
      </c>
    </row>
    <row r="6" spans="2:6" x14ac:dyDescent="0.35">
      <c r="B6" s="31"/>
      <c r="C6" s="33" t="s">
        <v>1</v>
      </c>
      <c r="D6" s="34" t="s">
        <v>2</v>
      </c>
      <c r="E6" s="34"/>
      <c r="F6" t="s">
        <v>3</v>
      </c>
    </row>
    <row r="7" spans="2:6" ht="62" x14ac:dyDescent="0.35">
      <c r="B7" s="31"/>
      <c r="C7" s="21" t="s">
        <v>4</v>
      </c>
      <c r="D7" s="1" t="s">
        <v>264</v>
      </c>
      <c r="E7" s="34"/>
      <c r="F7" s="8" t="s">
        <v>265</v>
      </c>
    </row>
    <row r="8" spans="2:6" ht="31" x14ac:dyDescent="0.35">
      <c r="B8" s="31"/>
      <c r="C8" s="21" t="s">
        <v>7</v>
      </c>
      <c r="D8" s="1" t="s">
        <v>266</v>
      </c>
      <c r="E8" s="34"/>
      <c r="F8" s="8" t="s">
        <v>267</v>
      </c>
    </row>
    <row r="9" spans="2:6" x14ac:dyDescent="0.35">
      <c r="C9" s="21" t="s">
        <v>9</v>
      </c>
      <c r="D9" s="1">
        <v>20</v>
      </c>
      <c r="E9" s="34"/>
    </row>
    <row r="10" spans="2:6" x14ac:dyDescent="0.35">
      <c r="C10" s="21" t="s">
        <v>10</v>
      </c>
      <c r="D10" s="1">
        <v>1</v>
      </c>
      <c r="E10" s="34"/>
      <c r="F10" t="s">
        <v>11</v>
      </c>
    </row>
    <row r="11" spans="2:6" ht="15.5" x14ac:dyDescent="0.35">
      <c r="C11" s="21" t="s">
        <v>12</v>
      </c>
      <c r="D11" s="1">
        <v>6</v>
      </c>
      <c r="E11" s="34"/>
      <c r="F11" s="7" t="s">
        <v>268</v>
      </c>
    </row>
    <row r="12" spans="2:6" ht="15.5" x14ac:dyDescent="0.35">
      <c r="C12" s="21" t="s">
        <v>14</v>
      </c>
      <c r="D12" s="1" t="s">
        <v>269</v>
      </c>
      <c r="E12" s="34"/>
      <c r="F12" s="7" t="s">
        <v>270</v>
      </c>
    </row>
    <row r="13" spans="2:6" ht="15.5" x14ac:dyDescent="0.35">
      <c r="C13" s="21" t="s">
        <v>17</v>
      </c>
      <c r="D13" s="1" t="s">
        <v>18</v>
      </c>
      <c r="E13" s="34"/>
      <c r="F13" s="7" t="s">
        <v>271</v>
      </c>
    </row>
    <row r="14" spans="2:6" x14ac:dyDescent="0.35">
      <c r="C14" s="21" t="s">
        <v>20</v>
      </c>
      <c r="D14" s="1" t="s">
        <v>21</v>
      </c>
      <c r="E14" s="34"/>
    </row>
    <row r="15" spans="2:6" x14ac:dyDescent="0.35">
      <c r="C15" s="33"/>
      <c r="D15" s="34"/>
      <c r="E15" s="34"/>
      <c r="F15" t="s">
        <v>22</v>
      </c>
    </row>
    <row r="16" spans="2:6" x14ac:dyDescent="0.35">
      <c r="C16" s="33"/>
      <c r="D16" s="34"/>
      <c r="E16" s="34"/>
      <c r="F16" s="4"/>
    </row>
    <row r="17" spans="3:6" ht="18.5" x14ac:dyDescent="0.35">
      <c r="C17" s="32" t="s">
        <v>24</v>
      </c>
      <c r="D17" s="34"/>
      <c r="E17" s="34"/>
      <c r="F17" s="4"/>
    </row>
    <row r="18" spans="3:6" x14ac:dyDescent="0.35">
      <c r="C18" s="33" t="s">
        <v>25</v>
      </c>
      <c r="D18" s="30" t="s">
        <v>24</v>
      </c>
      <c r="E18" s="34"/>
      <c r="F18" s="4"/>
    </row>
    <row r="19" spans="3:6" x14ac:dyDescent="0.35">
      <c r="C19" s="21" t="s">
        <v>26</v>
      </c>
      <c r="D19" s="2">
        <v>22</v>
      </c>
      <c r="E19" s="34"/>
      <c r="F19" s="4"/>
    </row>
    <row r="20" spans="3:6" x14ac:dyDescent="0.35">
      <c r="C20" s="21" t="s">
        <v>27</v>
      </c>
      <c r="D20" s="2">
        <v>18</v>
      </c>
      <c r="E20" s="34"/>
      <c r="F20" s="4"/>
    </row>
    <row r="21" spans="3:6" x14ac:dyDescent="0.35">
      <c r="C21" s="21" t="s">
        <v>28</v>
      </c>
      <c r="D21" s="2"/>
      <c r="E21" s="34"/>
    </row>
    <row r="22" spans="3:6" x14ac:dyDescent="0.35">
      <c r="C22" s="21" t="s">
        <v>29</v>
      </c>
      <c r="D22" s="2"/>
      <c r="E22" s="34"/>
      <c r="F22" t="s">
        <v>30</v>
      </c>
    </row>
    <row r="23" spans="3:6" ht="29" x14ac:dyDescent="0.35">
      <c r="C23" s="21" t="s">
        <v>31</v>
      </c>
      <c r="D23" s="2"/>
      <c r="E23" s="34"/>
      <c r="F23" s="91" t="s">
        <v>272</v>
      </c>
    </row>
    <row r="24" spans="3:6" x14ac:dyDescent="0.35">
      <c r="C24" s="21" t="s">
        <v>33</v>
      </c>
      <c r="D24" s="30">
        <f>SUM(D19:D23)</f>
        <v>40</v>
      </c>
      <c r="E24" s="34"/>
      <c r="F24" s="4"/>
    </row>
    <row r="25" spans="3:6" x14ac:dyDescent="0.35">
      <c r="F25" s="4"/>
    </row>
    <row r="26" spans="3:6" x14ac:dyDescent="0.35">
      <c r="F26" s="4"/>
    </row>
    <row r="27" spans="3:6" ht="18.5" x14ac:dyDescent="0.4">
      <c r="C27" s="32" t="s">
        <v>35</v>
      </c>
      <c r="D27" s="35" t="s">
        <v>36</v>
      </c>
      <c r="F27" s="4"/>
    </row>
    <row r="28" spans="3:6" x14ac:dyDescent="0.35">
      <c r="C28" s="33" t="s">
        <v>37</v>
      </c>
      <c r="D28" s="33" t="s">
        <v>38</v>
      </c>
      <c r="E28" s="33"/>
      <c r="F28" s="4"/>
    </row>
    <row r="29" spans="3:6" ht="42.5" x14ac:dyDescent="0.35">
      <c r="C29" s="21" t="s">
        <v>39</v>
      </c>
      <c r="D29" s="6" t="s">
        <v>273</v>
      </c>
      <c r="E29" s="34"/>
      <c r="F29" s="4"/>
    </row>
    <row r="30" spans="3:6" ht="56.5" x14ac:dyDescent="0.35">
      <c r="C30" s="21" t="s">
        <v>41</v>
      </c>
      <c r="D30" s="6" t="s">
        <v>274</v>
      </c>
      <c r="E30" s="34"/>
      <c r="F30" s="4"/>
    </row>
    <row r="31" spans="3:6" ht="28.5" x14ac:dyDescent="0.35">
      <c r="C31" s="21" t="s">
        <v>43</v>
      </c>
      <c r="D31" s="6" t="s">
        <v>275</v>
      </c>
      <c r="E31" s="34"/>
      <c r="F31" s="4"/>
    </row>
    <row r="32" spans="3:6" x14ac:dyDescent="0.35">
      <c r="C32" s="21" t="s">
        <v>44</v>
      </c>
      <c r="D32" s="1"/>
      <c r="E32" s="34"/>
      <c r="F32" s="4"/>
    </row>
    <row r="33" spans="3:8" x14ac:dyDescent="0.35">
      <c r="C33" s="21" t="s">
        <v>45</v>
      </c>
      <c r="D33" s="1"/>
      <c r="E33" s="34"/>
      <c r="F33" s="4"/>
    </row>
    <row r="36" spans="3:8" ht="18.5" x14ac:dyDescent="0.35">
      <c r="C36" s="32" t="s">
        <v>46</v>
      </c>
    </row>
    <row r="37" spans="3:8" x14ac:dyDescent="0.35">
      <c r="C37" s="33" t="s">
        <v>47</v>
      </c>
      <c r="D37" s="33" t="s">
        <v>48</v>
      </c>
      <c r="E37" s="33" t="s">
        <v>49</v>
      </c>
      <c r="F37" s="33" t="s">
        <v>50</v>
      </c>
      <c r="G37" s="33" t="s">
        <v>51</v>
      </c>
      <c r="H37" s="33" t="s">
        <v>52</v>
      </c>
    </row>
    <row r="38" spans="3:8" ht="129.75" customHeight="1" x14ac:dyDescent="0.35">
      <c r="C38" s="21" t="s">
        <v>53</v>
      </c>
      <c r="D38" s="1" t="s">
        <v>54</v>
      </c>
      <c r="E38" s="1" t="s">
        <v>55</v>
      </c>
      <c r="F38" s="92" t="s">
        <v>276</v>
      </c>
      <c r="G38" s="3">
        <v>0.3</v>
      </c>
      <c r="H38" s="1">
        <v>6</v>
      </c>
    </row>
    <row r="39" spans="3:8" ht="174" x14ac:dyDescent="0.35">
      <c r="C39" s="21" t="s">
        <v>57</v>
      </c>
      <c r="D39" s="1" t="s">
        <v>116</v>
      </c>
      <c r="E39" s="1" t="s">
        <v>173</v>
      </c>
      <c r="F39" s="92" t="s">
        <v>277</v>
      </c>
      <c r="G39" s="3">
        <v>0.7</v>
      </c>
      <c r="H39" s="1">
        <v>12</v>
      </c>
    </row>
    <row r="40" spans="3:8" x14ac:dyDescent="0.35">
      <c r="C40" s="21" t="s">
        <v>62</v>
      </c>
      <c r="D40" s="4"/>
      <c r="E40" s="4"/>
      <c r="F40" s="4"/>
      <c r="G40" s="4"/>
      <c r="H40" s="4"/>
    </row>
    <row r="41" spans="3:8" x14ac:dyDescent="0.35">
      <c r="C41" s="21" t="s">
        <v>63</v>
      </c>
      <c r="D41" s="4"/>
      <c r="E41" s="4"/>
      <c r="F41" s="4"/>
      <c r="G41" s="4"/>
      <c r="H41" s="4"/>
    </row>
    <row r="42" spans="3:8" x14ac:dyDescent="0.35">
      <c r="C42" s="33"/>
    </row>
    <row r="44" spans="3:8" ht="18.5" x14ac:dyDescent="0.4">
      <c r="C44" s="32" t="s">
        <v>64</v>
      </c>
      <c r="D44" s="35"/>
    </row>
    <row r="45" spans="3:8" x14ac:dyDescent="0.35">
      <c r="C45" s="30" t="s">
        <v>47</v>
      </c>
      <c r="D45" s="30" t="s">
        <v>37</v>
      </c>
      <c r="E45" s="30" t="s">
        <v>65</v>
      </c>
      <c r="F45" s="30" t="s">
        <v>66</v>
      </c>
    </row>
    <row r="46" spans="3:8" x14ac:dyDescent="0.35">
      <c r="C46" s="5" t="s">
        <v>53</v>
      </c>
      <c r="D46" s="4" t="s">
        <v>39</v>
      </c>
      <c r="E46" s="4" t="s">
        <v>119</v>
      </c>
      <c r="F46" s="4" t="s">
        <v>178</v>
      </c>
    </row>
    <row r="47" spans="3:8" x14ac:dyDescent="0.35">
      <c r="C47" s="5" t="s">
        <v>53</v>
      </c>
      <c r="D47" s="4" t="s">
        <v>39</v>
      </c>
      <c r="E47" s="4" t="s">
        <v>119</v>
      </c>
      <c r="F47" s="4" t="s">
        <v>129</v>
      </c>
    </row>
    <row r="48" spans="3:8" x14ac:dyDescent="0.35">
      <c r="C48" s="5" t="s">
        <v>53</v>
      </c>
      <c r="D48" s="4" t="s">
        <v>39</v>
      </c>
      <c r="E48" s="4" t="s">
        <v>67</v>
      </c>
      <c r="F48" s="4" t="s">
        <v>213</v>
      </c>
    </row>
    <row r="49" spans="3:6" x14ac:dyDescent="0.35">
      <c r="C49" s="5" t="s">
        <v>53</v>
      </c>
      <c r="D49" s="4" t="s">
        <v>43</v>
      </c>
      <c r="E49" s="4" t="s">
        <v>134</v>
      </c>
      <c r="F49" s="4" t="s">
        <v>130</v>
      </c>
    </row>
    <row r="50" spans="3:6" x14ac:dyDescent="0.35">
      <c r="C50" s="5" t="s">
        <v>53</v>
      </c>
      <c r="D50" s="4" t="s">
        <v>41</v>
      </c>
      <c r="E50" s="4" t="s">
        <v>67</v>
      </c>
      <c r="F50" s="4" t="s">
        <v>213</v>
      </c>
    </row>
    <row r="51" spans="3:6" x14ac:dyDescent="0.35">
      <c r="C51" s="5" t="s">
        <v>57</v>
      </c>
      <c r="D51" s="4" t="s">
        <v>39</v>
      </c>
      <c r="E51" s="4" t="s">
        <v>119</v>
      </c>
      <c r="F51" s="4" t="s">
        <v>129</v>
      </c>
    </row>
    <row r="52" spans="3:6" x14ac:dyDescent="0.35">
      <c r="C52" s="5" t="s">
        <v>57</v>
      </c>
      <c r="D52" s="4" t="s">
        <v>41</v>
      </c>
      <c r="E52" s="4" t="s">
        <v>119</v>
      </c>
      <c r="F52" s="4" t="s">
        <v>122</v>
      </c>
    </row>
    <row r="53" spans="3:6" x14ac:dyDescent="0.35">
      <c r="C53" s="5" t="s">
        <v>57</v>
      </c>
      <c r="D53" s="4" t="s">
        <v>39</v>
      </c>
      <c r="E53" s="4" t="s">
        <v>134</v>
      </c>
      <c r="F53" s="4" t="s">
        <v>253</v>
      </c>
    </row>
    <row r="54" spans="3:6" x14ac:dyDescent="0.35">
      <c r="C54" s="5" t="s">
        <v>57</v>
      </c>
      <c r="D54" s="4" t="s">
        <v>41</v>
      </c>
      <c r="E54" s="4" t="s">
        <v>76</v>
      </c>
      <c r="F54" s="4" t="s">
        <v>123</v>
      </c>
    </row>
    <row r="55" spans="3:6" x14ac:dyDescent="0.35">
      <c r="C55" s="5" t="s">
        <v>57</v>
      </c>
      <c r="D55" s="4" t="s">
        <v>43</v>
      </c>
      <c r="E55" s="4" t="s">
        <v>119</v>
      </c>
      <c r="F55" s="4" t="s">
        <v>178</v>
      </c>
    </row>
    <row r="56" spans="3:6" x14ac:dyDescent="0.35">
      <c r="C56" s="5"/>
      <c r="D56" s="4"/>
      <c r="E56" s="4"/>
      <c r="F56" s="4"/>
    </row>
    <row r="57" spans="3:6" x14ac:dyDescent="0.35">
      <c r="C57" s="5"/>
      <c r="D57" s="4"/>
      <c r="E57" s="4"/>
      <c r="F57" s="4"/>
    </row>
    <row r="58" spans="3:6" x14ac:dyDescent="0.35">
      <c r="C58" s="5"/>
      <c r="D58" s="4"/>
      <c r="E58" s="4"/>
      <c r="F58" s="4"/>
    </row>
    <row r="59" spans="3:6" x14ac:dyDescent="0.35">
      <c r="C59" s="5"/>
      <c r="D59" s="4"/>
      <c r="E59" s="4"/>
      <c r="F59" s="4"/>
    </row>
    <row r="60" spans="3:6" x14ac:dyDescent="0.35">
      <c r="C60" s="5"/>
      <c r="D60" s="4"/>
      <c r="E60" s="4"/>
      <c r="F60" s="4"/>
    </row>
    <row r="61" spans="3:6" x14ac:dyDescent="0.35">
      <c r="C61" s="5"/>
      <c r="D61" s="4"/>
      <c r="E61" s="4"/>
      <c r="F61" s="4"/>
    </row>
    <row r="62" spans="3:6" x14ac:dyDescent="0.35">
      <c r="C62" s="5"/>
      <c r="D62" s="4"/>
      <c r="E62" s="4"/>
      <c r="F62" s="4"/>
    </row>
    <row r="63" spans="3:6" x14ac:dyDescent="0.35">
      <c r="C63" s="5"/>
      <c r="D63" s="4"/>
      <c r="E63" s="4"/>
      <c r="F63" s="4"/>
    </row>
    <row r="64" spans="3:6" x14ac:dyDescent="0.35">
      <c r="C64" s="5"/>
      <c r="D64" s="4"/>
      <c r="E64" s="4"/>
      <c r="F64" s="4"/>
    </row>
    <row r="65" spans="2:6" x14ac:dyDescent="0.35">
      <c r="C65" s="5"/>
      <c r="D65" s="4"/>
      <c r="E65" s="4"/>
      <c r="F65" s="4"/>
    </row>
    <row r="66" spans="2:6" x14ac:dyDescent="0.35">
      <c r="C66" s="5"/>
      <c r="D66" s="4"/>
      <c r="E66" s="4"/>
      <c r="F66" s="4"/>
    </row>
    <row r="67" spans="2:6" x14ac:dyDescent="0.35">
      <c r="C67" s="5"/>
      <c r="D67" s="4"/>
      <c r="E67" s="4"/>
      <c r="F67" s="4"/>
    </row>
    <row r="70" spans="2:6" ht="18.5" x14ac:dyDescent="0.35">
      <c r="C70" s="32" t="s">
        <v>81</v>
      </c>
    </row>
    <row r="71" spans="2:6" x14ac:dyDescent="0.35">
      <c r="B71" t="s">
        <v>82</v>
      </c>
      <c r="C71" s="30" t="s">
        <v>83</v>
      </c>
      <c r="D71" s="30" t="s">
        <v>84</v>
      </c>
      <c r="E71" s="30" t="s">
        <v>85</v>
      </c>
      <c r="F71" s="30" t="s">
        <v>86</v>
      </c>
    </row>
    <row r="72" spans="2:6" x14ac:dyDescent="0.35">
      <c r="B72" s="19">
        <v>1</v>
      </c>
      <c r="C72" s="38">
        <v>1</v>
      </c>
      <c r="D72" s="1" t="s">
        <v>278</v>
      </c>
      <c r="E72" s="1" t="s">
        <v>27</v>
      </c>
      <c r="F72" s="1"/>
    </row>
    <row r="73" spans="2:6" x14ac:dyDescent="0.35">
      <c r="B73" s="19">
        <v>1</v>
      </c>
      <c r="C73" s="38">
        <v>2</v>
      </c>
      <c r="D73" s="1" t="s">
        <v>279</v>
      </c>
      <c r="E73" s="1" t="s">
        <v>27</v>
      </c>
      <c r="F73" s="1"/>
    </row>
    <row r="74" spans="2:6" x14ac:dyDescent="0.35">
      <c r="B74" s="19">
        <v>1</v>
      </c>
      <c r="C74" s="38">
        <v>3</v>
      </c>
      <c r="D74" s="1" t="s">
        <v>280</v>
      </c>
      <c r="E74" s="1" t="s">
        <v>27</v>
      </c>
      <c r="F74" s="1"/>
    </row>
    <row r="75" spans="2:6" x14ac:dyDescent="0.35">
      <c r="B75" s="19">
        <v>1</v>
      </c>
      <c r="C75" s="38">
        <v>4</v>
      </c>
      <c r="D75" s="1" t="s">
        <v>281</v>
      </c>
      <c r="E75" s="1" t="s">
        <v>27</v>
      </c>
      <c r="F75" s="1"/>
    </row>
    <row r="76" spans="2:6" x14ac:dyDescent="0.35">
      <c r="B76" s="19">
        <v>1</v>
      </c>
      <c r="C76" s="38">
        <v>5</v>
      </c>
      <c r="D76" s="1" t="s">
        <v>282</v>
      </c>
      <c r="E76" s="1" t="s">
        <v>27</v>
      </c>
      <c r="F76" s="1"/>
    </row>
    <row r="77" spans="2:6" x14ac:dyDescent="0.35">
      <c r="B77" s="19">
        <v>1</v>
      </c>
      <c r="C77" s="38">
        <v>6</v>
      </c>
      <c r="D77" s="1" t="s">
        <v>283</v>
      </c>
      <c r="E77" s="1" t="s">
        <v>27</v>
      </c>
      <c r="F77" s="1"/>
    </row>
    <row r="78" spans="2:6" x14ac:dyDescent="0.35">
      <c r="B78" s="19">
        <v>1</v>
      </c>
      <c r="C78" s="38">
        <v>7</v>
      </c>
      <c r="D78" s="1" t="s">
        <v>284</v>
      </c>
      <c r="E78" s="1" t="s">
        <v>284</v>
      </c>
      <c r="F78" s="1"/>
    </row>
    <row r="79" spans="2:6" x14ac:dyDescent="0.35">
      <c r="B79" s="19">
        <v>1</v>
      </c>
      <c r="C79" s="38">
        <v>8</v>
      </c>
      <c r="D79" s="1" t="s">
        <v>285</v>
      </c>
      <c r="E79" s="1"/>
      <c r="F79" s="1"/>
    </row>
    <row r="80" spans="2:6" x14ac:dyDescent="0.35">
      <c r="B80" s="19">
        <v>1</v>
      </c>
      <c r="C80" s="38">
        <v>9</v>
      </c>
      <c r="D80" s="1" t="s">
        <v>286</v>
      </c>
      <c r="E80" s="1" t="s">
        <v>27</v>
      </c>
      <c r="F80" s="1"/>
    </row>
    <row r="81" spans="2:6" x14ac:dyDescent="0.35">
      <c r="B81" s="19">
        <v>1</v>
      </c>
      <c r="C81" s="38">
        <v>10</v>
      </c>
      <c r="D81" s="1" t="s">
        <v>287</v>
      </c>
      <c r="E81" s="1" t="s">
        <v>27</v>
      </c>
      <c r="F81" s="1"/>
    </row>
    <row r="82" spans="2:6" x14ac:dyDescent="0.35">
      <c r="B82" s="19">
        <v>1</v>
      </c>
      <c r="C82" s="38">
        <v>11</v>
      </c>
      <c r="D82" s="1" t="s">
        <v>288</v>
      </c>
      <c r="E82" s="1" t="s">
        <v>27</v>
      </c>
      <c r="F82" s="1"/>
    </row>
    <row r="83" spans="2:6" x14ac:dyDescent="0.35">
      <c r="B83" s="19">
        <v>1</v>
      </c>
      <c r="C83" s="38">
        <v>12</v>
      </c>
      <c r="D83" s="1" t="s">
        <v>46</v>
      </c>
      <c r="E83" s="1" t="s">
        <v>46</v>
      </c>
      <c r="F83" s="1"/>
    </row>
    <row r="84" spans="2:6" x14ac:dyDescent="0.35">
      <c r="B84" s="19">
        <v>2</v>
      </c>
      <c r="C84" s="38">
        <v>1</v>
      </c>
      <c r="D84" s="1"/>
      <c r="E84" s="1"/>
      <c r="F84" s="1"/>
    </row>
    <row r="85" spans="2:6" x14ac:dyDescent="0.35">
      <c r="B85" s="19">
        <v>2</v>
      </c>
      <c r="C85" s="38">
        <v>2</v>
      </c>
      <c r="D85" s="1"/>
      <c r="E85" s="1"/>
      <c r="F85" s="1"/>
    </row>
    <row r="86" spans="2:6" x14ac:dyDescent="0.35">
      <c r="B86" s="19">
        <v>2</v>
      </c>
      <c r="C86" s="38">
        <v>3</v>
      </c>
      <c r="D86" s="1"/>
      <c r="E86" s="1"/>
      <c r="F86" s="1"/>
    </row>
    <row r="87" spans="2:6" x14ac:dyDescent="0.35">
      <c r="B87" s="19">
        <v>2</v>
      </c>
      <c r="C87" s="38">
        <v>4</v>
      </c>
      <c r="D87" s="1"/>
      <c r="E87" s="1"/>
      <c r="F87" s="1"/>
    </row>
    <row r="88" spans="2:6" x14ac:dyDescent="0.35">
      <c r="B88" s="19">
        <v>2</v>
      </c>
      <c r="C88" s="38">
        <v>5</v>
      </c>
      <c r="D88" s="1"/>
      <c r="E88" s="1"/>
      <c r="F88" s="1"/>
    </row>
    <row r="89" spans="2:6" x14ac:dyDescent="0.35">
      <c r="B89" s="19">
        <v>2</v>
      </c>
      <c r="C89" s="38">
        <v>6</v>
      </c>
      <c r="D89" s="1"/>
      <c r="E89" s="1"/>
      <c r="F89" s="1"/>
    </row>
    <row r="90" spans="2:6" x14ac:dyDescent="0.35">
      <c r="B90" s="19">
        <v>2</v>
      </c>
      <c r="C90" s="38">
        <v>7</v>
      </c>
      <c r="D90" s="1"/>
      <c r="E90" s="1"/>
      <c r="F90" s="1"/>
    </row>
    <row r="91" spans="2:6" x14ac:dyDescent="0.35">
      <c r="B91" s="19">
        <v>2</v>
      </c>
      <c r="C91" s="38">
        <v>8</v>
      </c>
      <c r="D91" s="1"/>
      <c r="E91" s="1"/>
      <c r="F91" s="1"/>
    </row>
    <row r="92" spans="2:6" x14ac:dyDescent="0.35">
      <c r="B92" s="19">
        <v>2</v>
      </c>
      <c r="C92" s="38">
        <v>9</v>
      </c>
      <c r="D92" s="1"/>
      <c r="E92" s="1"/>
      <c r="F92" s="1"/>
    </row>
    <row r="93" spans="2:6" x14ac:dyDescent="0.35">
      <c r="B93" s="19">
        <v>2</v>
      </c>
      <c r="C93" s="38">
        <v>10</v>
      </c>
      <c r="D93" s="1"/>
      <c r="E93" s="1"/>
      <c r="F93" s="1"/>
    </row>
    <row r="94" spans="2:6" x14ac:dyDescent="0.35">
      <c r="B94" s="19">
        <v>2</v>
      </c>
      <c r="C94" s="38">
        <v>11</v>
      </c>
      <c r="D94" s="1"/>
      <c r="E94" s="1"/>
      <c r="F94" s="1"/>
    </row>
    <row r="95" spans="2:6" x14ac:dyDescent="0.35">
      <c r="B95" s="19">
        <v>2</v>
      </c>
      <c r="C95" s="38">
        <v>12</v>
      </c>
      <c r="D95" s="1"/>
      <c r="E95" s="1"/>
      <c r="F95" s="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DCF1D4CF-AD13-4549-94DF-DAD7372507FF}">
      <formula1>0</formula1>
      <formula2>80</formula2>
    </dataValidation>
    <dataValidation type="whole" showInputMessage="1" showErrorMessage="1" error="This is not a realistic number of contact hours please change" sqref="D19" xr:uid="{2EFE7054-9BF0-4E34-9260-CE2CA4E53AC1}">
      <formula1>0</formula1>
      <formula2>80</formula2>
    </dataValidation>
    <dataValidation type="list" allowBlank="1" showInputMessage="1" showErrorMessage="1" sqref="E38:E41" xr:uid="{8FAAA275-BBC0-49B8-8FE4-71328DF55B6F}">
      <formula1>INDIRECT("LISTAssess[Assessment Specific]")</formula1>
    </dataValidation>
    <dataValidation type="list" allowBlank="1" showInputMessage="1" showErrorMessage="1" sqref="F46:F67" xr:uid="{E1682273-6EEC-4437-BA8D-462547C84EF8}">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D8F5AA3-C895-4B95-9912-EF67DA280821}">
          <x14:formula1>
            <xm:f>LISTS!$C$26:$C$37</xm:f>
          </x14:formula1>
          <xm:sqref>D14</xm:sqref>
        </x14:dataValidation>
        <x14:dataValidation type="list" allowBlank="1" showInputMessage="1" showErrorMessage="1" xr:uid="{703F0AA5-3DD9-4205-B10E-84D20D77F5DF}">
          <x14:formula1>
            <xm:f>LISTS!$C$17:$C$22</xm:f>
          </x14:formula1>
          <xm:sqref>D13</xm:sqref>
        </x14:dataValidation>
        <x14:dataValidation type="list" allowBlank="1" showInputMessage="1" showErrorMessage="1" xr:uid="{204C63EF-139E-4DCF-87C5-C1413D76F08F}">
          <x14:formula1>
            <xm:f>LISTS!$C$7:$C$9</xm:f>
          </x14:formula1>
          <xm:sqref>D10</xm:sqref>
        </x14:dataValidation>
        <x14:dataValidation type="list" allowBlank="1" showInputMessage="1" showErrorMessage="1" xr:uid="{02A4F4B2-CA44-4C0F-951D-7C349BD7AFEB}">
          <x14:formula1>
            <xm:f>LISTS!$C$11:$C$15</xm:f>
          </x14:formula1>
          <xm:sqref>D11</xm:sqref>
        </x14:dataValidation>
        <x14:dataValidation type="list" allowBlank="1" showInputMessage="1" showErrorMessage="1" xr:uid="{D6C3DA59-44C9-4E4B-8893-5EEB7E17375D}">
          <x14:formula1>
            <xm:f>LISTS!$G$7:$G$11</xm:f>
          </x14:formula1>
          <xm:sqref>D38:D42</xm:sqref>
        </x14:dataValidation>
        <x14:dataValidation type="list" allowBlank="1" showInputMessage="1" showErrorMessage="1" xr:uid="{1A267CA5-0348-4F32-BF79-432FCFC02438}">
          <x14:formula1>
            <xm:f>LISTS!$E$7:$E$11</xm:f>
          </x14:formula1>
          <xm:sqref>D46:D67</xm:sqref>
        </x14:dataValidation>
        <x14:dataValidation type="list" allowBlank="1" showInputMessage="1" showErrorMessage="1" xr:uid="{BE7A30BD-1760-4896-BACE-8BCA87088F96}">
          <x14:formula1>
            <xm:f>LISTS!$J$7:$J$16</xm:f>
          </x14:formula1>
          <xm:sqref>E46:E67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D139-4EE0-4CD6-B60A-E51D5ED74DE8}">
  <sheetPr codeName="Sheet8"/>
  <dimension ref="B2:H96"/>
  <sheetViews>
    <sheetView showGridLines="0" tabSelected="1" topLeftCell="C41" zoomScale="87" zoomScaleNormal="85" workbookViewId="0">
      <selection activeCell="F41" sqref="F41"/>
    </sheetView>
  </sheetViews>
  <sheetFormatPr defaultColWidth="8.81640625" defaultRowHeight="15.5" x14ac:dyDescent="0.35"/>
  <cols>
    <col min="1" max="2" width="8.81640625" style="39"/>
    <col min="3" max="3" width="44.453125" style="39" customWidth="1"/>
    <col min="4" max="4" width="58.453125" style="39" customWidth="1"/>
    <col min="5" max="5" width="50.453125" style="39" customWidth="1"/>
    <col min="6" max="6" width="111.81640625" style="39" customWidth="1"/>
    <col min="7" max="7" width="12.453125" style="39" customWidth="1"/>
    <col min="8" max="8" width="15.453125" style="39" customWidth="1"/>
    <col min="9" max="9" width="14.54296875" style="39" customWidth="1"/>
    <col min="10" max="16384" width="8.81640625" style="39"/>
  </cols>
  <sheetData>
    <row r="2" spans="2:6" x14ac:dyDescent="0.35">
      <c r="C2" s="40"/>
      <c r="D2" s="41" t="s">
        <v>289</v>
      </c>
      <c r="E2" s="40"/>
    </row>
    <row r="3" spans="2:6" x14ac:dyDescent="0.35">
      <c r="B3" s="42"/>
      <c r="C3" s="42"/>
    </row>
    <row r="4" spans="2:6" x14ac:dyDescent="0.35">
      <c r="B4" s="43"/>
      <c r="C4" s="43"/>
      <c r="F4" s="39" t="s">
        <v>3</v>
      </c>
    </row>
    <row r="5" spans="2:6" x14ac:dyDescent="0.35">
      <c r="B5" s="43"/>
      <c r="C5" s="44" t="s">
        <v>0</v>
      </c>
      <c r="F5" s="85" t="s">
        <v>290</v>
      </c>
    </row>
    <row r="6" spans="2:6" ht="31" x14ac:dyDescent="0.35">
      <c r="B6" s="43"/>
      <c r="C6" s="45" t="s">
        <v>1</v>
      </c>
      <c r="D6" s="46" t="s">
        <v>2</v>
      </c>
      <c r="E6" s="46"/>
      <c r="F6" s="86" t="s">
        <v>291</v>
      </c>
    </row>
    <row r="7" spans="2:6" x14ac:dyDescent="0.35">
      <c r="B7" s="43"/>
      <c r="C7" s="61" t="s">
        <v>4</v>
      </c>
      <c r="D7" s="23" t="s">
        <v>292</v>
      </c>
      <c r="E7" s="46"/>
      <c r="F7" s="85" t="s">
        <v>293</v>
      </c>
    </row>
    <row r="8" spans="2:6" ht="17.25" customHeight="1" x14ac:dyDescent="0.35">
      <c r="B8" s="43"/>
      <c r="C8" s="61" t="s">
        <v>7</v>
      </c>
      <c r="D8" s="23" t="s">
        <v>289</v>
      </c>
      <c r="E8" s="46"/>
      <c r="F8" s="85" t="s">
        <v>294</v>
      </c>
    </row>
    <row r="9" spans="2:6" x14ac:dyDescent="0.35">
      <c r="C9" s="61" t="s">
        <v>9</v>
      </c>
      <c r="D9" s="23">
        <v>20</v>
      </c>
      <c r="E9" s="46"/>
      <c r="F9" s="85" t="s">
        <v>295</v>
      </c>
    </row>
    <row r="10" spans="2:6" x14ac:dyDescent="0.35">
      <c r="C10" s="61" t="s">
        <v>10</v>
      </c>
      <c r="D10" s="23" t="s">
        <v>296</v>
      </c>
      <c r="F10" s="39" t="s">
        <v>22</v>
      </c>
    </row>
    <row r="11" spans="2:6" ht="155" x14ac:dyDescent="0.35">
      <c r="C11" s="61" t="s">
        <v>12</v>
      </c>
      <c r="D11" s="23">
        <v>6</v>
      </c>
      <c r="F11" s="84" t="s">
        <v>297</v>
      </c>
    </row>
    <row r="12" spans="2:6" x14ac:dyDescent="0.35">
      <c r="C12" s="61" t="s">
        <v>14</v>
      </c>
      <c r="D12" s="23" t="s">
        <v>298</v>
      </c>
      <c r="F12" s="24"/>
    </row>
    <row r="13" spans="2:6" x14ac:dyDescent="0.35">
      <c r="C13" s="61" t="s">
        <v>17</v>
      </c>
      <c r="D13" s="23" t="s">
        <v>299</v>
      </c>
      <c r="F13" s="26"/>
    </row>
    <row r="14" spans="2:6" x14ac:dyDescent="0.35">
      <c r="C14" s="61" t="s">
        <v>20</v>
      </c>
      <c r="D14" s="23" t="s">
        <v>21</v>
      </c>
      <c r="F14" s="26"/>
    </row>
    <row r="15" spans="2:6" x14ac:dyDescent="0.35">
      <c r="C15" s="45"/>
      <c r="D15" s="46"/>
      <c r="F15" s="26"/>
    </row>
    <row r="16" spans="2:6" x14ac:dyDescent="0.35">
      <c r="C16" s="45"/>
      <c r="D16" s="46"/>
      <c r="F16" s="26"/>
    </row>
    <row r="17" spans="3:8" x14ac:dyDescent="0.35">
      <c r="C17" s="44" t="s">
        <v>24</v>
      </c>
      <c r="D17" s="46"/>
      <c r="E17" s="46"/>
      <c r="F17" s="39" t="s">
        <v>11</v>
      </c>
    </row>
    <row r="18" spans="3:8" x14ac:dyDescent="0.35">
      <c r="C18" s="45" t="s">
        <v>25</v>
      </c>
      <c r="D18" s="42" t="s">
        <v>24</v>
      </c>
      <c r="E18" s="46"/>
      <c r="F18" s="39" t="s">
        <v>300</v>
      </c>
    </row>
    <row r="19" spans="3:8" x14ac:dyDescent="0.35">
      <c r="C19" s="61" t="s">
        <v>26</v>
      </c>
      <c r="D19" s="25">
        <v>10</v>
      </c>
      <c r="E19" s="46"/>
      <c r="F19" s="90" t="s">
        <v>301</v>
      </c>
    </row>
    <row r="20" spans="3:8" x14ac:dyDescent="0.35">
      <c r="C20" s="61" t="s">
        <v>27</v>
      </c>
      <c r="D20" s="25">
        <v>10</v>
      </c>
      <c r="E20" s="46"/>
      <c r="F20" s="90" t="s">
        <v>302</v>
      </c>
    </row>
    <row r="21" spans="3:8" x14ac:dyDescent="0.35">
      <c r="C21" s="61" t="s">
        <v>28</v>
      </c>
      <c r="D21" s="25"/>
      <c r="F21" s="83" t="s">
        <v>303</v>
      </c>
    </row>
    <row r="22" spans="3:8" x14ac:dyDescent="0.35">
      <c r="C22" s="61" t="s">
        <v>29</v>
      </c>
      <c r="D22" s="25"/>
      <c r="F22" s="83" t="s">
        <v>304</v>
      </c>
    </row>
    <row r="23" spans="3:8" x14ac:dyDescent="0.35">
      <c r="C23" s="61" t="s">
        <v>31</v>
      </c>
      <c r="D23" s="25"/>
      <c r="F23" s="39" t="s">
        <v>30</v>
      </c>
    </row>
    <row r="24" spans="3:8" ht="31" x14ac:dyDescent="0.35">
      <c r="C24" s="61" t="s">
        <v>33</v>
      </c>
      <c r="D24" s="42">
        <f>SUM(D19:D23)</f>
        <v>20</v>
      </c>
      <c r="F24" s="84" t="s">
        <v>305</v>
      </c>
    </row>
    <row r="25" spans="3:8" x14ac:dyDescent="0.35">
      <c r="C25" s="61"/>
      <c r="D25" s="42"/>
      <c r="F25" s="26"/>
    </row>
    <row r="26" spans="3:8" x14ac:dyDescent="0.35">
      <c r="C26" s="61"/>
      <c r="D26" s="42"/>
      <c r="F26" s="26"/>
    </row>
    <row r="27" spans="3:8" x14ac:dyDescent="0.35">
      <c r="F27" s="26"/>
    </row>
    <row r="29" spans="3:8" x14ac:dyDescent="0.35">
      <c r="E29" s="45"/>
    </row>
    <row r="30" spans="3:8" x14ac:dyDescent="0.35">
      <c r="C30" s="44" t="s">
        <v>35</v>
      </c>
      <c r="D30" s="47" t="s">
        <v>36</v>
      </c>
      <c r="E30" s="48"/>
      <c r="F30" s="49"/>
      <c r="G30" s="49"/>
      <c r="H30" s="50"/>
    </row>
    <row r="31" spans="3:8" x14ac:dyDescent="0.35">
      <c r="C31" s="45" t="s">
        <v>37</v>
      </c>
      <c r="D31" s="45" t="s">
        <v>38</v>
      </c>
      <c r="E31" s="46"/>
      <c r="F31" s="51"/>
      <c r="H31" s="52"/>
    </row>
    <row r="32" spans="3:8" ht="78" customHeight="1" x14ac:dyDescent="0.35">
      <c r="C32" s="62" t="s">
        <v>39</v>
      </c>
      <c r="D32" s="82" t="s">
        <v>306</v>
      </c>
      <c r="E32" s="53"/>
      <c r="F32" s="54"/>
      <c r="G32" s="54"/>
      <c r="H32" s="55"/>
    </row>
    <row r="33" spans="3:8" ht="77.5" customHeight="1" x14ac:dyDescent="0.35">
      <c r="C33" s="63" t="s">
        <v>41</v>
      </c>
      <c r="D33" s="83" t="s">
        <v>307</v>
      </c>
      <c r="E33" s="56"/>
      <c r="F33" s="57"/>
      <c r="G33" s="58"/>
      <c r="H33" s="59"/>
    </row>
    <row r="34" spans="3:8" ht="78" customHeight="1" x14ac:dyDescent="0.35">
      <c r="C34" s="63" t="s">
        <v>43</v>
      </c>
      <c r="D34" s="83" t="s">
        <v>308</v>
      </c>
    </row>
    <row r="35" spans="3:8" ht="78" customHeight="1" x14ac:dyDescent="0.35">
      <c r="C35" s="64" t="s">
        <v>44</v>
      </c>
      <c r="D35" s="81" t="s">
        <v>309</v>
      </c>
    </row>
    <row r="37" spans="3:8" x14ac:dyDescent="0.35">
      <c r="C37" s="44" t="s">
        <v>46</v>
      </c>
      <c r="D37" s="60"/>
    </row>
    <row r="38" spans="3:8" x14ac:dyDescent="0.35">
      <c r="C38" s="45" t="s">
        <v>47</v>
      </c>
      <c r="D38" s="45" t="s">
        <v>48</v>
      </c>
      <c r="E38" s="45" t="s">
        <v>49</v>
      </c>
      <c r="F38" s="45" t="s">
        <v>50</v>
      </c>
      <c r="G38" s="45" t="s">
        <v>51</v>
      </c>
      <c r="H38" s="45" t="s">
        <v>52</v>
      </c>
    </row>
    <row r="39" spans="3:8" ht="139.5" x14ac:dyDescent="0.35">
      <c r="C39" s="61" t="s">
        <v>53</v>
      </c>
      <c r="D39" s="23" t="s">
        <v>116</v>
      </c>
      <c r="E39" s="83" t="s">
        <v>310</v>
      </c>
      <c r="F39" s="23" t="s">
        <v>311</v>
      </c>
      <c r="G39" s="27">
        <v>0.5</v>
      </c>
      <c r="H39" s="23">
        <v>33</v>
      </c>
    </row>
    <row r="40" spans="3:8" ht="356.5" x14ac:dyDescent="0.35">
      <c r="C40" s="61" t="s">
        <v>57</v>
      </c>
      <c r="D40" s="23" t="s">
        <v>54</v>
      </c>
      <c r="E40" s="89" t="s">
        <v>312</v>
      </c>
      <c r="F40" s="23" t="s">
        <v>313</v>
      </c>
      <c r="G40" s="27">
        <v>0.5</v>
      </c>
      <c r="H40" s="23">
        <v>33</v>
      </c>
    </row>
    <row r="43" spans="3:8" x14ac:dyDescent="0.35">
      <c r="C43" s="44" t="s">
        <v>64</v>
      </c>
      <c r="D43" s="47"/>
    </row>
    <row r="44" spans="3:8" x14ac:dyDescent="0.35">
      <c r="C44" s="42" t="s">
        <v>47</v>
      </c>
      <c r="D44" s="42" t="s">
        <v>37</v>
      </c>
      <c r="E44" s="42" t="s">
        <v>65</v>
      </c>
      <c r="F44" s="30" t="s">
        <v>66</v>
      </c>
    </row>
    <row r="45" spans="3:8" x14ac:dyDescent="0.35">
      <c r="C45" s="67" t="s">
        <v>314</v>
      </c>
      <c r="D45" s="67" t="s">
        <v>39</v>
      </c>
      <c r="E45" s="67" t="s">
        <v>76</v>
      </c>
      <c r="F45" s="26" t="s">
        <v>77</v>
      </c>
    </row>
    <row r="46" spans="3:8" x14ac:dyDescent="0.35">
      <c r="C46" s="28"/>
      <c r="D46" s="28" t="s">
        <v>41</v>
      </c>
      <c r="E46" s="28" t="s">
        <v>73</v>
      </c>
      <c r="F46" s="26" t="s">
        <v>384</v>
      </c>
    </row>
    <row r="47" spans="3:8" x14ac:dyDescent="0.35">
      <c r="C47" s="28"/>
      <c r="D47" s="28" t="s">
        <v>43</v>
      </c>
      <c r="E47" s="28" t="s">
        <v>316</v>
      </c>
      <c r="F47" s="26" t="s">
        <v>400</v>
      </c>
    </row>
    <row r="48" spans="3:8" x14ac:dyDescent="0.35">
      <c r="C48" s="68"/>
      <c r="D48" s="68" t="s">
        <v>44</v>
      </c>
      <c r="E48" s="68" t="s">
        <v>71</v>
      </c>
      <c r="F48" s="26" t="s">
        <v>72</v>
      </c>
    </row>
    <row r="49" spans="2:6" x14ac:dyDescent="0.35">
      <c r="C49" s="67" t="s">
        <v>317</v>
      </c>
      <c r="D49" s="67" t="s">
        <v>39</v>
      </c>
      <c r="E49" s="67" t="s">
        <v>76</v>
      </c>
      <c r="F49" s="26" t="s">
        <v>136</v>
      </c>
    </row>
    <row r="50" spans="2:6" x14ac:dyDescent="0.35">
      <c r="C50" s="28"/>
      <c r="D50" s="28" t="s">
        <v>41</v>
      </c>
      <c r="E50" s="28" t="s">
        <v>67</v>
      </c>
      <c r="F50" s="26" t="s">
        <v>68</v>
      </c>
    </row>
    <row r="51" spans="2:6" x14ac:dyDescent="0.35">
      <c r="C51" s="28"/>
      <c r="D51" s="28" t="s">
        <v>43</v>
      </c>
      <c r="E51" s="28" t="s">
        <v>79</v>
      </c>
      <c r="F51" s="26" t="s">
        <v>80</v>
      </c>
    </row>
    <row r="52" spans="2:6" x14ac:dyDescent="0.35">
      <c r="C52" s="28"/>
      <c r="D52" s="28" t="s">
        <v>44</v>
      </c>
      <c r="E52" s="28" t="s">
        <v>71</v>
      </c>
      <c r="F52" s="26" t="s">
        <v>131</v>
      </c>
    </row>
    <row r="53" spans="2:6" x14ac:dyDescent="0.35">
      <c r="C53" s="28"/>
      <c r="D53" s="28"/>
      <c r="E53" s="22"/>
      <c r="F53" s="26"/>
    </row>
    <row r="54" spans="2:6" x14ac:dyDescent="0.35">
      <c r="C54" s="22"/>
      <c r="D54" s="28"/>
      <c r="E54" s="22"/>
      <c r="F54" s="26"/>
    </row>
    <row r="58" spans="2:6" x14ac:dyDescent="0.35">
      <c r="C58" s="44" t="s">
        <v>81</v>
      </c>
    </row>
    <row r="59" spans="2:6" x14ac:dyDescent="0.35">
      <c r="B59" s="39" t="s">
        <v>82</v>
      </c>
      <c r="C59" s="42" t="s">
        <v>83</v>
      </c>
      <c r="D59" s="42" t="s">
        <v>84</v>
      </c>
      <c r="E59" s="42" t="s">
        <v>85</v>
      </c>
      <c r="F59" s="42" t="s">
        <v>86</v>
      </c>
    </row>
    <row r="60" spans="2:6" ht="15.65" customHeight="1" x14ac:dyDescent="0.35">
      <c r="B60" s="65">
        <v>1</v>
      </c>
      <c r="C60" s="66">
        <v>1</v>
      </c>
      <c r="D60" s="39" t="s">
        <v>318</v>
      </c>
      <c r="E60" s="39" t="s">
        <v>319</v>
      </c>
      <c r="F60" s="23"/>
    </row>
    <row r="61" spans="2:6" ht="15.65" customHeight="1" x14ac:dyDescent="0.35">
      <c r="B61" s="65">
        <v>1</v>
      </c>
      <c r="C61" s="66">
        <v>2</v>
      </c>
      <c r="D61" s="43" t="s">
        <v>320</v>
      </c>
      <c r="E61" s="39" t="s">
        <v>321</v>
      </c>
      <c r="F61" s="23"/>
    </row>
    <row r="62" spans="2:6" ht="15.65" customHeight="1" x14ac:dyDescent="0.35">
      <c r="B62" s="65">
        <v>1</v>
      </c>
      <c r="C62" s="66">
        <v>3</v>
      </c>
      <c r="D62" s="43" t="s">
        <v>320</v>
      </c>
      <c r="E62" s="39" t="s">
        <v>322</v>
      </c>
      <c r="F62" s="23"/>
    </row>
    <row r="63" spans="2:6" ht="15.65" customHeight="1" x14ac:dyDescent="0.35">
      <c r="B63" s="65">
        <v>1</v>
      </c>
      <c r="C63" s="66">
        <v>4</v>
      </c>
      <c r="D63" s="43" t="s">
        <v>320</v>
      </c>
      <c r="E63" s="43" t="s">
        <v>323</v>
      </c>
      <c r="F63" s="23"/>
    </row>
    <row r="64" spans="2:6" ht="15.65" customHeight="1" x14ac:dyDescent="0.35">
      <c r="B64" s="65">
        <v>1</v>
      </c>
      <c r="C64" s="66">
        <v>5</v>
      </c>
      <c r="D64" s="44" t="s">
        <v>324</v>
      </c>
      <c r="E64" s="43" t="s">
        <v>325</v>
      </c>
      <c r="F64" s="23"/>
    </row>
    <row r="65" spans="2:6" ht="15.65" customHeight="1" x14ac:dyDescent="0.35">
      <c r="B65" s="65">
        <v>1</v>
      </c>
      <c r="C65" s="66">
        <v>6</v>
      </c>
      <c r="D65" s="87" t="s">
        <v>320</v>
      </c>
      <c r="E65" s="87" t="s">
        <v>326</v>
      </c>
      <c r="F65" s="23"/>
    </row>
    <row r="66" spans="2:6" ht="15.65" customHeight="1" x14ac:dyDescent="0.35">
      <c r="B66" s="65">
        <v>1</v>
      </c>
      <c r="C66" s="66">
        <v>7</v>
      </c>
      <c r="D66" s="88" t="s">
        <v>258</v>
      </c>
      <c r="E66" s="23"/>
      <c r="F66" s="23"/>
    </row>
    <row r="67" spans="2:6" ht="15.65" customHeight="1" x14ac:dyDescent="0.35">
      <c r="B67" s="65">
        <v>1</v>
      </c>
      <c r="C67" s="66">
        <v>8</v>
      </c>
      <c r="D67" s="87" t="s">
        <v>320</v>
      </c>
      <c r="E67" s="87" t="s">
        <v>327</v>
      </c>
      <c r="F67" s="23"/>
    </row>
    <row r="68" spans="2:6" ht="15.65" customHeight="1" x14ac:dyDescent="0.35">
      <c r="B68" s="65">
        <v>1</v>
      </c>
      <c r="C68" s="66">
        <v>9</v>
      </c>
      <c r="D68" s="87" t="s">
        <v>320</v>
      </c>
      <c r="E68" s="87" t="s">
        <v>328</v>
      </c>
      <c r="F68" s="23"/>
    </row>
    <row r="69" spans="2:6" ht="15.65" customHeight="1" x14ac:dyDescent="0.35">
      <c r="B69" s="65">
        <v>1</v>
      </c>
      <c r="C69" s="66">
        <v>10</v>
      </c>
      <c r="D69" s="43" t="s">
        <v>329</v>
      </c>
      <c r="E69" s="87" t="s">
        <v>330</v>
      </c>
      <c r="F69" s="23"/>
    </row>
    <row r="70" spans="2:6" ht="15.65" customHeight="1" x14ac:dyDescent="0.35">
      <c r="B70" s="65">
        <v>1</v>
      </c>
      <c r="C70" s="66">
        <v>11</v>
      </c>
      <c r="D70" s="43" t="s">
        <v>320</v>
      </c>
      <c r="E70" s="43" t="s">
        <v>331</v>
      </c>
      <c r="F70" s="23"/>
    </row>
    <row r="71" spans="2:6" ht="15.65" customHeight="1" x14ac:dyDescent="0.35">
      <c r="B71" s="65">
        <v>1</v>
      </c>
      <c r="C71" s="66">
        <v>12</v>
      </c>
      <c r="D71" s="43" t="s">
        <v>320</v>
      </c>
      <c r="E71" s="87" t="s">
        <v>332</v>
      </c>
      <c r="F71" s="23"/>
    </row>
    <row r="72" spans="2:6" ht="15.65" customHeight="1" x14ac:dyDescent="0.35">
      <c r="B72" s="65">
        <v>2</v>
      </c>
      <c r="C72" s="66">
        <v>1</v>
      </c>
      <c r="D72" s="44" t="s">
        <v>324</v>
      </c>
      <c r="E72" s="23"/>
      <c r="F72" s="23"/>
    </row>
    <row r="73" spans="2:6" ht="15.65" customHeight="1" x14ac:dyDescent="0.35">
      <c r="B73" s="65">
        <v>2</v>
      </c>
      <c r="C73" s="66">
        <v>2</v>
      </c>
      <c r="D73" s="87" t="s">
        <v>320</v>
      </c>
      <c r="E73" s="23"/>
      <c r="F73" s="23"/>
    </row>
    <row r="74" spans="2:6" ht="15.65" customHeight="1" x14ac:dyDescent="0.35">
      <c r="B74" s="65">
        <v>2</v>
      </c>
      <c r="C74" s="66">
        <v>3</v>
      </c>
      <c r="D74" s="87" t="s">
        <v>320</v>
      </c>
      <c r="E74" s="23"/>
      <c r="F74" s="23"/>
    </row>
    <row r="75" spans="2:6" ht="15.65" customHeight="1" x14ac:dyDescent="0.35">
      <c r="B75" s="65">
        <v>2</v>
      </c>
      <c r="C75" s="66">
        <v>4</v>
      </c>
      <c r="D75" s="87" t="s">
        <v>320</v>
      </c>
      <c r="E75" s="23"/>
      <c r="F75" s="23"/>
    </row>
    <row r="76" spans="2:6" x14ac:dyDescent="0.35">
      <c r="B76" s="65">
        <v>2</v>
      </c>
      <c r="C76" s="66">
        <v>5</v>
      </c>
      <c r="D76" s="87" t="s">
        <v>320</v>
      </c>
      <c r="E76" s="23"/>
      <c r="F76" s="23"/>
    </row>
    <row r="77" spans="2:6" x14ac:dyDescent="0.35">
      <c r="B77" s="65">
        <v>2</v>
      </c>
      <c r="C77" s="66">
        <v>6</v>
      </c>
      <c r="D77" s="88" t="s">
        <v>258</v>
      </c>
      <c r="E77" s="23"/>
      <c r="F77" s="23"/>
    </row>
    <row r="78" spans="2:6" x14ac:dyDescent="0.35">
      <c r="B78" s="65">
        <v>2</v>
      </c>
      <c r="C78" s="66">
        <v>7</v>
      </c>
      <c r="D78" s="87" t="s">
        <v>320</v>
      </c>
      <c r="E78" s="23"/>
      <c r="F78" s="23"/>
    </row>
    <row r="79" spans="2:6" x14ac:dyDescent="0.35">
      <c r="B79" s="65">
        <v>2</v>
      </c>
      <c r="C79" s="66">
        <v>8</v>
      </c>
      <c r="D79" s="44" t="s">
        <v>324</v>
      </c>
      <c r="E79" s="23"/>
      <c r="F79" s="23"/>
    </row>
    <row r="80" spans="2:6" x14ac:dyDescent="0.35">
      <c r="B80" s="65"/>
      <c r="C80" s="66"/>
      <c r="D80" s="88" t="s">
        <v>333</v>
      </c>
      <c r="E80" s="23"/>
      <c r="F80" s="23"/>
    </row>
    <row r="81" spans="2:6" x14ac:dyDescent="0.35">
      <c r="B81" s="65"/>
      <c r="C81" s="66"/>
      <c r="D81" s="88" t="s">
        <v>333</v>
      </c>
      <c r="E81" s="23"/>
      <c r="F81" s="23"/>
    </row>
    <row r="82" spans="2:6" x14ac:dyDescent="0.35">
      <c r="B82" s="65">
        <v>2</v>
      </c>
      <c r="C82" s="66">
        <v>9</v>
      </c>
      <c r="D82" s="87" t="s">
        <v>320</v>
      </c>
      <c r="E82" s="23"/>
      <c r="F82" s="23"/>
    </row>
    <row r="83" spans="2:6" x14ac:dyDescent="0.35">
      <c r="B83" s="65">
        <v>2</v>
      </c>
      <c r="C83" s="66">
        <v>10</v>
      </c>
      <c r="D83" s="87" t="s">
        <v>320</v>
      </c>
      <c r="E83" s="23"/>
      <c r="F83" s="23"/>
    </row>
    <row r="84" spans="2:6" x14ac:dyDescent="0.35">
      <c r="B84" s="65">
        <v>2</v>
      </c>
      <c r="C84" s="66">
        <v>11</v>
      </c>
      <c r="D84" s="87" t="s">
        <v>320</v>
      </c>
      <c r="E84" s="23"/>
      <c r="F84" s="23"/>
    </row>
    <row r="85" spans="2:6" x14ac:dyDescent="0.35">
      <c r="B85" s="65">
        <v>2</v>
      </c>
      <c r="C85" s="66">
        <v>12</v>
      </c>
      <c r="D85" s="87" t="s">
        <v>320</v>
      </c>
      <c r="E85" s="23"/>
      <c r="F85" s="23"/>
    </row>
    <row r="86" spans="2:6" x14ac:dyDescent="0.35">
      <c r="B86" s="65"/>
      <c r="C86" s="66"/>
      <c r="D86" s="43" t="s">
        <v>329</v>
      </c>
      <c r="E86" s="23"/>
      <c r="F86" s="23"/>
    </row>
    <row r="87" spans="2:6" x14ac:dyDescent="0.35">
      <c r="B87" s="65"/>
      <c r="C87" s="66"/>
      <c r="E87" s="23"/>
      <c r="F87" s="23"/>
    </row>
    <row r="88" spans="2:6" x14ac:dyDescent="0.35">
      <c r="B88" s="65"/>
      <c r="C88" s="66"/>
      <c r="D88" s="43"/>
      <c r="E88" s="23"/>
      <c r="F88" s="23"/>
    </row>
    <row r="89" spans="2:6" x14ac:dyDescent="0.35">
      <c r="B89" s="65"/>
      <c r="C89" s="66"/>
      <c r="E89" s="23"/>
      <c r="F89" s="23"/>
    </row>
    <row r="90" spans="2:6" x14ac:dyDescent="0.35">
      <c r="B90" s="65"/>
      <c r="C90" s="66"/>
      <c r="E90" s="23"/>
      <c r="F90" s="23"/>
    </row>
    <row r="91" spans="2:6" x14ac:dyDescent="0.35">
      <c r="B91" s="65"/>
      <c r="C91" s="66"/>
      <c r="D91" s="43"/>
      <c r="E91" s="23"/>
      <c r="F91" s="23"/>
    </row>
    <row r="92" spans="2:6" x14ac:dyDescent="0.35">
      <c r="B92" s="65"/>
      <c r="C92" s="66"/>
      <c r="E92" s="23"/>
      <c r="F92" s="23"/>
    </row>
    <row r="93" spans="2:6" x14ac:dyDescent="0.35">
      <c r="B93" s="65"/>
      <c r="C93" s="66"/>
      <c r="E93" s="23"/>
      <c r="F93" s="23"/>
    </row>
    <row r="94" spans="2:6" x14ac:dyDescent="0.35">
      <c r="B94" s="65"/>
      <c r="C94" s="66"/>
      <c r="D94" s="43"/>
      <c r="E94" s="23"/>
      <c r="F94" s="23"/>
    </row>
    <row r="95" spans="2:6" x14ac:dyDescent="0.35">
      <c r="B95" s="65"/>
      <c r="C95" s="66"/>
      <c r="E95" s="23"/>
      <c r="F95" s="23"/>
    </row>
    <row r="96" spans="2:6" x14ac:dyDescent="0.35">
      <c r="B96" s="65"/>
      <c r="C96" s="66"/>
      <c r="E96" s="23"/>
      <c r="F96" s="23"/>
    </row>
  </sheetData>
  <sheetProtection formatCells="0" formatColumns="0" formatRows="0" insertHyperlinks="0"/>
  <phoneticPr fontId="2" type="noConversion"/>
  <dataValidations count="3">
    <dataValidation type="whole" showInputMessage="1" showErrorMessage="1" error="This is not a realistic number of contact hours please reduce" sqref="D20:D23" xr:uid="{4CD06D9F-B01B-4457-970D-A06930C54E93}">
      <formula1>0</formula1>
      <formula2>80</formula2>
    </dataValidation>
    <dataValidation type="whole" showInputMessage="1" showErrorMessage="1" error="This is not a realistic number of contact hours please change" sqref="D19" xr:uid="{63F672F2-9C2D-49E0-B21F-66A62EA27310}">
      <formula1>0</formula1>
      <formula2>80</formula2>
    </dataValidation>
    <dataValidation type="list" allowBlank="1" showInputMessage="1" showErrorMessage="1" sqref="F45:F54" xr:uid="{4C47E19E-3343-42B7-A17F-3D7E487268B2}">
      <formula1>INDIRECT(VLOOKUP($E45, SkillNameMap, 2, FALSE))</formula1>
    </dataValidation>
  </dataValidations>
  <pageMargins left="0.7" right="0.7" top="0.75" bottom="0.75" header="0.3" footer="0.3"/>
  <pageSetup paperSize="9" orientation="portrait" horizontalDpi="4294967293" verticalDpi="0"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6">
        <x14:dataValidation type="list" allowBlank="1" showInputMessage="1" showErrorMessage="1" xr:uid="{39735843-EE1A-45FF-B467-A90D5F8EC861}">
          <x14:formula1>
            <xm:f>LISTS!$C$26:$C$37</xm:f>
          </x14:formula1>
          <xm:sqref>D14</xm:sqref>
        </x14:dataValidation>
        <x14:dataValidation type="list" allowBlank="1" showInputMessage="1" showErrorMessage="1" xr:uid="{681495C4-F231-4E60-A408-2A29AE659913}">
          <x14:formula1>
            <xm:f>LISTS!$C$17:$C$22</xm:f>
          </x14:formula1>
          <xm:sqref>D13</xm:sqref>
        </x14:dataValidation>
        <x14:dataValidation type="list" allowBlank="1" showInputMessage="1" showErrorMessage="1" xr:uid="{F64EA1C2-314E-47D2-98EB-EB9128A71684}">
          <x14:formula1>
            <xm:f>LISTS!$C$7:$C$9</xm:f>
          </x14:formula1>
          <xm:sqref>D10</xm:sqref>
        </x14:dataValidation>
        <x14:dataValidation type="list" allowBlank="1" showInputMessage="1" showErrorMessage="1" xr:uid="{983858DF-F117-4ABC-BB76-AC82A216171D}">
          <x14:formula1>
            <xm:f>LISTS!$C$11:$C$15</xm:f>
          </x14:formula1>
          <xm:sqref>D11</xm:sqref>
        </x14:dataValidation>
        <x14:dataValidation type="list" allowBlank="1" showInputMessage="1" showErrorMessage="1" xr:uid="{20095D0C-07FE-4EE7-BFEC-317D253839B4}">
          <x14:formula1>
            <xm:f>LISTS!$G$7:$G$11</xm:f>
          </x14:formula1>
          <xm:sqref>D39:D40</xm:sqref>
        </x14:dataValidation>
        <x14:dataValidation type="list" allowBlank="1" showInputMessage="1" showErrorMessage="1" xr:uid="{23E09DB4-8A72-484B-8446-D642BCD37A34}">
          <x14:formula1>
            <xm:f>LISTS!$J$7:$J$16</xm:f>
          </x14:formula1>
          <xm:sqref>E45:E54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B1DD-F469-4B0C-8EE9-FF16EC784179}">
  <sheetPr codeName="Sheet9"/>
  <dimension ref="C4:T102"/>
  <sheetViews>
    <sheetView workbookViewId="0">
      <selection activeCell="G16" sqref="G16"/>
    </sheetView>
  </sheetViews>
  <sheetFormatPr defaultColWidth="8.81640625" defaultRowHeight="14.5" x14ac:dyDescent="0.35"/>
  <cols>
    <col min="7" max="7" width="11.453125" customWidth="1"/>
    <col min="10" max="10" width="19.453125" bestFit="1" customWidth="1"/>
    <col min="19" max="19" width="28.453125" customWidth="1"/>
    <col min="20" max="20" width="16.1796875" customWidth="1"/>
  </cols>
  <sheetData>
    <row r="4" spans="3:10" x14ac:dyDescent="0.35">
      <c r="C4" t="s">
        <v>334</v>
      </c>
      <c r="E4" t="s">
        <v>335</v>
      </c>
      <c r="G4" t="s">
        <v>335</v>
      </c>
      <c r="J4" t="s">
        <v>336</v>
      </c>
    </row>
    <row r="7" spans="3:10" ht="15.75" customHeight="1" x14ac:dyDescent="0.35">
      <c r="C7" s="37">
        <v>1</v>
      </c>
      <c r="E7" t="s">
        <v>39</v>
      </c>
      <c r="G7" t="s">
        <v>116</v>
      </c>
      <c r="J7" t="s">
        <v>119</v>
      </c>
    </row>
    <row r="8" spans="3:10" x14ac:dyDescent="0.35">
      <c r="C8" s="37">
        <v>2</v>
      </c>
      <c r="E8" t="s">
        <v>41</v>
      </c>
      <c r="G8" t="s">
        <v>207</v>
      </c>
      <c r="J8" t="s">
        <v>124</v>
      </c>
    </row>
    <row r="9" spans="3:10" x14ac:dyDescent="0.35">
      <c r="C9" s="37" t="s">
        <v>296</v>
      </c>
      <c r="E9" t="s">
        <v>43</v>
      </c>
      <c r="G9" t="s">
        <v>54</v>
      </c>
      <c r="J9" t="s">
        <v>76</v>
      </c>
    </row>
    <row r="10" spans="3:10" x14ac:dyDescent="0.35">
      <c r="E10" t="s">
        <v>44</v>
      </c>
      <c r="G10" t="s">
        <v>28</v>
      </c>
      <c r="J10" t="s">
        <v>134</v>
      </c>
    </row>
    <row r="11" spans="3:10" x14ac:dyDescent="0.35">
      <c r="C11" s="37">
        <v>3</v>
      </c>
      <c r="E11" t="s">
        <v>45</v>
      </c>
      <c r="G11" t="s">
        <v>58</v>
      </c>
      <c r="J11" t="s">
        <v>73</v>
      </c>
    </row>
    <row r="12" spans="3:10" x14ac:dyDescent="0.35">
      <c r="C12" s="37">
        <v>4</v>
      </c>
      <c r="J12" t="s">
        <v>67</v>
      </c>
    </row>
    <row r="13" spans="3:10" x14ac:dyDescent="0.35">
      <c r="C13" s="37">
        <v>5</v>
      </c>
      <c r="J13" t="s">
        <v>126</v>
      </c>
    </row>
    <row r="14" spans="3:10" x14ac:dyDescent="0.35">
      <c r="C14" s="37">
        <v>6</v>
      </c>
      <c r="G14" t="s">
        <v>49</v>
      </c>
      <c r="J14" t="s">
        <v>316</v>
      </c>
    </row>
    <row r="15" spans="3:10" x14ac:dyDescent="0.35">
      <c r="C15" s="37">
        <v>7</v>
      </c>
      <c r="G15" t="s">
        <v>337</v>
      </c>
      <c r="J15" t="s">
        <v>71</v>
      </c>
    </row>
    <row r="16" spans="3:10" x14ac:dyDescent="0.35">
      <c r="G16" t="s">
        <v>59</v>
      </c>
      <c r="J16" t="s">
        <v>79</v>
      </c>
    </row>
    <row r="17" spans="3:20" x14ac:dyDescent="0.35">
      <c r="C17" t="s">
        <v>299</v>
      </c>
      <c r="G17" t="s">
        <v>338</v>
      </c>
    </row>
    <row r="18" spans="3:20" x14ac:dyDescent="0.35">
      <c r="C18" t="s">
        <v>339</v>
      </c>
      <c r="G18" t="s">
        <v>117</v>
      </c>
    </row>
    <row r="19" spans="3:20" x14ac:dyDescent="0.35">
      <c r="C19" t="s">
        <v>340</v>
      </c>
      <c r="G19" t="s">
        <v>114</v>
      </c>
      <c r="J19" t="s">
        <v>341</v>
      </c>
      <c r="K19" t="s">
        <v>342</v>
      </c>
    </row>
    <row r="20" spans="3:20" x14ac:dyDescent="0.35">
      <c r="C20" t="s">
        <v>343</v>
      </c>
      <c r="G20" t="s">
        <v>55</v>
      </c>
      <c r="J20" t="s">
        <v>119</v>
      </c>
      <c r="K20" t="s">
        <v>122</v>
      </c>
      <c r="O20" s="69" t="s">
        <v>344</v>
      </c>
      <c r="S20" s="70" t="s">
        <v>345</v>
      </c>
      <c r="T20" s="71" t="s">
        <v>346</v>
      </c>
    </row>
    <row r="21" spans="3:20" x14ac:dyDescent="0.35">
      <c r="C21" t="s">
        <v>347</v>
      </c>
      <c r="G21" t="s">
        <v>173</v>
      </c>
      <c r="J21" t="s">
        <v>119</v>
      </c>
      <c r="K21" t="s">
        <v>121</v>
      </c>
      <c r="O21" t="str" cm="1">
        <f t="array" ref="O21:O26">_xlfn._xlws.FILTER(LISTS_Table[Skill],LISTS_Table[Category]="Scientific Knowledge")</f>
        <v>Critical thinking</v>
      </c>
      <c r="S21" s="72" t="s">
        <v>119</v>
      </c>
      <c r="T21" s="73" t="s">
        <v>348</v>
      </c>
    </row>
    <row r="22" spans="3:20" x14ac:dyDescent="0.35">
      <c r="C22" t="s">
        <v>18</v>
      </c>
      <c r="G22" t="s">
        <v>208</v>
      </c>
      <c r="J22" t="s">
        <v>119</v>
      </c>
      <c r="K22" t="s">
        <v>178</v>
      </c>
      <c r="O22" t="str">
        <v>Scientific literacy</v>
      </c>
      <c r="S22" s="74" t="s">
        <v>124</v>
      </c>
      <c r="T22" s="75" t="s">
        <v>349</v>
      </c>
    </row>
    <row r="23" spans="3:20" x14ac:dyDescent="0.35">
      <c r="G23" t="s">
        <v>350</v>
      </c>
      <c r="J23" t="s">
        <v>119</v>
      </c>
      <c r="K23" t="s">
        <v>129</v>
      </c>
      <c r="O23" t="str">
        <v>Information retrieval</v>
      </c>
      <c r="S23" s="72" t="s">
        <v>76</v>
      </c>
      <c r="T23" s="73" t="s">
        <v>351</v>
      </c>
    </row>
    <row r="24" spans="3:20" x14ac:dyDescent="0.35">
      <c r="G24" t="s">
        <v>352</v>
      </c>
      <c r="J24" t="s">
        <v>119</v>
      </c>
      <c r="K24" t="s">
        <v>120</v>
      </c>
      <c r="O24" t="str">
        <v>Knowledge synthesis</v>
      </c>
      <c r="S24" s="74" t="s">
        <v>134</v>
      </c>
      <c r="T24" s="75" t="s">
        <v>353</v>
      </c>
    </row>
    <row r="25" spans="3:20" x14ac:dyDescent="0.35">
      <c r="G25" t="s">
        <v>175</v>
      </c>
      <c r="J25" t="s">
        <v>119</v>
      </c>
      <c r="K25" t="s">
        <v>252</v>
      </c>
      <c r="O25" t="str">
        <v>Domain-specific analytical skills</v>
      </c>
      <c r="S25" s="72" t="s">
        <v>73</v>
      </c>
      <c r="T25" s="73" t="s">
        <v>354</v>
      </c>
    </row>
    <row r="26" spans="3:20" x14ac:dyDescent="0.35">
      <c r="C26" t="s">
        <v>21</v>
      </c>
      <c r="G26" t="s">
        <v>355</v>
      </c>
      <c r="J26" t="s">
        <v>124</v>
      </c>
      <c r="K26" t="s">
        <v>356</v>
      </c>
      <c r="O26" t="str">
        <v>Evidence evaluation</v>
      </c>
      <c r="S26" s="74" t="s">
        <v>67</v>
      </c>
      <c r="T26" s="75" t="s">
        <v>67</v>
      </c>
    </row>
    <row r="27" spans="3:20" x14ac:dyDescent="0.35">
      <c r="C27" t="s">
        <v>357</v>
      </c>
      <c r="G27" t="s">
        <v>358</v>
      </c>
      <c r="J27" t="s">
        <v>124</v>
      </c>
      <c r="K27" t="s">
        <v>125</v>
      </c>
      <c r="S27" s="72" t="s">
        <v>126</v>
      </c>
      <c r="T27" s="73" t="s">
        <v>359</v>
      </c>
    </row>
    <row r="28" spans="3:20" x14ac:dyDescent="0.35">
      <c r="C28" t="s">
        <v>360</v>
      </c>
      <c r="G28" t="s">
        <v>361</v>
      </c>
      <c r="J28" t="s">
        <v>124</v>
      </c>
      <c r="K28" t="s">
        <v>211</v>
      </c>
      <c r="O28" s="36" t="s">
        <v>362</v>
      </c>
      <c r="S28" s="74" t="s">
        <v>316</v>
      </c>
      <c r="T28" s="75" t="s">
        <v>363</v>
      </c>
    </row>
    <row r="29" spans="3:20" x14ac:dyDescent="0.35">
      <c r="C29" t="s">
        <v>364</v>
      </c>
      <c r="J29" t="s">
        <v>124</v>
      </c>
      <c r="K29" t="s">
        <v>214</v>
      </c>
      <c r="O29" t="str" cm="1">
        <f t="array" ref="O29:O34">_xlfn._xlws.FILTER(LISTS_Table[Skill],LISTS_Table[Category]="Technical Skills")</f>
        <v>Laboratory/clinical techniques</v>
      </c>
      <c r="S29" s="72" t="s">
        <v>71</v>
      </c>
      <c r="T29" s="73" t="s">
        <v>365</v>
      </c>
    </row>
    <row r="30" spans="3:20" x14ac:dyDescent="0.35">
      <c r="C30" t="s">
        <v>366</v>
      </c>
      <c r="J30" t="s">
        <v>124</v>
      </c>
      <c r="K30" t="s">
        <v>212</v>
      </c>
      <c r="O30" t="str">
        <v>Data collection</v>
      </c>
      <c r="S30" s="76" t="s">
        <v>79</v>
      </c>
      <c r="T30" s="77" t="s">
        <v>367</v>
      </c>
    </row>
    <row r="31" spans="3:20" x14ac:dyDescent="0.35">
      <c r="C31" t="s">
        <v>368</v>
      </c>
      <c r="J31" t="s">
        <v>124</v>
      </c>
      <c r="K31" t="s">
        <v>369</v>
      </c>
      <c r="O31" t="str">
        <v>Data analysis</v>
      </c>
    </row>
    <row r="32" spans="3:20" x14ac:dyDescent="0.35">
      <c r="C32" t="s">
        <v>370</v>
      </c>
      <c r="J32" t="s">
        <v>76</v>
      </c>
      <c r="K32" t="s">
        <v>371</v>
      </c>
      <c r="O32" t="str">
        <v>Digital literacy</v>
      </c>
    </row>
    <row r="33" spans="3:15" x14ac:dyDescent="0.35">
      <c r="C33" t="s">
        <v>372</v>
      </c>
      <c r="J33" t="s">
        <v>76</v>
      </c>
      <c r="K33" t="s">
        <v>136</v>
      </c>
      <c r="O33" t="str">
        <v>Equipment and technology utilisation</v>
      </c>
    </row>
    <row r="34" spans="3:15" x14ac:dyDescent="0.35">
      <c r="C34" t="s">
        <v>373</v>
      </c>
      <c r="J34" t="s">
        <v>76</v>
      </c>
      <c r="K34" t="s">
        <v>77</v>
      </c>
      <c r="O34" t="str">
        <v>Technical proficiency</v>
      </c>
    </row>
    <row r="35" spans="3:15" x14ac:dyDescent="0.35">
      <c r="C35" t="s">
        <v>374</v>
      </c>
      <c r="J35" t="s">
        <v>76</v>
      </c>
      <c r="K35" t="s">
        <v>123</v>
      </c>
    </row>
    <row r="36" spans="3:15" x14ac:dyDescent="0.35">
      <c r="C36" t="s">
        <v>375</v>
      </c>
      <c r="J36" t="s">
        <v>76</v>
      </c>
      <c r="K36" t="s">
        <v>376</v>
      </c>
      <c r="O36" s="69" t="s">
        <v>377</v>
      </c>
    </row>
    <row r="37" spans="3:15" x14ac:dyDescent="0.35">
      <c r="C37" t="s">
        <v>378</v>
      </c>
      <c r="J37" t="s">
        <v>76</v>
      </c>
      <c r="K37" t="s">
        <v>379</v>
      </c>
      <c r="O37" t="str" cm="1">
        <f t="array" ref="O37:O42">_xlfn._xlws.FILTER(LISTS_Table[Skill],LISTS_Table[Category]="Application of Knowledge and skills")</f>
        <v>Decision-making</v>
      </c>
    </row>
    <row r="38" spans="3:15" x14ac:dyDescent="0.35">
      <c r="J38" t="s">
        <v>134</v>
      </c>
      <c r="K38" t="s">
        <v>380</v>
      </c>
      <c r="O38" t="str">
        <v>Translational practice</v>
      </c>
    </row>
    <row r="39" spans="3:15" x14ac:dyDescent="0.35">
      <c r="J39" t="s">
        <v>134</v>
      </c>
      <c r="K39" t="s">
        <v>381</v>
      </c>
      <c r="O39" t="str">
        <v>Contextual application</v>
      </c>
    </row>
    <row r="40" spans="3:15" x14ac:dyDescent="0.35">
      <c r="J40" t="s">
        <v>134</v>
      </c>
      <c r="K40" t="s">
        <v>253</v>
      </c>
      <c r="O40" t="str">
        <v>Professional judgement</v>
      </c>
    </row>
    <row r="41" spans="3:15" x14ac:dyDescent="0.35">
      <c r="J41" t="s">
        <v>134</v>
      </c>
      <c r="K41" t="s">
        <v>382</v>
      </c>
      <c r="O41" t="str">
        <v>Adaptability</v>
      </c>
    </row>
    <row r="42" spans="3:15" x14ac:dyDescent="0.35">
      <c r="J42" t="s">
        <v>134</v>
      </c>
      <c r="K42" t="s">
        <v>135</v>
      </c>
      <c r="O42" t="str">
        <v>Risk assessment</v>
      </c>
    </row>
    <row r="43" spans="3:15" x14ac:dyDescent="0.35">
      <c r="J43" t="s">
        <v>134</v>
      </c>
      <c r="K43" t="s">
        <v>383</v>
      </c>
    </row>
    <row r="44" spans="3:15" x14ac:dyDescent="0.35">
      <c r="J44" t="s">
        <v>73</v>
      </c>
      <c r="K44" t="s">
        <v>75</v>
      </c>
      <c r="O44" s="78" t="s">
        <v>134</v>
      </c>
    </row>
    <row r="45" spans="3:15" x14ac:dyDescent="0.35">
      <c r="J45" t="s">
        <v>73</v>
      </c>
      <c r="K45" t="s">
        <v>384</v>
      </c>
      <c r="O45" t="str" cm="1">
        <f t="array" ref="O45:O50">_xlfn._xlws.FILTER(LISTS_Table[Skill],LISTS_Table[Category]="Understanding and use of research")</f>
        <v>Research literacy</v>
      </c>
    </row>
    <row r="46" spans="3:15" x14ac:dyDescent="0.35">
      <c r="J46" t="s">
        <v>73</v>
      </c>
      <c r="K46" t="s">
        <v>385</v>
      </c>
      <c r="O46" t="str">
        <v>Literature searching</v>
      </c>
    </row>
    <row r="47" spans="3:15" x14ac:dyDescent="0.35">
      <c r="J47" t="s">
        <v>73</v>
      </c>
      <c r="K47" t="s">
        <v>74</v>
      </c>
      <c r="O47" t="str">
        <v>Critical appraisal</v>
      </c>
    </row>
    <row r="48" spans="3:15" x14ac:dyDescent="0.35">
      <c r="J48" t="s">
        <v>73</v>
      </c>
      <c r="K48" t="s">
        <v>78</v>
      </c>
      <c r="O48" t="str">
        <v>Data interpretation</v>
      </c>
    </row>
    <row r="49" spans="10:15" x14ac:dyDescent="0.35">
      <c r="J49" t="s">
        <v>73</v>
      </c>
      <c r="K49" t="s">
        <v>386</v>
      </c>
      <c r="O49" t="str">
        <v>Evidence-based practice</v>
      </c>
    </row>
    <row r="50" spans="10:15" x14ac:dyDescent="0.35">
      <c r="J50" t="s">
        <v>73</v>
      </c>
      <c r="K50" t="s">
        <v>387</v>
      </c>
      <c r="O50" t="str">
        <v>Research communication</v>
      </c>
    </row>
    <row r="51" spans="10:15" x14ac:dyDescent="0.35">
      <c r="J51" t="s">
        <v>67</v>
      </c>
      <c r="K51" t="s">
        <v>213</v>
      </c>
    </row>
    <row r="52" spans="10:15" x14ac:dyDescent="0.35">
      <c r="J52" t="s">
        <v>67</v>
      </c>
      <c r="K52" t="s">
        <v>68</v>
      </c>
      <c r="O52" s="78" t="s">
        <v>73</v>
      </c>
    </row>
    <row r="53" spans="10:15" x14ac:dyDescent="0.35">
      <c r="J53" t="s">
        <v>67</v>
      </c>
      <c r="K53" t="s">
        <v>388</v>
      </c>
      <c r="O53" t="str" cm="1">
        <f t="array" ref="O53:O59">_xlfn._xlws.FILTER(LISTS_Table[Skill],LISTS_Table[Category]="Self-evaluation and professional development")</f>
        <v>Reflective practice</v>
      </c>
    </row>
    <row r="54" spans="10:15" x14ac:dyDescent="0.35">
      <c r="J54" t="s">
        <v>67</v>
      </c>
      <c r="K54" t="s">
        <v>130</v>
      </c>
      <c r="O54" t="str">
        <v>Self-awareness</v>
      </c>
    </row>
    <row r="55" spans="10:15" x14ac:dyDescent="0.35">
      <c r="J55" t="s">
        <v>67</v>
      </c>
      <c r="K55" t="s">
        <v>70</v>
      </c>
      <c r="O55" t="str">
        <v>Lifelong learning</v>
      </c>
    </row>
    <row r="56" spans="10:15" x14ac:dyDescent="0.35">
      <c r="J56" t="s">
        <v>67</v>
      </c>
      <c r="K56" t="s">
        <v>69</v>
      </c>
      <c r="O56" t="str">
        <v>Personal development planning</v>
      </c>
    </row>
    <row r="57" spans="10:15" x14ac:dyDescent="0.35">
      <c r="J57" t="s">
        <v>126</v>
      </c>
      <c r="K57" t="s">
        <v>389</v>
      </c>
      <c r="O57" t="str">
        <v>Resilience</v>
      </c>
    </row>
    <row r="58" spans="10:15" x14ac:dyDescent="0.35">
      <c r="J58" t="s">
        <v>126</v>
      </c>
      <c r="K58" t="s">
        <v>128</v>
      </c>
      <c r="O58" t="str">
        <v>Initiative</v>
      </c>
    </row>
    <row r="59" spans="10:15" x14ac:dyDescent="0.35">
      <c r="J59" t="s">
        <v>126</v>
      </c>
      <c r="K59" t="s">
        <v>390</v>
      </c>
      <c r="O59" t="str">
        <v>Accountability</v>
      </c>
    </row>
    <row r="60" spans="10:15" x14ac:dyDescent="0.35">
      <c r="J60" t="s">
        <v>126</v>
      </c>
      <c r="K60" t="s">
        <v>127</v>
      </c>
    </row>
    <row r="61" spans="10:15" x14ac:dyDescent="0.35">
      <c r="J61" t="s">
        <v>126</v>
      </c>
      <c r="K61" t="s">
        <v>391</v>
      </c>
      <c r="O61" s="79" t="s">
        <v>67</v>
      </c>
    </row>
    <row r="62" spans="10:15" x14ac:dyDescent="0.35">
      <c r="J62" t="s">
        <v>126</v>
      </c>
      <c r="K62" t="s">
        <v>392</v>
      </c>
      <c r="O62" t="str" cm="1">
        <f t="array" ref="O62:O67">_xlfn._xlws.FILTER(LISTS_Table[Skill],LISTS_Table[Category]="Communication")</f>
        <v>Written communication</v>
      </c>
    </row>
    <row r="63" spans="10:15" x14ac:dyDescent="0.35">
      <c r="J63" t="s">
        <v>316</v>
      </c>
      <c r="K63" t="s">
        <v>393</v>
      </c>
      <c r="O63" t="str">
        <v>Oral presentation</v>
      </c>
    </row>
    <row r="64" spans="10:15" x14ac:dyDescent="0.35">
      <c r="J64" t="s">
        <v>316</v>
      </c>
      <c r="K64" t="s">
        <v>394</v>
      </c>
      <c r="O64" t="str">
        <v>Active listening</v>
      </c>
    </row>
    <row r="65" spans="10:15" x14ac:dyDescent="0.35">
      <c r="J65" t="s">
        <v>316</v>
      </c>
      <c r="K65" t="s">
        <v>395</v>
      </c>
      <c r="O65" t="str">
        <v>Scientific writing</v>
      </c>
    </row>
    <row r="66" spans="10:15" x14ac:dyDescent="0.35">
      <c r="J66" t="s">
        <v>316</v>
      </c>
      <c r="K66" t="s">
        <v>396</v>
      </c>
      <c r="O66" t="str">
        <v>Interpersonal communication</v>
      </c>
    </row>
    <row r="67" spans="10:15" x14ac:dyDescent="0.35">
      <c r="J67" t="s">
        <v>316</v>
      </c>
      <c r="K67" t="s">
        <v>397</v>
      </c>
      <c r="O67" t="str">
        <v>Digital communication</v>
      </c>
    </row>
    <row r="68" spans="10:15" x14ac:dyDescent="0.35">
      <c r="J68" t="s">
        <v>316</v>
      </c>
      <c r="K68" t="s">
        <v>398</v>
      </c>
    </row>
    <row r="69" spans="10:15" x14ac:dyDescent="0.35">
      <c r="J69" t="s">
        <v>316</v>
      </c>
      <c r="K69" t="s">
        <v>399</v>
      </c>
      <c r="O69" s="79" t="s">
        <v>126</v>
      </c>
    </row>
    <row r="70" spans="10:15" x14ac:dyDescent="0.35">
      <c r="J70" t="s">
        <v>316</v>
      </c>
      <c r="K70" t="s">
        <v>400</v>
      </c>
      <c r="O70" t="str" cm="1">
        <f t="array" ref="O70:O75">_xlfn._xlws.FILTER(LISTS_Table[Skill],LISTS_Table[Category]="Problem solving and impact")</f>
        <v>Analytical thinking</v>
      </c>
    </row>
    <row r="71" spans="10:15" x14ac:dyDescent="0.35">
      <c r="J71" t="s">
        <v>316</v>
      </c>
      <c r="K71" t="s">
        <v>401</v>
      </c>
      <c r="O71" t="str">
        <v>problem identification</v>
      </c>
    </row>
    <row r="72" spans="10:15" x14ac:dyDescent="0.35">
      <c r="J72" t="s">
        <v>71</v>
      </c>
      <c r="K72" t="s">
        <v>402</v>
      </c>
      <c r="O72" t="str">
        <v>Creative thinking</v>
      </c>
    </row>
    <row r="73" spans="10:15" x14ac:dyDescent="0.35">
      <c r="J73" t="s">
        <v>71</v>
      </c>
      <c r="K73" t="s">
        <v>132</v>
      </c>
      <c r="O73" t="str">
        <v>Evidence-based decision making</v>
      </c>
    </row>
    <row r="74" spans="10:15" x14ac:dyDescent="0.35">
      <c r="J74" t="s">
        <v>71</v>
      </c>
      <c r="K74" t="s">
        <v>131</v>
      </c>
      <c r="O74" t="str">
        <v>Innovation</v>
      </c>
    </row>
    <row r="75" spans="10:15" x14ac:dyDescent="0.35">
      <c r="J75" t="s">
        <v>71</v>
      </c>
      <c r="K75" t="s">
        <v>403</v>
      </c>
      <c r="O75" t="str">
        <v>Evaluation of outcomes</v>
      </c>
    </row>
    <row r="76" spans="10:15" x14ac:dyDescent="0.35">
      <c r="J76" t="s">
        <v>71</v>
      </c>
      <c r="K76" t="s">
        <v>72</v>
      </c>
    </row>
    <row r="77" spans="10:15" x14ac:dyDescent="0.35">
      <c r="J77" t="s">
        <v>79</v>
      </c>
      <c r="K77" t="s">
        <v>80</v>
      </c>
      <c r="O77" s="79" t="s">
        <v>316</v>
      </c>
    </row>
    <row r="78" spans="10:15" x14ac:dyDescent="0.35">
      <c r="J78" t="s">
        <v>79</v>
      </c>
      <c r="K78" t="s">
        <v>404</v>
      </c>
      <c r="O78" t="str" cm="1">
        <f t="array" ref="O78:O86">_xlfn._xlws.FILTER(LISTS_Table[Skill],LISTS_Table[Category]="Management of self and others")</f>
        <v>Leadership</v>
      </c>
    </row>
    <row r="79" spans="10:15" x14ac:dyDescent="0.35">
      <c r="J79" t="s">
        <v>79</v>
      </c>
      <c r="K79" t="s">
        <v>133</v>
      </c>
      <c r="O79" t="str">
        <v>Coaching and mentoring</v>
      </c>
    </row>
    <row r="80" spans="10:15" x14ac:dyDescent="0.35">
      <c r="J80" t="s">
        <v>79</v>
      </c>
      <c r="K80" t="s">
        <v>179</v>
      </c>
      <c r="O80" t="str">
        <v>Time management</v>
      </c>
    </row>
    <row r="81" spans="10:15" x14ac:dyDescent="0.35">
      <c r="J81" t="s">
        <v>79</v>
      </c>
      <c r="K81" t="s">
        <v>405</v>
      </c>
      <c r="O81" t="str">
        <v>Organisation</v>
      </c>
    </row>
    <row r="82" spans="10:15" x14ac:dyDescent="0.35">
      <c r="J82" t="s">
        <v>79</v>
      </c>
      <c r="K82" t="s">
        <v>406</v>
      </c>
      <c r="O82" t="str">
        <v>Delegation</v>
      </c>
    </row>
    <row r="83" spans="10:15" x14ac:dyDescent="0.35">
      <c r="J83" t="s">
        <v>79</v>
      </c>
      <c r="K83" t="s">
        <v>407</v>
      </c>
      <c r="O83" t="str">
        <v>Conflict resolution</v>
      </c>
    </row>
    <row r="84" spans="10:15" x14ac:dyDescent="0.35">
      <c r="O84" t="str">
        <v>Empathy</v>
      </c>
    </row>
    <row r="85" spans="10:15" x14ac:dyDescent="0.35">
      <c r="O85" t="str">
        <v>Multi-tasking</v>
      </c>
    </row>
    <row r="86" spans="10:15" x14ac:dyDescent="0.35">
      <c r="O86" t="str">
        <v>Resource management</v>
      </c>
    </row>
    <row r="88" spans="10:15" x14ac:dyDescent="0.35">
      <c r="O88" s="78" t="s">
        <v>71</v>
      </c>
    </row>
    <row r="89" spans="10:15" x14ac:dyDescent="0.35">
      <c r="O89" t="str" cm="1">
        <f t="array" ref="O89:O93">_xlfn._xlws.FILTER(LISTS_Table[Skill],LISTS_Table[Category]="Understanding the delivery environment")</f>
        <v>Organisational awareness</v>
      </c>
    </row>
    <row r="90" spans="10:15" x14ac:dyDescent="0.35">
      <c r="O90" t="str">
        <v>Policy interpretation</v>
      </c>
    </row>
    <row r="91" spans="10:15" x14ac:dyDescent="0.35">
      <c r="O91" t="str">
        <v>Stakeholder awareness</v>
      </c>
    </row>
    <row r="92" spans="10:15" x14ac:dyDescent="0.35">
      <c r="O92" t="str">
        <v>Service delivery</v>
      </c>
    </row>
    <row r="93" spans="10:15" x14ac:dyDescent="0.35">
      <c r="O93" t="str">
        <v>Professional awareness</v>
      </c>
    </row>
    <row r="95" spans="10:15" x14ac:dyDescent="0.35">
      <c r="O95" s="79" t="s">
        <v>408</v>
      </c>
    </row>
    <row r="96" spans="10:15" x14ac:dyDescent="0.35">
      <c r="O96" t="str" cm="1">
        <f t="array" ref="O96:O102">_xlfn._xlws.FILTER(LISTS_Table[Skill],LISTS_Table[Category]="Professional relationships and behaviours")</f>
        <v>Teamwork</v>
      </c>
    </row>
    <row r="97" spans="15:15" x14ac:dyDescent="0.35">
      <c r="O97" t="str">
        <v>Collaboration/multi-disciplinary working</v>
      </c>
    </row>
    <row r="98" spans="15:15" x14ac:dyDescent="0.35">
      <c r="O98" t="str">
        <v>Ethical practice</v>
      </c>
    </row>
    <row r="99" spans="15:15" x14ac:dyDescent="0.35">
      <c r="O99" t="str">
        <v>Professionalism</v>
      </c>
    </row>
    <row r="100" spans="15:15" x14ac:dyDescent="0.35">
      <c r="O100" t="str">
        <v>Cultural awareness and competence</v>
      </c>
    </row>
    <row r="101" spans="15:15" x14ac:dyDescent="0.35">
      <c r="O101" t="str">
        <v>Integrity</v>
      </c>
    </row>
    <row r="102" spans="15:15" x14ac:dyDescent="0.35">
      <c r="O102" t="str">
        <v>Respect</v>
      </c>
    </row>
  </sheetData>
  <sheetProtection sheet="1" objects="1" scenarios="1" formatCells="0" formatColumns="0" formatRows="0" insertHyperlinks="0"/>
  <sortState xmlns:xlrd2="http://schemas.microsoft.com/office/spreadsheetml/2017/richdata2" ref="C26:C31">
    <sortCondition ref="C31"/>
  </sortState>
  <phoneticPr fontId="2"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3E6B-1848-469D-A045-952B9F4CDE0B}">
  <sheetPr codeName="Sheet10"/>
  <dimension ref="A1:I137"/>
  <sheetViews>
    <sheetView topLeftCell="D113" workbookViewId="0">
      <selection activeCell="K131" sqref="K131"/>
    </sheetView>
  </sheetViews>
  <sheetFormatPr defaultColWidth="8.81640625" defaultRowHeight="14.5" x14ac:dyDescent="0.35"/>
  <cols>
    <col min="1" max="1" width="49" bestFit="1" customWidth="1"/>
    <col min="2" max="2" width="13.453125" bestFit="1" customWidth="1"/>
    <col min="3" max="3" width="14.453125" bestFit="1" customWidth="1"/>
    <col min="4" max="4" width="44.453125" bestFit="1" customWidth="1"/>
    <col min="5" max="5" width="14.81640625" bestFit="1" customWidth="1"/>
    <col min="6" max="6" width="12.54296875" bestFit="1" customWidth="1"/>
    <col min="7" max="7" width="15.453125" bestFit="1" customWidth="1"/>
    <col min="8" max="8" width="12.1796875" bestFit="1" customWidth="1"/>
    <col min="9" max="9" width="44.453125" bestFit="1" customWidth="1"/>
  </cols>
  <sheetData>
    <row r="1" spans="1:9" x14ac:dyDescent="0.35">
      <c r="A1" t="s">
        <v>409</v>
      </c>
      <c r="B1" t="s">
        <v>410</v>
      </c>
      <c r="C1" t="s">
        <v>1</v>
      </c>
      <c r="D1" t="s">
        <v>2</v>
      </c>
      <c r="E1" t="s">
        <v>411</v>
      </c>
      <c r="F1" t="s">
        <v>412</v>
      </c>
      <c r="G1" t="s">
        <v>413</v>
      </c>
      <c r="H1" t="s">
        <v>414</v>
      </c>
      <c r="I1" t="s">
        <v>415</v>
      </c>
    </row>
    <row r="2" spans="1:9" x14ac:dyDescent="0.35">
      <c r="A2" t="s">
        <v>416</v>
      </c>
      <c r="B2" t="s">
        <v>417</v>
      </c>
      <c r="C2" t="s">
        <v>4</v>
      </c>
      <c r="D2" t="s">
        <v>5</v>
      </c>
      <c r="E2" t="s">
        <v>5</v>
      </c>
      <c r="F2" t="s">
        <v>418</v>
      </c>
      <c r="G2" t="s">
        <v>21</v>
      </c>
      <c r="H2" t="s">
        <v>419</v>
      </c>
      <c r="I2" t="s">
        <v>8</v>
      </c>
    </row>
    <row r="3" spans="1:9" x14ac:dyDescent="0.35">
      <c r="A3" t="s">
        <v>416</v>
      </c>
      <c r="B3" t="s">
        <v>417</v>
      </c>
      <c r="C3" t="s">
        <v>7</v>
      </c>
      <c r="D3" t="s">
        <v>8</v>
      </c>
      <c r="E3" t="s">
        <v>5</v>
      </c>
      <c r="F3" t="s">
        <v>418</v>
      </c>
      <c r="G3" t="s">
        <v>21</v>
      </c>
      <c r="H3" t="s">
        <v>419</v>
      </c>
      <c r="I3" t="s">
        <v>8</v>
      </c>
    </row>
    <row r="4" spans="1:9" x14ac:dyDescent="0.35">
      <c r="A4" t="s">
        <v>416</v>
      </c>
      <c r="B4" t="s">
        <v>417</v>
      </c>
      <c r="C4" t="s">
        <v>9</v>
      </c>
      <c r="D4">
        <v>20</v>
      </c>
      <c r="E4" t="s">
        <v>5</v>
      </c>
      <c r="F4" t="s">
        <v>418</v>
      </c>
      <c r="G4" t="s">
        <v>21</v>
      </c>
      <c r="H4" t="s">
        <v>419</v>
      </c>
      <c r="I4" t="s">
        <v>8</v>
      </c>
    </row>
    <row r="5" spans="1:9" x14ac:dyDescent="0.35">
      <c r="A5" t="s">
        <v>416</v>
      </c>
      <c r="B5" t="s">
        <v>417</v>
      </c>
      <c r="C5" t="s">
        <v>10</v>
      </c>
      <c r="D5">
        <v>1</v>
      </c>
      <c r="E5" t="s">
        <v>5</v>
      </c>
      <c r="F5" t="s">
        <v>418</v>
      </c>
      <c r="G5" t="s">
        <v>21</v>
      </c>
      <c r="H5" t="s">
        <v>419</v>
      </c>
      <c r="I5" t="s">
        <v>8</v>
      </c>
    </row>
    <row r="6" spans="1:9" x14ac:dyDescent="0.35">
      <c r="A6" t="s">
        <v>416</v>
      </c>
      <c r="B6" t="s">
        <v>417</v>
      </c>
      <c r="C6" t="s">
        <v>12</v>
      </c>
      <c r="D6">
        <v>4</v>
      </c>
      <c r="E6" t="s">
        <v>5</v>
      </c>
      <c r="F6" t="s">
        <v>418</v>
      </c>
      <c r="G6" t="s">
        <v>21</v>
      </c>
      <c r="H6" t="s">
        <v>419</v>
      </c>
      <c r="I6" t="s">
        <v>8</v>
      </c>
    </row>
    <row r="7" spans="1:9" x14ac:dyDescent="0.35">
      <c r="A7" t="s">
        <v>416</v>
      </c>
      <c r="B7" t="s">
        <v>417</v>
      </c>
      <c r="C7" t="s">
        <v>14</v>
      </c>
      <c r="D7" t="s">
        <v>15</v>
      </c>
      <c r="E7" t="s">
        <v>5</v>
      </c>
      <c r="F7" t="s">
        <v>418</v>
      </c>
      <c r="G7" t="s">
        <v>21</v>
      </c>
      <c r="H7" t="s">
        <v>419</v>
      </c>
      <c r="I7" t="s">
        <v>8</v>
      </c>
    </row>
    <row r="8" spans="1:9" x14ac:dyDescent="0.35">
      <c r="A8" t="s">
        <v>416</v>
      </c>
      <c r="B8" t="s">
        <v>417</v>
      </c>
      <c r="C8" t="s">
        <v>17</v>
      </c>
      <c r="D8" t="s">
        <v>18</v>
      </c>
      <c r="E8" t="s">
        <v>5</v>
      </c>
      <c r="F8" t="s">
        <v>418</v>
      </c>
      <c r="G8" t="s">
        <v>21</v>
      </c>
      <c r="H8" t="s">
        <v>419</v>
      </c>
      <c r="I8" t="s">
        <v>8</v>
      </c>
    </row>
    <row r="9" spans="1:9" x14ac:dyDescent="0.35">
      <c r="A9" t="s">
        <v>416</v>
      </c>
      <c r="B9" t="s">
        <v>417</v>
      </c>
      <c r="C9" t="s">
        <v>20</v>
      </c>
      <c r="D9" t="s">
        <v>21</v>
      </c>
      <c r="E9" t="s">
        <v>5</v>
      </c>
      <c r="F9" t="s">
        <v>418</v>
      </c>
      <c r="G9" t="s">
        <v>21</v>
      </c>
      <c r="H9" t="s">
        <v>419</v>
      </c>
      <c r="I9" t="s">
        <v>8</v>
      </c>
    </row>
    <row r="10" spans="1:9" x14ac:dyDescent="0.35">
      <c r="A10" t="s">
        <v>416</v>
      </c>
      <c r="B10" t="s">
        <v>420</v>
      </c>
      <c r="C10" t="s">
        <v>4</v>
      </c>
      <c r="D10" t="s">
        <v>99</v>
      </c>
      <c r="E10" t="s">
        <v>99</v>
      </c>
      <c r="F10" t="s">
        <v>418</v>
      </c>
      <c r="G10" t="s">
        <v>21</v>
      </c>
      <c r="H10" t="s">
        <v>419</v>
      </c>
      <c r="I10" t="s">
        <v>421</v>
      </c>
    </row>
    <row r="11" spans="1:9" x14ac:dyDescent="0.35">
      <c r="A11" t="s">
        <v>416</v>
      </c>
      <c r="B11" t="s">
        <v>420</v>
      </c>
      <c r="C11" t="s">
        <v>7</v>
      </c>
      <c r="D11" t="s">
        <v>421</v>
      </c>
      <c r="E11" t="s">
        <v>99</v>
      </c>
      <c r="F11" t="s">
        <v>418</v>
      </c>
      <c r="G11" t="s">
        <v>21</v>
      </c>
      <c r="H11" t="s">
        <v>419</v>
      </c>
      <c r="I11" t="s">
        <v>421</v>
      </c>
    </row>
    <row r="12" spans="1:9" x14ac:dyDescent="0.35">
      <c r="A12" t="s">
        <v>416</v>
      </c>
      <c r="B12" t="s">
        <v>420</v>
      </c>
      <c r="C12" t="s">
        <v>9</v>
      </c>
      <c r="D12">
        <v>20</v>
      </c>
      <c r="E12" t="s">
        <v>99</v>
      </c>
      <c r="F12" t="s">
        <v>418</v>
      </c>
      <c r="G12" t="s">
        <v>21</v>
      </c>
      <c r="H12" t="s">
        <v>419</v>
      </c>
      <c r="I12" t="s">
        <v>421</v>
      </c>
    </row>
    <row r="13" spans="1:9" x14ac:dyDescent="0.35">
      <c r="A13" t="s">
        <v>416</v>
      </c>
      <c r="B13" t="s">
        <v>420</v>
      </c>
      <c r="C13" t="s">
        <v>10</v>
      </c>
      <c r="D13">
        <v>2</v>
      </c>
      <c r="E13" t="s">
        <v>99</v>
      </c>
      <c r="F13" t="s">
        <v>418</v>
      </c>
      <c r="G13" t="s">
        <v>21</v>
      </c>
      <c r="H13" t="s">
        <v>419</v>
      </c>
      <c r="I13" t="s">
        <v>421</v>
      </c>
    </row>
    <row r="14" spans="1:9" x14ac:dyDescent="0.35">
      <c r="A14" t="s">
        <v>416</v>
      </c>
      <c r="B14" t="s">
        <v>420</v>
      </c>
      <c r="C14" t="s">
        <v>12</v>
      </c>
      <c r="D14">
        <v>4</v>
      </c>
      <c r="E14" t="s">
        <v>99</v>
      </c>
      <c r="F14" t="s">
        <v>418</v>
      </c>
      <c r="G14" t="s">
        <v>21</v>
      </c>
      <c r="H14" t="s">
        <v>419</v>
      </c>
      <c r="I14" t="s">
        <v>421</v>
      </c>
    </row>
    <row r="15" spans="1:9" x14ac:dyDescent="0.35">
      <c r="A15" t="s">
        <v>416</v>
      </c>
      <c r="B15" t="s">
        <v>420</v>
      </c>
      <c r="C15" t="s">
        <v>14</v>
      </c>
      <c r="D15" t="s">
        <v>422</v>
      </c>
      <c r="E15" t="s">
        <v>99</v>
      </c>
      <c r="F15" t="s">
        <v>418</v>
      </c>
      <c r="G15" t="s">
        <v>21</v>
      </c>
      <c r="H15" t="s">
        <v>419</v>
      </c>
      <c r="I15" t="s">
        <v>421</v>
      </c>
    </row>
    <row r="16" spans="1:9" x14ac:dyDescent="0.35">
      <c r="A16" t="s">
        <v>416</v>
      </c>
      <c r="B16" t="s">
        <v>420</v>
      </c>
      <c r="C16" t="s">
        <v>17</v>
      </c>
      <c r="D16" t="s">
        <v>18</v>
      </c>
      <c r="E16" t="s">
        <v>99</v>
      </c>
      <c r="F16" t="s">
        <v>418</v>
      </c>
      <c r="G16" t="s">
        <v>21</v>
      </c>
      <c r="H16" t="s">
        <v>419</v>
      </c>
      <c r="I16" t="s">
        <v>421</v>
      </c>
    </row>
    <row r="17" spans="1:9" x14ac:dyDescent="0.35">
      <c r="A17" t="s">
        <v>416</v>
      </c>
      <c r="B17" t="s">
        <v>420</v>
      </c>
      <c r="C17" t="s">
        <v>20</v>
      </c>
      <c r="D17" t="s">
        <v>21</v>
      </c>
      <c r="E17" t="s">
        <v>99</v>
      </c>
      <c r="F17" t="s">
        <v>418</v>
      </c>
      <c r="G17" t="s">
        <v>21</v>
      </c>
      <c r="H17" t="s">
        <v>419</v>
      </c>
      <c r="I17" t="s">
        <v>421</v>
      </c>
    </row>
    <row r="18" spans="1:9" x14ac:dyDescent="0.35">
      <c r="A18" t="s">
        <v>416</v>
      </c>
      <c r="B18" t="s">
        <v>423</v>
      </c>
      <c r="C18" t="s">
        <v>4</v>
      </c>
      <c r="D18" t="s">
        <v>160</v>
      </c>
      <c r="E18" t="s">
        <v>160</v>
      </c>
      <c r="F18" t="s">
        <v>418</v>
      </c>
      <c r="G18" t="s">
        <v>21</v>
      </c>
      <c r="H18" t="s">
        <v>419</v>
      </c>
      <c r="I18" t="s">
        <v>162</v>
      </c>
    </row>
    <row r="19" spans="1:9" x14ac:dyDescent="0.35">
      <c r="A19" t="s">
        <v>416</v>
      </c>
      <c r="B19" t="s">
        <v>423</v>
      </c>
      <c r="C19" t="s">
        <v>7</v>
      </c>
      <c r="D19" t="s">
        <v>162</v>
      </c>
      <c r="E19" t="s">
        <v>160</v>
      </c>
      <c r="F19" t="s">
        <v>418</v>
      </c>
      <c r="G19" t="s">
        <v>21</v>
      </c>
      <c r="H19" t="s">
        <v>419</v>
      </c>
      <c r="I19" t="s">
        <v>162</v>
      </c>
    </row>
    <row r="20" spans="1:9" x14ac:dyDescent="0.35">
      <c r="A20" t="s">
        <v>416</v>
      </c>
      <c r="B20" t="s">
        <v>423</v>
      </c>
      <c r="C20" t="s">
        <v>9</v>
      </c>
      <c r="D20">
        <v>20</v>
      </c>
      <c r="E20" t="s">
        <v>160</v>
      </c>
      <c r="F20" t="s">
        <v>418</v>
      </c>
      <c r="G20" t="s">
        <v>21</v>
      </c>
      <c r="H20" t="s">
        <v>419</v>
      </c>
      <c r="I20" t="s">
        <v>162</v>
      </c>
    </row>
    <row r="21" spans="1:9" x14ac:dyDescent="0.35">
      <c r="A21" t="s">
        <v>416</v>
      </c>
      <c r="B21" t="s">
        <v>423</v>
      </c>
      <c r="C21" t="s">
        <v>10</v>
      </c>
      <c r="D21">
        <v>1</v>
      </c>
      <c r="E21" t="s">
        <v>160</v>
      </c>
      <c r="F21" t="s">
        <v>418</v>
      </c>
      <c r="G21" t="s">
        <v>21</v>
      </c>
      <c r="H21" t="s">
        <v>419</v>
      </c>
      <c r="I21" t="s">
        <v>162</v>
      </c>
    </row>
    <row r="22" spans="1:9" x14ac:dyDescent="0.35">
      <c r="A22" t="s">
        <v>416</v>
      </c>
      <c r="B22" t="s">
        <v>423</v>
      </c>
      <c r="C22" t="s">
        <v>12</v>
      </c>
      <c r="D22">
        <v>5</v>
      </c>
      <c r="E22" t="s">
        <v>160</v>
      </c>
      <c r="F22" t="s">
        <v>418</v>
      </c>
      <c r="G22" t="s">
        <v>21</v>
      </c>
      <c r="H22" t="s">
        <v>419</v>
      </c>
      <c r="I22" t="s">
        <v>162</v>
      </c>
    </row>
    <row r="23" spans="1:9" x14ac:dyDescent="0.35">
      <c r="A23" t="s">
        <v>416</v>
      </c>
      <c r="B23" t="s">
        <v>423</v>
      </c>
      <c r="C23" t="s">
        <v>14</v>
      </c>
      <c r="D23" t="s">
        <v>165</v>
      </c>
      <c r="E23" t="s">
        <v>160</v>
      </c>
      <c r="F23" t="s">
        <v>418</v>
      </c>
      <c r="G23" t="s">
        <v>21</v>
      </c>
      <c r="H23" t="s">
        <v>419</v>
      </c>
      <c r="I23" t="s">
        <v>162</v>
      </c>
    </row>
    <row r="24" spans="1:9" x14ac:dyDescent="0.35">
      <c r="A24" t="s">
        <v>416</v>
      </c>
      <c r="B24" t="s">
        <v>423</v>
      </c>
      <c r="C24" t="s">
        <v>17</v>
      </c>
      <c r="D24" t="s">
        <v>18</v>
      </c>
      <c r="E24" t="s">
        <v>160</v>
      </c>
      <c r="F24" t="s">
        <v>418</v>
      </c>
      <c r="G24" t="s">
        <v>21</v>
      </c>
      <c r="H24" t="s">
        <v>419</v>
      </c>
      <c r="I24" t="s">
        <v>162</v>
      </c>
    </row>
    <row r="25" spans="1:9" x14ac:dyDescent="0.35">
      <c r="A25" t="s">
        <v>416</v>
      </c>
      <c r="B25" t="s">
        <v>423</v>
      </c>
      <c r="C25" t="s">
        <v>20</v>
      </c>
      <c r="D25" t="s">
        <v>21</v>
      </c>
      <c r="E25" t="s">
        <v>160</v>
      </c>
      <c r="F25" t="s">
        <v>418</v>
      </c>
      <c r="G25" t="s">
        <v>21</v>
      </c>
      <c r="H25" t="s">
        <v>419</v>
      </c>
      <c r="I25" t="s">
        <v>162</v>
      </c>
    </row>
    <row r="26" spans="1:9" x14ac:dyDescent="0.35">
      <c r="A26" t="s">
        <v>416</v>
      </c>
      <c r="B26" t="s">
        <v>424</v>
      </c>
      <c r="C26" t="s">
        <v>4</v>
      </c>
      <c r="D26" t="s">
        <v>238</v>
      </c>
      <c r="E26" t="s">
        <v>238</v>
      </c>
      <c r="F26" t="s">
        <v>418</v>
      </c>
      <c r="G26" t="s">
        <v>21</v>
      </c>
      <c r="H26" t="s">
        <v>419</v>
      </c>
      <c r="I26" t="s">
        <v>239</v>
      </c>
    </row>
    <row r="27" spans="1:9" x14ac:dyDescent="0.35">
      <c r="A27" t="s">
        <v>416</v>
      </c>
      <c r="B27" t="s">
        <v>424</v>
      </c>
      <c r="C27" t="s">
        <v>7</v>
      </c>
      <c r="D27" t="s">
        <v>239</v>
      </c>
      <c r="E27" t="s">
        <v>238</v>
      </c>
      <c r="F27" t="s">
        <v>418</v>
      </c>
      <c r="G27" t="s">
        <v>21</v>
      </c>
      <c r="H27" t="s">
        <v>419</v>
      </c>
      <c r="I27" t="s">
        <v>239</v>
      </c>
    </row>
    <row r="28" spans="1:9" x14ac:dyDescent="0.35">
      <c r="A28" t="s">
        <v>416</v>
      </c>
      <c r="B28" t="s">
        <v>424</v>
      </c>
      <c r="C28" t="s">
        <v>9</v>
      </c>
      <c r="D28">
        <v>20</v>
      </c>
      <c r="E28" t="s">
        <v>238</v>
      </c>
      <c r="F28" t="s">
        <v>418</v>
      </c>
      <c r="G28" t="s">
        <v>21</v>
      </c>
      <c r="H28" t="s">
        <v>419</v>
      </c>
      <c r="I28" t="s">
        <v>239</v>
      </c>
    </row>
    <row r="29" spans="1:9" x14ac:dyDescent="0.35">
      <c r="A29" t="s">
        <v>416</v>
      </c>
      <c r="B29" t="s">
        <v>424</v>
      </c>
      <c r="C29" t="s">
        <v>10</v>
      </c>
      <c r="E29" t="s">
        <v>238</v>
      </c>
      <c r="F29" t="s">
        <v>418</v>
      </c>
      <c r="G29" t="s">
        <v>21</v>
      </c>
      <c r="H29" t="s">
        <v>419</v>
      </c>
      <c r="I29" t="s">
        <v>239</v>
      </c>
    </row>
    <row r="30" spans="1:9" x14ac:dyDescent="0.35">
      <c r="A30" t="s">
        <v>416</v>
      </c>
      <c r="B30" t="s">
        <v>424</v>
      </c>
      <c r="C30" t="s">
        <v>12</v>
      </c>
      <c r="D30">
        <v>5</v>
      </c>
      <c r="E30" t="s">
        <v>238</v>
      </c>
      <c r="F30" t="s">
        <v>418</v>
      </c>
      <c r="G30" t="s">
        <v>21</v>
      </c>
      <c r="H30" t="s">
        <v>419</v>
      </c>
      <c r="I30" t="s">
        <v>239</v>
      </c>
    </row>
    <row r="31" spans="1:9" x14ac:dyDescent="0.35">
      <c r="A31" t="s">
        <v>416</v>
      </c>
      <c r="B31" t="s">
        <v>424</v>
      </c>
      <c r="C31" t="s">
        <v>14</v>
      </c>
      <c r="E31" t="s">
        <v>238</v>
      </c>
      <c r="F31" t="s">
        <v>418</v>
      </c>
      <c r="G31" t="s">
        <v>21</v>
      </c>
      <c r="H31" t="s">
        <v>419</v>
      </c>
      <c r="I31" t="s">
        <v>239</v>
      </c>
    </row>
    <row r="32" spans="1:9" x14ac:dyDescent="0.35">
      <c r="A32" t="s">
        <v>416</v>
      </c>
      <c r="B32" t="s">
        <v>424</v>
      </c>
      <c r="C32" t="s">
        <v>17</v>
      </c>
      <c r="E32" t="s">
        <v>238</v>
      </c>
      <c r="F32" t="s">
        <v>418</v>
      </c>
      <c r="G32" t="s">
        <v>21</v>
      </c>
      <c r="H32" t="s">
        <v>419</v>
      </c>
      <c r="I32" t="s">
        <v>239</v>
      </c>
    </row>
    <row r="33" spans="1:9" x14ac:dyDescent="0.35">
      <c r="A33" t="s">
        <v>416</v>
      </c>
      <c r="B33" t="s">
        <v>424</v>
      </c>
      <c r="C33" t="s">
        <v>20</v>
      </c>
      <c r="E33" t="s">
        <v>238</v>
      </c>
      <c r="F33" t="s">
        <v>418</v>
      </c>
      <c r="G33" t="s">
        <v>21</v>
      </c>
      <c r="H33" t="s">
        <v>419</v>
      </c>
      <c r="I33" t="s">
        <v>239</v>
      </c>
    </row>
    <row r="34" spans="1:9" x14ac:dyDescent="0.35">
      <c r="A34" t="s">
        <v>416</v>
      </c>
      <c r="B34" t="s">
        <v>425</v>
      </c>
      <c r="C34" t="s">
        <v>4</v>
      </c>
      <c r="D34" t="s">
        <v>195</v>
      </c>
      <c r="E34" t="s">
        <v>195</v>
      </c>
      <c r="F34" t="s">
        <v>418</v>
      </c>
      <c r="G34" t="s">
        <v>21</v>
      </c>
      <c r="H34" t="s">
        <v>419</v>
      </c>
      <c r="I34" t="s">
        <v>197</v>
      </c>
    </row>
    <row r="35" spans="1:9" x14ac:dyDescent="0.35">
      <c r="A35" t="s">
        <v>416</v>
      </c>
      <c r="B35" t="s">
        <v>425</v>
      </c>
      <c r="C35" t="s">
        <v>7</v>
      </c>
      <c r="D35" t="s">
        <v>197</v>
      </c>
      <c r="E35" t="s">
        <v>195</v>
      </c>
      <c r="F35" t="s">
        <v>418</v>
      </c>
      <c r="G35" t="s">
        <v>21</v>
      </c>
      <c r="H35" t="s">
        <v>419</v>
      </c>
      <c r="I35" t="s">
        <v>197</v>
      </c>
    </row>
    <row r="36" spans="1:9" x14ac:dyDescent="0.35">
      <c r="A36" t="s">
        <v>416</v>
      </c>
      <c r="B36" t="s">
        <v>425</v>
      </c>
      <c r="C36" t="s">
        <v>9</v>
      </c>
      <c r="D36">
        <v>20</v>
      </c>
      <c r="E36" t="s">
        <v>195</v>
      </c>
      <c r="F36" t="s">
        <v>418</v>
      </c>
      <c r="G36" t="s">
        <v>21</v>
      </c>
      <c r="H36" t="s">
        <v>419</v>
      </c>
      <c r="I36" t="s">
        <v>197</v>
      </c>
    </row>
    <row r="37" spans="1:9" x14ac:dyDescent="0.35">
      <c r="A37" t="s">
        <v>416</v>
      </c>
      <c r="B37" t="s">
        <v>425</v>
      </c>
      <c r="C37" t="s">
        <v>10</v>
      </c>
      <c r="D37">
        <v>1</v>
      </c>
      <c r="E37" t="s">
        <v>195</v>
      </c>
      <c r="F37" t="s">
        <v>418</v>
      </c>
      <c r="G37" t="s">
        <v>21</v>
      </c>
      <c r="H37" t="s">
        <v>419</v>
      </c>
      <c r="I37" t="s">
        <v>197</v>
      </c>
    </row>
    <row r="38" spans="1:9" x14ac:dyDescent="0.35">
      <c r="A38" t="s">
        <v>416</v>
      </c>
      <c r="B38" t="s">
        <v>425</v>
      </c>
      <c r="C38" t="s">
        <v>12</v>
      </c>
      <c r="D38">
        <v>6</v>
      </c>
      <c r="E38" t="s">
        <v>195</v>
      </c>
      <c r="F38" t="s">
        <v>418</v>
      </c>
      <c r="G38" t="s">
        <v>21</v>
      </c>
      <c r="H38" t="s">
        <v>419</v>
      </c>
      <c r="I38" t="s">
        <v>197</v>
      </c>
    </row>
    <row r="39" spans="1:9" x14ac:dyDescent="0.35">
      <c r="A39" t="s">
        <v>416</v>
      </c>
      <c r="B39" t="s">
        <v>425</v>
      </c>
      <c r="C39" t="s">
        <v>14</v>
      </c>
      <c r="D39" t="s">
        <v>200</v>
      </c>
      <c r="E39" t="s">
        <v>195</v>
      </c>
      <c r="F39" t="s">
        <v>418</v>
      </c>
      <c r="G39" t="s">
        <v>21</v>
      </c>
      <c r="H39" t="s">
        <v>419</v>
      </c>
      <c r="I39" t="s">
        <v>197</v>
      </c>
    </row>
    <row r="40" spans="1:9" x14ac:dyDescent="0.35">
      <c r="A40" t="s">
        <v>416</v>
      </c>
      <c r="B40" t="s">
        <v>425</v>
      </c>
      <c r="C40" t="s">
        <v>17</v>
      </c>
      <c r="D40" t="s">
        <v>18</v>
      </c>
      <c r="E40" t="s">
        <v>195</v>
      </c>
      <c r="F40" t="s">
        <v>418</v>
      </c>
      <c r="G40" t="s">
        <v>21</v>
      </c>
      <c r="H40" t="s">
        <v>419</v>
      </c>
      <c r="I40" t="s">
        <v>197</v>
      </c>
    </row>
    <row r="41" spans="1:9" x14ac:dyDescent="0.35">
      <c r="A41" t="s">
        <v>416</v>
      </c>
      <c r="B41" t="s">
        <v>425</v>
      </c>
      <c r="C41" t="s">
        <v>20</v>
      </c>
      <c r="D41" t="s">
        <v>21</v>
      </c>
      <c r="E41" t="s">
        <v>195</v>
      </c>
      <c r="F41" t="s">
        <v>418</v>
      </c>
      <c r="G41" t="s">
        <v>21</v>
      </c>
      <c r="H41" t="s">
        <v>419</v>
      </c>
      <c r="I41" t="s">
        <v>197</v>
      </c>
    </row>
    <row r="42" spans="1:9" x14ac:dyDescent="0.35">
      <c r="A42" t="s">
        <v>416</v>
      </c>
      <c r="B42" t="s">
        <v>426</v>
      </c>
      <c r="C42" t="s">
        <v>4</v>
      </c>
      <c r="D42" t="s">
        <v>240</v>
      </c>
      <c r="E42" t="s">
        <v>240</v>
      </c>
      <c r="F42" t="s">
        <v>418</v>
      </c>
      <c r="G42" t="s">
        <v>21</v>
      </c>
      <c r="H42" t="s">
        <v>419</v>
      </c>
      <c r="I42" t="s">
        <v>241</v>
      </c>
    </row>
    <row r="43" spans="1:9" x14ac:dyDescent="0.35">
      <c r="A43" t="s">
        <v>416</v>
      </c>
      <c r="B43" t="s">
        <v>426</v>
      </c>
      <c r="C43" t="s">
        <v>7</v>
      </c>
      <c r="D43" t="s">
        <v>241</v>
      </c>
      <c r="E43" t="s">
        <v>240</v>
      </c>
      <c r="F43" t="s">
        <v>418</v>
      </c>
      <c r="G43" t="s">
        <v>21</v>
      </c>
      <c r="H43" t="s">
        <v>419</v>
      </c>
      <c r="I43" t="s">
        <v>241</v>
      </c>
    </row>
    <row r="44" spans="1:9" x14ac:dyDescent="0.35">
      <c r="A44" t="s">
        <v>416</v>
      </c>
      <c r="B44" t="s">
        <v>426</v>
      </c>
      <c r="C44" t="s">
        <v>9</v>
      </c>
      <c r="D44">
        <v>20</v>
      </c>
      <c r="E44" t="s">
        <v>240</v>
      </c>
      <c r="F44" t="s">
        <v>418</v>
      </c>
      <c r="G44" t="s">
        <v>21</v>
      </c>
      <c r="H44" t="s">
        <v>419</v>
      </c>
      <c r="I44" t="s">
        <v>241</v>
      </c>
    </row>
    <row r="45" spans="1:9" x14ac:dyDescent="0.35">
      <c r="A45" t="s">
        <v>416</v>
      </c>
      <c r="B45" t="s">
        <v>426</v>
      </c>
      <c r="C45" t="s">
        <v>10</v>
      </c>
      <c r="D45">
        <v>2</v>
      </c>
      <c r="E45" t="s">
        <v>240</v>
      </c>
      <c r="F45" t="s">
        <v>418</v>
      </c>
      <c r="G45" t="s">
        <v>21</v>
      </c>
      <c r="H45" t="s">
        <v>419</v>
      </c>
      <c r="I45" t="s">
        <v>241</v>
      </c>
    </row>
    <row r="46" spans="1:9" x14ac:dyDescent="0.35">
      <c r="A46" t="s">
        <v>416</v>
      </c>
      <c r="B46" t="s">
        <v>426</v>
      </c>
      <c r="C46" t="s">
        <v>12</v>
      </c>
      <c r="D46">
        <v>6</v>
      </c>
      <c r="E46" t="s">
        <v>240</v>
      </c>
      <c r="F46" t="s">
        <v>418</v>
      </c>
      <c r="G46" t="s">
        <v>21</v>
      </c>
      <c r="H46" t="s">
        <v>419</v>
      </c>
      <c r="I46" t="s">
        <v>241</v>
      </c>
    </row>
    <row r="47" spans="1:9" x14ac:dyDescent="0.35">
      <c r="A47" t="s">
        <v>416</v>
      </c>
      <c r="B47" t="s">
        <v>426</v>
      </c>
      <c r="C47" t="s">
        <v>14</v>
      </c>
      <c r="D47" t="s">
        <v>243</v>
      </c>
      <c r="E47" t="s">
        <v>240</v>
      </c>
      <c r="F47" t="s">
        <v>418</v>
      </c>
      <c r="G47" t="s">
        <v>21</v>
      </c>
      <c r="H47" t="s">
        <v>419</v>
      </c>
      <c r="I47" t="s">
        <v>241</v>
      </c>
    </row>
    <row r="48" spans="1:9" x14ac:dyDescent="0.35">
      <c r="A48" t="s">
        <v>416</v>
      </c>
      <c r="B48" t="s">
        <v>426</v>
      </c>
      <c r="C48" t="s">
        <v>17</v>
      </c>
      <c r="D48" t="s">
        <v>18</v>
      </c>
      <c r="E48" t="s">
        <v>240</v>
      </c>
      <c r="F48" t="s">
        <v>418</v>
      </c>
      <c r="G48" t="s">
        <v>21</v>
      </c>
      <c r="H48" t="s">
        <v>419</v>
      </c>
      <c r="I48" t="s">
        <v>241</v>
      </c>
    </row>
    <row r="49" spans="1:9" x14ac:dyDescent="0.35">
      <c r="A49" t="s">
        <v>416</v>
      </c>
      <c r="B49" t="s">
        <v>426</v>
      </c>
      <c r="C49" t="s">
        <v>20</v>
      </c>
      <c r="D49" t="s">
        <v>21</v>
      </c>
      <c r="E49" t="s">
        <v>240</v>
      </c>
      <c r="F49" t="s">
        <v>418</v>
      </c>
      <c r="G49" t="s">
        <v>21</v>
      </c>
      <c r="H49" t="s">
        <v>419</v>
      </c>
      <c r="I49" t="s">
        <v>241</v>
      </c>
    </row>
    <row r="50" spans="1:9" x14ac:dyDescent="0.35">
      <c r="A50" t="s">
        <v>416</v>
      </c>
      <c r="B50" t="s">
        <v>427</v>
      </c>
      <c r="C50" t="s">
        <v>4</v>
      </c>
      <c r="D50" t="s">
        <v>264</v>
      </c>
      <c r="E50" t="s">
        <v>264</v>
      </c>
      <c r="F50" t="s">
        <v>418</v>
      </c>
      <c r="G50" t="s">
        <v>21</v>
      </c>
      <c r="H50" t="s">
        <v>419</v>
      </c>
      <c r="I50" t="s">
        <v>266</v>
      </c>
    </row>
    <row r="51" spans="1:9" x14ac:dyDescent="0.35">
      <c r="A51" t="s">
        <v>416</v>
      </c>
      <c r="B51" t="s">
        <v>427</v>
      </c>
      <c r="C51" t="s">
        <v>7</v>
      </c>
      <c r="D51" t="s">
        <v>266</v>
      </c>
      <c r="E51" t="s">
        <v>264</v>
      </c>
      <c r="F51" t="s">
        <v>418</v>
      </c>
      <c r="G51" t="s">
        <v>21</v>
      </c>
      <c r="H51" t="s">
        <v>419</v>
      </c>
      <c r="I51" t="s">
        <v>266</v>
      </c>
    </row>
    <row r="52" spans="1:9" x14ac:dyDescent="0.35">
      <c r="A52" t="s">
        <v>416</v>
      </c>
      <c r="B52" t="s">
        <v>427</v>
      </c>
      <c r="C52" t="s">
        <v>9</v>
      </c>
      <c r="D52">
        <v>20</v>
      </c>
      <c r="E52" t="s">
        <v>264</v>
      </c>
      <c r="F52" t="s">
        <v>418</v>
      </c>
      <c r="G52" t="s">
        <v>21</v>
      </c>
      <c r="H52" t="s">
        <v>419</v>
      </c>
      <c r="I52" t="s">
        <v>266</v>
      </c>
    </row>
    <row r="53" spans="1:9" x14ac:dyDescent="0.35">
      <c r="A53" t="s">
        <v>416</v>
      </c>
      <c r="B53" t="s">
        <v>427</v>
      </c>
      <c r="C53" t="s">
        <v>10</v>
      </c>
      <c r="D53">
        <v>1</v>
      </c>
      <c r="E53" t="s">
        <v>264</v>
      </c>
      <c r="F53" t="s">
        <v>418</v>
      </c>
      <c r="G53" t="s">
        <v>21</v>
      </c>
      <c r="H53" t="s">
        <v>419</v>
      </c>
      <c r="I53" t="s">
        <v>266</v>
      </c>
    </row>
    <row r="54" spans="1:9" x14ac:dyDescent="0.35">
      <c r="A54" t="s">
        <v>416</v>
      </c>
      <c r="B54" t="s">
        <v>427</v>
      </c>
      <c r="C54" t="s">
        <v>12</v>
      </c>
      <c r="D54">
        <v>6</v>
      </c>
      <c r="E54" t="s">
        <v>264</v>
      </c>
      <c r="F54" t="s">
        <v>418</v>
      </c>
      <c r="G54" t="s">
        <v>21</v>
      </c>
      <c r="H54" t="s">
        <v>419</v>
      </c>
      <c r="I54" t="s">
        <v>266</v>
      </c>
    </row>
    <row r="55" spans="1:9" x14ac:dyDescent="0.35">
      <c r="A55" t="s">
        <v>416</v>
      </c>
      <c r="B55" t="s">
        <v>427</v>
      </c>
      <c r="C55" t="s">
        <v>14</v>
      </c>
      <c r="D55" t="s">
        <v>269</v>
      </c>
      <c r="E55" t="s">
        <v>264</v>
      </c>
      <c r="F55" t="s">
        <v>418</v>
      </c>
      <c r="G55" t="s">
        <v>21</v>
      </c>
      <c r="H55" t="s">
        <v>419</v>
      </c>
      <c r="I55" t="s">
        <v>266</v>
      </c>
    </row>
    <row r="56" spans="1:9" x14ac:dyDescent="0.35">
      <c r="A56" t="s">
        <v>416</v>
      </c>
      <c r="B56" t="s">
        <v>427</v>
      </c>
      <c r="C56" t="s">
        <v>17</v>
      </c>
      <c r="D56" t="s">
        <v>18</v>
      </c>
      <c r="E56" t="s">
        <v>264</v>
      </c>
      <c r="F56" t="s">
        <v>418</v>
      </c>
      <c r="G56" t="s">
        <v>21</v>
      </c>
      <c r="H56" t="s">
        <v>419</v>
      </c>
      <c r="I56" t="s">
        <v>266</v>
      </c>
    </row>
    <row r="57" spans="1:9" x14ac:dyDescent="0.35">
      <c r="A57" t="s">
        <v>416</v>
      </c>
      <c r="B57" t="s">
        <v>427</v>
      </c>
      <c r="C57" t="s">
        <v>20</v>
      </c>
      <c r="D57" t="s">
        <v>21</v>
      </c>
      <c r="E57" t="s">
        <v>264</v>
      </c>
      <c r="F57" t="s">
        <v>418</v>
      </c>
      <c r="G57" t="s">
        <v>21</v>
      </c>
      <c r="H57" t="s">
        <v>419</v>
      </c>
      <c r="I57" t="s">
        <v>266</v>
      </c>
    </row>
    <row r="58" spans="1:9" x14ac:dyDescent="0.35">
      <c r="A58" t="s">
        <v>416</v>
      </c>
      <c r="B58" t="s">
        <v>428</v>
      </c>
      <c r="C58" t="s">
        <v>4</v>
      </c>
      <c r="D58" t="s">
        <v>292</v>
      </c>
      <c r="E58" t="s">
        <v>292</v>
      </c>
      <c r="F58" t="s">
        <v>418</v>
      </c>
      <c r="G58" t="s">
        <v>21</v>
      </c>
      <c r="H58" t="s">
        <v>419</v>
      </c>
      <c r="I58" t="s">
        <v>429</v>
      </c>
    </row>
    <row r="59" spans="1:9" x14ac:dyDescent="0.35">
      <c r="A59" t="s">
        <v>416</v>
      </c>
      <c r="B59" t="s">
        <v>428</v>
      </c>
      <c r="C59" t="s">
        <v>7</v>
      </c>
      <c r="D59" t="s">
        <v>429</v>
      </c>
      <c r="E59" t="s">
        <v>292</v>
      </c>
      <c r="F59" t="s">
        <v>418</v>
      </c>
      <c r="G59" t="s">
        <v>21</v>
      </c>
      <c r="H59" t="s">
        <v>419</v>
      </c>
      <c r="I59" t="s">
        <v>429</v>
      </c>
    </row>
    <row r="60" spans="1:9" x14ac:dyDescent="0.35">
      <c r="A60" t="s">
        <v>416</v>
      </c>
      <c r="B60" t="s">
        <v>428</v>
      </c>
      <c r="C60" t="s">
        <v>9</v>
      </c>
      <c r="D60">
        <v>20</v>
      </c>
      <c r="E60" t="s">
        <v>292</v>
      </c>
      <c r="F60" t="s">
        <v>418</v>
      </c>
      <c r="G60" t="s">
        <v>21</v>
      </c>
      <c r="H60" t="s">
        <v>419</v>
      </c>
      <c r="I60" t="s">
        <v>429</v>
      </c>
    </row>
    <row r="61" spans="1:9" x14ac:dyDescent="0.35">
      <c r="A61" t="s">
        <v>416</v>
      </c>
      <c r="B61" t="s">
        <v>428</v>
      </c>
      <c r="C61" t="s">
        <v>10</v>
      </c>
      <c r="D61" t="s">
        <v>296</v>
      </c>
      <c r="E61" t="s">
        <v>292</v>
      </c>
      <c r="F61" t="s">
        <v>418</v>
      </c>
      <c r="G61" t="s">
        <v>21</v>
      </c>
      <c r="H61" t="s">
        <v>419</v>
      </c>
      <c r="I61" t="s">
        <v>429</v>
      </c>
    </row>
    <row r="62" spans="1:9" x14ac:dyDescent="0.35">
      <c r="A62" t="s">
        <v>416</v>
      </c>
      <c r="B62" t="s">
        <v>428</v>
      </c>
      <c r="C62" t="s">
        <v>12</v>
      </c>
      <c r="D62">
        <v>6</v>
      </c>
      <c r="E62" t="s">
        <v>292</v>
      </c>
      <c r="F62" t="s">
        <v>418</v>
      </c>
      <c r="G62" t="s">
        <v>21</v>
      </c>
      <c r="H62" t="s">
        <v>419</v>
      </c>
      <c r="I62" t="s">
        <v>429</v>
      </c>
    </row>
    <row r="63" spans="1:9" x14ac:dyDescent="0.35">
      <c r="A63" t="s">
        <v>416</v>
      </c>
      <c r="B63" t="s">
        <v>428</v>
      </c>
      <c r="C63" t="s">
        <v>14</v>
      </c>
      <c r="D63" t="s">
        <v>298</v>
      </c>
      <c r="E63" t="s">
        <v>292</v>
      </c>
      <c r="F63" t="s">
        <v>418</v>
      </c>
      <c r="G63" t="s">
        <v>21</v>
      </c>
      <c r="H63" t="s">
        <v>419</v>
      </c>
      <c r="I63" t="s">
        <v>429</v>
      </c>
    </row>
    <row r="64" spans="1:9" x14ac:dyDescent="0.35">
      <c r="A64" t="s">
        <v>416</v>
      </c>
      <c r="B64" t="s">
        <v>428</v>
      </c>
      <c r="C64" t="s">
        <v>17</v>
      </c>
      <c r="D64" t="s">
        <v>299</v>
      </c>
      <c r="E64" t="s">
        <v>292</v>
      </c>
      <c r="F64" t="s">
        <v>418</v>
      </c>
      <c r="G64" t="s">
        <v>21</v>
      </c>
      <c r="H64" t="s">
        <v>419</v>
      </c>
      <c r="I64" t="s">
        <v>429</v>
      </c>
    </row>
    <row r="65" spans="1:9" x14ac:dyDescent="0.35">
      <c r="A65" t="s">
        <v>416</v>
      </c>
      <c r="B65" t="s">
        <v>428</v>
      </c>
      <c r="C65" t="s">
        <v>20</v>
      </c>
      <c r="D65" t="s">
        <v>21</v>
      </c>
      <c r="E65" t="s">
        <v>292</v>
      </c>
      <c r="F65" t="s">
        <v>418</v>
      </c>
      <c r="G65" t="s">
        <v>21</v>
      </c>
      <c r="H65" t="s">
        <v>419</v>
      </c>
      <c r="I65" t="s">
        <v>429</v>
      </c>
    </row>
    <row r="66" spans="1:9" x14ac:dyDescent="0.35">
      <c r="A66" t="s">
        <v>430</v>
      </c>
      <c r="B66" t="s">
        <v>431</v>
      </c>
      <c r="C66" t="s">
        <v>4</v>
      </c>
      <c r="D66" t="s">
        <v>432</v>
      </c>
      <c r="E66" t="s">
        <v>432</v>
      </c>
      <c r="F66" t="s">
        <v>418</v>
      </c>
      <c r="G66" t="s">
        <v>21</v>
      </c>
      <c r="H66" t="s">
        <v>419</v>
      </c>
      <c r="I66" t="s">
        <v>433</v>
      </c>
    </row>
    <row r="67" spans="1:9" x14ac:dyDescent="0.35">
      <c r="A67" t="s">
        <v>430</v>
      </c>
      <c r="B67" t="s">
        <v>431</v>
      </c>
      <c r="C67" t="s">
        <v>7</v>
      </c>
      <c r="D67" t="s">
        <v>433</v>
      </c>
      <c r="E67" t="s">
        <v>432</v>
      </c>
      <c r="F67" t="s">
        <v>418</v>
      </c>
      <c r="G67" t="s">
        <v>21</v>
      </c>
      <c r="H67" t="s">
        <v>419</v>
      </c>
      <c r="I67" t="s">
        <v>433</v>
      </c>
    </row>
    <row r="68" spans="1:9" x14ac:dyDescent="0.35">
      <c r="A68" t="s">
        <v>430</v>
      </c>
      <c r="B68" t="s">
        <v>431</v>
      </c>
      <c r="C68" t="s">
        <v>9</v>
      </c>
      <c r="D68">
        <v>20</v>
      </c>
      <c r="E68" t="s">
        <v>432</v>
      </c>
      <c r="F68" t="s">
        <v>418</v>
      </c>
      <c r="G68" t="s">
        <v>21</v>
      </c>
      <c r="H68" t="s">
        <v>419</v>
      </c>
      <c r="I68" t="s">
        <v>433</v>
      </c>
    </row>
    <row r="69" spans="1:9" x14ac:dyDescent="0.35">
      <c r="A69" t="s">
        <v>430</v>
      </c>
      <c r="B69" t="s">
        <v>431</v>
      </c>
      <c r="C69" t="s">
        <v>10</v>
      </c>
      <c r="D69">
        <v>2</v>
      </c>
      <c r="E69" t="s">
        <v>432</v>
      </c>
      <c r="F69" t="s">
        <v>418</v>
      </c>
      <c r="G69" t="s">
        <v>21</v>
      </c>
      <c r="H69" t="s">
        <v>419</v>
      </c>
      <c r="I69" t="s">
        <v>433</v>
      </c>
    </row>
    <row r="70" spans="1:9" x14ac:dyDescent="0.35">
      <c r="A70" t="s">
        <v>430</v>
      </c>
      <c r="B70" t="s">
        <v>431</v>
      </c>
      <c r="C70" t="s">
        <v>12</v>
      </c>
      <c r="D70">
        <v>4</v>
      </c>
      <c r="E70" t="s">
        <v>432</v>
      </c>
      <c r="F70" t="s">
        <v>418</v>
      </c>
      <c r="G70" t="s">
        <v>21</v>
      </c>
      <c r="H70" t="s">
        <v>419</v>
      </c>
      <c r="I70" t="s">
        <v>433</v>
      </c>
    </row>
    <row r="71" spans="1:9" x14ac:dyDescent="0.35">
      <c r="A71" t="s">
        <v>430</v>
      </c>
      <c r="B71" t="s">
        <v>431</v>
      </c>
      <c r="C71" t="s">
        <v>14</v>
      </c>
      <c r="D71" t="s">
        <v>434</v>
      </c>
      <c r="E71" t="s">
        <v>432</v>
      </c>
      <c r="F71" t="s">
        <v>418</v>
      </c>
      <c r="G71" t="s">
        <v>21</v>
      </c>
      <c r="H71" t="s">
        <v>419</v>
      </c>
      <c r="I71" t="s">
        <v>433</v>
      </c>
    </row>
    <row r="72" spans="1:9" x14ac:dyDescent="0.35">
      <c r="A72" t="s">
        <v>430</v>
      </c>
      <c r="B72" t="s">
        <v>431</v>
      </c>
      <c r="C72" t="s">
        <v>17</v>
      </c>
      <c r="D72" t="s">
        <v>339</v>
      </c>
      <c r="E72" t="s">
        <v>432</v>
      </c>
      <c r="F72" t="s">
        <v>418</v>
      </c>
      <c r="G72" t="s">
        <v>21</v>
      </c>
      <c r="H72" t="s">
        <v>419</v>
      </c>
      <c r="I72" t="s">
        <v>433</v>
      </c>
    </row>
    <row r="73" spans="1:9" x14ac:dyDescent="0.35">
      <c r="A73" t="s">
        <v>430</v>
      </c>
      <c r="B73" t="s">
        <v>431</v>
      </c>
      <c r="C73" t="s">
        <v>20</v>
      </c>
      <c r="D73" t="s">
        <v>370</v>
      </c>
      <c r="E73" t="s">
        <v>432</v>
      </c>
      <c r="F73" t="s">
        <v>418</v>
      </c>
      <c r="G73" t="s">
        <v>21</v>
      </c>
      <c r="H73" t="s">
        <v>419</v>
      </c>
      <c r="I73" t="s">
        <v>433</v>
      </c>
    </row>
    <row r="74" spans="1:9" x14ac:dyDescent="0.35">
      <c r="A74" t="s">
        <v>430</v>
      </c>
      <c r="B74" t="s">
        <v>435</v>
      </c>
      <c r="C74" t="s">
        <v>4</v>
      </c>
      <c r="D74" t="s">
        <v>436</v>
      </c>
      <c r="E74" t="s">
        <v>436</v>
      </c>
      <c r="F74" t="s">
        <v>418</v>
      </c>
      <c r="G74" t="s">
        <v>21</v>
      </c>
      <c r="H74" t="s">
        <v>419</v>
      </c>
      <c r="I74" t="s">
        <v>437</v>
      </c>
    </row>
    <row r="75" spans="1:9" x14ac:dyDescent="0.35">
      <c r="A75" t="s">
        <v>430</v>
      </c>
      <c r="B75" t="s">
        <v>435</v>
      </c>
      <c r="C75" t="s">
        <v>7</v>
      </c>
      <c r="D75" t="s">
        <v>438</v>
      </c>
      <c r="E75" t="s">
        <v>436</v>
      </c>
      <c r="F75" t="s">
        <v>418</v>
      </c>
      <c r="G75" t="s">
        <v>21</v>
      </c>
      <c r="H75" t="s">
        <v>419</v>
      </c>
      <c r="I75" t="s">
        <v>437</v>
      </c>
    </row>
    <row r="76" spans="1:9" x14ac:dyDescent="0.35">
      <c r="A76" t="s">
        <v>430</v>
      </c>
      <c r="B76" t="s">
        <v>435</v>
      </c>
      <c r="C76" t="s">
        <v>9</v>
      </c>
      <c r="D76">
        <v>20</v>
      </c>
      <c r="E76" t="s">
        <v>436</v>
      </c>
      <c r="F76" t="s">
        <v>418</v>
      </c>
      <c r="G76" t="s">
        <v>21</v>
      </c>
      <c r="H76" t="s">
        <v>419</v>
      </c>
      <c r="I76" t="s">
        <v>437</v>
      </c>
    </row>
    <row r="77" spans="1:9" x14ac:dyDescent="0.35">
      <c r="A77" t="s">
        <v>430</v>
      </c>
      <c r="B77" t="s">
        <v>435</v>
      </c>
      <c r="C77" t="s">
        <v>10</v>
      </c>
      <c r="D77">
        <v>1</v>
      </c>
      <c r="E77" t="s">
        <v>436</v>
      </c>
      <c r="F77" t="s">
        <v>418</v>
      </c>
      <c r="G77" t="s">
        <v>21</v>
      </c>
      <c r="H77" t="s">
        <v>419</v>
      </c>
      <c r="I77" t="s">
        <v>437</v>
      </c>
    </row>
    <row r="78" spans="1:9" x14ac:dyDescent="0.35">
      <c r="A78" t="s">
        <v>430</v>
      </c>
      <c r="B78" t="s">
        <v>435</v>
      </c>
      <c r="C78" t="s">
        <v>12</v>
      </c>
      <c r="D78">
        <v>4</v>
      </c>
      <c r="E78" t="s">
        <v>436</v>
      </c>
      <c r="F78" t="s">
        <v>418</v>
      </c>
      <c r="G78" t="s">
        <v>21</v>
      </c>
      <c r="H78" t="s">
        <v>419</v>
      </c>
      <c r="I78" t="s">
        <v>437</v>
      </c>
    </row>
    <row r="79" spans="1:9" x14ac:dyDescent="0.35">
      <c r="A79" t="s">
        <v>430</v>
      </c>
      <c r="B79" t="s">
        <v>435</v>
      </c>
      <c r="C79" t="s">
        <v>14</v>
      </c>
      <c r="D79" t="s">
        <v>439</v>
      </c>
      <c r="E79" t="s">
        <v>436</v>
      </c>
      <c r="F79" t="s">
        <v>418</v>
      </c>
      <c r="G79" t="s">
        <v>21</v>
      </c>
      <c r="H79" t="s">
        <v>419</v>
      </c>
      <c r="I79" t="s">
        <v>437</v>
      </c>
    </row>
    <row r="80" spans="1:9" x14ac:dyDescent="0.35">
      <c r="A80" t="s">
        <v>430</v>
      </c>
      <c r="B80" t="s">
        <v>435</v>
      </c>
      <c r="C80" t="s">
        <v>17</v>
      </c>
      <c r="D80" t="s">
        <v>18</v>
      </c>
      <c r="E80" t="s">
        <v>436</v>
      </c>
      <c r="F80" t="s">
        <v>418</v>
      </c>
      <c r="G80" t="s">
        <v>21</v>
      </c>
      <c r="H80" t="s">
        <v>419</v>
      </c>
      <c r="I80" t="s">
        <v>437</v>
      </c>
    </row>
    <row r="81" spans="1:9" x14ac:dyDescent="0.35">
      <c r="A81" t="s">
        <v>430</v>
      </c>
      <c r="B81" t="s">
        <v>435</v>
      </c>
      <c r="C81" t="s">
        <v>20</v>
      </c>
      <c r="D81" t="s">
        <v>370</v>
      </c>
      <c r="E81" t="s">
        <v>436</v>
      </c>
      <c r="F81" t="s">
        <v>418</v>
      </c>
      <c r="G81" t="s">
        <v>21</v>
      </c>
      <c r="H81" t="s">
        <v>419</v>
      </c>
      <c r="I81" t="s">
        <v>437</v>
      </c>
    </row>
    <row r="82" spans="1:9" x14ac:dyDescent="0.35">
      <c r="A82" t="s">
        <v>430</v>
      </c>
      <c r="B82" t="s">
        <v>440</v>
      </c>
      <c r="C82" t="s">
        <v>4</v>
      </c>
      <c r="D82" t="s">
        <v>441</v>
      </c>
      <c r="E82" t="s">
        <v>441</v>
      </c>
      <c r="F82" t="s">
        <v>418</v>
      </c>
      <c r="G82" t="s">
        <v>21</v>
      </c>
      <c r="H82" t="s">
        <v>419</v>
      </c>
      <c r="I82" t="s">
        <v>442</v>
      </c>
    </row>
    <row r="83" spans="1:9" x14ac:dyDescent="0.35">
      <c r="A83" t="s">
        <v>430</v>
      </c>
      <c r="B83" t="s">
        <v>440</v>
      </c>
      <c r="C83" t="s">
        <v>7</v>
      </c>
      <c r="D83" t="s">
        <v>442</v>
      </c>
      <c r="E83" t="s">
        <v>441</v>
      </c>
      <c r="F83" t="s">
        <v>418</v>
      </c>
      <c r="G83" t="s">
        <v>21</v>
      </c>
      <c r="H83" t="s">
        <v>419</v>
      </c>
      <c r="I83" t="s">
        <v>442</v>
      </c>
    </row>
    <row r="84" spans="1:9" x14ac:dyDescent="0.35">
      <c r="A84" t="s">
        <v>430</v>
      </c>
      <c r="B84" t="s">
        <v>440</v>
      </c>
      <c r="C84" t="s">
        <v>9</v>
      </c>
      <c r="D84">
        <v>20</v>
      </c>
      <c r="E84" t="s">
        <v>441</v>
      </c>
      <c r="F84" t="s">
        <v>418</v>
      </c>
      <c r="G84" t="s">
        <v>21</v>
      </c>
      <c r="H84" t="s">
        <v>419</v>
      </c>
      <c r="I84" t="s">
        <v>442</v>
      </c>
    </row>
    <row r="85" spans="1:9" x14ac:dyDescent="0.35">
      <c r="A85" t="s">
        <v>430</v>
      </c>
      <c r="B85" t="s">
        <v>440</v>
      </c>
      <c r="C85" t="s">
        <v>10</v>
      </c>
      <c r="D85">
        <v>2</v>
      </c>
      <c r="E85" t="s">
        <v>441</v>
      </c>
      <c r="F85" t="s">
        <v>418</v>
      </c>
      <c r="G85" t="s">
        <v>21</v>
      </c>
      <c r="H85" t="s">
        <v>419</v>
      </c>
      <c r="I85" t="s">
        <v>442</v>
      </c>
    </row>
    <row r="86" spans="1:9" x14ac:dyDescent="0.35">
      <c r="A86" t="s">
        <v>430</v>
      </c>
      <c r="B86" t="s">
        <v>440</v>
      </c>
      <c r="C86" t="s">
        <v>12</v>
      </c>
      <c r="D86">
        <v>4</v>
      </c>
      <c r="E86" t="s">
        <v>441</v>
      </c>
      <c r="F86" t="s">
        <v>418</v>
      </c>
      <c r="G86" t="s">
        <v>21</v>
      </c>
      <c r="H86" t="s">
        <v>419</v>
      </c>
      <c r="I86" t="s">
        <v>442</v>
      </c>
    </row>
    <row r="87" spans="1:9" x14ac:dyDescent="0.35">
      <c r="A87" t="s">
        <v>430</v>
      </c>
      <c r="B87" t="s">
        <v>440</v>
      </c>
      <c r="C87" t="s">
        <v>14</v>
      </c>
      <c r="D87" t="s">
        <v>443</v>
      </c>
      <c r="E87" t="s">
        <v>441</v>
      </c>
      <c r="F87" t="s">
        <v>418</v>
      </c>
      <c r="G87" t="s">
        <v>21</v>
      </c>
      <c r="H87" t="s">
        <v>419</v>
      </c>
      <c r="I87" t="s">
        <v>442</v>
      </c>
    </row>
    <row r="88" spans="1:9" x14ac:dyDescent="0.35">
      <c r="A88" t="s">
        <v>430</v>
      </c>
      <c r="B88" t="s">
        <v>440</v>
      </c>
      <c r="C88" t="s">
        <v>17</v>
      </c>
      <c r="D88" t="s">
        <v>18</v>
      </c>
      <c r="E88" t="s">
        <v>441</v>
      </c>
      <c r="F88" t="s">
        <v>418</v>
      </c>
      <c r="G88" t="s">
        <v>21</v>
      </c>
      <c r="H88" t="s">
        <v>419</v>
      </c>
      <c r="I88" t="s">
        <v>442</v>
      </c>
    </row>
    <row r="89" spans="1:9" x14ac:dyDescent="0.35">
      <c r="A89" t="s">
        <v>430</v>
      </c>
      <c r="B89" t="s">
        <v>440</v>
      </c>
      <c r="C89" t="s">
        <v>20</v>
      </c>
      <c r="D89" t="s">
        <v>378</v>
      </c>
      <c r="E89" t="s">
        <v>441</v>
      </c>
      <c r="F89" t="s">
        <v>418</v>
      </c>
      <c r="G89" t="s">
        <v>21</v>
      </c>
      <c r="H89" t="s">
        <v>419</v>
      </c>
      <c r="I89" t="s">
        <v>442</v>
      </c>
    </row>
    <row r="90" spans="1:9" x14ac:dyDescent="0.35">
      <c r="A90" t="s">
        <v>430</v>
      </c>
      <c r="B90" t="s">
        <v>444</v>
      </c>
      <c r="C90" t="s">
        <v>4</v>
      </c>
      <c r="D90" t="s">
        <v>445</v>
      </c>
      <c r="E90" t="s">
        <v>445</v>
      </c>
      <c r="F90" t="s">
        <v>418</v>
      </c>
      <c r="G90" t="s">
        <v>21</v>
      </c>
      <c r="H90" t="s">
        <v>419</v>
      </c>
      <c r="I90" t="s">
        <v>446</v>
      </c>
    </row>
    <row r="91" spans="1:9" x14ac:dyDescent="0.35">
      <c r="A91" t="s">
        <v>430</v>
      </c>
      <c r="B91" t="s">
        <v>444</v>
      </c>
      <c r="C91" t="s">
        <v>7</v>
      </c>
      <c r="D91" t="s">
        <v>446</v>
      </c>
      <c r="E91" t="s">
        <v>445</v>
      </c>
      <c r="F91" t="s">
        <v>418</v>
      </c>
      <c r="G91" t="s">
        <v>21</v>
      </c>
      <c r="H91" t="s">
        <v>419</v>
      </c>
      <c r="I91" t="s">
        <v>446</v>
      </c>
    </row>
    <row r="92" spans="1:9" x14ac:dyDescent="0.35">
      <c r="A92" t="s">
        <v>430</v>
      </c>
      <c r="B92" t="s">
        <v>444</v>
      </c>
      <c r="C92" t="s">
        <v>9</v>
      </c>
      <c r="D92">
        <v>20</v>
      </c>
      <c r="E92" t="s">
        <v>445</v>
      </c>
      <c r="F92" t="s">
        <v>418</v>
      </c>
      <c r="G92" t="s">
        <v>21</v>
      </c>
      <c r="H92" t="s">
        <v>419</v>
      </c>
      <c r="I92" t="s">
        <v>446</v>
      </c>
    </row>
    <row r="93" spans="1:9" x14ac:dyDescent="0.35">
      <c r="A93" t="s">
        <v>430</v>
      </c>
      <c r="B93" t="s">
        <v>444</v>
      </c>
      <c r="C93" t="s">
        <v>10</v>
      </c>
      <c r="D93">
        <v>2</v>
      </c>
      <c r="E93" t="s">
        <v>445</v>
      </c>
      <c r="F93" t="s">
        <v>418</v>
      </c>
      <c r="G93" t="s">
        <v>21</v>
      </c>
      <c r="H93" t="s">
        <v>419</v>
      </c>
      <c r="I93" t="s">
        <v>446</v>
      </c>
    </row>
    <row r="94" spans="1:9" x14ac:dyDescent="0.35">
      <c r="A94" t="s">
        <v>430</v>
      </c>
      <c r="B94" t="s">
        <v>444</v>
      </c>
      <c r="C94" t="s">
        <v>12</v>
      </c>
      <c r="D94">
        <v>5</v>
      </c>
      <c r="E94" t="s">
        <v>445</v>
      </c>
      <c r="F94" t="s">
        <v>418</v>
      </c>
      <c r="G94" t="s">
        <v>21</v>
      </c>
      <c r="H94" t="s">
        <v>419</v>
      </c>
      <c r="I94" t="s">
        <v>446</v>
      </c>
    </row>
    <row r="95" spans="1:9" x14ac:dyDescent="0.35">
      <c r="A95" t="s">
        <v>430</v>
      </c>
      <c r="B95" t="s">
        <v>444</v>
      </c>
      <c r="C95" t="s">
        <v>14</v>
      </c>
      <c r="D95" t="s">
        <v>447</v>
      </c>
      <c r="E95" t="s">
        <v>445</v>
      </c>
      <c r="F95" t="s">
        <v>418</v>
      </c>
      <c r="G95" t="s">
        <v>21</v>
      </c>
      <c r="H95" t="s">
        <v>419</v>
      </c>
      <c r="I95" t="s">
        <v>446</v>
      </c>
    </row>
    <row r="96" spans="1:9" x14ac:dyDescent="0.35">
      <c r="A96" t="s">
        <v>430</v>
      </c>
      <c r="B96" t="s">
        <v>444</v>
      </c>
      <c r="C96" t="s">
        <v>17</v>
      </c>
      <c r="D96" t="s">
        <v>339</v>
      </c>
      <c r="E96" t="s">
        <v>445</v>
      </c>
      <c r="F96" t="s">
        <v>418</v>
      </c>
      <c r="G96" t="s">
        <v>21</v>
      </c>
      <c r="H96" t="s">
        <v>419</v>
      </c>
      <c r="I96" t="s">
        <v>446</v>
      </c>
    </row>
    <row r="97" spans="1:9" x14ac:dyDescent="0.35">
      <c r="A97" t="s">
        <v>430</v>
      </c>
      <c r="B97" t="s">
        <v>444</v>
      </c>
      <c r="C97" t="s">
        <v>20</v>
      </c>
      <c r="D97" t="s">
        <v>370</v>
      </c>
      <c r="E97" t="s">
        <v>445</v>
      </c>
      <c r="F97" t="s">
        <v>418</v>
      </c>
      <c r="G97" t="s">
        <v>21</v>
      </c>
      <c r="H97" t="s">
        <v>419</v>
      </c>
      <c r="I97" t="s">
        <v>446</v>
      </c>
    </row>
    <row r="98" spans="1:9" x14ac:dyDescent="0.35">
      <c r="A98" t="s">
        <v>430</v>
      </c>
      <c r="B98" t="s">
        <v>448</v>
      </c>
      <c r="C98" t="s">
        <v>4</v>
      </c>
      <c r="D98" t="s">
        <v>449</v>
      </c>
      <c r="E98" t="s">
        <v>449</v>
      </c>
      <c r="F98" t="s">
        <v>418</v>
      </c>
      <c r="G98" t="s">
        <v>21</v>
      </c>
      <c r="H98" t="s">
        <v>419</v>
      </c>
      <c r="I98" t="s">
        <v>450</v>
      </c>
    </row>
    <row r="99" spans="1:9" x14ac:dyDescent="0.35">
      <c r="A99" t="s">
        <v>430</v>
      </c>
      <c r="B99" t="s">
        <v>448</v>
      </c>
      <c r="C99" t="s">
        <v>7</v>
      </c>
      <c r="D99" t="s">
        <v>451</v>
      </c>
      <c r="E99" t="s">
        <v>449</v>
      </c>
      <c r="F99" t="s">
        <v>418</v>
      </c>
      <c r="G99" t="s">
        <v>21</v>
      </c>
      <c r="H99" t="s">
        <v>419</v>
      </c>
      <c r="I99" t="s">
        <v>450</v>
      </c>
    </row>
    <row r="100" spans="1:9" x14ac:dyDescent="0.35">
      <c r="A100" t="s">
        <v>430</v>
      </c>
      <c r="B100" t="s">
        <v>448</v>
      </c>
      <c r="C100" t="s">
        <v>9</v>
      </c>
      <c r="E100" t="s">
        <v>449</v>
      </c>
      <c r="F100" t="s">
        <v>418</v>
      </c>
      <c r="G100" t="s">
        <v>21</v>
      </c>
      <c r="H100" t="s">
        <v>419</v>
      </c>
      <c r="I100" t="s">
        <v>450</v>
      </c>
    </row>
    <row r="101" spans="1:9" x14ac:dyDescent="0.35">
      <c r="A101" t="s">
        <v>430</v>
      </c>
      <c r="B101" t="s">
        <v>448</v>
      </c>
      <c r="C101" t="s">
        <v>10</v>
      </c>
      <c r="E101" t="s">
        <v>449</v>
      </c>
      <c r="F101" t="s">
        <v>418</v>
      </c>
      <c r="G101" t="s">
        <v>21</v>
      </c>
      <c r="H101" t="s">
        <v>419</v>
      </c>
      <c r="I101" t="s">
        <v>450</v>
      </c>
    </row>
    <row r="102" spans="1:9" x14ac:dyDescent="0.35">
      <c r="A102" t="s">
        <v>430</v>
      </c>
      <c r="B102" t="s">
        <v>448</v>
      </c>
      <c r="C102" t="s">
        <v>12</v>
      </c>
      <c r="D102">
        <v>5</v>
      </c>
      <c r="E102" t="s">
        <v>449</v>
      </c>
      <c r="F102" t="s">
        <v>418</v>
      </c>
      <c r="G102" t="s">
        <v>21</v>
      </c>
      <c r="H102" t="s">
        <v>419</v>
      </c>
      <c r="I102" t="s">
        <v>450</v>
      </c>
    </row>
    <row r="103" spans="1:9" x14ac:dyDescent="0.35">
      <c r="A103" t="s">
        <v>430</v>
      </c>
      <c r="B103" t="s">
        <v>448</v>
      </c>
      <c r="C103" t="s">
        <v>14</v>
      </c>
      <c r="D103" t="s">
        <v>452</v>
      </c>
      <c r="E103" t="s">
        <v>449</v>
      </c>
      <c r="F103" t="s">
        <v>418</v>
      </c>
      <c r="G103" t="s">
        <v>21</v>
      </c>
      <c r="H103" t="s">
        <v>419</v>
      </c>
      <c r="I103" t="s">
        <v>450</v>
      </c>
    </row>
    <row r="104" spans="1:9" x14ac:dyDescent="0.35">
      <c r="A104" t="s">
        <v>430</v>
      </c>
      <c r="B104" t="s">
        <v>448</v>
      </c>
      <c r="C104" t="s">
        <v>17</v>
      </c>
      <c r="D104" t="s">
        <v>18</v>
      </c>
      <c r="E104" t="s">
        <v>449</v>
      </c>
      <c r="F104" t="s">
        <v>418</v>
      </c>
      <c r="G104" t="s">
        <v>21</v>
      </c>
      <c r="H104" t="s">
        <v>419</v>
      </c>
      <c r="I104" t="s">
        <v>450</v>
      </c>
    </row>
    <row r="105" spans="1:9" x14ac:dyDescent="0.35">
      <c r="A105" t="s">
        <v>430</v>
      </c>
      <c r="B105" t="s">
        <v>448</v>
      </c>
      <c r="C105" t="s">
        <v>20</v>
      </c>
      <c r="D105" t="s">
        <v>372</v>
      </c>
      <c r="E105" t="s">
        <v>449</v>
      </c>
      <c r="F105" t="s">
        <v>418</v>
      </c>
      <c r="G105" t="s">
        <v>21</v>
      </c>
      <c r="H105" t="s">
        <v>419</v>
      </c>
      <c r="I105" t="s">
        <v>450</v>
      </c>
    </row>
    <row r="106" spans="1:9" x14ac:dyDescent="0.35">
      <c r="A106" t="s">
        <v>430</v>
      </c>
      <c r="B106" t="s">
        <v>453</v>
      </c>
      <c r="C106" t="s">
        <v>4</v>
      </c>
      <c r="D106" t="s">
        <v>454</v>
      </c>
      <c r="E106" t="s">
        <v>454</v>
      </c>
      <c r="F106" t="s">
        <v>418</v>
      </c>
      <c r="G106" t="s">
        <v>21</v>
      </c>
      <c r="H106" t="s">
        <v>419</v>
      </c>
      <c r="I106" t="s">
        <v>455</v>
      </c>
    </row>
    <row r="107" spans="1:9" x14ac:dyDescent="0.35">
      <c r="A107" t="s">
        <v>430</v>
      </c>
      <c r="B107" t="s">
        <v>453</v>
      </c>
      <c r="C107" t="s">
        <v>7</v>
      </c>
      <c r="D107" t="s">
        <v>455</v>
      </c>
      <c r="E107" t="s">
        <v>454</v>
      </c>
      <c r="F107" t="s">
        <v>418</v>
      </c>
      <c r="G107" t="s">
        <v>21</v>
      </c>
      <c r="H107" t="s">
        <v>419</v>
      </c>
      <c r="I107" t="s">
        <v>455</v>
      </c>
    </row>
    <row r="108" spans="1:9" x14ac:dyDescent="0.35">
      <c r="A108" t="s">
        <v>430</v>
      </c>
      <c r="B108" t="s">
        <v>453</v>
      </c>
      <c r="C108" t="s">
        <v>9</v>
      </c>
      <c r="D108">
        <v>20</v>
      </c>
      <c r="E108" t="s">
        <v>454</v>
      </c>
      <c r="F108" t="s">
        <v>418</v>
      </c>
      <c r="G108" t="s">
        <v>21</v>
      </c>
      <c r="H108" t="s">
        <v>419</v>
      </c>
      <c r="I108" t="s">
        <v>455</v>
      </c>
    </row>
    <row r="109" spans="1:9" x14ac:dyDescent="0.35">
      <c r="A109" t="s">
        <v>430</v>
      </c>
      <c r="B109" t="s">
        <v>453</v>
      </c>
      <c r="C109" t="s">
        <v>10</v>
      </c>
      <c r="D109">
        <v>2</v>
      </c>
      <c r="E109" t="s">
        <v>454</v>
      </c>
      <c r="F109" t="s">
        <v>418</v>
      </c>
      <c r="G109" t="s">
        <v>21</v>
      </c>
      <c r="H109" t="s">
        <v>419</v>
      </c>
      <c r="I109" t="s">
        <v>455</v>
      </c>
    </row>
    <row r="110" spans="1:9" x14ac:dyDescent="0.35">
      <c r="A110" t="s">
        <v>430</v>
      </c>
      <c r="B110" t="s">
        <v>453</v>
      </c>
      <c r="C110" t="s">
        <v>12</v>
      </c>
      <c r="D110">
        <v>5</v>
      </c>
      <c r="E110" t="s">
        <v>454</v>
      </c>
      <c r="F110" t="s">
        <v>418</v>
      </c>
      <c r="G110" t="s">
        <v>21</v>
      </c>
      <c r="H110" t="s">
        <v>419</v>
      </c>
      <c r="I110" t="s">
        <v>455</v>
      </c>
    </row>
    <row r="111" spans="1:9" x14ac:dyDescent="0.35">
      <c r="A111" t="s">
        <v>430</v>
      </c>
      <c r="B111" t="s">
        <v>453</v>
      </c>
      <c r="C111" t="s">
        <v>14</v>
      </c>
      <c r="D111" t="s">
        <v>456</v>
      </c>
      <c r="E111" t="s">
        <v>454</v>
      </c>
      <c r="F111" t="s">
        <v>418</v>
      </c>
      <c r="G111" t="s">
        <v>21</v>
      </c>
      <c r="H111" t="s">
        <v>419</v>
      </c>
      <c r="I111" t="s">
        <v>455</v>
      </c>
    </row>
    <row r="112" spans="1:9" x14ac:dyDescent="0.35">
      <c r="A112" t="s">
        <v>430</v>
      </c>
      <c r="B112" t="s">
        <v>453</v>
      </c>
      <c r="C112" t="s">
        <v>17</v>
      </c>
      <c r="D112" t="s">
        <v>18</v>
      </c>
      <c r="E112" t="s">
        <v>454</v>
      </c>
      <c r="F112" t="s">
        <v>418</v>
      </c>
      <c r="G112" t="s">
        <v>21</v>
      </c>
      <c r="H112" t="s">
        <v>419</v>
      </c>
      <c r="I112" t="s">
        <v>455</v>
      </c>
    </row>
    <row r="113" spans="1:9" x14ac:dyDescent="0.35">
      <c r="A113" t="s">
        <v>430</v>
      </c>
      <c r="B113" t="s">
        <v>453</v>
      </c>
      <c r="C113" t="s">
        <v>20</v>
      </c>
      <c r="D113" t="s">
        <v>378</v>
      </c>
      <c r="E113" t="s">
        <v>454</v>
      </c>
      <c r="F113" t="s">
        <v>418</v>
      </c>
      <c r="G113" t="s">
        <v>21</v>
      </c>
      <c r="H113" t="s">
        <v>419</v>
      </c>
      <c r="I113" t="s">
        <v>455</v>
      </c>
    </row>
    <row r="114" spans="1:9" x14ac:dyDescent="0.35">
      <c r="A114" t="s">
        <v>430</v>
      </c>
      <c r="B114" t="s">
        <v>457</v>
      </c>
      <c r="C114" t="s">
        <v>4</v>
      </c>
      <c r="D114" t="s">
        <v>458</v>
      </c>
      <c r="E114" t="s">
        <v>458</v>
      </c>
      <c r="F114" t="s">
        <v>418</v>
      </c>
      <c r="G114" t="s">
        <v>21</v>
      </c>
      <c r="H114" t="s">
        <v>419</v>
      </c>
      <c r="I114" t="s">
        <v>459</v>
      </c>
    </row>
    <row r="115" spans="1:9" x14ac:dyDescent="0.35">
      <c r="A115" t="s">
        <v>430</v>
      </c>
      <c r="B115" t="s">
        <v>457</v>
      </c>
      <c r="C115" t="s">
        <v>7</v>
      </c>
      <c r="D115" t="s">
        <v>459</v>
      </c>
      <c r="E115" t="s">
        <v>458</v>
      </c>
      <c r="F115" t="s">
        <v>418</v>
      </c>
      <c r="G115" t="s">
        <v>21</v>
      </c>
      <c r="H115" t="s">
        <v>419</v>
      </c>
      <c r="I115" t="s">
        <v>459</v>
      </c>
    </row>
    <row r="116" spans="1:9" x14ac:dyDescent="0.35">
      <c r="A116" t="s">
        <v>430</v>
      </c>
      <c r="B116" t="s">
        <v>457</v>
      </c>
      <c r="C116" t="s">
        <v>9</v>
      </c>
      <c r="D116">
        <v>40</v>
      </c>
      <c r="E116" t="s">
        <v>458</v>
      </c>
      <c r="F116" t="s">
        <v>418</v>
      </c>
      <c r="G116" t="s">
        <v>21</v>
      </c>
      <c r="H116" t="s">
        <v>419</v>
      </c>
      <c r="I116" t="s">
        <v>459</v>
      </c>
    </row>
    <row r="117" spans="1:9" x14ac:dyDescent="0.35">
      <c r="A117" t="s">
        <v>430</v>
      </c>
      <c r="B117" t="s">
        <v>457</v>
      </c>
      <c r="C117" t="s">
        <v>10</v>
      </c>
      <c r="D117" t="s">
        <v>296</v>
      </c>
      <c r="E117" t="s">
        <v>458</v>
      </c>
      <c r="F117" t="s">
        <v>418</v>
      </c>
      <c r="G117" t="s">
        <v>21</v>
      </c>
      <c r="H117" t="s">
        <v>419</v>
      </c>
      <c r="I117" t="s">
        <v>459</v>
      </c>
    </row>
    <row r="118" spans="1:9" x14ac:dyDescent="0.35">
      <c r="A118" t="s">
        <v>430</v>
      </c>
      <c r="B118" t="s">
        <v>457</v>
      </c>
      <c r="C118" t="s">
        <v>12</v>
      </c>
      <c r="D118">
        <v>6</v>
      </c>
      <c r="E118" t="s">
        <v>458</v>
      </c>
      <c r="F118" t="s">
        <v>418</v>
      </c>
      <c r="G118" t="s">
        <v>21</v>
      </c>
      <c r="H118" t="s">
        <v>419</v>
      </c>
      <c r="I118" t="s">
        <v>459</v>
      </c>
    </row>
    <row r="119" spans="1:9" x14ac:dyDescent="0.35">
      <c r="A119" t="s">
        <v>430</v>
      </c>
      <c r="B119" t="s">
        <v>457</v>
      </c>
      <c r="C119" t="s">
        <v>14</v>
      </c>
      <c r="D119" t="s">
        <v>460</v>
      </c>
      <c r="E119" t="s">
        <v>458</v>
      </c>
      <c r="F119" t="s">
        <v>418</v>
      </c>
      <c r="G119" t="s">
        <v>21</v>
      </c>
      <c r="H119" t="s">
        <v>419</v>
      </c>
      <c r="I119" t="s">
        <v>459</v>
      </c>
    </row>
    <row r="120" spans="1:9" x14ac:dyDescent="0.35">
      <c r="A120" t="s">
        <v>430</v>
      </c>
      <c r="B120" t="s">
        <v>457</v>
      </c>
      <c r="C120" t="s">
        <v>17</v>
      </c>
      <c r="D120" t="s">
        <v>340</v>
      </c>
      <c r="E120" t="s">
        <v>458</v>
      </c>
      <c r="F120" t="s">
        <v>418</v>
      </c>
      <c r="G120" t="s">
        <v>21</v>
      </c>
      <c r="H120" t="s">
        <v>419</v>
      </c>
      <c r="I120" t="s">
        <v>459</v>
      </c>
    </row>
    <row r="121" spans="1:9" x14ac:dyDescent="0.35">
      <c r="A121" t="s">
        <v>430</v>
      </c>
      <c r="B121" t="s">
        <v>457</v>
      </c>
      <c r="C121" t="s">
        <v>20</v>
      </c>
      <c r="D121" t="s">
        <v>370</v>
      </c>
      <c r="E121" t="s">
        <v>458</v>
      </c>
      <c r="F121" t="s">
        <v>418</v>
      </c>
      <c r="G121" t="s">
        <v>21</v>
      </c>
      <c r="H121" t="s">
        <v>419</v>
      </c>
      <c r="I121" t="s">
        <v>459</v>
      </c>
    </row>
    <row r="122" spans="1:9" x14ac:dyDescent="0.35">
      <c r="A122" t="s">
        <v>461</v>
      </c>
      <c r="B122" t="s">
        <v>462</v>
      </c>
      <c r="C122" t="s">
        <v>4</v>
      </c>
      <c r="D122" t="s">
        <v>463</v>
      </c>
      <c r="E122" t="s">
        <v>463</v>
      </c>
      <c r="F122" t="s">
        <v>418</v>
      </c>
      <c r="G122" t="s">
        <v>21</v>
      </c>
      <c r="H122" t="s">
        <v>419</v>
      </c>
      <c r="I122" t="s">
        <v>464</v>
      </c>
    </row>
    <row r="123" spans="1:9" x14ac:dyDescent="0.35">
      <c r="A123" t="s">
        <v>461</v>
      </c>
      <c r="B123" t="s">
        <v>462</v>
      </c>
      <c r="C123" t="s">
        <v>7</v>
      </c>
      <c r="D123" t="s">
        <v>464</v>
      </c>
      <c r="E123" t="s">
        <v>463</v>
      </c>
      <c r="F123" t="s">
        <v>418</v>
      </c>
      <c r="G123" t="s">
        <v>21</v>
      </c>
      <c r="H123" t="s">
        <v>419</v>
      </c>
      <c r="I123" t="s">
        <v>464</v>
      </c>
    </row>
    <row r="124" spans="1:9" x14ac:dyDescent="0.35">
      <c r="A124" t="s">
        <v>461</v>
      </c>
      <c r="B124" t="s">
        <v>462</v>
      </c>
      <c r="C124" t="s">
        <v>9</v>
      </c>
      <c r="D124">
        <v>20</v>
      </c>
      <c r="E124" t="s">
        <v>463</v>
      </c>
      <c r="F124" t="s">
        <v>418</v>
      </c>
      <c r="G124" t="s">
        <v>21</v>
      </c>
      <c r="H124" t="s">
        <v>419</v>
      </c>
      <c r="I124" t="s">
        <v>464</v>
      </c>
    </row>
    <row r="125" spans="1:9" x14ac:dyDescent="0.35">
      <c r="A125" t="s">
        <v>461</v>
      </c>
      <c r="B125" t="s">
        <v>462</v>
      </c>
      <c r="C125" t="s">
        <v>10</v>
      </c>
      <c r="D125">
        <v>1</v>
      </c>
      <c r="E125" t="s">
        <v>463</v>
      </c>
      <c r="F125" t="s">
        <v>418</v>
      </c>
      <c r="G125" t="s">
        <v>21</v>
      </c>
      <c r="H125" t="s">
        <v>419</v>
      </c>
      <c r="I125" t="s">
        <v>464</v>
      </c>
    </row>
    <row r="126" spans="1:9" x14ac:dyDescent="0.35">
      <c r="A126" t="s">
        <v>461</v>
      </c>
      <c r="B126" t="s">
        <v>462</v>
      </c>
      <c r="C126" t="s">
        <v>12</v>
      </c>
      <c r="D126">
        <v>4</v>
      </c>
      <c r="E126" t="s">
        <v>463</v>
      </c>
      <c r="F126" t="s">
        <v>418</v>
      </c>
      <c r="G126" t="s">
        <v>21</v>
      </c>
      <c r="H126" t="s">
        <v>419</v>
      </c>
      <c r="I126" t="s">
        <v>464</v>
      </c>
    </row>
    <row r="127" spans="1:9" x14ac:dyDescent="0.35">
      <c r="A127" t="s">
        <v>461</v>
      </c>
      <c r="B127" t="s">
        <v>462</v>
      </c>
      <c r="C127" t="s">
        <v>14</v>
      </c>
      <c r="D127" t="s">
        <v>465</v>
      </c>
      <c r="E127" t="s">
        <v>463</v>
      </c>
      <c r="F127" t="s">
        <v>418</v>
      </c>
      <c r="G127" t="s">
        <v>21</v>
      </c>
      <c r="H127" t="s">
        <v>419</v>
      </c>
      <c r="I127" t="s">
        <v>464</v>
      </c>
    </row>
    <row r="128" spans="1:9" x14ac:dyDescent="0.35">
      <c r="A128" t="s">
        <v>461</v>
      </c>
      <c r="B128" t="s">
        <v>462</v>
      </c>
      <c r="C128" t="s">
        <v>17</v>
      </c>
      <c r="D128" t="s">
        <v>18</v>
      </c>
      <c r="E128" t="s">
        <v>463</v>
      </c>
      <c r="F128" t="s">
        <v>418</v>
      </c>
      <c r="G128" t="s">
        <v>21</v>
      </c>
      <c r="H128" t="s">
        <v>419</v>
      </c>
      <c r="I128" t="s">
        <v>464</v>
      </c>
    </row>
    <row r="129" spans="1:9" x14ac:dyDescent="0.35">
      <c r="A129" t="s">
        <v>461</v>
      </c>
      <c r="B129" t="s">
        <v>462</v>
      </c>
      <c r="C129" t="s">
        <v>20</v>
      </c>
      <c r="D129" t="s">
        <v>378</v>
      </c>
      <c r="E129" t="s">
        <v>463</v>
      </c>
      <c r="F129" t="s">
        <v>418</v>
      </c>
      <c r="G129" t="s">
        <v>21</v>
      </c>
      <c r="H129" t="s">
        <v>419</v>
      </c>
      <c r="I129" t="s">
        <v>464</v>
      </c>
    </row>
    <row r="130" spans="1:9" x14ac:dyDescent="0.35">
      <c r="A130" t="s">
        <v>461</v>
      </c>
      <c r="B130" t="s">
        <v>466</v>
      </c>
      <c r="C130" t="s">
        <v>4</v>
      </c>
      <c r="D130" t="s">
        <v>467</v>
      </c>
      <c r="E130" t="s">
        <v>467</v>
      </c>
      <c r="F130" t="s">
        <v>418</v>
      </c>
      <c r="G130" t="s">
        <v>21</v>
      </c>
      <c r="H130" t="s">
        <v>419</v>
      </c>
      <c r="I130" t="s">
        <v>468</v>
      </c>
    </row>
    <row r="131" spans="1:9" x14ac:dyDescent="0.35">
      <c r="A131" t="s">
        <v>461</v>
      </c>
      <c r="B131" t="s">
        <v>466</v>
      </c>
      <c r="C131" t="s">
        <v>7</v>
      </c>
      <c r="D131" t="s">
        <v>468</v>
      </c>
      <c r="E131" t="s">
        <v>467</v>
      </c>
      <c r="F131" t="s">
        <v>418</v>
      </c>
      <c r="G131" t="s">
        <v>21</v>
      </c>
      <c r="H131" t="s">
        <v>419</v>
      </c>
      <c r="I131" t="s">
        <v>468</v>
      </c>
    </row>
    <row r="132" spans="1:9" x14ac:dyDescent="0.35">
      <c r="A132" t="s">
        <v>461</v>
      </c>
      <c r="B132" t="s">
        <v>466</v>
      </c>
      <c r="C132" t="s">
        <v>9</v>
      </c>
      <c r="D132">
        <v>20</v>
      </c>
      <c r="E132" t="s">
        <v>467</v>
      </c>
      <c r="F132" t="s">
        <v>418</v>
      </c>
      <c r="G132" t="s">
        <v>21</v>
      </c>
      <c r="H132" t="s">
        <v>419</v>
      </c>
      <c r="I132" t="s">
        <v>468</v>
      </c>
    </row>
    <row r="133" spans="1:9" x14ac:dyDescent="0.35">
      <c r="A133" t="s">
        <v>461</v>
      </c>
      <c r="B133" t="s">
        <v>466</v>
      </c>
      <c r="C133" t="s">
        <v>10</v>
      </c>
      <c r="D133">
        <v>2</v>
      </c>
      <c r="E133" t="s">
        <v>467</v>
      </c>
      <c r="F133" t="s">
        <v>418</v>
      </c>
      <c r="G133" t="s">
        <v>21</v>
      </c>
      <c r="H133" t="s">
        <v>419</v>
      </c>
      <c r="I133" t="s">
        <v>468</v>
      </c>
    </row>
    <row r="134" spans="1:9" x14ac:dyDescent="0.35">
      <c r="A134" t="s">
        <v>461</v>
      </c>
      <c r="B134" t="s">
        <v>466</v>
      </c>
      <c r="C134" t="s">
        <v>12</v>
      </c>
      <c r="D134">
        <v>5</v>
      </c>
      <c r="E134" t="s">
        <v>467</v>
      </c>
      <c r="F134" t="s">
        <v>418</v>
      </c>
      <c r="G134" t="s">
        <v>21</v>
      </c>
      <c r="H134" t="s">
        <v>419</v>
      </c>
      <c r="I134" t="s">
        <v>468</v>
      </c>
    </row>
    <row r="135" spans="1:9" x14ac:dyDescent="0.35">
      <c r="A135" t="s">
        <v>461</v>
      </c>
      <c r="B135" t="s">
        <v>466</v>
      </c>
      <c r="C135" t="s">
        <v>14</v>
      </c>
      <c r="D135" t="s">
        <v>469</v>
      </c>
      <c r="E135" t="s">
        <v>467</v>
      </c>
      <c r="F135" t="s">
        <v>418</v>
      </c>
      <c r="G135" t="s">
        <v>21</v>
      </c>
      <c r="H135" t="s">
        <v>419</v>
      </c>
      <c r="I135" t="s">
        <v>468</v>
      </c>
    </row>
    <row r="136" spans="1:9" x14ac:dyDescent="0.35">
      <c r="A136" t="s">
        <v>461</v>
      </c>
      <c r="B136" t="s">
        <v>466</v>
      </c>
      <c r="C136" t="s">
        <v>17</v>
      </c>
      <c r="D136" t="s">
        <v>18</v>
      </c>
      <c r="E136" t="s">
        <v>467</v>
      </c>
      <c r="F136" t="s">
        <v>418</v>
      </c>
      <c r="G136" t="s">
        <v>21</v>
      </c>
      <c r="H136" t="s">
        <v>419</v>
      </c>
      <c r="I136" t="s">
        <v>468</v>
      </c>
    </row>
    <row r="137" spans="1:9" x14ac:dyDescent="0.35">
      <c r="A137" t="s">
        <v>461</v>
      </c>
      <c r="B137" t="s">
        <v>466</v>
      </c>
      <c r="C137" t="s">
        <v>20</v>
      </c>
      <c r="D137" t="s">
        <v>370</v>
      </c>
      <c r="E137" t="s">
        <v>467</v>
      </c>
      <c r="F137" t="s">
        <v>418</v>
      </c>
      <c r="G137" t="s">
        <v>21</v>
      </c>
      <c r="H137" t="s">
        <v>419</v>
      </c>
      <c r="I137" t="s">
        <v>468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C48DC-865D-406F-B0B7-C392D9B6738A}">
  <sheetPr codeName="Sheet11"/>
  <dimension ref="A1:I45"/>
  <sheetViews>
    <sheetView workbookViewId="0">
      <selection activeCell="D14" sqref="D14"/>
    </sheetView>
  </sheetViews>
  <sheetFormatPr defaultColWidth="8.81640625" defaultRowHeight="14.5" x14ac:dyDescent="0.35"/>
  <cols>
    <col min="1" max="1" width="49" bestFit="1" customWidth="1"/>
    <col min="2" max="3" width="13.453125" bestFit="1" customWidth="1"/>
    <col min="4" max="4" width="81.1796875" bestFit="1" customWidth="1"/>
    <col min="5" max="5" width="14.81640625" bestFit="1" customWidth="1"/>
    <col min="6" max="6" width="12.54296875" bestFit="1" customWidth="1"/>
    <col min="7" max="7" width="15.453125" bestFit="1" customWidth="1"/>
    <col min="8" max="8" width="12.1796875" bestFit="1" customWidth="1"/>
    <col min="9" max="9" width="44.453125" bestFit="1" customWidth="1"/>
  </cols>
  <sheetData>
    <row r="1" spans="1:9" x14ac:dyDescent="0.35">
      <c r="A1" t="s">
        <v>409</v>
      </c>
      <c r="B1" t="s">
        <v>410</v>
      </c>
      <c r="C1" t="s">
        <v>37</v>
      </c>
      <c r="D1" t="s">
        <v>38</v>
      </c>
      <c r="E1" t="s">
        <v>411</v>
      </c>
      <c r="F1" t="s">
        <v>412</v>
      </c>
      <c r="G1" t="s">
        <v>413</v>
      </c>
      <c r="H1" t="s">
        <v>414</v>
      </c>
      <c r="I1" t="s">
        <v>415</v>
      </c>
    </row>
    <row r="2" spans="1:9" x14ac:dyDescent="0.35">
      <c r="A2" t="s">
        <v>416</v>
      </c>
      <c r="B2" t="s">
        <v>470</v>
      </c>
      <c r="C2" t="s">
        <v>39</v>
      </c>
      <c r="D2" t="s">
        <v>40</v>
      </c>
      <c r="E2" t="s">
        <v>5</v>
      </c>
      <c r="F2" t="s">
        <v>471</v>
      </c>
      <c r="G2" t="s">
        <v>21</v>
      </c>
      <c r="H2" t="s">
        <v>419</v>
      </c>
      <c r="I2" t="s">
        <v>8</v>
      </c>
    </row>
    <row r="3" spans="1:9" x14ac:dyDescent="0.35">
      <c r="A3" t="s">
        <v>416</v>
      </c>
      <c r="B3" t="s">
        <v>470</v>
      </c>
      <c r="C3" t="s">
        <v>41</v>
      </c>
      <c r="D3" t="s">
        <v>42</v>
      </c>
      <c r="E3" t="s">
        <v>5</v>
      </c>
      <c r="F3" t="s">
        <v>471</v>
      </c>
      <c r="G3" t="s">
        <v>21</v>
      </c>
      <c r="H3" t="s">
        <v>419</v>
      </c>
      <c r="I3" t="s">
        <v>8</v>
      </c>
    </row>
    <row r="4" spans="1:9" x14ac:dyDescent="0.35">
      <c r="A4" t="s">
        <v>416</v>
      </c>
      <c r="B4" t="s">
        <v>472</v>
      </c>
      <c r="C4" t="s">
        <v>39</v>
      </c>
      <c r="D4" t="s">
        <v>110</v>
      </c>
      <c r="E4" t="s">
        <v>99</v>
      </c>
      <c r="F4" t="s">
        <v>471</v>
      </c>
      <c r="G4" t="s">
        <v>21</v>
      </c>
      <c r="H4" t="s">
        <v>419</v>
      </c>
      <c r="I4" t="s">
        <v>421</v>
      </c>
    </row>
    <row r="5" spans="1:9" x14ac:dyDescent="0.35">
      <c r="A5" t="s">
        <v>416</v>
      </c>
      <c r="B5" t="s">
        <v>472</v>
      </c>
      <c r="C5" t="s">
        <v>41</v>
      </c>
      <c r="D5" t="s">
        <v>111</v>
      </c>
      <c r="E5" t="s">
        <v>99</v>
      </c>
      <c r="F5" t="s">
        <v>471</v>
      </c>
      <c r="G5" t="s">
        <v>21</v>
      </c>
      <c r="H5" t="s">
        <v>419</v>
      </c>
      <c r="I5" t="s">
        <v>421</v>
      </c>
    </row>
    <row r="6" spans="1:9" x14ac:dyDescent="0.35">
      <c r="A6" t="s">
        <v>416</v>
      </c>
      <c r="B6" t="s">
        <v>472</v>
      </c>
      <c r="C6" t="s">
        <v>43</v>
      </c>
      <c r="D6" t="s">
        <v>112</v>
      </c>
      <c r="E6" t="s">
        <v>99</v>
      </c>
      <c r="F6" t="s">
        <v>471</v>
      </c>
      <c r="G6" t="s">
        <v>21</v>
      </c>
      <c r="H6" t="s">
        <v>419</v>
      </c>
      <c r="I6" t="s">
        <v>421</v>
      </c>
    </row>
    <row r="7" spans="1:9" x14ac:dyDescent="0.35">
      <c r="A7" t="s">
        <v>416</v>
      </c>
      <c r="B7" t="s">
        <v>472</v>
      </c>
      <c r="C7" t="s">
        <v>44</v>
      </c>
      <c r="D7" t="s">
        <v>113</v>
      </c>
      <c r="E7" t="s">
        <v>99</v>
      </c>
      <c r="F7" t="s">
        <v>471</v>
      </c>
      <c r="G7" t="s">
        <v>21</v>
      </c>
      <c r="H7" t="s">
        <v>419</v>
      </c>
      <c r="I7" t="s">
        <v>421</v>
      </c>
    </row>
    <row r="8" spans="1:9" x14ac:dyDescent="0.35">
      <c r="A8" t="s">
        <v>416</v>
      </c>
      <c r="B8" t="s">
        <v>473</v>
      </c>
      <c r="C8" t="s">
        <v>39</v>
      </c>
      <c r="D8" t="s">
        <v>170</v>
      </c>
      <c r="E8" t="s">
        <v>160</v>
      </c>
      <c r="F8" t="s">
        <v>471</v>
      </c>
      <c r="G8" t="s">
        <v>21</v>
      </c>
      <c r="H8" t="s">
        <v>419</v>
      </c>
      <c r="I8" t="s">
        <v>162</v>
      </c>
    </row>
    <row r="9" spans="1:9" x14ac:dyDescent="0.35">
      <c r="A9" t="s">
        <v>416</v>
      </c>
      <c r="B9" t="s">
        <v>473</v>
      </c>
      <c r="C9" t="s">
        <v>41</v>
      </c>
      <c r="D9" t="s">
        <v>474</v>
      </c>
      <c r="E9" t="s">
        <v>160</v>
      </c>
      <c r="F9" t="s">
        <v>471</v>
      </c>
      <c r="G9" t="s">
        <v>21</v>
      </c>
      <c r="H9" t="s">
        <v>419</v>
      </c>
      <c r="I9" t="s">
        <v>162</v>
      </c>
    </row>
    <row r="10" spans="1:9" x14ac:dyDescent="0.35">
      <c r="A10" t="s">
        <v>416</v>
      </c>
      <c r="B10" t="s">
        <v>473</v>
      </c>
      <c r="C10" t="s">
        <v>43</v>
      </c>
      <c r="D10" t="s">
        <v>172</v>
      </c>
      <c r="E10" t="s">
        <v>160</v>
      </c>
      <c r="F10" t="s">
        <v>471</v>
      </c>
      <c r="G10" t="s">
        <v>21</v>
      </c>
      <c r="H10" t="s">
        <v>419</v>
      </c>
      <c r="I10" t="s">
        <v>162</v>
      </c>
    </row>
    <row r="11" spans="1:9" x14ac:dyDescent="0.35">
      <c r="A11" t="s">
        <v>416</v>
      </c>
      <c r="B11" t="s">
        <v>475</v>
      </c>
      <c r="C11" t="s">
        <v>39</v>
      </c>
      <c r="D11" t="s">
        <v>204</v>
      </c>
      <c r="E11" t="s">
        <v>195</v>
      </c>
      <c r="F11" t="s">
        <v>471</v>
      </c>
      <c r="G11" t="s">
        <v>21</v>
      </c>
      <c r="H11" t="s">
        <v>419</v>
      </c>
      <c r="I11" t="s">
        <v>197</v>
      </c>
    </row>
    <row r="12" spans="1:9" x14ac:dyDescent="0.35">
      <c r="A12" t="s">
        <v>416</v>
      </c>
      <c r="B12" t="s">
        <v>475</v>
      </c>
      <c r="C12" t="s">
        <v>41</v>
      </c>
      <c r="D12" t="s">
        <v>205</v>
      </c>
      <c r="E12" t="s">
        <v>195</v>
      </c>
      <c r="F12" t="s">
        <v>471</v>
      </c>
      <c r="G12" t="s">
        <v>21</v>
      </c>
      <c r="H12" t="s">
        <v>419</v>
      </c>
      <c r="I12" t="s">
        <v>197</v>
      </c>
    </row>
    <row r="13" spans="1:9" x14ac:dyDescent="0.35">
      <c r="A13" t="s">
        <v>416</v>
      </c>
      <c r="B13" t="s">
        <v>475</v>
      </c>
      <c r="C13" t="s">
        <v>43</v>
      </c>
      <c r="D13" t="s">
        <v>206</v>
      </c>
      <c r="E13" t="s">
        <v>195</v>
      </c>
      <c r="F13" t="s">
        <v>471</v>
      </c>
      <c r="G13" t="s">
        <v>21</v>
      </c>
      <c r="H13" t="s">
        <v>419</v>
      </c>
      <c r="I13" t="s">
        <v>197</v>
      </c>
    </row>
    <row r="14" spans="1:9" x14ac:dyDescent="0.35">
      <c r="A14" t="s">
        <v>416</v>
      </c>
      <c r="B14" t="s">
        <v>476</v>
      </c>
      <c r="C14" t="s">
        <v>39</v>
      </c>
      <c r="D14" t="s">
        <v>477</v>
      </c>
      <c r="E14" t="s">
        <v>240</v>
      </c>
      <c r="F14" t="s">
        <v>471</v>
      </c>
      <c r="G14" t="s">
        <v>21</v>
      </c>
      <c r="H14" t="s">
        <v>419</v>
      </c>
      <c r="I14" t="s">
        <v>241</v>
      </c>
    </row>
    <row r="15" spans="1:9" x14ac:dyDescent="0.35">
      <c r="A15" t="s">
        <v>416</v>
      </c>
      <c r="B15" t="s">
        <v>476</v>
      </c>
      <c r="C15" t="s">
        <v>41</v>
      </c>
      <c r="D15" t="s">
        <v>478</v>
      </c>
      <c r="E15" t="s">
        <v>240</v>
      </c>
      <c r="F15" t="s">
        <v>471</v>
      </c>
      <c r="G15" t="s">
        <v>21</v>
      </c>
      <c r="H15" t="s">
        <v>419</v>
      </c>
      <c r="I15" t="s">
        <v>241</v>
      </c>
    </row>
    <row r="16" spans="1:9" x14ac:dyDescent="0.35">
      <c r="A16" t="s">
        <v>416</v>
      </c>
      <c r="B16" t="s">
        <v>479</v>
      </c>
      <c r="C16" t="s">
        <v>39</v>
      </c>
      <c r="D16" t="s">
        <v>480</v>
      </c>
      <c r="E16" t="s">
        <v>264</v>
      </c>
      <c r="F16" t="s">
        <v>471</v>
      </c>
      <c r="G16" t="s">
        <v>21</v>
      </c>
      <c r="H16" t="s">
        <v>419</v>
      </c>
      <c r="I16" t="s">
        <v>266</v>
      </c>
    </row>
    <row r="17" spans="1:9" x14ac:dyDescent="0.35">
      <c r="A17" t="s">
        <v>416</v>
      </c>
      <c r="B17" t="s">
        <v>479</v>
      </c>
      <c r="C17" t="s">
        <v>41</v>
      </c>
      <c r="D17" t="s">
        <v>274</v>
      </c>
      <c r="E17" t="s">
        <v>264</v>
      </c>
      <c r="F17" t="s">
        <v>471</v>
      </c>
      <c r="G17" t="s">
        <v>21</v>
      </c>
      <c r="H17" t="s">
        <v>419</v>
      </c>
      <c r="I17" t="s">
        <v>266</v>
      </c>
    </row>
    <row r="18" spans="1:9" x14ac:dyDescent="0.35">
      <c r="A18" t="s">
        <v>416</v>
      </c>
      <c r="B18" t="s">
        <v>479</v>
      </c>
      <c r="C18" t="s">
        <v>43</v>
      </c>
      <c r="D18" t="s">
        <v>275</v>
      </c>
      <c r="E18" t="s">
        <v>264</v>
      </c>
      <c r="F18" t="s">
        <v>471</v>
      </c>
      <c r="G18" t="s">
        <v>21</v>
      </c>
      <c r="H18" t="s">
        <v>419</v>
      </c>
      <c r="I18" t="s">
        <v>266</v>
      </c>
    </row>
    <row r="19" spans="1:9" x14ac:dyDescent="0.35">
      <c r="A19" t="s">
        <v>416</v>
      </c>
      <c r="B19" t="s">
        <v>481</v>
      </c>
      <c r="C19" t="s">
        <v>39</v>
      </c>
      <c r="D19" t="s">
        <v>306</v>
      </c>
      <c r="E19" t="s">
        <v>292</v>
      </c>
      <c r="F19" t="s">
        <v>471</v>
      </c>
      <c r="G19" t="s">
        <v>21</v>
      </c>
      <c r="H19" t="s">
        <v>419</v>
      </c>
      <c r="I19" t="s">
        <v>429</v>
      </c>
    </row>
    <row r="20" spans="1:9" x14ac:dyDescent="0.35">
      <c r="A20" t="s">
        <v>416</v>
      </c>
      <c r="B20" t="s">
        <v>481</v>
      </c>
      <c r="C20" t="s">
        <v>41</v>
      </c>
      <c r="D20" t="s">
        <v>307</v>
      </c>
      <c r="E20" t="s">
        <v>292</v>
      </c>
      <c r="F20" t="s">
        <v>471</v>
      </c>
      <c r="G20" t="s">
        <v>21</v>
      </c>
      <c r="H20" t="s">
        <v>419</v>
      </c>
      <c r="I20" t="s">
        <v>429</v>
      </c>
    </row>
    <row r="21" spans="1:9" x14ac:dyDescent="0.35">
      <c r="A21" t="s">
        <v>416</v>
      </c>
      <c r="B21" t="s">
        <v>481</v>
      </c>
      <c r="C21" t="s">
        <v>43</v>
      </c>
      <c r="D21" t="s">
        <v>308</v>
      </c>
      <c r="E21" t="s">
        <v>292</v>
      </c>
      <c r="F21" t="s">
        <v>471</v>
      </c>
      <c r="G21" t="s">
        <v>21</v>
      </c>
      <c r="H21" t="s">
        <v>419</v>
      </c>
      <c r="I21" t="s">
        <v>429</v>
      </c>
    </row>
    <row r="22" spans="1:9" x14ac:dyDescent="0.35">
      <c r="A22" t="s">
        <v>416</v>
      </c>
      <c r="B22" t="s">
        <v>481</v>
      </c>
      <c r="C22" t="s">
        <v>44</v>
      </c>
      <c r="D22" t="s">
        <v>309</v>
      </c>
      <c r="E22" t="s">
        <v>292</v>
      </c>
      <c r="F22" t="s">
        <v>471</v>
      </c>
      <c r="G22" t="s">
        <v>21</v>
      </c>
      <c r="H22" t="s">
        <v>419</v>
      </c>
      <c r="I22" t="s">
        <v>429</v>
      </c>
    </row>
    <row r="23" spans="1:9" x14ac:dyDescent="0.35">
      <c r="A23" t="s">
        <v>430</v>
      </c>
      <c r="B23" t="s">
        <v>482</v>
      </c>
      <c r="C23" t="s">
        <v>39</v>
      </c>
      <c r="D23" t="s">
        <v>483</v>
      </c>
      <c r="E23" t="s">
        <v>432</v>
      </c>
      <c r="F23" t="s">
        <v>471</v>
      </c>
      <c r="G23" t="s">
        <v>21</v>
      </c>
      <c r="H23" t="s">
        <v>419</v>
      </c>
      <c r="I23" t="s">
        <v>433</v>
      </c>
    </row>
    <row r="24" spans="1:9" x14ac:dyDescent="0.35">
      <c r="A24" t="s">
        <v>430</v>
      </c>
      <c r="B24" t="s">
        <v>482</v>
      </c>
      <c r="C24" t="s">
        <v>41</v>
      </c>
      <c r="D24" t="s">
        <v>484</v>
      </c>
      <c r="E24" t="s">
        <v>432</v>
      </c>
      <c r="F24" t="s">
        <v>471</v>
      </c>
      <c r="G24" t="s">
        <v>21</v>
      </c>
      <c r="H24" t="s">
        <v>419</v>
      </c>
      <c r="I24" t="s">
        <v>433</v>
      </c>
    </row>
    <row r="25" spans="1:9" x14ac:dyDescent="0.35">
      <c r="A25" t="s">
        <v>430</v>
      </c>
      <c r="B25" t="s">
        <v>485</v>
      </c>
      <c r="C25" t="s">
        <v>39</v>
      </c>
      <c r="D25" t="s">
        <v>486</v>
      </c>
      <c r="E25" t="s">
        <v>436</v>
      </c>
      <c r="F25" t="s">
        <v>471</v>
      </c>
      <c r="G25" t="s">
        <v>21</v>
      </c>
      <c r="H25" t="s">
        <v>419</v>
      </c>
      <c r="I25" t="s">
        <v>437</v>
      </c>
    </row>
    <row r="26" spans="1:9" x14ac:dyDescent="0.35">
      <c r="A26" t="s">
        <v>430</v>
      </c>
      <c r="B26" t="s">
        <v>485</v>
      </c>
      <c r="C26" t="s">
        <v>41</v>
      </c>
      <c r="D26" t="s">
        <v>487</v>
      </c>
      <c r="E26" t="s">
        <v>436</v>
      </c>
      <c r="F26" t="s">
        <v>471</v>
      </c>
      <c r="G26" t="s">
        <v>21</v>
      </c>
      <c r="H26" t="s">
        <v>419</v>
      </c>
      <c r="I26" t="s">
        <v>437</v>
      </c>
    </row>
    <row r="27" spans="1:9" x14ac:dyDescent="0.35">
      <c r="A27" t="s">
        <v>430</v>
      </c>
      <c r="B27" t="s">
        <v>485</v>
      </c>
      <c r="C27" t="s">
        <v>43</v>
      </c>
      <c r="D27" t="s">
        <v>488</v>
      </c>
      <c r="E27" t="s">
        <v>436</v>
      </c>
      <c r="F27" t="s">
        <v>471</v>
      </c>
      <c r="G27" t="s">
        <v>21</v>
      </c>
      <c r="H27" t="s">
        <v>419</v>
      </c>
      <c r="I27" t="s">
        <v>437</v>
      </c>
    </row>
    <row r="28" spans="1:9" x14ac:dyDescent="0.35">
      <c r="A28" t="s">
        <v>430</v>
      </c>
      <c r="B28" t="s">
        <v>489</v>
      </c>
      <c r="C28" t="s">
        <v>39</v>
      </c>
      <c r="D28" t="s">
        <v>490</v>
      </c>
      <c r="E28" t="s">
        <v>441</v>
      </c>
      <c r="F28" t="s">
        <v>471</v>
      </c>
      <c r="G28" t="s">
        <v>21</v>
      </c>
      <c r="H28" t="s">
        <v>419</v>
      </c>
      <c r="I28" t="s">
        <v>442</v>
      </c>
    </row>
    <row r="29" spans="1:9" x14ac:dyDescent="0.35">
      <c r="A29" t="s">
        <v>430</v>
      </c>
      <c r="B29" t="s">
        <v>489</v>
      </c>
      <c r="C29" t="s">
        <v>41</v>
      </c>
      <c r="D29" t="s">
        <v>491</v>
      </c>
      <c r="E29" t="s">
        <v>441</v>
      </c>
      <c r="F29" t="s">
        <v>471</v>
      </c>
      <c r="G29" t="s">
        <v>21</v>
      </c>
      <c r="H29" t="s">
        <v>419</v>
      </c>
      <c r="I29" t="s">
        <v>442</v>
      </c>
    </row>
    <row r="30" spans="1:9" x14ac:dyDescent="0.35">
      <c r="A30" t="s">
        <v>430</v>
      </c>
      <c r="B30" t="s">
        <v>489</v>
      </c>
      <c r="C30" t="s">
        <v>43</v>
      </c>
      <c r="D30" t="s">
        <v>492</v>
      </c>
      <c r="E30" t="s">
        <v>441</v>
      </c>
      <c r="F30" t="s">
        <v>471</v>
      </c>
      <c r="G30" t="s">
        <v>21</v>
      </c>
      <c r="H30" t="s">
        <v>419</v>
      </c>
      <c r="I30" t="s">
        <v>442</v>
      </c>
    </row>
    <row r="31" spans="1:9" x14ac:dyDescent="0.35">
      <c r="A31" t="s">
        <v>430</v>
      </c>
      <c r="B31" t="s">
        <v>493</v>
      </c>
      <c r="C31" t="s">
        <v>39</v>
      </c>
      <c r="D31" t="s">
        <v>494</v>
      </c>
      <c r="E31" t="s">
        <v>445</v>
      </c>
      <c r="F31" t="s">
        <v>471</v>
      </c>
      <c r="G31" t="s">
        <v>21</v>
      </c>
      <c r="H31" t="s">
        <v>419</v>
      </c>
      <c r="I31" t="s">
        <v>446</v>
      </c>
    </row>
    <row r="32" spans="1:9" x14ac:dyDescent="0.35">
      <c r="A32" t="s">
        <v>430</v>
      </c>
      <c r="B32" t="s">
        <v>493</v>
      </c>
      <c r="C32" t="s">
        <v>41</v>
      </c>
      <c r="D32" t="s">
        <v>495</v>
      </c>
      <c r="E32" t="s">
        <v>445</v>
      </c>
      <c r="F32" t="s">
        <v>471</v>
      </c>
      <c r="G32" t="s">
        <v>21</v>
      </c>
      <c r="H32" t="s">
        <v>419</v>
      </c>
      <c r="I32" t="s">
        <v>446</v>
      </c>
    </row>
    <row r="33" spans="1:9" x14ac:dyDescent="0.35">
      <c r="A33" t="s">
        <v>430</v>
      </c>
      <c r="B33" t="s">
        <v>493</v>
      </c>
      <c r="C33" t="s">
        <v>43</v>
      </c>
      <c r="D33" t="s">
        <v>496</v>
      </c>
      <c r="E33" t="s">
        <v>445</v>
      </c>
      <c r="F33" t="s">
        <v>471</v>
      </c>
      <c r="G33" t="s">
        <v>21</v>
      </c>
      <c r="H33" t="s">
        <v>419</v>
      </c>
      <c r="I33" t="s">
        <v>446</v>
      </c>
    </row>
    <row r="34" spans="1:9" x14ac:dyDescent="0.35">
      <c r="A34" t="s">
        <v>430</v>
      </c>
      <c r="B34" t="s">
        <v>497</v>
      </c>
      <c r="C34" t="s">
        <v>39</v>
      </c>
      <c r="D34" t="s">
        <v>498</v>
      </c>
      <c r="E34" t="s">
        <v>449</v>
      </c>
      <c r="F34" t="s">
        <v>471</v>
      </c>
      <c r="G34" t="s">
        <v>21</v>
      </c>
      <c r="H34" t="s">
        <v>419</v>
      </c>
      <c r="I34" t="s">
        <v>450</v>
      </c>
    </row>
    <row r="35" spans="1:9" x14ac:dyDescent="0.35">
      <c r="A35" t="s">
        <v>430</v>
      </c>
      <c r="B35" t="s">
        <v>497</v>
      </c>
      <c r="C35" t="s">
        <v>41</v>
      </c>
      <c r="D35" t="s">
        <v>499</v>
      </c>
      <c r="E35" t="s">
        <v>449</v>
      </c>
      <c r="F35" t="s">
        <v>471</v>
      </c>
      <c r="G35" t="s">
        <v>21</v>
      </c>
      <c r="H35" t="s">
        <v>419</v>
      </c>
      <c r="I35" t="s">
        <v>450</v>
      </c>
    </row>
    <row r="36" spans="1:9" x14ac:dyDescent="0.35">
      <c r="A36" t="s">
        <v>430</v>
      </c>
      <c r="B36" t="s">
        <v>500</v>
      </c>
      <c r="C36" t="s">
        <v>39</v>
      </c>
      <c r="D36" t="s">
        <v>501</v>
      </c>
      <c r="E36" t="s">
        <v>454</v>
      </c>
      <c r="F36" t="s">
        <v>471</v>
      </c>
      <c r="G36" t="s">
        <v>21</v>
      </c>
      <c r="H36" t="s">
        <v>419</v>
      </c>
      <c r="I36" t="s">
        <v>455</v>
      </c>
    </row>
    <row r="37" spans="1:9" x14ac:dyDescent="0.35">
      <c r="A37" t="s">
        <v>430</v>
      </c>
      <c r="B37" t="s">
        <v>500</v>
      </c>
      <c r="C37" t="s">
        <v>41</v>
      </c>
      <c r="D37" t="s">
        <v>502</v>
      </c>
      <c r="E37" t="s">
        <v>454</v>
      </c>
      <c r="F37" t="s">
        <v>471</v>
      </c>
      <c r="G37" t="s">
        <v>21</v>
      </c>
      <c r="H37" t="s">
        <v>419</v>
      </c>
      <c r="I37" t="s">
        <v>455</v>
      </c>
    </row>
    <row r="38" spans="1:9" x14ac:dyDescent="0.35">
      <c r="A38" t="s">
        <v>430</v>
      </c>
      <c r="B38" t="s">
        <v>503</v>
      </c>
      <c r="C38" t="s">
        <v>39</v>
      </c>
      <c r="D38" t="s">
        <v>504</v>
      </c>
      <c r="E38" t="s">
        <v>458</v>
      </c>
      <c r="F38" t="s">
        <v>471</v>
      </c>
      <c r="G38" t="s">
        <v>21</v>
      </c>
      <c r="H38" t="s">
        <v>419</v>
      </c>
      <c r="I38" t="s">
        <v>459</v>
      </c>
    </row>
    <row r="39" spans="1:9" x14ac:dyDescent="0.35">
      <c r="A39" t="s">
        <v>430</v>
      </c>
      <c r="B39" t="s">
        <v>503</v>
      </c>
      <c r="C39" t="s">
        <v>41</v>
      </c>
      <c r="D39" t="s">
        <v>505</v>
      </c>
      <c r="E39" t="s">
        <v>458</v>
      </c>
      <c r="F39" t="s">
        <v>471</v>
      </c>
      <c r="G39" t="s">
        <v>21</v>
      </c>
      <c r="H39" t="s">
        <v>419</v>
      </c>
      <c r="I39" t="s">
        <v>459</v>
      </c>
    </row>
    <row r="40" spans="1:9" x14ac:dyDescent="0.35">
      <c r="A40" t="s">
        <v>430</v>
      </c>
      <c r="B40" t="s">
        <v>503</v>
      </c>
      <c r="C40" t="s">
        <v>43</v>
      </c>
      <c r="D40" t="s">
        <v>506</v>
      </c>
      <c r="E40" t="s">
        <v>458</v>
      </c>
      <c r="F40" t="s">
        <v>471</v>
      </c>
      <c r="G40" t="s">
        <v>21</v>
      </c>
      <c r="H40" t="s">
        <v>419</v>
      </c>
      <c r="I40" t="s">
        <v>459</v>
      </c>
    </row>
    <row r="41" spans="1:9" x14ac:dyDescent="0.35">
      <c r="A41" t="s">
        <v>461</v>
      </c>
      <c r="B41" t="s">
        <v>507</v>
      </c>
      <c r="C41" t="s">
        <v>39</v>
      </c>
      <c r="D41" t="s">
        <v>508</v>
      </c>
      <c r="E41" t="s">
        <v>463</v>
      </c>
      <c r="F41" t="s">
        <v>471</v>
      </c>
      <c r="G41" t="s">
        <v>21</v>
      </c>
      <c r="H41" t="s">
        <v>419</v>
      </c>
      <c r="I41" t="s">
        <v>464</v>
      </c>
    </row>
    <row r="42" spans="1:9" x14ac:dyDescent="0.35">
      <c r="A42" t="s">
        <v>461</v>
      </c>
      <c r="B42" t="s">
        <v>507</v>
      </c>
      <c r="C42" t="s">
        <v>41</v>
      </c>
      <c r="D42" t="s">
        <v>509</v>
      </c>
      <c r="E42" t="s">
        <v>463</v>
      </c>
      <c r="F42" t="s">
        <v>471</v>
      </c>
      <c r="G42" t="s">
        <v>21</v>
      </c>
      <c r="H42" t="s">
        <v>419</v>
      </c>
      <c r="I42" t="s">
        <v>464</v>
      </c>
    </row>
    <row r="43" spans="1:9" x14ac:dyDescent="0.35">
      <c r="A43" t="s">
        <v>461</v>
      </c>
      <c r="B43" t="s">
        <v>507</v>
      </c>
      <c r="C43" t="s">
        <v>43</v>
      </c>
      <c r="D43" t="s">
        <v>510</v>
      </c>
      <c r="E43" t="s">
        <v>463</v>
      </c>
      <c r="F43" t="s">
        <v>471</v>
      </c>
      <c r="G43" t="s">
        <v>21</v>
      </c>
      <c r="H43" t="s">
        <v>419</v>
      </c>
      <c r="I43" t="s">
        <v>464</v>
      </c>
    </row>
    <row r="44" spans="1:9" x14ac:dyDescent="0.35">
      <c r="A44" t="s">
        <v>461</v>
      </c>
      <c r="B44" t="s">
        <v>511</v>
      </c>
      <c r="C44" t="s">
        <v>39</v>
      </c>
      <c r="D44" t="s">
        <v>512</v>
      </c>
      <c r="E44" t="s">
        <v>467</v>
      </c>
      <c r="F44" t="s">
        <v>471</v>
      </c>
      <c r="G44" t="s">
        <v>21</v>
      </c>
      <c r="H44" t="s">
        <v>419</v>
      </c>
      <c r="I44" t="s">
        <v>468</v>
      </c>
    </row>
    <row r="45" spans="1:9" x14ac:dyDescent="0.35">
      <c r="A45" t="s">
        <v>461</v>
      </c>
      <c r="B45" t="s">
        <v>511</v>
      </c>
      <c r="C45" t="s">
        <v>41</v>
      </c>
      <c r="D45" t="s">
        <v>513</v>
      </c>
      <c r="E45" t="s">
        <v>467</v>
      </c>
      <c r="F45" t="s">
        <v>471</v>
      </c>
      <c r="G45" t="s">
        <v>21</v>
      </c>
      <c r="H45" t="s">
        <v>419</v>
      </c>
      <c r="I45" t="s">
        <v>468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D3D33-9028-4AD3-A2DF-45CA6E65CE9B}">
  <sheetPr codeName="Sheet12"/>
  <dimension ref="A1:M32"/>
  <sheetViews>
    <sheetView workbookViewId="0">
      <selection activeCell="B28" sqref="B28"/>
    </sheetView>
  </sheetViews>
  <sheetFormatPr defaultColWidth="8.81640625" defaultRowHeight="14.5" x14ac:dyDescent="0.35"/>
  <cols>
    <col min="1" max="1" width="49" bestFit="1" customWidth="1"/>
    <col min="2" max="2" width="15.453125" bestFit="1" customWidth="1"/>
    <col min="3" max="3" width="17.453125" bestFit="1" customWidth="1"/>
    <col min="4" max="4" width="19.1796875" bestFit="1" customWidth="1"/>
    <col min="5" max="5" width="22.453125" bestFit="1" customWidth="1"/>
    <col min="6" max="6" width="81.1796875" bestFit="1" customWidth="1"/>
    <col min="7" max="7" width="12.453125" bestFit="1" customWidth="1"/>
    <col min="8" max="8" width="81.1796875" bestFit="1" customWidth="1"/>
    <col min="9" max="9" width="14.81640625" bestFit="1" customWidth="1"/>
    <col min="10" max="10" width="12.54296875" bestFit="1" customWidth="1"/>
    <col min="11" max="11" width="15.453125" bestFit="1" customWidth="1"/>
    <col min="12" max="12" width="12.1796875" bestFit="1" customWidth="1"/>
    <col min="13" max="13" width="44.453125" bestFit="1" customWidth="1"/>
  </cols>
  <sheetData>
    <row r="1" spans="1:13" x14ac:dyDescent="0.35">
      <c r="A1" t="s">
        <v>409</v>
      </c>
      <c r="B1" t="s">
        <v>410</v>
      </c>
      <c r="C1" t="s">
        <v>47</v>
      </c>
      <c r="D1" t="s">
        <v>48</v>
      </c>
      <c r="E1" t="s">
        <v>49</v>
      </c>
      <c r="F1" t="s">
        <v>50</v>
      </c>
      <c r="G1" t="s">
        <v>51</v>
      </c>
      <c r="H1" t="s">
        <v>52</v>
      </c>
      <c r="I1" t="s">
        <v>411</v>
      </c>
      <c r="J1" t="s">
        <v>412</v>
      </c>
      <c r="K1" t="s">
        <v>413</v>
      </c>
      <c r="L1" t="s">
        <v>414</v>
      </c>
      <c r="M1" t="s">
        <v>415</v>
      </c>
    </row>
    <row r="2" spans="1:13" x14ac:dyDescent="0.35">
      <c r="A2" t="s">
        <v>430</v>
      </c>
      <c r="B2" t="s">
        <v>514</v>
      </c>
      <c r="C2" t="s">
        <v>53</v>
      </c>
      <c r="D2" t="s">
        <v>207</v>
      </c>
      <c r="F2" t="s">
        <v>515</v>
      </c>
      <c r="G2">
        <v>0.3</v>
      </c>
      <c r="H2">
        <v>7</v>
      </c>
      <c r="I2" t="s">
        <v>432</v>
      </c>
      <c r="J2" t="s">
        <v>516</v>
      </c>
      <c r="K2" t="s">
        <v>21</v>
      </c>
      <c r="L2" t="s">
        <v>419</v>
      </c>
      <c r="M2" t="s">
        <v>433</v>
      </c>
    </row>
    <row r="3" spans="1:13" x14ac:dyDescent="0.35">
      <c r="A3" t="s">
        <v>430</v>
      </c>
      <c r="B3" t="s">
        <v>514</v>
      </c>
      <c r="C3" t="s">
        <v>57</v>
      </c>
      <c r="D3" t="s">
        <v>207</v>
      </c>
      <c r="F3" t="s">
        <v>517</v>
      </c>
      <c r="H3" t="s">
        <v>518</v>
      </c>
      <c r="I3" t="s">
        <v>432</v>
      </c>
      <c r="J3" t="s">
        <v>516</v>
      </c>
      <c r="K3" t="s">
        <v>21</v>
      </c>
      <c r="L3" t="s">
        <v>419</v>
      </c>
      <c r="M3" t="s">
        <v>433</v>
      </c>
    </row>
    <row r="4" spans="1:13" x14ac:dyDescent="0.35">
      <c r="A4" t="s">
        <v>430</v>
      </c>
      <c r="B4" t="s">
        <v>519</v>
      </c>
      <c r="C4" t="s">
        <v>53</v>
      </c>
      <c r="D4" t="s">
        <v>58</v>
      </c>
      <c r="E4" t="s">
        <v>337</v>
      </c>
      <c r="F4" t="s">
        <v>520</v>
      </c>
      <c r="G4">
        <v>0.5</v>
      </c>
      <c r="H4">
        <v>6</v>
      </c>
      <c r="I4" t="s">
        <v>436</v>
      </c>
      <c r="J4" t="s">
        <v>516</v>
      </c>
      <c r="K4" t="s">
        <v>21</v>
      </c>
      <c r="L4" t="s">
        <v>419</v>
      </c>
      <c r="M4" t="s">
        <v>437</v>
      </c>
    </row>
    <row r="5" spans="1:13" x14ac:dyDescent="0.35">
      <c r="A5" t="s">
        <v>430</v>
      </c>
      <c r="B5" t="s">
        <v>519</v>
      </c>
      <c r="C5" t="s">
        <v>57</v>
      </c>
      <c r="D5" t="s">
        <v>207</v>
      </c>
      <c r="E5" t="s">
        <v>361</v>
      </c>
      <c r="F5" t="s">
        <v>521</v>
      </c>
      <c r="G5">
        <v>0.5</v>
      </c>
      <c r="H5">
        <v>12</v>
      </c>
      <c r="I5" t="s">
        <v>436</v>
      </c>
      <c r="J5" t="s">
        <v>516</v>
      </c>
      <c r="K5" t="s">
        <v>21</v>
      </c>
      <c r="L5" t="s">
        <v>419</v>
      </c>
      <c r="M5" t="s">
        <v>437</v>
      </c>
    </row>
    <row r="6" spans="1:13" x14ac:dyDescent="0.35">
      <c r="A6" t="s">
        <v>461</v>
      </c>
      <c r="B6" t="s">
        <v>522</v>
      </c>
      <c r="C6" t="s">
        <v>53</v>
      </c>
      <c r="D6" t="s">
        <v>207</v>
      </c>
      <c r="E6" t="s">
        <v>361</v>
      </c>
      <c r="F6" t="s">
        <v>523</v>
      </c>
      <c r="G6">
        <v>0.5</v>
      </c>
      <c r="H6" t="s">
        <v>524</v>
      </c>
      <c r="I6" t="s">
        <v>463</v>
      </c>
      <c r="J6" t="s">
        <v>516</v>
      </c>
      <c r="K6" t="s">
        <v>21</v>
      </c>
      <c r="L6" t="s">
        <v>419</v>
      </c>
      <c r="M6" t="s">
        <v>464</v>
      </c>
    </row>
    <row r="7" spans="1:13" x14ac:dyDescent="0.35">
      <c r="A7" t="s">
        <v>461</v>
      </c>
      <c r="B7" t="s">
        <v>522</v>
      </c>
      <c r="C7" t="s">
        <v>57</v>
      </c>
      <c r="D7" t="s">
        <v>207</v>
      </c>
      <c r="E7" t="s">
        <v>361</v>
      </c>
      <c r="F7" t="s">
        <v>525</v>
      </c>
      <c r="G7">
        <v>0.5</v>
      </c>
      <c r="H7" t="s">
        <v>526</v>
      </c>
      <c r="I7" t="s">
        <v>463</v>
      </c>
      <c r="J7" t="s">
        <v>516</v>
      </c>
      <c r="K7" t="s">
        <v>21</v>
      </c>
      <c r="L7" t="s">
        <v>419</v>
      </c>
      <c r="M7" t="s">
        <v>464</v>
      </c>
    </row>
    <row r="8" spans="1:13" x14ac:dyDescent="0.35">
      <c r="A8" t="s">
        <v>430</v>
      </c>
      <c r="B8" t="s">
        <v>527</v>
      </c>
      <c r="C8" t="s">
        <v>53</v>
      </c>
      <c r="D8" t="s">
        <v>207</v>
      </c>
      <c r="E8" t="s">
        <v>358</v>
      </c>
      <c r="F8" t="s">
        <v>528</v>
      </c>
      <c r="G8">
        <v>0.35</v>
      </c>
      <c r="H8">
        <v>6</v>
      </c>
      <c r="I8" t="s">
        <v>441</v>
      </c>
      <c r="J8" t="s">
        <v>516</v>
      </c>
      <c r="K8" t="s">
        <v>21</v>
      </c>
      <c r="L8" t="s">
        <v>419</v>
      </c>
      <c r="M8" t="s">
        <v>442</v>
      </c>
    </row>
    <row r="9" spans="1:13" x14ac:dyDescent="0.35">
      <c r="A9" t="s">
        <v>430</v>
      </c>
      <c r="B9" t="s">
        <v>527</v>
      </c>
      <c r="C9" t="s">
        <v>57</v>
      </c>
      <c r="D9" t="s">
        <v>54</v>
      </c>
      <c r="E9" t="s">
        <v>350</v>
      </c>
      <c r="F9" t="s">
        <v>529</v>
      </c>
      <c r="G9">
        <v>0.65</v>
      </c>
      <c r="H9">
        <v>13</v>
      </c>
      <c r="I9" t="s">
        <v>441</v>
      </c>
      <c r="J9" t="s">
        <v>516</v>
      </c>
      <c r="K9" t="s">
        <v>21</v>
      </c>
      <c r="L9" t="s">
        <v>419</v>
      </c>
      <c r="M9" t="s">
        <v>442</v>
      </c>
    </row>
    <row r="10" spans="1:13" x14ac:dyDescent="0.35">
      <c r="A10" t="s">
        <v>416</v>
      </c>
      <c r="B10" t="s">
        <v>530</v>
      </c>
      <c r="C10" t="s">
        <v>53</v>
      </c>
      <c r="D10" t="s">
        <v>54</v>
      </c>
      <c r="E10" t="s">
        <v>55</v>
      </c>
      <c r="F10" t="s">
        <v>56</v>
      </c>
      <c r="G10">
        <v>0.5</v>
      </c>
      <c r="H10">
        <v>12</v>
      </c>
      <c r="I10" t="s">
        <v>5</v>
      </c>
      <c r="J10" t="s">
        <v>516</v>
      </c>
      <c r="K10" t="s">
        <v>21</v>
      </c>
      <c r="L10" t="s">
        <v>419</v>
      </c>
      <c r="M10" t="s">
        <v>8</v>
      </c>
    </row>
    <row r="11" spans="1:13" x14ac:dyDescent="0.35">
      <c r="A11" t="s">
        <v>416</v>
      </c>
      <c r="B11" t="s">
        <v>530</v>
      </c>
      <c r="C11" t="s">
        <v>57</v>
      </c>
      <c r="D11" t="s">
        <v>58</v>
      </c>
      <c r="E11" t="s">
        <v>59</v>
      </c>
      <c r="F11" t="s">
        <v>60</v>
      </c>
      <c r="G11">
        <v>0.5</v>
      </c>
      <c r="H11" t="s">
        <v>61</v>
      </c>
      <c r="I11" t="s">
        <v>5</v>
      </c>
      <c r="J11" t="s">
        <v>516</v>
      </c>
      <c r="K11" t="s">
        <v>21</v>
      </c>
      <c r="L11" t="s">
        <v>419</v>
      </c>
      <c r="M11" t="s">
        <v>8</v>
      </c>
    </row>
    <row r="12" spans="1:13" x14ac:dyDescent="0.35">
      <c r="A12" t="s">
        <v>416</v>
      </c>
      <c r="B12" t="s">
        <v>531</v>
      </c>
      <c r="C12" t="s">
        <v>53</v>
      </c>
      <c r="D12" t="s">
        <v>54</v>
      </c>
      <c r="E12" t="s">
        <v>114</v>
      </c>
      <c r="F12" t="s">
        <v>532</v>
      </c>
      <c r="G12">
        <v>0.4</v>
      </c>
      <c r="H12">
        <v>7</v>
      </c>
      <c r="I12" t="s">
        <v>99</v>
      </c>
      <c r="J12" t="s">
        <v>516</v>
      </c>
      <c r="K12" t="s">
        <v>21</v>
      </c>
      <c r="L12" t="s">
        <v>419</v>
      </c>
      <c r="M12" t="s">
        <v>421</v>
      </c>
    </row>
    <row r="13" spans="1:13" x14ac:dyDescent="0.35">
      <c r="A13" t="s">
        <v>416</v>
      </c>
      <c r="B13" t="s">
        <v>531</v>
      </c>
      <c r="C13" t="s">
        <v>57</v>
      </c>
      <c r="D13" t="s">
        <v>116</v>
      </c>
      <c r="E13" t="s">
        <v>117</v>
      </c>
      <c r="F13" t="s">
        <v>533</v>
      </c>
      <c r="G13">
        <v>0.6</v>
      </c>
      <c r="H13">
        <v>12</v>
      </c>
      <c r="I13" t="s">
        <v>99</v>
      </c>
      <c r="J13" t="s">
        <v>516</v>
      </c>
      <c r="K13" t="s">
        <v>21</v>
      </c>
      <c r="L13" t="s">
        <v>419</v>
      </c>
      <c r="M13" t="s">
        <v>421</v>
      </c>
    </row>
    <row r="14" spans="1:13" x14ac:dyDescent="0.35">
      <c r="A14" t="s">
        <v>430</v>
      </c>
      <c r="B14" t="s">
        <v>534</v>
      </c>
      <c r="C14" t="s">
        <v>53</v>
      </c>
      <c r="D14" t="s">
        <v>54</v>
      </c>
      <c r="E14" t="s">
        <v>114</v>
      </c>
      <c r="F14" t="s">
        <v>535</v>
      </c>
      <c r="G14">
        <v>0.5</v>
      </c>
      <c r="H14">
        <v>6</v>
      </c>
      <c r="I14" t="s">
        <v>445</v>
      </c>
      <c r="J14" t="s">
        <v>516</v>
      </c>
      <c r="K14" t="s">
        <v>21</v>
      </c>
      <c r="L14" t="s">
        <v>419</v>
      </c>
      <c r="M14" t="s">
        <v>446</v>
      </c>
    </row>
    <row r="15" spans="1:13" x14ac:dyDescent="0.35">
      <c r="A15" t="s">
        <v>430</v>
      </c>
      <c r="B15" t="s">
        <v>534</v>
      </c>
      <c r="C15" t="s">
        <v>57</v>
      </c>
      <c r="D15" t="s">
        <v>116</v>
      </c>
      <c r="E15" t="s">
        <v>117</v>
      </c>
      <c r="F15" t="s">
        <v>536</v>
      </c>
      <c r="G15">
        <v>0.5</v>
      </c>
      <c r="H15">
        <v>12</v>
      </c>
      <c r="I15" t="s">
        <v>445</v>
      </c>
      <c r="J15" t="s">
        <v>516</v>
      </c>
      <c r="K15" t="s">
        <v>21</v>
      </c>
      <c r="L15" t="s">
        <v>419</v>
      </c>
      <c r="M15" t="s">
        <v>446</v>
      </c>
    </row>
    <row r="16" spans="1:13" x14ac:dyDescent="0.35">
      <c r="A16" t="s">
        <v>430</v>
      </c>
      <c r="B16" t="s">
        <v>537</v>
      </c>
      <c r="C16" t="s">
        <v>53</v>
      </c>
      <c r="D16" t="s">
        <v>116</v>
      </c>
      <c r="E16" t="s">
        <v>337</v>
      </c>
      <c r="F16" t="s">
        <v>538</v>
      </c>
      <c r="G16">
        <v>0.5</v>
      </c>
      <c r="H16">
        <v>8</v>
      </c>
      <c r="I16" t="s">
        <v>454</v>
      </c>
      <c r="J16" t="s">
        <v>516</v>
      </c>
      <c r="K16" t="s">
        <v>21</v>
      </c>
      <c r="L16" t="s">
        <v>419</v>
      </c>
      <c r="M16" t="s">
        <v>455</v>
      </c>
    </row>
    <row r="17" spans="1:13" x14ac:dyDescent="0.35">
      <c r="A17" t="s">
        <v>430</v>
      </c>
      <c r="B17" t="s">
        <v>537</v>
      </c>
      <c r="C17" t="s">
        <v>57</v>
      </c>
      <c r="D17" t="s">
        <v>54</v>
      </c>
      <c r="E17" t="s">
        <v>114</v>
      </c>
      <c r="F17" t="s">
        <v>539</v>
      </c>
      <c r="G17">
        <v>0.5</v>
      </c>
      <c r="H17" t="s">
        <v>540</v>
      </c>
      <c r="I17" t="s">
        <v>454</v>
      </c>
      <c r="J17" t="s">
        <v>516</v>
      </c>
      <c r="K17" t="s">
        <v>21</v>
      </c>
      <c r="L17" t="s">
        <v>419</v>
      </c>
      <c r="M17" t="s">
        <v>455</v>
      </c>
    </row>
    <row r="18" spans="1:13" x14ac:dyDescent="0.35">
      <c r="A18" t="s">
        <v>461</v>
      </c>
      <c r="B18" t="s">
        <v>541</v>
      </c>
      <c r="C18" t="s">
        <v>53</v>
      </c>
      <c r="D18" t="s">
        <v>54</v>
      </c>
      <c r="F18" t="s">
        <v>542</v>
      </c>
      <c r="G18">
        <v>0.5</v>
      </c>
      <c r="H18">
        <v>8</v>
      </c>
      <c r="I18" t="s">
        <v>467</v>
      </c>
      <c r="J18" t="s">
        <v>516</v>
      </c>
      <c r="K18" t="s">
        <v>21</v>
      </c>
      <c r="L18" t="s">
        <v>419</v>
      </c>
      <c r="M18" t="s">
        <v>468</v>
      </c>
    </row>
    <row r="19" spans="1:13" x14ac:dyDescent="0.35">
      <c r="A19" t="s">
        <v>461</v>
      </c>
      <c r="B19" t="s">
        <v>541</v>
      </c>
      <c r="C19" t="s">
        <v>57</v>
      </c>
      <c r="D19" t="s">
        <v>207</v>
      </c>
      <c r="E19" t="s">
        <v>361</v>
      </c>
      <c r="F19" t="s">
        <v>543</v>
      </c>
      <c r="G19">
        <v>0.5</v>
      </c>
      <c r="H19" t="s">
        <v>544</v>
      </c>
      <c r="I19" t="s">
        <v>467</v>
      </c>
      <c r="J19" t="s">
        <v>516</v>
      </c>
      <c r="K19" t="s">
        <v>21</v>
      </c>
      <c r="L19" t="s">
        <v>419</v>
      </c>
      <c r="M19" t="s">
        <v>468</v>
      </c>
    </row>
    <row r="20" spans="1:13" x14ac:dyDescent="0.35">
      <c r="A20" t="s">
        <v>430</v>
      </c>
      <c r="B20" t="s">
        <v>545</v>
      </c>
      <c r="C20" t="s">
        <v>53</v>
      </c>
      <c r="D20" t="s">
        <v>58</v>
      </c>
      <c r="E20" t="s">
        <v>337</v>
      </c>
      <c r="F20" t="s">
        <v>546</v>
      </c>
      <c r="G20">
        <v>0.5</v>
      </c>
      <c r="H20">
        <v>9</v>
      </c>
      <c r="I20" t="s">
        <v>449</v>
      </c>
      <c r="J20" t="s">
        <v>516</v>
      </c>
      <c r="K20" t="s">
        <v>21</v>
      </c>
      <c r="L20" t="s">
        <v>419</v>
      </c>
      <c r="M20" t="s">
        <v>450</v>
      </c>
    </row>
    <row r="21" spans="1:13" x14ac:dyDescent="0.35">
      <c r="A21" t="s">
        <v>430</v>
      </c>
      <c r="B21" t="s">
        <v>545</v>
      </c>
      <c r="C21" t="s">
        <v>57</v>
      </c>
      <c r="D21" t="s">
        <v>207</v>
      </c>
      <c r="E21" t="s">
        <v>361</v>
      </c>
      <c r="F21" t="s">
        <v>547</v>
      </c>
      <c r="G21">
        <v>0.5</v>
      </c>
      <c r="H21">
        <v>12</v>
      </c>
      <c r="I21" t="s">
        <v>449</v>
      </c>
      <c r="J21" t="s">
        <v>516</v>
      </c>
      <c r="K21" t="s">
        <v>21</v>
      </c>
      <c r="L21" t="s">
        <v>419</v>
      </c>
      <c r="M21" t="s">
        <v>450</v>
      </c>
    </row>
    <row r="22" spans="1:13" x14ac:dyDescent="0.35">
      <c r="A22" t="s">
        <v>416</v>
      </c>
      <c r="B22" t="s">
        <v>548</v>
      </c>
      <c r="C22" t="s">
        <v>53</v>
      </c>
      <c r="D22" t="s">
        <v>116</v>
      </c>
      <c r="E22" t="s">
        <v>173</v>
      </c>
      <c r="F22" t="s">
        <v>174</v>
      </c>
      <c r="G22">
        <v>0.5</v>
      </c>
      <c r="H22">
        <v>10</v>
      </c>
      <c r="I22" t="s">
        <v>160</v>
      </c>
      <c r="J22" t="s">
        <v>516</v>
      </c>
      <c r="K22" t="s">
        <v>21</v>
      </c>
      <c r="L22" t="s">
        <v>419</v>
      </c>
      <c r="M22" t="s">
        <v>162</v>
      </c>
    </row>
    <row r="23" spans="1:13" x14ac:dyDescent="0.35">
      <c r="A23" t="s">
        <v>416</v>
      </c>
      <c r="B23" t="s">
        <v>548</v>
      </c>
      <c r="C23" t="s">
        <v>57</v>
      </c>
      <c r="D23" t="s">
        <v>54</v>
      </c>
      <c r="E23" t="s">
        <v>175</v>
      </c>
      <c r="F23" t="s">
        <v>176</v>
      </c>
      <c r="G23">
        <v>0.5</v>
      </c>
      <c r="H23" t="s">
        <v>177</v>
      </c>
      <c r="I23" t="s">
        <v>160</v>
      </c>
      <c r="J23" t="s">
        <v>516</v>
      </c>
      <c r="K23" t="s">
        <v>21</v>
      </c>
      <c r="L23" t="s">
        <v>419</v>
      </c>
      <c r="M23" t="s">
        <v>162</v>
      </c>
    </row>
    <row r="24" spans="1:13" x14ac:dyDescent="0.35">
      <c r="A24" t="s">
        <v>430</v>
      </c>
      <c r="B24" t="s">
        <v>549</v>
      </c>
      <c r="C24" t="s">
        <v>53</v>
      </c>
      <c r="D24" t="s">
        <v>116</v>
      </c>
      <c r="E24" t="s">
        <v>338</v>
      </c>
      <c r="F24" t="s">
        <v>550</v>
      </c>
      <c r="G24">
        <v>0.6</v>
      </c>
      <c r="H24">
        <v>28</v>
      </c>
      <c r="I24" t="s">
        <v>458</v>
      </c>
      <c r="J24" t="s">
        <v>516</v>
      </c>
      <c r="K24" t="s">
        <v>21</v>
      </c>
      <c r="L24" t="s">
        <v>419</v>
      </c>
      <c r="M24" t="s">
        <v>459</v>
      </c>
    </row>
    <row r="25" spans="1:13" x14ac:dyDescent="0.35">
      <c r="A25" t="s">
        <v>430</v>
      </c>
      <c r="B25" t="s">
        <v>549</v>
      </c>
      <c r="C25" t="s">
        <v>57</v>
      </c>
      <c r="D25" t="s">
        <v>54</v>
      </c>
      <c r="E25" t="s">
        <v>55</v>
      </c>
      <c r="F25" t="s">
        <v>551</v>
      </c>
      <c r="G25">
        <v>0.4</v>
      </c>
      <c r="H25">
        <v>28</v>
      </c>
      <c r="I25" t="s">
        <v>458</v>
      </c>
      <c r="J25" t="s">
        <v>516</v>
      </c>
      <c r="K25" t="s">
        <v>21</v>
      </c>
      <c r="L25" t="s">
        <v>419</v>
      </c>
      <c r="M25" t="s">
        <v>459</v>
      </c>
    </row>
    <row r="26" spans="1:13" x14ac:dyDescent="0.35">
      <c r="A26" t="s">
        <v>416</v>
      </c>
      <c r="B26" t="s">
        <v>552</v>
      </c>
      <c r="C26" t="s">
        <v>53</v>
      </c>
      <c r="D26" t="s">
        <v>207</v>
      </c>
      <c r="E26" t="s">
        <v>208</v>
      </c>
      <c r="F26" t="s">
        <v>553</v>
      </c>
      <c r="G26">
        <v>0.5</v>
      </c>
      <c r="H26">
        <v>7</v>
      </c>
      <c r="I26" t="s">
        <v>195</v>
      </c>
      <c r="J26" t="s">
        <v>516</v>
      </c>
      <c r="K26" t="s">
        <v>21</v>
      </c>
      <c r="L26" t="s">
        <v>419</v>
      </c>
      <c r="M26" t="s">
        <v>197</v>
      </c>
    </row>
    <row r="27" spans="1:13" x14ac:dyDescent="0.35">
      <c r="A27" t="s">
        <v>416</v>
      </c>
      <c r="B27" t="s">
        <v>552</v>
      </c>
      <c r="C27" t="s">
        <v>57</v>
      </c>
      <c r="D27" t="s">
        <v>54</v>
      </c>
      <c r="E27" t="s">
        <v>55</v>
      </c>
      <c r="F27" t="s">
        <v>554</v>
      </c>
      <c r="G27">
        <v>0.5</v>
      </c>
      <c r="H27">
        <v>12</v>
      </c>
      <c r="I27" t="s">
        <v>195</v>
      </c>
      <c r="J27" t="s">
        <v>516</v>
      </c>
      <c r="K27" t="s">
        <v>21</v>
      </c>
      <c r="L27" t="s">
        <v>419</v>
      </c>
      <c r="M27" t="s">
        <v>197</v>
      </c>
    </row>
    <row r="28" spans="1:13" x14ac:dyDescent="0.35">
      <c r="A28" t="s">
        <v>416</v>
      </c>
      <c r="B28" t="s">
        <v>555</v>
      </c>
      <c r="C28" t="s">
        <v>53</v>
      </c>
      <c r="H28">
        <v>12</v>
      </c>
      <c r="I28" t="s">
        <v>240</v>
      </c>
      <c r="J28" t="s">
        <v>516</v>
      </c>
      <c r="K28" t="s">
        <v>21</v>
      </c>
      <c r="L28" t="s">
        <v>419</v>
      </c>
      <c r="M28" t="s">
        <v>241</v>
      </c>
    </row>
    <row r="29" spans="1:13" x14ac:dyDescent="0.35">
      <c r="A29" t="s">
        <v>416</v>
      </c>
      <c r="B29" t="s">
        <v>556</v>
      </c>
      <c r="C29" t="s">
        <v>53</v>
      </c>
      <c r="D29" t="s">
        <v>54</v>
      </c>
      <c r="E29" t="s">
        <v>55</v>
      </c>
      <c r="F29" t="s">
        <v>557</v>
      </c>
      <c r="G29">
        <v>0.3</v>
      </c>
      <c r="H29">
        <v>6</v>
      </c>
      <c r="I29" t="s">
        <v>264</v>
      </c>
      <c r="J29" t="s">
        <v>516</v>
      </c>
      <c r="K29" t="s">
        <v>21</v>
      </c>
      <c r="L29" t="s">
        <v>419</v>
      </c>
      <c r="M29" t="s">
        <v>266</v>
      </c>
    </row>
    <row r="30" spans="1:13" x14ac:dyDescent="0.35">
      <c r="A30" t="s">
        <v>416</v>
      </c>
      <c r="B30" t="s">
        <v>556</v>
      </c>
      <c r="C30" t="s">
        <v>57</v>
      </c>
      <c r="D30" t="s">
        <v>116</v>
      </c>
      <c r="E30" t="s">
        <v>173</v>
      </c>
      <c r="F30" t="s">
        <v>558</v>
      </c>
      <c r="G30">
        <v>0.7</v>
      </c>
      <c r="H30">
        <v>12</v>
      </c>
      <c r="I30" t="s">
        <v>264</v>
      </c>
      <c r="J30" t="s">
        <v>516</v>
      </c>
      <c r="K30" t="s">
        <v>21</v>
      </c>
      <c r="L30" t="s">
        <v>419</v>
      </c>
      <c r="M30" t="s">
        <v>266</v>
      </c>
    </row>
    <row r="31" spans="1:13" x14ac:dyDescent="0.35">
      <c r="A31" t="s">
        <v>416</v>
      </c>
      <c r="B31" t="s">
        <v>559</v>
      </c>
      <c r="C31" t="s">
        <v>53</v>
      </c>
      <c r="D31" t="s">
        <v>116</v>
      </c>
      <c r="F31" t="s">
        <v>560</v>
      </c>
      <c r="G31">
        <v>0.5</v>
      </c>
      <c r="H31">
        <v>33</v>
      </c>
      <c r="I31" t="s">
        <v>292</v>
      </c>
      <c r="J31" t="s">
        <v>516</v>
      </c>
      <c r="K31" t="s">
        <v>21</v>
      </c>
      <c r="L31" t="s">
        <v>419</v>
      </c>
      <c r="M31" t="s">
        <v>429</v>
      </c>
    </row>
    <row r="32" spans="1:13" x14ac:dyDescent="0.35">
      <c r="A32" t="s">
        <v>416</v>
      </c>
      <c r="B32" t="s">
        <v>559</v>
      </c>
      <c r="C32" t="s">
        <v>57</v>
      </c>
      <c r="D32" t="s">
        <v>54</v>
      </c>
      <c r="F32" t="s">
        <v>313</v>
      </c>
      <c r="G32">
        <v>0.5</v>
      </c>
      <c r="H32">
        <v>33</v>
      </c>
      <c r="I32" t="s">
        <v>292</v>
      </c>
      <c r="J32" t="s">
        <v>516</v>
      </c>
      <c r="K32" t="s">
        <v>21</v>
      </c>
      <c r="L32" t="s">
        <v>419</v>
      </c>
      <c r="M32" t="s">
        <v>429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C97F-676A-49C6-B57B-2D06E915BA17}">
  <sheetPr codeName="Sheet13"/>
  <dimension ref="A1:I103"/>
  <sheetViews>
    <sheetView topLeftCell="A58" workbookViewId="0">
      <selection activeCell="R99" sqref="R99"/>
    </sheetView>
  </sheetViews>
  <sheetFormatPr defaultColWidth="8.81640625" defaultRowHeight="14.5" x14ac:dyDescent="0.35"/>
  <cols>
    <col min="1" max="1" width="49" bestFit="1" customWidth="1"/>
    <col min="2" max="2" width="14.453125" bestFit="1" customWidth="1"/>
    <col min="3" max="3" width="14" bestFit="1" customWidth="1"/>
    <col min="4" max="4" width="16.453125" bestFit="1" customWidth="1"/>
    <col min="5" max="5" width="14.81640625" bestFit="1" customWidth="1"/>
    <col min="6" max="6" width="12.54296875" bestFit="1" customWidth="1"/>
    <col min="7" max="7" width="15.453125" bestFit="1" customWidth="1"/>
    <col min="8" max="8" width="12.1796875" bestFit="1" customWidth="1"/>
    <col min="9" max="9" width="44.453125" bestFit="1" customWidth="1"/>
  </cols>
  <sheetData>
    <row r="1" spans="1:9" x14ac:dyDescent="0.35">
      <c r="A1" t="s">
        <v>409</v>
      </c>
      <c r="B1" t="s">
        <v>410</v>
      </c>
      <c r="C1" t="s">
        <v>25</v>
      </c>
      <c r="D1" t="s">
        <v>24</v>
      </c>
      <c r="E1" t="s">
        <v>411</v>
      </c>
      <c r="F1" t="s">
        <v>412</v>
      </c>
      <c r="G1" t="s">
        <v>413</v>
      </c>
      <c r="H1" t="s">
        <v>414</v>
      </c>
      <c r="I1" t="s">
        <v>415</v>
      </c>
    </row>
    <row r="2" spans="1:9" x14ac:dyDescent="0.35">
      <c r="A2" t="s">
        <v>416</v>
      </c>
      <c r="B2" t="s">
        <v>561</v>
      </c>
      <c r="C2" t="s">
        <v>26</v>
      </c>
      <c r="D2">
        <v>24</v>
      </c>
      <c r="E2" t="s">
        <v>5</v>
      </c>
      <c r="F2" t="s">
        <v>562</v>
      </c>
      <c r="G2" t="s">
        <v>21</v>
      </c>
      <c r="H2" t="s">
        <v>419</v>
      </c>
      <c r="I2" t="s">
        <v>8</v>
      </c>
    </row>
    <row r="3" spans="1:9" x14ac:dyDescent="0.35">
      <c r="A3" t="s">
        <v>416</v>
      </c>
      <c r="B3" t="s">
        <v>561</v>
      </c>
      <c r="C3" t="s">
        <v>27</v>
      </c>
      <c r="D3">
        <v>10</v>
      </c>
      <c r="E3" t="s">
        <v>5</v>
      </c>
      <c r="F3" t="s">
        <v>562</v>
      </c>
      <c r="G3" t="s">
        <v>21</v>
      </c>
      <c r="H3" t="s">
        <v>419</v>
      </c>
      <c r="I3" t="s">
        <v>8</v>
      </c>
    </row>
    <row r="4" spans="1:9" x14ac:dyDescent="0.35">
      <c r="A4" t="s">
        <v>416</v>
      </c>
      <c r="B4" t="s">
        <v>561</v>
      </c>
      <c r="C4" t="s">
        <v>28</v>
      </c>
      <c r="D4">
        <v>9</v>
      </c>
      <c r="E4" t="s">
        <v>5</v>
      </c>
      <c r="F4" t="s">
        <v>562</v>
      </c>
      <c r="G4" t="s">
        <v>21</v>
      </c>
      <c r="H4" t="s">
        <v>419</v>
      </c>
      <c r="I4" t="s">
        <v>8</v>
      </c>
    </row>
    <row r="5" spans="1:9" x14ac:dyDescent="0.35">
      <c r="A5" t="s">
        <v>416</v>
      </c>
      <c r="B5" t="s">
        <v>561</v>
      </c>
      <c r="C5" t="s">
        <v>29</v>
      </c>
      <c r="D5">
        <v>6</v>
      </c>
      <c r="E5" t="s">
        <v>5</v>
      </c>
      <c r="F5" t="s">
        <v>562</v>
      </c>
      <c r="G5" t="s">
        <v>21</v>
      </c>
      <c r="H5" t="s">
        <v>419</v>
      </c>
      <c r="I5" t="s">
        <v>8</v>
      </c>
    </row>
    <row r="6" spans="1:9" x14ac:dyDescent="0.35">
      <c r="A6" t="s">
        <v>416</v>
      </c>
      <c r="B6" t="s">
        <v>561</v>
      </c>
      <c r="C6" t="s">
        <v>31</v>
      </c>
      <c r="D6">
        <v>0</v>
      </c>
      <c r="E6" t="s">
        <v>5</v>
      </c>
      <c r="F6" t="s">
        <v>562</v>
      </c>
      <c r="G6" t="s">
        <v>21</v>
      </c>
      <c r="H6" t="s">
        <v>419</v>
      </c>
      <c r="I6" t="s">
        <v>8</v>
      </c>
    </row>
    <row r="7" spans="1:9" x14ac:dyDescent="0.35">
      <c r="A7" t="s">
        <v>416</v>
      </c>
      <c r="B7" t="s">
        <v>561</v>
      </c>
      <c r="C7" t="s">
        <v>33</v>
      </c>
      <c r="D7">
        <v>49</v>
      </c>
      <c r="E7" t="s">
        <v>5</v>
      </c>
      <c r="F7" t="s">
        <v>562</v>
      </c>
      <c r="G7" t="s">
        <v>21</v>
      </c>
      <c r="H7" t="s">
        <v>419</v>
      </c>
      <c r="I7" t="s">
        <v>8</v>
      </c>
    </row>
    <row r="8" spans="1:9" x14ac:dyDescent="0.35">
      <c r="A8" t="s">
        <v>416</v>
      </c>
      <c r="B8" t="s">
        <v>563</v>
      </c>
      <c r="C8" t="s">
        <v>26</v>
      </c>
      <c r="D8">
        <v>22</v>
      </c>
      <c r="E8" t="s">
        <v>99</v>
      </c>
      <c r="F8" t="s">
        <v>562</v>
      </c>
      <c r="G8" t="s">
        <v>21</v>
      </c>
      <c r="H8" t="s">
        <v>419</v>
      </c>
      <c r="I8" t="s">
        <v>421</v>
      </c>
    </row>
    <row r="9" spans="1:9" x14ac:dyDescent="0.35">
      <c r="A9" t="s">
        <v>416</v>
      </c>
      <c r="B9" t="s">
        <v>563</v>
      </c>
      <c r="C9" t="s">
        <v>27</v>
      </c>
      <c r="D9">
        <v>14</v>
      </c>
      <c r="E9" t="s">
        <v>99</v>
      </c>
      <c r="F9" t="s">
        <v>562</v>
      </c>
      <c r="G9" t="s">
        <v>21</v>
      </c>
      <c r="H9" t="s">
        <v>419</v>
      </c>
      <c r="I9" t="s">
        <v>421</v>
      </c>
    </row>
    <row r="10" spans="1:9" x14ac:dyDescent="0.35">
      <c r="A10" t="s">
        <v>416</v>
      </c>
      <c r="B10" t="s">
        <v>563</v>
      </c>
      <c r="C10" t="s">
        <v>28</v>
      </c>
      <c r="D10">
        <v>4</v>
      </c>
      <c r="E10" t="s">
        <v>99</v>
      </c>
      <c r="F10" t="s">
        <v>562</v>
      </c>
      <c r="G10" t="s">
        <v>21</v>
      </c>
      <c r="H10" t="s">
        <v>419</v>
      </c>
      <c r="I10" t="s">
        <v>421</v>
      </c>
    </row>
    <row r="11" spans="1:9" x14ac:dyDescent="0.35">
      <c r="A11" t="s">
        <v>416</v>
      </c>
      <c r="B11" t="s">
        <v>563</v>
      </c>
      <c r="C11" t="s">
        <v>29</v>
      </c>
      <c r="D11">
        <v>8</v>
      </c>
      <c r="E11" t="s">
        <v>99</v>
      </c>
      <c r="F11" t="s">
        <v>562</v>
      </c>
      <c r="G11" t="s">
        <v>21</v>
      </c>
      <c r="H11" t="s">
        <v>419</v>
      </c>
      <c r="I11" t="s">
        <v>421</v>
      </c>
    </row>
    <row r="12" spans="1:9" x14ac:dyDescent="0.35">
      <c r="A12" t="s">
        <v>416</v>
      </c>
      <c r="B12" t="s">
        <v>563</v>
      </c>
      <c r="C12" t="s">
        <v>31</v>
      </c>
      <c r="D12">
        <v>0</v>
      </c>
      <c r="E12" t="s">
        <v>99</v>
      </c>
      <c r="F12" t="s">
        <v>562</v>
      </c>
      <c r="G12" t="s">
        <v>21</v>
      </c>
      <c r="H12" t="s">
        <v>419</v>
      </c>
      <c r="I12" t="s">
        <v>421</v>
      </c>
    </row>
    <row r="13" spans="1:9" x14ac:dyDescent="0.35">
      <c r="A13" t="s">
        <v>416</v>
      </c>
      <c r="B13" t="s">
        <v>563</v>
      </c>
      <c r="C13" t="s">
        <v>33</v>
      </c>
      <c r="D13">
        <v>48</v>
      </c>
      <c r="E13" t="s">
        <v>99</v>
      </c>
      <c r="F13" t="s">
        <v>562</v>
      </c>
      <c r="G13" t="s">
        <v>21</v>
      </c>
      <c r="H13" t="s">
        <v>419</v>
      </c>
      <c r="I13" t="s">
        <v>421</v>
      </c>
    </row>
    <row r="14" spans="1:9" x14ac:dyDescent="0.35">
      <c r="A14" t="s">
        <v>416</v>
      </c>
      <c r="B14" t="s">
        <v>564</v>
      </c>
      <c r="C14" t="s">
        <v>26</v>
      </c>
      <c r="D14">
        <v>18</v>
      </c>
      <c r="E14" t="s">
        <v>160</v>
      </c>
      <c r="F14" t="s">
        <v>562</v>
      </c>
      <c r="G14" t="s">
        <v>21</v>
      </c>
      <c r="H14" t="s">
        <v>419</v>
      </c>
      <c r="I14" t="s">
        <v>162</v>
      </c>
    </row>
    <row r="15" spans="1:9" x14ac:dyDescent="0.35">
      <c r="A15" t="s">
        <v>416</v>
      </c>
      <c r="B15" t="s">
        <v>564</v>
      </c>
      <c r="C15" t="s">
        <v>27</v>
      </c>
      <c r="D15">
        <v>14</v>
      </c>
      <c r="E15" t="s">
        <v>160</v>
      </c>
      <c r="F15" t="s">
        <v>562</v>
      </c>
      <c r="G15" t="s">
        <v>21</v>
      </c>
      <c r="H15" t="s">
        <v>419</v>
      </c>
      <c r="I15" t="s">
        <v>162</v>
      </c>
    </row>
    <row r="16" spans="1:9" x14ac:dyDescent="0.35">
      <c r="A16" t="s">
        <v>416</v>
      </c>
      <c r="B16" t="s">
        <v>564</v>
      </c>
      <c r="C16" t="s">
        <v>28</v>
      </c>
      <c r="D16">
        <v>6</v>
      </c>
      <c r="E16" t="s">
        <v>160</v>
      </c>
      <c r="F16" t="s">
        <v>562</v>
      </c>
      <c r="G16" t="s">
        <v>21</v>
      </c>
      <c r="H16" t="s">
        <v>419</v>
      </c>
      <c r="I16" t="s">
        <v>162</v>
      </c>
    </row>
    <row r="17" spans="1:9" x14ac:dyDescent="0.35">
      <c r="A17" t="s">
        <v>416</v>
      </c>
      <c r="B17" t="s">
        <v>564</v>
      </c>
      <c r="C17" t="s">
        <v>29</v>
      </c>
      <c r="D17">
        <v>10</v>
      </c>
      <c r="E17" t="s">
        <v>160</v>
      </c>
      <c r="F17" t="s">
        <v>562</v>
      </c>
      <c r="G17" t="s">
        <v>21</v>
      </c>
      <c r="H17" t="s">
        <v>419</v>
      </c>
      <c r="I17" t="s">
        <v>162</v>
      </c>
    </row>
    <row r="18" spans="1:9" x14ac:dyDescent="0.35">
      <c r="A18" t="s">
        <v>416</v>
      </c>
      <c r="B18" t="s">
        <v>564</v>
      </c>
      <c r="C18" t="s">
        <v>31</v>
      </c>
      <c r="E18" t="s">
        <v>160</v>
      </c>
      <c r="F18" t="s">
        <v>562</v>
      </c>
      <c r="G18" t="s">
        <v>21</v>
      </c>
      <c r="H18" t="s">
        <v>419</v>
      </c>
      <c r="I18" t="s">
        <v>162</v>
      </c>
    </row>
    <row r="19" spans="1:9" x14ac:dyDescent="0.35">
      <c r="A19" t="s">
        <v>416</v>
      </c>
      <c r="B19" t="s">
        <v>564</v>
      </c>
      <c r="C19" t="s">
        <v>33</v>
      </c>
      <c r="D19">
        <v>48</v>
      </c>
      <c r="E19" t="s">
        <v>160</v>
      </c>
      <c r="F19" t="s">
        <v>562</v>
      </c>
      <c r="G19" t="s">
        <v>21</v>
      </c>
      <c r="H19" t="s">
        <v>419</v>
      </c>
      <c r="I19" t="s">
        <v>162</v>
      </c>
    </row>
    <row r="20" spans="1:9" x14ac:dyDescent="0.35">
      <c r="A20" t="s">
        <v>416</v>
      </c>
      <c r="B20" t="s">
        <v>565</v>
      </c>
      <c r="C20" t="s">
        <v>26</v>
      </c>
      <c r="E20" t="s">
        <v>238</v>
      </c>
      <c r="F20" t="s">
        <v>562</v>
      </c>
      <c r="G20" t="s">
        <v>21</v>
      </c>
      <c r="H20" t="s">
        <v>419</v>
      </c>
      <c r="I20" t="s">
        <v>239</v>
      </c>
    </row>
    <row r="21" spans="1:9" x14ac:dyDescent="0.35">
      <c r="A21" t="s">
        <v>416</v>
      </c>
      <c r="B21" t="s">
        <v>565</v>
      </c>
      <c r="C21" t="s">
        <v>27</v>
      </c>
      <c r="E21" t="s">
        <v>238</v>
      </c>
      <c r="F21" t="s">
        <v>562</v>
      </c>
      <c r="G21" t="s">
        <v>21</v>
      </c>
      <c r="H21" t="s">
        <v>419</v>
      </c>
      <c r="I21" t="s">
        <v>239</v>
      </c>
    </row>
    <row r="22" spans="1:9" x14ac:dyDescent="0.35">
      <c r="A22" t="s">
        <v>416</v>
      </c>
      <c r="B22" t="s">
        <v>565</v>
      </c>
      <c r="C22" t="s">
        <v>28</v>
      </c>
      <c r="E22" t="s">
        <v>238</v>
      </c>
      <c r="F22" t="s">
        <v>562</v>
      </c>
      <c r="G22" t="s">
        <v>21</v>
      </c>
      <c r="H22" t="s">
        <v>419</v>
      </c>
      <c r="I22" t="s">
        <v>239</v>
      </c>
    </row>
    <row r="23" spans="1:9" x14ac:dyDescent="0.35">
      <c r="A23" t="s">
        <v>416</v>
      </c>
      <c r="B23" t="s">
        <v>565</v>
      </c>
      <c r="C23" t="s">
        <v>29</v>
      </c>
      <c r="E23" t="s">
        <v>238</v>
      </c>
      <c r="F23" t="s">
        <v>562</v>
      </c>
      <c r="G23" t="s">
        <v>21</v>
      </c>
      <c r="H23" t="s">
        <v>419</v>
      </c>
      <c r="I23" t="s">
        <v>239</v>
      </c>
    </row>
    <row r="24" spans="1:9" x14ac:dyDescent="0.35">
      <c r="A24" t="s">
        <v>416</v>
      </c>
      <c r="B24" t="s">
        <v>565</v>
      </c>
      <c r="C24" t="s">
        <v>31</v>
      </c>
      <c r="E24" t="s">
        <v>238</v>
      </c>
      <c r="F24" t="s">
        <v>562</v>
      </c>
      <c r="G24" t="s">
        <v>21</v>
      </c>
      <c r="H24" t="s">
        <v>419</v>
      </c>
      <c r="I24" t="s">
        <v>239</v>
      </c>
    </row>
    <row r="25" spans="1:9" x14ac:dyDescent="0.35">
      <c r="A25" t="s">
        <v>416</v>
      </c>
      <c r="B25" t="s">
        <v>565</v>
      </c>
      <c r="C25" t="s">
        <v>33</v>
      </c>
      <c r="D25">
        <v>0</v>
      </c>
      <c r="E25" t="s">
        <v>238</v>
      </c>
      <c r="F25" t="s">
        <v>562</v>
      </c>
      <c r="G25" t="s">
        <v>21</v>
      </c>
      <c r="H25" t="s">
        <v>419</v>
      </c>
      <c r="I25" t="s">
        <v>239</v>
      </c>
    </row>
    <row r="26" spans="1:9" x14ac:dyDescent="0.35">
      <c r="A26" t="s">
        <v>416</v>
      </c>
      <c r="B26" t="s">
        <v>566</v>
      </c>
      <c r="C26" t="s">
        <v>26</v>
      </c>
      <c r="D26">
        <v>22</v>
      </c>
      <c r="E26" t="s">
        <v>195</v>
      </c>
      <c r="F26" t="s">
        <v>562</v>
      </c>
      <c r="G26" t="s">
        <v>21</v>
      </c>
      <c r="H26" t="s">
        <v>419</v>
      </c>
      <c r="I26" t="s">
        <v>197</v>
      </c>
    </row>
    <row r="27" spans="1:9" x14ac:dyDescent="0.35">
      <c r="A27" t="s">
        <v>416</v>
      </c>
      <c r="B27" t="s">
        <v>566</v>
      </c>
      <c r="C27" t="s">
        <v>27</v>
      </c>
      <c r="E27" t="s">
        <v>195</v>
      </c>
      <c r="F27" t="s">
        <v>562</v>
      </c>
      <c r="G27" t="s">
        <v>21</v>
      </c>
      <c r="H27" t="s">
        <v>419</v>
      </c>
      <c r="I27" t="s">
        <v>197</v>
      </c>
    </row>
    <row r="28" spans="1:9" x14ac:dyDescent="0.35">
      <c r="A28" t="s">
        <v>416</v>
      </c>
      <c r="B28" t="s">
        <v>566</v>
      </c>
      <c r="C28" t="s">
        <v>28</v>
      </c>
      <c r="D28">
        <v>16</v>
      </c>
      <c r="E28" t="s">
        <v>195</v>
      </c>
      <c r="F28" t="s">
        <v>562</v>
      </c>
      <c r="G28" t="s">
        <v>21</v>
      </c>
      <c r="H28" t="s">
        <v>419</v>
      </c>
      <c r="I28" t="s">
        <v>197</v>
      </c>
    </row>
    <row r="29" spans="1:9" x14ac:dyDescent="0.35">
      <c r="A29" t="s">
        <v>416</v>
      </c>
      <c r="B29" t="s">
        <v>566</v>
      </c>
      <c r="C29" t="s">
        <v>29</v>
      </c>
      <c r="D29">
        <v>8</v>
      </c>
      <c r="E29" t="s">
        <v>195</v>
      </c>
      <c r="F29" t="s">
        <v>562</v>
      </c>
      <c r="G29" t="s">
        <v>21</v>
      </c>
      <c r="H29" t="s">
        <v>419</v>
      </c>
      <c r="I29" t="s">
        <v>197</v>
      </c>
    </row>
    <row r="30" spans="1:9" x14ac:dyDescent="0.35">
      <c r="A30" t="s">
        <v>416</v>
      </c>
      <c r="B30" t="s">
        <v>566</v>
      </c>
      <c r="C30" t="s">
        <v>31</v>
      </c>
      <c r="E30" t="s">
        <v>195</v>
      </c>
      <c r="F30" t="s">
        <v>562</v>
      </c>
      <c r="G30" t="s">
        <v>21</v>
      </c>
      <c r="H30" t="s">
        <v>419</v>
      </c>
      <c r="I30" t="s">
        <v>197</v>
      </c>
    </row>
    <row r="31" spans="1:9" x14ac:dyDescent="0.35">
      <c r="A31" t="s">
        <v>416</v>
      </c>
      <c r="B31" t="s">
        <v>566</v>
      </c>
      <c r="C31" t="s">
        <v>33</v>
      </c>
      <c r="D31">
        <v>46</v>
      </c>
      <c r="E31" t="s">
        <v>195</v>
      </c>
      <c r="F31" t="s">
        <v>562</v>
      </c>
      <c r="G31" t="s">
        <v>21</v>
      </c>
      <c r="H31" t="s">
        <v>419</v>
      </c>
      <c r="I31" t="s">
        <v>197</v>
      </c>
    </row>
    <row r="32" spans="1:9" x14ac:dyDescent="0.35">
      <c r="A32" t="s">
        <v>416</v>
      </c>
      <c r="B32" t="s">
        <v>567</v>
      </c>
      <c r="C32" t="s">
        <v>26</v>
      </c>
      <c r="D32">
        <v>8</v>
      </c>
      <c r="E32" t="s">
        <v>240</v>
      </c>
      <c r="F32" t="s">
        <v>562</v>
      </c>
      <c r="G32" t="s">
        <v>21</v>
      </c>
      <c r="H32" t="s">
        <v>419</v>
      </c>
      <c r="I32" t="s">
        <v>241</v>
      </c>
    </row>
    <row r="33" spans="1:9" x14ac:dyDescent="0.35">
      <c r="A33" t="s">
        <v>416</v>
      </c>
      <c r="B33" t="s">
        <v>567</v>
      </c>
      <c r="C33" t="s">
        <v>27</v>
      </c>
      <c r="E33" t="s">
        <v>240</v>
      </c>
      <c r="F33" t="s">
        <v>562</v>
      </c>
      <c r="G33" t="s">
        <v>21</v>
      </c>
      <c r="H33" t="s">
        <v>419</v>
      </c>
      <c r="I33" t="s">
        <v>241</v>
      </c>
    </row>
    <row r="34" spans="1:9" x14ac:dyDescent="0.35">
      <c r="A34" t="s">
        <v>416</v>
      </c>
      <c r="B34" t="s">
        <v>567</v>
      </c>
      <c r="C34" t="s">
        <v>28</v>
      </c>
      <c r="D34">
        <v>12</v>
      </c>
      <c r="E34" t="s">
        <v>240</v>
      </c>
      <c r="F34" t="s">
        <v>562</v>
      </c>
      <c r="G34" t="s">
        <v>21</v>
      </c>
      <c r="H34" t="s">
        <v>419</v>
      </c>
      <c r="I34" t="s">
        <v>241</v>
      </c>
    </row>
    <row r="35" spans="1:9" x14ac:dyDescent="0.35">
      <c r="A35" t="s">
        <v>416</v>
      </c>
      <c r="B35" t="s">
        <v>567</v>
      </c>
      <c r="C35" t="s">
        <v>29</v>
      </c>
      <c r="D35">
        <v>20</v>
      </c>
      <c r="E35" t="s">
        <v>240</v>
      </c>
      <c r="F35" t="s">
        <v>562</v>
      </c>
      <c r="G35" t="s">
        <v>21</v>
      </c>
      <c r="H35" t="s">
        <v>419</v>
      </c>
      <c r="I35" t="s">
        <v>241</v>
      </c>
    </row>
    <row r="36" spans="1:9" x14ac:dyDescent="0.35">
      <c r="A36" t="s">
        <v>416</v>
      </c>
      <c r="B36" t="s">
        <v>567</v>
      </c>
      <c r="C36" t="s">
        <v>31</v>
      </c>
      <c r="E36" t="s">
        <v>240</v>
      </c>
      <c r="F36" t="s">
        <v>562</v>
      </c>
      <c r="G36" t="s">
        <v>21</v>
      </c>
      <c r="H36" t="s">
        <v>419</v>
      </c>
      <c r="I36" t="s">
        <v>241</v>
      </c>
    </row>
    <row r="37" spans="1:9" x14ac:dyDescent="0.35">
      <c r="A37" t="s">
        <v>416</v>
      </c>
      <c r="B37" t="s">
        <v>567</v>
      </c>
      <c r="C37" t="s">
        <v>33</v>
      </c>
      <c r="D37">
        <v>40</v>
      </c>
      <c r="E37" t="s">
        <v>240</v>
      </c>
      <c r="F37" t="s">
        <v>562</v>
      </c>
      <c r="G37" t="s">
        <v>21</v>
      </c>
      <c r="H37" t="s">
        <v>419</v>
      </c>
      <c r="I37" t="s">
        <v>241</v>
      </c>
    </row>
    <row r="38" spans="1:9" x14ac:dyDescent="0.35">
      <c r="A38" t="s">
        <v>416</v>
      </c>
      <c r="B38" t="s">
        <v>568</v>
      </c>
      <c r="C38" t="s">
        <v>26</v>
      </c>
      <c r="D38">
        <v>22</v>
      </c>
      <c r="E38" t="s">
        <v>264</v>
      </c>
      <c r="F38" t="s">
        <v>562</v>
      </c>
      <c r="G38" t="s">
        <v>21</v>
      </c>
      <c r="H38" t="s">
        <v>419</v>
      </c>
      <c r="I38" t="s">
        <v>266</v>
      </c>
    </row>
    <row r="39" spans="1:9" x14ac:dyDescent="0.35">
      <c r="A39" t="s">
        <v>416</v>
      </c>
      <c r="B39" t="s">
        <v>568</v>
      </c>
      <c r="C39" t="s">
        <v>27</v>
      </c>
      <c r="D39">
        <v>18</v>
      </c>
      <c r="E39" t="s">
        <v>264</v>
      </c>
      <c r="F39" t="s">
        <v>562</v>
      </c>
      <c r="G39" t="s">
        <v>21</v>
      </c>
      <c r="H39" t="s">
        <v>419</v>
      </c>
      <c r="I39" t="s">
        <v>266</v>
      </c>
    </row>
    <row r="40" spans="1:9" x14ac:dyDescent="0.35">
      <c r="A40" t="s">
        <v>416</v>
      </c>
      <c r="B40" t="s">
        <v>568</v>
      </c>
      <c r="C40" t="s">
        <v>28</v>
      </c>
      <c r="E40" t="s">
        <v>264</v>
      </c>
      <c r="F40" t="s">
        <v>562</v>
      </c>
      <c r="G40" t="s">
        <v>21</v>
      </c>
      <c r="H40" t="s">
        <v>419</v>
      </c>
      <c r="I40" t="s">
        <v>266</v>
      </c>
    </row>
    <row r="41" spans="1:9" x14ac:dyDescent="0.35">
      <c r="A41" t="s">
        <v>416</v>
      </c>
      <c r="B41" t="s">
        <v>568</v>
      </c>
      <c r="C41" t="s">
        <v>29</v>
      </c>
      <c r="E41" t="s">
        <v>264</v>
      </c>
      <c r="F41" t="s">
        <v>562</v>
      </c>
      <c r="G41" t="s">
        <v>21</v>
      </c>
      <c r="H41" t="s">
        <v>419</v>
      </c>
      <c r="I41" t="s">
        <v>266</v>
      </c>
    </row>
    <row r="42" spans="1:9" x14ac:dyDescent="0.35">
      <c r="A42" t="s">
        <v>416</v>
      </c>
      <c r="B42" t="s">
        <v>568</v>
      </c>
      <c r="C42" t="s">
        <v>31</v>
      </c>
      <c r="E42" t="s">
        <v>264</v>
      </c>
      <c r="F42" t="s">
        <v>562</v>
      </c>
      <c r="G42" t="s">
        <v>21</v>
      </c>
      <c r="H42" t="s">
        <v>419</v>
      </c>
      <c r="I42" t="s">
        <v>266</v>
      </c>
    </row>
    <row r="43" spans="1:9" x14ac:dyDescent="0.35">
      <c r="A43" t="s">
        <v>416</v>
      </c>
      <c r="B43" t="s">
        <v>568</v>
      </c>
      <c r="C43" t="s">
        <v>33</v>
      </c>
      <c r="D43">
        <v>40</v>
      </c>
      <c r="E43" t="s">
        <v>264</v>
      </c>
      <c r="F43" t="s">
        <v>562</v>
      </c>
      <c r="G43" t="s">
        <v>21</v>
      </c>
      <c r="H43" t="s">
        <v>419</v>
      </c>
      <c r="I43" t="s">
        <v>266</v>
      </c>
    </row>
    <row r="44" spans="1:9" x14ac:dyDescent="0.35">
      <c r="A44" t="s">
        <v>416</v>
      </c>
      <c r="B44" t="s">
        <v>569</v>
      </c>
      <c r="C44" t="s">
        <v>26</v>
      </c>
      <c r="D44">
        <v>10</v>
      </c>
      <c r="E44" t="s">
        <v>292</v>
      </c>
      <c r="F44" t="s">
        <v>562</v>
      </c>
      <c r="G44" t="s">
        <v>21</v>
      </c>
      <c r="H44" t="s">
        <v>419</v>
      </c>
      <c r="I44" t="s">
        <v>429</v>
      </c>
    </row>
    <row r="45" spans="1:9" x14ac:dyDescent="0.35">
      <c r="A45" t="s">
        <v>416</v>
      </c>
      <c r="B45" t="s">
        <v>569</v>
      </c>
      <c r="C45" t="s">
        <v>27</v>
      </c>
      <c r="D45">
        <v>10</v>
      </c>
      <c r="E45" t="s">
        <v>292</v>
      </c>
      <c r="F45" t="s">
        <v>562</v>
      </c>
      <c r="G45" t="s">
        <v>21</v>
      </c>
      <c r="H45" t="s">
        <v>419</v>
      </c>
      <c r="I45" t="s">
        <v>429</v>
      </c>
    </row>
    <row r="46" spans="1:9" x14ac:dyDescent="0.35">
      <c r="A46" t="s">
        <v>416</v>
      </c>
      <c r="B46" t="s">
        <v>569</v>
      </c>
      <c r="C46" t="s">
        <v>28</v>
      </c>
      <c r="E46" t="s">
        <v>292</v>
      </c>
      <c r="F46" t="s">
        <v>562</v>
      </c>
      <c r="G46" t="s">
        <v>21</v>
      </c>
      <c r="H46" t="s">
        <v>419</v>
      </c>
      <c r="I46" t="s">
        <v>429</v>
      </c>
    </row>
    <row r="47" spans="1:9" x14ac:dyDescent="0.35">
      <c r="A47" t="s">
        <v>416</v>
      </c>
      <c r="B47" t="s">
        <v>569</v>
      </c>
      <c r="C47" t="s">
        <v>29</v>
      </c>
      <c r="E47" t="s">
        <v>292</v>
      </c>
      <c r="F47" t="s">
        <v>562</v>
      </c>
      <c r="G47" t="s">
        <v>21</v>
      </c>
      <c r="H47" t="s">
        <v>419</v>
      </c>
      <c r="I47" t="s">
        <v>429</v>
      </c>
    </row>
    <row r="48" spans="1:9" x14ac:dyDescent="0.35">
      <c r="A48" t="s">
        <v>416</v>
      </c>
      <c r="B48" t="s">
        <v>569</v>
      </c>
      <c r="C48" t="s">
        <v>31</v>
      </c>
      <c r="E48" t="s">
        <v>292</v>
      </c>
      <c r="F48" t="s">
        <v>562</v>
      </c>
      <c r="G48" t="s">
        <v>21</v>
      </c>
      <c r="H48" t="s">
        <v>419</v>
      </c>
      <c r="I48" t="s">
        <v>429</v>
      </c>
    </row>
    <row r="49" spans="1:9" x14ac:dyDescent="0.35">
      <c r="A49" t="s">
        <v>416</v>
      </c>
      <c r="B49" t="s">
        <v>569</v>
      </c>
      <c r="C49" t="s">
        <v>33</v>
      </c>
      <c r="D49">
        <v>20</v>
      </c>
      <c r="E49" t="s">
        <v>292</v>
      </c>
      <c r="F49" t="s">
        <v>562</v>
      </c>
      <c r="G49" t="s">
        <v>21</v>
      </c>
      <c r="H49" t="s">
        <v>419</v>
      </c>
      <c r="I49" t="s">
        <v>429</v>
      </c>
    </row>
    <row r="50" spans="1:9" x14ac:dyDescent="0.35">
      <c r="A50" t="s">
        <v>430</v>
      </c>
      <c r="B50" t="s">
        <v>570</v>
      </c>
      <c r="C50" t="s">
        <v>26</v>
      </c>
      <c r="D50">
        <v>34</v>
      </c>
      <c r="E50" t="s">
        <v>432</v>
      </c>
      <c r="F50" t="s">
        <v>562</v>
      </c>
      <c r="G50" t="s">
        <v>21</v>
      </c>
      <c r="H50" t="s">
        <v>419</v>
      </c>
      <c r="I50" t="s">
        <v>433</v>
      </c>
    </row>
    <row r="51" spans="1:9" x14ac:dyDescent="0.35">
      <c r="A51" t="s">
        <v>430</v>
      </c>
      <c r="B51" t="s">
        <v>570</v>
      </c>
      <c r="C51" t="s">
        <v>27</v>
      </c>
      <c r="D51">
        <v>6</v>
      </c>
      <c r="E51" t="s">
        <v>432</v>
      </c>
      <c r="F51" t="s">
        <v>562</v>
      </c>
      <c r="G51" t="s">
        <v>21</v>
      </c>
      <c r="H51" t="s">
        <v>419</v>
      </c>
      <c r="I51" t="s">
        <v>433</v>
      </c>
    </row>
    <row r="52" spans="1:9" x14ac:dyDescent="0.35">
      <c r="A52" t="s">
        <v>430</v>
      </c>
      <c r="B52" t="s">
        <v>570</v>
      </c>
      <c r="C52" t="s">
        <v>28</v>
      </c>
      <c r="E52" t="s">
        <v>432</v>
      </c>
      <c r="F52" t="s">
        <v>562</v>
      </c>
      <c r="G52" t="s">
        <v>21</v>
      </c>
      <c r="H52" t="s">
        <v>419</v>
      </c>
      <c r="I52" t="s">
        <v>433</v>
      </c>
    </row>
    <row r="53" spans="1:9" x14ac:dyDescent="0.35">
      <c r="A53" t="s">
        <v>430</v>
      </c>
      <c r="B53" t="s">
        <v>570</v>
      </c>
      <c r="C53" t="s">
        <v>29</v>
      </c>
      <c r="D53">
        <v>4</v>
      </c>
      <c r="E53" t="s">
        <v>432</v>
      </c>
      <c r="F53" t="s">
        <v>562</v>
      </c>
      <c r="G53" t="s">
        <v>21</v>
      </c>
      <c r="H53" t="s">
        <v>419</v>
      </c>
      <c r="I53" t="s">
        <v>433</v>
      </c>
    </row>
    <row r="54" spans="1:9" x14ac:dyDescent="0.35">
      <c r="A54" t="s">
        <v>430</v>
      </c>
      <c r="B54" t="s">
        <v>570</v>
      </c>
      <c r="C54" t="s">
        <v>31</v>
      </c>
      <c r="E54" t="s">
        <v>432</v>
      </c>
      <c r="F54" t="s">
        <v>562</v>
      </c>
      <c r="G54" t="s">
        <v>21</v>
      </c>
      <c r="H54" t="s">
        <v>419</v>
      </c>
      <c r="I54" t="s">
        <v>433</v>
      </c>
    </row>
    <row r="55" spans="1:9" x14ac:dyDescent="0.35">
      <c r="A55" t="s">
        <v>430</v>
      </c>
      <c r="B55" t="s">
        <v>570</v>
      </c>
      <c r="C55" t="s">
        <v>33</v>
      </c>
      <c r="D55">
        <v>44</v>
      </c>
      <c r="E55" t="s">
        <v>432</v>
      </c>
      <c r="F55" t="s">
        <v>562</v>
      </c>
      <c r="G55" t="s">
        <v>21</v>
      </c>
      <c r="H55" t="s">
        <v>419</v>
      </c>
      <c r="I55" t="s">
        <v>433</v>
      </c>
    </row>
    <row r="56" spans="1:9" x14ac:dyDescent="0.35">
      <c r="A56" t="s">
        <v>430</v>
      </c>
      <c r="B56" t="s">
        <v>571</v>
      </c>
      <c r="C56" t="s">
        <v>26</v>
      </c>
      <c r="D56">
        <v>33</v>
      </c>
      <c r="E56" t="s">
        <v>436</v>
      </c>
      <c r="F56" t="s">
        <v>562</v>
      </c>
      <c r="G56" t="s">
        <v>21</v>
      </c>
      <c r="H56" t="s">
        <v>419</v>
      </c>
      <c r="I56" t="s">
        <v>437</v>
      </c>
    </row>
    <row r="57" spans="1:9" x14ac:dyDescent="0.35">
      <c r="A57" t="s">
        <v>430</v>
      </c>
      <c r="B57" t="s">
        <v>571</v>
      </c>
      <c r="C57" t="s">
        <v>27</v>
      </c>
      <c r="D57">
        <v>1</v>
      </c>
      <c r="E57" t="s">
        <v>436</v>
      </c>
      <c r="F57" t="s">
        <v>562</v>
      </c>
      <c r="G57" t="s">
        <v>21</v>
      </c>
      <c r="H57" t="s">
        <v>419</v>
      </c>
      <c r="I57" t="s">
        <v>437</v>
      </c>
    </row>
    <row r="58" spans="1:9" x14ac:dyDescent="0.35">
      <c r="A58" t="s">
        <v>430</v>
      </c>
      <c r="B58" t="s">
        <v>571</v>
      </c>
      <c r="C58" t="s">
        <v>28</v>
      </c>
      <c r="D58">
        <v>6</v>
      </c>
      <c r="E58" t="s">
        <v>436</v>
      </c>
      <c r="F58" t="s">
        <v>562</v>
      </c>
      <c r="G58" t="s">
        <v>21</v>
      </c>
      <c r="H58" t="s">
        <v>419</v>
      </c>
      <c r="I58" t="s">
        <v>437</v>
      </c>
    </row>
    <row r="59" spans="1:9" x14ac:dyDescent="0.35">
      <c r="A59" t="s">
        <v>430</v>
      </c>
      <c r="B59" t="s">
        <v>571</v>
      </c>
      <c r="C59" t="s">
        <v>29</v>
      </c>
      <c r="D59">
        <v>1</v>
      </c>
      <c r="E59" t="s">
        <v>436</v>
      </c>
      <c r="F59" t="s">
        <v>562</v>
      </c>
      <c r="G59" t="s">
        <v>21</v>
      </c>
      <c r="H59" t="s">
        <v>419</v>
      </c>
      <c r="I59" t="s">
        <v>437</v>
      </c>
    </row>
    <row r="60" spans="1:9" x14ac:dyDescent="0.35">
      <c r="A60" t="s">
        <v>430</v>
      </c>
      <c r="B60" t="s">
        <v>571</v>
      </c>
      <c r="C60" t="s">
        <v>31</v>
      </c>
      <c r="D60">
        <v>3</v>
      </c>
      <c r="E60" t="s">
        <v>436</v>
      </c>
      <c r="F60" t="s">
        <v>562</v>
      </c>
      <c r="G60" t="s">
        <v>21</v>
      </c>
      <c r="H60" t="s">
        <v>419</v>
      </c>
      <c r="I60" t="s">
        <v>437</v>
      </c>
    </row>
    <row r="61" spans="1:9" x14ac:dyDescent="0.35">
      <c r="A61" t="s">
        <v>430</v>
      </c>
      <c r="B61" t="s">
        <v>571</v>
      </c>
      <c r="C61" t="s">
        <v>33</v>
      </c>
      <c r="D61">
        <v>44</v>
      </c>
      <c r="E61" t="s">
        <v>436</v>
      </c>
      <c r="F61" t="s">
        <v>562</v>
      </c>
      <c r="G61" t="s">
        <v>21</v>
      </c>
      <c r="H61" t="s">
        <v>419</v>
      </c>
      <c r="I61" t="s">
        <v>437</v>
      </c>
    </row>
    <row r="62" spans="1:9" x14ac:dyDescent="0.35">
      <c r="A62" t="s">
        <v>430</v>
      </c>
      <c r="B62" t="s">
        <v>572</v>
      </c>
      <c r="C62" t="s">
        <v>26</v>
      </c>
      <c r="D62">
        <v>11</v>
      </c>
      <c r="E62" t="s">
        <v>441</v>
      </c>
      <c r="F62" t="s">
        <v>562</v>
      </c>
      <c r="G62" t="s">
        <v>21</v>
      </c>
      <c r="H62" t="s">
        <v>419</v>
      </c>
      <c r="I62" t="s">
        <v>442</v>
      </c>
    </row>
    <row r="63" spans="1:9" x14ac:dyDescent="0.35">
      <c r="A63" t="s">
        <v>430</v>
      </c>
      <c r="B63" t="s">
        <v>572</v>
      </c>
      <c r="C63" t="s">
        <v>27</v>
      </c>
      <c r="E63" t="s">
        <v>441</v>
      </c>
      <c r="F63" t="s">
        <v>562</v>
      </c>
      <c r="G63" t="s">
        <v>21</v>
      </c>
      <c r="H63" t="s">
        <v>419</v>
      </c>
      <c r="I63" t="s">
        <v>442</v>
      </c>
    </row>
    <row r="64" spans="1:9" x14ac:dyDescent="0.35">
      <c r="A64" t="s">
        <v>430</v>
      </c>
      <c r="B64" t="s">
        <v>572</v>
      </c>
      <c r="C64" t="s">
        <v>28</v>
      </c>
      <c r="D64">
        <v>6</v>
      </c>
      <c r="E64" t="s">
        <v>441</v>
      </c>
      <c r="F64" t="s">
        <v>562</v>
      </c>
      <c r="G64" t="s">
        <v>21</v>
      </c>
      <c r="H64" t="s">
        <v>419</v>
      </c>
      <c r="I64" t="s">
        <v>442</v>
      </c>
    </row>
    <row r="65" spans="1:9" x14ac:dyDescent="0.35">
      <c r="A65" t="s">
        <v>430</v>
      </c>
      <c r="B65" t="s">
        <v>572</v>
      </c>
      <c r="C65" t="s">
        <v>29</v>
      </c>
      <c r="D65">
        <v>11</v>
      </c>
      <c r="E65" t="s">
        <v>441</v>
      </c>
      <c r="F65" t="s">
        <v>562</v>
      </c>
      <c r="G65" t="s">
        <v>21</v>
      </c>
      <c r="H65" t="s">
        <v>419</v>
      </c>
      <c r="I65" t="s">
        <v>442</v>
      </c>
    </row>
    <row r="66" spans="1:9" x14ac:dyDescent="0.35">
      <c r="A66" t="s">
        <v>430</v>
      </c>
      <c r="B66" t="s">
        <v>572</v>
      </c>
      <c r="C66" t="s">
        <v>31</v>
      </c>
      <c r="D66">
        <v>11</v>
      </c>
      <c r="E66" t="s">
        <v>441</v>
      </c>
      <c r="F66" t="s">
        <v>562</v>
      </c>
      <c r="G66" t="s">
        <v>21</v>
      </c>
      <c r="H66" t="s">
        <v>419</v>
      </c>
      <c r="I66" t="s">
        <v>442</v>
      </c>
    </row>
    <row r="67" spans="1:9" x14ac:dyDescent="0.35">
      <c r="A67" t="s">
        <v>430</v>
      </c>
      <c r="B67" t="s">
        <v>572</v>
      </c>
      <c r="C67" t="s">
        <v>33</v>
      </c>
      <c r="D67">
        <v>39</v>
      </c>
      <c r="E67" t="s">
        <v>441</v>
      </c>
      <c r="F67" t="s">
        <v>562</v>
      </c>
      <c r="G67" t="s">
        <v>21</v>
      </c>
      <c r="H67" t="s">
        <v>419</v>
      </c>
      <c r="I67" t="s">
        <v>442</v>
      </c>
    </row>
    <row r="68" spans="1:9" x14ac:dyDescent="0.35">
      <c r="A68" t="s">
        <v>430</v>
      </c>
      <c r="B68" t="s">
        <v>573</v>
      </c>
      <c r="C68" t="s">
        <v>26</v>
      </c>
      <c r="D68">
        <v>34</v>
      </c>
      <c r="E68" t="s">
        <v>445</v>
      </c>
      <c r="F68" t="s">
        <v>562</v>
      </c>
      <c r="G68" t="s">
        <v>21</v>
      </c>
      <c r="H68" t="s">
        <v>419</v>
      </c>
      <c r="I68" t="s">
        <v>446</v>
      </c>
    </row>
    <row r="69" spans="1:9" x14ac:dyDescent="0.35">
      <c r="A69" t="s">
        <v>430</v>
      </c>
      <c r="B69" t="s">
        <v>573</v>
      </c>
      <c r="C69" t="s">
        <v>27</v>
      </c>
      <c r="D69">
        <v>6</v>
      </c>
      <c r="E69" t="s">
        <v>445</v>
      </c>
      <c r="F69" t="s">
        <v>562</v>
      </c>
      <c r="G69" t="s">
        <v>21</v>
      </c>
      <c r="H69" t="s">
        <v>419</v>
      </c>
      <c r="I69" t="s">
        <v>446</v>
      </c>
    </row>
    <row r="70" spans="1:9" x14ac:dyDescent="0.35">
      <c r="A70" t="s">
        <v>430</v>
      </c>
      <c r="B70" t="s">
        <v>573</v>
      </c>
      <c r="C70" t="s">
        <v>28</v>
      </c>
      <c r="E70" t="s">
        <v>445</v>
      </c>
      <c r="F70" t="s">
        <v>562</v>
      </c>
      <c r="G70" t="s">
        <v>21</v>
      </c>
      <c r="H70" t="s">
        <v>419</v>
      </c>
      <c r="I70" t="s">
        <v>446</v>
      </c>
    </row>
    <row r="71" spans="1:9" x14ac:dyDescent="0.35">
      <c r="A71" t="s">
        <v>430</v>
      </c>
      <c r="B71" t="s">
        <v>573</v>
      </c>
      <c r="C71" t="s">
        <v>29</v>
      </c>
      <c r="D71">
        <v>2</v>
      </c>
      <c r="E71" t="s">
        <v>445</v>
      </c>
      <c r="F71" t="s">
        <v>562</v>
      </c>
      <c r="G71" t="s">
        <v>21</v>
      </c>
      <c r="H71" t="s">
        <v>419</v>
      </c>
      <c r="I71" t="s">
        <v>446</v>
      </c>
    </row>
    <row r="72" spans="1:9" x14ac:dyDescent="0.35">
      <c r="A72" t="s">
        <v>430</v>
      </c>
      <c r="B72" t="s">
        <v>573</v>
      </c>
      <c r="C72" t="s">
        <v>31</v>
      </c>
      <c r="E72" t="s">
        <v>445</v>
      </c>
      <c r="F72" t="s">
        <v>562</v>
      </c>
      <c r="G72" t="s">
        <v>21</v>
      </c>
      <c r="H72" t="s">
        <v>419</v>
      </c>
      <c r="I72" t="s">
        <v>446</v>
      </c>
    </row>
    <row r="73" spans="1:9" x14ac:dyDescent="0.35">
      <c r="A73" t="s">
        <v>430</v>
      </c>
      <c r="B73" t="s">
        <v>573</v>
      </c>
      <c r="C73" t="s">
        <v>33</v>
      </c>
      <c r="D73">
        <v>42</v>
      </c>
      <c r="E73" t="s">
        <v>445</v>
      </c>
      <c r="F73" t="s">
        <v>562</v>
      </c>
      <c r="G73" t="s">
        <v>21</v>
      </c>
      <c r="H73" t="s">
        <v>419</v>
      </c>
      <c r="I73" t="s">
        <v>446</v>
      </c>
    </row>
    <row r="74" spans="1:9" x14ac:dyDescent="0.35">
      <c r="A74" t="s">
        <v>430</v>
      </c>
      <c r="B74" t="s">
        <v>574</v>
      </c>
      <c r="C74" t="s">
        <v>26</v>
      </c>
      <c r="E74" t="s">
        <v>449</v>
      </c>
      <c r="F74" t="s">
        <v>562</v>
      </c>
      <c r="G74" t="s">
        <v>21</v>
      </c>
      <c r="H74" t="s">
        <v>419</v>
      </c>
      <c r="I74" t="s">
        <v>450</v>
      </c>
    </row>
    <row r="75" spans="1:9" x14ac:dyDescent="0.35">
      <c r="A75" t="s">
        <v>430</v>
      </c>
      <c r="B75" t="s">
        <v>574</v>
      </c>
      <c r="C75" t="s">
        <v>27</v>
      </c>
      <c r="E75" t="s">
        <v>449</v>
      </c>
      <c r="F75" t="s">
        <v>562</v>
      </c>
      <c r="G75" t="s">
        <v>21</v>
      </c>
      <c r="H75" t="s">
        <v>419</v>
      </c>
      <c r="I75" t="s">
        <v>450</v>
      </c>
    </row>
    <row r="76" spans="1:9" x14ac:dyDescent="0.35">
      <c r="A76" t="s">
        <v>430</v>
      </c>
      <c r="B76" t="s">
        <v>574</v>
      </c>
      <c r="C76" t="s">
        <v>28</v>
      </c>
      <c r="E76" t="s">
        <v>449</v>
      </c>
      <c r="F76" t="s">
        <v>562</v>
      </c>
      <c r="G76" t="s">
        <v>21</v>
      </c>
      <c r="H76" t="s">
        <v>419</v>
      </c>
      <c r="I76" t="s">
        <v>450</v>
      </c>
    </row>
    <row r="77" spans="1:9" x14ac:dyDescent="0.35">
      <c r="A77" t="s">
        <v>430</v>
      </c>
      <c r="B77" t="s">
        <v>574</v>
      </c>
      <c r="C77" t="s">
        <v>29</v>
      </c>
      <c r="E77" t="s">
        <v>449</v>
      </c>
      <c r="F77" t="s">
        <v>562</v>
      </c>
      <c r="G77" t="s">
        <v>21</v>
      </c>
      <c r="H77" t="s">
        <v>419</v>
      </c>
      <c r="I77" t="s">
        <v>450</v>
      </c>
    </row>
    <row r="78" spans="1:9" x14ac:dyDescent="0.35">
      <c r="A78" t="s">
        <v>430</v>
      </c>
      <c r="B78" t="s">
        <v>574</v>
      </c>
      <c r="C78" t="s">
        <v>31</v>
      </c>
      <c r="E78" t="s">
        <v>449</v>
      </c>
      <c r="F78" t="s">
        <v>562</v>
      </c>
      <c r="G78" t="s">
        <v>21</v>
      </c>
      <c r="H78" t="s">
        <v>419</v>
      </c>
      <c r="I78" t="s">
        <v>450</v>
      </c>
    </row>
    <row r="79" spans="1:9" x14ac:dyDescent="0.35">
      <c r="A79" t="s">
        <v>430</v>
      </c>
      <c r="B79" t="s">
        <v>574</v>
      </c>
      <c r="C79" t="s">
        <v>33</v>
      </c>
      <c r="D79">
        <v>0</v>
      </c>
      <c r="E79" t="s">
        <v>449</v>
      </c>
      <c r="F79" t="s">
        <v>562</v>
      </c>
      <c r="G79" t="s">
        <v>21</v>
      </c>
      <c r="H79" t="s">
        <v>419</v>
      </c>
      <c r="I79" t="s">
        <v>450</v>
      </c>
    </row>
    <row r="80" spans="1:9" x14ac:dyDescent="0.35">
      <c r="A80" t="s">
        <v>430</v>
      </c>
      <c r="B80" t="s">
        <v>575</v>
      </c>
      <c r="C80" t="s">
        <v>26</v>
      </c>
      <c r="D80">
        <v>16</v>
      </c>
      <c r="E80" t="s">
        <v>454</v>
      </c>
      <c r="F80" t="s">
        <v>562</v>
      </c>
      <c r="G80" t="s">
        <v>21</v>
      </c>
      <c r="H80" t="s">
        <v>419</v>
      </c>
      <c r="I80" t="s">
        <v>455</v>
      </c>
    </row>
    <row r="81" spans="1:9" x14ac:dyDescent="0.35">
      <c r="A81" t="s">
        <v>430</v>
      </c>
      <c r="B81" t="s">
        <v>575</v>
      </c>
      <c r="C81" t="s">
        <v>27</v>
      </c>
      <c r="D81">
        <v>5</v>
      </c>
      <c r="E81" t="s">
        <v>454</v>
      </c>
      <c r="F81" t="s">
        <v>562</v>
      </c>
      <c r="G81" t="s">
        <v>21</v>
      </c>
      <c r="H81" t="s">
        <v>419</v>
      </c>
      <c r="I81" t="s">
        <v>455</v>
      </c>
    </row>
    <row r="82" spans="1:9" x14ac:dyDescent="0.35">
      <c r="A82" t="s">
        <v>430</v>
      </c>
      <c r="B82" t="s">
        <v>575</v>
      </c>
      <c r="C82" t="s">
        <v>28</v>
      </c>
      <c r="D82">
        <v>6</v>
      </c>
      <c r="E82" t="s">
        <v>454</v>
      </c>
      <c r="F82" t="s">
        <v>562</v>
      </c>
      <c r="G82" t="s">
        <v>21</v>
      </c>
      <c r="H82" t="s">
        <v>419</v>
      </c>
      <c r="I82" t="s">
        <v>455</v>
      </c>
    </row>
    <row r="83" spans="1:9" x14ac:dyDescent="0.35">
      <c r="A83" t="s">
        <v>430</v>
      </c>
      <c r="B83" t="s">
        <v>575</v>
      </c>
      <c r="C83" t="s">
        <v>29</v>
      </c>
      <c r="D83">
        <v>7</v>
      </c>
      <c r="E83" t="s">
        <v>454</v>
      </c>
      <c r="F83" t="s">
        <v>562</v>
      </c>
      <c r="G83" t="s">
        <v>21</v>
      </c>
      <c r="H83" t="s">
        <v>419</v>
      </c>
      <c r="I83" t="s">
        <v>455</v>
      </c>
    </row>
    <row r="84" spans="1:9" x14ac:dyDescent="0.35">
      <c r="A84" t="s">
        <v>430</v>
      </c>
      <c r="B84" t="s">
        <v>575</v>
      </c>
      <c r="C84" t="s">
        <v>31</v>
      </c>
      <c r="D84">
        <v>6</v>
      </c>
      <c r="E84" t="s">
        <v>454</v>
      </c>
      <c r="F84" t="s">
        <v>562</v>
      </c>
      <c r="G84" t="s">
        <v>21</v>
      </c>
      <c r="H84" t="s">
        <v>419</v>
      </c>
      <c r="I84" t="s">
        <v>455</v>
      </c>
    </row>
    <row r="85" spans="1:9" x14ac:dyDescent="0.35">
      <c r="A85" t="s">
        <v>430</v>
      </c>
      <c r="B85" t="s">
        <v>575</v>
      </c>
      <c r="C85" t="s">
        <v>33</v>
      </c>
      <c r="D85">
        <v>40</v>
      </c>
      <c r="E85" t="s">
        <v>454</v>
      </c>
      <c r="F85" t="s">
        <v>562</v>
      </c>
      <c r="G85" t="s">
        <v>21</v>
      </c>
      <c r="H85" t="s">
        <v>419</v>
      </c>
      <c r="I85" t="s">
        <v>455</v>
      </c>
    </row>
    <row r="86" spans="1:9" x14ac:dyDescent="0.35">
      <c r="A86" t="s">
        <v>430</v>
      </c>
      <c r="B86" t="s">
        <v>576</v>
      </c>
      <c r="C86" t="s">
        <v>26</v>
      </c>
      <c r="D86">
        <v>10</v>
      </c>
      <c r="E86" t="s">
        <v>458</v>
      </c>
      <c r="F86" t="s">
        <v>562</v>
      </c>
      <c r="G86" t="s">
        <v>21</v>
      </c>
      <c r="H86" t="s">
        <v>419</v>
      </c>
      <c r="I86" t="s">
        <v>459</v>
      </c>
    </row>
    <row r="87" spans="1:9" x14ac:dyDescent="0.35">
      <c r="A87" t="s">
        <v>430</v>
      </c>
      <c r="B87" t="s">
        <v>576</v>
      </c>
      <c r="C87" t="s">
        <v>27</v>
      </c>
      <c r="D87">
        <v>26</v>
      </c>
      <c r="E87" t="s">
        <v>458</v>
      </c>
      <c r="F87" t="s">
        <v>562</v>
      </c>
      <c r="G87" t="s">
        <v>21</v>
      </c>
      <c r="H87" t="s">
        <v>419</v>
      </c>
      <c r="I87" t="s">
        <v>459</v>
      </c>
    </row>
    <row r="88" spans="1:9" x14ac:dyDescent="0.35">
      <c r="A88" t="s">
        <v>430</v>
      </c>
      <c r="B88" t="s">
        <v>576</v>
      </c>
      <c r="C88" t="s">
        <v>28</v>
      </c>
      <c r="E88" t="s">
        <v>458</v>
      </c>
      <c r="F88" t="s">
        <v>562</v>
      </c>
      <c r="G88" t="s">
        <v>21</v>
      </c>
      <c r="H88" t="s">
        <v>419</v>
      </c>
      <c r="I88" t="s">
        <v>459</v>
      </c>
    </row>
    <row r="89" spans="1:9" x14ac:dyDescent="0.35">
      <c r="A89" t="s">
        <v>430</v>
      </c>
      <c r="B89" t="s">
        <v>576</v>
      </c>
      <c r="C89" t="s">
        <v>29</v>
      </c>
      <c r="E89" t="s">
        <v>458</v>
      </c>
      <c r="F89" t="s">
        <v>562</v>
      </c>
      <c r="G89" t="s">
        <v>21</v>
      </c>
      <c r="H89" t="s">
        <v>419</v>
      </c>
      <c r="I89" t="s">
        <v>459</v>
      </c>
    </row>
    <row r="90" spans="1:9" x14ac:dyDescent="0.35">
      <c r="A90" t="s">
        <v>430</v>
      </c>
      <c r="B90" t="s">
        <v>576</v>
      </c>
      <c r="C90" t="s">
        <v>31</v>
      </c>
      <c r="E90" t="s">
        <v>458</v>
      </c>
      <c r="F90" t="s">
        <v>562</v>
      </c>
      <c r="G90" t="s">
        <v>21</v>
      </c>
      <c r="H90" t="s">
        <v>419</v>
      </c>
      <c r="I90" t="s">
        <v>459</v>
      </c>
    </row>
    <row r="91" spans="1:9" x14ac:dyDescent="0.35">
      <c r="A91" t="s">
        <v>430</v>
      </c>
      <c r="B91" t="s">
        <v>576</v>
      </c>
      <c r="C91" t="s">
        <v>33</v>
      </c>
      <c r="D91">
        <v>36</v>
      </c>
      <c r="E91" t="s">
        <v>458</v>
      </c>
      <c r="F91" t="s">
        <v>562</v>
      </c>
      <c r="G91" t="s">
        <v>21</v>
      </c>
      <c r="H91" t="s">
        <v>419</v>
      </c>
      <c r="I91" t="s">
        <v>459</v>
      </c>
    </row>
    <row r="92" spans="1:9" x14ac:dyDescent="0.35">
      <c r="A92" t="s">
        <v>461</v>
      </c>
      <c r="B92" t="s">
        <v>577</v>
      </c>
      <c r="C92" t="s">
        <v>26</v>
      </c>
      <c r="D92">
        <v>42</v>
      </c>
      <c r="E92" t="s">
        <v>463</v>
      </c>
      <c r="F92" t="s">
        <v>562</v>
      </c>
      <c r="G92" t="s">
        <v>21</v>
      </c>
      <c r="H92" t="s">
        <v>419</v>
      </c>
      <c r="I92" t="s">
        <v>464</v>
      </c>
    </row>
    <row r="93" spans="1:9" x14ac:dyDescent="0.35">
      <c r="A93" t="s">
        <v>461</v>
      </c>
      <c r="B93" t="s">
        <v>577</v>
      </c>
      <c r="C93" t="s">
        <v>27</v>
      </c>
      <c r="E93" t="s">
        <v>463</v>
      </c>
      <c r="F93" t="s">
        <v>562</v>
      </c>
      <c r="G93" t="s">
        <v>21</v>
      </c>
      <c r="H93" t="s">
        <v>419</v>
      </c>
      <c r="I93" t="s">
        <v>464</v>
      </c>
    </row>
    <row r="94" spans="1:9" x14ac:dyDescent="0.35">
      <c r="A94" t="s">
        <v>461</v>
      </c>
      <c r="B94" t="s">
        <v>577</v>
      </c>
      <c r="C94" t="s">
        <v>28</v>
      </c>
      <c r="E94" t="s">
        <v>463</v>
      </c>
      <c r="F94" t="s">
        <v>562</v>
      </c>
      <c r="G94" t="s">
        <v>21</v>
      </c>
      <c r="H94" t="s">
        <v>419</v>
      </c>
      <c r="I94" t="s">
        <v>464</v>
      </c>
    </row>
    <row r="95" spans="1:9" x14ac:dyDescent="0.35">
      <c r="A95" t="s">
        <v>461</v>
      </c>
      <c r="B95" t="s">
        <v>577</v>
      </c>
      <c r="C95" t="s">
        <v>29</v>
      </c>
      <c r="E95" t="s">
        <v>463</v>
      </c>
      <c r="F95" t="s">
        <v>562</v>
      </c>
      <c r="G95" t="s">
        <v>21</v>
      </c>
      <c r="H95" t="s">
        <v>419</v>
      </c>
      <c r="I95" t="s">
        <v>464</v>
      </c>
    </row>
    <row r="96" spans="1:9" x14ac:dyDescent="0.35">
      <c r="A96" t="s">
        <v>461</v>
      </c>
      <c r="B96" t="s">
        <v>577</v>
      </c>
      <c r="C96" t="s">
        <v>31</v>
      </c>
      <c r="E96" t="s">
        <v>463</v>
      </c>
      <c r="F96" t="s">
        <v>562</v>
      </c>
      <c r="G96" t="s">
        <v>21</v>
      </c>
      <c r="H96" t="s">
        <v>419</v>
      </c>
      <c r="I96" t="s">
        <v>464</v>
      </c>
    </row>
    <row r="97" spans="1:9" x14ac:dyDescent="0.35">
      <c r="A97" t="s">
        <v>461</v>
      </c>
      <c r="B97" t="s">
        <v>577</v>
      </c>
      <c r="C97" t="s">
        <v>33</v>
      </c>
      <c r="D97">
        <v>42</v>
      </c>
      <c r="E97" t="s">
        <v>463</v>
      </c>
      <c r="F97" t="s">
        <v>562</v>
      </c>
      <c r="G97" t="s">
        <v>21</v>
      </c>
      <c r="H97" t="s">
        <v>419</v>
      </c>
      <c r="I97" t="s">
        <v>464</v>
      </c>
    </row>
    <row r="98" spans="1:9" x14ac:dyDescent="0.35">
      <c r="A98" t="s">
        <v>461</v>
      </c>
      <c r="B98" t="s">
        <v>578</v>
      </c>
      <c r="C98" t="s">
        <v>26</v>
      </c>
      <c r="D98">
        <v>38</v>
      </c>
      <c r="E98" t="s">
        <v>467</v>
      </c>
      <c r="F98" t="s">
        <v>562</v>
      </c>
      <c r="G98" t="s">
        <v>21</v>
      </c>
      <c r="H98" t="s">
        <v>419</v>
      </c>
      <c r="I98" t="s">
        <v>468</v>
      </c>
    </row>
    <row r="99" spans="1:9" x14ac:dyDescent="0.35">
      <c r="A99" t="s">
        <v>461</v>
      </c>
      <c r="B99" t="s">
        <v>578</v>
      </c>
      <c r="C99" t="s">
        <v>27</v>
      </c>
      <c r="D99">
        <v>6</v>
      </c>
      <c r="E99" t="s">
        <v>467</v>
      </c>
      <c r="F99" t="s">
        <v>562</v>
      </c>
      <c r="G99" t="s">
        <v>21</v>
      </c>
      <c r="H99" t="s">
        <v>419</v>
      </c>
      <c r="I99" t="s">
        <v>468</v>
      </c>
    </row>
    <row r="100" spans="1:9" x14ac:dyDescent="0.35">
      <c r="A100" t="s">
        <v>461</v>
      </c>
      <c r="B100" t="s">
        <v>578</v>
      </c>
      <c r="C100" t="s">
        <v>28</v>
      </c>
      <c r="D100">
        <v>0</v>
      </c>
      <c r="E100" t="s">
        <v>467</v>
      </c>
      <c r="F100" t="s">
        <v>562</v>
      </c>
      <c r="G100" t="s">
        <v>21</v>
      </c>
      <c r="H100" t="s">
        <v>419</v>
      </c>
      <c r="I100" t="s">
        <v>468</v>
      </c>
    </row>
    <row r="101" spans="1:9" x14ac:dyDescent="0.35">
      <c r="A101" t="s">
        <v>461</v>
      </c>
      <c r="B101" t="s">
        <v>578</v>
      </c>
      <c r="C101" t="s">
        <v>29</v>
      </c>
      <c r="D101">
        <v>0</v>
      </c>
      <c r="E101" t="s">
        <v>467</v>
      </c>
      <c r="F101" t="s">
        <v>562</v>
      </c>
      <c r="G101" t="s">
        <v>21</v>
      </c>
      <c r="H101" t="s">
        <v>419</v>
      </c>
      <c r="I101" t="s">
        <v>468</v>
      </c>
    </row>
    <row r="102" spans="1:9" x14ac:dyDescent="0.35">
      <c r="A102" t="s">
        <v>461</v>
      </c>
      <c r="B102" t="s">
        <v>578</v>
      </c>
      <c r="C102" t="s">
        <v>31</v>
      </c>
      <c r="D102">
        <v>0</v>
      </c>
      <c r="E102" t="s">
        <v>467</v>
      </c>
      <c r="F102" t="s">
        <v>562</v>
      </c>
      <c r="G102" t="s">
        <v>21</v>
      </c>
      <c r="H102" t="s">
        <v>419</v>
      </c>
      <c r="I102" t="s">
        <v>468</v>
      </c>
    </row>
    <row r="103" spans="1:9" x14ac:dyDescent="0.35">
      <c r="A103" t="s">
        <v>461</v>
      </c>
      <c r="B103" t="s">
        <v>578</v>
      </c>
      <c r="C103" t="s">
        <v>33</v>
      </c>
      <c r="D103">
        <v>44</v>
      </c>
      <c r="E103" t="s">
        <v>467</v>
      </c>
      <c r="F103" t="s">
        <v>562</v>
      </c>
      <c r="G103" t="s">
        <v>21</v>
      </c>
      <c r="H103" t="s">
        <v>419</v>
      </c>
      <c r="I103" t="s">
        <v>468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F62A-026D-404B-AF67-23032E49391E}">
  <sheetPr codeName="Sheet14"/>
  <dimension ref="A1:K152"/>
  <sheetViews>
    <sheetView topLeftCell="F1" workbookViewId="0">
      <selection activeCell="O47" sqref="O47"/>
    </sheetView>
  </sheetViews>
  <sheetFormatPr defaultColWidth="8.81640625" defaultRowHeight="14.5" x14ac:dyDescent="0.35"/>
  <cols>
    <col min="1" max="1" width="49" bestFit="1" customWidth="1"/>
    <col min="2" max="2" width="16.81640625" bestFit="1" customWidth="1"/>
    <col min="3" max="3" width="39.54296875" bestFit="1" customWidth="1"/>
    <col min="4" max="4" width="13.453125" bestFit="1" customWidth="1"/>
    <col min="5" max="5" width="43.54296875" bestFit="1" customWidth="1"/>
    <col min="6" max="6" width="81.1796875" bestFit="1" customWidth="1"/>
    <col min="7" max="7" width="14.81640625" bestFit="1" customWidth="1"/>
    <col min="8" max="8" width="12.54296875" bestFit="1" customWidth="1"/>
    <col min="9" max="9" width="15.453125" bestFit="1" customWidth="1"/>
    <col min="10" max="10" width="12.1796875" bestFit="1" customWidth="1"/>
    <col min="11" max="11" width="44.453125" bestFit="1" customWidth="1"/>
  </cols>
  <sheetData>
    <row r="1" spans="1:11" x14ac:dyDescent="0.35">
      <c r="A1" t="s">
        <v>409</v>
      </c>
      <c r="B1" t="s">
        <v>410</v>
      </c>
      <c r="C1" t="s">
        <v>47</v>
      </c>
      <c r="D1" t="s">
        <v>37</v>
      </c>
      <c r="E1" t="s">
        <v>65</v>
      </c>
      <c r="F1" t="s">
        <v>66</v>
      </c>
      <c r="G1" t="s">
        <v>411</v>
      </c>
      <c r="H1" t="s">
        <v>412</v>
      </c>
      <c r="I1" t="s">
        <v>413</v>
      </c>
      <c r="J1" t="s">
        <v>414</v>
      </c>
      <c r="K1" t="s">
        <v>415</v>
      </c>
    </row>
    <row r="2" spans="1:11" x14ac:dyDescent="0.35">
      <c r="A2" t="s">
        <v>416</v>
      </c>
      <c r="B2" t="s">
        <v>579</v>
      </c>
      <c r="C2" t="s">
        <v>53</v>
      </c>
      <c r="D2" t="s">
        <v>39</v>
      </c>
      <c r="E2" t="s">
        <v>67</v>
      </c>
      <c r="F2" t="s">
        <v>68</v>
      </c>
      <c r="G2" t="s">
        <v>5</v>
      </c>
      <c r="H2" t="s">
        <v>580</v>
      </c>
      <c r="I2" t="s">
        <v>21</v>
      </c>
      <c r="J2" t="s">
        <v>419</v>
      </c>
      <c r="K2" t="s">
        <v>8</v>
      </c>
    </row>
    <row r="3" spans="1:11" x14ac:dyDescent="0.35">
      <c r="A3" t="s">
        <v>416</v>
      </c>
      <c r="B3" t="s">
        <v>579</v>
      </c>
      <c r="C3" t="s">
        <v>53</v>
      </c>
      <c r="D3" t="s">
        <v>39</v>
      </c>
      <c r="E3" t="s">
        <v>67</v>
      </c>
      <c r="F3" t="s">
        <v>69</v>
      </c>
      <c r="G3" t="s">
        <v>5</v>
      </c>
      <c r="H3" t="s">
        <v>580</v>
      </c>
      <c r="I3" t="s">
        <v>21</v>
      </c>
      <c r="J3" t="s">
        <v>419</v>
      </c>
      <c r="K3" t="s">
        <v>8</v>
      </c>
    </row>
    <row r="4" spans="1:11" x14ac:dyDescent="0.35">
      <c r="A4" t="s">
        <v>416</v>
      </c>
      <c r="B4" t="s">
        <v>579</v>
      </c>
      <c r="C4" t="s">
        <v>53</v>
      </c>
      <c r="D4" t="s">
        <v>39</v>
      </c>
      <c r="E4" t="s">
        <v>67</v>
      </c>
      <c r="F4" t="s">
        <v>70</v>
      </c>
      <c r="G4" t="s">
        <v>5</v>
      </c>
      <c r="H4" t="s">
        <v>580</v>
      </c>
      <c r="I4" t="s">
        <v>21</v>
      </c>
      <c r="J4" t="s">
        <v>419</v>
      </c>
      <c r="K4" t="s">
        <v>8</v>
      </c>
    </row>
    <row r="5" spans="1:11" x14ac:dyDescent="0.35">
      <c r="A5" t="s">
        <v>416</v>
      </c>
      <c r="B5" t="s">
        <v>579</v>
      </c>
      <c r="C5" t="s">
        <v>53</v>
      </c>
      <c r="D5" t="s">
        <v>39</v>
      </c>
      <c r="E5" t="s">
        <v>71</v>
      </c>
      <c r="F5" t="s">
        <v>72</v>
      </c>
      <c r="G5" t="s">
        <v>5</v>
      </c>
      <c r="H5" t="s">
        <v>580</v>
      </c>
      <c r="I5" t="s">
        <v>21</v>
      </c>
      <c r="J5" t="s">
        <v>419</v>
      </c>
      <c r="K5" t="s">
        <v>8</v>
      </c>
    </row>
    <row r="6" spans="1:11" x14ac:dyDescent="0.35">
      <c r="A6" t="s">
        <v>416</v>
      </c>
      <c r="B6" t="s">
        <v>579</v>
      </c>
      <c r="C6" t="s">
        <v>53</v>
      </c>
      <c r="D6" t="s">
        <v>39</v>
      </c>
      <c r="E6" t="s">
        <v>73</v>
      </c>
      <c r="F6" t="s">
        <v>74</v>
      </c>
      <c r="G6" t="s">
        <v>5</v>
      </c>
      <c r="H6" t="s">
        <v>580</v>
      </c>
      <c r="I6" t="s">
        <v>21</v>
      </c>
      <c r="J6" t="s">
        <v>419</v>
      </c>
      <c r="K6" t="s">
        <v>8</v>
      </c>
    </row>
    <row r="7" spans="1:11" x14ac:dyDescent="0.35">
      <c r="A7" t="s">
        <v>416</v>
      </c>
      <c r="B7" t="s">
        <v>579</v>
      </c>
      <c r="C7" t="s">
        <v>57</v>
      </c>
      <c r="D7" t="s">
        <v>41</v>
      </c>
      <c r="E7" t="s">
        <v>73</v>
      </c>
      <c r="F7" t="s">
        <v>75</v>
      </c>
      <c r="G7" t="s">
        <v>5</v>
      </c>
      <c r="H7" t="s">
        <v>580</v>
      </c>
      <c r="I7" t="s">
        <v>21</v>
      </c>
      <c r="J7" t="s">
        <v>419</v>
      </c>
      <c r="K7" t="s">
        <v>8</v>
      </c>
    </row>
    <row r="8" spans="1:11" x14ac:dyDescent="0.35">
      <c r="A8" t="s">
        <v>416</v>
      </c>
      <c r="B8" t="s">
        <v>579</v>
      </c>
      <c r="C8" t="s">
        <v>57</v>
      </c>
      <c r="D8" t="s">
        <v>41</v>
      </c>
      <c r="E8" t="s">
        <v>76</v>
      </c>
      <c r="F8" t="s">
        <v>77</v>
      </c>
      <c r="G8" t="s">
        <v>5</v>
      </c>
      <c r="H8" t="s">
        <v>580</v>
      </c>
      <c r="I8" t="s">
        <v>21</v>
      </c>
      <c r="J8" t="s">
        <v>419</v>
      </c>
      <c r="K8" t="s">
        <v>8</v>
      </c>
    </row>
    <row r="9" spans="1:11" x14ac:dyDescent="0.35">
      <c r="A9" t="s">
        <v>416</v>
      </c>
      <c r="B9" t="s">
        <v>579</v>
      </c>
      <c r="C9" t="s">
        <v>57</v>
      </c>
      <c r="D9" t="s">
        <v>41</v>
      </c>
      <c r="E9" t="s">
        <v>73</v>
      </c>
      <c r="F9" t="s">
        <v>78</v>
      </c>
      <c r="G9" t="s">
        <v>5</v>
      </c>
      <c r="H9" t="s">
        <v>580</v>
      </c>
      <c r="I9" t="s">
        <v>21</v>
      </c>
      <c r="J9" t="s">
        <v>419</v>
      </c>
      <c r="K9" t="s">
        <v>8</v>
      </c>
    </row>
    <row r="10" spans="1:11" x14ac:dyDescent="0.35">
      <c r="A10" t="s">
        <v>416</v>
      </c>
      <c r="B10" t="s">
        <v>581</v>
      </c>
      <c r="C10" t="s">
        <v>53</v>
      </c>
      <c r="D10" t="s">
        <v>39</v>
      </c>
      <c r="E10" t="s">
        <v>119</v>
      </c>
      <c r="F10" t="s">
        <v>178</v>
      </c>
      <c r="G10" t="s">
        <v>99</v>
      </c>
      <c r="H10" t="s">
        <v>580</v>
      </c>
      <c r="I10" t="s">
        <v>21</v>
      </c>
      <c r="J10" t="s">
        <v>419</v>
      </c>
      <c r="K10" t="s">
        <v>421</v>
      </c>
    </row>
    <row r="11" spans="1:11" x14ac:dyDescent="0.35">
      <c r="A11" t="s">
        <v>416</v>
      </c>
      <c r="B11" t="s">
        <v>581</v>
      </c>
      <c r="C11" t="s">
        <v>53</v>
      </c>
      <c r="D11" t="s">
        <v>41</v>
      </c>
      <c r="E11" t="s">
        <v>119</v>
      </c>
      <c r="F11" t="s">
        <v>121</v>
      </c>
      <c r="G11" t="s">
        <v>99</v>
      </c>
      <c r="H11" t="s">
        <v>580</v>
      </c>
      <c r="I11" t="s">
        <v>21</v>
      </c>
      <c r="J11" t="s">
        <v>419</v>
      </c>
      <c r="K11" t="s">
        <v>421</v>
      </c>
    </row>
    <row r="12" spans="1:11" x14ac:dyDescent="0.35">
      <c r="A12" t="s">
        <v>416</v>
      </c>
      <c r="B12" t="s">
        <v>581</v>
      </c>
      <c r="C12" t="s">
        <v>53</v>
      </c>
      <c r="D12" t="s">
        <v>43</v>
      </c>
      <c r="E12" t="s">
        <v>134</v>
      </c>
      <c r="F12" t="s">
        <v>383</v>
      </c>
      <c r="G12" t="s">
        <v>99</v>
      </c>
      <c r="H12" t="s">
        <v>580</v>
      </c>
      <c r="I12" t="s">
        <v>21</v>
      </c>
      <c r="J12" t="s">
        <v>419</v>
      </c>
      <c r="K12" t="s">
        <v>421</v>
      </c>
    </row>
    <row r="13" spans="1:11" x14ac:dyDescent="0.35">
      <c r="A13" t="s">
        <v>416</v>
      </c>
      <c r="B13" t="s">
        <v>581</v>
      </c>
      <c r="C13" t="s">
        <v>53</v>
      </c>
      <c r="D13" t="s">
        <v>44</v>
      </c>
      <c r="E13" t="s">
        <v>76</v>
      </c>
      <c r="F13" t="s">
        <v>77</v>
      </c>
      <c r="G13" t="s">
        <v>99</v>
      </c>
      <c r="H13" t="s">
        <v>580</v>
      </c>
      <c r="I13" t="s">
        <v>21</v>
      </c>
      <c r="J13" t="s">
        <v>419</v>
      </c>
      <c r="K13" t="s">
        <v>421</v>
      </c>
    </row>
    <row r="14" spans="1:11" x14ac:dyDescent="0.35">
      <c r="A14" t="s">
        <v>416</v>
      </c>
      <c r="B14" t="s">
        <v>581</v>
      </c>
      <c r="C14" t="s">
        <v>53</v>
      </c>
      <c r="D14" t="s">
        <v>44</v>
      </c>
      <c r="E14" t="s">
        <v>76</v>
      </c>
      <c r="F14" t="s">
        <v>123</v>
      </c>
      <c r="G14" t="s">
        <v>99</v>
      </c>
      <c r="H14" t="s">
        <v>580</v>
      </c>
      <c r="I14" t="s">
        <v>21</v>
      </c>
      <c r="J14" t="s">
        <v>419</v>
      </c>
      <c r="K14" t="s">
        <v>421</v>
      </c>
    </row>
    <row r="15" spans="1:11" x14ac:dyDescent="0.35">
      <c r="A15" t="s">
        <v>416</v>
      </c>
      <c r="B15" t="s">
        <v>581</v>
      </c>
      <c r="C15" t="s">
        <v>57</v>
      </c>
      <c r="D15" t="s">
        <v>39</v>
      </c>
      <c r="E15" t="s">
        <v>119</v>
      </c>
      <c r="F15" t="s">
        <v>121</v>
      </c>
      <c r="G15" t="s">
        <v>99</v>
      </c>
      <c r="H15" t="s">
        <v>580</v>
      </c>
      <c r="I15" t="s">
        <v>21</v>
      </c>
      <c r="J15" t="s">
        <v>419</v>
      </c>
      <c r="K15" t="s">
        <v>421</v>
      </c>
    </row>
    <row r="16" spans="1:11" x14ac:dyDescent="0.35">
      <c r="A16" t="s">
        <v>416</v>
      </c>
      <c r="B16" t="s">
        <v>581</v>
      </c>
      <c r="C16" t="s">
        <v>57</v>
      </c>
      <c r="D16" t="s">
        <v>41</v>
      </c>
      <c r="E16" t="s">
        <v>134</v>
      </c>
      <c r="F16" t="s">
        <v>383</v>
      </c>
      <c r="G16" t="s">
        <v>99</v>
      </c>
      <c r="H16" t="s">
        <v>580</v>
      </c>
      <c r="I16" t="s">
        <v>21</v>
      </c>
      <c r="J16" t="s">
        <v>419</v>
      </c>
      <c r="K16" t="s">
        <v>421</v>
      </c>
    </row>
    <row r="17" spans="1:11" x14ac:dyDescent="0.35">
      <c r="A17" t="s">
        <v>416</v>
      </c>
      <c r="B17" t="s">
        <v>581</v>
      </c>
      <c r="C17" t="s">
        <v>57</v>
      </c>
      <c r="D17" t="s">
        <v>43</v>
      </c>
      <c r="E17" t="s">
        <v>76</v>
      </c>
      <c r="F17" t="s">
        <v>77</v>
      </c>
      <c r="G17" t="s">
        <v>99</v>
      </c>
      <c r="H17" t="s">
        <v>580</v>
      </c>
      <c r="I17" t="s">
        <v>21</v>
      </c>
      <c r="J17" t="s">
        <v>419</v>
      </c>
      <c r="K17" t="s">
        <v>421</v>
      </c>
    </row>
    <row r="18" spans="1:11" x14ac:dyDescent="0.35">
      <c r="A18" t="s">
        <v>416</v>
      </c>
      <c r="B18" t="s">
        <v>581</v>
      </c>
      <c r="C18" t="s">
        <v>57</v>
      </c>
      <c r="D18" t="s">
        <v>44</v>
      </c>
      <c r="E18" t="s">
        <v>134</v>
      </c>
      <c r="F18" t="s">
        <v>135</v>
      </c>
      <c r="G18" t="s">
        <v>99</v>
      </c>
      <c r="H18" t="s">
        <v>580</v>
      </c>
      <c r="I18" t="s">
        <v>21</v>
      </c>
      <c r="J18" t="s">
        <v>419</v>
      </c>
      <c r="K18" t="s">
        <v>421</v>
      </c>
    </row>
    <row r="19" spans="1:11" x14ac:dyDescent="0.35">
      <c r="A19" t="s">
        <v>416</v>
      </c>
      <c r="B19" t="s">
        <v>582</v>
      </c>
      <c r="C19" t="s">
        <v>53</v>
      </c>
      <c r="D19" t="s">
        <v>39</v>
      </c>
      <c r="E19" t="s">
        <v>76</v>
      </c>
      <c r="F19" t="s">
        <v>123</v>
      </c>
      <c r="G19" t="s">
        <v>160</v>
      </c>
      <c r="H19" t="s">
        <v>580</v>
      </c>
      <c r="I19" t="s">
        <v>21</v>
      </c>
      <c r="J19" t="s">
        <v>419</v>
      </c>
      <c r="K19" t="s">
        <v>162</v>
      </c>
    </row>
    <row r="20" spans="1:11" x14ac:dyDescent="0.35">
      <c r="A20" t="s">
        <v>416</v>
      </c>
      <c r="B20" t="s">
        <v>582</v>
      </c>
      <c r="C20" t="s">
        <v>53</v>
      </c>
      <c r="D20" t="s">
        <v>39</v>
      </c>
      <c r="E20" t="s">
        <v>126</v>
      </c>
      <c r="F20" t="s">
        <v>127</v>
      </c>
      <c r="G20" t="s">
        <v>160</v>
      </c>
      <c r="H20" t="s">
        <v>580</v>
      </c>
      <c r="I20" t="s">
        <v>21</v>
      </c>
      <c r="J20" t="s">
        <v>419</v>
      </c>
      <c r="K20" t="s">
        <v>162</v>
      </c>
    </row>
    <row r="21" spans="1:11" x14ac:dyDescent="0.35">
      <c r="A21" t="s">
        <v>416</v>
      </c>
      <c r="B21" t="s">
        <v>582</v>
      </c>
      <c r="C21" t="s">
        <v>53</v>
      </c>
      <c r="D21" t="s">
        <v>39</v>
      </c>
      <c r="E21" t="s">
        <v>134</v>
      </c>
      <c r="F21" t="s">
        <v>135</v>
      </c>
      <c r="G21" t="s">
        <v>160</v>
      </c>
      <c r="H21" t="s">
        <v>580</v>
      </c>
      <c r="I21" t="s">
        <v>21</v>
      </c>
      <c r="J21" t="s">
        <v>419</v>
      </c>
      <c r="K21" t="s">
        <v>162</v>
      </c>
    </row>
    <row r="22" spans="1:11" x14ac:dyDescent="0.35">
      <c r="A22" t="s">
        <v>416</v>
      </c>
      <c r="B22" t="s">
        <v>582</v>
      </c>
      <c r="C22" t="s">
        <v>53</v>
      </c>
      <c r="D22" t="s">
        <v>41</v>
      </c>
      <c r="E22" t="s">
        <v>71</v>
      </c>
      <c r="F22" t="s">
        <v>131</v>
      </c>
      <c r="G22" t="s">
        <v>160</v>
      </c>
      <c r="H22" t="s">
        <v>580</v>
      </c>
      <c r="I22" t="s">
        <v>21</v>
      </c>
      <c r="J22" t="s">
        <v>419</v>
      </c>
      <c r="K22" t="s">
        <v>162</v>
      </c>
    </row>
    <row r="23" spans="1:11" x14ac:dyDescent="0.35">
      <c r="A23" t="s">
        <v>416</v>
      </c>
      <c r="B23" t="s">
        <v>582</v>
      </c>
      <c r="C23" t="s">
        <v>57</v>
      </c>
      <c r="D23" t="s">
        <v>39</v>
      </c>
      <c r="E23" t="s">
        <v>119</v>
      </c>
      <c r="F23" t="s">
        <v>178</v>
      </c>
      <c r="G23" t="s">
        <v>160</v>
      </c>
      <c r="H23" t="s">
        <v>580</v>
      </c>
      <c r="I23" t="s">
        <v>21</v>
      </c>
      <c r="J23" t="s">
        <v>419</v>
      </c>
      <c r="K23" t="s">
        <v>162</v>
      </c>
    </row>
    <row r="24" spans="1:11" x14ac:dyDescent="0.35">
      <c r="A24" t="s">
        <v>416</v>
      </c>
      <c r="B24" t="s">
        <v>582</v>
      </c>
      <c r="C24" t="s">
        <v>57</v>
      </c>
      <c r="D24" t="s">
        <v>41</v>
      </c>
      <c r="E24" t="s">
        <v>71</v>
      </c>
      <c r="F24" t="s">
        <v>72</v>
      </c>
      <c r="G24" t="s">
        <v>160</v>
      </c>
      <c r="H24" t="s">
        <v>580</v>
      </c>
      <c r="I24" t="s">
        <v>21</v>
      </c>
      <c r="J24" t="s">
        <v>419</v>
      </c>
      <c r="K24" t="s">
        <v>162</v>
      </c>
    </row>
    <row r="25" spans="1:11" x14ac:dyDescent="0.35">
      <c r="A25" t="s">
        <v>416</v>
      </c>
      <c r="B25" t="s">
        <v>582</v>
      </c>
      <c r="C25" t="s">
        <v>57</v>
      </c>
      <c r="D25" t="s">
        <v>41</v>
      </c>
      <c r="E25" t="s">
        <v>67</v>
      </c>
      <c r="F25" t="s">
        <v>70</v>
      </c>
      <c r="G25" t="s">
        <v>160</v>
      </c>
      <c r="H25" t="s">
        <v>580</v>
      </c>
      <c r="I25" t="s">
        <v>21</v>
      </c>
      <c r="J25" t="s">
        <v>419</v>
      </c>
      <c r="K25" t="s">
        <v>162</v>
      </c>
    </row>
    <row r="26" spans="1:11" x14ac:dyDescent="0.35">
      <c r="A26" t="s">
        <v>416</v>
      </c>
      <c r="B26" t="s">
        <v>582</v>
      </c>
      <c r="C26" t="s">
        <v>57</v>
      </c>
      <c r="D26" t="s">
        <v>43</v>
      </c>
      <c r="E26" t="s">
        <v>73</v>
      </c>
      <c r="F26" t="s">
        <v>75</v>
      </c>
      <c r="G26" t="s">
        <v>160</v>
      </c>
      <c r="H26" t="s">
        <v>580</v>
      </c>
      <c r="I26" t="s">
        <v>21</v>
      </c>
      <c r="J26" t="s">
        <v>419</v>
      </c>
      <c r="K26" t="s">
        <v>162</v>
      </c>
    </row>
    <row r="27" spans="1:11" x14ac:dyDescent="0.35">
      <c r="A27" t="s">
        <v>416</v>
      </c>
      <c r="B27" t="s">
        <v>583</v>
      </c>
      <c r="C27" t="s">
        <v>53</v>
      </c>
      <c r="D27" t="s">
        <v>39</v>
      </c>
      <c r="E27" t="s">
        <v>119</v>
      </c>
      <c r="F27" t="s">
        <v>121</v>
      </c>
      <c r="G27" t="s">
        <v>195</v>
      </c>
      <c r="H27" t="s">
        <v>580</v>
      </c>
      <c r="I27" t="s">
        <v>21</v>
      </c>
      <c r="J27" t="s">
        <v>419</v>
      </c>
      <c r="K27" t="s">
        <v>197</v>
      </c>
    </row>
    <row r="28" spans="1:11" x14ac:dyDescent="0.35">
      <c r="A28" t="s">
        <v>416</v>
      </c>
      <c r="B28" t="s">
        <v>583</v>
      </c>
      <c r="C28" t="s">
        <v>53</v>
      </c>
      <c r="D28" t="s">
        <v>39</v>
      </c>
      <c r="E28" t="s">
        <v>119</v>
      </c>
      <c r="F28" t="s">
        <v>122</v>
      </c>
      <c r="G28" t="s">
        <v>195</v>
      </c>
      <c r="H28" t="s">
        <v>580</v>
      </c>
      <c r="I28" t="s">
        <v>21</v>
      </c>
      <c r="J28" t="s">
        <v>419</v>
      </c>
      <c r="K28" t="s">
        <v>197</v>
      </c>
    </row>
    <row r="29" spans="1:11" x14ac:dyDescent="0.35">
      <c r="A29" t="s">
        <v>416</v>
      </c>
      <c r="B29" t="s">
        <v>583</v>
      </c>
      <c r="C29" t="s">
        <v>53</v>
      </c>
      <c r="D29" t="s">
        <v>39</v>
      </c>
      <c r="E29" t="s">
        <v>124</v>
      </c>
      <c r="F29" t="s">
        <v>125</v>
      </c>
      <c r="G29" t="s">
        <v>195</v>
      </c>
      <c r="H29" t="s">
        <v>580</v>
      </c>
      <c r="I29" t="s">
        <v>21</v>
      </c>
      <c r="J29" t="s">
        <v>419</v>
      </c>
      <c r="K29" t="s">
        <v>197</v>
      </c>
    </row>
    <row r="30" spans="1:11" x14ac:dyDescent="0.35">
      <c r="A30" t="s">
        <v>416</v>
      </c>
      <c r="B30" t="s">
        <v>583</v>
      </c>
      <c r="C30" t="s">
        <v>53</v>
      </c>
      <c r="D30" t="s">
        <v>43</v>
      </c>
      <c r="E30" t="s">
        <v>124</v>
      </c>
      <c r="F30" t="s">
        <v>211</v>
      </c>
      <c r="G30" t="s">
        <v>195</v>
      </c>
      <c r="H30" t="s">
        <v>580</v>
      </c>
      <c r="I30" t="s">
        <v>21</v>
      </c>
      <c r="J30" t="s">
        <v>419</v>
      </c>
      <c r="K30" t="s">
        <v>197</v>
      </c>
    </row>
    <row r="31" spans="1:11" x14ac:dyDescent="0.35">
      <c r="A31" t="s">
        <v>416</v>
      </c>
      <c r="B31" t="s">
        <v>583</v>
      </c>
      <c r="C31" t="s">
        <v>53</v>
      </c>
      <c r="D31" t="s">
        <v>43</v>
      </c>
      <c r="E31" t="s">
        <v>124</v>
      </c>
      <c r="F31" t="s">
        <v>212</v>
      </c>
      <c r="G31" t="s">
        <v>195</v>
      </c>
      <c r="H31" t="s">
        <v>580</v>
      </c>
      <c r="I31" t="s">
        <v>21</v>
      </c>
      <c r="J31" t="s">
        <v>419</v>
      </c>
      <c r="K31" t="s">
        <v>197</v>
      </c>
    </row>
    <row r="32" spans="1:11" x14ac:dyDescent="0.35">
      <c r="A32" t="s">
        <v>416</v>
      </c>
      <c r="B32" t="s">
        <v>583</v>
      </c>
      <c r="C32" t="s">
        <v>53</v>
      </c>
      <c r="D32" t="s">
        <v>43</v>
      </c>
      <c r="E32" t="s">
        <v>67</v>
      </c>
      <c r="F32" t="s">
        <v>213</v>
      </c>
      <c r="G32" t="s">
        <v>195</v>
      </c>
      <c r="H32" t="s">
        <v>580</v>
      </c>
      <c r="I32" t="s">
        <v>21</v>
      </c>
      <c r="J32" t="s">
        <v>419</v>
      </c>
      <c r="K32" t="s">
        <v>197</v>
      </c>
    </row>
    <row r="33" spans="1:11" x14ac:dyDescent="0.35">
      <c r="A33" t="s">
        <v>416</v>
      </c>
      <c r="B33" t="s">
        <v>583</v>
      </c>
      <c r="C33" t="s">
        <v>57</v>
      </c>
      <c r="D33" t="s">
        <v>41</v>
      </c>
      <c r="E33" t="s">
        <v>124</v>
      </c>
      <c r="F33" t="s">
        <v>211</v>
      </c>
      <c r="G33" t="s">
        <v>195</v>
      </c>
      <c r="H33" t="s">
        <v>580</v>
      </c>
      <c r="I33" t="s">
        <v>21</v>
      </c>
      <c r="J33" t="s">
        <v>419</v>
      </c>
      <c r="K33" t="s">
        <v>197</v>
      </c>
    </row>
    <row r="34" spans="1:11" x14ac:dyDescent="0.35">
      <c r="A34" t="s">
        <v>416</v>
      </c>
      <c r="B34" t="s">
        <v>583</v>
      </c>
      <c r="C34" t="s">
        <v>57</v>
      </c>
      <c r="D34" t="s">
        <v>43</v>
      </c>
      <c r="E34" t="s">
        <v>67</v>
      </c>
      <c r="F34" t="s">
        <v>68</v>
      </c>
      <c r="G34" t="s">
        <v>195</v>
      </c>
      <c r="H34" t="s">
        <v>580</v>
      </c>
      <c r="I34" t="s">
        <v>21</v>
      </c>
      <c r="J34" t="s">
        <v>419</v>
      </c>
      <c r="K34" t="s">
        <v>197</v>
      </c>
    </row>
    <row r="35" spans="1:11" x14ac:dyDescent="0.35">
      <c r="A35" t="s">
        <v>416</v>
      </c>
      <c r="B35" t="s">
        <v>583</v>
      </c>
      <c r="C35" t="s">
        <v>62</v>
      </c>
      <c r="D35" t="s">
        <v>41</v>
      </c>
      <c r="E35" t="s">
        <v>119</v>
      </c>
      <c r="F35" t="s">
        <v>120</v>
      </c>
      <c r="G35" t="s">
        <v>195</v>
      </c>
      <c r="H35" t="s">
        <v>580</v>
      </c>
      <c r="I35" t="s">
        <v>21</v>
      </c>
      <c r="J35" t="s">
        <v>419</v>
      </c>
      <c r="K35" t="s">
        <v>197</v>
      </c>
    </row>
    <row r="36" spans="1:11" x14ac:dyDescent="0.35">
      <c r="A36" t="s">
        <v>416</v>
      </c>
      <c r="B36" t="s">
        <v>584</v>
      </c>
      <c r="C36" t="s">
        <v>53</v>
      </c>
      <c r="D36" t="s">
        <v>39</v>
      </c>
      <c r="E36" t="s">
        <v>119</v>
      </c>
      <c r="F36" t="s">
        <v>121</v>
      </c>
      <c r="G36" t="s">
        <v>240</v>
      </c>
      <c r="H36" t="s">
        <v>580</v>
      </c>
      <c r="I36" t="s">
        <v>21</v>
      </c>
      <c r="J36" t="s">
        <v>419</v>
      </c>
      <c r="K36" t="s">
        <v>241</v>
      </c>
    </row>
    <row r="37" spans="1:11" x14ac:dyDescent="0.35">
      <c r="A37" t="s">
        <v>416</v>
      </c>
      <c r="B37" t="s">
        <v>584</v>
      </c>
      <c r="C37" t="s">
        <v>53</v>
      </c>
      <c r="D37" t="s">
        <v>39</v>
      </c>
      <c r="E37" t="s">
        <v>124</v>
      </c>
      <c r="F37" t="s">
        <v>212</v>
      </c>
      <c r="G37" t="s">
        <v>240</v>
      </c>
      <c r="H37" t="s">
        <v>580</v>
      </c>
      <c r="I37" t="s">
        <v>21</v>
      </c>
      <c r="J37" t="s">
        <v>419</v>
      </c>
      <c r="K37" t="s">
        <v>241</v>
      </c>
    </row>
    <row r="38" spans="1:11" x14ac:dyDescent="0.35">
      <c r="A38" t="s">
        <v>416</v>
      </c>
      <c r="B38" t="s">
        <v>584</v>
      </c>
      <c r="C38" t="s">
        <v>53</v>
      </c>
      <c r="D38" t="s">
        <v>39</v>
      </c>
      <c r="E38" t="s">
        <v>76</v>
      </c>
      <c r="F38" t="s">
        <v>371</v>
      </c>
      <c r="G38" t="s">
        <v>240</v>
      </c>
      <c r="H38" t="s">
        <v>580</v>
      </c>
      <c r="I38" t="s">
        <v>21</v>
      </c>
      <c r="J38" t="s">
        <v>419</v>
      </c>
      <c r="K38" t="s">
        <v>241</v>
      </c>
    </row>
    <row r="39" spans="1:11" x14ac:dyDescent="0.35">
      <c r="A39" t="s">
        <v>416</v>
      </c>
      <c r="B39" t="s">
        <v>584</v>
      </c>
      <c r="C39" t="s">
        <v>53</v>
      </c>
      <c r="D39" t="s">
        <v>41</v>
      </c>
      <c r="E39" t="s">
        <v>67</v>
      </c>
      <c r="F39" t="s">
        <v>68</v>
      </c>
      <c r="G39" t="s">
        <v>240</v>
      </c>
      <c r="H39" t="s">
        <v>580</v>
      </c>
      <c r="I39" t="s">
        <v>21</v>
      </c>
      <c r="J39" t="s">
        <v>419</v>
      </c>
      <c r="K39" t="s">
        <v>241</v>
      </c>
    </row>
    <row r="40" spans="1:11" x14ac:dyDescent="0.35">
      <c r="A40" t="s">
        <v>416</v>
      </c>
      <c r="B40" t="s">
        <v>584</v>
      </c>
      <c r="C40" t="s">
        <v>53</v>
      </c>
      <c r="D40" t="s">
        <v>41</v>
      </c>
      <c r="E40" t="s">
        <v>126</v>
      </c>
      <c r="F40" t="s">
        <v>389</v>
      </c>
      <c r="G40" t="s">
        <v>240</v>
      </c>
      <c r="H40" t="s">
        <v>580</v>
      </c>
      <c r="I40" t="s">
        <v>21</v>
      </c>
      <c r="J40" t="s">
        <v>419</v>
      </c>
      <c r="K40" t="s">
        <v>241</v>
      </c>
    </row>
    <row r="41" spans="1:11" x14ac:dyDescent="0.35">
      <c r="A41" t="s">
        <v>416</v>
      </c>
      <c r="B41" t="s">
        <v>584</v>
      </c>
      <c r="C41" t="s">
        <v>53</v>
      </c>
      <c r="D41" t="s">
        <v>41</v>
      </c>
      <c r="E41" t="s">
        <v>316</v>
      </c>
      <c r="F41" t="s">
        <v>397</v>
      </c>
      <c r="G41" t="s">
        <v>240</v>
      </c>
      <c r="H41" t="s">
        <v>580</v>
      </c>
      <c r="I41" t="s">
        <v>21</v>
      </c>
      <c r="J41" t="s">
        <v>419</v>
      </c>
      <c r="K41" t="s">
        <v>241</v>
      </c>
    </row>
    <row r="42" spans="1:11" x14ac:dyDescent="0.35">
      <c r="A42" t="s">
        <v>416</v>
      </c>
      <c r="B42" t="s">
        <v>585</v>
      </c>
      <c r="C42" t="s">
        <v>53</v>
      </c>
      <c r="D42" t="s">
        <v>39</v>
      </c>
      <c r="E42" t="s">
        <v>119</v>
      </c>
      <c r="F42" t="s">
        <v>178</v>
      </c>
      <c r="G42" t="s">
        <v>264</v>
      </c>
      <c r="H42" t="s">
        <v>580</v>
      </c>
      <c r="I42" t="s">
        <v>21</v>
      </c>
      <c r="J42" t="s">
        <v>419</v>
      </c>
      <c r="K42" t="s">
        <v>266</v>
      </c>
    </row>
    <row r="43" spans="1:11" x14ac:dyDescent="0.35">
      <c r="A43" t="s">
        <v>416</v>
      </c>
      <c r="B43" t="s">
        <v>585</v>
      </c>
      <c r="C43" t="s">
        <v>53</v>
      </c>
      <c r="D43" t="s">
        <v>39</v>
      </c>
      <c r="E43" t="s">
        <v>119</v>
      </c>
      <c r="F43" t="s">
        <v>121</v>
      </c>
      <c r="G43" t="s">
        <v>264</v>
      </c>
      <c r="H43" t="s">
        <v>580</v>
      </c>
      <c r="I43" t="s">
        <v>21</v>
      </c>
      <c r="J43" t="s">
        <v>419</v>
      </c>
      <c r="K43" t="s">
        <v>266</v>
      </c>
    </row>
    <row r="44" spans="1:11" x14ac:dyDescent="0.35">
      <c r="A44" t="s">
        <v>416</v>
      </c>
      <c r="B44" t="s">
        <v>585</v>
      </c>
      <c r="C44" t="s">
        <v>53</v>
      </c>
      <c r="D44" t="s">
        <v>39</v>
      </c>
      <c r="E44" t="s">
        <v>76</v>
      </c>
      <c r="F44" t="s">
        <v>371</v>
      </c>
      <c r="G44" t="s">
        <v>264</v>
      </c>
      <c r="H44" t="s">
        <v>580</v>
      </c>
      <c r="I44" t="s">
        <v>21</v>
      </c>
      <c r="J44" t="s">
        <v>419</v>
      </c>
      <c r="K44" t="s">
        <v>266</v>
      </c>
    </row>
    <row r="45" spans="1:11" x14ac:dyDescent="0.35">
      <c r="A45" t="s">
        <v>416</v>
      </c>
      <c r="B45" t="s">
        <v>585</v>
      </c>
      <c r="C45" t="s">
        <v>57</v>
      </c>
      <c r="D45" t="s">
        <v>43</v>
      </c>
      <c r="E45" t="s">
        <v>67</v>
      </c>
      <c r="F45" t="s">
        <v>130</v>
      </c>
      <c r="G45" t="s">
        <v>264</v>
      </c>
      <c r="H45" t="s">
        <v>580</v>
      </c>
      <c r="I45" t="s">
        <v>21</v>
      </c>
      <c r="J45" t="s">
        <v>419</v>
      </c>
      <c r="K45" t="s">
        <v>266</v>
      </c>
    </row>
    <row r="46" spans="1:11" x14ac:dyDescent="0.35">
      <c r="A46" t="s">
        <v>416</v>
      </c>
      <c r="B46" t="s">
        <v>585</v>
      </c>
      <c r="C46" t="s">
        <v>57</v>
      </c>
      <c r="D46" t="s">
        <v>41</v>
      </c>
      <c r="E46" t="s">
        <v>67</v>
      </c>
      <c r="F46" t="s">
        <v>68</v>
      </c>
      <c r="G46" t="s">
        <v>264</v>
      </c>
      <c r="H46" t="s">
        <v>580</v>
      </c>
      <c r="I46" t="s">
        <v>21</v>
      </c>
      <c r="J46" t="s">
        <v>419</v>
      </c>
      <c r="K46" t="s">
        <v>266</v>
      </c>
    </row>
    <row r="47" spans="1:11" x14ac:dyDescent="0.35">
      <c r="A47" t="s">
        <v>416</v>
      </c>
      <c r="B47" t="s">
        <v>585</v>
      </c>
      <c r="C47" t="s">
        <v>57</v>
      </c>
      <c r="D47" t="s">
        <v>41</v>
      </c>
      <c r="E47" t="s">
        <v>124</v>
      </c>
      <c r="F47" t="s">
        <v>212</v>
      </c>
      <c r="G47" t="s">
        <v>264</v>
      </c>
      <c r="H47" t="s">
        <v>580</v>
      </c>
      <c r="I47" t="s">
        <v>21</v>
      </c>
      <c r="J47" t="s">
        <v>419</v>
      </c>
      <c r="K47" t="s">
        <v>266</v>
      </c>
    </row>
    <row r="48" spans="1:11" x14ac:dyDescent="0.35">
      <c r="A48" t="s">
        <v>416</v>
      </c>
      <c r="B48" t="s">
        <v>586</v>
      </c>
      <c r="C48" t="s">
        <v>587</v>
      </c>
      <c r="D48" t="s">
        <v>588</v>
      </c>
      <c r="E48" t="s">
        <v>589</v>
      </c>
      <c r="F48" t="s">
        <v>590</v>
      </c>
      <c r="G48" t="s">
        <v>292</v>
      </c>
      <c r="H48" t="s">
        <v>580</v>
      </c>
      <c r="I48" t="s">
        <v>21</v>
      </c>
      <c r="J48" t="s">
        <v>419</v>
      </c>
      <c r="K48" t="s">
        <v>429</v>
      </c>
    </row>
    <row r="49" spans="1:11" x14ac:dyDescent="0.35">
      <c r="A49" t="s">
        <v>416</v>
      </c>
      <c r="B49" t="s">
        <v>586</v>
      </c>
      <c r="C49" t="s">
        <v>314</v>
      </c>
      <c r="D49" t="s">
        <v>591</v>
      </c>
      <c r="E49" t="s">
        <v>592</v>
      </c>
      <c r="F49" t="s">
        <v>315</v>
      </c>
      <c r="G49" t="s">
        <v>292</v>
      </c>
      <c r="H49" t="s">
        <v>580</v>
      </c>
      <c r="I49" t="s">
        <v>21</v>
      </c>
      <c r="J49" t="s">
        <v>419</v>
      </c>
      <c r="K49" t="s">
        <v>429</v>
      </c>
    </row>
    <row r="50" spans="1:11" x14ac:dyDescent="0.35">
      <c r="A50" t="s">
        <v>416</v>
      </c>
      <c r="B50" t="s">
        <v>586</v>
      </c>
      <c r="C50" t="s">
        <v>317</v>
      </c>
      <c r="D50" t="s">
        <v>593</v>
      </c>
      <c r="E50" t="s">
        <v>594</v>
      </c>
      <c r="F50" t="s">
        <v>595</v>
      </c>
      <c r="G50" t="s">
        <v>292</v>
      </c>
      <c r="H50" t="s">
        <v>580</v>
      </c>
      <c r="I50" t="s">
        <v>21</v>
      </c>
      <c r="J50" t="s">
        <v>419</v>
      </c>
      <c r="K50" t="s">
        <v>429</v>
      </c>
    </row>
    <row r="51" spans="1:11" x14ac:dyDescent="0.35">
      <c r="A51" t="s">
        <v>430</v>
      </c>
      <c r="B51" t="s">
        <v>596</v>
      </c>
      <c r="C51" t="s">
        <v>53</v>
      </c>
      <c r="D51" t="s">
        <v>39</v>
      </c>
      <c r="E51" t="s">
        <v>119</v>
      </c>
      <c r="F51" t="s">
        <v>178</v>
      </c>
      <c r="G51" t="s">
        <v>432</v>
      </c>
      <c r="H51" t="s">
        <v>580</v>
      </c>
      <c r="I51" t="s">
        <v>21</v>
      </c>
      <c r="J51" t="s">
        <v>419</v>
      </c>
      <c r="K51" t="s">
        <v>433</v>
      </c>
    </row>
    <row r="52" spans="1:11" x14ac:dyDescent="0.35">
      <c r="A52" t="s">
        <v>430</v>
      </c>
      <c r="B52" t="s">
        <v>596</v>
      </c>
      <c r="C52" t="s">
        <v>53</v>
      </c>
      <c r="D52" t="s">
        <v>39</v>
      </c>
      <c r="E52" t="s">
        <v>119</v>
      </c>
      <c r="F52" t="s">
        <v>121</v>
      </c>
      <c r="G52" t="s">
        <v>432</v>
      </c>
      <c r="H52" t="s">
        <v>580</v>
      </c>
      <c r="I52" t="s">
        <v>21</v>
      </c>
      <c r="J52" t="s">
        <v>419</v>
      </c>
      <c r="K52" t="s">
        <v>433</v>
      </c>
    </row>
    <row r="53" spans="1:11" x14ac:dyDescent="0.35">
      <c r="A53" t="s">
        <v>430</v>
      </c>
      <c r="B53" t="s">
        <v>596</v>
      </c>
      <c r="C53" t="s">
        <v>53</v>
      </c>
      <c r="D53" t="s">
        <v>41</v>
      </c>
      <c r="E53" t="s">
        <v>124</v>
      </c>
      <c r="F53" t="s">
        <v>212</v>
      </c>
      <c r="G53" t="s">
        <v>432</v>
      </c>
      <c r="H53" t="s">
        <v>580</v>
      </c>
      <c r="I53" t="s">
        <v>21</v>
      </c>
      <c r="J53" t="s">
        <v>419</v>
      </c>
      <c r="K53" t="s">
        <v>433</v>
      </c>
    </row>
    <row r="54" spans="1:11" x14ac:dyDescent="0.35">
      <c r="A54" t="s">
        <v>430</v>
      </c>
      <c r="B54" t="s">
        <v>596</v>
      </c>
      <c r="C54" t="s">
        <v>53</v>
      </c>
      <c r="D54" t="s">
        <v>41</v>
      </c>
      <c r="E54" t="s">
        <v>76</v>
      </c>
      <c r="F54" t="s">
        <v>77</v>
      </c>
      <c r="G54" t="s">
        <v>432</v>
      </c>
      <c r="H54" t="s">
        <v>580</v>
      </c>
      <c r="I54" t="s">
        <v>21</v>
      </c>
      <c r="J54" t="s">
        <v>419</v>
      </c>
      <c r="K54" t="s">
        <v>433</v>
      </c>
    </row>
    <row r="55" spans="1:11" x14ac:dyDescent="0.35">
      <c r="A55" t="s">
        <v>430</v>
      </c>
      <c r="B55" t="s">
        <v>596</v>
      </c>
      <c r="C55" t="s">
        <v>53</v>
      </c>
      <c r="D55" t="s">
        <v>39</v>
      </c>
      <c r="E55" t="s">
        <v>134</v>
      </c>
      <c r="F55" t="s">
        <v>382</v>
      </c>
      <c r="G55" t="s">
        <v>432</v>
      </c>
      <c r="H55" t="s">
        <v>580</v>
      </c>
      <c r="I55" t="s">
        <v>21</v>
      </c>
      <c r="J55" t="s">
        <v>419</v>
      </c>
      <c r="K55" t="s">
        <v>433</v>
      </c>
    </row>
    <row r="56" spans="1:11" x14ac:dyDescent="0.35">
      <c r="A56" t="s">
        <v>430</v>
      </c>
      <c r="B56" t="s">
        <v>596</v>
      </c>
      <c r="C56" t="s">
        <v>53</v>
      </c>
      <c r="D56" t="s">
        <v>41</v>
      </c>
      <c r="E56" t="s">
        <v>73</v>
      </c>
      <c r="F56" t="s">
        <v>75</v>
      </c>
      <c r="G56" t="s">
        <v>432</v>
      </c>
      <c r="H56" t="s">
        <v>580</v>
      </c>
      <c r="I56" t="s">
        <v>21</v>
      </c>
      <c r="J56" t="s">
        <v>419</v>
      </c>
      <c r="K56" t="s">
        <v>433</v>
      </c>
    </row>
    <row r="57" spans="1:11" x14ac:dyDescent="0.35">
      <c r="A57" t="s">
        <v>430</v>
      </c>
      <c r="B57" t="s">
        <v>596</v>
      </c>
      <c r="C57" t="s">
        <v>57</v>
      </c>
      <c r="D57" t="s">
        <v>39</v>
      </c>
      <c r="E57" t="s">
        <v>119</v>
      </c>
      <c r="F57" t="s">
        <v>178</v>
      </c>
      <c r="G57" t="s">
        <v>432</v>
      </c>
      <c r="H57" t="s">
        <v>580</v>
      </c>
      <c r="I57" t="s">
        <v>21</v>
      </c>
      <c r="J57" t="s">
        <v>419</v>
      </c>
      <c r="K57" t="s">
        <v>433</v>
      </c>
    </row>
    <row r="58" spans="1:11" x14ac:dyDescent="0.35">
      <c r="A58" t="s">
        <v>430</v>
      </c>
      <c r="B58" t="s">
        <v>596</v>
      </c>
      <c r="C58" t="s">
        <v>57</v>
      </c>
      <c r="D58" t="s">
        <v>39</v>
      </c>
      <c r="E58" t="s">
        <v>119</v>
      </c>
      <c r="F58" t="s">
        <v>121</v>
      </c>
      <c r="G58" t="s">
        <v>432</v>
      </c>
      <c r="H58" t="s">
        <v>580</v>
      </c>
      <c r="I58" t="s">
        <v>21</v>
      </c>
      <c r="J58" t="s">
        <v>419</v>
      </c>
      <c r="K58" t="s">
        <v>433</v>
      </c>
    </row>
    <row r="59" spans="1:11" x14ac:dyDescent="0.35">
      <c r="A59" t="s">
        <v>430</v>
      </c>
      <c r="B59" t="s">
        <v>596</v>
      </c>
      <c r="C59" t="s">
        <v>57</v>
      </c>
      <c r="D59" t="s">
        <v>41</v>
      </c>
      <c r="E59" t="s">
        <v>124</v>
      </c>
      <c r="F59" t="s">
        <v>212</v>
      </c>
      <c r="G59" t="s">
        <v>432</v>
      </c>
      <c r="H59" t="s">
        <v>580</v>
      </c>
      <c r="I59" t="s">
        <v>21</v>
      </c>
      <c r="J59" t="s">
        <v>419</v>
      </c>
      <c r="K59" t="s">
        <v>433</v>
      </c>
    </row>
    <row r="60" spans="1:11" x14ac:dyDescent="0.35">
      <c r="A60" t="s">
        <v>430</v>
      </c>
      <c r="B60" t="s">
        <v>596</v>
      </c>
      <c r="C60" t="s">
        <v>57</v>
      </c>
      <c r="D60" t="s">
        <v>41</v>
      </c>
      <c r="E60" t="s">
        <v>76</v>
      </c>
      <c r="F60" t="s">
        <v>77</v>
      </c>
      <c r="G60" t="s">
        <v>432</v>
      </c>
      <c r="H60" t="s">
        <v>580</v>
      </c>
      <c r="I60" t="s">
        <v>21</v>
      </c>
      <c r="J60" t="s">
        <v>419</v>
      </c>
      <c r="K60" t="s">
        <v>433</v>
      </c>
    </row>
    <row r="61" spans="1:11" x14ac:dyDescent="0.35">
      <c r="A61" t="s">
        <v>430</v>
      </c>
      <c r="B61" t="s">
        <v>596</v>
      </c>
      <c r="C61" t="s">
        <v>57</v>
      </c>
      <c r="D61" t="s">
        <v>39</v>
      </c>
      <c r="E61" t="s">
        <v>134</v>
      </c>
      <c r="F61" t="s">
        <v>382</v>
      </c>
      <c r="G61" t="s">
        <v>432</v>
      </c>
      <c r="H61" t="s">
        <v>580</v>
      </c>
      <c r="I61" t="s">
        <v>21</v>
      </c>
      <c r="J61" t="s">
        <v>419</v>
      </c>
      <c r="K61" t="s">
        <v>433</v>
      </c>
    </row>
    <row r="62" spans="1:11" x14ac:dyDescent="0.35">
      <c r="A62" t="s">
        <v>430</v>
      </c>
      <c r="B62" t="s">
        <v>596</v>
      </c>
      <c r="C62" t="s">
        <v>57</v>
      </c>
      <c r="D62" t="s">
        <v>41</v>
      </c>
      <c r="E62" t="s">
        <v>73</v>
      </c>
      <c r="F62" t="s">
        <v>75</v>
      </c>
      <c r="G62" t="s">
        <v>432</v>
      </c>
      <c r="H62" t="s">
        <v>580</v>
      </c>
      <c r="I62" t="s">
        <v>21</v>
      </c>
      <c r="J62" t="s">
        <v>419</v>
      </c>
      <c r="K62" t="s">
        <v>433</v>
      </c>
    </row>
    <row r="63" spans="1:11" x14ac:dyDescent="0.35">
      <c r="A63" t="s">
        <v>430</v>
      </c>
      <c r="B63" t="s">
        <v>597</v>
      </c>
      <c r="C63" t="s">
        <v>53</v>
      </c>
      <c r="D63" t="s">
        <v>39</v>
      </c>
      <c r="E63" t="s">
        <v>119</v>
      </c>
      <c r="F63" t="s">
        <v>121</v>
      </c>
      <c r="G63" t="s">
        <v>436</v>
      </c>
      <c r="H63" t="s">
        <v>580</v>
      </c>
      <c r="I63" t="s">
        <v>21</v>
      </c>
      <c r="J63" t="s">
        <v>419</v>
      </c>
      <c r="K63" t="s">
        <v>437</v>
      </c>
    </row>
    <row r="64" spans="1:11" x14ac:dyDescent="0.35">
      <c r="A64" t="s">
        <v>430</v>
      </c>
      <c r="B64" t="s">
        <v>597</v>
      </c>
      <c r="C64" t="s">
        <v>53</v>
      </c>
      <c r="D64" t="s">
        <v>39</v>
      </c>
      <c r="E64" t="s">
        <v>119</v>
      </c>
      <c r="F64" t="s">
        <v>122</v>
      </c>
      <c r="G64" t="s">
        <v>436</v>
      </c>
      <c r="H64" t="s">
        <v>580</v>
      </c>
      <c r="I64" t="s">
        <v>21</v>
      </c>
      <c r="J64" t="s">
        <v>419</v>
      </c>
      <c r="K64" t="s">
        <v>437</v>
      </c>
    </row>
    <row r="65" spans="1:11" x14ac:dyDescent="0.35">
      <c r="A65" t="s">
        <v>430</v>
      </c>
      <c r="B65" t="s">
        <v>597</v>
      </c>
      <c r="C65" t="s">
        <v>53</v>
      </c>
      <c r="D65" t="s">
        <v>41</v>
      </c>
      <c r="E65" t="s">
        <v>124</v>
      </c>
      <c r="F65" t="s">
        <v>125</v>
      </c>
      <c r="G65" t="s">
        <v>436</v>
      </c>
      <c r="H65" t="s">
        <v>580</v>
      </c>
      <c r="I65" t="s">
        <v>21</v>
      </c>
      <c r="J65" t="s">
        <v>419</v>
      </c>
      <c r="K65" t="s">
        <v>437</v>
      </c>
    </row>
    <row r="66" spans="1:11" x14ac:dyDescent="0.35">
      <c r="A66" t="s">
        <v>430</v>
      </c>
      <c r="B66" t="s">
        <v>597</v>
      </c>
      <c r="C66" t="s">
        <v>53</v>
      </c>
      <c r="D66" t="s">
        <v>41</v>
      </c>
      <c r="E66" t="s">
        <v>134</v>
      </c>
      <c r="F66" t="s">
        <v>382</v>
      </c>
      <c r="G66" t="s">
        <v>436</v>
      </c>
      <c r="H66" t="s">
        <v>580</v>
      </c>
      <c r="I66" t="s">
        <v>21</v>
      </c>
      <c r="J66" t="s">
        <v>419</v>
      </c>
      <c r="K66" t="s">
        <v>437</v>
      </c>
    </row>
    <row r="67" spans="1:11" x14ac:dyDescent="0.35">
      <c r="A67" t="s">
        <v>430</v>
      </c>
      <c r="B67" t="s">
        <v>597</v>
      </c>
      <c r="C67" t="s">
        <v>53</v>
      </c>
      <c r="D67" t="s">
        <v>41</v>
      </c>
      <c r="E67" t="s">
        <v>67</v>
      </c>
      <c r="F67" t="s">
        <v>213</v>
      </c>
      <c r="G67" t="s">
        <v>436</v>
      </c>
      <c r="H67" t="s">
        <v>580</v>
      </c>
      <c r="I67" t="s">
        <v>21</v>
      </c>
      <c r="J67" t="s">
        <v>419</v>
      </c>
      <c r="K67" t="s">
        <v>437</v>
      </c>
    </row>
    <row r="68" spans="1:11" x14ac:dyDescent="0.35">
      <c r="A68" t="s">
        <v>430</v>
      </c>
      <c r="B68" t="s">
        <v>597</v>
      </c>
      <c r="C68" t="s">
        <v>53</v>
      </c>
      <c r="D68" t="s">
        <v>43</v>
      </c>
      <c r="E68" t="s">
        <v>73</v>
      </c>
      <c r="F68" t="s">
        <v>75</v>
      </c>
      <c r="G68" t="s">
        <v>436</v>
      </c>
      <c r="H68" t="s">
        <v>580</v>
      </c>
      <c r="I68" t="s">
        <v>21</v>
      </c>
      <c r="J68" t="s">
        <v>419</v>
      </c>
      <c r="K68" t="s">
        <v>437</v>
      </c>
    </row>
    <row r="69" spans="1:11" x14ac:dyDescent="0.35">
      <c r="A69" t="s">
        <v>430</v>
      </c>
      <c r="B69" t="s">
        <v>597</v>
      </c>
      <c r="C69" t="s">
        <v>57</v>
      </c>
      <c r="D69" t="s">
        <v>39</v>
      </c>
      <c r="E69" t="s">
        <v>119</v>
      </c>
      <c r="F69" t="s">
        <v>121</v>
      </c>
      <c r="G69" t="s">
        <v>436</v>
      </c>
      <c r="H69" t="s">
        <v>580</v>
      </c>
      <c r="I69" t="s">
        <v>21</v>
      </c>
      <c r="J69" t="s">
        <v>419</v>
      </c>
      <c r="K69" t="s">
        <v>437</v>
      </c>
    </row>
    <row r="70" spans="1:11" x14ac:dyDescent="0.35">
      <c r="A70" t="s">
        <v>430</v>
      </c>
      <c r="B70" t="s">
        <v>597</v>
      </c>
      <c r="C70" t="s">
        <v>57</v>
      </c>
      <c r="D70" t="s">
        <v>41</v>
      </c>
      <c r="E70" t="s">
        <v>119</v>
      </c>
      <c r="F70" t="s">
        <v>121</v>
      </c>
      <c r="G70" t="s">
        <v>436</v>
      </c>
      <c r="H70" t="s">
        <v>580</v>
      </c>
      <c r="I70" t="s">
        <v>21</v>
      </c>
      <c r="J70" t="s">
        <v>419</v>
      </c>
      <c r="K70" t="s">
        <v>437</v>
      </c>
    </row>
    <row r="71" spans="1:11" x14ac:dyDescent="0.35">
      <c r="A71" t="s">
        <v>430</v>
      </c>
      <c r="B71" t="s">
        <v>597</v>
      </c>
      <c r="C71" t="s">
        <v>57</v>
      </c>
      <c r="D71" t="s">
        <v>41</v>
      </c>
      <c r="E71" t="s">
        <v>119</v>
      </c>
      <c r="F71" t="s">
        <v>122</v>
      </c>
      <c r="G71" t="s">
        <v>436</v>
      </c>
      <c r="H71" t="s">
        <v>580</v>
      </c>
      <c r="I71" t="s">
        <v>21</v>
      </c>
      <c r="J71" t="s">
        <v>419</v>
      </c>
      <c r="K71" t="s">
        <v>437</v>
      </c>
    </row>
    <row r="72" spans="1:11" x14ac:dyDescent="0.35">
      <c r="A72" t="s">
        <v>430</v>
      </c>
      <c r="B72" t="s">
        <v>597</v>
      </c>
      <c r="C72" t="s">
        <v>57</v>
      </c>
      <c r="D72" t="s">
        <v>43</v>
      </c>
      <c r="E72" t="s">
        <v>76</v>
      </c>
      <c r="F72" t="s">
        <v>123</v>
      </c>
      <c r="G72" t="s">
        <v>436</v>
      </c>
      <c r="H72" t="s">
        <v>580</v>
      </c>
      <c r="I72" t="s">
        <v>21</v>
      </c>
      <c r="J72" t="s">
        <v>419</v>
      </c>
      <c r="K72" t="s">
        <v>437</v>
      </c>
    </row>
    <row r="73" spans="1:11" x14ac:dyDescent="0.35">
      <c r="A73" t="s">
        <v>430</v>
      </c>
      <c r="B73" t="s">
        <v>598</v>
      </c>
      <c r="C73" t="s">
        <v>53</v>
      </c>
      <c r="D73" t="s">
        <v>39</v>
      </c>
      <c r="E73" t="s">
        <v>119</v>
      </c>
      <c r="F73" t="s">
        <v>178</v>
      </c>
      <c r="G73" t="s">
        <v>441</v>
      </c>
      <c r="H73" t="s">
        <v>580</v>
      </c>
      <c r="I73" t="s">
        <v>21</v>
      </c>
      <c r="J73" t="s">
        <v>419</v>
      </c>
      <c r="K73" t="s">
        <v>442</v>
      </c>
    </row>
    <row r="74" spans="1:11" x14ac:dyDescent="0.35">
      <c r="A74" t="s">
        <v>430</v>
      </c>
      <c r="B74" t="s">
        <v>598</v>
      </c>
      <c r="C74" t="s">
        <v>53</v>
      </c>
      <c r="D74" t="s">
        <v>39</v>
      </c>
      <c r="E74" t="s">
        <v>76</v>
      </c>
      <c r="F74" t="s">
        <v>77</v>
      </c>
      <c r="G74" t="s">
        <v>441</v>
      </c>
      <c r="H74" t="s">
        <v>580</v>
      </c>
      <c r="I74" t="s">
        <v>21</v>
      </c>
      <c r="J74" t="s">
        <v>419</v>
      </c>
      <c r="K74" t="s">
        <v>442</v>
      </c>
    </row>
    <row r="75" spans="1:11" x14ac:dyDescent="0.35">
      <c r="A75" t="s">
        <v>430</v>
      </c>
      <c r="B75" t="s">
        <v>598</v>
      </c>
      <c r="C75" t="s">
        <v>57</v>
      </c>
      <c r="D75" t="s">
        <v>41</v>
      </c>
      <c r="E75" t="s">
        <v>119</v>
      </c>
      <c r="F75" t="s">
        <v>129</v>
      </c>
      <c r="G75" t="s">
        <v>441</v>
      </c>
      <c r="H75" t="s">
        <v>580</v>
      </c>
      <c r="I75" t="s">
        <v>21</v>
      </c>
      <c r="J75" t="s">
        <v>419</v>
      </c>
      <c r="K75" t="s">
        <v>442</v>
      </c>
    </row>
    <row r="76" spans="1:11" x14ac:dyDescent="0.35">
      <c r="A76" t="s">
        <v>430</v>
      </c>
      <c r="B76" t="s">
        <v>598</v>
      </c>
      <c r="C76" t="s">
        <v>57</v>
      </c>
      <c r="D76" t="s">
        <v>41</v>
      </c>
      <c r="E76" t="s">
        <v>67</v>
      </c>
      <c r="F76" t="s">
        <v>69</v>
      </c>
      <c r="G76" t="s">
        <v>441</v>
      </c>
      <c r="H76" t="s">
        <v>580</v>
      </c>
      <c r="I76" t="s">
        <v>21</v>
      </c>
      <c r="J76" t="s">
        <v>419</v>
      </c>
      <c r="K76" t="s">
        <v>442</v>
      </c>
    </row>
    <row r="77" spans="1:11" x14ac:dyDescent="0.35">
      <c r="A77" t="s">
        <v>430</v>
      </c>
      <c r="B77" t="s">
        <v>598</v>
      </c>
      <c r="C77" t="s">
        <v>57</v>
      </c>
      <c r="D77" t="s">
        <v>41</v>
      </c>
      <c r="E77" t="s">
        <v>124</v>
      </c>
      <c r="F77" t="s">
        <v>125</v>
      </c>
      <c r="G77" t="s">
        <v>441</v>
      </c>
      <c r="H77" t="s">
        <v>580</v>
      </c>
      <c r="I77" t="s">
        <v>21</v>
      </c>
      <c r="J77" t="s">
        <v>419</v>
      </c>
      <c r="K77" t="s">
        <v>442</v>
      </c>
    </row>
    <row r="78" spans="1:11" x14ac:dyDescent="0.35">
      <c r="A78" t="s">
        <v>430</v>
      </c>
      <c r="B78" t="s">
        <v>598</v>
      </c>
      <c r="C78" t="s">
        <v>57</v>
      </c>
      <c r="D78" t="s">
        <v>41</v>
      </c>
      <c r="E78" t="s">
        <v>76</v>
      </c>
      <c r="F78" t="s">
        <v>77</v>
      </c>
      <c r="G78" t="s">
        <v>441</v>
      </c>
      <c r="H78" t="s">
        <v>580</v>
      </c>
      <c r="I78" t="s">
        <v>21</v>
      </c>
      <c r="J78" t="s">
        <v>419</v>
      </c>
      <c r="K78" t="s">
        <v>442</v>
      </c>
    </row>
    <row r="79" spans="1:11" x14ac:dyDescent="0.35">
      <c r="A79" t="s">
        <v>430</v>
      </c>
      <c r="B79" t="s">
        <v>598</v>
      </c>
      <c r="C79" t="s">
        <v>57</v>
      </c>
      <c r="D79" t="s">
        <v>41</v>
      </c>
      <c r="E79" t="s">
        <v>316</v>
      </c>
      <c r="F79" t="s">
        <v>396</v>
      </c>
      <c r="G79" t="s">
        <v>441</v>
      </c>
      <c r="H79" t="s">
        <v>580</v>
      </c>
      <c r="I79" t="s">
        <v>21</v>
      </c>
      <c r="J79" t="s">
        <v>419</v>
      </c>
      <c r="K79" t="s">
        <v>442</v>
      </c>
    </row>
    <row r="80" spans="1:11" x14ac:dyDescent="0.35">
      <c r="A80" t="s">
        <v>430</v>
      </c>
      <c r="B80" t="s">
        <v>598</v>
      </c>
      <c r="C80" t="s">
        <v>57</v>
      </c>
      <c r="D80" t="s">
        <v>41</v>
      </c>
      <c r="E80" t="s">
        <v>316</v>
      </c>
      <c r="F80" t="s">
        <v>393</v>
      </c>
      <c r="G80" t="s">
        <v>441</v>
      </c>
      <c r="H80" t="s">
        <v>580</v>
      </c>
      <c r="I80" t="s">
        <v>21</v>
      </c>
      <c r="J80" t="s">
        <v>419</v>
      </c>
      <c r="K80" t="s">
        <v>442</v>
      </c>
    </row>
    <row r="81" spans="1:11" x14ac:dyDescent="0.35">
      <c r="A81" t="s">
        <v>430</v>
      </c>
      <c r="B81" t="s">
        <v>598</v>
      </c>
      <c r="C81" t="s">
        <v>57</v>
      </c>
      <c r="D81" t="s">
        <v>41</v>
      </c>
      <c r="E81" t="s">
        <v>316</v>
      </c>
      <c r="F81" t="s">
        <v>397</v>
      </c>
      <c r="G81" t="s">
        <v>441</v>
      </c>
      <c r="H81" t="s">
        <v>580</v>
      </c>
      <c r="I81" t="s">
        <v>21</v>
      </c>
      <c r="J81" t="s">
        <v>419</v>
      </c>
      <c r="K81" t="s">
        <v>442</v>
      </c>
    </row>
    <row r="82" spans="1:11" x14ac:dyDescent="0.35">
      <c r="A82" t="s">
        <v>430</v>
      </c>
      <c r="B82" t="s">
        <v>598</v>
      </c>
      <c r="C82" t="s">
        <v>57</v>
      </c>
      <c r="D82" t="s">
        <v>41</v>
      </c>
      <c r="E82" t="s">
        <v>316</v>
      </c>
      <c r="F82" t="s">
        <v>398</v>
      </c>
      <c r="G82" t="s">
        <v>441</v>
      </c>
      <c r="H82" t="s">
        <v>580</v>
      </c>
      <c r="I82" t="s">
        <v>21</v>
      </c>
      <c r="J82" t="s">
        <v>419</v>
      </c>
      <c r="K82" t="s">
        <v>442</v>
      </c>
    </row>
    <row r="83" spans="1:11" x14ac:dyDescent="0.35">
      <c r="A83" t="s">
        <v>430</v>
      </c>
      <c r="B83" t="s">
        <v>598</v>
      </c>
      <c r="C83" t="s">
        <v>57</v>
      </c>
      <c r="D83" t="s">
        <v>41</v>
      </c>
      <c r="E83" t="s">
        <v>126</v>
      </c>
      <c r="F83" t="s">
        <v>392</v>
      </c>
      <c r="G83" t="s">
        <v>441</v>
      </c>
      <c r="H83" t="s">
        <v>580</v>
      </c>
      <c r="I83" t="s">
        <v>21</v>
      </c>
      <c r="J83" t="s">
        <v>419</v>
      </c>
      <c r="K83" t="s">
        <v>442</v>
      </c>
    </row>
    <row r="84" spans="1:11" x14ac:dyDescent="0.35">
      <c r="A84" t="s">
        <v>430</v>
      </c>
      <c r="B84" t="s">
        <v>598</v>
      </c>
      <c r="C84" t="s">
        <v>57</v>
      </c>
      <c r="D84" t="s">
        <v>43</v>
      </c>
      <c r="E84" t="s">
        <v>119</v>
      </c>
      <c r="F84" t="s">
        <v>129</v>
      </c>
      <c r="G84" t="s">
        <v>441</v>
      </c>
      <c r="H84" t="s">
        <v>580</v>
      </c>
      <c r="I84" t="s">
        <v>21</v>
      </c>
      <c r="J84" t="s">
        <v>419</v>
      </c>
      <c r="K84" t="s">
        <v>442</v>
      </c>
    </row>
    <row r="85" spans="1:11" x14ac:dyDescent="0.35">
      <c r="A85" t="s">
        <v>430</v>
      </c>
      <c r="B85" t="s">
        <v>598</v>
      </c>
      <c r="C85" t="s">
        <v>57</v>
      </c>
      <c r="D85" t="s">
        <v>43</v>
      </c>
      <c r="E85" t="s">
        <v>67</v>
      </c>
      <c r="F85" t="s">
        <v>69</v>
      </c>
      <c r="G85" t="s">
        <v>441</v>
      </c>
      <c r="H85" t="s">
        <v>580</v>
      </c>
      <c r="I85" t="s">
        <v>21</v>
      </c>
      <c r="J85" t="s">
        <v>419</v>
      </c>
      <c r="K85" t="s">
        <v>442</v>
      </c>
    </row>
    <row r="86" spans="1:11" x14ac:dyDescent="0.35">
      <c r="A86" t="s">
        <v>430</v>
      </c>
      <c r="B86" t="s">
        <v>598</v>
      </c>
      <c r="C86" t="s">
        <v>57</v>
      </c>
      <c r="D86" t="s">
        <v>43</v>
      </c>
      <c r="E86" t="s">
        <v>124</v>
      </c>
      <c r="F86" t="s">
        <v>125</v>
      </c>
      <c r="G86" t="s">
        <v>441</v>
      </c>
      <c r="H86" t="s">
        <v>580</v>
      </c>
      <c r="I86" t="s">
        <v>21</v>
      </c>
      <c r="J86" t="s">
        <v>419</v>
      </c>
      <c r="K86" t="s">
        <v>442</v>
      </c>
    </row>
    <row r="87" spans="1:11" x14ac:dyDescent="0.35">
      <c r="A87" t="s">
        <v>430</v>
      </c>
      <c r="B87" t="s">
        <v>598</v>
      </c>
      <c r="C87" t="s">
        <v>57</v>
      </c>
      <c r="D87" t="s">
        <v>43</v>
      </c>
      <c r="E87" t="s">
        <v>76</v>
      </c>
      <c r="F87" t="s">
        <v>77</v>
      </c>
      <c r="G87" t="s">
        <v>441</v>
      </c>
      <c r="H87" t="s">
        <v>580</v>
      </c>
      <c r="I87" t="s">
        <v>21</v>
      </c>
      <c r="J87" t="s">
        <v>419</v>
      </c>
      <c r="K87" t="s">
        <v>442</v>
      </c>
    </row>
    <row r="88" spans="1:11" x14ac:dyDescent="0.35">
      <c r="A88" t="s">
        <v>430</v>
      </c>
      <c r="B88" t="s">
        <v>598</v>
      </c>
      <c r="C88" t="s">
        <v>57</v>
      </c>
      <c r="D88" t="s">
        <v>43</v>
      </c>
      <c r="E88" t="s">
        <v>316</v>
      </c>
      <c r="F88" t="s">
        <v>396</v>
      </c>
      <c r="G88" t="s">
        <v>441</v>
      </c>
      <c r="H88" t="s">
        <v>580</v>
      </c>
      <c r="I88" t="s">
        <v>21</v>
      </c>
      <c r="J88" t="s">
        <v>419</v>
      </c>
      <c r="K88" t="s">
        <v>442</v>
      </c>
    </row>
    <row r="89" spans="1:11" x14ac:dyDescent="0.35">
      <c r="A89" t="s">
        <v>430</v>
      </c>
      <c r="B89" t="s">
        <v>598</v>
      </c>
      <c r="C89" t="s">
        <v>57</v>
      </c>
      <c r="D89" t="s">
        <v>43</v>
      </c>
      <c r="E89" t="s">
        <v>316</v>
      </c>
      <c r="F89" t="s">
        <v>393</v>
      </c>
      <c r="G89" t="s">
        <v>441</v>
      </c>
      <c r="H89" t="s">
        <v>580</v>
      </c>
      <c r="I89" t="s">
        <v>21</v>
      </c>
      <c r="J89" t="s">
        <v>419</v>
      </c>
      <c r="K89" t="s">
        <v>442</v>
      </c>
    </row>
    <row r="90" spans="1:11" x14ac:dyDescent="0.35">
      <c r="A90" t="s">
        <v>430</v>
      </c>
      <c r="B90" t="s">
        <v>598</v>
      </c>
      <c r="C90" t="s">
        <v>57</v>
      </c>
      <c r="D90" t="s">
        <v>43</v>
      </c>
      <c r="E90" t="s">
        <v>316</v>
      </c>
      <c r="F90" t="s">
        <v>397</v>
      </c>
      <c r="G90" t="s">
        <v>441</v>
      </c>
      <c r="H90" t="s">
        <v>580</v>
      </c>
      <c r="I90" t="s">
        <v>21</v>
      </c>
      <c r="J90" t="s">
        <v>419</v>
      </c>
      <c r="K90" t="s">
        <v>442</v>
      </c>
    </row>
    <row r="91" spans="1:11" x14ac:dyDescent="0.35">
      <c r="A91" t="s">
        <v>430</v>
      </c>
      <c r="B91" t="s">
        <v>598</v>
      </c>
      <c r="C91" t="s">
        <v>57</v>
      </c>
      <c r="D91" t="s">
        <v>43</v>
      </c>
      <c r="E91" t="s">
        <v>316</v>
      </c>
      <c r="F91" t="s">
        <v>398</v>
      </c>
      <c r="G91" t="s">
        <v>441</v>
      </c>
      <c r="H91" t="s">
        <v>580</v>
      </c>
      <c r="I91" t="s">
        <v>21</v>
      </c>
      <c r="J91" t="s">
        <v>419</v>
      </c>
      <c r="K91" t="s">
        <v>442</v>
      </c>
    </row>
    <row r="92" spans="1:11" x14ac:dyDescent="0.35">
      <c r="A92" t="s">
        <v>430</v>
      </c>
      <c r="B92" t="s">
        <v>598</v>
      </c>
      <c r="C92" t="s">
        <v>57</v>
      </c>
      <c r="D92" t="s">
        <v>43</v>
      </c>
      <c r="E92" t="s">
        <v>126</v>
      </c>
      <c r="F92" t="s">
        <v>392</v>
      </c>
      <c r="G92" t="s">
        <v>441</v>
      </c>
      <c r="H92" t="s">
        <v>580</v>
      </c>
      <c r="I92" t="s">
        <v>21</v>
      </c>
      <c r="J92" t="s">
        <v>419</v>
      </c>
      <c r="K92" t="s">
        <v>442</v>
      </c>
    </row>
    <row r="93" spans="1:11" x14ac:dyDescent="0.35">
      <c r="A93" t="s">
        <v>430</v>
      </c>
      <c r="B93" t="s">
        <v>599</v>
      </c>
      <c r="C93" t="s">
        <v>53</v>
      </c>
      <c r="D93" t="s">
        <v>39</v>
      </c>
      <c r="E93" t="s">
        <v>119</v>
      </c>
      <c r="F93" t="s">
        <v>178</v>
      </c>
      <c r="G93" t="s">
        <v>445</v>
      </c>
      <c r="H93" t="s">
        <v>580</v>
      </c>
      <c r="I93" t="s">
        <v>21</v>
      </c>
      <c r="J93" t="s">
        <v>419</v>
      </c>
      <c r="K93" t="s">
        <v>446</v>
      </c>
    </row>
    <row r="94" spans="1:11" x14ac:dyDescent="0.35">
      <c r="A94" t="s">
        <v>430</v>
      </c>
      <c r="B94" t="s">
        <v>599</v>
      </c>
      <c r="C94" t="s">
        <v>53</v>
      </c>
      <c r="D94" t="s">
        <v>39</v>
      </c>
      <c r="E94" t="s">
        <v>119</v>
      </c>
      <c r="F94" t="s">
        <v>121</v>
      </c>
      <c r="G94" t="s">
        <v>445</v>
      </c>
      <c r="H94" t="s">
        <v>580</v>
      </c>
      <c r="I94" t="s">
        <v>21</v>
      </c>
      <c r="J94" t="s">
        <v>419</v>
      </c>
      <c r="K94" t="s">
        <v>446</v>
      </c>
    </row>
    <row r="95" spans="1:11" x14ac:dyDescent="0.35">
      <c r="A95" t="s">
        <v>430</v>
      </c>
      <c r="B95" t="s">
        <v>599</v>
      </c>
      <c r="C95" t="s">
        <v>53</v>
      </c>
      <c r="D95" t="s">
        <v>39</v>
      </c>
      <c r="E95" t="s">
        <v>76</v>
      </c>
      <c r="F95" t="s">
        <v>371</v>
      </c>
      <c r="G95" t="s">
        <v>445</v>
      </c>
      <c r="H95" t="s">
        <v>580</v>
      </c>
      <c r="I95" t="s">
        <v>21</v>
      </c>
      <c r="J95" t="s">
        <v>419</v>
      </c>
      <c r="K95" t="s">
        <v>446</v>
      </c>
    </row>
    <row r="96" spans="1:11" x14ac:dyDescent="0.35">
      <c r="A96" t="s">
        <v>430</v>
      </c>
      <c r="B96" t="s">
        <v>599</v>
      </c>
      <c r="C96" t="s">
        <v>53</v>
      </c>
      <c r="D96" t="s">
        <v>41</v>
      </c>
      <c r="E96" t="s">
        <v>67</v>
      </c>
      <c r="F96" t="s">
        <v>68</v>
      </c>
      <c r="G96" t="s">
        <v>445</v>
      </c>
      <c r="H96" t="s">
        <v>580</v>
      </c>
      <c r="I96" t="s">
        <v>21</v>
      </c>
      <c r="J96" t="s">
        <v>419</v>
      </c>
      <c r="K96" t="s">
        <v>446</v>
      </c>
    </row>
    <row r="97" spans="1:11" x14ac:dyDescent="0.35">
      <c r="A97" t="s">
        <v>430</v>
      </c>
      <c r="B97" t="s">
        <v>599</v>
      </c>
      <c r="C97" t="s">
        <v>53</v>
      </c>
      <c r="D97" t="s">
        <v>41</v>
      </c>
      <c r="E97" t="s">
        <v>124</v>
      </c>
      <c r="F97" t="s">
        <v>212</v>
      </c>
      <c r="G97" t="s">
        <v>445</v>
      </c>
      <c r="H97" t="s">
        <v>580</v>
      </c>
      <c r="I97" t="s">
        <v>21</v>
      </c>
      <c r="J97" t="s">
        <v>419</v>
      </c>
      <c r="K97" t="s">
        <v>446</v>
      </c>
    </row>
    <row r="98" spans="1:11" x14ac:dyDescent="0.35">
      <c r="A98" t="s">
        <v>430</v>
      </c>
      <c r="B98" t="s">
        <v>599</v>
      </c>
      <c r="C98" t="s">
        <v>53</v>
      </c>
      <c r="D98" t="s">
        <v>43</v>
      </c>
      <c r="E98" t="s">
        <v>134</v>
      </c>
      <c r="F98" t="s">
        <v>382</v>
      </c>
      <c r="G98" t="s">
        <v>445</v>
      </c>
      <c r="H98" t="s">
        <v>580</v>
      </c>
      <c r="I98" t="s">
        <v>21</v>
      </c>
      <c r="J98" t="s">
        <v>419</v>
      </c>
      <c r="K98" t="s">
        <v>446</v>
      </c>
    </row>
    <row r="99" spans="1:11" x14ac:dyDescent="0.35">
      <c r="A99" t="s">
        <v>430</v>
      </c>
      <c r="B99" t="s">
        <v>599</v>
      </c>
      <c r="C99" t="s">
        <v>57</v>
      </c>
      <c r="D99" t="s">
        <v>41</v>
      </c>
      <c r="E99" t="s">
        <v>119</v>
      </c>
      <c r="F99" t="s">
        <v>121</v>
      </c>
      <c r="G99" t="s">
        <v>445</v>
      </c>
      <c r="H99" t="s">
        <v>580</v>
      </c>
      <c r="I99" t="s">
        <v>21</v>
      </c>
      <c r="J99" t="s">
        <v>419</v>
      </c>
      <c r="K99" t="s">
        <v>446</v>
      </c>
    </row>
    <row r="100" spans="1:11" x14ac:dyDescent="0.35">
      <c r="A100" t="s">
        <v>430</v>
      </c>
      <c r="B100" t="s">
        <v>599</v>
      </c>
      <c r="C100" t="s">
        <v>57</v>
      </c>
      <c r="D100" t="s">
        <v>41</v>
      </c>
      <c r="E100" t="s">
        <v>76</v>
      </c>
      <c r="F100" t="s">
        <v>371</v>
      </c>
      <c r="G100" t="s">
        <v>445</v>
      </c>
      <c r="H100" t="s">
        <v>580</v>
      </c>
      <c r="I100" t="s">
        <v>21</v>
      </c>
      <c r="J100" t="s">
        <v>419</v>
      </c>
      <c r="K100" t="s">
        <v>446</v>
      </c>
    </row>
    <row r="101" spans="1:11" x14ac:dyDescent="0.35">
      <c r="A101" t="s">
        <v>430</v>
      </c>
      <c r="B101" t="s">
        <v>599</v>
      </c>
      <c r="C101" t="s">
        <v>57</v>
      </c>
      <c r="D101" t="s">
        <v>43</v>
      </c>
      <c r="E101" t="s">
        <v>134</v>
      </c>
      <c r="F101" t="s">
        <v>381</v>
      </c>
      <c r="G101" t="s">
        <v>445</v>
      </c>
      <c r="H101" t="s">
        <v>580</v>
      </c>
      <c r="I101" t="s">
        <v>21</v>
      </c>
      <c r="J101" t="s">
        <v>419</v>
      </c>
      <c r="K101" t="s">
        <v>446</v>
      </c>
    </row>
    <row r="102" spans="1:11" x14ac:dyDescent="0.35">
      <c r="A102" t="s">
        <v>430</v>
      </c>
      <c r="B102" t="s">
        <v>599</v>
      </c>
      <c r="C102" t="s">
        <v>57</v>
      </c>
      <c r="D102" t="s">
        <v>43</v>
      </c>
      <c r="E102" t="s">
        <v>67</v>
      </c>
      <c r="F102" t="s">
        <v>130</v>
      </c>
      <c r="G102" t="s">
        <v>445</v>
      </c>
      <c r="H102" t="s">
        <v>580</v>
      </c>
      <c r="I102" t="s">
        <v>21</v>
      </c>
      <c r="J102" t="s">
        <v>419</v>
      </c>
      <c r="K102" t="s">
        <v>446</v>
      </c>
    </row>
    <row r="103" spans="1:11" x14ac:dyDescent="0.35">
      <c r="A103" t="s">
        <v>430</v>
      </c>
      <c r="B103" t="s">
        <v>600</v>
      </c>
      <c r="C103" t="s">
        <v>53</v>
      </c>
      <c r="D103" t="s">
        <v>39</v>
      </c>
      <c r="G103" t="s">
        <v>449</v>
      </c>
      <c r="H103" t="s">
        <v>580</v>
      </c>
      <c r="I103" t="s">
        <v>21</v>
      </c>
      <c r="J103" t="s">
        <v>419</v>
      </c>
      <c r="K103" t="s">
        <v>450</v>
      </c>
    </row>
    <row r="104" spans="1:11" x14ac:dyDescent="0.35">
      <c r="A104" t="s">
        <v>430</v>
      </c>
      <c r="B104" t="s">
        <v>600</v>
      </c>
      <c r="C104" t="s">
        <v>53</v>
      </c>
      <c r="D104" t="s">
        <v>39</v>
      </c>
      <c r="G104" t="s">
        <v>449</v>
      </c>
      <c r="H104" t="s">
        <v>580</v>
      </c>
      <c r="I104" t="s">
        <v>21</v>
      </c>
      <c r="J104" t="s">
        <v>419</v>
      </c>
      <c r="K104" t="s">
        <v>450</v>
      </c>
    </row>
    <row r="105" spans="1:11" x14ac:dyDescent="0.35">
      <c r="A105" t="s">
        <v>430</v>
      </c>
      <c r="B105" t="s">
        <v>600</v>
      </c>
      <c r="C105" t="s">
        <v>53</v>
      </c>
      <c r="D105" t="s">
        <v>39</v>
      </c>
      <c r="G105" t="s">
        <v>449</v>
      </c>
      <c r="H105" t="s">
        <v>580</v>
      </c>
      <c r="I105" t="s">
        <v>21</v>
      </c>
      <c r="J105" t="s">
        <v>419</v>
      </c>
      <c r="K105" t="s">
        <v>450</v>
      </c>
    </row>
    <row r="106" spans="1:11" x14ac:dyDescent="0.35">
      <c r="A106" t="s">
        <v>430</v>
      </c>
      <c r="B106" t="s">
        <v>600</v>
      </c>
      <c r="C106" t="s">
        <v>57</v>
      </c>
      <c r="D106" t="s">
        <v>41</v>
      </c>
      <c r="G106" t="s">
        <v>449</v>
      </c>
      <c r="H106" t="s">
        <v>580</v>
      </c>
      <c r="I106" t="s">
        <v>21</v>
      </c>
      <c r="J106" t="s">
        <v>419</v>
      </c>
      <c r="K106" t="s">
        <v>450</v>
      </c>
    </row>
    <row r="107" spans="1:11" x14ac:dyDescent="0.35">
      <c r="A107" t="s">
        <v>430</v>
      </c>
      <c r="B107" t="s">
        <v>600</v>
      </c>
      <c r="C107" t="s">
        <v>57</v>
      </c>
      <c r="D107" t="s">
        <v>41</v>
      </c>
      <c r="G107" t="s">
        <v>449</v>
      </c>
      <c r="H107" t="s">
        <v>580</v>
      </c>
      <c r="I107" t="s">
        <v>21</v>
      </c>
      <c r="J107" t="s">
        <v>419</v>
      </c>
      <c r="K107" t="s">
        <v>450</v>
      </c>
    </row>
    <row r="108" spans="1:11" x14ac:dyDescent="0.35">
      <c r="A108" t="s">
        <v>430</v>
      </c>
      <c r="B108" t="s">
        <v>601</v>
      </c>
      <c r="C108" t="s">
        <v>53</v>
      </c>
      <c r="D108" t="s">
        <v>39</v>
      </c>
      <c r="E108" t="s">
        <v>119</v>
      </c>
      <c r="F108" t="s">
        <v>121</v>
      </c>
      <c r="G108" t="s">
        <v>454</v>
      </c>
      <c r="H108" t="s">
        <v>580</v>
      </c>
      <c r="I108" t="s">
        <v>21</v>
      </c>
      <c r="J108" t="s">
        <v>419</v>
      </c>
      <c r="K108" t="s">
        <v>455</v>
      </c>
    </row>
    <row r="109" spans="1:11" x14ac:dyDescent="0.35">
      <c r="A109" t="s">
        <v>430</v>
      </c>
      <c r="B109" t="s">
        <v>601</v>
      </c>
      <c r="C109" t="s">
        <v>53</v>
      </c>
      <c r="D109" t="s">
        <v>39</v>
      </c>
      <c r="E109" t="s">
        <v>119</v>
      </c>
      <c r="F109" t="s">
        <v>122</v>
      </c>
      <c r="G109" t="s">
        <v>454</v>
      </c>
      <c r="H109" t="s">
        <v>580</v>
      </c>
      <c r="I109" t="s">
        <v>21</v>
      </c>
      <c r="J109" t="s">
        <v>419</v>
      </c>
      <c r="K109" t="s">
        <v>455</v>
      </c>
    </row>
    <row r="110" spans="1:11" x14ac:dyDescent="0.35">
      <c r="A110" t="s">
        <v>430</v>
      </c>
      <c r="B110" t="s">
        <v>601</v>
      </c>
      <c r="C110" t="s">
        <v>53</v>
      </c>
      <c r="D110" t="s">
        <v>39</v>
      </c>
      <c r="E110" t="s">
        <v>124</v>
      </c>
      <c r="F110" t="s">
        <v>211</v>
      </c>
      <c r="G110" t="s">
        <v>454</v>
      </c>
      <c r="H110" t="s">
        <v>580</v>
      </c>
      <c r="I110" t="s">
        <v>21</v>
      </c>
      <c r="J110" t="s">
        <v>419</v>
      </c>
      <c r="K110" t="s">
        <v>455</v>
      </c>
    </row>
    <row r="111" spans="1:11" x14ac:dyDescent="0.35">
      <c r="A111" t="s">
        <v>430</v>
      </c>
      <c r="B111" t="s">
        <v>601</v>
      </c>
      <c r="C111" t="s">
        <v>53</v>
      </c>
      <c r="D111" t="s">
        <v>39</v>
      </c>
      <c r="E111" t="s">
        <v>134</v>
      </c>
      <c r="F111" t="s">
        <v>382</v>
      </c>
      <c r="G111" t="s">
        <v>454</v>
      </c>
      <c r="H111" t="s">
        <v>580</v>
      </c>
      <c r="I111" t="s">
        <v>21</v>
      </c>
      <c r="J111" t="s">
        <v>419</v>
      </c>
      <c r="K111" t="s">
        <v>455</v>
      </c>
    </row>
    <row r="112" spans="1:11" x14ac:dyDescent="0.35">
      <c r="A112" t="s">
        <v>430</v>
      </c>
      <c r="B112" t="s">
        <v>601</v>
      </c>
      <c r="C112" t="s">
        <v>53</v>
      </c>
      <c r="D112" t="s">
        <v>39</v>
      </c>
      <c r="E112" t="s">
        <v>67</v>
      </c>
      <c r="F112" t="s">
        <v>130</v>
      </c>
      <c r="G112" t="s">
        <v>454</v>
      </c>
      <c r="H112" t="s">
        <v>580</v>
      </c>
      <c r="I112" t="s">
        <v>21</v>
      </c>
      <c r="J112" t="s">
        <v>419</v>
      </c>
      <c r="K112" t="s">
        <v>455</v>
      </c>
    </row>
    <row r="113" spans="1:11" x14ac:dyDescent="0.35">
      <c r="A113" t="s">
        <v>430</v>
      </c>
      <c r="B113" t="s">
        <v>601</v>
      </c>
      <c r="C113" t="s">
        <v>57</v>
      </c>
      <c r="D113" t="s">
        <v>41</v>
      </c>
      <c r="E113" t="s">
        <v>119</v>
      </c>
      <c r="F113" t="s">
        <v>252</v>
      </c>
      <c r="G113" t="s">
        <v>454</v>
      </c>
      <c r="H113" t="s">
        <v>580</v>
      </c>
      <c r="I113" t="s">
        <v>21</v>
      </c>
      <c r="J113" t="s">
        <v>419</v>
      </c>
      <c r="K113" t="s">
        <v>455</v>
      </c>
    </row>
    <row r="114" spans="1:11" x14ac:dyDescent="0.35">
      <c r="A114" t="s">
        <v>430</v>
      </c>
      <c r="B114" t="s">
        <v>601</v>
      </c>
      <c r="C114" t="s">
        <v>57</v>
      </c>
      <c r="D114" t="s">
        <v>41</v>
      </c>
      <c r="E114" t="s">
        <v>67</v>
      </c>
      <c r="F114" t="s">
        <v>68</v>
      </c>
      <c r="G114" t="s">
        <v>454</v>
      </c>
      <c r="H114" t="s">
        <v>580</v>
      </c>
      <c r="I114" t="s">
        <v>21</v>
      </c>
      <c r="J114" t="s">
        <v>419</v>
      </c>
      <c r="K114" t="s">
        <v>455</v>
      </c>
    </row>
    <row r="115" spans="1:11" x14ac:dyDescent="0.35">
      <c r="A115" t="s">
        <v>430</v>
      </c>
      <c r="B115" t="s">
        <v>601</v>
      </c>
      <c r="C115" t="s">
        <v>57</v>
      </c>
      <c r="D115" t="s">
        <v>41</v>
      </c>
      <c r="E115" t="s">
        <v>67</v>
      </c>
      <c r="F115" t="s">
        <v>388</v>
      </c>
      <c r="G115" t="s">
        <v>454</v>
      </c>
      <c r="H115" t="s">
        <v>580</v>
      </c>
      <c r="I115" t="s">
        <v>21</v>
      </c>
      <c r="J115" t="s">
        <v>419</v>
      </c>
      <c r="K115" t="s">
        <v>455</v>
      </c>
    </row>
    <row r="116" spans="1:11" x14ac:dyDescent="0.35">
      <c r="A116" t="s">
        <v>430</v>
      </c>
      <c r="B116" t="s">
        <v>601</v>
      </c>
      <c r="C116" t="s">
        <v>57</v>
      </c>
      <c r="D116" t="s">
        <v>41</v>
      </c>
      <c r="E116" t="s">
        <v>316</v>
      </c>
      <c r="F116" t="s">
        <v>396</v>
      </c>
      <c r="G116" t="s">
        <v>454</v>
      </c>
      <c r="H116" t="s">
        <v>580</v>
      </c>
      <c r="I116" t="s">
        <v>21</v>
      </c>
      <c r="J116" t="s">
        <v>419</v>
      </c>
      <c r="K116" t="s">
        <v>455</v>
      </c>
    </row>
    <row r="117" spans="1:11" x14ac:dyDescent="0.35">
      <c r="A117" t="s">
        <v>430</v>
      </c>
      <c r="B117" t="s">
        <v>601</v>
      </c>
      <c r="C117" t="s">
        <v>57</v>
      </c>
      <c r="D117" t="s">
        <v>41</v>
      </c>
      <c r="E117" t="s">
        <v>134</v>
      </c>
      <c r="F117" t="s">
        <v>253</v>
      </c>
      <c r="G117" t="s">
        <v>454</v>
      </c>
      <c r="H117" t="s">
        <v>580</v>
      </c>
      <c r="I117" t="s">
        <v>21</v>
      </c>
      <c r="J117" t="s">
        <v>419</v>
      </c>
      <c r="K117" t="s">
        <v>455</v>
      </c>
    </row>
    <row r="118" spans="1:11" x14ac:dyDescent="0.35">
      <c r="A118" t="s">
        <v>430</v>
      </c>
      <c r="B118" t="s">
        <v>602</v>
      </c>
      <c r="C118" t="s">
        <v>53</v>
      </c>
      <c r="D118" t="s">
        <v>39</v>
      </c>
      <c r="E118" t="s">
        <v>124</v>
      </c>
      <c r="F118" t="s">
        <v>125</v>
      </c>
      <c r="G118" t="s">
        <v>458</v>
      </c>
      <c r="H118" t="s">
        <v>580</v>
      </c>
      <c r="I118" t="s">
        <v>21</v>
      </c>
      <c r="J118" t="s">
        <v>419</v>
      </c>
      <c r="K118" t="s">
        <v>459</v>
      </c>
    </row>
    <row r="119" spans="1:11" x14ac:dyDescent="0.35">
      <c r="A119" t="s">
        <v>430</v>
      </c>
      <c r="B119" t="s">
        <v>602</v>
      </c>
      <c r="C119" t="s">
        <v>53</v>
      </c>
      <c r="D119" t="s">
        <v>39</v>
      </c>
      <c r="E119" t="s">
        <v>124</v>
      </c>
      <c r="F119" t="s">
        <v>369</v>
      </c>
      <c r="G119" t="s">
        <v>458</v>
      </c>
      <c r="H119" t="s">
        <v>580</v>
      </c>
      <c r="I119" t="s">
        <v>21</v>
      </c>
      <c r="J119" t="s">
        <v>419</v>
      </c>
      <c r="K119" t="s">
        <v>459</v>
      </c>
    </row>
    <row r="120" spans="1:11" x14ac:dyDescent="0.35">
      <c r="A120" t="s">
        <v>430</v>
      </c>
      <c r="B120" t="s">
        <v>602</v>
      </c>
      <c r="C120" t="s">
        <v>53</v>
      </c>
      <c r="D120" t="s">
        <v>39</v>
      </c>
      <c r="E120" t="s">
        <v>76</v>
      </c>
      <c r="F120" t="s">
        <v>379</v>
      </c>
      <c r="G120" t="s">
        <v>458</v>
      </c>
      <c r="H120" t="s">
        <v>580</v>
      </c>
      <c r="I120" t="s">
        <v>21</v>
      </c>
      <c r="J120" t="s">
        <v>419</v>
      </c>
      <c r="K120" t="s">
        <v>459</v>
      </c>
    </row>
    <row r="121" spans="1:11" x14ac:dyDescent="0.35">
      <c r="A121" t="s">
        <v>430</v>
      </c>
      <c r="B121" t="s">
        <v>602</v>
      </c>
      <c r="C121" t="s">
        <v>57</v>
      </c>
      <c r="D121" t="s">
        <v>39</v>
      </c>
      <c r="E121" t="s">
        <v>76</v>
      </c>
      <c r="F121" t="s">
        <v>123</v>
      </c>
      <c r="G121" t="s">
        <v>458</v>
      </c>
      <c r="H121" t="s">
        <v>580</v>
      </c>
      <c r="I121" t="s">
        <v>21</v>
      </c>
      <c r="J121" t="s">
        <v>419</v>
      </c>
      <c r="K121" t="s">
        <v>459</v>
      </c>
    </row>
    <row r="122" spans="1:11" x14ac:dyDescent="0.35">
      <c r="A122" t="s">
        <v>430</v>
      </c>
      <c r="B122" t="s">
        <v>602</v>
      </c>
      <c r="C122" t="s">
        <v>57</v>
      </c>
      <c r="D122" t="s">
        <v>41</v>
      </c>
      <c r="E122" t="s">
        <v>119</v>
      </c>
      <c r="F122" t="s">
        <v>121</v>
      </c>
      <c r="G122" t="s">
        <v>458</v>
      </c>
      <c r="H122" t="s">
        <v>580</v>
      </c>
      <c r="I122" t="s">
        <v>21</v>
      </c>
      <c r="J122" t="s">
        <v>419</v>
      </c>
      <c r="K122" t="s">
        <v>459</v>
      </c>
    </row>
    <row r="123" spans="1:11" x14ac:dyDescent="0.35">
      <c r="A123" t="s">
        <v>430</v>
      </c>
      <c r="B123" t="s">
        <v>602</v>
      </c>
      <c r="C123" t="s">
        <v>57</v>
      </c>
      <c r="D123" t="s">
        <v>41</v>
      </c>
      <c r="E123" t="s">
        <v>119</v>
      </c>
      <c r="F123" t="s">
        <v>122</v>
      </c>
      <c r="G123" t="s">
        <v>458</v>
      </c>
      <c r="H123" t="s">
        <v>580</v>
      </c>
      <c r="I123" t="s">
        <v>21</v>
      </c>
      <c r="J123" t="s">
        <v>419</v>
      </c>
      <c r="K123" t="s">
        <v>459</v>
      </c>
    </row>
    <row r="124" spans="1:11" x14ac:dyDescent="0.35">
      <c r="A124" t="s">
        <v>430</v>
      </c>
      <c r="B124" t="s">
        <v>602</v>
      </c>
      <c r="C124" t="s">
        <v>53</v>
      </c>
      <c r="D124" t="s">
        <v>41</v>
      </c>
      <c r="E124" t="s">
        <v>119</v>
      </c>
      <c r="F124" t="s">
        <v>129</v>
      </c>
      <c r="G124" t="s">
        <v>458</v>
      </c>
      <c r="H124" t="s">
        <v>580</v>
      </c>
      <c r="I124" t="s">
        <v>21</v>
      </c>
      <c r="J124" t="s">
        <v>419</v>
      </c>
      <c r="K124" t="s">
        <v>459</v>
      </c>
    </row>
    <row r="125" spans="1:11" x14ac:dyDescent="0.35">
      <c r="A125" t="s">
        <v>430</v>
      </c>
      <c r="B125" t="s">
        <v>602</v>
      </c>
      <c r="C125" t="s">
        <v>57</v>
      </c>
      <c r="D125" t="s">
        <v>41</v>
      </c>
      <c r="E125" t="s">
        <v>67</v>
      </c>
      <c r="F125" t="s">
        <v>130</v>
      </c>
      <c r="G125" t="s">
        <v>458</v>
      </c>
      <c r="H125" t="s">
        <v>580</v>
      </c>
      <c r="I125" t="s">
        <v>21</v>
      </c>
      <c r="J125" t="s">
        <v>419</v>
      </c>
      <c r="K125" t="s">
        <v>459</v>
      </c>
    </row>
    <row r="126" spans="1:11" x14ac:dyDescent="0.35">
      <c r="A126" t="s">
        <v>430</v>
      </c>
      <c r="B126" t="s">
        <v>602</v>
      </c>
      <c r="C126" t="s">
        <v>57</v>
      </c>
      <c r="D126" t="s">
        <v>43</v>
      </c>
      <c r="E126" t="s">
        <v>134</v>
      </c>
      <c r="F126" t="s">
        <v>382</v>
      </c>
      <c r="G126" t="s">
        <v>458</v>
      </c>
      <c r="H126" t="s">
        <v>580</v>
      </c>
      <c r="I126" t="s">
        <v>21</v>
      </c>
      <c r="J126" t="s">
        <v>419</v>
      </c>
      <c r="K126" t="s">
        <v>459</v>
      </c>
    </row>
    <row r="127" spans="1:11" x14ac:dyDescent="0.35">
      <c r="A127" t="s">
        <v>430</v>
      </c>
      <c r="B127" t="s">
        <v>602</v>
      </c>
      <c r="C127" t="s">
        <v>57</v>
      </c>
      <c r="D127" t="s">
        <v>43</v>
      </c>
      <c r="E127" t="s">
        <v>67</v>
      </c>
      <c r="F127" t="s">
        <v>68</v>
      </c>
      <c r="G127" t="s">
        <v>458</v>
      </c>
      <c r="H127" t="s">
        <v>580</v>
      </c>
      <c r="I127" t="s">
        <v>21</v>
      </c>
      <c r="J127" t="s">
        <v>419</v>
      </c>
      <c r="K127" t="s">
        <v>459</v>
      </c>
    </row>
    <row r="128" spans="1:11" x14ac:dyDescent="0.35">
      <c r="A128" t="s">
        <v>430</v>
      </c>
      <c r="B128" t="s">
        <v>602</v>
      </c>
      <c r="C128" t="s">
        <v>57</v>
      </c>
      <c r="D128" t="s">
        <v>43</v>
      </c>
      <c r="E128" t="s">
        <v>316</v>
      </c>
      <c r="F128" t="s">
        <v>396</v>
      </c>
      <c r="G128" t="s">
        <v>458</v>
      </c>
      <c r="H128" t="s">
        <v>580</v>
      </c>
      <c r="I128" t="s">
        <v>21</v>
      </c>
      <c r="J128" t="s">
        <v>419</v>
      </c>
      <c r="K128" t="s">
        <v>459</v>
      </c>
    </row>
    <row r="129" spans="1:11" x14ac:dyDescent="0.35">
      <c r="A129" t="s">
        <v>461</v>
      </c>
      <c r="B129" t="s">
        <v>603</v>
      </c>
      <c r="C129" t="s">
        <v>53</v>
      </c>
      <c r="D129" t="s">
        <v>39</v>
      </c>
      <c r="E129" t="s">
        <v>119</v>
      </c>
      <c r="F129" t="s">
        <v>178</v>
      </c>
      <c r="G129" t="s">
        <v>463</v>
      </c>
      <c r="H129" t="s">
        <v>580</v>
      </c>
      <c r="I129" t="s">
        <v>21</v>
      </c>
      <c r="J129" t="s">
        <v>419</v>
      </c>
      <c r="K129" t="s">
        <v>464</v>
      </c>
    </row>
    <row r="130" spans="1:11" x14ac:dyDescent="0.35">
      <c r="A130" t="s">
        <v>461</v>
      </c>
      <c r="B130" t="s">
        <v>603</v>
      </c>
      <c r="C130" t="s">
        <v>53</v>
      </c>
      <c r="D130" t="s">
        <v>39</v>
      </c>
      <c r="E130" t="s">
        <v>119</v>
      </c>
      <c r="F130" t="s">
        <v>252</v>
      </c>
      <c r="G130" t="s">
        <v>463</v>
      </c>
      <c r="H130" t="s">
        <v>580</v>
      </c>
      <c r="I130" t="s">
        <v>21</v>
      </c>
      <c r="J130" t="s">
        <v>419</v>
      </c>
      <c r="K130" t="s">
        <v>464</v>
      </c>
    </row>
    <row r="131" spans="1:11" x14ac:dyDescent="0.35">
      <c r="A131" t="s">
        <v>461</v>
      </c>
      <c r="B131" t="s">
        <v>603</v>
      </c>
      <c r="C131" t="s">
        <v>53</v>
      </c>
      <c r="D131" t="s">
        <v>41</v>
      </c>
      <c r="E131" t="s">
        <v>76</v>
      </c>
      <c r="F131" t="s">
        <v>123</v>
      </c>
      <c r="G131" t="s">
        <v>463</v>
      </c>
      <c r="H131" t="s">
        <v>580</v>
      </c>
      <c r="I131" t="s">
        <v>21</v>
      </c>
      <c r="J131" t="s">
        <v>419</v>
      </c>
      <c r="K131" t="s">
        <v>464</v>
      </c>
    </row>
    <row r="132" spans="1:11" x14ac:dyDescent="0.35">
      <c r="A132" t="s">
        <v>461</v>
      </c>
      <c r="B132" t="s">
        <v>603</v>
      </c>
      <c r="C132" t="s">
        <v>53</v>
      </c>
      <c r="D132" t="s">
        <v>41</v>
      </c>
      <c r="E132" t="s">
        <v>126</v>
      </c>
      <c r="F132" t="s">
        <v>127</v>
      </c>
      <c r="G132" t="s">
        <v>463</v>
      </c>
      <c r="H132" t="s">
        <v>580</v>
      </c>
      <c r="I132" t="s">
        <v>21</v>
      </c>
      <c r="J132" t="s">
        <v>419</v>
      </c>
      <c r="K132" t="s">
        <v>464</v>
      </c>
    </row>
    <row r="133" spans="1:11" x14ac:dyDescent="0.35">
      <c r="A133" t="s">
        <v>461</v>
      </c>
      <c r="B133" t="s">
        <v>603</v>
      </c>
      <c r="C133" t="s">
        <v>53</v>
      </c>
      <c r="D133" t="s">
        <v>41</v>
      </c>
      <c r="E133" t="s">
        <v>126</v>
      </c>
      <c r="F133" t="s">
        <v>128</v>
      </c>
      <c r="G133" t="s">
        <v>463</v>
      </c>
      <c r="H133" t="s">
        <v>580</v>
      </c>
      <c r="I133" t="s">
        <v>21</v>
      </c>
      <c r="J133" t="s">
        <v>419</v>
      </c>
      <c r="K133" t="s">
        <v>464</v>
      </c>
    </row>
    <row r="134" spans="1:11" x14ac:dyDescent="0.35">
      <c r="A134" t="s">
        <v>461</v>
      </c>
      <c r="B134" t="s">
        <v>603</v>
      </c>
      <c r="C134" t="s">
        <v>53</v>
      </c>
      <c r="D134" t="s">
        <v>41</v>
      </c>
      <c r="E134" t="s">
        <v>119</v>
      </c>
      <c r="F134" t="s">
        <v>178</v>
      </c>
      <c r="G134" t="s">
        <v>463</v>
      </c>
      <c r="H134" t="s">
        <v>580</v>
      </c>
      <c r="I134" t="s">
        <v>21</v>
      </c>
      <c r="J134" t="s">
        <v>419</v>
      </c>
      <c r="K134" t="s">
        <v>464</v>
      </c>
    </row>
    <row r="135" spans="1:11" x14ac:dyDescent="0.35">
      <c r="A135" t="s">
        <v>461</v>
      </c>
      <c r="B135" t="s">
        <v>603</v>
      </c>
      <c r="C135" t="s">
        <v>53</v>
      </c>
      <c r="D135" t="s">
        <v>41</v>
      </c>
      <c r="E135" t="s">
        <v>119</v>
      </c>
      <c r="F135" t="s">
        <v>252</v>
      </c>
      <c r="G135" t="s">
        <v>463</v>
      </c>
      <c r="H135" t="s">
        <v>580</v>
      </c>
      <c r="I135" t="s">
        <v>21</v>
      </c>
      <c r="J135" t="s">
        <v>419</v>
      </c>
      <c r="K135" t="s">
        <v>464</v>
      </c>
    </row>
    <row r="136" spans="1:11" x14ac:dyDescent="0.35">
      <c r="A136" t="s">
        <v>461</v>
      </c>
      <c r="B136" t="s">
        <v>603</v>
      </c>
      <c r="C136" t="s">
        <v>57</v>
      </c>
      <c r="D136" t="s">
        <v>39</v>
      </c>
      <c r="E136" t="s">
        <v>119</v>
      </c>
      <c r="F136" t="s">
        <v>178</v>
      </c>
      <c r="G136" t="s">
        <v>463</v>
      </c>
      <c r="H136" t="s">
        <v>580</v>
      </c>
      <c r="I136" t="s">
        <v>21</v>
      </c>
      <c r="J136" t="s">
        <v>419</v>
      </c>
      <c r="K136" t="s">
        <v>464</v>
      </c>
    </row>
    <row r="137" spans="1:11" x14ac:dyDescent="0.35">
      <c r="A137" t="s">
        <v>461</v>
      </c>
      <c r="B137" t="s">
        <v>603</v>
      </c>
      <c r="C137" t="s">
        <v>57</v>
      </c>
      <c r="D137" t="s">
        <v>39</v>
      </c>
      <c r="E137" t="s">
        <v>119</v>
      </c>
      <c r="F137" t="s">
        <v>252</v>
      </c>
      <c r="G137" t="s">
        <v>463</v>
      </c>
      <c r="H137" t="s">
        <v>580</v>
      </c>
      <c r="I137" t="s">
        <v>21</v>
      </c>
      <c r="J137" t="s">
        <v>419</v>
      </c>
      <c r="K137" t="s">
        <v>464</v>
      </c>
    </row>
    <row r="138" spans="1:11" x14ac:dyDescent="0.35">
      <c r="A138" t="s">
        <v>461</v>
      </c>
      <c r="B138" t="s">
        <v>603</v>
      </c>
      <c r="C138" t="s">
        <v>57</v>
      </c>
      <c r="D138" t="s">
        <v>43</v>
      </c>
      <c r="E138" t="s">
        <v>76</v>
      </c>
      <c r="F138" t="s">
        <v>123</v>
      </c>
      <c r="G138" t="s">
        <v>463</v>
      </c>
      <c r="H138" t="s">
        <v>580</v>
      </c>
      <c r="I138" t="s">
        <v>21</v>
      </c>
      <c r="J138" t="s">
        <v>419</v>
      </c>
      <c r="K138" t="s">
        <v>464</v>
      </c>
    </row>
    <row r="139" spans="1:11" x14ac:dyDescent="0.35">
      <c r="A139" t="s">
        <v>461</v>
      </c>
      <c r="B139" t="s">
        <v>603</v>
      </c>
      <c r="C139" t="s">
        <v>57</v>
      </c>
      <c r="D139" t="s">
        <v>43</v>
      </c>
      <c r="E139" t="s">
        <v>126</v>
      </c>
      <c r="F139" t="s">
        <v>127</v>
      </c>
      <c r="G139" t="s">
        <v>463</v>
      </c>
      <c r="H139" t="s">
        <v>580</v>
      </c>
      <c r="I139" t="s">
        <v>21</v>
      </c>
      <c r="J139" t="s">
        <v>419</v>
      </c>
      <c r="K139" t="s">
        <v>464</v>
      </c>
    </row>
    <row r="140" spans="1:11" x14ac:dyDescent="0.35">
      <c r="A140" t="s">
        <v>461</v>
      </c>
      <c r="B140" t="s">
        <v>603</v>
      </c>
      <c r="C140" t="s">
        <v>57</v>
      </c>
      <c r="D140" t="s">
        <v>43</v>
      </c>
      <c r="E140" t="s">
        <v>126</v>
      </c>
      <c r="F140" t="s">
        <v>128</v>
      </c>
      <c r="G140" t="s">
        <v>463</v>
      </c>
      <c r="H140" t="s">
        <v>580</v>
      </c>
      <c r="I140" t="s">
        <v>21</v>
      </c>
      <c r="J140" t="s">
        <v>419</v>
      </c>
      <c r="K140" t="s">
        <v>464</v>
      </c>
    </row>
    <row r="141" spans="1:11" x14ac:dyDescent="0.35">
      <c r="A141" t="s">
        <v>461</v>
      </c>
      <c r="B141" t="s">
        <v>603</v>
      </c>
      <c r="C141" t="s">
        <v>57</v>
      </c>
      <c r="D141" t="s">
        <v>43</v>
      </c>
      <c r="E141" t="s">
        <v>119</v>
      </c>
      <c r="F141" t="s">
        <v>178</v>
      </c>
      <c r="G141" t="s">
        <v>463</v>
      </c>
      <c r="H141" t="s">
        <v>580</v>
      </c>
      <c r="I141" t="s">
        <v>21</v>
      </c>
      <c r="J141" t="s">
        <v>419</v>
      </c>
      <c r="K141" t="s">
        <v>464</v>
      </c>
    </row>
    <row r="142" spans="1:11" x14ac:dyDescent="0.35">
      <c r="A142" t="s">
        <v>461</v>
      </c>
      <c r="B142" t="s">
        <v>603</v>
      </c>
      <c r="C142" t="s">
        <v>57</v>
      </c>
      <c r="D142" t="s">
        <v>43</v>
      </c>
      <c r="E142" t="s">
        <v>119</v>
      </c>
      <c r="F142" t="s">
        <v>252</v>
      </c>
      <c r="G142" t="s">
        <v>463</v>
      </c>
      <c r="H142" t="s">
        <v>580</v>
      </c>
      <c r="I142" t="s">
        <v>21</v>
      </c>
      <c r="J142" t="s">
        <v>419</v>
      </c>
      <c r="K142" t="s">
        <v>464</v>
      </c>
    </row>
    <row r="143" spans="1:11" x14ac:dyDescent="0.35">
      <c r="A143" t="s">
        <v>461</v>
      </c>
      <c r="B143" t="s">
        <v>604</v>
      </c>
      <c r="C143" t="s">
        <v>53</v>
      </c>
      <c r="D143" t="s">
        <v>39</v>
      </c>
      <c r="E143" t="s">
        <v>76</v>
      </c>
      <c r="F143" t="s">
        <v>123</v>
      </c>
      <c r="G143" t="s">
        <v>467</v>
      </c>
      <c r="H143" t="s">
        <v>580</v>
      </c>
      <c r="I143" t="s">
        <v>21</v>
      </c>
      <c r="J143" t="s">
        <v>419</v>
      </c>
      <c r="K143" t="s">
        <v>468</v>
      </c>
    </row>
    <row r="144" spans="1:11" x14ac:dyDescent="0.35">
      <c r="A144" t="s">
        <v>461</v>
      </c>
      <c r="B144" t="s">
        <v>604</v>
      </c>
      <c r="C144" t="s">
        <v>53</v>
      </c>
      <c r="D144" t="s">
        <v>39</v>
      </c>
      <c r="E144" t="s">
        <v>126</v>
      </c>
      <c r="F144" t="s">
        <v>127</v>
      </c>
      <c r="G144" t="s">
        <v>467</v>
      </c>
      <c r="H144" t="s">
        <v>580</v>
      </c>
      <c r="I144" t="s">
        <v>21</v>
      </c>
      <c r="J144" t="s">
        <v>419</v>
      </c>
      <c r="K144" t="s">
        <v>468</v>
      </c>
    </row>
    <row r="145" spans="1:11" x14ac:dyDescent="0.35">
      <c r="A145" t="s">
        <v>461</v>
      </c>
      <c r="B145" t="s">
        <v>604</v>
      </c>
      <c r="C145" t="s">
        <v>53</v>
      </c>
      <c r="D145" t="s">
        <v>39</v>
      </c>
      <c r="E145" t="s">
        <v>126</v>
      </c>
      <c r="F145" t="s">
        <v>128</v>
      </c>
      <c r="G145" t="s">
        <v>467</v>
      </c>
      <c r="H145" t="s">
        <v>580</v>
      </c>
      <c r="I145" t="s">
        <v>21</v>
      </c>
      <c r="J145" t="s">
        <v>419</v>
      </c>
      <c r="K145" t="s">
        <v>468</v>
      </c>
    </row>
    <row r="146" spans="1:11" x14ac:dyDescent="0.35">
      <c r="A146" t="s">
        <v>461</v>
      </c>
      <c r="B146" t="s">
        <v>604</v>
      </c>
      <c r="C146" t="s">
        <v>57</v>
      </c>
      <c r="D146" t="s">
        <v>39</v>
      </c>
      <c r="E146" t="s">
        <v>119</v>
      </c>
      <c r="F146" t="s">
        <v>178</v>
      </c>
      <c r="G146" t="s">
        <v>467</v>
      </c>
      <c r="H146" t="s">
        <v>580</v>
      </c>
      <c r="I146" t="s">
        <v>21</v>
      </c>
      <c r="J146" t="s">
        <v>419</v>
      </c>
      <c r="K146" t="s">
        <v>468</v>
      </c>
    </row>
    <row r="147" spans="1:11" x14ac:dyDescent="0.35">
      <c r="A147" t="s">
        <v>461</v>
      </c>
      <c r="B147" t="s">
        <v>604</v>
      </c>
      <c r="C147" t="s">
        <v>57</v>
      </c>
      <c r="D147" t="s">
        <v>39</v>
      </c>
      <c r="E147" t="s">
        <v>119</v>
      </c>
      <c r="F147" t="s">
        <v>252</v>
      </c>
      <c r="G147" t="s">
        <v>467</v>
      </c>
      <c r="H147" t="s">
        <v>580</v>
      </c>
      <c r="I147" t="s">
        <v>21</v>
      </c>
      <c r="J147" t="s">
        <v>419</v>
      </c>
      <c r="K147" t="s">
        <v>468</v>
      </c>
    </row>
    <row r="148" spans="1:11" x14ac:dyDescent="0.35">
      <c r="A148" t="s">
        <v>461</v>
      </c>
      <c r="B148" t="s">
        <v>604</v>
      </c>
      <c r="C148" t="s">
        <v>57</v>
      </c>
      <c r="D148" t="s">
        <v>41</v>
      </c>
      <c r="E148" t="s">
        <v>76</v>
      </c>
      <c r="F148" t="s">
        <v>123</v>
      </c>
      <c r="G148" t="s">
        <v>467</v>
      </c>
      <c r="H148" t="s">
        <v>580</v>
      </c>
      <c r="I148" t="s">
        <v>21</v>
      </c>
      <c r="J148" t="s">
        <v>419</v>
      </c>
      <c r="K148" t="s">
        <v>468</v>
      </c>
    </row>
    <row r="149" spans="1:11" x14ac:dyDescent="0.35">
      <c r="A149" t="s">
        <v>461</v>
      </c>
      <c r="B149" t="s">
        <v>604</v>
      </c>
      <c r="C149" t="s">
        <v>57</v>
      </c>
      <c r="D149" t="s">
        <v>41</v>
      </c>
      <c r="E149" t="s">
        <v>126</v>
      </c>
      <c r="F149" t="s">
        <v>127</v>
      </c>
      <c r="G149" t="s">
        <v>467</v>
      </c>
      <c r="H149" t="s">
        <v>580</v>
      </c>
      <c r="I149" t="s">
        <v>21</v>
      </c>
      <c r="J149" t="s">
        <v>419</v>
      </c>
      <c r="K149" t="s">
        <v>468</v>
      </c>
    </row>
    <row r="150" spans="1:11" x14ac:dyDescent="0.35">
      <c r="A150" t="s">
        <v>461</v>
      </c>
      <c r="B150" t="s">
        <v>604</v>
      </c>
      <c r="C150" t="s">
        <v>57</v>
      </c>
      <c r="D150" t="s">
        <v>41</v>
      </c>
      <c r="E150" t="s">
        <v>126</v>
      </c>
      <c r="F150" t="s">
        <v>128</v>
      </c>
      <c r="G150" t="s">
        <v>467</v>
      </c>
      <c r="H150" t="s">
        <v>580</v>
      </c>
      <c r="I150" t="s">
        <v>21</v>
      </c>
      <c r="J150" t="s">
        <v>419</v>
      </c>
      <c r="K150" t="s">
        <v>468</v>
      </c>
    </row>
    <row r="151" spans="1:11" x14ac:dyDescent="0.35">
      <c r="A151" t="s">
        <v>461</v>
      </c>
      <c r="B151" t="s">
        <v>604</v>
      </c>
      <c r="C151" t="s">
        <v>57</v>
      </c>
      <c r="D151" t="s">
        <v>41</v>
      </c>
      <c r="E151" t="s">
        <v>119</v>
      </c>
      <c r="F151" t="s">
        <v>178</v>
      </c>
      <c r="G151" t="s">
        <v>467</v>
      </c>
      <c r="H151" t="s">
        <v>580</v>
      </c>
      <c r="I151" t="s">
        <v>21</v>
      </c>
      <c r="J151" t="s">
        <v>419</v>
      </c>
      <c r="K151" t="s">
        <v>468</v>
      </c>
    </row>
    <row r="152" spans="1:11" x14ac:dyDescent="0.35">
      <c r="A152" t="s">
        <v>461</v>
      </c>
      <c r="B152" t="s">
        <v>604</v>
      </c>
      <c r="C152" t="s">
        <v>57</v>
      </c>
      <c r="D152" t="s">
        <v>41</v>
      </c>
      <c r="E152" t="s">
        <v>119</v>
      </c>
      <c r="F152" t="s">
        <v>252</v>
      </c>
      <c r="G152" t="s">
        <v>467</v>
      </c>
      <c r="H152" t="s">
        <v>580</v>
      </c>
      <c r="I152" t="s">
        <v>21</v>
      </c>
      <c r="J152" t="s">
        <v>419</v>
      </c>
      <c r="K152" t="s">
        <v>468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BE5B2-55E6-4026-AAA3-152836E6B7BC}">
  <sheetPr codeName="Sheet15"/>
  <dimension ref="A1:O18"/>
  <sheetViews>
    <sheetView workbookViewId="0">
      <selection activeCell="G43" sqref="G43"/>
    </sheetView>
  </sheetViews>
  <sheetFormatPr defaultColWidth="8.81640625" defaultRowHeight="14.5" x14ac:dyDescent="0.35"/>
  <cols>
    <col min="1" max="1" width="49" bestFit="1" customWidth="1"/>
    <col min="2" max="2" width="13.453125" bestFit="1" customWidth="1"/>
    <col min="3" max="3" width="14.81640625" bestFit="1" customWidth="1"/>
    <col min="4" max="4" width="12.54296875" bestFit="1" customWidth="1"/>
    <col min="5" max="5" width="15.453125" bestFit="1" customWidth="1"/>
    <col min="6" max="6" width="12.1796875" bestFit="1" customWidth="1"/>
    <col min="7" max="7" width="44.453125" bestFit="1" customWidth="1"/>
    <col min="8" max="8" width="15.453125" bestFit="1" customWidth="1"/>
    <col min="9" max="9" width="44.453125" bestFit="1" customWidth="1"/>
    <col min="10" max="10" width="10" bestFit="1" customWidth="1"/>
    <col min="11" max="11" width="12" bestFit="1" customWidth="1"/>
    <col min="12" max="12" width="8.1796875" bestFit="1" customWidth="1"/>
    <col min="13" max="13" width="21.453125" bestFit="1" customWidth="1"/>
    <col min="14" max="14" width="18.453125" bestFit="1" customWidth="1"/>
    <col min="15" max="15" width="17.81640625" bestFit="1" customWidth="1"/>
  </cols>
  <sheetData>
    <row r="1" spans="1:15" x14ac:dyDescent="0.35">
      <c r="A1" t="s">
        <v>409</v>
      </c>
      <c r="B1" t="s">
        <v>410</v>
      </c>
      <c r="C1" t="s">
        <v>411</v>
      </c>
      <c r="D1" t="s">
        <v>412</v>
      </c>
      <c r="E1" t="s">
        <v>413</v>
      </c>
      <c r="F1" t="s">
        <v>414</v>
      </c>
      <c r="G1" t="s">
        <v>415</v>
      </c>
      <c r="H1" t="s">
        <v>4</v>
      </c>
      <c r="I1" t="s">
        <v>7</v>
      </c>
      <c r="J1" t="s">
        <v>9</v>
      </c>
      <c r="K1" t="s">
        <v>10</v>
      </c>
      <c r="L1" t="s">
        <v>12</v>
      </c>
      <c r="M1" t="s">
        <v>14</v>
      </c>
      <c r="N1" t="s">
        <v>17</v>
      </c>
      <c r="O1" t="s">
        <v>20</v>
      </c>
    </row>
    <row r="2" spans="1:15" x14ac:dyDescent="0.35">
      <c r="A2" t="s">
        <v>416</v>
      </c>
      <c r="B2" t="s">
        <v>417</v>
      </c>
      <c r="C2" t="s">
        <v>5</v>
      </c>
      <c r="D2" t="s">
        <v>418</v>
      </c>
      <c r="E2" t="s">
        <v>21</v>
      </c>
      <c r="F2" t="s">
        <v>419</v>
      </c>
      <c r="G2" t="s">
        <v>8</v>
      </c>
      <c r="H2" t="s">
        <v>5</v>
      </c>
      <c r="I2" t="s">
        <v>8</v>
      </c>
      <c r="J2">
        <v>20</v>
      </c>
      <c r="K2">
        <v>1</v>
      </c>
      <c r="L2">
        <v>4</v>
      </c>
      <c r="M2" t="s">
        <v>15</v>
      </c>
      <c r="N2" t="s">
        <v>18</v>
      </c>
      <c r="O2" t="s">
        <v>21</v>
      </c>
    </row>
    <row r="3" spans="1:15" x14ac:dyDescent="0.35">
      <c r="A3" t="s">
        <v>416</v>
      </c>
      <c r="B3" t="s">
        <v>420</v>
      </c>
      <c r="C3" t="s">
        <v>99</v>
      </c>
      <c r="D3" t="s">
        <v>418</v>
      </c>
      <c r="E3" t="s">
        <v>21</v>
      </c>
      <c r="F3" t="s">
        <v>419</v>
      </c>
      <c r="G3" t="s">
        <v>421</v>
      </c>
      <c r="H3" t="s">
        <v>99</v>
      </c>
      <c r="I3" t="s">
        <v>421</v>
      </c>
      <c r="J3">
        <v>20</v>
      </c>
      <c r="K3">
        <v>2</v>
      </c>
      <c r="L3">
        <v>4</v>
      </c>
      <c r="M3" t="s">
        <v>422</v>
      </c>
      <c r="N3" t="s">
        <v>18</v>
      </c>
      <c r="O3" t="s">
        <v>21</v>
      </c>
    </row>
    <row r="4" spans="1:15" x14ac:dyDescent="0.35">
      <c r="A4" t="s">
        <v>416</v>
      </c>
      <c r="B4" t="s">
        <v>423</v>
      </c>
      <c r="C4" t="s">
        <v>160</v>
      </c>
      <c r="D4" t="s">
        <v>418</v>
      </c>
      <c r="E4" t="s">
        <v>21</v>
      </c>
      <c r="F4" t="s">
        <v>419</v>
      </c>
      <c r="G4" t="s">
        <v>162</v>
      </c>
      <c r="H4" t="s">
        <v>160</v>
      </c>
      <c r="I4" t="s">
        <v>162</v>
      </c>
      <c r="J4">
        <v>20</v>
      </c>
      <c r="K4">
        <v>1</v>
      </c>
      <c r="L4">
        <v>5</v>
      </c>
      <c r="M4" t="s">
        <v>165</v>
      </c>
      <c r="N4" t="s">
        <v>18</v>
      </c>
      <c r="O4" t="s">
        <v>21</v>
      </c>
    </row>
    <row r="5" spans="1:15" x14ac:dyDescent="0.35">
      <c r="A5" t="s">
        <v>416</v>
      </c>
      <c r="B5" t="s">
        <v>424</v>
      </c>
      <c r="C5" t="s">
        <v>238</v>
      </c>
      <c r="D5" t="s">
        <v>418</v>
      </c>
      <c r="E5" t="s">
        <v>21</v>
      </c>
      <c r="F5" t="s">
        <v>419</v>
      </c>
      <c r="G5" t="s">
        <v>239</v>
      </c>
      <c r="H5" t="s">
        <v>238</v>
      </c>
      <c r="I5" t="s">
        <v>239</v>
      </c>
      <c r="J5">
        <v>20</v>
      </c>
      <c r="L5">
        <v>5</v>
      </c>
    </row>
    <row r="6" spans="1:15" x14ac:dyDescent="0.35">
      <c r="A6" t="s">
        <v>416</v>
      </c>
      <c r="B6" t="s">
        <v>425</v>
      </c>
      <c r="C6" t="s">
        <v>195</v>
      </c>
      <c r="D6" t="s">
        <v>418</v>
      </c>
      <c r="E6" t="s">
        <v>21</v>
      </c>
      <c r="F6" t="s">
        <v>419</v>
      </c>
      <c r="G6" t="s">
        <v>197</v>
      </c>
      <c r="H6" t="s">
        <v>195</v>
      </c>
      <c r="I6" t="s">
        <v>197</v>
      </c>
      <c r="J6">
        <v>20</v>
      </c>
      <c r="K6">
        <v>1</v>
      </c>
      <c r="L6">
        <v>6</v>
      </c>
      <c r="M6" t="s">
        <v>200</v>
      </c>
      <c r="N6" t="s">
        <v>18</v>
      </c>
      <c r="O6" t="s">
        <v>21</v>
      </c>
    </row>
    <row r="7" spans="1:15" x14ac:dyDescent="0.35">
      <c r="A7" t="s">
        <v>416</v>
      </c>
      <c r="B7" t="s">
        <v>426</v>
      </c>
      <c r="C7" t="s">
        <v>240</v>
      </c>
      <c r="D7" t="s">
        <v>418</v>
      </c>
      <c r="E7" t="s">
        <v>21</v>
      </c>
      <c r="F7" t="s">
        <v>419</v>
      </c>
      <c r="G7" t="s">
        <v>241</v>
      </c>
      <c r="H7" t="s">
        <v>240</v>
      </c>
      <c r="I7" t="s">
        <v>241</v>
      </c>
      <c r="J7">
        <v>20</v>
      </c>
      <c r="K7">
        <v>2</v>
      </c>
      <c r="L7">
        <v>6</v>
      </c>
      <c r="M7" t="s">
        <v>243</v>
      </c>
      <c r="N7" t="s">
        <v>18</v>
      </c>
      <c r="O7" t="s">
        <v>21</v>
      </c>
    </row>
    <row r="8" spans="1:15" x14ac:dyDescent="0.35">
      <c r="A8" t="s">
        <v>416</v>
      </c>
      <c r="B8" t="s">
        <v>427</v>
      </c>
      <c r="C8" t="s">
        <v>264</v>
      </c>
      <c r="D8" t="s">
        <v>418</v>
      </c>
      <c r="E8" t="s">
        <v>21</v>
      </c>
      <c r="F8" t="s">
        <v>419</v>
      </c>
      <c r="G8" t="s">
        <v>266</v>
      </c>
      <c r="H8" t="s">
        <v>264</v>
      </c>
      <c r="I8" t="s">
        <v>266</v>
      </c>
      <c r="J8">
        <v>20</v>
      </c>
      <c r="K8">
        <v>1</v>
      </c>
      <c r="L8">
        <v>6</v>
      </c>
      <c r="M8" t="s">
        <v>269</v>
      </c>
      <c r="N8" t="s">
        <v>18</v>
      </c>
      <c r="O8" t="s">
        <v>21</v>
      </c>
    </row>
    <row r="9" spans="1:15" x14ac:dyDescent="0.35">
      <c r="A9" t="s">
        <v>416</v>
      </c>
      <c r="B9" t="s">
        <v>428</v>
      </c>
      <c r="C9" t="s">
        <v>292</v>
      </c>
      <c r="D9" t="s">
        <v>418</v>
      </c>
      <c r="E9" t="s">
        <v>21</v>
      </c>
      <c r="F9" t="s">
        <v>419</v>
      </c>
      <c r="G9" t="s">
        <v>429</v>
      </c>
      <c r="H9" t="s">
        <v>292</v>
      </c>
      <c r="I9" t="s">
        <v>429</v>
      </c>
      <c r="J9">
        <v>20</v>
      </c>
      <c r="K9" t="s">
        <v>296</v>
      </c>
      <c r="L9">
        <v>6</v>
      </c>
      <c r="M9" t="s">
        <v>298</v>
      </c>
      <c r="N9" t="s">
        <v>299</v>
      </c>
      <c r="O9" t="s">
        <v>21</v>
      </c>
    </row>
    <row r="10" spans="1:15" x14ac:dyDescent="0.35">
      <c r="A10" t="s">
        <v>461</v>
      </c>
      <c r="B10" t="s">
        <v>462</v>
      </c>
      <c r="C10" t="s">
        <v>463</v>
      </c>
      <c r="D10" t="s">
        <v>418</v>
      </c>
      <c r="E10" t="s">
        <v>21</v>
      </c>
      <c r="F10" t="s">
        <v>419</v>
      </c>
      <c r="G10" t="s">
        <v>464</v>
      </c>
      <c r="H10" t="s">
        <v>463</v>
      </c>
      <c r="I10" t="s">
        <v>464</v>
      </c>
      <c r="J10">
        <v>20</v>
      </c>
      <c r="K10">
        <v>1</v>
      </c>
      <c r="L10">
        <v>4</v>
      </c>
      <c r="M10" t="s">
        <v>465</v>
      </c>
      <c r="N10" t="s">
        <v>18</v>
      </c>
      <c r="O10" t="s">
        <v>378</v>
      </c>
    </row>
    <row r="11" spans="1:15" x14ac:dyDescent="0.35">
      <c r="A11" t="s">
        <v>461</v>
      </c>
      <c r="B11" t="s">
        <v>466</v>
      </c>
      <c r="C11" t="s">
        <v>467</v>
      </c>
      <c r="D11" t="s">
        <v>418</v>
      </c>
      <c r="E11" t="s">
        <v>21</v>
      </c>
      <c r="F11" t="s">
        <v>419</v>
      </c>
      <c r="G11" t="s">
        <v>468</v>
      </c>
      <c r="H11" t="s">
        <v>467</v>
      </c>
      <c r="I11" t="s">
        <v>468</v>
      </c>
      <c r="J11">
        <v>20</v>
      </c>
      <c r="K11">
        <v>2</v>
      </c>
      <c r="L11">
        <v>5</v>
      </c>
      <c r="M11" t="s">
        <v>469</v>
      </c>
      <c r="N11" t="s">
        <v>18</v>
      </c>
      <c r="O11" t="s">
        <v>370</v>
      </c>
    </row>
    <row r="12" spans="1:15" x14ac:dyDescent="0.35">
      <c r="A12" t="s">
        <v>430</v>
      </c>
      <c r="B12" t="s">
        <v>431</v>
      </c>
      <c r="C12" t="s">
        <v>432</v>
      </c>
      <c r="D12" t="s">
        <v>418</v>
      </c>
      <c r="E12" t="s">
        <v>21</v>
      </c>
      <c r="F12" t="s">
        <v>419</v>
      </c>
      <c r="G12" t="s">
        <v>433</v>
      </c>
      <c r="H12" t="s">
        <v>432</v>
      </c>
      <c r="I12" t="s">
        <v>433</v>
      </c>
      <c r="J12">
        <v>20</v>
      </c>
      <c r="K12">
        <v>2</v>
      </c>
      <c r="L12">
        <v>4</v>
      </c>
      <c r="M12" t="s">
        <v>434</v>
      </c>
      <c r="N12" t="s">
        <v>339</v>
      </c>
      <c r="O12" t="s">
        <v>370</v>
      </c>
    </row>
    <row r="13" spans="1:15" x14ac:dyDescent="0.35">
      <c r="A13" t="s">
        <v>430</v>
      </c>
      <c r="B13" t="s">
        <v>435</v>
      </c>
      <c r="C13" t="s">
        <v>436</v>
      </c>
      <c r="D13" t="s">
        <v>418</v>
      </c>
      <c r="E13" t="s">
        <v>21</v>
      </c>
      <c r="F13" t="s">
        <v>419</v>
      </c>
      <c r="G13" t="s">
        <v>437</v>
      </c>
      <c r="H13" t="s">
        <v>436</v>
      </c>
      <c r="I13" t="s">
        <v>438</v>
      </c>
      <c r="J13">
        <v>20</v>
      </c>
      <c r="K13">
        <v>1</v>
      </c>
      <c r="L13">
        <v>4</v>
      </c>
      <c r="M13" t="s">
        <v>439</v>
      </c>
      <c r="N13" t="s">
        <v>18</v>
      </c>
      <c r="O13" t="s">
        <v>370</v>
      </c>
    </row>
    <row r="14" spans="1:15" x14ac:dyDescent="0.35">
      <c r="A14" t="s">
        <v>430</v>
      </c>
      <c r="B14" t="s">
        <v>440</v>
      </c>
      <c r="C14" t="s">
        <v>441</v>
      </c>
      <c r="D14" t="s">
        <v>418</v>
      </c>
      <c r="E14" t="s">
        <v>21</v>
      </c>
      <c r="F14" t="s">
        <v>419</v>
      </c>
      <c r="G14" t="s">
        <v>442</v>
      </c>
      <c r="H14" t="s">
        <v>441</v>
      </c>
      <c r="I14" t="s">
        <v>442</v>
      </c>
      <c r="J14">
        <v>20</v>
      </c>
      <c r="K14">
        <v>2</v>
      </c>
      <c r="L14">
        <v>4</v>
      </c>
      <c r="M14" t="s">
        <v>443</v>
      </c>
      <c r="N14" t="s">
        <v>18</v>
      </c>
      <c r="O14" t="s">
        <v>378</v>
      </c>
    </row>
    <row r="15" spans="1:15" x14ac:dyDescent="0.35">
      <c r="A15" t="s">
        <v>430</v>
      </c>
      <c r="B15" t="s">
        <v>444</v>
      </c>
      <c r="C15" t="s">
        <v>445</v>
      </c>
      <c r="D15" t="s">
        <v>418</v>
      </c>
      <c r="E15" t="s">
        <v>21</v>
      </c>
      <c r="F15" t="s">
        <v>419</v>
      </c>
      <c r="G15" t="s">
        <v>446</v>
      </c>
      <c r="H15" t="s">
        <v>445</v>
      </c>
      <c r="I15" t="s">
        <v>446</v>
      </c>
      <c r="J15">
        <v>20</v>
      </c>
      <c r="K15">
        <v>2</v>
      </c>
      <c r="L15">
        <v>5</v>
      </c>
      <c r="M15" t="s">
        <v>447</v>
      </c>
      <c r="N15" t="s">
        <v>339</v>
      </c>
      <c r="O15" t="s">
        <v>370</v>
      </c>
    </row>
    <row r="16" spans="1:15" x14ac:dyDescent="0.35">
      <c r="A16" t="s">
        <v>430</v>
      </c>
      <c r="B16" t="s">
        <v>453</v>
      </c>
      <c r="C16" t="s">
        <v>454</v>
      </c>
      <c r="D16" t="s">
        <v>418</v>
      </c>
      <c r="E16" t="s">
        <v>21</v>
      </c>
      <c r="F16" t="s">
        <v>419</v>
      </c>
      <c r="G16" t="s">
        <v>455</v>
      </c>
      <c r="H16" t="s">
        <v>454</v>
      </c>
      <c r="I16" t="s">
        <v>455</v>
      </c>
      <c r="J16">
        <v>20</v>
      </c>
      <c r="K16">
        <v>2</v>
      </c>
      <c r="L16">
        <v>5</v>
      </c>
      <c r="M16" t="s">
        <v>456</v>
      </c>
      <c r="N16" t="s">
        <v>18</v>
      </c>
      <c r="O16" t="s">
        <v>378</v>
      </c>
    </row>
    <row r="17" spans="1:15" x14ac:dyDescent="0.35">
      <c r="A17" t="s">
        <v>430</v>
      </c>
      <c r="B17" t="s">
        <v>448</v>
      </c>
      <c r="C17" t="s">
        <v>449</v>
      </c>
      <c r="D17" t="s">
        <v>418</v>
      </c>
      <c r="E17" t="s">
        <v>21</v>
      </c>
      <c r="F17" t="s">
        <v>419</v>
      </c>
      <c r="G17" t="s">
        <v>450</v>
      </c>
      <c r="H17" t="s">
        <v>449</v>
      </c>
      <c r="I17" t="s">
        <v>451</v>
      </c>
      <c r="L17">
        <v>5</v>
      </c>
      <c r="M17" t="s">
        <v>452</v>
      </c>
      <c r="N17" t="s">
        <v>18</v>
      </c>
      <c r="O17" t="s">
        <v>372</v>
      </c>
    </row>
    <row r="18" spans="1:15" x14ac:dyDescent="0.35">
      <c r="A18" t="s">
        <v>430</v>
      </c>
      <c r="B18" t="s">
        <v>457</v>
      </c>
      <c r="C18" t="s">
        <v>458</v>
      </c>
      <c r="D18" t="s">
        <v>418</v>
      </c>
      <c r="E18" t="s">
        <v>21</v>
      </c>
      <c r="F18" t="s">
        <v>419</v>
      </c>
      <c r="G18" t="s">
        <v>459</v>
      </c>
      <c r="H18" t="s">
        <v>458</v>
      </c>
      <c r="I18" t="s">
        <v>459</v>
      </c>
      <c r="J18">
        <v>40</v>
      </c>
      <c r="K18" t="s">
        <v>296</v>
      </c>
      <c r="L18">
        <v>6</v>
      </c>
      <c r="M18" t="s">
        <v>460</v>
      </c>
      <c r="N18" t="s">
        <v>340</v>
      </c>
      <c r="O18" t="s">
        <v>370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7394-A2C2-49E8-8135-59A5AEADB66E}">
  <sheetPr codeName="Sheet16"/>
  <dimension ref="A1:M18"/>
  <sheetViews>
    <sheetView workbookViewId="0">
      <selection activeCell="M24" sqref="M24"/>
    </sheetView>
  </sheetViews>
  <sheetFormatPr defaultColWidth="8.81640625" defaultRowHeight="14.5" x14ac:dyDescent="0.35"/>
  <cols>
    <col min="1" max="1" width="49" bestFit="1" customWidth="1"/>
    <col min="2" max="2" width="14.453125" bestFit="1" customWidth="1"/>
    <col min="3" max="3" width="14.81640625" bestFit="1" customWidth="1"/>
    <col min="4" max="4" width="12.54296875" bestFit="1" customWidth="1"/>
    <col min="5" max="5" width="15.453125" bestFit="1" customWidth="1"/>
    <col min="6" max="6" width="12.1796875" bestFit="1" customWidth="1"/>
    <col min="7" max="7" width="44.453125" bestFit="1" customWidth="1"/>
    <col min="8" max="8" width="10.1796875" bestFit="1" customWidth="1"/>
    <col min="9" max="9" width="10.54296875" bestFit="1" customWidth="1"/>
    <col min="10" max="10" width="11" bestFit="1" customWidth="1"/>
    <col min="11" max="11" width="12.453125" bestFit="1" customWidth="1"/>
    <col min="12" max="12" width="9.453125" bestFit="1" customWidth="1"/>
    <col min="13" max="13" width="7.54296875" bestFit="1" customWidth="1"/>
  </cols>
  <sheetData>
    <row r="1" spans="1:13" x14ac:dyDescent="0.35">
      <c r="A1" t="s">
        <v>409</v>
      </c>
      <c r="B1" t="s">
        <v>410</v>
      </c>
      <c r="C1" t="s">
        <v>411</v>
      </c>
      <c r="D1" t="s">
        <v>412</v>
      </c>
      <c r="E1" t="s">
        <v>413</v>
      </c>
      <c r="F1" t="s">
        <v>414</v>
      </c>
      <c r="G1" t="s">
        <v>415</v>
      </c>
      <c r="H1" t="s">
        <v>26</v>
      </c>
      <c r="I1" t="s">
        <v>27</v>
      </c>
      <c r="J1" t="s">
        <v>28</v>
      </c>
      <c r="K1" t="s">
        <v>29</v>
      </c>
      <c r="L1" t="s">
        <v>31</v>
      </c>
      <c r="M1" t="s">
        <v>33</v>
      </c>
    </row>
    <row r="2" spans="1:13" x14ac:dyDescent="0.35">
      <c r="A2" t="s">
        <v>416</v>
      </c>
      <c r="B2" t="s">
        <v>561</v>
      </c>
      <c r="C2" t="s">
        <v>5</v>
      </c>
      <c r="D2" t="s">
        <v>562</v>
      </c>
      <c r="E2" t="s">
        <v>21</v>
      </c>
      <c r="F2" t="s">
        <v>419</v>
      </c>
      <c r="G2" t="s">
        <v>8</v>
      </c>
      <c r="H2">
        <v>24</v>
      </c>
      <c r="I2">
        <v>10</v>
      </c>
      <c r="J2">
        <v>9</v>
      </c>
      <c r="K2">
        <v>6</v>
      </c>
      <c r="L2">
        <v>0</v>
      </c>
      <c r="M2">
        <v>49</v>
      </c>
    </row>
    <row r="3" spans="1:13" x14ac:dyDescent="0.35">
      <c r="A3" t="s">
        <v>416</v>
      </c>
      <c r="B3" t="s">
        <v>563</v>
      </c>
      <c r="C3" t="s">
        <v>99</v>
      </c>
      <c r="D3" t="s">
        <v>562</v>
      </c>
      <c r="E3" t="s">
        <v>21</v>
      </c>
      <c r="F3" t="s">
        <v>419</v>
      </c>
      <c r="G3" t="s">
        <v>421</v>
      </c>
      <c r="H3">
        <v>22</v>
      </c>
      <c r="I3">
        <v>14</v>
      </c>
      <c r="J3">
        <v>4</v>
      </c>
      <c r="K3">
        <v>8</v>
      </c>
      <c r="L3">
        <v>0</v>
      </c>
      <c r="M3">
        <v>48</v>
      </c>
    </row>
    <row r="4" spans="1:13" x14ac:dyDescent="0.35">
      <c r="A4" t="s">
        <v>416</v>
      </c>
      <c r="B4" t="s">
        <v>564</v>
      </c>
      <c r="C4" t="s">
        <v>160</v>
      </c>
      <c r="D4" t="s">
        <v>562</v>
      </c>
      <c r="E4" t="s">
        <v>21</v>
      </c>
      <c r="F4" t="s">
        <v>419</v>
      </c>
      <c r="G4" t="s">
        <v>162</v>
      </c>
      <c r="H4">
        <v>18</v>
      </c>
      <c r="I4">
        <v>14</v>
      </c>
      <c r="J4">
        <v>6</v>
      </c>
      <c r="K4">
        <v>10</v>
      </c>
      <c r="M4">
        <v>48</v>
      </c>
    </row>
    <row r="5" spans="1:13" x14ac:dyDescent="0.35">
      <c r="A5" t="s">
        <v>416</v>
      </c>
      <c r="B5" t="s">
        <v>565</v>
      </c>
      <c r="C5" t="s">
        <v>238</v>
      </c>
      <c r="D5" t="s">
        <v>562</v>
      </c>
      <c r="E5" t="s">
        <v>21</v>
      </c>
      <c r="F5" t="s">
        <v>419</v>
      </c>
      <c r="G5" t="s">
        <v>239</v>
      </c>
      <c r="M5">
        <v>0</v>
      </c>
    </row>
    <row r="6" spans="1:13" x14ac:dyDescent="0.35">
      <c r="A6" t="s">
        <v>416</v>
      </c>
      <c r="B6" t="s">
        <v>566</v>
      </c>
      <c r="C6" t="s">
        <v>195</v>
      </c>
      <c r="D6" t="s">
        <v>562</v>
      </c>
      <c r="E6" t="s">
        <v>21</v>
      </c>
      <c r="F6" t="s">
        <v>419</v>
      </c>
      <c r="G6" t="s">
        <v>197</v>
      </c>
      <c r="H6">
        <v>22</v>
      </c>
      <c r="J6">
        <v>16</v>
      </c>
      <c r="K6">
        <v>8</v>
      </c>
      <c r="M6">
        <v>46</v>
      </c>
    </row>
    <row r="7" spans="1:13" x14ac:dyDescent="0.35">
      <c r="A7" t="s">
        <v>416</v>
      </c>
      <c r="B7" t="s">
        <v>567</v>
      </c>
      <c r="C7" t="s">
        <v>240</v>
      </c>
      <c r="D7" t="s">
        <v>562</v>
      </c>
      <c r="E7" t="s">
        <v>21</v>
      </c>
      <c r="F7" t="s">
        <v>419</v>
      </c>
      <c r="G7" t="s">
        <v>241</v>
      </c>
      <c r="H7">
        <v>8</v>
      </c>
      <c r="J7">
        <v>12</v>
      </c>
      <c r="K7">
        <v>20</v>
      </c>
      <c r="M7">
        <v>40</v>
      </c>
    </row>
    <row r="8" spans="1:13" x14ac:dyDescent="0.35">
      <c r="A8" t="s">
        <v>416</v>
      </c>
      <c r="B8" t="s">
        <v>568</v>
      </c>
      <c r="C8" t="s">
        <v>264</v>
      </c>
      <c r="D8" t="s">
        <v>562</v>
      </c>
      <c r="E8" t="s">
        <v>21</v>
      </c>
      <c r="F8" t="s">
        <v>419</v>
      </c>
      <c r="G8" t="s">
        <v>266</v>
      </c>
      <c r="H8">
        <v>22</v>
      </c>
      <c r="I8">
        <v>18</v>
      </c>
      <c r="M8">
        <v>40</v>
      </c>
    </row>
    <row r="9" spans="1:13" x14ac:dyDescent="0.35">
      <c r="A9" t="s">
        <v>416</v>
      </c>
      <c r="B9" t="s">
        <v>569</v>
      </c>
      <c r="C9" t="s">
        <v>292</v>
      </c>
      <c r="D9" t="s">
        <v>562</v>
      </c>
      <c r="E9" t="s">
        <v>21</v>
      </c>
      <c r="F9" t="s">
        <v>419</v>
      </c>
      <c r="G9" t="s">
        <v>429</v>
      </c>
      <c r="H9">
        <v>10</v>
      </c>
      <c r="I9">
        <v>10</v>
      </c>
      <c r="M9">
        <v>20</v>
      </c>
    </row>
    <row r="10" spans="1:13" x14ac:dyDescent="0.35">
      <c r="A10" t="s">
        <v>461</v>
      </c>
      <c r="B10" t="s">
        <v>577</v>
      </c>
      <c r="C10" t="s">
        <v>463</v>
      </c>
      <c r="D10" t="s">
        <v>562</v>
      </c>
      <c r="E10" t="s">
        <v>21</v>
      </c>
      <c r="F10" t="s">
        <v>419</v>
      </c>
      <c r="G10" t="s">
        <v>464</v>
      </c>
      <c r="H10">
        <v>42</v>
      </c>
      <c r="M10">
        <v>42</v>
      </c>
    </row>
    <row r="11" spans="1:13" x14ac:dyDescent="0.35">
      <c r="A11" t="s">
        <v>461</v>
      </c>
      <c r="B11" t="s">
        <v>578</v>
      </c>
      <c r="C11" t="s">
        <v>467</v>
      </c>
      <c r="D11" t="s">
        <v>562</v>
      </c>
      <c r="E11" t="s">
        <v>21</v>
      </c>
      <c r="F11" t="s">
        <v>419</v>
      </c>
      <c r="G11" t="s">
        <v>468</v>
      </c>
      <c r="H11">
        <v>38</v>
      </c>
      <c r="I11">
        <v>6</v>
      </c>
      <c r="J11">
        <v>0</v>
      </c>
      <c r="K11">
        <v>0</v>
      </c>
      <c r="L11">
        <v>0</v>
      </c>
      <c r="M11">
        <v>44</v>
      </c>
    </row>
    <row r="12" spans="1:13" x14ac:dyDescent="0.35">
      <c r="A12" t="s">
        <v>430</v>
      </c>
      <c r="B12" t="s">
        <v>570</v>
      </c>
      <c r="C12" t="s">
        <v>432</v>
      </c>
      <c r="D12" t="s">
        <v>562</v>
      </c>
      <c r="E12" t="s">
        <v>21</v>
      </c>
      <c r="F12" t="s">
        <v>419</v>
      </c>
      <c r="G12" t="s">
        <v>433</v>
      </c>
      <c r="H12">
        <v>34</v>
      </c>
      <c r="I12">
        <v>6</v>
      </c>
      <c r="K12">
        <v>4</v>
      </c>
      <c r="M12">
        <v>44</v>
      </c>
    </row>
    <row r="13" spans="1:13" x14ac:dyDescent="0.35">
      <c r="A13" t="s">
        <v>430</v>
      </c>
      <c r="B13" t="s">
        <v>571</v>
      </c>
      <c r="C13" t="s">
        <v>436</v>
      </c>
      <c r="D13" t="s">
        <v>562</v>
      </c>
      <c r="E13" t="s">
        <v>21</v>
      </c>
      <c r="F13" t="s">
        <v>419</v>
      </c>
      <c r="G13" t="s">
        <v>437</v>
      </c>
      <c r="H13">
        <v>33</v>
      </c>
      <c r="I13">
        <v>1</v>
      </c>
      <c r="J13">
        <v>6</v>
      </c>
      <c r="K13">
        <v>1</v>
      </c>
      <c r="L13">
        <v>3</v>
      </c>
      <c r="M13">
        <v>44</v>
      </c>
    </row>
    <row r="14" spans="1:13" x14ac:dyDescent="0.35">
      <c r="A14" t="s">
        <v>430</v>
      </c>
      <c r="B14" t="s">
        <v>572</v>
      </c>
      <c r="C14" t="s">
        <v>441</v>
      </c>
      <c r="D14" t="s">
        <v>562</v>
      </c>
      <c r="E14" t="s">
        <v>21</v>
      </c>
      <c r="F14" t="s">
        <v>419</v>
      </c>
      <c r="G14" t="s">
        <v>442</v>
      </c>
      <c r="H14">
        <v>11</v>
      </c>
      <c r="J14">
        <v>6</v>
      </c>
      <c r="K14">
        <v>11</v>
      </c>
      <c r="L14">
        <v>11</v>
      </c>
      <c r="M14">
        <v>39</v>
      </c>
    </row>
    <row r="15" spans="1:13" x14ac:dyDescent="0.35">
      <c r="A15" t="s">
        <v>430</v>
      </c>
      <c r="B15" t="s">
        <v>573</v>
      </c>
      <c r="C15" t="s">
        <v>445</v>
      </c>
      <c r="D15" t="s">
        <v>562</v>
      </c>
      <c r="E15" t="s">
        <v>21</v>
      </c>
      <c r="F15" t="s">
        <v>419</v>
      </c>
      <c r="G15" t="s">
        <v>446</v>
      </c>
      <c r="H15">
        <v>34</v>
      </c>
      <c r="I15">
        <v>6</v>
      </c>
      <c r="K15">
        <v>2</v>
      </c>
      <c r="M15">
        <v>42</v>
      </c>
    </row>
    <row r="16" spans="1:13" x14ac:dyDescent="0.35">
      <c r="A16" t="s">
        <v>430</v>
      </c>
      <c r="B16" t="s">
        <v>575</v>
      </c>
      <c r="C16" t="s">
        <v>454</v>
      </c>
      <c r="D16" t="s">
        <v>562</v>
      </c>
      <c r="E16" t="s">
        <v>21</v>
      </c>
      <c r="F16" t="s">
        <v>419</v>
      </c>
      <c r="G16" t="s">
        <v>455</v>
      </c>
      <c r="H16">
        <v>16</v>
      </c>
      <c r="I16">
        <v>5</v>
      </c>
      <c r="J16">
        <v>6</v>
      </c>
      <c r="K16">
        <v>7</v>
      </c>
      <c r="L16">
        <v>6</v>
      </c>
      <c r="M16">
        <v>40</v>
      </c>
    </row>
    <row r="17" spans="1:13" x14ac:dyDescent="0.35">
      <c r="A17" t="s">
        <v>430</v>
      </c>
      <c r="B17" t="s">
        <v>574</v>
      </c>
      <c r="C17" t="s">
        <v>449</v>
      </c>
      <c r="D17" t="s">
        <v>562</v>
      </c>
      <c r="E17" t="s">
        <v>21</v>
      </c>
      <c r="F17" t="s">
        <v>419</v>
      </c>
      <c r="G17" t="s">
        <v>450</v>
      </c>
      <c r="M17">
        <v>0</v>
      </c>
    </row>
    <row r="18" spans="1:13" x14ac:dyDescent="0.35">
      <c r="A18" t="s">
        <v>430</v>
      </c>
      <c r="B18" t="s">
        <v>576</v>
      </c>
      <c r="C18" t="s">
        <v>458</v>
      </c>
      <c r="D18" t="s">
        <v>562</v>
      </c>
      <c r="E18" t="s">
        <v>21</v>
      </c>
      <c r="F18" t="s">
        <v>419</v>
      </c>
      <c r="G18" t="s">
        <v>459</v>
      </c>
      <c r="H18">
        <v>10</v>
      </c>
      <c r="I18">
        <v>26</v>
      </c>
      <c r="M18">
        <v>36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22F8-AEE2-4EDD-92C3-E8E41CE87D0E}">
  <sheetPr codeName="Sheet17"/>
  <dimension ref="A1:I18"/>
  <sheetViews>
    <sheetView workbookViewId="0">
      <selection activeCell="Q29" sqref="Q29"/>
    </sheetView>
  </sheetViews>
  <sheetFormatPr defaultColWidth="8.81640625" defaultRowHeight="14.5" x14ac:dyDescent="0.35"/>
  <cols>
    <col min="1" max="1" width="14.81640625" bestFit="1" customWidth="1"/>
    <col min="2" max="2" width="44.453125" bestFit="1" customWidth="1"/>
    <col min="3" max="3" width="8.1796875" bestFit="1" customWidth="1"/>
    <col min="4" max="4" width="12" bestFit="1" customWidth="1"/>
    <col min="5" max="5" width="10" bestFit="1" customWidth="1"/>
    <col min="6" max="6" width="21.453125" bestFit="1" customWidth="1"/>
    <col min="7" max="7" width="18.453125" bestFit="1" customWidth="1"/>
    <col min="8" max="8" width="21.453125" bestFit="1" customWidth="1"/>
    <col min="9" max="9" width="18.453125" bestFit="1" customWidth="1"/>
  </cols>
  <sheetData>
    <row r="1" spans="1:9" x14ac:dyDescent="0.35">
      <c r="A1" t="s">
        <v>411</v>
      </c>
      <c r="B1" t="s">
        <v>415</v>
      </c>
      <c r="C1" t="s">
        <v>12</v>
      </c>
      <c r="D1" t="s">
        <v>10</v>
      </c>
      <c r="E1" t="s">
        <v>9</v>
      </c>
      <c r="F1" t="s">
        <v>14</v>
      </c>
      <c r="G1" t="s">
        <v>17</v>
      </c>
      <c r="H1" t="s">
        <v>605</v>
      </c>
      <c r="I1" t="s">
        <v>606</v>
      </c>
    </row>
    <row r="2" spans="1:9" x14ac:dyDescent="0.35">
      <c r="A2" t="s">
        <v>5</v>
      </c>
      <c r="B2" t="s">
        <v>8</v>
      </c>
      <c r="C2">
        <v>4</v>
      </c>
      <c r="D2">
        <v>1</v>
      </c>
      <c r="E2">
        <v>20</v>
      </c>
      <c r="F2" t="s">
        <v>15</v>
      </c>
      <c r="G2" t="s">
        <v>18</v>
      </c>
      <c r="H2">
        <v>49</v>
      </c>
      <c r="I2">
        <v>2.4500000000000002</v>
      </c>
    </row>
    <row r="3" spans="1:9" x14ac:dyDescent="0.35">
      <c r="A3" t="s">
        <v>99</v>
      </c>
      <c r="B3" t="s">
        <v>421</v>
      </c>
      <c r="C3">
        <v>4</v>
      </c>
      <c r="D3">
        <v>2</v>
      </c>
      <c r="E3">
        <v>20</v>
      </c>
      <c r="F3" t="s">
        <v>422</v>
      </c>
      <c r="G3" t="s">
        <v>18</v>
      </c>
      <c r="H3">
        <v>48</v>
      </c>
      <c r="I3">
        <v>2.4</v>
      </c>
    </row>
    <row r="4" spans="1:9" x14ac:dyDescent="0.35">
      <c r="A4" t="s">
        <v>160</v>
      </c>
      <c r="B4" t="s">
        <v>162</v>
      </c>
      <c r="C4">
        <v>5</v>
      </c>
      <c r="D4">
        <v>1</v>
      </c>
      <c r="E4">
        <v>20</v>
      </c>
      <c r="F4" t="s">
        <v>165</v>
      </c>
      <c r="G4" t="s">
        <v>18</v>
      </c>
      <c r="H4">
        <v>48</v>
      </c>
      <c r="I4">
        <v>2.4</v>
      </c>
    </row>
    <row r="5" spans="1:9" x14ac:dyDescent="0.35">
      <c r="A5" t="s">
        <v>238</v>
      </c>
      <c r="B5" t="s">
        <v>239</v>
      </c>
      <c r="C5">
        <v>5</v>
      </c>
      <c r="E5">
        <v>20</v>
      </c>
      <c r="H5">
        <v>0</v>
      </c>
      <c r="I5">
        <v>0</v>
      </c>
    </row>
    <row r="6" spans="1:9" x14ac:dyDescent="0.35">
      <c r="A6" t="s">
        <v>195</v>
      </c>
      <c r="B6" t="s">
        <v>197</v>
      </c>
      <c r="C6">
        <v>6</v>
      </c>
      <c r="D6">
        <v>1</v>
      </c>
      <c r="E6">
        <v>20</v>
      </c>
      <c r="F6" t="s">
        <v>200</v>
      </c>
      <c r="G6" t="s">
        <v>18</v>
      </c>
      <c r="H6">
        <v>46</v>
      </c>
      <c r="I6">
        <v>2.2999999999999998</v>
      </c>
    </row>
    <row r="7" spans="1:9" x14ac:dyDescent="0.35">
      <c r="A7" t="s">
        <v>240</v>
      </c>
      <c r="B7" t="s">
        <v>241</v>
      </c>
      <c r="C7">
        <v>6</v>
      </c>
      <c r="D7">
        <v>2</v>
      </c>
      <c r="E7">
        <v>20</v>
      </c>
      <c r="F7" t="s">
        <v>243</v>
      </c>
      <c r="G7" t="s">
        <v>18</v>
      </c>
      <c r="H7">
        <v>40</v>
      </c>
      <c r="I7">
        <v>2</v>
      </c>
    </row>
    <row r="8" spans="1:9" x14ac:dyDescent="0.35">
      <c r="A8" t="s">
        <v>264</v>
      </c>
      <c r="B8" t="s">
        <v>266</v>
      </c>
      <c r="C8">
        <v>6</v>
      </c>
      <c r="D8">
        <v>1</v>
      </c>
      <c r="E8">
        <v>20</v>
      </c>
      <c r="F8" t="s">
        <v>269</v>
      </c>
      <c r="G8" t="s">
        <v>18</v>
      </c>
      <c r="H8">
        <v>40</v>
      </c>
      <c r="I8">
        <v>2</v>
      </c>
    </row>
    <row r="9" spans="1:9" x14ac:dyDescent="0.35">
      <c r="A9" t="s">
        <v>292</v>
      </c>
      <c r="B9" t="s">
        <v>429</v>
      </c>
      <c r="C9">
        <v>6</v>
      </c>
      <c r="E9">
        <v>20</v>
      </c>
      <c r="F9" t="s">
        <v>298</v>
      </c>
      <c r="G9" t="s">
        <v>299</v>
      </c>
      <c r="H9">
        <v>20</v>
      </c>
      <c r="I9">
        <v>1</v>
      </c>
    </row>
    <row r="10" spans="1:9" x14ac:dyDescent="0.35">
      <c r="A10" t="s">
        <v>463</v>
      </c>
      <c r="B10" t="s">
        <v>464</v>
      </c>
      <c r="C10">
        <v>4</v>
      </c>
      <c r="D10">
        <v>1</v>
      </c>
      <c r="E10">
        <v>20</v>
      </c>
      <c r="F10" t="s">
        <v>465</v>
      </c>
      <c r="G10" t="s">
        <v>18</v>
      </c>
      <c r="H10">
        <v>42</v>
      </c>
      <c r="I10">
        <v>2.1</v>
      </c>
    </row>
    <row r="11" spans="1:9" x14ac:dyDescent="0.35">
      <c r="A11" t="s">
        <v>467</v>
      </c>
      <c r="B11" t="s">
        <v>468</v>
      </c>
      <c r="C11">
        <v>5</v>
      </c>
      <c r="D11">
        <v>2</v>
      </c>
      <c r="E11">
        <v>20</v>
      </c>
      <c r="F11" t="s">
        <v>469</v>
      </c>
      <c r="G11" t="s">
        <v>18</v>
      </c>
      <c r="H11">
        <v>44</v>
      </c>
      <c r="I11">
        <v>2.2000000000000002</v>
      </c>
    </row>
    <row r="12" spans="1:9" x14ac:dyDescent="0.35">
      <c r="A12" t="s">
        <v>432</v>
      </c>
      <c r="B12" t="s">
        <v>433</v>
      </c>
      <c r="C12">
        <v>4</v>
      </c>
      <c r="D12">
        <v>2</v>
      </c>
      <c r="E12">
        <v>20</v>
      </c>
      <c r="F12" t="s">
        <v>434</v>
      </c>
      <c r="G12" t="s">
        <v>339</v>
      </c>
      <c r="H12">
        <v>44</v>
      </c>
      <c r="I12">
        <v>2.2000000000000002</v>
      </c>
    </row>
    <row r="13" spans="1:9" x14ac:dyDescent="0.35">
      <c r="A13" t="s">
        <v>436</v>
      </c>
      <c r="B13" t="s">
        <v>437</v>
      </c>
      <c r="C13">
        <v>4</v>
      </c>
      <c r="D13">
        <v>1</v>
      </c>
      <c r="E13">
        <v>20</v>
      </c>
      <c r="F13" t="s">
        <v>439</v>
      </c>
      <c r="G13" t="s">
        <v>18</v>
      </c>
      <c r="H13">
        <v>44</v>
      </c>
      <c r="I13">
        <v>2.2000000000000002</v>
      </c>
    </row>
    <row r="14" spans="1:9" x14ac:dyDescent="0.35">
      <c r="A14" t="s">
        <v>441</v>
      </c>
      <c r="B14" t="s">
        <v>442</v>
      </c>
      <c r="C14">
        <v>4</v>
      </c>
      <c r="D14">
        <v>2</v>
      </c>
      <c r="E14">
        <v>20</v>
      </c>
      <c r="F14" t="s">
        <v>443</v>
      </c>
      <c r="G14" t="s">
        <v>18</v>
      </c>
      <c r="H14">
        <v>39</v>
      </c>
      <c r="I14">
        <v>1.95</v>
      </c>
    </row>
    <row r="15" spans="1:9" x14ac:dyDescent="0.35">
      <c r="A15" t="s">
        <v>445</v>
      </c>
      <c r="B15" t="s">
        <v>446</v>
      </c>
      <c r="C15">
        <v>5</v>
      </c>
      <c r="D15">
        <v>2</v>
      </c>
      <c r="E15">
        <v>20</v>
      </c>
      <c r="F15" t="s">
        <v>447</v>
      </c>
      <c r="G15" t="s">
        <v>339</v>
      </c>
      <c r="H15">
        <v>42</v>
      </c>
      <c r="I15">
        <v>2.1</v>
      </c>
    </row>
    <row r="16" spans="1:9" x14ac:dyDescent="0.35">
      <c r="A16" t="s">
        <v>454</v>
      </c>
      <c r="B16" t="s">
        <v>455</v>
      </c>
      <c r="C16">
        <v>5</v>
      </c>
      <c r="D16">
        <v>2</v>
      </c>
      <c r="E16">
        <v>20</v>
      </c>
      <c r="F16" t="s">
        <v>456</v>
      </c>
      <c r="G16" t="s">
        <v>18</v>
      </c>
      <c r="H16">
        <v>40</v>
      </c>
      <c r="I16">
        <v>2</v>
      </c>
    </row>
    <row r="17" spans="1:9" x14ac:dyDescent="0.35">
      <c r="A17" t="s">
        <v>449</v>
      </c>
      <c r="B17" t="s">
        <v>450</v>
      </c>
      <c r="C17">
        <v>5</v>
      </c>
      <c r="F17" t="s">
        <v>452</v>
      </c>
      <c r="G17" t="s">
        <v>18</v>
      </c>
      <c r="H17">
        <v>0</v>
      </c>
    </row>
    <row r="18" spans="1:9" x14ac:dyDescent="0.35">
      <c r="A18" t="s">
        <v>458</v>
      </c>
      <c r="B18" t="s">
        <v>459</v>
      </c>
      <c r="C18">
        <v>6</v>
      </c>
      <c r="E18">
        <v>40</v>
      </c>
      <c r="F18" t="s">
        <v>460</v>
      </c>
      <c r="G18" t="s">
        <v>340</v>
      </c>
      <c r="H18">
        <v>36</v>
      </c>
      <c r="I18">
        <v>0.9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C527-72AF-4900-8E0D-EFA312AFAF0C}">
  <sheetPr codeName="Sheet18"/>
  <dimension ref="A1:E65"/>
  <sheetViews>
    <sheetView workbookViewId="0">
      <selection activeCell="AA29" sqref="AA29"/>
    </sheetView>
  </sheetViews>
  <sheetFormatPr defaultColWidth="8.81640625" defaultRowHeight="14.5" x14ac:dyDescent="0.35"/>
  <cols>
    <col min="1" max="1" width="42.453125" bestFit="1" customWidth="1"/>
    <col min="2" max="2" width="38" bestFit="1" customWidth="1"/>
    <col min="3" max="3" width="81.1796875" bestFit="1" customWidth="1"/>
    <col min="4" max="4" width="16.1796875" bestFit="1" customWidth="1"/>
    <col min="5" max="5" width="11" bestFit="1" customWidth="1"/>
  </cols>
  <sheetData>
    <row r="1" spans="1:5" x14ac:dyDescent="0.35">
      <c r="A1" t="s">
        <v>341</v>
      </c>
      <c r="B1" t="s">
        <v>342</v>
      </c>
      <c r="C1" t="s">
        <v>607</v>
      </c>
      <c r="D1" t="s">
        <v>608</v>
      </c>
      <c r="E1" t="s">
        <v>609</v>
      </c>
    </row>
    <row r="2" spans="1:5" x14ac:dyDescent="0.35">
      <c r="A2" t="s">
        <v>119</v>
      </c>
      <c r="B2" t="s">
        <v>122</v>
      </c>
      <c r="C2" t="s">
        <v>610</v>
      </c>
      <c r="D2">
        <v>4</v>
      </c>
      <c r="E2" t="b">
        <v>1</v>
      </c>
    </row>
    <row r="3" spans="1:5" x14ac:dyDescent="0.35">
      <c r="A3" t="s">
        <v>67</v>
      </c>
      <c r="B3" t="s">
        <v>68</v>
      </c>
      <c r="C3" t="s">
        <v>611</v>
      </c>
      <c r="D3">
        <v>7</v>
      </c>
      <c r="E3" t="b">
        <v>1</v>
      </c>
    </row>
    <row r="4" spans="1:5" x14ac:dyDescent="0.35">
      <c r="A4" t="s">
        <v>119</v>
      </c>
      <c r="B4" t="s">
        <v>121</v>
      </c>
      <c r="C4" t="s">
        <v>612</v>
      </c>
      <c r="D4">
        <v>9</v>
      </c>
      <c r="E4" t="b">
        <v>1</v>
      </c>
    </row>
    <row r="5" spans="1:5" x14ac:dyDescent="0.35">
      <c r="A5" t="s">
        <v>67</v>
      </c>
      <c r="B5" t="s">
        <v>69</v>
      </c>
      <c r="C5" t="s">
        <v>613</v>
      </c>
      <c r="D5">
        <v>2</v>
      </c>
      <c r="E5" t="b">
        <v>1</v>
      </c>
    </row>
    <row r="6" spans="1:5" x14ac:dyDescent="0.35">
      <c r="A6" t="s">
        <v>119</v>
      </c>
      <c r="B6" t="s">
        <v>178</v>
      </c>
      <c r="C6" t="s">
        <v>614</v>
      </c>
      <c r="D6">
        <v>8</v>
      </c>
      <c r="E6" t="b">
        <v>1</v>
      </c>
    </row>
    <row r="7" spans="1:5" x14ac:dyDescent="0.35">
      <c r="A7" t="s">
        <v>67</v>
      </c>
      <c r="B7" t="s">
        <v>70</v>
      </c>
      <c r="C7" t="s">
        <v>615</v>
      </c>
      <c r="D7">
        <v>2</v>
      </c>
      <c r="E7" t="b">
        <v>1</v>
      </c>
    </row>
    <row r="8" spans="1:5" x14ac:dyDescent="0.35">
      <c r="A8" t="s">
        <v>119</v>
      </c>
      <c r="B8" t="s">
        <v>129</v>
      </c>
      <c r="C8" t="s">
        <v>616</v>
      </c>
      <c r="D8">
        <v>2</v>
      </c>
      <c r="E8" t="b">
        <v>1</v>
      </c>
    </row>
    <row r="9" spans="1:5" x14ac:dyDescent="0.35">
      <c r="A9" t="s">
        <v>119</v>
      </c>
      <c r="B9" t="s">
        <v>120</v>
      </c>
      <c r="C9" t="s">
        <v>197</v>
      </c>
      <c r="D9">
        <v>1</v>
      </c>
      <c r="E9" t="b">
        <v>1</v>
      </c>
    </row>
    <row r="10" spans="1:5" x14ac:dyDescent="0.35">
      <c r="A10" t="s">
        <v>73</v>
      </c>
      <c r="B10" t="s">
        <v>74</v>
      </c>
      <c r="C10" t="s">
        <v>8</v>
      </c>
      <c r="D10">
        <v>1</v>
      </c>
      <c r="E10" t="b">
        <v>1</v>
      </c>
    </row>
    <row r="11" spans="1:5" x14ac:dyDescent="0.35">
      <c r="A11" t="s">
        <v>119</v>
      </c>
      <c r="B11" t="s">
        <v>252</v>
      </c>
      <c r="C11" t="s">
        <v>617</v>
      </c>
      <c r="D11">
        <v>3</v>
      </c>
      <c r="E11" t="b">
        <v>1</v>
      </c>
    </row>
    <row r="12" spans="1:5" x14ac:dyDescent="0.35">
      <c r="A12" t="s">
        <v>73</v>
      </c>
      <c r="B12" t="s">
        <v>75</v>
      </c>
      <c r="C12" t="s">
        <v>618</v>
      </c>
      <c r="D12">
        <v>4</v>
      </c>
      <c r="E12" t="b">
        <v>1</v>
      </c>
    </row>
    <row r="13" spans="1:5" x14ac:dyDescent="0.35">
      <c r="A13" t="s">
        <v>124</v>
      </c>
      <c r="B13" t="s">
        <v>356</v>
      </c>
      <c r="D13">
        <v>0</v>
      </c>
      <c r="E13" t="b">
        <v>0</v>
      </c>
    </row>
    <row r="14" spans="1:5" x14ac:dyDescent="0.35">
      <c r="A14" t="s">
        <v>76</v>
      </c>
      <c r="B14" t="s">
        <v>77</v>
      </c>
      <c r="C14" t="s">
        <v>619</v>
      </c>
      <c r="D14">
        <v>4</v>
      </c>
      <c r="E14" t="b">
        <v>1</v>
      </c>
    </row>
    <row r="15" spans="1:5" x14ac:dyDescent="0.35">
      <c r="A15" t="s">
        <v>124</v>
      </c>
      <c r="B15" t="s">
        <v>125</v>
      </c>
      <c r="C15" t="s">
        <v>620</v>
      </c>
      <c r="D15">
        <v>4</v>
      </c>
      <c r="E15" t="b">
        <v>1</v>
      </c>
    </row>
    <row r="16" spans="1:5" x14ac:dyDescent="0.35">
      <c r="A16" t="s">
        <v>73</v>
      </c>
      <c r="B16" t="s">
        <v>78</v>
      </c>
      <c r="C16" t="s">
        <v>8</v>
      </c>
      <c r="D16">
        <v>1</v>
      </c>
      <c r="E16" t="b">
        <v>1</v>
      </c>
    </row>
    <row r="17" spans="1:5" x14ac:dyDescent="0.35">
      <c r="A17" t="s">
        <v>124</v>
      </c>
      <c r="B17" t="s">
        <v>211</v>
      </c>
      <c r="C17" t="s">
        <v>621</v>
      </c>
      <c r="D17">
        <v>2</v>
      </c>
      <c r="E17" t="b">
        <v>1</v>
      </c>
    </row>
    <row r="18" spans="1:5" x14ac:dyDescent="0.35">
      <c r="A18" t="s">
        <v>124</v>
      </c>
      <c r="B18" t="s">
        <v>214</v>
      </c>
      <c r="D18">
        <v>0</v>
      </c>
      <c r="E18" t="b">
        <v>0</v>
      </c>
    </row>
    <row r="19" spans="1:5" x14ac:dyDescent="0.35">
      <c r="A19" t="s">
        <v>124</v>
      </c>
      <c r="B19" t="s">
        <v>212</v>
      </c>
      <c r="C19" t="s">
        <v>622</v>
      </c>
      <c r="D19">
        <v>5</v>
      </c>
      <c r="E19" t="b">
        <v>1</v>
      </c>
    </row>
    <row r="20" spans="1:5" x14ac:dyDescent="0.35">
      <c r="A20" t="s">
        <v>134</v>
      </c>
      <c r="B20" t="s">
        <v>383</v>
      </c>
      <c r="C20" t="s">
        <v>421</v>
      </c>
      <c r="D20">
        <v>1</v>
      </c>
      <c r="E20" t="b">
        <v>1</v>
      </c>
    </row>
    <row r="21" spans="1:5" x14ac:dyDescent="0.35">
      <c r="A21" t="s">
        <v>124</v>
      </c>
      <c r="B21" t="s">
        <v>369</v>
      </c>
      <c r="C21" t="s">
        <v>459</v>
      </c>
      <c r="D21">
        <v>1</v>
      </c>
      <c r="E21" t="b">
        <v>1</v>
      </c>
    </row>
    <row r="22" spans="1:5" x14ac:dyDescent="0.35">
      <c r="A22" t="s">
        <v>76</v>
      </c>
      <c r="B22" t="s">
        <v>123</v>
      </c>
      <c r="C22" t="s">
        <v>623</v>
      </c>
      <c r="D22">
        <v>6</v>
      </c>
      <c r="E22" t="b">
        <v>1</v>
      </c>
    </row>
    <row r="23" spans="1:5" x14ac:dyDescent="0.35">
      <c r="A23" t="s">
        <v>76</v>
      </c>
      <c r="B23" t="s">
        <v>371</v>
      </c>
      <c r="C23" t="s">
        <v>624</v>
      </c>
      <c r="D23">
        <v>3</v>
      </c>
      <c r="E23" t="b">
        <v>1</v>
      </c>
    </row>
    <row r="24" spans="1:5" x14ac:dyDescent="0.35">
      <c r="A24" t="s">
        <v>134</v>
      </c>
      <c r="B24" t="s">
        <v>135</v>
      </c>
      <c r="C24" t="s">
        <v>625</v>
      </c>
      <c r="D24">
        <v>2</v>
      </c>
      <c r="E24" t="b">
        <v>1</v>
      </c>
    </row>
    <row r="25" spans="1:5" x14ac:dyDescent="0.35">
      <c r="A25" t="s">
        <v>76</v>
      </c>
      <c r="B25" t="s">
        <v>136</v>
      </c>
      <c r="D25">
        <v>0</v>
      </c>
      <c r="E25" t="b">
        <v>0</v>
      </c>
    </row>
    <row r="26" spans="1:5" x14ac:dyDescent="0.35">
      <c r="A26" t="s">
        <v>126</v>
      </c>
      <c r="B26" t="s">
        <v>127</v>
      </c>
      <c r="C26" t="s">
        <v>626</v>
      </c>
      <c r="D26">
        <v>3</v>
      </c>
      <c r="E26" t="b">
        <v>1</v>
      </c>
    </row>
    <row r="27" spans="1:5" x14ac:dyDescent="0.35">
      <c r="A27" t="s">
        <v>76</v>
      </c>
      <c r="B27" t="s">
        <v>376</v>
      </c>
      <c r="D27">
        <v>0</v>
      </c>
      <c r="E27" t="b">
        <v>0</v>
      </c>
    </row>
    <row r="28" spans="1:5" x14ac:dyDescent="0.35">
      <c r="A28" t="s">
        <v>76</v>
      </c>
      <c r="B28" t="s">
        <v>379</v>
      </c>
      <c r="C28" t="s">
        <v>459</v>
      </c>
      <c r="D28">
        <v>1</v>
      </c>
      <c r="E28" t="b">
        <v>1</v>
      </c>
    </row>
    <row r="29" spans="1:5" x14ac:dyDescent="0.35">
      <c r="A29" t="s">
        <v>134</v>
      </c>
      <c r="B29" t="s">
        <v>380</v>
      </c>
      <c r="D29">
        <v>0</v>
      </c>
      <c r="E29" t="b">
        <v>0</v>
      </c>
    </row>
    <row r="30" spans="1:5" x14ac:dyDescent="0.35">
      <c r="A30" t="s">
        <v>134</v>
      </c>
      <c r="B30" t="s">
        <v>381</v>
      </c>
      <c r="C30" t="s">
        <v>446</v>
      </c>
      <c r="D30">
        <v>1</v>
      </c>
      <c r="E30" t="b">
        <v>1</v>
      </c>
    </row>
    <row r="31" spans="1:5" x14ac:dyDescent="0.35">
      <c r="A31" t="s">
        <v>67</v>
      </c>
      <c r="B31" t="s">
        <v>213</v>
      </c>
      <c r="C31" t="s">
        <v>627</v>
      </c>
      <c r="D31">
        <v>2</v>
      </c>
      <c r="E31" t="b">
        <v>1</v>
      </c>
    </row>
    <row r="32" spans="1:5" x14ac:dyDescent="0.35">
      <c r="A32" t="s">
        <v>134</v>
      </c>
      <c r="B32" t="s">
        <v>253</v>
      </c>
      <c r="C32" t="s">
        <v>455</v>
      </c>
      <c r="D32">
        <v>1</v>
      </c>
      <c r="E32" t="b">
        <v>1</v>
      </c>
    </row>
    <row r="33" spans="1:5" x14ac:dyDescent="0.35">
      <c r="A33" t="s">
        <v>134</v>
      </c>
      <c r="B33" t="s">
        <v>382</v>
      </c>
      <c r="C33" t="s">
        <v>628</v>
      </c>
      <c r="D33">
        <v>5</v>
      </c>
      <c r="E33" t="b">
        <v>1</v>
      </c>
    </row>
    <row r="34" spans="1:5" x14ac:dyDescent="0.35">
      <c r="A34" t="s">
        <v>126</v>
      </c>
      <c r="B34" t="s">
        <v>389</v>
      </c>
      <c r="C34" t="s">
        <v>241</v>
      </c>
      <c r="D34">
        <v>1</v>
      </c>
      <c r="E34" t="b">
        <v>1</v>
      </c>
    </row>
    <row r="35" spans="1:5" x14ac:dyDescent="0.35">
      <c r="A35" t="s">
        <v>67</v>
      </c>
      <c r="B35" t="s">
        <v>130</v>
      </c>
      <c r="C35" t="s">
        <v>629</v>
      </c>
      <c r="D35">
        <v>4</v>
      </c>
      <c r="E35" t="b">
        <v>1</v>
      </c>
    </row>
    <row r="36" spans="1:5" x14ac:dyDescent="0.35">
      <c r="A36" t="s">
        <v>73</v>
      </c>
      <c r="B36" t="s">
        <v>384</v>
      </c>
      <c r="D36">
        <v>0</v>
      </c>
      <c r="E36" t="b">
        <v>0</v>
      </c>
    </row>
    <row r="37" spans="1:5" x14ac:dyDescent="0.35">
      <c r="A37" t="s">
        <v>73</v>
      </c>
      <c r="B37" t="s">
        <v>385</v>
      </c>
      <c r="D37">
        <v>0</v>
      </c>
      <c r="E37" t="b">
        <v>0</v>
      </c>
    </row>
    <row r="38" spans="1:5" x14ac:dyDescent="0.35">
      <c r="A38" t="s">
        <v>73</v>
      </c>
      <c r="B38" t="s">
        <v>386</v>
      </c>
      <c r="D38">
        <v>0</v>
      </c>
      <c r="E38" t="b">
        <v>0</v>
      </c>
    </row>
    <row r="39" spans="1:5" x14ac:dyDescent="0.35">
      <c r="A39" t="s">
        <v>73</v>
      </c>
      <c r="B39" t="s">
        <v>387</v>
      </c>
      <c r="D39">
        <v>0</v>
      </c>
      <c r="E39" t="b">
        <v>0</v>
      </c>
    </row>
    <row r="40" spans="1:5" x14ac:dyDescent="0.35">
      <c r="A40" t="s">
        <v>67</v>
      </c>
      <c r="B40" t="s">
        <v>388</v>
      </c>
      <c r="C40" t="s">
        <v>455</v>
      </c>
      <c r="D40">
        <v>1</v>
      </c>
      <c r="E40" t="b">
        <v>1</v>
      </c>
    </row>
    <row r="41" spans="1:5" x14ac:dyDescent="0.35">
      <c r="A41" t="s">
        <v>126</v>
      </c>
      <c r="B41" t="s">
        <v>392</v>
      </c>
      <c r="C41" t="s">
        <v>442</v>
      </c>
      <c r="D41">
        <v>1</v>
      </c>
      <c r="E41" t="b">
        <v>1</v>
      </c>
    </row>
    <row r="42" spans="1:5" x14ac:dyDescent="0.35">
      <c r="A42" t="s">
        <v>126</v>
      </c>
      <c r="B42" t="s">
        <v>128</v>
      </c>
      <c r="C42" t="s">
        <v>630</v>
      </c>
      <c r="D42">
        <v>2</v>
      </c>
      <c r="E42" t="b">
        <v>1</v>
      </c>
    </row>
    <row r="43" spans="1:5" x14ac:dyDescent="0.35">
      <c r="A43" t="s">
        <v>126</v>
      </c>
      <c r="B43" t="s">
        <v>390</v>
      </c>
      <c r="D43">
        <v>0</v>
      </c>
      <c r="E43" t="b">
        <v>0</v>
      </c>
    </row>
    <row r="44" spans="1:5" x14ac:dyDescent="0.35">
      <c r="A44" t="s">
        <v>126</v>
      </c>
      <c r="B44" t="s">
        <v>391</v>
      </c>
      <c r="D44">
        <v>0</v>
      </c>
      <c r="E44" t="b">
        <v>0</v>
      </c>
    </row>
    <row r="45" spans="1:5" x14ac:dyDescent="0.35">
      <c r="A45" t="s">
        <v>316</v>
      </c>
      <c r="B45" t="s">
        <v>393</v>
      </c>
      <c r="C45" t="s">
        <v>442</v>
      </c>
      <c r="D45">
        <v>1</v>
      </c>
      <c r="E45" t="b">
        <v>1</v>
      </c>
    </row>
    <row r="46" spans="1:5" x14ac:dyDescent="0.35">
      <c r="A46" t="s">
        <v>316</v>
      </c>
      <c r="B46" t="s">
        <v>394</v>
      </c>
      <c r="D46">
        <v>0</v>
      </c>
      <c r="E46" t="b">
        <v>0</v>
      </c>
    </row>
    <row r="47" spans="1:5" x14ac:dyDescent="0.35">
      <c r="A47" t="s">
        <v>316</v>
      </c>
      <c r="B47" t="s">
        <v>395</v>
      </c>
      <c r="D47">
        <v>0</v>
      </c>
      <c r="E47" t="b">
        <v>0</v>
      </c>
    </row>
    <row r="48" spans="1:5" x14ac:dyDescent="0.35">
      <c r="A48" t="s">
        <v>316</v>
      </c>
      <c r="B48" t="s">
        <v>396</v>
      </c>
      <c r="C48" t="s">
        <v>631</v>
      </c>
      <c r="D48">
        <v>3</v>
      </c>
      <c r="E48" t="b">
        <v>1</v>
      </c>
    </row>
    <row r="49" spans="1:5" x14ac:dyDescent="0.35">
      <c r="A49" t="s">
        <v>316</v>
      </c>
      <c r="B49" t="s">
        <v>397</v>
      </c>
      <c r="C49" t="s">
        <v>632</v>
      </c>
      <c r="D49">
        <v>2</v>
      </c>
      <c r="E49" t="b">
        <v>1</v>
      </c>
    </row>
    <row r="50" spans="1:5" x14ac:dyDescent="0.35">
      <c r="A50" t="s">
        <v>316</v>
      </c>
      <c r="B50" t="s">
        <v>398</v>
      </c>
      <c r="C50" t="s">
        <v>442</v>
      </c>
      <c r="D50">
        <v>1</v>
      </c>
      <c r="E50" t="b">
        <v>1</v>
      </c>
    </row>
    <row r="51" spans="1:5" x14ac:dyDescent="0.35">
      <c r="A51" t="s">
        <v>316</v>
      </c>
      <c r="B51" t="s">
        <v>399</v>
      </c>
      <c r="D51">
        <v>0</v>
      </c>
      <c r="E51" t="b">
        <v>0</v>
      </c>
    </row>
    <row r="52" spans="1:5" x14ac:dyDescent="0.35">
      <c r="A52" t="s">
        <v>316</v>
      </c>
      <c r="B52" t="s">
        <v>400</v>
      </c>
      <c r="D52">
        <v>0</v>
      </c>
      <c r="E52" t="b">
        <v>0</v>
      </c>
    </row>
    <row r="53" spans="1:5" x14ac:dyDescent="0.35">
      <c r="A53" t="s">
        <v>316</v>
      </c>
      <c r="B53" t="s">
        <v>401</v>
      </c>
      <c r="D53">
        <v>0</v>
      </c>
      <c r="E53" t="b">
        <v>0</v>
      </c>
    </row>
    <row r="54" spans="1:5" x14ac:dyDescent="0.35">
      <c r="A54" t="s">
        <v>71</v>
      </c>
      <c r="B54" t="s">
        <v>402</v>
      </c>
      <c r="D54">
        <v>0</v>
      </c>
      <c r="E54" t="b">
        <v>0</v>
      </c>
    </row>
    <row r="55" spans="1:5" x14ac:dyDescent="0.35">
      <c r="A55" t="s">
        <v>71</v>
      </c>
      <c r="B55" t="s">
        <v>132</v>
      </c>
      <c r="D55">
        <v>0</v>
      </c>
      <c r="E55" t="b">
        <v>0</v>
      </c>
    </row>
    <row r="56" spans="1:5" x14ac:dyDescent="0.35">
      <c r="A56" t="s">
        <v>71</v>
      </c>
      <c r="B56" t="s">
        <v>131</v>
      </c>
      <c r="C56" t="s">
        <v>162</v>
      </c>
      <c r="D56">
        <v>1</v>
      </c>
      <c r="E56" t="b">
        <v>1</v>
      </c>
    </row>
    <row r="57" spans="1:5" x14ac:dyDescent="0.35">
      <c r="A57" t="s">
        <v>71</v>
      </c>
      <c r="B57" t="s">
        <v>403</v>
      </c>
      <c r="D57">
        <v>0</v>
      </c>
      <c r="E57" t="b">
        <v>0</v>
      </c>
    </row>
    <row r="58" spans="1:5" x14ac:dyDescent="0.35">
      <c r="A58" t="s">
        <v>71</v>
      </c>
      <c r="B58" t="s">
        <v>72</v>
      </c>
      <c r="C58" t="s">
        <v>615</v>
      </c>
      <c r="D58">
        <v>2</v>
      </c>
      <c r="E58" t="b">
        <v>1</v>
      </c>
    </row>
    <row r="59" spans="1:5" x14ac:dyDescent="0.35">
      <c r="A59" t="s">
        <v>79</v>
      </c>
      <c r="B59" t="s">
        <v>80</v>
      </c>
      <c r="D59">
        <v>0</v>
      </c>
      <c r="E59" t="b">
        <v>0</v>
      </c>
    </row>
    <row r="60" spans="1:5" x14ac:dyDescent="0.35">
      <c r="A60" t="s">
        <v>79</v>
      </c>
      <c r="B60" t="s">
        <v>404</v>
      </c>
      <c r="D60">
        <v>0</v>
      </c>
      <c r="E60" t="b">
        <v>0</v>
      </c>
    </row>
    <row r="61" spans="1:5" x14ac:dyDescent="0.35">
      <c r="A61" t="s">
        <v>79</v>
      </c>
      <c r="B61" t="s">
        <v>133</v>
      </c>
      <c r="D61">
        <v>0</v>
      </c>
      <c r="E61" t="b">
        <v>0</v>
      </c>
    </row>
    <row r="62" spans="1:5" x14ac:dyDescent="0.35">
      <c r="A62" t="s">
        <v>79</v>
      </c>
      <c r="B62" t="s">
        <v>179</v>
      </c>
      <c r="D62">
        <v>0</v>
      </c>
      <c r="E62" t="b">
        <v>0</v>
      </c>
    </row>
    <row r="63" spans="1:5" x14ac:dyDescent="0.35">
      <c r="A63" t="s">
        <v>79</v>
      </c>
      <c r="B63" t="s">
        <v>405</v>
      </c>
      <c r="D63">
        <v>0</v>
      </c>
      <c r="E63" t="b">
        <v>0</v>
      </c>
    </row>
    <row r="64" spans="1:5" x14ac:dyDescent="0.35">
      <c r="A64" t="s">
        <v>79</v>
      </c>
      <c r="B64" t="s">
        <v>406</v>
      </c>
      <c r="D64">
        <v>0</v>
      </c>
      <c r="E64" t="b">
        <v>0</v>
      </c>
    </row>
    <row r="65" spans="1:5" x14ac:dyDescent="0.35">
      <c r="A65" t="s">
        <v>79</v>
      </c>
      <c r="B65" t="s">
        <v>407</v>
      </c>
      <c r="D65">
        <v>0</v>
      </c>
      <c r="E65"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AF5424D8F461E94980DF8EC8486B8636" ma:contentTypeVersion="10" ma:contentTypeDescription="Create a new document." ma:contentTypeScope="" ma:versionID="bcfcf74337161f6441250f8f4cf7d932">
  <xsd:schema xmlns:xsd="http://www.w3.org/2001/XMLSchema" xmlns:xs="http://www.w3.org/2001/XMLSchema" xmlns:p="http://schemas.microsoft.com/office/2006/metadata/properties" xmlns:ns2="f1436123-e04c-43f8-b7d8-6e3401685a6a" xmlns:ns3="e2acc87f-978a-4c56-9887-574fe2c7e53e" targetNamespace="http://schemas.microsoft.com/office/2006/metadata/properties" ma:root="true" ma:fieldsID="c081e04d381fea11733dd13b3c4e862f" ns2:_="" ns3:_="">
    <xsd:import namespace="f1436123-e04c-43f8-b7d8-6e3401685a6a"/>
    <xsd:import namespace="e2acc87f-978a-4c56-9887-574fe2c7e5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436123-e04c-43f8-b7d8-6e3401685a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3fea976-0fb7-4036-bc8a-08177e9f5879"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acc87f-978a-4c56-9887-574fe2c7e53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c9bdcf-c2d0-47d2-a991-206be5278a68}" ma:internalName="TaxCatchAll" ma:showField="CatchAllData" ma:web="e2acc87f-978a-4c56-9887-574fe2c7e5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1436123-e04c-43f8-b7d8-6e3401685a6a">
      <Terms xmlns="http://schemas.microsoft.com/office/infopath/2007/PartnerControls"/>
    </lcf76f155ced4ddcb4097134ff3c332f>
    <TaxCatchAll xmlns="e2acc87f-978a-4c56-9887-574fe2c7e53e" xsi:nil="true"/>
  </documentManagement>
</p:properties>
</file>

<file path=customXml/itemProps1.xml><?xml version="1.0" encoding="utf-8"?>
<ds:datastoreItem xmlns:ds="http://schemas.openxmlformats.org/officeDocument/2006/customXml" ds:itemID="{225E3FBB-E0CF-490F-B84A-5BC4BF9BE0A6}">
  <ds:schemaRefs>
    <ds:schemaRef ds:uri="http://schemas.microsoft.com/sharepoint/v3/contenttype/forms"/>
  </ds:schemaRefs>
</ds:datastoreItem>
</file>

<file path=customXml/itemProps2.xml><?xml version="1.0" encoding="utf-8"?>
<ds:datastoreItem xmlns:ds="http://schemas.openxmlformats.org/officeDocument/2006/customXml" ds:itemID="{DE07CC03-DA91-4DAD-B5EC-0B7B94373B2E}">
  <ds:schemaRefs>
    <ds:schemaRef ds:uri="http://schemas.microsoft.com/DataMashup"/>
  </ds:schemaRefs>
</ds:datastoreItem>
</file>

<file path=customXml/itemProps3.xml><?xml version="1.0" encoding="utf-8"?>
<ds:datastoreItem xmlns:ds="http://schemas.openxmlformats.org/officeDocument/2006/customXml" ds:itemID="{E21B3B12-F99F-4BFE-BFC4-23108E84B2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436123-e04c-43f8-b7d8-6e3401685a6a"/>
    <ds:schemaRef ds:uri="e2acc87f-978a-4c56-9887-574fe2c7e5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DF99893-84B7-4DB0-BCCB-1BE3FDF1FFB8}">
  <ds:schemaRefs>
    <ds:schemaRef ds:uri="f1436123-e04c-43f8-b7d8-6e3401685a6a"/>
    <ds:schemaRef ds:uri="http://purl.org/dc/elements/1.1/"/>
    <ds:schemaRef ds:uri="http://schemas.microsoft.com/office/2006/documentManagement/types"/>
    <ds:schemaRef ds:uri="http://purl.org/dc/terms/"/>
    <ds:schemaRef ds:uri="http://www.w3.org/XML/1998/namespace"/>
    <ds:schemaRef ds:uri="http://purl.org/dc/dcmitype/"/>
    <ds:schemaRef ds:uri="http://schemas.microsoft.com/office/infopath/2007/PartnerControls"/>
    <ds:schemaRef ds:uri="http://schemas.openxmlformats.org/package/2006/metadata/core-properties"/>
    <ds:schemaRef ds:uri="e2acc87f-978a-4c56-9887-574fe2c7e53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4301SPS</vt:lpstr>
      <vt:lpstr>4303SPS</vt:lpstr>
      <vt:lpstr>5301SPS</vt:lpstr>
      <vt:lpstr>5302SPS</vt:lpstr>
      <vt:lpstr>6301SPS</vt:lpstr>
      <vt:lpstr>6302SPS</vt:lpstr>
      <vt:lpstr>6303SPS</vt:lpstr>
      <vt:lpstr>6304SPS</vt:lpstr>
      <vt:lpstr>LISTS</vt:lpstr>
      <vt:lpstr>FS_Meta</vt:lpstr>
      <vt:lpstr>FS_LO</vt:lpstr>
      <vt:lpstr>FS_Assess</vt:lpstr>
      <vt:lpstr>FS_Hours</vt:lpstr>
      <vt:lpstr>FS_Mapping</vt:lpstr>
      <vt:lpstr>FS_Meta_Wide</vt:lpstr>
      <vt:lpstr>FS_Hours_Wide</vt:lpstr>
      <vt:lpstr>FS_Module_Overview</vt:lpstr>
      <vt:lpstr>FS_SkillsCoverage</vt:lpstr>
      <vt:lpstr>SkillNameMap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Robinson, Mark</dc:creator>
  <cp:keywords/>
  <dc:description/>
  <cp:lastModifiedBy>Beattie, Ian</cp:lastModifiedBy>
  <cp:revision/>
  <dcterms:created xsi:type="dcterms:W3CDTF">2026-07-01T09:36:48Z</dcterms:created>
  <dcterms:modified xsi:type="dcterms:W3CDTF">2026-10-09T21:17:43Z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0x010100AF5424D8F461E94980DF8EC8486B8636</vt:lpwstr>
  </property>
  <property fmtid="{D5CDD505-2E9C-101B-9397-08002B2CF9AE}" pid="3" name="MediaServiceImageTags">
    <vt:lpwstr/>
  </property>
</Properties>
</file>