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Psychology/Module Documents/"/>
    </mc:Choice>
  </mc:AlternateContent>
  <xr:revisionPtr revIDLastSave="2385" documentId="8_{20AD63D6-7E4E-4EFA-BE5C-A6DF2DDE1EA8}" xr6:coauthVersionLast="47" xr6:coauthVersionMax="47" xr10:uidLastSave="{1E76AAAC-57BE-4AF7-BE5D-322ABD79DC0E}"/>
  <bookViews>
    <workbookView xWindow="120" yWindow="285" windowWidth="26490" windowHeight="20235" xr2:uid="{8D7B9789-0724-4FF2-A9AF-E462B2920CAC}"/>
  </bookViews>
  <sheets>
    <sheet name="4051SPS" sheetId="84" r:id="rId1"/>
    <sheet name="4052SPS" sheetId="77" r:id="rId2"/>
    <sheet name="4053SPS" sheetId="79" r:id="rId3"/>
    <sheet name="4054SPS" sheetId="86" r:id="rId4"/>
    <sheet name="4093SPS" sheetId="81" r:id="rId5"/>
    <sheet name="5051SPS" sheetId="85" r:id="rId6"/>
    <sheet name="5052SPS" sheetId="82" r:id="rId7"/>
    <sheet name="5053SPS" sheetId="87" r:id="rId8"/>
    <sheet name="5054SPS" sheetId="76" r:id="rId9"/>
    <sheet name="5093SPS" sheetId="83" r:id="rId10"/>
    <sheet name="6051SPS" sheetId="75" r:id="rId11"/>
    <sheet name="6052SPS" sheetId="80" r:id="rId12"/>
    <sheet name="6053SPS" sheetId="78" r:id="rId13"/>
    <sheet name="6054SPS" sheetId="68" r:id="rId14"/>
    <sheet name="Template" sheetId="7" r:id="rId15"/>
    <sheet name="LISTS" sheetId="4" r:id="rId16"/>
  </sheets>
  <definedNames>
    <definedName name="ApplicationofKnowledge">_xlfn.ANCHORARRAY(LISTS!$O$37)</definedName>
    <definedName name="Communication">_xlfn.ANCHORARRAY(LISTS!$O$62)</definedName>
    <definedName name="DeliveryEnvironment">_xlfn.ANCHORARRAY(LISTS!$O$89)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7" l="1"/>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D24" i="68"/>
  <c r="D2" i="68"/>
  <c r="C2" i="68"/>
  <c r="D24" i="7"/>
  <c r="D2" i="7"/>
  <c r="C2" i="7"/>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<sst xmlns="http://schemas.openxmlformats.org/spreadsheetml/2006/main" count="2188" uniqueCount="619">
  <si>
    <t>Module Information</t>
  </si>
  <si>
    <t>Module Data</t>
  </si>
  <si>
    <t>Details</t>
  </si>
  <si>
    <t>Aims</t>
  </si>
  <si>
    <t>Module Code</t>
  </si>
  <si>
    <t>6051SPS</t>
  </si>
  <si>
    <t>Module Title</t>
  </si>
  <si>
    <t>Professional Practice 3</t>
  </si>
  <si>
    <t>The module prepares the student for the placement or work related activity in semester 2 through XXXXSPS. The module aims to develop student's ability to plan, prepare, initiate and reflect upon effective applied sport and exercise psychology practice with a client or service. The module will address topics such as safeguarding and ethical requirements of placement/practice, personal conduct, working in effective project teams and some requisite skills for applied sport and exercise psychology practice</t>
  </si>
  <si>
    <t>Credits</t>
  </si>
  <si>
    <t>Semester</t>
  </si>
  <si>
    <t>Outline Syllabus</t>
  </si>
  <si>
    <t>Level</t>
  </si>
  <si>
    <r>
      <t>Theme 1 Knowledge and skills for applied sport psychology practice: Safeguarding, ethics, values, EDI, reflective practice, working with supervision, communication and working in teams </t>
    </r>
    <r>
      <rPr>
        <sz val="12"/>
        <color rgb="FF000000"/>
        <rFont val="Arial"/>
        <family val="2"/>
      </rPr>
      <t> </t>
    </r>
  </si>
  <si>
    <t>Module Leader</t>
  </si>
  <si>
    <t>Prof Zoe Knowles and Dr Laura Swettenham</t>
  </si>
  <si>
    <r>
      <t>Theme 2 Modes of applied practice: individual consultancy, MDT’s, technology in practice, psychoeducational workshops </t>
    </r>
    <r>
      <rPr>
        <sz val="12"/>
        <color rgb="FF000000"/>
        <rFont val="Arial"/>
        <family val="2"/>
      </rPr>
      <t> </t>
    </r>
  </si>
  <si>
    <t>Module Type</t>
  </si>
  <si>
    <t>Prof Practice Strand</t>
  </si>
  <si>
    <t>Programme(s)</t>
  </si>
  <si>
    <t>Sport Psychology</t>
  </si>
  <si>
    <t>Module Overview</t>
  </si>
  <si>
    <t>Contact Hours</t>
  </si>
  <si>
    <t>Component</t>
  </si>
  <si>
    <t>Lecture</t>
  </si>
  <si>
    <t>Seminar</t>
  </si>
  <si>
    <t>Practical</t>
  </si>
  <si>
    <t>Workshop</t>
  </si>
  <si>
    <t>Additional Information/Notes</t>
  </si>
  <si>
    <t>Online</t>
  </si>
  <si>
    <t>Supervison tutorials when in placement groups</t>
  </si>
  <si>
    <t>Total</t>
  </si>
  <si>
    <t>Field trip (to be confirmed)</t>
  </si>
  <si>
    <t>Learning Outcomes</t>
  </si>
  <si>
    <t>After completing the module the student should be able to:</t>
  </si>
  <si>
    <t>LO Number</t>
  </si>
  <si>
    <t>LO Description</t>
  </si>
  <si>
    <t>LO1</t>
  </si>
  <si>
    <t>Consider the relevant ethical and professional requirements for undertaking applied practice with an identified client group/service.</t>
  </si>
  <si>
    <t>LO2</t>
  </si>
  <si>
    <t>Apply that of practice principles, methods and techniques to a case study</t>
  </si>
  <si>
    <t>LO3</t>
  </si>
  <si>
    <t>Reflect on knowledge, skills and experiences through semester 1</t>
  </si>
  <si>
    <t>LO4</t>
  </si>
  <si>
    <t>LO5</t>
  </si>
  <si>
    <t>Assessment</t>
  </si>
  <si>
    <t>Assessment No</t>
  </si>
  <si>
    <t>Assessment Type</t>
  </si>
  <si>
    <t>Assessment Specific</t>
  </si>
  <si>
    <t>Assessment Description</t>
  </si>
  <si>
    <t>Weighting</t>
  </si>
  <si>
    <t>Due Week</t>
  </si>
  <si>
    <t>A1</t>
  </si>
  <si>
    <t>Presentation</t>
  </si>
  <si>
    <t>Group Presentation</t>
  </si>
  <si>
    <t>15 minute group presentation in placement / project groups</t>
  </si>
  <si>
    <t>A2</t>
  </si>
  <si>
    <t>Viva</t>
  </si>
  <si>
    <t>Individual spoken viva on content from presentation, individual learning on module, reflective practice to date, and response to short case study</t>
  </si>
  <si>
    <t>A3</t>
  </si>
  <si>
    <t>A4</t>
  </si>
  <si>
    <t>Assessment Mapping</t>
  </si>
  <si>
    <t>Graduate Skills Category</t>
  </si>
  <si>
    <t>Graduate Skill</t>
  </si>
  <si>
    <t>Application of knowledge and skills</t>
  </si>
  <si>
    <t>Contextual application</t>
  </si>
  <si>
    <t>Communication</t>
  </si>
  <si>
    <t>Oral presentation</t>
  </si>
  <si>
    <t>Management of self and others</t>
  </si>
  <si>
    <t>Organisation</t>
  </si>
  <si>
    <t>Problem solving and impact</t>
  </si>
  <si>
    <t>Evidence-based decision making</t>
  </si>
  <si>
    <t>Self-evaluation and professional development</t>
  </si>
  <si>
    <t>Reflective practice</t>
  </si>
  <si>
    <t>Weekly Content</t>
  </si>
  <si>
    <t xml:space="preserve">Semester </t>
  </si>
  <si>
    <t>Week Number</t>
  </si>
  <si>
    <t>Weekly Content 1</t>
  </si>
  <si>
    <t>Weekly Content 2</t>
  </si>
  <si>
    <t>Weekly Content 3</t>
  </si>
  <si>
    <t>Professionalism and ethics for applied practice </t>
  </si>
  <si>
    <t>Codes of conduct and behaviour contract</t>
  </si>
  <si>
    <t>Safeguarding</t>
  </si>
  <si>
    <t>Case studies</t>
  </si>
  <si>
    <t>Interrogating reflective writing</t>
  </si>
  <si>
    <t>EDI</t>
  </si>
  <si>
    <t>Communication skills</t>
  </si>
  <si>
    <t>Skills workshop</t>
  </si>
  <si>
    <t>Working effectively in teams</t>
  </si>
  <si>
    <t>Directed study week</t>
  </si>
  <si>
    <t>Individual consultancy</t>
  </si>
  <si>
    <t>Case notes workshop from video/live demonstration  </t>
  </si>
  <si>
    <t xml:space="preserve">Supervision tutorial </t>
  </si>
  <si>
    <t>Working with other disciplines</t>
  </si>
  <si>
    <t>Technology in sport psychology</t>
  </si>
  <si>
    <t>Intervention examples workshop 1</t>
  </si>
  <si>
    <t>Psychoeducational workshop design</t>
  </si>
  <si>
    <t>Intervention examples workshop 2</t>
  </si>
  <si>
    <t>6054SPS</t>
  </si>
  <si>
    <t>The module aims to apply student's skills and knowledge to work in applied practice through a programme sourced group placement or work-related learning project and supervision processes akin to that of professional training.</t>
  </si>
  <si>
    <t xml:space="preserve">Professional placement or work related learning project </t>
  </si>
  <si>
    <r>
      <t>Theme 1: Reflection on semester 1 feedback, reflecting on practice of early career practitioners, careers support (Event 1) </t>
    </r>
    <r>
      <rPr>
        <sz val="12"/>
        <color rgb="FF000000"/>
        <rFont val="Arial"/>
        <family val="2"/>
      </rPr>
      <t> </t>
    </r>
  </si>
  <si>
    <r>
      <t>Theme 2: On-site event with external speakers from the sport and exercise and allied fields compiled by student preference (Event 2)</t>
    </r>
    <r>
      <rPr>
        <sz val="12"/>
        <color rgb="FF000000"/>
        <rFont val="Arial"/>
        <family val="2"/>
      </rPr>
      <t> </t>
    </r>
  </si>
  <si>
    <t>Placement</t>
  </si>
  <si>
    <t>The module has 3 contact points of half day events and is primarily delivered through placement/WRL project activity and supervision seminars and will allow the student to apply group working skills, create an effective product/service related to applied sport and exercise psychology and utilise reflective practice skills.  </t>
  </si>
  <si>
    <t>Design an effective group-based product/service appropriate to that set for the placement/project and client group. </t>
  </si>
  <si>
    <t>Critically appraise the design, delivery and impact of the applied sport and exercise psychology provision for the client group. </t>
  </si>
  <si>
    <t>Reflect on placement experience, skills and knowledge relevant to applied sport and exercise psychology practice </t>
  </si>
  <si>
    <t>Portfolio</t>
  </si>
  <si>
    <t>Group presentation on biomechanical principles in weightlifting</t>
  </si>
  <si>
    <t>Report</t>
  </si>
  <si>
    <t>Essay</t>
  </si>
  <si>
    <t>Reflective essay (1500 words)</t>
  </si>
  <si>
    <t>Leadership</t>
  </si>
  <si>
    <t>Understanding the delivery environment</t>
  </si>
  <si>
    <t>Service delivery</t>
  </si>
  <si>
    <t>Understanding and use of research</t>
  </si>
  <si>
    <t>Critical appraisal</t>
  </si>
  <si>
    <t>Evaluation of outcomes</t>
  </si>
  <si>
    <t>Supervision meeting</t>
  </si>
  <si>
    <t>Applied practice and careers advice half day event</t>
  </si>
  <si>
    <t>Potential placement activity</t>
  </si>
  <si>
    <t>Applied practice adn job roles half day event</t>
  </si>
  <si>
    <t>5054SPS</t>
  </si>
  <si>
    <t>1) To critically evaluate theoretical and philosophical frameworks underpinning developmental and social psychology</t>
  </si>
  <si>
    <t xml:space="preserve">Developmental and Social Psychology </t>
  </si>
  <si>
    <t>2) To examine developmental processes and change across the full lifespan
3) To critically analyse developmental and social psychological processes that influence individual differences, group behaviour, and the social self in society</t>
  </si>
  <si>
    <r>
      <t>Developmental Psychology</t>
    </r>
    <r>
      <rPr>
        <sz val="11"/>
        <color theme="1"/>
        <rFont val="Aptos"/>
        <family val="2"/>
        <charset val="1"/>
      </rPr>
      <t>: Lifespan development (infancy, adolescence, emerging adulthood, late adulthood, death), psychosocial stages of development</t>
    </r>
  </si>
  <si>
    <t>Laura Swettenham</t>
  </si>
  <si>
    <r>
      <rPr>
        <u/>
        <sz val="11"/>
        <color rgb="FF000000"/>
        <rFont val="Aptos"/>
      </rPr>
      <t>Individual Differences:</t>
    </r>
    <r>
      <rPr>
        <sz val="11"/>
        <color rgb="FF000000"/>
        <rFont val="Aptos"/>
      </rPr>
      <t xml:space="preserve"> Subjective well-being, personality, gender, neurodiversity</t>
    </r>
  </si>
  <si>
    <t>Core module</t>
  </si>
  <si>
    <r>
      <rPr>
        <u/>
        <sz val="11"/>
        <color rgb="FF000000"/>
        <rFont val="Aptos"/>
      </rPr>
      <t>Social Psychology:</t>
    </r>
    <r>
      <rPr>
        <sz val="11"/>
        <color rgb="FF000000"/>
        <rFont val="Aptos"/>
      </rPr>
      <t xml:space="preserve"> Social constructionism, socio-ecological theories, group processes and intergroup relations, Prejudice and discrimination.</t>
    </r>
  </si>
  <si>
    <t>This module explores developmental and social psychology across the lifespan, integrating developmental and social psychological perspectives on identity, well-being, and individual differences within social and cultural contexts. Students engage with core theoretical frameworks, including lifespan theory, social constructionism, and socio-ecological theory as well as exploring social psychological processes such as prejudice, group relations, and the current understandings of personality, gender, and neurodiversity.</t>
  </si>
  <si>
    <t>Evaluate key stages in developmental processes, including the development of cognitive, emotional, and social skills through the life span.</t>
  </si>
  <si>
    <t>Critically discuss social influences on individual differences and group behaviours.</t>
  </si>
  <si>
    <t>Analyse and evaluate methodological approaches and research underpinning developmental, individual differences and social psychology.</t>
  </si>
  <si>
    <t>Infographic</t>
  </si>
  <si>
    <t>2 x infographics on lifespan stages and 1 x 1000 essay on chosen stages, integrating socio-ecological and systems perspectives. AI transparancy element (short 300 word reflective statement)</t>
  </si>
  <si>
    <t>Exam</t>
  </si>
  <si>
    <t>2 x 1000 word essays during 2 hours in person exam</t>
  </si>
  <si>
    <t>S2 assessment week</t>
  </si>
  <si>
    <t>Scientific knowledge</t>
  </si>
  <si>
    <t>Information retrieval</t>
  </si>
  <si>
    <t>Scientific literacy</t>
  </si>
  <si>
    <t>Digital communication</t>
  </si>
  <si>
    <t>Knowledge synthesis</t>
  </si>
  <si>
    <t>Research communication</t>
  </si>
  <si>
    <t xml:space="preserve">Module Introduction: </t>
  </si>
  <si>
    <t>Infancy and adolescence</t>
  </si>
  <si>
    <t>Identity</t>
  </si>
  <si>
    <t>Emerging adulthood</t>
  </si>
  <si>
    <t xml:space="preserve">Ageing and death </t>
  </si>
  <si>
    <t>Subjective well-being across the lifespan</t>
  </si>
  <si>
    <t>Gender as a social construct</t>
  </si>
  <si>
    <t>Neurodiversity</t>
  </si>
  <si>
    <t>Personality</t>
  </si>
  <si>
    <t>Prejudice and discrimination</t>
  </si>
  <si>
    <t>Group processes and intergroup relations</t>
  </si>
  <si>
    <t>4052SPS</t>
  </si>
  <si>
    <t>To present a range of topics in developmental psychology and individual differences research. To introduce the methods applied to understanding key issues in developmental psychology and individual differences research. To enable students to consult and summarise appropriate sources to explain key issues in developmental psychology and individual differences research. </t>
  </si>
  <si>
    <t xml:space="preserve">Introduction to Developmental Psychology and Individual Differences </t>
  </si>
  <si>
    <t>Theme 1: Developmental Psychology. Within the area of developmental psychology students will consider issues across attachment, cognitive development, language development, and social development.   </t>
  </si>
  <si>
    <t>Dr Gillian Cook</t>
  </si>
  <si>
    <r>
      <t>Theme 2: Individual Differences. Within the area of individual differences students will consider issues across personality, intelligence, aspects of dynamic emotions, motivations and moods, and psychometrics.</t>
    </r>
    <r>
      <rPr>
        <i/>
        <sz val="11"/>
        <color rgb="FF000000"/>
        <rFont val="Aptos Narrow"/>
        <scheme val="minor"/>
      </rPr>
      <t> </t>
    </r>
    <r>
      <rPr>
        <sz val="11"/>
        <color rgb="FF000000"/>
        <rFont val="Aptos Narrow"/>
        <scheme val="minor"/>
      </rPr>
      <t> </t>
    </r>
  </si>
  <si>
    <t>In this module you will learn about a range of topics in these two areas of psychology.  This module will introduce you to a number of historical issues in developmental psychology and individual differences research. </t>
  </si>
  <si>
    <t xml:space="preserve">Summarise and explain key issues in developmental psychology and individual differences concepts, with reference to historical and contemporary perspectives. </t>
  </si>
  <si>
    <t xml:space="preserve">Discuss key stages in developmental processes, and key concepts in individual differences processes </t>
  </si>
  <si>
    <t xml:space="preserve">Describe the methodology underpinning developmental psychology and individual differences research. </t>
  </si>
  <si>
    <t>Group presentation on developmental psychology topic</t>
  </si>
  <si>
    <t>Individual Presentation</t>
  </si>
  <si>
    <t>Individual presentation on individual differences topic</t>
  </si>
  <si>
    <t>Critical thinking</t>
  </si>
  <si>
    <t xml:space="preserve">Introduction to Developmental Psychology and Individual Differences; and Attachment </t>
  </si>
  <si>
    <t>Attachment</t>
  </si>
  <si>
    <t xml:space="preserve">Social Development </t>
  </si>
  <si>
    <t>Language Development</t>
  </si>
  <si>
    <t>Cognitive Development</t>
  </si>
  <si>
    <t>Curriculum Enrichment Week</t>
  </si>
  <si>
    <t>Dynamics: Emotions</t>
  </si>
  <si>
    <t>Dynamics: Motivation</t>
  </si>
  <si>
    <t>Intelligence</t>
  </si>
  <si>
    <t xml:space="preserve">Psychometrics </t>
  </si>
  <si>
    <t>6053SPS</t>
  </si>
  <si>
    <t>Current Issues in Sport and Exercise Psychology</t>
  </si>
  <si>
    <t>The module aims to develop student's ability to critically evaluate contemporary issues in sport and exercise psychology that influence participants' performance, physical activity, wellbeing, health, or development.</t>
  </si>
  <si>
    <t>Theme 1: Current issues in psychology attached to sport: The content will reflect current issues underpinned by relevant research.</t>
  </si>
  <si>
    <t>Luke Olsson</t>
  </si>
  <si>
    <t xml:space="preserve">Theme 2: Current issues in psychology attached to physical activity: The content will reflect current issues underpinned by relevant research. </t>
  </si>
  <si>
    <t>Other combination</t>
  </si>
  <si>
    <t>This module will help to develop your ability to critically evaluate contemporary issues in sport and/or exercise psychology that influence participants' performance, physical activity, wellbeing, health, and development.</t>
  </si>
  <si>
    <t>Critically evaluate the research, perspectives, and models underpinning current issues in sport and exercise psychology</t>
  </si>
  <si>
    <t>Examine the personal and/or social considerations relating to current issues in sport and exercise psychology.</t>
  </si>
  <si>
    <t>Case Study</t>
  </si>
  <si>
    <t xml:space="preserve">2500 word report on a case study attached to a current issue in sport or exercise psychology. </t>
  </si>
  <si>
    <t>In Person Exam</t>
  </si>
  <si>
    <t xml:space="preserve">Moderate-Long answer 2-hour exam attached to current issues in sport and/or exercise psychology.  </t>
  </si>
  <si>
    <t>exam period</t>
  </si>
  <si>
    <t>Reserch literacy</t>
  </si>
  <si>
    <t>Written communication</t>
  </si>
  <si>
    <t>Evidence evaluation</t>
  </si>
  <si>
    <t>Evidne-based practice</t>
  </si>
  <si>
    <t>Module intro and athlete burnout</t>
  </si>
  <si>
    <t xml:space="preserve">follow up seminar </t>
  </si>
  <si>
    <t>Mental wellbeing and ill health in athletes</t>
  </si>
  <si>
    <t>follow up seminar</t>
  </si>
  <si>
    <t xml:space="preserve">Psychological predictors of performance </t>
  </si>
  <si>
    <t>Athelte perfectionism</t>
  </si>
  <si>
    <t>Psychological coach climates</t>
  </si>
  <si>
    <t>The role of parents</t>
  </si>
  <si>
    <t>Postive emotions in exercise</t>
  </si>
  <si>
    <t>Please enhancing strategies in exercise</t>
  </si>
  <si>
    <t xml:space="preserve">Goal setting within a physical activity context </t>
  </si>
  <si>
    <t>Green exercise</t>
  </si>
  <si>
    <t>A systems based approach to phyical activity intervention</t>
  </si>
  <si>
    <t>4053SPS</t>
  </si>
  <si>
    <t>Introduction to Cognitive and Biological Psychology</t>
  </si>
  <si>
    <t>To explore theories and processes within cognitive and biological psychology; to learn about the neuroanatomy and components of the nervous system; and to develop an appreciation of the behavioural and neuroscientific evidence underpinning cognitive and biological psychology.</t>
  </si>
  <si>
    <t>Mark Hollands</t>
  </si>
  <si>
    <t>Field of study and module introduction; Anatomy of the central nervous system; Neurotransmission; Senses; Attention; Memory; Consciousness; Learning and behaviour; Drugs and behaviour; Evolution and genetics; Judgement, problem solving and decision-making; Assessment preparation</t>
  </si>
  <si>
    <r>
      <rPr>
        <sz val="12"/>
        <color rgb="FF000000"/>
        <rFont val="Symbol"/>
        <charset val="2"/>
      </rPr>
      <t>·</t>
    </r>
    <r>
      <rPr>
        <sz val="7"/>
        <color rgb="FF000000"/>
        <rFont val="Times New Roman"/>
        <family val="1"/>
      </rPr>
      <t xml:space="preserve">         </t>
    </r>
    <r>
      <rPr>
        <sz val="12"/>
        <color rgb="FF000000"/>
        <rFont val="Arial"/>
        <family val="2"/>
      </rPr>
      <t>Weekly lectures providing core theoretical content (×11).</t>
    </r>
  </si>
  <si>
    <r>
      <t>·</t>
    </r>
    <r>
      <rPr>
        <sz val="7"/>
        <color theme="1"/>
        <rFont val="Times New Roman"/>
        <family val="1"/>
      </rPr>
      <t xml:space="preserve">         </t>
    </r>
    <r>
      <rPr>
        <sz val="12"/>
        <color theme="1"/>
        <rFont val="Arial"/>
        <family val="2"/>
        <charset val="1"/>
      </rPr>
      <t>Laboratory practicals and demonstrations to reinforce theory (×4).</t>
    </r>
  </si>
  <si>
    <r>
      <t>·</t>
    </r>
    <r>
      <rPr>
        <sz val="7"/>
        <color theme="1"/>
        <rFont val="Times New Roman"/>
        <family val="1"/>
      </rPr>
      <t xml:space="preserve">         </t>
    </r>
    <r>
      <rPr>
        <sz val="12"/>
        <color theme="1"/>
        <rFont val="Arial"/>
        <family val="2"/>
        <charset val="1"/>
      </rPr>
      <t>Workshops developing group-working skills and database searching (×2).</t>
    </r>
  </si>
  <si>
    <t>Feedforward and feedback seminars for assessment support (×3)</t>
  </si>
  <si>
    <t>MH to take over from JR as module lead. Module will run as previously but with addition of pratical elements and workshops ro reinforce learning and guide assessments</t>
  </si>
  <si>
    <t>Identify and explain key theories and processes within cognitive and biological psychology</t>
  </si>
  <si>
    <t>Discuss and integrate a range of psychological processes associated with the central nervous system.</t>
  </si>
  <si>
    <t>Apply a variety of case studies and experimental techniques to evaluate theories and processes within cognitive and biological psychology.</t>
  </si>
  <si>
    <t>Group presentation on nervous system and sensory processing</t>
  </si>
  <si>
    <t>Annotated bibliography case studies related to weeks 8-12</t>
  </si>
  <si>
    <t>Lecture: Introduction and module overview</t>
  </si>
  <si>
    <t>Lecture: Nervous system</t>
  </si>
  <si>
    <t>Lecture: Neurotransmission</t>
  </si>
  <si>
    <t>Practical: Afferent and efferent nerves in action</t>
  </si>
  <si>
    <t>Lecture: Vision</t>
  </si>
  <si>
    <t>Practical: Vision in action</t>
  </si>
  <si>
    <t>Lecture: Touch, taste, smell, hearing</t>
  </si>
  <si>
    <t>Workshop: group work preparation and AS1 feedforward</t>
  </si>
  <si>
    <t>Lecture: Muscle sense and balance</t>
  </si>
  <si>
    <t>Practical: Proprioception in action</t>
  </si>
  <si>
    <t>curriculum enrichment week</t>
  </si>
  <si>
    <t>Lecture: memory</t>
  </si>
  <si>
    <t>Seminar: assessment 1 feedback</t>
  </si>
  <si>
    <t>Lecture: attention</t>
  </si>
  <si>
    <t>Practical: Psychological tests of cognitive function</t>
  </si>
  <si>
    <t>Lecture: Consciousness</t>
  </si>
  <si>
    <t>Seminar: AS2 feedforward</t>
  </si>
  <si>
    <t>Lecture: Learning</t>
  </si>
  <si>
    <t xml:space="preserve">Workshop: literature searches </t>
  </si>
  <si>
    <t>Lecture: Drugs and behaviour</t>
  </si>
  <si>
    <t>Seminar: Assessment help drop-in</t>
  </si>
  <si>
    <t>6052SPS</t>
  </si>
  <si>
    <t>Applied Motor Behaviour</t>
  </si>
  <si>
    <t>To develop a critical understanding of contemporary issues in motor behaviour, and the ability to synthesise and apply research findings to sport, exercise and health settings</t>
  </si>
  <si>
    <r>
      <t xml:space="preserve">Theme 1: </t>
    </r>
    <r>
      <rPr>
        <sz val="11"/>
        <color theme="1"/>
        <rFont val="Aptos Narrow"/>
        <scheme val="minor"/>
      </rPr>
      <t>Motor</t>
    </r>
    <r>
      <rPr>
        <i/>
        <sz val="11"/>
        <color theme="1"/>
        <rFont val="Aptos Narrow"/>
        <scheme val="minor"/>
      </rPr>
      <t xml:space="preserve"> </t>
    </r>
    <r>
      <rPr>
        <sz val="11"/>
        <color theme="1"/>
        <rFont val="Aptos Narrow"/>
        <scheme val="minor"/>
      </rPr>
      <t>learning mechanisms: The content will reflect current understanding of motor learning theory, with research-informed application of learning protocols to sport, exercise and health settings.</t>
    </r>
  </si>
  <si>
    <t>Simon Bennett</t>
  </si>
  <si>
    <r>
      <t xml:space="preserve">Theme 2: </t>
    </r>
    <r>
      <rPr>
        <sz val="11"/>
        <color theme="1"/>
        <rFont val="Aptos Narrow"/>
        <scheme val="minor"/>
      </rPr>
      <t>Control and learning of interceptive actions: This will reflect contemporary, research-informed content on interceptive actions, including: fundamentals of vision and eye movements, visual control of interceptive action, VR learning protocols</t>
    </r>
  </si>
  <si>
    <t>In this module, we will consider motor behaviour in sports and exercise context (e.g., interception or avoidance in football, rugby, golf and cricket), as well as applied health settings (e.g., everyday tasks of descending a stairway or walking over uneven ground). In doing so, you will learn about fundamental processes related to visual perception, eye movements, location of attention, action representation and cognition, and how these impact upon motor learning protocols</t>
  </si>
  <si>
    <t>A1 could be in-class assessment covering material delivered in wks 1-6,. Students design a learning/skill acquisition protocol, which they have to justify based on sensory and motor contributions to the task/skill, as well as motor learning principles. They choose whether to focus on a population with a sensory/motor impairment, or a sporting/exercise task. They have to justify the selection of appropriate assessment techniques, predict the outcomes expected, and potentially suggest how they would analyse the data</t>
  </si>
  <si>
    <t>Critically evaluate and integrate research findings, perspectives and models of motor learning in sport, exercise and health</t>
  </si>
  <si>
    <t>Critically evaluate and integrate research findings, perspectives and models of interceptive actions in sport, exercise and health</t>
  </si>
  <si>
    <t>Apply quantitative research skills to understanding applied motor behaviour</t>
  </si>
  <si>
    <t>Group presentation on motor learning protocols</t>
  </si>
  <si>
    <t>Interpret statistical outputs to independently produce a summary of key findings, followed by discussion that considers findings relative to research and conceptual/theoretical perspectives</t>
  </si>
  <si>
    <t>Data interpretation</t>
  </si>
  <si>
    <t>Introduction to applied motor behaviour</t>
  </si>
  <si>
    <t>Assessment tasks and criteria</t>
  </si>
  <si>
    <t>How we use our senses to control movement</t>
  </si>
  <si>
    <t>Practical - Sensory contributions to motor control</t>
  </si>
  <si>
    <t>Brain, spinal cord and neural basis of motor learning</t>
  </si>
  <si>
    <t>Workshop - Reflections on Waterman’s story</t>
  </si>
  <si>
    <t>Introduction to motor learning and core theories</t>
  </si>
  <si>
    <t>Practical - Learning protocols</t>
  </si>
  <si>
    <t>The use of augmented information to facilitate motor learning</t>
  </si>
  <si>
    <t xml:space="preserve">Workshop - Data interpretation </t>
  </si>
  <si>
    <t>Planning optimal practice environments for motor learning</t>
  </si>
  <si>
    <t>Workshop - Optimal practice settings</t>
  </si>
  <si>
    <t>Visual control of action: introduction and theory</t>
  </si>
  <si>
    <t>Practical - Predictive mechanisms in interceptive actions</t>
  </si>
  <si>
    <t>Visual control of action: monocular and binocular contributions</t>
  </si>
  <si>
    <t>Workshop - Unpacking the visual information for interceptive action</t>
  </si>
  <si>
    <t>Eye movements during interceptive action</t>
  </si>
  <si>
    <t>Workshop - Data and output interpretation</t>
  </si>
  <si>
    <t>VR and interceptive action</t>
  </si>
  <si>
    <t>Practical - VR protocols</t>
  </si>
  <si>
    <t>Quantitative assessment of interceptive action</t>
  </si>
  <si>
    <t>4093SPS</t>
  </si>
  <si>
    <t>Psychosocial Principles of Sport and Exercise</t>
  </si>
  <si>
    <t>The module aims to develop knowledge and understanding of the psychosocial concepts that underpin the sport and exercise environment.</t>
  </si>
  <si>
    <t>Understanding individuals: e.g., gender, race, barriers to engagement, motivation, mood and emotion. Understanding environments: e.g., feedback, competitive environments. Understanding social processes: e.g., group dynamics, leadership and communication. Understanding behaviours: e.g., behaviour change, wellbeing and society.</t>
  </si>
  <si>
    <t>Kathryn Curran</t>
  </si>
  <si>
    <t>Kathryn Curran- SES/SpoPsy</t>
  </si>
  <si>
    <t>Angus Ryrie- Coaching</t>
  </si>
  <si>
    <t>Alexandra Consterdine- Coaching</t>
  </si>
  <si>
    <t>Marie-Claire Blundell- PE</t>
  </si>
  <si>
    <t>Kelly Massey- PE</t>
  </si>
  <si>
    <t>Laura Swettenham- SpoPsy</t>
  </si>
  <si>
    <t>Outline the importance of psychology, sociology and psychosocial principles in sport and exercise.</t>
  </si>
  <si>
    <t>Amy Whitehead- SpoPsy/Coaching</t>
  </si>
  <si>
    <t>Describe the individual and environmental psychosocial principles associated with sport and exercise.</t>
  </si>
  <si>
    <t>???- SciFoot (Need a SciFoot respresentative who ideally could teach a topic on this module)</t>
  </si>
  <si>
    <t>Describe the social processes and behavioural outcomes associated with sport and exercise.</t>
  </si>
  <si>
    <t>Hybrid Delivery of Lectures (depending on teaching space)</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</si>
  <si>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</si>
  <si>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</si>
  <si>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</si>
  <si>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</si>
  <si>
    <t>Online Pre Lecture Task</t>
  </si>
  <si>
    <t>Lecture: Module Introduction</t>
  </si>
  <si>
    <t xml:space="preserve">Online Post Lecture Task </t>
  </si>
  <si>
    <t>Lecture: Gender</t>
  </si>
  <si>
    <t xml:space="preserve">Lecture: Race and Ethnicity </t>
  </si>
  <si>
    <t xml:space="preserve">Lecture: Competition and Co-operation </t>
  </si>
  <si>
    <t>Lecture: Mood, emotions and emotional intelligence</t>
  </si>
  <si>
    <t>Lecture: Feedback and Reinforcement</t>
  </si>
  <si>
    <t>Lecture: Team dynamics and Cohesion</t>
  </si>
  <si>
    <t>Lecture:  Leadership and Communication</t>
  </si>
  <si>
    <t>Lecture: Motivation, Barriers &amp; Behaviour Change</t>
  </si>
  <si>
    <t>Lecture: Enhancing Society through Sport and Exercise</t>
  </si>
  <si>
    <t xml:space="preserve">Lecture:Enhancing Well-being through Sport and Exercise </t>
  </si>
  <si>
    <t>5052SPS</t>
  </si>
  <si>
    <t>Application of contemporary, state-of-the-art experimental techniques or paradigms within cognitive and biological psychology.</t>
  </si>
  <si>
    <t>Advances in Cognitive and Biological Psychology</t>
  </si>
  <si>
    <t>Analyse original research data and adapt findings to infer broader theoretical implications within cognitive and biological psychology</t>
  </si>
  <si>
    <t>Study within visual science will form a core aspect including concepts such as the basic visual system, visual neuroscience, eye movements and visual-action coupling.</t>
  </si>
  <si>
    <t>James Roberts</t>
  </si>
  <si>
    <t>Study within everyday or applied contemporary issues pertaining to cognitive and biological psychology including face and object recognition, emotion, multisensory processing, touch and body awareness, and sleep and circadian rhythms.</t>
  </si>
  <si>
    <t>Infer broader theoretical implications based on empirical research findings within cognitive and biological psychology</t>
  </si>
  <si>
    <t>Analyse and interpret original research data relating to contemporary topics within cognitive and biological psychology</t>
  </si>
  <si>
    <t>Data collection, illustration/presentation and interpretation</t>
  </si>
  <si>
    <t>Data collection and analysis, and follow-up viva</t>
  </si>
  <si>
    <t>Technical skills</t>
  </si>
  <si>
    <t>Equipment and technology utilisation</t>
  </si>
  <si>
    <t>Domian-specfic analytical skills</t>
  </si>
  <si>
    <t>Introduction (Lecture)</t>
  </si>
  <si>
    <t>Assessment 1 Feedforward (Seminar)</t>
  </si>
  <si>
    <t>Visual Neuroscience (Lecture)</t>
  </si>
  <si>
    <t xml:space="preserve"> Assessment 1 Methodology and Data Collection (Practical)</t>
  </si>
  <si>
    <t>Eye Movement and Stereoscopic Vision (Lecture)</t>
  </si>
  <si>
    <t>Oculomanual and Visuomotor Control (Lecture)</t>
  </si>
  <si>
    <t>Shared Representations: Action-Observation (Lecture)</t>
  </si>
  <si>
    <t>Shared Representations: Motor Imagery (Lecture)</t>
  </si>
  <si>
    <t>Assessment 1 Support (Online)</t>
  </si>
  <si>
    <t>Assessment 1</t>
  </si>
  <si>
    <t>Assessment 2 Feedforward (Seminar)</t>
  </si>
  <si>
    <t>Face and Object Recognition (Lecture)</t>
  </si>
  <si>
    <t>Assessment 2 Methodology and Data Collection (Practical</t>
  </si>
  <si>
    <t>Emotion (Lecture)</t>
  </si>
  <si>
    <t>Multisensory Perception (Lecture)</t>
  </si>
  <si>
    <t>Assessment 2 Support (Online)</t>
  </si>
  <si>
    <t>Assessment 2</t>
  </si>
  <si>
    <t>5093SPS</t>
  </si>
  <si>
    <t>Develop the ability to evaluate the individual and environmental psychological principles that underpin elite sport and performance.</t>
  </si>
  <si>
    <t>Sport amd Performance Psychology</t>
  </si>
  <si>
    <t>Develop the ability to evaluate the underlying identification and development of expertise within sport and performance settings.</t>
  </si>
  <si>
    <t>Understanding individuals (e.g., resilience and thriving, anxiety, confidence, personality and choking/clutching under pressure) and environments (e.g., performance sport culture and competitive, organisation and personal stress).</t>
  </si>
  <si>
    <t>Study of perceptual and cognitive expertise (e.g., athlete brain and cognition, visual perceptual and gaze search, anticipation and decision-making). and development (e.g., talent pathways, training).</t>
  </si>
  <si>
    <t>All Programmes</t>
  </si>
  <si>
    <t>Evaluate individual and environmental psychological principles associated with sport performance.</t>
  </si>
  <si>
    <t>Evaluate the identification and development of perceptual-cognitive expertise within sport.</t>
  </si>
  <si>
    <t>In-class video observation and short-answer questions</t>
  </si>
  <si>
    <t>In-class short- and multi-choice answer questions</t>
  </si>
  <si>
    <t>13-14</t>
  </si>
  <si>
    <t>Professional judgement</t>
  </si>
  <si>
    <t>problem identification</t>
  </si>
  <si>
    <t>Assessment Feedforward (Seminar)</t>
  </si>
  <si>
    <t>Understanding Organisational Culture in Sport (Lecture)</t>
  </si>
  <si>
    <t>Constructing an Environment for Elite Performance (Lecture)</t>
  </si>
  <si>
    <t>Psychological Characteristics of Elite Performers 1 (Lecture)</t>
  </si>
  <si>
    <t>Psychological Characteristics of Elite Performers 2 (Lecture)</t>
  </si>
  <si>
    <t>Understanding the Role of Personality in Sport (Lecture)</t>
  </si>
  <si>
    <t>Perfectionism and Performance in Sport (Lecture)</t>
  </si>
  <si>
    <t>Impact of the Athlete-Coach Relationship in Performance (Lecture)</t>
  </si>
  <si>
    <t>Developing Psychologically Informed Coaches (Lecture)</t>
  </si>
  <si>
    <t>Psychological Skills Training to Improve Performance (Lecture)</t>
  </si>
  <si>
    <t>Assessment 1 Support (Seminar)</t>
  </si>
  <si>
    <t>Direct Study Week</t>
  </si>
  <si>
    <t>Visual Abilities (Lecture)</t>
  </si>
  <si>
    <t>Visual Search (Lecture)</t>
  </si>
  <si>
    <t>Domain-Specific Perceptual-Cognitive Skills (Lecture)</t>
  </si>
  <si>
    <t>Cognition and Neurophysiology (Lecture)</t>
  </si>
  <si>
    <t>Talent ID and Development Pathways (Lecture)</t>
  </si>
  <si>
    <t>Perceptual-Cognitive Training (Lecture)</t>
  </si>
  <si>
    <t>Representative Practice and Practice Structure (Lecture)</t>
  </si>
  <si>
    <t>Use of Feeback and Instruction (Lecture)</t>
  </si>
  <si>
    <t>Use of Technology (Lecture)</t>
  </si>
  <si>
    <t>Assessment 2 Support (Seminar)</t>
  </si>
  <si>
    <t>4051SPS</t>
  </si>
  <si>
    <t>To introduce students to the contemporary scope, evidence base and professional practice of sport and exercise psychology, including its history, philosophies, professional pathways, ethical standards and diverse delivery contexts.</t>
  </si>
  <si>
    <t>PROFESSIONAL PRACTICE IN SPORT PSYCHOLOGY 1</t>
  </si>
  <si>
    <t>To develop students' professional identity and graduate competencies through authentic, evidence-informed learning that promotes ethical decision-making, inclusive practice, effective communication, reflective practice and career readiness.</t>
  </si>
  <si>
    <t>Professional practice and identity: Professional identity; contemporary sport and exercise psychology practice; BPS, CASES and HCPC professional pathways; ethics, safeguarding, mental health literacy, professional boundaries and multidisciplinary working.</t>
  </si>
  <si>
    <t>Joe Causer</t>
  </si>
  <si>
    <t>Inclusive and effective practice: Working with diverse populations and stakeholders through culturally competent, ethical and evidence-informed practice, including communication, digital professionalism and responsible use of emerging technologies.</t>
  </si>
  <si>
    <t>Professional development and employability: Reflective practice, self-evaluation, career planning, continuing professional development and the application of evidence to professional decision-making.</t>
  </si>
  <si>
    <t>This module introduces students to the contemporary profession of sport and exercise psychology and the role of psychologists in supporting performance, health and wellbeing across a range of settings. Students will explore the evidence base underpinning professional practice, ethical and inclusive working, professional pathways, and the responsibilities associated with working alongside athletes, exercisers and multidisciplinary teams. Through authentic learning activities and contemporary case studies, students will begin to develop their professional identity, graduate competencies and reflective practice, equipping them with the knowledge, skills and behaviours required for future study, supervised practice and graduate employment.</t>
  </si>
  <si>
    <t>Explain the contemporary scope, professional roles and boundaries of sport and exercise psychology across a range of populations and delivery settings.</t>
  </si>
  <si>
    <t>Describe the principal UK professional development and regulatory routes relevant to sport and exercise psychology, including the distinct roles of BPS, CASES and HCPC.</t>
  </si>
  <si>
    <t>Apply introductory ethical, safeguarding, inclusion and scope-of-practice principles to realistic professional scenarios, identifying when consultation, referral or escalation is required.</t>
  </si>
  <si>
    <t>Communicate an evidence-informed analysis of a contemporary professional issue to a defined audience using appropriate academic and digital conventions.</t>
  </si>
  <si>
    <t>Evaluate their developing graduate competencies and produce a realistic professional-development plan informed by reflection, feedback and career goals.</t>
  </si>
  <si>
    <t>Video</t>
  </si>
  <si>
    <t>Professional issue briefing (recorded video or narrated presentation)</t>
  </si>
  <si>
    <t>Professional practice portfolio and scenario response</t>
  </si>
  <si>
    <t>Digital literacy</t>
  </si>
  <si>
    <t>Professional awareness</t>
  </si>
  <si>
    <t>Professional relationships and behaviours</t>
  </si>
  <si>
    <t>Ethical practice</t>
  </si>
  <si>
    <t>Becoming a sport and exercise psychology professional</t>
  </si>
  <si>
    <t>Lecture + workshop</t>
  </si>
  <si>
    <t>Histories, philosophies and evidence-informed practice</t>
  </si>
  <si>
    <t>Lecture + seminar</t>
  </si>
  <si>
    <t>Professional routes and regulation</t>
  </si>
  <si>
    <t>Ethics, consent, confidentiality and professional boundaries</t>
  </si>
  <si>
    <t>Safeguarding, duty of care and referral</t>
  </si>
  <si>
    <t>Communication and helping skills</t>
  </si>
  <si>
    <t>Lecture + practical</t>
  </si>
  <si>
    <t>Assessment development and Personal Tutor appraisal</t>
  </si>
  <si>
    <t>Independent study / formative checkpoint</t>
  </si>
  <si>
    <t>Mental health literacy and practitioner wellbeing</t>
  </si>
  <si>
    <t>Inclusive and culturally responsive practice</t>
  </si>
  <si>
    <t>Working in systems and multidisciplinary teams</t>
  </si>
  <si>
    <t>Digital professionalism, social media, data and AI</t>
  </si>
  <si>
    <t>From reflection to professional development</t>
  </si>
  <si>
    <t>Workshop + assessment feedforward</t>
  </si>
  <si>
    <t>5051SPS</t>
  </si>
  <si>
    <t>To develop students' understanding of the consultancy process within sport and exercise psychology, including client assessment, needs analysis, intervention planning, delivery and evaluation using evidence-informed practice.</t>
  </si>
  <si>
    <t>PROFESSIONAL PRACTICE IN SPORT PSYCHOLOGY 2</t>
  </si>
  <si>
    <t>To enhance students' professional identity and graduate competencies through authentic consultancy experiences that promote ethical practice, effective communication, reflective practice and collaborative working with diverse client groups.</t>
  </si>
  <si>
    <r>
      <t>A</t>
    </r>
    <r>
      <rPr>
        <sz val="11"/>
        <color theme="1"/>
        <rFont val="Cambria"/>
        <family val="1"/>
      </rPr>
      <t>pplied consultancy process: client engagement, contracting, rapport building, needs analysis, assessment methods, case formulation, intervention planning and consultancy documentation.</t>
    </r>
  </si>
  <si>
    <t>Professional delivery: psychological skills training, behaviour change, educational workshops, communication, stakeholder engagement, multidisciplinary working, digital delivery and inclusive practice.</t>
  </si>
  <si>
    <t>Professional evaluation: reflective practice, practitioner effectiveness, client evaluation, evidence-informed decision making, supervision, professional development and employability.</t>
  </si>
  <si>
    <t>This module develops students' applied consultancy skills through the planning, delivery and evaluation of sport and exercise psychology support. Students learn how to conduct needs analyses, design evidence-informed interventions, communicate effectively with clients and stakeholders, and evaluate professional practice using reflective approaches. Authentic consultancy scenarios enable students to develop professional identity, graduate competencies and readiness for supervised practice and graduate employment.</t>
  </si>
  <si>
    <t>Conduct an evidence-informed psychological needs analysis using multiple sources of information to identify client priorities and justify intervention goals.</t>
  </si>
  <si>
    <t>Design and communicate appropriate psychological support strategies that are tailored to individual clients, groups and performance environments.</t>
  </si>
  <si>
    <t>Evaluate consultancy decisions using ethical reasoning, reflective practice and professional standards to support continuing professional development.</t>
  </si>
  <si>
    <t xml:space="preserve">Professional Client Workshop </t>
  </si>
  <si>
    <t xml:space="preserve">Consultancy Portfolio </t>
  </si>
  <si>
    <t>60%%</t>
  </si>
  <si>
    <t>AS1</t>
  </si>
  <si>
    <t>Oral communication</t>
  </si>
  <si>
    <t>Technical Skills</t>
  </si>
  <si>
    <t>Professional Relationships &amp; Behaviours</t>
  </si>
  <si>
    <t>Collaboration</t>
  </si>
  <si>
    <t>Application of Knowledge &amp; Skills</t>
  </si>
  <si>
    <t>AS2</t>
  </si>
  <si>
    <t>Understanding &amp; Use of Research</t>
  </si>
  <si>
    <t>Scientific Knowledge</t>
  </si>
  <si>
    <t>Problem Solving &amp; Impact</t>
  </si>
  <si>
    <t>Evidence-based decision-making</t>
  </si>
  <si>
    <t>Self-Evaluation &amp; Professional Development</t>
  </si>
  <si>
    <t>Management of Self, Others &amp; Practice</t>
  </si>
  <si>
    <t>Accountability</t>
  </si>
  <si>
    <t>Introduction to consultancy practice</t>
  </si>
  <si>
    <t>Building rapport and contracting</t>
  </si>
  <si>
    <t>Needs analysis and assessment methods</t>
  </si>
  <si>
    <t>Case formulation and intervention planning</t>
  </si>
  <si>
    <t>Designing educational workshops</t>
  </si>
  <si>
    <t>Delivering psychological skills interventions</t>
  </si>
  <si>
    <t>Reading Week</t>
  </si>
  <si>
    <t>Behaviour change and motivation</t>
  </si>
  <si>
    <t>Working with coaches, parents and MDTs</t>
  </si>
  <si>
    <t>Evaluating intervention effectiveness</t>
  </si>
  <si>
    <t>Reflective practice and supervision</t>
  </si>
  <si>
    <t>Consultancy showcase and assessment support</t>
  </si>
  <si>
    <t>4054SPS</t>
  </si>
  <si>
    <t>To develop students' academic, digital and information literacy skills required to locate, evaluate, communicate and present evidence effectively within sport and exercise science.</t>
  </si>
  <si>
    <t>Academic Skills</t>
  </si>
  <si>
    <t>To develop independent learners who demonstrate academic integrity, critical thinking, responsible use of artificial intelligence, effective study strategies and reflective approaches to learning.</t>
  </si>
  <si>
    <t>Information searching, evidence evaluation, academic reading, note-taking, critical thinking, referencing, academic writing and academic integrity.</t>
  </si>
  <si>
    <t>Microsoft 365, Excel, data visualisation, presentation design, infographics, digital communication, AI literacy, prompt engineering, ethical AI use, fact-checking and verification.</t>
  </si>
  <si>
    <t>Study strategies, time management, feedback literacy, reflection, wellbeing, employability, collaborative learning and professional digital identity.</t>
  </si>
  <si>
    <t>This module supports students' transition into higher education by developing the academic, digital and professional skills required for success at university and within the sport and exercise sciences. Students will develop skills in information literacy, academic writing, critical thinking, data management, digital communication and responsible use of artificial intelligence (AI). Through authentic workshops and applied activities, students will learn how to locate, evaluate and communicate evidence while developing effective study habits, reflective practice and graduate competencies.</t>
  </si>
  <si>
    <t>Locate, evaluate and appropriately use academic, professional and digital sources to support evidence-informed learning.</t>
  </si>
  <si>
    <t>Produce clear academic communications that demonstrate effective writing, referencing, critical thinking and appropriate use of digital technologies, including generative AI.</t>
  </si>
  <si>
    <t>Apply data management, presentation and reflective learning skills to communicate information effectively across a range of academic and professional formats.</t>
  </si>
  <si>
    <t>Data Analysis</t>
  </si>
  <si>
    <t>Academic Skills Portfolio incorporating literature searching, critical reading, referencing, academic writing tasks, an AI reflection and a personal study plan.</t>
  </si>
  <si>
    <t>Digital Communication Portfolio including Excel data management, APA figures and tables, an infographic, a short narrated presentation and a reflective commentary on the use of AI and digital tools.</t>
  </si>
  <si>
    <t>Literature searching</t>
  </si>
  <si>
    <t>Academic writing</t>
  </si>
  <si>
    <t>Independent learning</t>
  </si>
  <si>
    <t>AI literacy; Digital literacy</t>
  </si>
  <si>
    <t>Data management</t>
  </si>
  <si>
    <t>Information synthesis</t>
  </si>
  <si>
    <t>Data presentation</t>
  </si>
  <si>
    <t>Transition to HE and becoming an independent learner</t>
  </si>
  <si>
    <t>Canvas, library induction and study planning</t>
  </si>
  <si>
    <t>Finding quality evidence</t>
  </si>
  <si>
    <t>Library search challenge</t>
  </si>
  <si>
    <t>Critical reading</t>
  </si>
  <si>
    <t>Journal club activity</t>
  </si>
  <si>
    <t>Writing clinic</t>
  </si>
  <si>
    <t>Referencing and academic integrity</t>
  </si>
  <si>
    <t>Reference management workshop</t>
  </si>
  <si>
    <t>Artificial Intelligence for Learning in HE</t>
  </si>
  <si>
    <t>Prompt engineering and ethical AI workshop</t>
  </si>
  <si>
    <t>Data management (Excel)</t>
  </si>
  <si>
    <t>Excel practical</t>
  </si>
  <si>
    <t>Data visualisation</t>
  </si>
  <si>
    <t>APA tables and figures practical</t>
  </si>
  <si>
    <t>Presenting information</t>
  </si>
  <si>
    <t>Presentation coaching</t>
  </si>
  <si>
    <t>Infographics and science communication</t>
  </si>
  <si>
    <t>Canva workshop</t>
  </si>
  <si>
    <t>Feedback literacy and reflection</t>
  </si>
  <si>
    <t>Portfolio completion workshop</t>
  </si>
  <si>
    <t>5053SPS</t>
  </si>
  <si>
    <t>This module aims to develop knowledge and understanding of the role of psychology in promoting physical activity and exercise for health.</t>
  </si>
  <si>
    <t>Exercise and Health Psychology</t>
  </si>
  <si>
    <t>The exercise/physical activity landscape (e.g., physiological and psychological benefits, population differences, the type/setting of exercise/physical activity). Designing and evaluating exercise/physical activity health promotion campaigns including the use of behaviour change theories.</t>
  </si>
  <si>
    <t>Laura Thomas</t>
  </si>
  <si>
    <t>This module aims to explore psychology's role in promoting physical activity and exercise for health. It covers the exercise landscape, including its benefits and population differences, as well as the design and evaluation of health promotion campaigns using behaviour change theories.</t>
  </si>
  <si>
    <t>Analyse the relationship between physicalactivity/exercise and health (physical and psychological).</t>
  </si>
  <si>
    <t>Evaluate and apply behaviour change theories, in people living with long-term conditions, for physical activity/exercise uptake and adherence.</t>
  </si>
  <si>
    <t>Apply qualitative research skills to understanding exercise and health psychology.</t>
  </si>
  <si>
    <t>Lab Report</t>
  </si>
  <si>
    <t>Qualitative report on exercise psychology data</t>
  </si>
  <si>
    <t>Paired presentation of exercise campaign infographic</t>
  </si>
  <si>
    <t>Data analysis</t>
  </si>
  <si>
    <t>Module introduction</t>
  </si>
  <si>
    <t>Mental health and physical activity</t>
  </si>
  <si>
    <t>Technology and green exercise</t>
  </si>
  <si>
    <t>Lifespan, gender and sociocultural perspectives</t>
  </si>
  <si>
    <t>Qualitative skills in exercise and health psychology</t>
  </si>
  <si>
    <t>The dark side of exercise and physical activity</t>
  </si>
  <si>
    <t>CEW</t>
  </si>
  <si>
    <t>Designing effective health promotion campaigns</t>
  </si>
  <si>
    <t>Theories of behaviour change 1 - TRA/TPB/Self-efficacy</t>
  </si>
  <si>
    <t>Theories of behaviour change 2- TTM</t>
  </si>
  <si>
    <t>Theories of behaviour change 3- SDT</t>
  </si>
  <si>
    <t>Conclusion lecture and assignment feedforward</t>
  </si>
  <si>
    <t>SEM401</t>
  </si>
  <si>
    <t>Decision-making</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</si>
  <si>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</si>
  <si>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</si>
  <si>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</si>
  <si>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</si>
  <si>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</si>
  <si>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</si>
  <si>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</si>
  <si>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</si>
  <si>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</si>
  <si>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</si>
  <si>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</si>
  <si>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</si>
  <si>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</si>
  <si>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Revision / assessment preparation</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</si>
  <si>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</si>
  <si>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</si>
  <si>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</si>
  <si>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</si>
  <si>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</si>
  <si>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</si>
  <si>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</si>
  <si>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</si>
  <si>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YL</t>
  </si>
  <si>
    <t>Dissertation</t>
  </si>
  <si>
    <t>Research Strand</t>
  </si>
  <si>
    <t>Research Project</t>
  </si>
  <si>
    <t>Category</t>
  </si>
  <si>
    <t>Skill</t>
  </si>
  <si>
    <t>Category text shown to user</t>
  </si>
  <si>
    <t>Defined Name</t>
  </si>
  <si>
    <t>Option module</t>
  </si>
  <si>
    <t>ScientificKnowledge</t>
  </si>
  <si>
    <t>TechnicalSkills</t>
  </si>
  <si>
    <t>ApplicationofKnowledge</t>
  </si>
  <si>
    <t>UnderstandingResearch</t>
  </si>
  <si>
    <t>Reflection</t>
  </si>
  <si>
    <t>SelfEvaluation</t>
  </si>
  <si>
    <t>Football Science</t>
  </si>
  <si>
    <t>Journal</t>
  </si>
  <si>
    <t>Laboratory/clinical techniques</t>
  </si>
  <si>
    <t>Physical Education</t>
  </si>
  <si>
    <t>MCQ Online Test</t>
  </si>
  <si>
    <t>Data collection</t>
  </si>
  <si>
    <t>ProblemSolving</t>
  </si>
  <si>
    <t>Sport and Exercise Science</t>
  </si>
  <si>
    <t>MgmtSelf</t>
  </si>
  <si>
    <t>Sport Coaching</t>
  </si>
  <si>
    <t>DeliveryEnvironment</t>
  </si>
  <si>
    <t>Sport Nutrition</t>
  </si>
  <si>
    <t>ProfRelationships</t>
  </si>
  <si>
    <t>Technical proficiency</t>
  </si>
  <si>
    <t>SES and FS</t>
  </si>
  <si>
    <t>Translational practice</t>
  </si>
  <si>
    <t>SES, SC, PE</t>
  </si>
  <si>
    <t>SES and SN</t>
  </si>
  <si>
    <t>SC and PE</t>
  </si>
  <si>
    <t>Adaptability</t>
  </si>
  <si>
    <t>Risk assessment</t>
  </si>
  <si>
    <t>Self-awareness</t>
  </si>
  <si>
    <t>Lifelong learning</t>
  </si>
  <si>
    <t>Personal development planning</t>
  </si>
  <si>
    <t>Resilience</t>
  </si>
  <si>
    <t>Initiative</t>
  </si>
  <si>
    <t>Active listening</t>
  </si>
  <si>
    <t>Scientific writing</t>
  </si>
  <si>
    <t>Interpesronal communication</t>
  </si>
  <si>
    <t>Analytical thinking</t>
  </si>
  <si>
    <t>Creative thinking</t>
  </si>
  <si>
    <t>Innovation</t>
  </si>
  <si>
    <t>Coaching and mentoring</t>
  </si>
  <si>
    <t>Time management</t>
  </si>
  <si>
    <t>Delegation</t>
  </si>
  <si>
    <t>Conflict resolution</t>
  </si>
  <si>
    <t>Empathy</t>
  </si>
  <si>
    <t>Multi-tasking</t>
  </si>
  <si>
    <t>Resource management</t>
  </si>
  <si>
    <t>Organisational awareness</t>
  </si>
  <si>
    <t>Policy interpretation</t>
  </si>
  <si>
    <t>Stakeholder awareness</t>
  </si>
  <si>
    <t>Teamwork</t>
  </si>
  <si>
    <t>Collaboration/multi-disciplinary working</t>
  </si>
  <si>
    <t>Professionalism</t>
  </si>
  <si>
    <t>Cultural awareness and competence</t>
  </si>
  <si>
    <t>Integrity</t>
  </si>
  <si>
    <t>Respect</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</si>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</sst>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charset val="1"/>
    </font>
    <font>
      <sz val="11"/>
      <color rgb="FF000000"/>
      <name val="Arial"/>
      <family val="2"/>
      <charset val="1"/>
    </font>
    <font>
      <sz val="11"/>
      <color rgb="FF000000"/>
      <name val="Aptos Narrow"/>
    </font>
    <font>
      <sz val="11"/>
      <color rgb="FF000000"/>
      <name val="Aptos Narrow"/>
      <scheme val="minor"/>
    </font>
    <font>
      <sz val="11"/>
      <color theme="1"/>
      <name val="Aptos Narrow"/>
      <scheme val="minor"/>
    </font>
    <font>
      <i/>
      <sz val="11"/>
      <color rgb="FF000000"/>
      <name val="Aptos Narrow"/>
      <scheme val="minor"/>
    </font>
    <font>
      <sz val="11"/>
      <color rgb="FF000000"/>
      <name val="Aptos"/>
      <family val="2"/>
      <charset val="1"/>
    </font>
    <font>
      <sz val="11"/>
      <color theme="1"/>
      <name val="Aptos"/>
    </font>
    <font>
      <sz val="11"/>
      <color rgb="FF000000"/>
      <name val="Aptos"/>
    </font>
    <font>
      <u/>
      <sz val="11"/>
      <color theme="1"/>
      <name val="Aptos"/>
      <family val="2"/>
      <charset val="1"/>
    </font>
    <font>
      <sz val="11"/>
      <color theme="1"/>
      <name val="Aptos"/>
      <family val="2"/>
      <charset val="1"/>
    </font>
    <font>
      <u/>
      <sz val="11"/>
      <color rgb="FF000000"/>
      <name val="Aptos"/>
    </font>
    <font>
      <sz val="11"/>
      <color rgb="FF000000"/>
      <name val="Arial"/>
      <family val="2"/>
    </font>
    <font>
      <sz val="12"/>
      <color rgb="FF000000"/>
      <name val="Arial"/>
      <family val="2"/>
    </font>
    <font>
      <i/>
      <sz val="12"/>
      <color rgb="FF000000"/>
      <name val="Arial"/>
      <family val="2"/>
    </font>
    <font>
      <sz val="10"/>
      <color rgb="FF000000"/>
      <name val="Calibri"/>
      <family val="2"/>
    </font>
    <font>
      <sz val="10.5"/>
      <color theme="1"/>
      <name val="Roboto"/>
      <charset val="1"/>
    </font>
    <font>
      <sz val="9"/>
      <color rgb="FF525252"/>
      <name val="Roboto"/>
      <family val="2"/>
      <charset val="1"/>
    </font>
    <font>
      <sz val="11"/>
      <color rgb="FF525252"/>
      <name val="Aptos Narrow"/>
      <scheme val="minor"/>
    </font>
    <font>
      <sz val="12"/>
      <color theme="1"/>
      <name val="Arial"/>
      <family val="2"/>
      <charset val="1"/>
    </font>
    <font>
      <sz val="12"/>
      <color theme="1"/>
      <name val="Aptos Narrow"/>
      <family val="2"/>
      <scheme val="minor"/>
    </font>
    <font>
      <sz val="7"/>
      <color theme="1"/>
      <name val="Times New Roman"/>
      <family val="1"/>
    </font>
    <font>
      <sz val="12"/>
      <color theme="1"/>
      <name val="Symbol"/>
      <charset val="2"/>
    </font>
    <font>
      <sz val="12"/>
      <color rgb="FF000000"/>
      <name val="Aptos Display"/>
      <scheme val="major"/>
    </font>
    <font>
      <sz val="12"/>
      <color rgb="FF000000"/>
      <name val="Symbol"/>
      <charset val="2"/>
    </font>
    <font>
      <sz val="7"/>
      <color rgb="FF000000"/>
      <name val="Times New Roman"/>
      <family val="1"/>
    </font>
    <font>
      <i/>
      <sz val="11"/>
      <color theme="1"/>
      <name val="Aptos Narrow"/>
      <scheme val="minor"/>
    </font>
    <font>
      <sz val="12"/>
      <color theme="1"/>
      <name val="Calibri"/>
      <family val="2"/>
      <charset val="1"/>
    </font>
    <font>
      <sz val="11"/>
      <color rgb="FF242424"/>
      <name val="Aptos Narrow"/>
    </font>
    <font>
      <sz val="11"/>
      <color rgb="FF273540"/>
      <name val="Aptos Narrow"/>
      <scheme val="minor"/>
    </font>
    <font>
      <sz val="11"/>
      <color theme="1"/>
      <name val="Cambria"/>
      <family val="1"/>
    </font>
    <font>
      <sz val="11"/>
      <color theme="1"/>
      <name val="Symbol"/>
      <charset val="2"/>
    </font>
    <font>
      <sz val="11"/>
      <color rgb="FF525252"/>
      <name val="Roboto"/>
      <family val="2"/>
      <charset val="1"/>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rgb="FFFFFFFF"/>
        <bgColor indexed="64"/>
      </patternFill>
    </fill>
    <fill>
      <patternFill patternType="solid">
        <fgColor theme="7" tint="0.79998168889431442"/>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3">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0" borderId="0" xfId="0" applyFont="1" applyAlignment="1" applyProtection="1">
      <alignment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wrapText="1"/>
      <protection locked="0"/>
    </xf>
    <xf numFmtId="0" fontId="7" fillId="0" borderId="0" xfId="0" applyFont="1" applyAlignment="1" applyProtection="1">
      <alignment wrapText="1"/>
      <protection locked="0"/>
    </xf>
    <xf numFmtId="0" fontId="7" fillId="0" borderId="5" xfId="0" applyFont="1" applyBorder="1" applyAlignment="1" applyProtection="1">
      <alignment wrapText="1"/>
      <protection locked="0"/>
    </xf>
    <xf numFmtId="0" fontId="0" fillId="0" borderId="0" xfId="0" applyAlignment="1" applyProtection="1">
      <alignment wrapText="1"/>
      <protection locked="0"/>
    </xf>
    <xf numFmtId="0" fontId="13" fillId="5" borderId="6" xfId="0" applyFont="1" applyFill="1" applyBorder="1" applyAlignment="1" applyProtection="1">
      <alignment wrapText="1"/>
      <protection locked="0"/>
    </xf>
    <xf numFmtId="0" fontId="13" fillId="6" borderId="6" xfId="0" applyFont="1" applyFill="1" applyBorder="1" applyAlignment="1" applyProtection="1">
      <alignment wrapText="1"/>
      <protection locked="0"/>
    </xf>
    <xf numFmtId="0" fontId="14" fillId="0" borderId="0" xfId="0" applyFont="1" applyAlignment="1" applyProtection="1">
      <alignment horizontal="left" vertical="center"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8" fillId="0" borderId="0" xfId="0" applyFont="1" applyAlignment="1" applyProtection="1">
      <alignment wrapText="1"/>
      <protection locked="0"/>
    </xf>
    <xf numFmtId="0" fontId="19" fillId="0" borderId="0" xfId="0" applyFont="1" applyProtection="1">
      <protection locked="0"/>
    </xf>
    <xf numFmtId="0" fontId="21" fillId="0" borderId="0" xfId="0" applyFont="1" applyAlignment="1" applyProtection="1">
      <alignment wrapText="1"/>
      <protection locked="0"/>
    </xf>
    <xf numFmtId="0" fontId="22" fillId="0" borderId="0" xfId="0" applyFont="1" applyProtection="1">
      <protection locked="0"/>
    </xf>
    <xf numFmtId="0" fontId="23" fillId="0" borderId="0" xfId="0" applyFont="1" applyAlignment="1" applyProtection="1">
      <alignment wrapText="1"/>
      <protection locked="0"/>
    </xf>
    <xf numFmtId="0" fontId="24" fillId="0" borderId="0" xfId="0" applyFont="1" applyAlignment="1" applyProtection="1">
      <alignment wrapText="1"/>
      <protection locked="0"/>
    </xf>
    <xf numFmtId="0" fontId="25" fillId="0" borderId="0" xfId="0" applyFont="1" applyAlignment="1" applyProtection="1">
      <alignment wrapText="1"/>
      <protection locked="0"/>
    </xf>
    <xf numFmtId="0" fontId="26" fillId="0" borderId="0" xfId="0" applyFont="1" applyProtection="1">
      <protection locked="0"/>
    </xf>
    <xf numFmtId="0" fontId="27" fillId="0" borderId="0" xfId="0" applyFont="1" applyAlignment="1" applyProtection="1">
      <alignment horizontal="left" vertical="center" wrapText="1"/>
      <protection locked="0"/>
    </xf>
    <xf numFmtId="0" fontId="29" fillId="0" borderId="0" xfId="0" applyFont="1" applyProtection="1">
      <protection locked="0"/>
    </xf>
    <xf numFmtId="0" fontId="26" fillId="0" borderId="0" xfId="0" applyFont="1" applyAlignment="1" applyProtection="1">
      <alignment wrapText="1"/>
      <protection locked="0"/>
    </xf>
    <xf numFmtId="0" fontId="29" fillId="0" borderId="0" xfId="0" applyFont="1" applyAlignment="1" applyProtection="1">
      <alignment wrapText="1"/>
      <protection locked="0"/>
    </xf>
    <xf numFmtId="0" fontId="30" fillId="0" borderId="0" xfId="0" applyFont="1" applyAlignment="1" applyProtection="1">
      <alignment wrapText="1"/>
      <protection locked="0"/>
    </xf>
    <xf numFmtId="0" fontId="11" fillId="0" borderId="0" xfId="0" applyFont="1" applyProtection="1">
      <protection locked="0"/>
    </xf>
    <xf numFmtId="0" fontId="33" fillId="0" borderId="0" xfId="0" applyFont="1" applyAlignment="1" applyProtection="1">
      <alignment wrapText="1"/>
      <protection locked="0"/>
    </xf>
    <xf numFmtId="0" fontId="34" fillId="0" borderId="0" xfId="0" applyFont="1" applyProtection="1">
      <protection locked="0"/>
    </xf>
    <xf numFmtId="0" fontId="35" fillId="0" borderId="0" xfId="0" applyFont="1" applyProtection="1">
      <protection locked="0"/>
    </xf>
    <xf numFmtId="0" fontId="36" fillId="0" borderId="0" xfId="0" applyFont="1" applyProtection="1">
      <protection locked="0"/>
    </xf>
    <xf numFmtId="0" fontId="0" fillId="0" borderId="0" xfId="0" applyAlignment="1" applyProtection="1">
      <alignment horizontal="left" vertical="center"/>
      <protection locked="0"/>
    </xf>
    <xf numFmtId="0" fontId="34" fillId="0" borderId="0" xfId="0" applyFont="1" applyAlignment="1" applyProtection="1">
      <alignment wrapText="1"/>
      <protection locked="0"/>
    </xf>
    <xf numFmtId="0" fontId="38" fillId="0" borderId="0" xfId="0" applyFont="1" applyAlignment="1" applyProtection="1">
      <alignment horizontal="left" vertical="center" wrapText="1"/>
      <protection locked="0"/>
    </xf>
    <xf numFmtId="0" fontId="31" fillId="0" borderId="0" xfId="0" applyFont="1" applyAlignment="1" applyProtection="1">
      <alignment wrapText="1"/>
      <protection locked="0"/>
    </xf>
    <xf numFmtId="0" fontId="39" fillId="0" borderId="0" xfId="0" applyFont="1" applyProtection="1">
      <protection locked="0"/>
    </xf>
    <xf numFmtId="0" fontId="11" fillId="0" borderId="5" xfId="0" applyFont="1" applyBorder="1" applyProtection="1">
      <protection locked="0"/>
    </xf>
  </cellXfs>
  <cellStyles count="1">
    <cellStyle name="Normal" xfId="0" builtinId="0"/>
  </cellStyles>
  <dxfs count="495">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textRotation="0" wrapText="1" indent="0" justifyLastLine="0" shrinkToFit="0" readingOrder="0"/>
      <protection locked="0" hidden="0"/>
    </dxf>
    <dxf>
      <alignment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numFmt numFmtId="0" formatCode="General"/>
      <alignment horizontal="general" vertical="bottom" textRotation="0" wrapText="1" indent="0" justifyLastLine="0" shrinkToFit="0" readingOrder="0"/>
      <protection locked="0" hidden="0"/>
    </dxf>
    <dxf>
      <numFmt numFmtId="0" formatCode="General"/>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font>
        <sz val="11"/>
      </font>
      <alignment wrapText="1"/>
      <protection locked="0" hidden="0"/>
    </dxf>
    <dxf>
      <font>
        <sz val="11"/>
      </font>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4051SPS_Meta" displayName="_4051SPS_Meta" ref="C6:D14" totalsRowShown="0">
  <autoFilter ref="C6:D14" xr:uid="{CD75D2A7-14B1-4ABD-B64D-6E875F9BC652}">
    <filterColumn colId="0" hiddenButton="1"/>
    <filterColumn colId="1" hiddenButton="1"/>
  </autoFilter>
  <tableColumns count="2">
    <tableColumn id="1" xr3:uid="{259296C2-F94D-4D8E-8A48-375C8B32976A}" name="Module Data" dataDxfId="131"/>
    <tableColumn id="2" xr3:uid="{FBE26AB7-C871-483E-8BF5-3102A6CBA6A9}" name="Details" dataDxfId="130"/>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4051SPS_LO" displayName="_4051SPS_LO" ref="C28:D33" totalsRowShown="0" headerRowDxfId="129">
  <autoFilter ref="C28:D33" xr:uid="{22316987-6BEB-4FAF-9619-BF9BE9909CFA}">
    <filterColumn colId="0" hiddenButton="1"/>
    <filterColumn colId="1" hiddenButton="1"/>
  </autoFilter>
  <tableColumns count="2">
    <tableColumn id="1" xr3:uid="{A4A042E5-B73A-4E95-83BE-374230EAEF75}" name="LO Number" dataDxfId="128"/>
    <tableColumn id="2" xr3:uid="{4CC50DE2-34DC-4FAA-BB54-72EB81C5A918}" name="LO Description" dataDxfId="12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4051SPS_Assess" displayName="_4051SPS_Assess" ref="C37:H41" totalsRowShown="0" headerRowDxfId="12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25"/>
    <tableColumn id="2" xr3:uid="{846FFE48-B8E8-4A55-98C3-5451769A8EB5}" name="Assessment Type" dataDxfId="124"/>
    <tableColumn id="7" xr3:uid="{82AE06D6-F94C-441D-B6C3-297200BD5794}" name="Assessment Specific" dataDxfId="123"/>
    <tableColumn id="3" xr3:uid="{FEAAD1E7-46DD-4E01-9EEE-AB9037A04A09}" name="Assessment Description" dataDxfId="122"/>
    <tableColumn id="4" xr3:uid="{C4BFD846-DFE3-41AB-966C-3EFB00B2A790}" name="Weighting" dataDxfId="121"/>
    <tableColumn id="5" xr3:uid="{476F5563-CB55-4B33-88F8-D363824819FD}" name="Due Week" dataDxfId="12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4051SPS_Weekly" displayName="_405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119"/>
    <tableColumn id="2" xr3:uid="{B9620A06-7C82-4FF4-995F-02655A14B62E}" name="Week Number" dataDxfId="118"/>
    <tableColumn id="3" xr3:uid="{90BEA63A-0B10-4F26-B07B-76B2D9A73B94}" name="Weekly Content 1" dataDxfId="117"/>
    <tableColumn id="4" xr3:uid="{BA0A787E-3BAF-4419-9436-D40693419273}" name="Weekly Content 2" dataDxfId="116"/>
    <tableColumn id="5" xr3:uid="{3E95C25D-5EE2-483B-B9C6-B69D6222BD63}" name="Weekly Content 3" dataDxfId="115"/>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4051SPS_Hours" displayName="_4051SPS_Hours" ref="C18:D24" totalsRowShown="0">
  <autoFilter ref="C18:D24" xr:uid="{B71A3569-AA65-4A4E-98A2-885F5C38B46D}">
    <filterColumn colId="0" hiddenButton="1"/>
    <filterColumn colId="1" hiddenButton="1"/>
  </autoFilter>
  <tableColumns count="2">
    <tableColumn id="1" xr3:uid="{17D1F957-8C58-47BC-9BD8-09011C101FC1}" name="Component" dataDxfId="114"/>
    <tableColumn id="2" xr3:uid="{F76831A8-1692-44D6-9D6D-3D5E7EBE7CB7}" name="Contact Hours" dataDxfId="1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4051SPS_Mapping" displayName="_4051SPS_Mapping" ref="C45:F56" totalsRowShown="0" headerRowDxfId="112" dataDxfId="111">
  <autoFilter ref="C45:F5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110"/>
    <tableColumn id="2" xr3:uid="{AFA09957-495C-47A6-9409-B82CF20C9FEE}" name="LO Number" dataDxfId="109"/>
    <tableColumn id="3" xr3:uid="{4A6EF506-39E0-4A77-AB9A-A419A13B11BA}" name="Graduate Skills Category" dataDxfId="108"/>
    <tableColumn id="4" xr3:uid="{1CC8553E-650D-4CC9-BCBD-8A5C77CF26BC}" name="Graduate Skill" dataDxfId="107"/>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4051SPS_Aims" displayName="_4051SPS_Aims" ref="F6:F8" totalsRowShown="0" dataDxfId="106">
  <autoFilter ref="F6:F8" xr:uid="{9552138F-2332-4BC4-A585-0E13162881A5}"/>
  <tableColumns count="1">
    <tableColumn id="1" xr3:uid="{8B84DA76-C73A-484B-AB85-93CE53A85FF5}" name="Aims" dataDxfId="105"/>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4051SPS_Syllabus" displayName="_4051SPS_Syllabus" ref="F10:F13" totalsRowShown="0" dataDxfId="104">
  <autoFilter ref="F10:F13" xr:uid="{94F18F67-3F10-4F6E-A953-4FE3399B07F2}"/>
  <tableColumns count="1">
    <tableColumn id="1" xr3:uid="{7BB23C35-AB5C-4E42-B2E9-C41B68F5AF1F}" name="Outline Syllabus" dataDxfId="103"/>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4051SPS_Overview" displayName="_4051SPS_Overview" ref="F15:F20" totalsRowShown="0" dataDxfId="102">
  <autoFilter ref="F15:F20" xr:uid="{1B2BCD7B-6C15-4B1C-86BC-48FF83D8F225}"/>
  <tableColumns count="1">
    <tableColumn id="1" xr3:uid="{A7EAB096-E6DB-40BE-B37B-256679A7DD5C}" name="Module Overview" dataDxfId="101"/>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4051SPS_Notes" displayName="_4051SPS_Notes" ref="F22:F33" totalsRowShown="0" dataDxfId="100">
  <autoFilter ref="F22:F33" xr:uid="{D5968C0A-6D7E-4221-87EE-78A85A4039B3}"/>
  <tableColumns count="1">
    <tableColumn id="1" xr3:uid="{C72ADE2C-BCB8-499B-B1B7-EDB3A3B2FE5B}" name="Additional Information/Notes" dataDxfId="99"/>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4052SPS_Meta" displayName="_4052SPS_Meta" ref="C6:D14" totalsRowShown="0">
  <autoFilter ref="C6:D14" xr:uid="{CD75D2A7-14B1-4ABD-B64D-6E875F9BC652}">
    <filterColumn colId="0" hiddenButton="1"/>
    <filterColumn colId="1" hiddenButton="1"/>
  </autoFilter>
  <tableColumns count="2">
    <tableColumn id="1" xr3:uid="{5D38FCD1-7A3F-4025-AC69-E6A90C68A79E}" name="Module Data" dataDxfId="362"/>
    <tableColumn id="2" xr3:uid="{ACE861FD-0C1D-4D19-A0A8-AC83427FA81A}" name="Details" dataDxfId="361"/>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4052SPS_LO" displayName="_4052SPS_LO" ref="C28:D33" totalsRowShown="0" headerRowDxfId="360">
  <autoFilter ref="C28:D33" xr:uid="{22316987-6BEB-4FAF-9619-BF9BE9909CFA}">
    <filterColumn colId="0" hiddenButton="1"/>
    <filterColumn colId="1" hiddenButton="1"/>
  </autoFilter>
  <tableColumns count="2">
    <tableColumn id="1" xr3:uid="{92FDE3DF-EAC0-4CA6-A5B4-E15BAAC4A01D}" name="LO Number" dataDxfId="359"/>
    <tableColumn id="2" xr3:uid="{A384CFCB-55B0-46B7-AF9A-FAAC6022096A}" name="LO Description" dataDxfId="35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4052SPS_Assess" displayName="_4052SPS_Assess" ref="C37:H41" totalsRowShown="0" headerRowDxfId="35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56"/>
    <tableColumn id="2" xr3:uid="{390EF809-FA62-405F-B84C-B2AD571CEBAA}" name="Assessment Type" dataDxfId="355"/>
    <tableColumn id="7" xr3:uid="{2B1618E6-AA98-4A15-AE0C-79993F1BAFB7}" name="Assessment Specific" dataDxfId="354"/>
    <tableColumn id="3" xr3:uid="{138C3352-0967-40A6-A5BE-4B32DEC01ACB}" name="Assessment Description" dataDxfId="353"/>
    <tableColumn id="4" xr3:uid="{F4B4B6BF-3460-42E3-849C-1BBE242E83C3}" name="Weighting" dataDxfId="352"/>
    <tableColumn id="5" xr3:uid="{E52307F9-F56A-42FC-9A76-6A630F2C5B71}" name="Due Week" dataDxfId="35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4052SPS_Weekly" displayName="_405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50"/>
    <tableColumn id="2" xr3:uid="{1B7B234D-0DD9-4913-9C62-18CC4E0FD5D6}" name="Week Number" dataDxfId="349"/>
    <tableColumn id="3" xr3:uid="{FDA6287D-7D09-41DC-96F1-E9BCD4B11D2E}" name="Weekly Content 1" dataDxfId="348"/>
    <tableColumn id="4" xr3:uid="{C104D628-2E09-432B-BC7A-B7E29838D1BD}" name="Weekly Content 2" dataDxfId="347"/>
    <tableColumn id="5" xr3:uid="{6CD950CC-83A5-4FD3-93FC-B284F6F6350E}" name="Weekly Content 3" dataDxfId="346"/>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4052SPS_Hours" displayName="_4052SPS_Hours" ref="C18:D24" totalsRowShown="0">
  <autoFilter ref="C18:D24" xr:uid="{B71A3569-AA65-4A4E-98A2-885F5C38B46D}">
    <filterColumn colId="0" hiddenButton="1"/>
    <filterColumn colId="1" hiddenButton="1"/>
  </autoFilter>
  <tableColumns count="2">
    <tableColumn id="1" xr3:uid="{27F817B7-6395-4976-9120-60D5C9775BA5}" name="Component" dataDxfId="345"/>
    <tableColumn id="2" xr3:uid="{D9B68E50-AFDD-4B94-80F2-BAB157C2FF40}" name="Contact Hours" dataDxfId="34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4052SPS_Mapping" displayName="_4052SPS_Mapping" ref="C45:F56" totalsRowShown="0" headerRowDxfId="343" dataDxfId="342">
  <autoFilter ref="C45:F5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41"/>
    <tableColumn id="2" xr3:uid="{CF29F699-8C1A-4AC4-A563-FCBB128AC8F3}" name="LO Number" dataDxfId="340"/>
    <tableColumn id="3" xr3:uid="{B1082C18-E8C1-42F9-B74D-584EBA4A0A39}" name="Graduate Skills Category" dataDxfId="339"/>
    <tableColumn id="4" xr3:uid="{BD6D6488-ABFD-45B6-B06F-748690280986}" name="Graduate Skill" dataDxfId="338"/>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4052SPS_Aims" displayName="_4052SPS_Aims" ref="F6:F8" totalsRowShown="0" dataDxfId="337">
  <autoFilter ref="F6:F8" xr:uid="{9552138F-2332-4BC4-A585-0E13162881A5}"/>
  <tableColumns count="1">
    <tableColumn id="1" xr3:uid="{E2B338AF-53C9-469A-B45D-DF4BE4CCBDD0}" name="Aims" dataDxfId="336"/>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4052SPS_Syllabus" displayName="_4052SPS_Syllabus" ref="F10:F13" totalsRowShown="0" dataDxfId="335">
  <autoFilter ref="F10:F13" xr:uid="{94F18F67-3F10-4F6E-A953-4FE3399B07F2}"/>
  <tableColumns count="1">
    <tableColumn id="1" xr3:uid="{0B585185-EFA9-44AB-A953-91DF09E1C8F4}" name="Outline Syllabus" dataDxfId="334"/>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4052SPS_Overview" displayName="_4052SPS_Overview" ref="F15:F20" totalsRowShown="0" dataDxfId="333">
  <autoFilter ref="F15:F20" xr:uid="{1B2BCD7B-6C15-4B1C-86BC-48FF83D8F225}"/>
  <tableColumns count="1">
    <tableColumn id="1" xr3:uid="{8DA5C005-FC9F-4CBE-A281-B2B92A53526A}" name="Module Overview" dataDxfId="332"/>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4052SPS_Notes" displayName="_4052SPS_Notes" ref="F22:F33" totalsRowShown="0" dataDxfId="331">
  <autoFilter ref="F22:F33" xr:uid="{D5968C0A-6D7E-4221-87EE-78A85A4039B3}"/>
  <tableColumns count="1">
    <tableColumn id="1" xr3:uid="{D67854B5-D179-408B-A477-7F6E3033D84B}" name="Additional Information/Notes" dataDxfId="330"/>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4053SPS_Meta" displayName="_4053SPS_Meta" ref="C6:D14" totalsRowShown="0">
  <autoFilter ref="C6:D14" xr:uid="{CD75D2A7-14B1-4ABD-B64D-6E875F9BC652}">
    <filterColumn colId="0" hiddenButton="1"/>
    <filterColumn colId="1" hiddenButton="1"/>
  </autoFilter>
  <tableColumns count="2">
    <tableColumn id="1" xr3:uid="{7833E623-ED87-40CE-93D2-B78B6A7D7E94}" name="Module Data" dataDxfId="296"/>
    <tableColumn id="2" xr3:uid="{0659839B-A1DA-4204-9267-1A4CC295A6EF}" name="Details" dataDxfId="295"/>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4053SPS_LO" displayName="_4053SPS_LO" ref="C28:D33" totalsRowShown="0" headerRowDxfId="294">
  <autoFilter ref="C28:D33" xr:uid="{22316987-6BEB-4FAF-9619-BF9BE9909CFA}">
    <filterColumn colId="0" hiddenButton="1"/>
    <filterColumn colId="1" hiddenButton="1"/>
  </autoFilter>
  <tableColumns count="2">
    <tableColumn id="1" xr3:uid="{FEDC5FCD-23F6-4532-A565-C979DFEE6452}" name="LO Number" dataDxfId="293"/>
    <tableColumn id="2" xr3:uid="{1F64A8B9-B360-490C-BD12-64A29F9CF82F}" name="LO Description" dataDxfId="29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4053SPS_Assess" displayName="_4053SPS_Assess" ref="C37:H41" totalsRowShown="0" headerRowDxfId="2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90"/>
    <tableColumn id="2" xr3:uid="{0FE47FA8-B999-4405-B49D-E106E82A7509}" name="Assessment Type" dataDxfId="289"/>
    <tableColumn id="7" xr3:uid="{61D6D411-EDDD-4962-A754-A4B5EEB96263}" name="Assessment Specific" dataDxfId="288"/>
    <tableColumn id="3" xr3:uid="{1A288D47-FFDF-4BA0-94F1-9B647BE04DCC}" name="Assessment Description" dataDxfId="287"/>
    <tableColumn id="4" xr3:uid="{ED08857B-A938-490D-9B30-962DE64252AB}" name="Weighting" dataDxfId="286"/>
    <tableColumn id="5" xr3:uid="{581E13F4-4545-426B-8995-08E09758F5CB}" name="Due Week" dataDxfId="285"/>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4053SPS_Weekly" displayName="_405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84"/>
    <tableColumn id="2" xr3:uid="{BED16F5A-D8C5-4300-A763-C0065F48E598}" name="Week Number" dataDxfId="283"/>
    <tableColumn id="3" xr3:uid="{1C3278D5-9F89-43C0-84A5-ACE6AE3BF8C8}" name="Weekly Content 1" dataDxfId="282"/>
    <tableColumn id="4" xr3:uid="{8ADEF497-35DC-4945-B42C-DCA4C8DB67C9}" name="Weekly Content 2" dataDxfId="281"/>
    <tableColumn id="5" xr3:uid="{E6B69E39-A78E-4994-8E8F-40C76F0002A1}" name="Weekly Content 3" dataDxfId="280"/>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4053SPS_Hours" displayName="_4053SPS_Hours" ref="C18:D24" totalsRowShown="0">
  <autoFilter ref="C18:D24" xr:uid="{B71A3569-AA65-4A4E-98A2-885F5C38B46D}">
    <filterColumn colId="0" hiddenButton="1"/>
    <filterColumn colId="1" hiddenButton="1"/>
  </autoFilter>
  <tableColumns count="2">
    <tableColumn id="1" xr3:uid="{2FFE33E1-E3D8-499A-B70C-70494FCFC11F}" name="Component" dataDxfId="279"/>
    <tableColumn id="2" xr3:uid="{D8D74B7C-DED1-4107-9D9B-A69709137AF1}" name="Contact Hours" dataDxfId="27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4053SPS_Mapping" displayName="_4053SPS_Mapping" ref="C45:F56" totalsRowShown="0" headerRowDxfId="277" dataDxfId="276">
  <autoFilter ref="C45:F5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75"/>
    <tableColumn id="2" xr3:uid="{3DE98FE2-3138-46D6-BD99-F2FB47042775}" name="LO Number" dataDxfId="274"/>
    <tableColumn id="3" xr3:uid="{810A03D8-C153-4962-9C3C-D761D27C4A3F}" name="Graduate Skills Category" dataDxfId="273"/>
    <tableColumn id="4" xr3:uid="{C3B0D1F6-1274-4ED1-9705-01F40BB1E2F2}" name="Graduate Skill" dataDxfId="272"/>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4053SPS_Aims" displayName="_4053SPS_Aims" ref="F6:F8" totalsRowShown="0" dataDxfId="271">
  <autoFilter ref="F6:F8" xr:uid="{9552138F-2332-4BC4-A585-0E13162881A5}"/>
  <tableColumns count="1">
    <tableColumn id="1" xr3:uid="{C445F0C7-61B3-46CB-A56F-67D79AE54D5C}" name="Aims" dataDxfId="270"/>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4053SPS_Syllabus" displayName="_4053SPS_Syllabus" ref="F10:F13" totalsRowShown="0" dataDxfId="269">
  <autoFilter ref="F10:F13" xr:uid="{94F18F67-3F10-4F6E-A953-4FE3399B07F2}"/>
  <tableColumns count="1">
    <tableColumn id="1" xr3:uid="{CAABEA9D-6FBF-459A-AD97-585A17318A01}" name="Outline Syllabus" dataDxfId="268"/>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4053SPS_Overview" displayName="_4053SPS_Overview" ref="F15:F20" totalsRowShown="0" dataDxfId="267">
  <autoFilter ref="F15:F20" xr:uid="{1B2BCD7B-6C15-4B1C-86BC-48FF83D8F225}"/>
  <tableColumns count="1">
    <tableColumn id="1" xr3:uid="{A14625FC-0807-41B3-BEF3-09E7E979EFED}" name="Module Overview" dataDxfId="266"/>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4053SPS_Notes" displayName="_4053SPS_Notes" ref="F22:F33" totalsRowShown="0" dataDxfId="265">
  <autoFilter ref="F22:F33" xr:uid="{D5968C0A-6D7E-4221-87EE-78A85A4039B3}"/>
  <tableColumns count="1">
    <tableColumn id="1" xr3:uid="{0F69CA79-BA33-4E25-8FA9-233F7FC95036}" name="Additional Information/Notes" dataDxfId="264"/>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4054SPS_Meta" displayName="_4054SPS_Meta" ref="C6:D14" totalsRowShown="0">
  <autoFilter ref="C6:D14" xr:uid="{CD75D2A7-14B1-4ABD-B64D-6E875F9BC652}">
    <filterColumn colId="0" hiddenButton="1"/>
    <filterColumn colId="1" hiddenButton="1"/>
  </autoFilter>
  <tableColumns count="2">
    <tableColumn id="1" xr3:uid="{F75C39EB-FA62-46B2-BBD7-C15273288588}" name="Module Data" dataDxfId="65"/>
    <tableColumn id="2" xr3:uid="{AFAD978E-7AB7-41A9-B9E1-ABF4834D59E6}" name="Details" dataDxfId="64"/>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4054SPS_LO" displayName="_4054SPS_LO" ref="C28:D33" totalsRowShown="0" headerRowDxfId="63">
  <autoFilter ref="C28:D33" xr:uid="{22316987-6BEB-4FAF-9619-BF9BE9909CFA}">
    <filterColumn colId="0" hiddenButton="1"/>
    <filterColumn colId="1" hiddenButton="1"/>
  </autoFilter>
  <tableColumns count="2">
    <tableColumn id="1" xr3:uid="{03889838-3692-4CDB-B3C9-843AC2EB8510}" name="LO Number" dataDxfId="62"/>
    <tableColumn id="2" xr3:uid="{EBF4F997-F685-4171-8E33-10C81A9AA6BD}" name="LO Description" dataDxfId="61"/>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4054SPS_Assess" displayName="_4054SPS_Assess" ref="C37:H41" totalsRowShown="0" headerRowDxfId="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59"/>
    <tableColumn id="2" xr3:uid="{154AA898-EB51-423F-971E-2D54E7AE168D}" name="Assessment Type" dataDxfId="58"/>
    <tableColumn id="7" xr3:uid="{9983984E-B1DF-4F0D-9268-C2C69B7257DE}" name="Assessment Specific" dataDxfId="57"/>
    <tableColumn id="3" xr3:uid="{7393D08E-D15D-482F-94F5-3955E2087F8B}" name="Assessment Description" dataDxfId="56"/>
    <tableColumn id="4" xr3:uid="{A7B8D88B-748B-437A-9A1C-F9ED211ABF56}" name="Weighting" dataDxfId="55"/>
    <tableColumn id="5" xr3:uid="{79ED1616-9922-40C9-8AED-68B6819817F9}" name="Due Week" dataDxfId="54"/>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4054SPS_Weekly" displayName="_405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53"/>
    <tableColumn id="2" xr3:uid="{FFEC1971-8BF4-44B8-BD5C-805779F987C9}" name="Week Number" dataDxfId="52"/>
    <tableColumn id="3" xr3:uid="{A9F5297B-ACA7-4D9D-842B-9A24FD16BA05}" name="Weekly Content 1" dataDxfId="51"/>
    <tableColumn id="4" xr3:uid="{B96BEEEA-7F39-4C28-9F20-2E7BAC5D76C4}" name="Weekly Content 2" dataDxfId="50"/>
    <tableColumn id="5" xr3:uid="{6D853DE2-8A0D-4998-B49D-5DECC81696CA}" name="Weekly Content 3" dataDxfId="49"/>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4054SPS_Hours" displayName="_4054SPS_Hours" ref="C18:D24" totalsRowShown="0">
  <autoFilter ref="C18:D24" xr:uid="{B71A3569-AA65-4A4E-98A2-885F5C38B46D}">
    <filterColumn colId="0" hiddenButton="1"/>
    <filterColumn colId="1" hiddenButton="1"/>
  </autoFilter>
  <tableColumns count="2">
    <tableColumn id="1" xr3:uid="{E1F6A0CE-A0D1-484E-806D-5F1EE294F6C5}" name="Component" dataDxfId="48"/>
    <tableColumn id="2" xr3:uid="{C29C0E16-5D02-4470-B9A3-F33C24B509D3}" name="Contact Hours" dataDxfId="47"/>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4054SPS_Mapping" displayName="_4054SPS_Mapping" ref="C45:F56" totalsRowShown="0" headerRowDxfId="46" dataDxfId="45">
  <autoFilter ref="C45:F5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44"/>
    <tableColumn id="2" xr3:uid="{9CB0238A-1328-4A0D-AAE2-50C376C7235C}" name="LO Number" dataDxfId="43"/>
    <tableColumn id="3" xr3:uid="{96B6D864-B246-4570-9A1C-3387C1ABD880}" name="Graduate Skills Category" dataDxfId="42"/>
    <tableColumn id="4" xr3:uid="{D00C4D9A-F418-40FC-AB6A-A84F0B2A9E4C}" name="Graduate Skill" dataDxfId="41"/>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4054SPS_Aims" displayName="_4054SPS_Aims" ref="F6:F8" totalsRowShown="0" dataDxfId="40">
  <autoFilter ref="F6:F8" xr:uid="{9552138F-2332-4BC4-A585-0E13162881A5}"/>
  <tableColumns count="1">
    <tableColumn id="1" xr3:uid="{31A9816E-6125-4BB1-B024-023BC57E4CF3}" name="Aims" dataDxfId="39"/>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4054SPS_Syllabus" displayName="_4054SPS_Syllabus" ref="F10:F13" totalsRowShown="0" dataDxfId="38">
  <autoFilter ref="F10:F13" xr:uid="{94F18F67-3F10-4F6E-A953-4FE3399B07F2}"/>
  <tableColumns count="1">
    <tableColumn id="1" xr3:uid="{6A2A3EA9-0D72-4A0E-A2B5-FF641EDBA034}" name="Outline Syllabus" dataDxfId="37"/>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4054SPS_Overview" displayName="_4054SPS_Overview" ref="F15:F20" totalsRowShown="0" dataDxfId="36">
  <autoFilter ref="F15:F20" xr:uid="{1B2BCD7B-6C15-4B1C-86BC-48FF83D8F225}"/>
  <tableColumns count="1">
    <tableColumn id="1" xr3:uid="{3ECD395E-FA33-4C57-93BB-6A0232B1FB84}" name="Module Overview" dataDxfId="35"/>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4054SPS_Notes" displayName="_4054SPS_Notes" ref="F22:F33" totalsRowShown="0" dataDxfId="34">
  <autoFilter ref="F22:F33" xr:uid="{D5968C0A-6D7E-4221-87EE-78A85A4039B3}"/>
  <tableColumns count="1">
    <tableColumn id="1" xr3:uid="{7082D249-848A-49C3-8DF4-B67EE67DF58C}" name="Additional Information/Notes" dataDxfId="33"/>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4093SPS_Meta" displayName="_4093SPS_Meta" ref="C6:D14" totalsRowShown="0">
  <autoFilter ref="C6:D14" xr:uid="{CD75D2A7-14B1-4ABD-B64D-6E875F9BC652}">
    <filterColumn colId="0" hiddenButton="1"/>
    <filterColumn colId="1" hiddenButton="1"/>
  </autoFilter>
  <tableColumns count="2">
    <tableColumn id="1" xr3:uid="{4312B193-D095-44A4-B0FA-8864AE0BCBEF}" name="Module Data" dataDxfId="230"/>
    <tableColumn id="2" xr3:uid="{4F08D2F7-88F2-4061-857B-CBAD6623F570}" name="Details" dataDxfId="229"/>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4093SPS_LO" displayName="_4093SPS_LO" ref="C28:D33" totalsRowShown="0" headerRowDxfId="228">
  <autoFilter ref="C28:D33" xr:uid="{22316987-6BEB-4FAF-9619-BF9BE9909CFA}">
    <filterColumn colId="0" hiddenButton="1"/>
    <filterColumn colId="1" hiddenButton="1"/>
  </autoFilter>
  <tableColumns count="2">
    <tableColumn id="1" xr3:uid="{87282965-A2DA-4B4E-8D06-98090F28BEEF}" name="LO Number" dataDxfId="227"/>
    <tableColumn id="2" xr3:uid="{5860F21B-133F-4A88-A61B-07CF39BC7E21}" name="LO Description" dataDxfId="226"/>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4093SPS_Assess" displayName="_4093SPS_Assess" ref="C37:H41" totalsRowShown="0" headerRowDxfId="22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24"/>
    <tableColumn id="2" xr3:uid="{02E86080-DD71-4108-821B-E566F188DEA2}" name="Assessment Type" dataDxfId="223"/>
    <tableColumn id="7" xr3:uid="{47CA01EB-2FAC-4F47-BB5B-4ACF9B64B490}" name="Assessment Specific" dataDxfId="222"/>
    <tableColumn id="3" xr3:uid="{FBD48AF8-7B7F-4162-9266-C7CCFD60F0E7}" name="Assessment Description" dataDxfId="221"/>
    <tableColumn id="4" xr3:uid="{B1C6A884-1B35-475C-8890-451E2B62B45B}" name="Weighting" dataDxfId="220"/>
    <tableColumn id="5" xr3:uid="{52275FFC-C744-424D-9DA8-F4384F058801}" name="Due Week" dataDxfId="219"/>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4093SPS_Weekly" displayName="_409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18"/>
    <tableColumn id="2" xr3:uid="{F2C231FA-6829-4DDE-AADC-3E8FA43A1138}" name="Week Number" dataDxfId="217"/>
    <tableColumn id="3" xr3:uid="{BF2905C5-0007-47A2-850C-6A3A59009B1B}" name="Weekly Content 1" dataDxfId="216"/>
    <tableColumn id="4" xr3:uid="{87E349A9-C7DB-4B62-AE2D-73DF6FE87FF2}" name="Weekly Content 2" dataDxfId="215"/>
    <tableColumn id="5" xr3:uid="{9335E186-D4FA-4BC9-96F6-48CA2E66C8B8}" name="Weekly Content 3" dataDxfId="214"/>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4093SPS_Hours" displayName="_4093SPS_Hours" ref="C18:D24" totalsRowShown="0">
  <autoFilter ref="C18:D24" xr:uid="{B71A3569-AA65-4A4E-98A2-885F5C38B46D}">
    <filterColumn colId="0" hiddenButton="1"/>
    <filterColumn colId="1" hiddenButton="1"/>
  </autoFilter>
  <tableColumns count="2">
    <tableColumn id="1" xr3:uid="{9CDDC04F-6E44-4B1D-B2F7-BCFB91288FF8}" name="Component" dataDxfId="213"/>
    <tableColumn id="2" xr3:uid="{0A78BA71-0A43-4908-AD5D-EAD433A8F0CB}" name="Contact Hours" dataDxfId="2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4093SPS_Mapping" displayName="_4093SPS_Mapping" ref="C45:F56" totalsRowShown="0" headerRowDxfId="211" dataDxfId="210">
  <autoFilter ref="C45:F5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09"/>
    <tableColumn id="2" xr3:uid="{38F835BE-5EB1-4FFA-8259-BEB6E39C8FA1}" name="LO Number" dataDxfId="208"/>
    <tableColumn id="3" xr3:uid="{C6B979A3-0E5A-464F-B5CD-CBA3047E98BE}" name="Graduate Skills Category" dataDxfId="207"/>
    <tableColumn id="4" xr3:uid="{2D7AD4B8-14A9-4533-A3C6-5E7125BAACC7}" name="Graduate Skill" dataDxfId="206"/>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4093SPS_Aims" displayName="_4093SPS_Aims" ref="F6:F8" totalsRowShown="0" dataDxfId="205">
  <autoFilter ref="F6:F8" xr:uid="{9552138F-2332-4BC4-A585-0E13162881A5}"/>
  <tableColumns count="1">
    <tableColumn id="1" xr3:uid="{9E1F2909-CE11-40D2-90E4-0F2548AB10B2}" name="Aims" dataDxfId="204"/>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4093SPS_Syllabus" displayName="_4093SPS_Syllabus" ref="F10:F13" totalsRowShown="0" dataDxfId="203">
  <autoFilter ref="F10:F13" xr:uid="{94F18F67-3F10-4F6E-A953-4FE3399B07F2}"/>
  <tableColumns count="1">
    <tableColumn id="1" xr3:uid="{454BC257-77E7-4C9C-B231-D65E8EE20325}" name="Outline Syllabus" dataDxfId="202"/>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4093SPS_Overview" displayName="_4093SPS_Overview" ref="F15:F20" totalsRowShown="0" dataDxfId="201">
  <autoFilter ref="F15:F20" xr:uid="{1B2BCD7B-6C15-4B1C-86BC-48FF83D8F225}"/>
  <tableColumns count="1">
    <tableColumn id="1" xr3:uid="{D37E1C0D-C9AF-4C78-BCFF-8B2CE993F50A}" name="Module Overview" dataDxfId="200"/>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4093SPS_Notes" displayName="_4093SPS_Notes" ref="F22:F33" totalsRowShown="0" dataDxfId="199">
  <autoFilter ref="F22:F33" xr:uid="{D5968C0A-6D7E-4221-87EE-78A85A4039B3}"/>
  <tableColumns count="1">
    <tableColumn id="1" xr3:uid="{E8342C1A-2B62-4E1C-B80B-B12917066000}" name="Additional Information/Notes" dataDxfId="198"/>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5051SPS_Meta" displayName="_5051SPS_Meta" ref="C6:D14" totalsRowShown="0">
  <autoFilter ref="C6:D14" xr:uid="{CD75D2A7-14B1-4ABD-B64D-6E875F9BC652}">
    <filterColumn colId="0" hiddenButton="1"/>
    <filterColumn colId="1" hiddenButton="1"/>
  </autoFilter>
  <tableColumns count="2">
    <tableColumn id="1" xr3:uid="{070BBF13-BA41-4DE1-A713-FB0E8630711C}" name="Module Data" dataDxfId="98"/>
    <tableColumn id="2" xr3:uid="{0E3F0926-B28A-4EA7-AAE9-E35BEC0A4DF5}" name="Details" dataDxfId="97"/>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5051SPS_LO" displayName="_5051SPS_LO" ref="C28:D33" totalsRowShown="0" headerRowDxfId="96">
  <autoFilter ref="C28:D33" xr:uid="{22316987-6BEB-4FAF-9619-BF9BE9909CFA}">
    <filterColumn colId="0" hiddenButton="1"/>
    <filterColumn colId="1" hiddenButton="1"/>
  </autoFilter>
  <tableColumns count="2">
    <tableColumn id="1" xr3:uid="{6088F306-C9B4-4ED7-9EEC-A674129ECCC9}" name="LO Number" dataDxfId="95"/>
    <tableColumn id="2" xr3:uid="{43834854-BE01-444E-8E1C-AE64963B358A}" name="LO Description" dataDxfId="94"/>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5051SPS_Assess" displayName="_5051SPS_Assess" ref="C37:H41" totalsRowShown="0" headerRowDxfId="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92"/>
    <tableColumn id="2" xr3:uid="{E2407AF6-3C98-4FD1-B31B-CB85A955F2E3}" name="Assessment Type" dataDxfId="91"/>
    <tableColumn id="7" xr3:uid="{803004E8-4057-430E-BD7F-E6A122487416}" name="Assessment Specific" dataDxfId="90"/>
    <tableColumn id="3" xr3:uid="{E82EABFF-0858-4F25-A741-AD63FC636934}" name="Assessment Description" dataDxfId="89"/>
    <tableColumn id="4" xr3:uid="{C435B8B1-D65F-4F43-8C3B-45550CBDD4FC}" name="Weighting" dataDxfId="88"/>
    <tableColumn id="5" xr3:uid="{03FBD12C-63B3-45F3-8CCB-172C1C96BB7E}" name="Due Week" dataDxfId="87"/>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5051SPS_Weekly" displayName="_505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86"/>
    <tableColumn id="2" xr3:uid="{0DEEBD8D-895D-4DB2-9CAB-767B56867428}" name="Week Number" dataDxfId="85"/>
    <tableColumn id="3" xr3:uid="{7E2D8092-2899-4612-BA2F-D50BF49F0F02}" name="Weekly Content 1" dataDxfId="84"/>
    <tableColumn id="4" xr3:uid="{543E0828-8F90-405C-8DC4-A27DEA150475}" name="Weekly Content 2" dataDxfId="83"/>
    <tableColumn id="5" xr3:uid="{CFCB0F41-D4BE-4456-B805-D7551BF9E83C}" name="Weekly Content 3" dataDxfId="82"/>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5051SPS_Hours" displayName="_5051SPS_Hours" ref="C18:D24" totalsRowShown="0">
  <autoFilter ref="C18:D24" xr:uid="{B71A3569-AA65-4A4E-98A2-885F5C38B46D}">
    <filterColumn colId="0" hiddenButton="1"/>
    <filterColumn colId="1" hiddenButton="1"/>
  </autoFilter>
  <tableColumns count="2">
    <tableColumn id="1" xr3:uid="{A95790DB-8258-4803-8284-4A4A89FC1A81}" name="Component" dataDxfId="81"/>
    <tableColumn id="2" xr3:uid="{F8CDBB8B-28A2-40B8-8AB1-6707537C499B}" name="Contact Hours" dataDxfId="80"/>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5051SPS_Mapping" displayName="_5051SPS_Mapping" ref="C45:F56" totalsRowShown="0" headerRowDxfId="79" dataDxfId="78">
  <autoFilter ref="C45:F5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77"/>
    <tableColumn id="2" xr3:uid="{0A9CFE48-B3C3-4D3C-9F56-3062488E96D8}" name="LO Number" dataDxfId="76"/>
    <tableColumn id="3" xr3:uid="{F14AC592-27AF-4E15-B730-92515D2D5861}" name="Graduate Skills Category" dataDxfId="75"/>
    <tableColumn id="4" xr3:uid="{33BA90E8-AAD8-435C-9AC1-A549EDBF7228}" name="Graduate Skill" dataDxfId="74"/>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5051SPS_Aims" displayName="_5051SPS_Aims" ref="F6:F8" totalsRowShown="0" dataDxfId="73">
  <autoFilter ref="F6:F8" xr:uid="{9552138F-2332-4BC4-A585-0E13162881A5}"/>
  <tableColumns count="1">
    <tableColumn id="1" xr3:uid="{95B55738-9EA9-42EF-9542-C1E475114357}" name="Aims" dataDxfId="7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5051SPS_Syllabus" displayName="_5051SPS_Syllabus" ref="F10:F13" totalsRowShown="0" dataDxfId="71">
  <autoFilter ref="F10:F13" xr:uid="{94F18F67-3F10-4F6E-A953-4FE3399B07F2}"/>
  <tableColumns count="1">
    <tableColumn id="1" xr3:uid="{773F3BC1-153C-4CA9-9626-F7014E9C09FC}" name="Outline Syllabus" dataDxfId="70"/>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5051SPS_Overview" displayName="_5051SPS_Overview" ref="F15:F20" totalsRowShown="0" dataDxfId="69">
  <autoFilter ref="F15:F20" xr:uid="{1B2BCD7B-6C15-4B1C-86BC-48FF83D8F225}"/>
  <tableColumns count="1">
    <tableColumn id="1" xr3:uid="{5AB497BE-0287-4B15-828E-068ECF632096}" name="Module Overview" dataDxfId="68"/>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5051SPS_Notes" displayName="_5051SPS_Notes" ref="F22:F33" totalsRowShown="0" dataDxfId="67">
  <autoFilter ref="F22:F33" xr:uid="{D5968C0A-6D7E-4221-87EE-78A85A4039B3}"/>
  <tableColumns count="1">
    <tableColumn id="1" xr3:uid="{050403C8-321F-4DA4-B6C6-73EFBF9C2B3A}" name="Additional Information/Notes" dataDxfId="66"/>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5052SPS_Meta" displayName="_5052SPS_Meta" ref="C6:D14" totalsRowShown="0">
  <autoFilter ref="C6:D14" xr:uid="{CD75D2A7-14B1-4ABD-B64D-6E875F9BC652}">
    <filterColumn colId="0" hiddenButton="1"/>
    <filterColumn colId="1" hiddenButton="1"/>
  </autoFilter>
  <tableColumns count="2">
    <tableColumn id="1" xr3:uid="{EB65BA05-1DE9-4FD7-BDBD-BDE47DF298A4}" name="Module Data" dataDxfId="197"/>
    <tableColumn id="2" xr3:uid="{310F2A93-D88D-4CC8-AC0C-C016B97380F6}" name="Details" dataDxfId="196"/>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5052SPS_LO" displayName="_5052SPS_LO" ref="C28:D33" totalsRowShown="0" headerRowDxfId="195">
  <autoFilter ref="C28:D33" xr:uid="{22316987-6BEB-4FAF-9619-BF9BE9909CFA}">
    <filterColumn colId="0" hiddenButton="1"/>
    <filterColumn colId="1" hiddenButton="1"/>
  </autoFilter>
  <tableColumns count="2">
    <tableColumn id="1" xr3:uid="{2DA2E0DF-8487-4F48-AD57-6C8EF1F6A824}" name="LO Number" dataDxfId="194"/>
    <tableColumn id="2" xr3:uid="{5F671E3D-DB5F-4A86-A8E8-215D497F640F}" name="LO Description" dataDxfId="193"/>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5052SPS_Assess" displayName="_5052SPS_Assess" ref="C37:H41" totalsRowShown="0" headerRowDxfId="19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91"/>
    <tableColumn id="2" xr3:uid="{99037CEE-E227-4DE7-AC0C-42C69784F090}" name="Assessment Type" dataDxfId="190"/>
    <tableColumn id="7" xr3:uid="{EE90A0B1-86AF-42EC-AB37-5E98D709E3E4}" name="Assessment Specific" dataDxfId="189"/>
    <tableColumn id="3" xr3:uid="{8B0C1721-2FDC-4C1A-AECE-975C6F1434A1}" name="Assessment Description" dataDxfId="188"/>
    <tableColumn id="4" xr3:uid="{876D72EC-520F-497B-8AC7-6AF0A5409783}" name="Weighting" dataDxfId="187"/>
    <tableColumn id="5" xr3:uid="{31A1A910-0DF5-428E-806F-6E026C606C3B}" name="Due Week" dataDxfId="186"/>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5052SPS_Weekly" displayName="_505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85"/>
    <tableColumn id="2" xr3:uid="{8C49AFEC-B460-42E3-B373-FC0AB260F379}" name="Week Number" dataDxfId="184"/>
    <tableColumn id="3" xr3:uid="{A81B53B3-7EE2-4FDF-9110-0A8C17CA27E0}" name="Weekly Content 1" dataDxfId="183"/>
    <tableColumn id="4" xr3:uid="{362C63E5-C442-416C-9DB4-4F34D3EDDEF3}" name="Weekly Content 2" dataDxfId="182"/>
    <tableColumn id="5" xr3:uid="{E3C14089-4743-4CA8-9480-E777866BAF64}" name="Weekly Content 3" dataDxfId="181"/>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5052SPS_Hours" displayName="_5052SPS_Hours" ref="C18:D24" totalsRowShown="0">
  <autoFilter ref="C18:D24" xr:uid="{B71A3569-AA65-4A4E-98A2-885F5C38B46D}">
    <filterColumn colId="0" hiddenButton="1"/>
    <filterColumn colId="1" hiddenButton="1"/>
  </autoFilter>
  <tableColumns count="2">
    <tableColumn id="1" xr3:uid="{7C918E81-2521-4CC2-B784-37E43EEC3CDD}" name="Component" dataDxfId="180"/>
    <tableColumn id="2" xr3:uid="{0D2A69D7-E2F7-4C5C-8E4D-714C66054E76}" name="Contact Hours" dataDxfId="179"/>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5052SPS_Mapping" displayName="_5052SPS_Mapping" ref="C45:F56" totalsRowShown="0" headerRowDxfId="178" dataDxfId="177">
  <autoFilter ref="C45:F5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76"/>
    <tableColumn id="2" xr3:uid="{8D3D6147-F8A2-4D54-BC97-772B8CE44EA3}" name="LO Number" dataDxfId="175"/>
    <tableColumn id="3" xr3:uid="{C41D8ED0-797F-45E8-B847-5F5796F9B51E}" name="Graduate Skills Category" dataDxfId="174"/>
    <tableColumn id="4" xr3:uid="{28997C86-0364-497D-A258-1C7BA682BCAA}" name="Graduate Skill" dataDxfId="173"/>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5052SPS_Aims" displayName="_5052SPS_Aims" ref="F6:F8" totalsRowShown="0" dataDxfId="172">
  <autoFilter ref="F6:F8" xr:uid="{9552138F-2332-4BC4-A585-0E13162881A5}"/>
  <tableColumns count="1">
    <tableColumn id="1" xr3:uid="{3E728AAA-21E1-43D6-98EC-781D610D5B5C}" name="Aims" dataDxfId="171"/>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5052SPS_Syllabus" displayName="_5052SPS_Syllabus" ref="F10:F13" totalsRowShown="0" dataDxfId="170">
  <autoFilter ref="F10:F13" xr:uid="{94F18F67-3F10-4F6E-A953-4FE3399B07F2}"/>
  <tableColumns count="1">
    <tableColumn id="1" xr3:uid="{CAFF733E-EEBF-4C10-ACD1-A6DDCD33C63A}" name="Outline Syllabus" dataDxfId="169"/>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5052SPS_Overview" displayName="_5052SPS_Overview" ref="F15:F20" totalsRowShown="0" dataDxfId="168">
  <autoFilter ref="F15:F20" xr:uid="{1B2BCD7B-6C15-4B1C-86BC-48FF83D8F225}"/>
  <tableColumns count="1">
    <tableColumn id="1" xr3:uid="{3D131B43-1A6C-42C4-B635-F81D00AEF103}" name="Module Overview" dataDxfId="167"/>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5052SPS_Notes" displayName="_5052SPS_Notes" ref="F22:F33" totalsRowShown="0" dataDxfId="166">
  <autoFilter ref="F22:F33" xr:uid="{D5968C0A-6D7E-4221-87EE-78A85A4039B3}"/>
  <tableColumns count="1">
    <tableColumn id="1" xr3:uid="{DBD01D3B-64A5-4A59-96FF-8858AB682507}" name="Additional Information/Notes" dataDxfId="165"/>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5053SPS_Meta" displayName="_5053SPS_Meta" ref="C6:D14" totalsRowShown="0">
  <autoFilter ref="C6:D14" xr:uid="{CD75D2A7-14B1-4ABD-B64D-6E875F9BC652}">
    <filterColumn colId="0" hiddenButton="1"/>
    <filterColumn colId="1" hiddenButton="1"/>
  </autoFilter>
  <tableColumns count="2">
    <tableColumn id="1" xr3:uid="{B946128C-97AA-429A-BFB7-14DA62D23F93}" name="Module Data" dataDxfId="494"/>
    <tableColumn id="2" xr3:uid="{9E5B10EF-821C-4302-A35D-3F36AB2362C9}" name="Details" dataDxfId="493"/>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5053SPS_LO" displayName="_5053SPS_LO" ref="C28:D33" totalsRowShown="0" headerRowDxfId="492">
  <autoFilter ref="C28:D33" xr:uid="{22316987-6BEB-4FAF-9619-BF9BE9909CFA}">
    <filterColumn colId="0" hiddenButton="1"/>
    <filterColumn colId="1" hiddenButton="1"/>
  </autoFilter>
  <tableColumns count="2">
    <tableColumn id="1" xr3:uid="{3806001B-7A24-4470-B13B-816824C48A87}" name="LO Number" dataDxfId="491"/>
    <tableColumn id="2" xr3:uid="{D801C621-044F-4B79-AEEF-83CB123A3537}" name="LO Description" dataDxfId="490"/>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5053SPS_Assess" displayName="_5053SPS_Assess" ref="C37:H41" totalsRowShown="0" headerRowDxfId="48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488"/>
    <tableColumn id="2" xr3:uid="{64354A91-AE63-4D1E-BE94-8BE1D1CC7A59}" name="Assessment Type" dataDxfId="487"/>
    <tableColumn id="7" xr3:uid="{530A1FC8-EA43-41F4-BFFD-95021CCF673E}" name="Assessment Specific" dataDxfId="486"/>
    <tableColumn id="3" xr3:uid="{D7982B35-955C-4EF8-8FFF-272E5115BF74}" name="Assessment Description" dataDxfId="485"/>
    <tableColumn id="4" xr3:uid="{3D5D5D25-1897-4307-B2B9-AB9926C0783C}" name="Weighting" dataDxfId="484"/>
    <tableColumn id="5" xr3:uid="{41F93229-30BA-4DE4-BA85-1B8D0C842BE7}" name="Due Week" dataDxfId="483"/>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5053SPS_Weekly" displayName="_505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482"/>
    <tableColumn id="2" xr3:uid="{6B27DC11-3985-495E-B86E-D8AEE2E81BAF}" name="Week Number" dataDxfId="481"/>
    <tableColumn id="3" xr3:uid="{B399D5B9-AB04-4B80-8627-ADE3E5852A07}" name="Weekly Content 1" dataDxfId="480"/>
    <tableColumn id="4" xr3:uid="{F9B22473-EB7D-423C-B21A-CD3C0CD2604C}" name="Weekly Content 2" dataDxfId="479"/>
    <tableColumn id="5" xr3:uid="{BDB725C3-96D9-443B-8128-47286ADCA89C}" name="Weekly Content 3" dataDxfId="478"/>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5053SPS_Hours" displayName="_5053SPS_Hours" ref="C18:D24" totalsRowShown="0">
  <autoFilter ref="C18:D24" xr:uid="{B71A3569-AA65-4A4E-98A2-885F5C38B46D}">
    <filterColumn colId="0" hiddenButton="1"/>
    <filterColumn colId="1" hiddenButton="1"/>
  </autoFilter>
  <tableColumns count="2">
    <tableColumn id="1" xr3:uid="{157B6D45-69F3-4709-8CC3-C24641471D5F}" name="Component" dataDxfId="477"/>
    <tableColumn id="2" xr3:uid="{99B73441-0316-4CCD-B0C7-06884A8A7754}" name="Contact Hours" dataDxfId="476"/>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5053SPS_Mapping" displayName="_5053SPS_Mapping" ref="C45:F56" totalsRowShown="0" headerRowDxfId="475" dataDxfId="474">
  <autoFilter ref="C45:F5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473"/>
    <tableColumn id="2" xr3:uid="{EF2FFCFD-E58D-4443-B708-BCE0D7EB93E1}" name="LO Number" dataDxfId="472"/>
    <tableColumn id="3" xr3:uid="{8E20D7DD-0908-49BF-87A5-AB3FCB98D85C}" name="Graduate Skills Category" dataDxfId="471"/>
    <tableColumn id="4" xr3:uid="{C5033368-6F6A-4D25-8F22-ECB65757E12D}" name="Graduate Skill" dataDxfId="470"/>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5053SPS_Aims" displayName="_5053SPS_Aims" ref="F6:F8" totalsRowShown="0" dataDxfId="469">
  <autoFilter ref="F6:F8" xr:uid="{9552138F-2332-4BC4-A585-0E13162881A5}"/>
  <tableColumns count="1">
    <tableColumn id="1" xr3:uid="{95683184-77D7-4D5F-B6CD-76493CDECA59}" name="Aims" dataDxfId="468"/>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5053SPS_Syllabus" displayName="_5053SPS_Syllabus" ref="F10:F13" totalsRowShown="0" dataDxfId="467">
  <autoFilter ref="F10:F13" xr:uid="{94F18F67-3F10-4F6E-A953-4FE3399B07F2}"/>
  <tableColumns count="1">
    <tableColumn id="1" xr3:uid="{5EEDAB62-FC71-46AD-86A7-2D7304C83206}" name="Outline Syllabus" dataDxfId="466"/>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5053SPS_Overview" displayName="_5053SPS_Overview" ref="F15:F20" totalsRowShown="0" dataDxfId="465">
  <autoFilter ref="F15:F20" xr:uid="{1B2BCD7B-6C15-4B1C-86BC-48FF83D8F225}"/>
  <tableColumns count="1">
    <tableColumn id="1" xr3:uid="{0DC5DF41-105A-41BF-AF39-34EA66DFB865}" name="Module Overview" dataDxfId="464"/>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5053SPS_Notes" displayName="_5053SPS_Notes" ref="F22:F33" totalsRowShown="0" dataDxfId="463">
  <autoFilter ref="F22:F33" xr:uid="{D5968C0A-6D7E-4221-87EE-78A85A4039B3}"/>
  <tableColumns count="1">
    <tableColumn id="1" xr3:uid="{38D613A6-4794-4339-B091-D4F707A1828F}" name="Additional Information/Notes" dataDxfId="462"/>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5054SPS_Meta" displayName="_5054SPS_Meta" ref="C6:D14" totalsRowShown="0">
  <autoFilter ref="C6:D14" xr:uid="{CD75D2A7-14B1-4ABD-B64D-6E875F9BC652}">
    <filterColumn colId="0" hiddenButton="1"/>
    <filterColumn colId="1" hiddenButton="1"/>
  </autoFilter>
  <tableColumns count="2">
    <tableColumn id="1" xr3:uid="{644E4444-F68A-4E74-BD5D-8748CD05A7D2}" name="Module Data" dataDxfId="395"/>
    <tableColumn id="2" xr3:uid="{AF6CCCE6-633B-4669-B570-EB4F893B50C4}" name="Details" dataDxfId="394"/>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5054SPS_LO" displayName="_5054SPS_LO" ref="C28:D33" totalsRowShown="0" headerRowDxfId="393">
  <autoFilter ref="C28:D33" xr:uid="{22316987-6BEB-4FAF-9619-BF9BE9909CFA}">
    <filterColumn colId="0" hiddenButton="1"/>
    <filterColumn colId="1" hiddenButton="1"/>
  </autoFilter>
  <tableColumns count="2">
    <tableColumn id="1" xr3:uid="{589112ED-5C99-4CD7-912A-F216AEC245F3}" name="LO Number" dataDxfId="392"/>
    <tableColumn id="2" xr3:uid="{D42319CA-BEAF-49C8-8EC7-B45F24386E7A}" name="LO Description" dataDxfId="391"/>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5054SPS_Assess" displayName="_5054SPS_Assess" ref="C37:H41" totalsRowShown="0" headerRowDxfId="39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89"/>
    <tableColumn id="2" xr3:uid="{0C168E40-BC62-40F7-8494-D9D585BBF5DD}" name="Assessment Type" dataDxfId="388"/>
    <tableColumn id="7" xr3:uid="{03042C7C-BE5A-4EDB-B18A-F162688CAFDA}" name="Assessment Specific" dataDxfId="387"/>
    <tableColumn id="3" xr3:uid="{B536E57C-91CB-491F-8850-5E1F4FFB6EC2}" name="Assessment Description" dataDxfId="386"/>
    <tableColumn id="4" xr3:uid="{CFEF4DCA-7026-4AB8-9930-965F672B21EC}" name="Weighting" dataDxfId="385"/>
    <tableColumn id="5" xr3:uid="{268A91DF-58B1-43BF-A340-0E1D33705BAA}" name="Due Week" dataDxfId="384"/>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5054SPS_Weekly" displayName="_505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83"/>
    <tableColumn id="2" xr3:uid="{916AD303-2708-4E40-8E0C-DE9D347BA8EA}" name="Week Number" dataDxfId="382"/>
    <tableColumn id="3" xr3:uid="{66580F8A-FF82-4503-9EBF-1B44DD45F9F5}" name="Weekly Content 1" dataDxfId="381"/>
    <tableColumn id="4" xr3:uid="{5E6D35EA-634F-45B1-8A96-068CB99E3BA7}" name="Weekly Content 2" dataDxfId="380"/>
    <tableColumn id="5" xr3:uid="{25F8B45E-A68A-40F6-AADD-D3228D0F228B}" name="Weekly Content 3" dataDxfId="379"/>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5054SPS_Hours" displayName="_5054SPS_Hours" ref="C18:D24" totalsRowShown="0">
  <autoFilter ref="C18:D24" xr:uid="{B71A3569-AA65-4A4E-98A2-885F5C38B46D}">
    <filterColumn colId="0" hiddenButton="1"/>
    <filterColumn colId="1" hiddenButton="1"/>
  </autoFilter>
  <tableColumns count="2">
    <tableColumn id="1" xr3:uid="{E6DA5AB3-0374-477C-BB37-91CD5B04A8A7}" name="Component" dataDxfId="378"/>
    <tableColumn id="2" xr3:uid="{25171EA2-F360-4480-9A69-30F0637E5E19}" name="Contact Hours" dataDxfId="377"/>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5054SPS_Mapping" displayName="_5054SPS_Mapping" ref="C45:F56" totalsRowShown="0" headerRowDxfId="376" dataDxfId="375">
  <autoFilter ref="C45:F5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74"/>
    <tableColumn id="2" xr3:uid="{220CCF7F-D01D-41B9-83FA-AB3772B56C47}" name="LO Number" dataDxfId="373"/>
    <tableColumn id="3" xr3:uid="{35876AFA-8C5D-4EB6-A40B-8013521A5A47}" name="Graduate Skills Category" dataDxfId="372"/>
    <tableColumn id="4" xr3:uid="{8CC8B0ED-B11D-43C6-AB11-C69764FE383C}" name="Graduate Skill" dataDxfId="371"/>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5054SPS_Aims" displayName="_5054SPS_Aims" ref="F6:F8" totalsRowShown="0" dataDxfId="370">
  <autoFilter ref="F6:F8" xr:uid="{9552138F-2332-4BC4-A585-0E13162881A5}"/>
  <tableColumns count="1">
    <tableColumn id="1" xr3:uid="{17C9A3A3-D0C1-421C-8D52-32617D054C2E}" name="Aims" dataDxfId="369"/>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5054SPS_Syllabus" displayName="_5054SPS_Syllabus" ref="F10:F13" totalsRowShown="0" dataDxfId="368">
  <autoFilter ref="F10:F13" xr:uid="{94F18F67-3F10-4F6E-A953-4FE3399B07F2}"/>
  <tableColumns count="1">
    <tableColumn id="1" xr3:uid="{D7FF23A0-D568-4D96-9868-A6319DCE887A}" name="Outline Syllabus" dataDxfId="367"/>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5054SPS_Overview" displayName="_5054SPS_Overview" ref="F15:F20" totalsRowShown="0" dataDxfId="366">
  <autoFilter ref="F15:F20" xr:uid="{1B2BCD7B-6C15-4B1C-86BC-48FF83D8F225}"/>
  <tableColumns count="1">
    <tableColumn id="1" xr3:uid="{E558D902-00D8-4FEB-8431-38F38D3FD8C5}" name="Module Overview" dataDxfId="365"/>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5054SPS_Notes" displayName="_5054SPS_Notes" ref="F22:F33" totalsRowShown="0" dataDxfId="364">
  <autoFilter ref="F22:F33" xr:uid="{D5968C0A-6D7E-4221-87EE-78A85A4039B3}"/>
  <tableColumns count="1">
    <tableColumn id="1" xr3:uid="{C6EF2F48-EFDC-40BF-8A10-F2C80BC78705}" name="Additional Information/Notes" dataDxfId="363"/>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093SPS_Meta" displayName="_5093SPS_Meta" ref="C6:D14" totalsRowShown="0">
  <autoFilter ref="C6:D14" xr:uid="{CD75D2A7-14B1-4ABD-B64D-6E875F9BC652}">
    <filterColumn colId="0" hiddenButton="1"/>
    <filterColumn colId="1" hiddenButton="1"/>
  </autoFilter>
  <tableColumns count="2">
    <tableColumn id="1" xr3:uid="{29D4E0BE-5C0F-4EF3-BF95-85E95BCEF890}" name="Module Data" dataDxfId="164"/>
    <tableColumn id="2" xr3:uid="{8CF62EB8-FFB4-436A-9EE3-575FDB15387F}" name="Details" dataDxfId="163"/>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093SPS_LO" displayName="_5093SPS_LO" ref="C28:D33" totalsRowShown="0" headerRowDxfId="162">
  <autoFilter ref="C28:D33" xr:uid="{22316987-6BEB-4FAF-9619-BF9BE9909CFA}">
    <filterColumn colId="0" hiddenButton="1"/>
    <filterColumn colId="1" hiddenButton="1"/>
  </autoFilter>
  <tableColumns count="2">
    <tableColumn id="1" xr3:uid="{ABACB5F8-1C23-4668-B7BA-EF2517F6F237}" name="LO Number" dataDxfId="161"/>
    <tableColumn id="2" xr3:uid="{16EFEC94-FB26-48E6-A1CD-F272E329A036}" name="LO Description" dataDxfId="160"/>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093SPS_Assess" displayName="_5093SPS_Assess" ref="C37:H41" totalsRowShown="0" headerRowDxfId="15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58"/>
    <tableColumn id="2" xr3:uid="{2BC12B11-B6CF-4E7C-B492-9E71A2A4DCFC}" name="Assessment Type" dataDxfId="157"/>
    <tableColumn id="7" xr3:uid="{F22466C0-E91B-4130-82AB-931BDD5DAFD5}" name="Assessment Specific" dataDxfId="156"/>
    <tableColumn id="3" xr3:uid="{A2D2688F-0CD2-442B-B2C4-399FA320B460}" name="Assessment Description" dataDxfId="155"/>
    <tableColumn id="4" xr3:uid="{9C3172F4-207C-490E-A1A4-3782CCE0F62E}" name="Weighting" dataDxfId="154"/>
    <tableColumn id="5" xr3:uid="{5D552087-F8C1-4DC6-AB58-461CAA57A675}" name="Due Week" dataDxfId="153"/>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093SPS_Weekly" displayName="_509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52"/>
    <tableColumn id="2" xr3:uid="{C3767A97-7DDC-4C9C-BAA0-36AD5C496EEE}" name="Week Number" dataDxfId="151"/>
    <tableColumn id="3" xr3:uid="{ECEBB099-0848-4BF9-A0F1-A91B05144BDE}" name="Weekly Content 1" dataDxfId="150"/>
    <tableColumn id="4" xr3:uid="{C2073020-3A29-4533-9629-7F40A8DD2B8B}" name="Weekly Content 2" dataDxfId="149"/>
    <tableColumn id="5" xr3:uid="{6345D17D-CE7F-4BE7-9354-5B3222EE1FDE}" name="Weekly Content 3" dataDxfId="148"/>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093SPS_Hours" displayName="_5093SPS_Hours" ref="C18:D24" totalsRowShown="0">
  <autoFilter ref="C18:D24" xr:uid="{B71A3569-AA65-4A4E-98A2-885F5C38B46D}">
    <filterColumn colId="0" hiddenButton="1"/>
    <filterColumn colId="1" hiddenButton="1"/>
  </autoFilter>
  <tableColumns count="2">
    <tableColumn id="1" xr3:uid="{B46B0870-C95C-4D4E-B01A-05CA40485288}" name="Component" dataDxfId="147"/>
    <tableColumn id="2" xr3:uid="{A34E191B-0F4D-40A9-98C4-DFC5C0ED5B03}" name="Contact Hours" dataDxfId="14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093SPS_Mapping" displayName="_5093SPS_Mapping" ref="C45:F56" totalsRowShown="0" headerRowDxfId="145" dataDxfId="144">
  <autoFilter ref="C45:F5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43"/>
    <tableColumn id="2" xr3:uid="{D948967E-B1D8-422E-BC05-E5DE64BFE116}" name="LO Number" dataDxfId="142"/>
    <tableColumn id="3" xr3:uid="{41BBFD1D-FBB9-4518-8884-EB40901F4694}" name="Graduate Skills Category" dataDxfId="141"/>
    <tableColumn id="4" xr3:uid="{913662D7-6EF1-491B-A990-50699C27238F}" name="Graduate Skill" dataDxfId="140"/>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093SPS_Aims" displayName="_5093SPS_Aims" ref="F6:F8" totalsRowShown="0" dataDxfId="139">
  <autoFilter ref="F6:F8" xr:uid="{9552138F-2332-4BC4-A585-0E13162881A5}"/>
  <tableColumns count="1">
    <tableColumn id="1" xr3:uid="{2CF6523F-40A9-456F-8FAA-4363371E379D}" name="Aims" dataDxfId="138"/>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093SPS_Syllabus" displayName="_5093SPS_Syllabus" ref="F10:F13" totalsRowShown="0" dataDxfId="137">
  <autoFilter ref="F10:F13" xr:uid="{94F18F67-3F10-4F6E-A953-4FE3399B07F2}"/>
  <tableColumns count="1">
    <tableColumn id="1" xr3:uid="{5BDD719A-56F8-4CFB-8C2B-B09D9EFEEBC9}" name="Outline Syllabus" dataDxfId="136"/>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093SPS_Overview" displayName="_5093SPS_Overview" ref="F15:F20" totalsRowShown="0" dataDxfId="135">
  <autoFilter ref="F15:F20" xr:uid="{1B2BCD7B-6C15-4B1C-86BC-48FF83D8F225}"/>
  <tableColumns count="1">
    <tableColumn id="1" xr3:uid="{6FA2E212-5F86-4DAE-AF6E-5A52409DCB13}" name="Module Overview" dataDxfId="134"/>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093SPS_Notes" displayName="_5093SPS_Notes" ref="F22:F33" totalsRowShown="0" dataDxfId="133">
  <autoFilter ref="F22:F33" xr:uid="{D5968C0A-6D7E-4221-87EE-78A85A4039B3}"/>
  <tableColumns count="1">
    <tableColumn id="1" xr3:uid="{8FE8F154-AB86-4DDE-9840-555725F99393}" name="Additional Information/Notes" dataDxfId="132"/>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6051SPS_Meta" displayName="_6051SPS_Meta" ref="C6:D14" totalsRowShown="0">
  <autoFilter ref="C6:D14" xr:uid="{CD75D2A7-14B1-4ABD-B64D-6E875F9BC652}">
    <filterColumn colId="0" hiddenButton="1"/>
    <filterColumn colId="1" hiddenButton="1"/>
  </autoFilter>
  <tableColumns count="2">
    <tableColumn id="1" xr3:uid="{7B568BCE-928C-447D-BD05-0832B97C0D72}" name="Module Data" dataDxfId="461"/>
    <tableColumn id="2" xr3:uid="{706D7CC6-0EB1-4219-8291-567821A0A5B8}" name="Details" dataDxfId="460"/>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6051SPS_LO" displayName="_6051SPS_LO" ref="C28:D33" totalsRowShown="0" headerRowDxfId="459">
  <autoFilter ref="C28:D33" xr:uid="{22316987-6BEB-4FAF-9619-BF9BE9909CFA}">
    <filterColumn colId="0" hiddenButton="1"/>
    <filterColumn colId="1" hiddenButton="1"/>
  </autoFilter>
  <tableColumns count="2">
    <tableColumn id="1" xr3:uid="{C19B4674-B83E-4A42-A7E5-5468C8752F20}" name="LO Number" dataDxfId="458"/>
    <tableColumn id="2" xr3:uid="{78F135DA-0213-417E-88FD-2F76325B6D58}" name="LO Description" dataDxfId="457"/>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6051SPS_Assess" displayName="_6051SPS_Assess" ref="C37:H41" totalsRowShown="0" headerRowDxfId="45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455"/>
    <tableColumn id="2" xr3:uid="{43E55016-0B24-4AE6-8341-2CF6FE45EFE0}" name="Assessment Type" dataDxfId="454"/>
    <tableColumn id="7" xr3:uid="{74FB69C4-57FE-4D4F-92C7-425CCB32340D}" name="Assessment Specific" dataDxfId="453"/>
    <tableColumn id="3" xr3:uid="{F392CA10-65BB-49CE-8FEA-065DB3B1250A}" name="Assessment Description" dataDxfId="452"/>
    <tableColumn id="4" xr3:uid="{63105FFB-71CB-4889-BE3D-BA168F2B1D15}" name="Weighting" dataDxfId="451"/>
    <tableColumn id="5" xr3:uid="{942301B1-78DA-47AC-B487-4A82010FBC22}" name="Due Week" dataDxfId="450"/>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6051SPS_Weekly" displayName="_605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449"/>
    <tableColumn id="2" xr3:uid="{D37085D6-4B13-4E18-BF1D-72E1D211C5E2}" name="Week Number" dataDxfId="448"/>
    <tableColumn id="3" xr3:uid="{E63B3791-EF8C-42D0-9D20-9E40C6780395}" name="Weekly Content 1" dataDxfId="447"/>
    <tableColumn id="4" xr3:uid="{B1BA8E95-AF48-472D-8022-4FFD3C39E6FD}" name="Weekly Content 2" dataDxfId="446"/>
    <tableColumn id="5" xr3:uid="{77ED77D2-DF2D-4913-862F-82B54D142645}" name="Weekly Content 3" dataDxfId="445"/>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6051SPS_Hours" displayName="_6051SPS_Hours" ref="C18:D24" totalsRowShown="0">
  <autoFilter ref="C18:D24" xr:uid="{B71A3569-AA65-4A4E-98A2-885F5C38B46D}">
    <filterColumn colId="0" hiddenButton="1"/>
    <filterColumn colId="1" hiddenButton="1"/>
  </autoFilter>
  <tableColumns count="2">
    <tableColumn id="1" xr3:uid="{A4027C00-55EA-4E91-A17F-FC7D936AA12D}" name="Component" dataDxfId="444"/>
    <tableColumn id="2" xr3:uid="{2B461470-C937-400F-A861-E1EF437460FC}" name="Contact Hours" dataDxfId="44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6051SPS_Mapping" displayName="_6051SPS_Mapping" ref="C45:F56" totalsRowShown="0" headerRowDxfId="442" dataDxfId="441">
  <autoFilter ref="C45:F5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440"/>
    <tableColumn id="2" xr3:uid="{01ED9B44-AD4B-499E-8D3C-3B9247E57323}" name="LO Number" dataDxfId="439"/>
    <tableColumn id="3" xr3:uid="{D52384A9-63E3-4ABE-86FB-4619A06E02AF}" name="Graduate Skills Category" dataDxfId="438"/>
    <tableColumn id="4" xr3:uid="{B45DCF04-04F9-4B36-A81D-CEBACC18D2E8}" name="Graduate Skill" dataDxfId="437"/>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6051SPS_Aims" displayName="_6051SPS_Aims" ref="F6:F8" totalsRowShown="0" dataDxfId="436">
  <autoFilter ref="F6:F8" xr:uid="{9552138F-2332-4BC4-A585-0E13162881A5}"/>
  <tableColumns count="1">
    <tableColumn id="1" xr3:uid="{00C11AD8-5667-494A-85B4-23C210D1B918}" name="Aims" dataDxfId="435"/>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6051SPS_Syllabus" displayName="_6051SPS_Syllabus" ref="F10:F13" totalsRowShown="0" dataDxfId="434">
  <autoFilter ref="F10:F13" xr:uid="{94F18F67-3F10-4F6E-A953-4FE3399B07F2}"/>
  <tableColumns count="1">
    <tableColumn id="1" xr3:uid="{8917F32D-2D78-4B3C-93BA-03E82057EA4B}" name="Outline Syllabus" dataDxfId="433"/>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6051SPS_Overview" displayName="_6051SPS_Overview" ref="F15:F20" totalsRowShown="0" dataDxfId="432">
  <autoFilter ref="F15:F20" xr:uid="{1B2BCD7B-6C15-4B1C-86BC-48FF83D8F225}"/>
  <tableColumns count="1">
    <tableColumn id="1" xr3:uid="{B53F9EDB-3125-4C5C-A219-EFA16F274EFC}" name="Module Overview" dataDxfId="431"/>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6051SPS_Notes" displayName="_6051SPS_Notes" ref="F22:F33" totalsRowShown="0" dataDxfId="430">
  <autoFilter ref="F22:F33" xr:uid="{D5968C0A-6D7E-4221-87EE-78A85A4039B3}"/>
  <tableColumns count="1">
    <tableColumn id="1" xr3:uid="{2E1C0BC3-8EFB-4AA5-A23B-DEAB35C7DEA7}" name="Additional Information/Notes" dataDxfId="429"/>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052SPS_Meta" displayName="_6052SPS_Meta" ref="C6:D14" totalsRowShown="0">
  <autoFilter ref="C6:D14" xr:uid="{CD75D2A7-14B1-4ABD-B64D-6E875F9BC652}">
    <filterColumn colId="0" hiddenButton="1"/>
    <filterColumn colId="1" hiddenButton="1"/>
  </autoFilter>
  <tableColumns count="2">
    <tableColumn id="1" xr3:uid="{DC5E8FB2-F1EF-4C76-ADAD-8DF1D4236058}" name="Module Data" dataDxfId="263"/>
    <tableColumn id="2" xr3:uid="{3CEC4644-C90E-484A-BB04-BC7E2522484B}" name="Details" dataDxfId="262"/>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052SPS_LO" displayName="_6052SPS_LO" ref="C28:D33" totalsRowShown="0" headerRowDxfId="261">
  <autoFilter ref="C28:D33" xr:uid="{22316987-6BEB-4FAF-9619-BF9BE9909CFA}">
    <filterColumn colId="0" hiddenButton="1"/>
    <filterColumn colId="1" hiddenButton="1"/>
  </autoFilter>
  <tableColumns count="2">
    <tableColumn id="1" xr3:uid="{96E1C0A4-F310-4104-877A-16C95A9DF8F8}" name="LO Number" dataDxfId="260"/>
    <tableColumn id="2" xr3:uid="{5193B932-1BB4-4665-BB60-1094CB27D2FB}" name="LO Description" dataDxfId="259"/>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052SPS_Assess" displayName="_6052SPS_Assess" ref="C37:H41" totalsRowShown="0" headerRowDxfId="2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57"/>
    <tableColumn id="2" xr3:uid="{F6CC8F23-24C9-49E1-A7E1-F0C42C5E4062}" name="Assessment Type" dataDxfId="256"/>
    <tableColumn id="7" xr3:uid="{23445359-B102-481A-9626-644EC1147971}" name="Assessment Specific" dataDxfId="255"/>
    <tableColumn id="3" xr3:uid="{09F68760-DB1D-47DA-9C3B-991E85819122}" name="Assessment Description" dataDxfId="254"/>
    <tableColumn id="4" xr3:uid="{9C4EFAF0-0549-4906-AB40-C8046612A4D0}" name="Weighting" dataDxfId="253"/>
    <tableColumn id="5" xr3:uid="{6867F2EF-8B96-4C7F-A3F0-4AD115D6B611}" name="Due Week" dataDxfId="252"/>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052SPS_Weekly" displayName="_605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51"/>
    <tableColumn id="2" xr3:uid="{3DC0D0B8-ED93-4FAA-ACD1-6A257B8D7D8B}" name="Week Number" dataDxfId="250"/>
    <tableColumn id="3" xr3:uid="{396A1CD9-0EA8-4576-AC19-41A37C40C78C}" name="Weekly Content 1" dataDxfId="249"/>
    <tableColumn id="4" xr3:uid="{27E6FFD2-4BB2-4380-B643-929F8059E10C}" name="Weekly Content 2" dataDxfId="248"/>
    <tableColumn id="5" xr3:uid="{5D410880-EC3B-476E-B727-61773B3F1720}" name="Weekly Content 3" dataDxfId="247"/>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052SPS_Hours" displayName="_6052SPS_Hours" ref="C18:D24" totalsRowShown="0">
  <autoFilter ref="C18:D24" xr:uid="{B71A3569-AA65-4A4E-98A2-885F5C38B46D}">
    <filterColumn colId="0" hiddenButton="1"/>
    <filterColumn colId="1" hiddenButton="1"/>
  </autoFilter>
  <tableColumns count="2">
    <tableColumn id="1" xr3:uid="{50ADF208-83C1-48D5-9F5C-65E697F266B7}" name="Component" dataDxfId="246"/>
    <tableColumn id="2" xr3:uid="{1EADC3A3-1557-4323-A40A-C84AEA0F188A}" name="Contact Hours" dataDxfId="245"/>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052SPS_Mapping" displayName="_6052SPS_Mapping" ref="C45:F56" totalsRowShown="0" headerRowDxfId="244" dataDxfId="243">
  <autoFilter ref="C45:F5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42"/>
    <tableColumn id="2" xr3:uid="{162D175A-F572-46B3-8399-9FF334864C28}" name="LO Number" dataDxfId="241"/>
    <tableColumn id="3" xr3:uid="{4B8F87D6-8076-4256-870F-FFB0D542729A}" name="Graduate Skills Category" dataDxfId="240"/>
    <tableColumn id="4" xr3:uid="{3DB5254F-E5B1-45EA-B3FC-772579673F08}" name="Graduate Skill" dataDxfId="239"/>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052SPS_Aims" displayName="_6052SPS_Aims" ref="F6:F8" totalsRowShown="0" dataDxfId="238">
  <autoFilter ref="F6:F8" xr:uid="{9552138F-2332-4BC4-A585-0E13162881A5}"/>
  <tableColumns count="1">
    <tableColumn id="1" xr3:uid="{D5911F00-3A12-4884-94FA-2461F2E6A773}" name="Aims" dataDxfId="237"/>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052SPS_Syllabus" displayName="_6052SPS_Syllabus" ref="F10:F13" totalsRowShown="0" dataDxfId="236">
  <autoFilter ref="F10:F13" xr:uid="{94F18F67-3F10-4F6E-A953-4FE3399B07F2}"/>
  <tableColumns count="1">
    <tableColumn id="1" xr3:uid="{1984609B-7A7C-44AA-A114-5466EF451351}" name="Outline Syllabus" dataDxfId="235"/>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052SPS_Overview" displayName="_6052SPS_Overview" ref="F15:F20" totalsRowShown="0" dataDxfId="234">
  <autoFilter ref="F15:F20" xr:uid="{1B2BCD7B-6C15-4B1C-86BC-48FF83D8F225}"/>
  <tableColumns count="1">
    <tableColumn id="1" xr3:uid="{19A46962-3EFC-4EE2-ACCE-5363E30EDC4F}" name="Module Overview" dataDxfId="233"/>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052SPS_Notes" displayName="_6052SPS_Notes" ref="F22:F33" totalsRowShown="0" dataDxfId="232">
  <autoFilter ref="F22:F33" xr:uid="{D5968C0A-6D7E-4221-87EE-78A85A4039B3}"/>
  <tableColumns count="1">
    <tableColumn id="1" xr3:uid="{EEDA3204-13C4-4B95-A550-B650C09B689D}" name="Additional Information/Notes" dataDxfId="231"/>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053SPS_Meta" displayName="_6053SPS_Meta" ref="C6:D14" totalsRowShown="0">
  <autoFilter ref="C6:D14" xr:uid="{CD75D2A7-14B1-4ABD-B64D-6E875F9BC652}">
    <filterColumn colId="0" hiddenButton="1"/>
    <filterColumn colId="1" hiddenButton="1"/>
  </autoFilter>
  <tableColumns count="2">
    <tableColumn id="1" xr3:uid="{294825A0-B000-4273-A73D-4BDF1B0EEF00}" name="Module Data" dataDxfId="329"/>
    <tableColumn id="2" xr3:uid="{BFFFACD7-D0A7-40F6-BF15-469686406C3F}" name="Details" dataDxfId="328"/>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053SPS_LO" displayName="_6053SPS_LO" ref="C28:D33" totalsRowShown="0" headerRowDxfId="327">
  <autoFilter ref="C28:D33" xr:uid="{22316987-6BEB-4FAF-9619-BF9BE9909CFA}">
    <filterColumn colId="0" hiddenButton="1"/>
    <filterColumn colId="1" hiddenButton="1"/>
  </autoFilter>
  <tableColumns count="2">
    <tableColumn id="1" xr3:uid="{EB0958A2-9E66-44D9-A8DF-610B48FE0AC6}" name="LO Number" dataDxfId="326"/>
    <tableColumn id="2" xr3:uid="{0F368925-4523-471B-A68D-184E05AABCF7}" name="LO Description" dataDxfId="325"/>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053SPS_Assess" displayName="_6053SPS_Assess" ref="C37:H41" totalsRowShown="0" headerRowDxfId="3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23"/>
    <tableColumn id="2" xr3:uid="{1FA5C130-1C0E-45D6-8735-EA79A0166F2D}" name="Assessment Type" dataDxfId="322"/>
    <tableColumn id="7" xr3:uid="{34024CC2-5A32-45FD-95BD-978953E7F41B}" name="Assessment Specific" dataDxfId="321"/>
    <tableColumn id="3" xr3:uid="{5DA2B338-CCFE-4568-ACFD-CC8F0B883170}" name="Assessment Description" dataDxfId="320"/>
    <tableColumn id="4" xr3:uid="{597ADF95-B9B9-411B-8079-7F615E89550C}" name="Weighting" dataDxfId="319"/>
    <tableColumn id="5" xr3:uid="{A0D1FD19-8DF8-4595-ADE8-675937B4A7F4}" name="Due Week" dataDxfId="318"/>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053SPS_Weekly" displayName="_6053SPS_Weekly" ref="B62:F86" totalsRowShown="0">
  <autoFilter ref="B62:F86"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17"/>
    <tableColumn id="2" xr3:uid="{633971FF-9E7F-4A44-865E-D409908313D1}" name="Week Number" dataDxfId="316"/>
    <tableColumn id="3" xr3:uid="{77413702-BFB9-4DEA-BF99-C2A188E22509}" name="Weekly Content 1" dataDxfId="315"/>
    <tableColumn id="4" xr3:uid="{DD1B7D42-32B3-4CC2-9308-AD66B052F8DB}" name="Weekly Content 2" dataDxfId="314"/>
    <tableColumn id="5" xr3:uid="{504E9A1A-C43C-49D3-BB42-E4DD5A49EFCE}" name="Weekly Content 3" dataDxfId="313"/>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053SPS_Hours" displayName="_6053SPS_Hours" ref="C18:D24" totalsRowShown="0">
  <autoFilter ref="C18:D24" xr:uid="{B71A3569-AA65-4A4E-98A2-885F5C38B46D}">
    <filterColumn colId="0" hiddenButton="1"/>
    <filterColumn colId="1" hiddenButton="1"/>
  </autoFilter>
  <tableColumns count="2">
    <tableColumn id="1" xr3:uid="{5D165BDB-09FC-4AAA-91DB-E67A247DFF72}" name="Component" dataDxfId="312"/>
    <tableColumn id="2" xr3:uid="{E28A3B10-E692-47D9-A3AD-18128B6A4794}" name="Contact Hours" dataDxfId="311"/>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053SPS_Mapping" displayName="_6053SPS_Mapping" ref="C45:F58" totalsRowShown="0" headerRowDxfId="310" dataDxfId="309">
  <autoFilter ref="C45:F58"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08"/>
    <tableColumn id="2" xr3:uid="{A7D6827C-7020-4950-BD3E-00625169C68E}" name="LO Number" dataDxfId="307"/>
    <tableColumn id="3" xr3:uid="{1F68EB03-6C47-4955-9791-229A42D1A45A}" name="Graduate Skills Category" dataDxfId="306"/>
    <tableColumn id="4" xr3:uid="{1FD832D4-8E97-4B72-9B09-606CF407E6C7}" name="Graduate Skill" dataDxfId="305"/>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053SPS_Aims" displayName="_6053SPS_Aims" ref="F6:F8" totalsRowShown="0" dataDxfId="304">
  <autoFilter ref="F6:F8" xr:uid="{9552138F-2332-4BC4-A585-0E13162881A5}"/>
  <tableColumns count="1">
    <tableColumn id="1" xr3:uid="{2EE5D059-BB6B-4406-AF24-CB56C5C24856}" name="Aims" dataDxfId="303"/>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053SPS_Syllabus" displayName="_6053SPS_Syllabus" ref="F10:F13" totalsRowShown="0" dataDxfId="302">
  <autoFilter ref="F10:F13" xr:uid="{94F18F67-3F10-4F6E-A953-4FE3399B07F2}"/>
  <tableColumns count="1">
    <tableColumn id="1" xr3:uid="{CF8ACDF4-0E48-466C-AF99-EC810B28E6AF}" name="Outline Syllabus" dataDxfId="301"/>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053SPS_Overview" displayName="_6053SPS_Overview" ref="F15:F20" totalsRowShown="0" dataDxfId="300">
  <autoFilter ref="F15:F20" xr:uid="{1B2BCD7B-6C15-4B1C-86BC-48FF83D8F225}"/>
  <tableColumns count="1">
    <tableColumn id="1" xr3:uid="{C16E0E90-DC44-4185-AB55-C39332B32B2D}" name="Module Overview" dataDxfId="299"/>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053SPS_Notes" displayName="_6053SPS_Notes" ref="F22:F33" totalsRowShown="0" dataDxfId="298">
  <autoFilter ref="F22:F33" xr:uid="{D5968C0A-6D7E-4221-87EE-78A85A4039B3}"/>
  <tableColumns count="1">
    <tableColumn id="1" xr3:uid="{719B4DA9-E67A-4094-A58E-921C645096BE}" name="Additional Information/Notes" dataDxfId="297"/>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6054SPS_Meta" displayName="_6054SPS_Meta" ref="C6:D14" totalsRowShown="0">
  <autoFilter ref="C6:D14" xr:uid="{CD75D2A7-14B1-4ABD-B64D-6E875F9BC652}">
    <filterColumn colId="0" hiddenButton="1"/>
    <filterColumn colId="1" hiddenButton="1"/>
  </autoFilter>
  <tableColumns count="2">
    <tableColumn id="1" xr3:uid="{ACF32678-77E3-4DB8-8FD6-8F313C0082A9}" name="Module Data" dataDxfId="428"/>
    <tableColumn id="2" xr3:uid="{DD1FE0F1-BC22-47E6-B097-D50D8388821E}" name="Details" dataDxfId="427"/>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6054SPS_LO" displayName="_6054SPS_LO" ref="C28:D33" totalsRowShown="0" headerRowDxfId="426">
  <autoFilter ref="C28:D33" xr:uid="{22316987-6BEB-4FAF-9619-BF9BE9909CFA}">
    <filterColumn colId="0" hiddenButton="1"/>
    <filterColumn colId="1" hiddenButton="1"/>
  </autoFilter>
  <tableColumns count="2">
    <tableColumn id="1" xr3:uid="{6CB2DC80-959E-4050-BA4D-48CD62403E05}" name="LO Number" dataDxfId="425"/>
    <tableColumn id="2" xr3:uid="{85688B06-9831-461B-B933-1E407D860BB8}" name="LO Description" dataDxfId="424"/>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6054SPS_Assess" displayName="_6054SPS_Assess" ref="C37:H41" totalsRowShown="0" headerRowDxfId="42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422"/>
    <tableColumn id="2" xr3:uid="{F4594AC5-B575-460A-8B6B-2EF3FCBAB24A}" name="Assessment Type" dataDxfId="421"/>
    <tableColumn id="7" xr3:uid="{AAABE4DC-4613-4F22-97E3-44DC05E3C8C2}" name="Assessment Specific" dataDxfId="420"/>
    <tableColumn id="3" xr3:uid="{C3DF3668-A1BF-4CA9-A035-72DE23145404}" name="Assessment Description" dataDxfId="419"/>
    <tableColumn id="4" xr3:uid="{3D9A7936-2757-4200-8A20-0CA5D42BA49F}" name="Weighting" dataDxfId="418"/>
    <tableColumn id="5" xr3:uid="{8EF3572C-5F74-4584-B936-B47EF6784AC5}" name="Due Week" dataDxfId="417"/>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6054SPS_Weekly" displayName="_605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416"/>
    <tableColumn id="2" xr3:uid="{FBC07EB1-2635-4DBE-A175-763442B26942}" name="Week Number" dataDxfId="415"/>
    <tableColumn id="3" xr3:uid="{D5767446-3CE7-477F-86AC-430EDC126EA2}" name="Weekly Content 1" dataDxfId="414"/>
    <tableColumn id="4" xr3:uid="{9EAF880D-82C8-4C10-BC2E-5F1E7B2ED0C1}" name="Weekly Content 2" dataDxfId="413"/>
    <tableColumn id="5" xr3:uid="{322143D7-C33E-4E77-9B9F-4AFE42EC2AA6}" name="Weekly Content 3" dataDxfId="412"/>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6054SPS_Hours" displayName="_6054SPS_Hours" ref="C18:D24" totalsRowShown="0">
  <autoFilter ref="C18:D24" xr:uid="{B71A3569-AA65-4A4E-98A2-885F5C38B46D}">
    <filterColumn colId="0" hiddenButton="1"/>
    <filterColumn colId="1" hiddenButton="1"/>
  </autoFilter>
  <tableColumns count="2">
    <tableColumn id="1" xr3:uid="{CF6425D2-EB8D-46CC-B2D7-B49E8963FCEB}" name="Component" dataDxfId="411"/>
    <tableColumn id="2" xr3:uid="{BD9901A8-2A59-4CEC-ADF1-EDBA06D8EC9A}" name="Contact Hours" dataDxfId="410"/>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6054SPS_Mapping" displayName="_6054SPS_Mapping" ref="C45:F56" totalsRowShown="0" headerRowDxfId="409" dataDxfId="408">
  <autoFilter ref="C45:F5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407"/>
    <tableColumn id="2" xr3:uid="{7A675E84-DDDC-4998-99E6-205908A58F57}" name="LO Number" dataDxfId="406"/>
    <tableColumn id="3" xr3:uid="{66CA6E22-8945-41E1-BB50-73156CC69517}" name="Graduate Skills Category" dataDxfId="405"/>
    <tableColumn id="4" xr3:uid="{325393C6-2FBF-4ABB-8CB2-DF104C6AB43E}" name="Graduate Skill" dataDxfId="404"/>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6054SPS_Aims" displayName="_6054SPS_Aims" ref="F6:F8" totalsRowShown="0" dataDxfId="403">
  <autoFilter ref="F6:F8" xr:uid="{9552138F-2332-4BC4-A585-0E13162881A5}"/>
  <tableColumns count="1">
    <tableColumn id="1" xr3:uid="{67F975D0-E9AC-4452-A379-A1359EC2808C}" name="Aims" dataDxfId="402"/>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6054SPS_Syllabus" displayName="_6054SPS_Syllabus" ref="F10:F13" totalsRowShown="0" dataDxfId="401">
  <autoFilter ref="F10:F13" xr:uid="{94F18F67-3F10-4F6E-A953-4FE3399B07F2}"/>
  <tableColumns count="1">
    <tableColumn id="1" xr3:uid="{BFF28868-E7E3-4275-B13E-588F6503F19C}" name="Outline Syllabus" dataDxfId="400"/>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6054SPS_Overview" displayName="_6054SPS_Overview" ref="F15:F20" totalsRowShown="0" dataDxfId="399">
  <autoFilter ref="F15:F20" xr:uid="{1B2BCD7B-6C15-4B1C-86BC-48FF83D8F225}"/>
  <tableColumns count="1">
    <tableColumn id="1" xr3:uid="{AD6B21BA-8875-45A9-8932-F4F0FB08A980}" name="Module Overview" dataDxfId="398"/>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6054SPS_Notes" displayName="_6054SPS_Notes" ref="F22:F33" totalsRowShown="0" dataDxfId="397">
  <autoFilter ref="F22:F33" xr:uid="{D5968C0A-6D7E-4221-87EE-78A85A4039B3}"/>
  <tableColumns count="1">
    <tableColumn id="1" xr3:uid="{91D0B8DA-30D1-4338-88D9-5A2355C1DF22}" name="Additional Information/Notes" dataDxfId="396"/>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32"/>
    <tableColumn id="2" xr3:uid="{7CDC44CD-A513-4579-ACC6-09E7304BB1BE}" name="Details" dataDxfId="31"/>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30">
  <autoFilter ref="C28:D33" xr:uid="{22316987-6BEB-4FAF-9619-BF9BE9909CFA}">
    <filterColumn colId="0" hiddenButton="1"/>
    <filterColumn colId="1" hiddenButton="1"/>
  </autoFilter>
  <tableColumns count="2">
    <tableColumn id="1" xr3:uid="{A75FADC5-DEDB-4B6C-9F57-BD04056AC57B}" name="LO Number" dataDxfId="29"/>
    <tableColumn id="2" xr3:uid="{2529C995-9CF3-46B4-B1CE-40C8315EEAF2}" name="LO Description" dataDxfId="28"/>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2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26"/>
    <tableColumn id="2" xr3:uid="{707D2CCB-425D-48C3-A5FF-A62091BB3A56}" name="Assessment Type" dataDxfId="25"/>
    <tableColumn id="7" xr3:uid="{EB4F45BA-D8C2-4768-9796-02D50E7330DF}" name="Assessment Specific" dataDxfId="24"/>
    <tableColumn id="3" xr3:uid="{5B969136-9DE0-4A71-AF46-BE9B9C988057}" name="Assessment Description" dataDxfId="23"/>
    <tableColumn id="4" xr3:uid="{C51F8C6E-75D1-4D2A-980F-3DFD604FDE94}" name="Weighting" dataDxfId="22"/>
    <tableColumn id="5" xr3:uid="{732B8B1F-0938-4D2E-A221-A6E8EC0CEA2A}" name="Due Week" dataDxfId="21"/>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20"/>
    <tableColumn id="2" xr3:uid="{B5886C84-F0E2-476E-B7F8-D50AED341227}" name="Week Number" dataDxfId="19"/>
    <tableColumn id="3" xr3:uid="{E72094EC-2F0A-4C32-8DE0-3CB3CF696309}" name="Weekly Content 1" dataDxfId="18"/>
    <tableColumn id="4" xr3:uid="{15BE7A5A-AEE2-4BE3-9FDF-71CA774FE739}" name="Weekly Content 2" dataDxfId="17"/>
    <tableColumn id="5" xr3:uid="{C4CF9651-D5F8-4074-B5BD-359D74967851}" name="Weekly Content 3" dataDxfId="16"/>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15"/>
    <tableColumn id="2" xr3:uid="{C0E95D7F-8DB9-4A30-B523-E4812C2D666C}" name="Contact Hours" dataDxfId="14"/>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56" totalsRowShown="0" headerRowDxfId="13" dataDxfId="12">
  <autoFilter ref="C45:F5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11"/>
    <tableColumn id="2" xr3:uid="{2008E8A1-90F0-4A5C-A0CF-4F307DD2E2D8}" name="LO Number" dataDxfId="10"/>
    <tableColumn id="3" xr3:uid="{3A4DD78F-A393-4DAB-8994-3FEC28769F43}" name="Graduate Skills Category" dataDxfId="9"/>
    <tableColumn id="4" xr3:uid="{3CC06E09-AB6C-4DEE-8FEB-FEE7643702C5}" name="Graduate Skill" dataDxfId="8"/>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7">
  <autoFilter ref="F6:F8" xr:uid="{9552138F-2332-4BC4-A585-0E13162881A5}"/>
  <tableColumns count="1">
    <tableColumn id="1" xr3:uid="{71044305-7275-4074-BD40-FFAF45A8E291}" name="Aims" dataDxfId="6"/>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5">
  <autoFilter ref="F10:F13" xr:uid="{94F18F67-3F10-4F6E-A953-4FE3399B07F2}"/>
  <tableColumns count="1">
    <tableColumn id="1" xr3:uid="{409A0DF2-4B7A-4C37-A61C-CA2805617B9D}" name="Outline Syllabus" dataDxfId="4"/>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3">
  <autoFilter ref="F15:F20" xr:uid="{1B2BCD7B-6C15-4B1C-86BC-48FF83D8F225}"/>
  <tableColumns count="1">
    <tableColumn id="1" xr3:uid="{5E6F0374-DB3C-4DCF-968A-D7EB3D575A6B}" name="Module Overview" dataDxfId="2"/>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1">
  <autoFilter ref="F22:F33" xr:uid="{D5968C0A-6D7E-4221-87EE-78A85A4039B3}"/>
  <tableColumns count="1">
    <tableColumn id="1" xr3:uid="{EBE60D7D-4BB5-4F06-A2E4-CFAAE9F14014}" name="Additional Information/Notes" dataDxfId="0"/>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7.xml"/><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14.bin"/><Relationship Id="rId6" Type="http://schemas.openxmlformats.org/officeDocument/2006/relationships/table" Target="../tables/table135.xml"/><Relationship Id="rId11" Type="http://schemas.openxmlformats.org/officeDocument/2006/relationships/table" Target="../tables/table140.xml"/><Relationship Id="rId5" Type="http://schemas.openxmlformats.org/officeDocument/2006/relationships/table" Target="../tables/table134.xml"/><Relationship Id="rId10" Type="http://schemas.openxmlformats.org/officeDocument/2006/relationships/table" Target="../tables/table139.xml"/><Relationship Id="rId4" Type="http://schemas.openxmlformats.org/officeDocument/2006/relationships/table" Target="../tables/table133.xml"/><Relationship Id="rId9" Type="http://schemas.openxmlformats.org/officeDocument/2006/relationships/table" Target="../tables/table13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2.xml"/><Relationship Id="rId1" Type="http://schemas.openxmlformats.org/officeDocument/2006/relationships/table" Target="../tables/table1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
  <dimension ref="B2:H84"/>
  <sheetViews>
    <sheetView showGridLines="0" tabSelected="1" zoomScale="85" zoomScaleNormal="85" workbookViewId="0">
      <selection activeCell="D14" sqref="D14"/>
    </sheetView>
  </sheetViews>
  <sheetFormatPr defaultColWidth="8.85546875" defaultRowHeight="15" x14ac:dyDescent="0.25"/>
  <cols>
    <col min="3" max="3" width="33.28515625" customWidth="1"/>
    <col min="4" max="4" width="76" bestFit="1" customWidth="1"/>
    <col min="5" max="5" width="67.28515625" customWidth="1"/>
    <col min="6" max="6" width="89.140625" bestFit="1" customWidth="1"/>
    <col min="7" max="7" width="12.42578125" customWidth="1"/>
    <col min="8" max="8" width="15.42578125" customWidth="1"/>
    <col min="9" max="9" width="14.7109375" customWidth="1"/>
  </cols>
  <sheetData>
    <row r="2" spans="2:6" ht="26.25" x14ac:dyDescent="0.4">
      <c r="C2" s="20" t="str">
        <f>D7</f>
        <v>4051SPS</v>
      </c>
      <c r="D2" s="20" t="str">
        <f>D8</f>
        <v>PROFESSIONAL PRACTICE IN SPORT PSYCHOLOGY 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386</v>
      </c>
      <c r="E7" s="4"/>
      <c r="F7" s="33" t="s">
        <v>387</v>
      </c>
    </row>
    <row r="8" spans="2:6" ht="45" x14ac:dyDescent="0.25">
      <c r="B8" s="2"/>
      <c r="C8" s="3" t="s">
        <v>6</v>
      </c>
      <c r="D8" s="21" t="s">
        <v>388</v>
      </c>
      <c r="E8" s="4"/>
      <c r="F8" s="33" t="s">
        <v>389</v>
      </c>
    </row>
    <row r="9" spans="2:6" x14ac:dyDescent="0.25">
      <c r="C9" s="3" t="s">
        <v>9</v>
      </c>
      <c r="D9" s="21">
        <v>20</v>
      </c>
      <c r="E9" s="4"/>
    </row>
    <row r="10" spans="2:6" x14ac:dyDescent="0.25">
      <c r="C10" s="3" t="s">
        <v>10</v>
      </c>
      <c r="D10" s="21">
        <v>2</v>
      </c>
      <c r="E10" s="4"/>
      <c r="F10" t="s">
        <v>11</v>
      </c>
    </row>
    <row r="11" spans="2:6" ht="45" x14ac:dyDescent="0.25">
      <c r="C11" s="3" t="s">
        <v>12</v>
      </c>
      <c r="D11" s="21">
        <v>4</v>
      </c>
      <c r="E11" s="4"/>
      <c r="F11" s="33" t="s">
        <v>390</v>
      </c>
    </row>
    <row r="12" spans="2:6" ht="45" x14ac:dyDescent="0.25">
      <c r="C12" s="3" t="s">
        <v>14</v>
      </c>
      <c r="D12" s="21" t="s">
        <v>391</v>
      </c>
      <c r="E12" s="4"/>
      <c r="F12" s="33" t="s">
        <v>392</v>
      </c>
    </row>
    <row r="13" spans="2:6" ht="45" x14ac:dyDescent="0.25">
      <c r="C13" s="3" t="s">
        <v>17</v>
      </c>
      <c r="D13" s="21" t="s">
        <v>18</v>
      </c>
      <c r="E13" s="4"/>
      <c r="F13" s="33" t="s">
        <v>393</v>
      </c>
    </row>
    <row r="14" spans="2:6" x14ac:dyDescent="0.25">
      <c r="C14" s="3" t="s">
        <v>19</v>
      </c>
      <c r="D14" s="21" t="s">
        <v>20</v>
      </c>
      <c r="E14" s="4"/>
    </row>
    <row r="15" spans="2:6" x14ac:dyDescent="0.25">
      <c r="C15" s="3"/>
      <c r="D15" s="4"/>
      <c r="E15" s="4"/>
      <c r="F15" t="s">
        <v>21</v>
      </c>
    </row>
    <row r="16" spans="2:6" ht="120" x14ac:dyDescent="0.25">
      <c r="C16" s="3"/>
      <c r="D16" s="4"/>
      <c r="E16" s="4"/>
      <c r="F16" s="33" t="s">
        <v>394</v>
      </c>
    </row>
    <row r="17" spans="3:6" ht="18.75" x14ac:dyDescent="0.25">
      <c r="C17" s="5" t="s">
        <v>22</v>
      </c>
      <c r="D17" s="4"/>
      <c r="E17" s="4"/>
      <c r="F17" s="24"/>
    </row>
    <row r="18" spans="3:6" x14ac:dyDescent="0.25">
      <c r="C18" s="3" t="s">
        <v>23</v>
      </c>
      <c r="D18" s="1" t="s">
        <v>22</v>
      </c>
      <c r="E18" s="4"/>
      <c r="F18" s="24"/>
    </row>
    <row r="19" spans="3:6" x14ac:dyDescent="0.25">
      <c r="C19" s="3" t="s">
        <v>24</v>
      </c>
      <c r="D19" s="22">
        <v>44</v>
      </c>
      <c r="E19" s="4"/>
      <c r="F19" s="24"/>
    </row>
    <row r="20" spans="3:6" x14ac:dyDescent="0.25">
      <c r="C20" s="3" t="s">
        <v>25</v>
      </c>
      <c r="D20" s="22">
        <v>10</v>
      </c>
      <c r="E20" s="4"/>
      <c r="F20" s="24"/>
    </row>
    <row r="21" spans="3:6" x14ac:dyDescent="0.25">
      <c r="C21" s="3" t="s">
        <v>26</v>
      </c>
      <c r="D21" s="22">
        <v>4</v>
      </c>
      <c r="E21" s="4"/>
    </row>
    <row r="22" spans="3:6" x14ac:dyDescent="0.25">
      <c r="C22" s="3" t="s">
        <v>27</v>
      </c>
      <c r="D22" s="22">
        <v>8</v>
      </c>
      <c r="E22" s="4"/>
      <c r="F22" t="s">
        <v>28</v>
      </c>
    </row>
    <row r="23" spans="3:6" x14ac:dyDescent="0.25">
      <c r="C23" s="3" t="s">
        <v>29</v>
      </c>
      <c r="D23" s="22">
        <v>0</v>
      </c>
      <c r="E23" s="4"/>
      <c r="F23" s="24"/>
    </row>
    <row r="24" spans="3:6" x14ac:dyDescent="0.25">
      <c r="C24" s="3" t="s">
        <v>31</v>
      </c>
      <c r="D24" s="1">
        <f>SUM(D19:D23)</f>
        <v>66</v>
      </c>
      <c r="E24" s="4"/>
      <c r="F24" s="24"/>
    </row>
    <row r="25" spans="3:6" x14ac:dyDescent="0.25">
      <c r="F25" s="24"/>
    </row>
    <row r="26" spans="3:6" x14ac:dyDescent="0.25">
      <c r="F26" s="24" t="s">
        <v>386</v>
      </c>
    </row>
    <row r="27" spans="3:6" ht="18.75" x14ac:dyDescent="0.25">
      <c r="C27" s="5" t="s">
        <v>33</v>
      </c>
      <c r="D27" s="12" t="s">
        <v>34</v>
      </c>
      <c r="F27" s="24"/>
    </row>
    <row r="28" spans="3:6" x14ac:dyDescent="0.25">
      <c r="C28" s="3" t="s">
        <v>35</v>
      </c>
      <c r="D28" s="3" t="s">
        <v>36</v>
      </c>
      <c r="E28" s="3"/>
      <c r="F28" s="24"/>
    </row>
    <row r="29" spans="3:6" ht="30" x14ac:dyDescent="0.25">
      <c r="C29" s="3" t="s">
        <v>37</v>
      </c>
      <c r="D29" s="21" t="s">
        <v>395</v>
      </c>
      <c r="E29" s="4"/>
      <c r="F29" s="24"/>
    </row>
    <row r="30" spans="3:6" ht="45" x14ac:dyDescent="0.25">
      <c r="C30" s="3" t="s">
        <v>39</v>
      </c>
      <c r="D30" s="21" t="s">
        <v>396</v>
      </c>
      <c r="E30" s="4"/>
      <c r="F30" s="24"/>
    </row>
    <row r="31" spans="3:6" ht="45" x14ac:dyDescent="0.25">
      <c r="C31" s="3" t="s">
        <v>41</v>
      </c>
      <c r="D31" s="21" t="s">
        <v>397</v>
      </c>
      <c r="E31" s="4"/>
      <c r="F31" s="24"/>
    </row>
    <row r="32" spans="3:6" ht="30" x14ac:dyDescent="0.25">
      <c r="C32" s="3" t="s">
        <v>43</v>
      </c>
      <c r="D32" s="21" t="s">
        <v>398</v>
      </c>
      <c r="E32" s="4"/>
      <c r="F32" s="24"/>
    </row>
    <row r="33" spans="3:8" ht="30" x14ac:dyDescent="0.25">
      <c r="C33" s="3" t="s">
        <v>44</v>
      </c>
      <c r="D33" s="21" t="s">
        <v>399</v>
      </c>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108</v>
      </c>
      <c r="E38" s="21" t="s">
        <v>400</v>
      </c>
      <c r="F38" s="21" t="s">
        <v>401</v>
      </c>
      <c r="G38" s="23">
        <v>0.5</v>
      </c>
      <c r="H38" s="21">
        <v>6</v>
      </c>
    </row>
    <row r="39" spans="3:8" x14ac:dyDescent="0.25">
      <c r="C39" s="3" t="s">
        <v>56</v>
      </c>
      <c r="D39" s="24" t="s">
        <v>108</v>
      </c>
      <c r="E39" s="21" t="s">
        <v>192</v>
      </c>
      <c r="F39" s="21" t="s">
        <v>402</v>
      </c>
      <c r="G39" s="23">
        <v>0.5</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171</v>
      </c>
    </row>
    <row r="47" spans="3:8" x14ac:dyDescent="0.25">
      <c r="C47" s="25" t="s">
        <v>52</v>
      </c>
      <c r="D47" s="24" t="s">
        <v>37</v>
      </c>
      <c r="E47" s="24" t="s">
        <v>116</v>
      </c>
      <c r="F47" s="24" t="s">
        <v>117</v>
      </c>
    </row>
    <row r="48" spans="3:8" x14ac:dyDescent="0.25">
      <c r="C48" s="25" t="s">
        <v>52</v>
      </c>
      <c r="D48" s="24" t="s">
        <v>43</v>
      </c>
      <c r="E48" s="24" t="s">
        <v>66</v>
      </c>
      <c r="F48" s="24" t="s">
        <v>67</v>
      </c>
    </row>
    <row r="49" spans="2:6" x14ac:dyDescent="0.25">
      <c r="C49" s="25" t="s">
        <v>52</v>
      </c>
      <c r="D49" s="24" t="s">
        <v>43</v>
      </c>
      <c r="E49" s="24" t="s">
        <v>330</v>
      </c>
      <c r="F49" s="24" t="s">
        <v>403</v>
      </c>
    </row>
    <row r="50" spans="2:6" x14ac:dyDescent="0.25">
      <c r="C50" s="25" t="s">
        <v>56</v>
      </c>
      <c r="D50" s="24" t="s">
        <v>39</v>
      </c>
      <c r="E50" s="24" t="s">
        <v>114</v>
      </c>
      <c r="F50" s="24" t="s">
        <v>404</v>
      </c>
    </row>
    <row r="51" spans="2:6" x14ac:dyDescent="0.25">
      <c r="C51" s="25" t="s">
        <v>56</v>
      </c>
      <c r="D51" s="24" t="s">
        <v>41</v>
      </c>
      <c r="E51" s="24" t="s">
        <v>64</v>
      </c>
      <c r="F51" s="24" t="s">
        <v>362</v>
      </c>
    </row>
    <row r="52" spans="2:6" x14ac:dyDescent="0.25">
      <c r="C52" s="25" t="s">
        <v>59</v>
      </c>
      <c r="D52" s="24" t="s">
        <v>41</v>
      </c>
      <c r="E52" s="24" t="s">
        <v>405</v>
      </c>
      <c r="F52" s="24" t="s">
        <v>406</v>
      </c>
    </row>
    <row r="53" spans="2:6" x14ac:dyDescent="0.25">
      <c r="C53" s="25" t="s">
        <v>59</v>
      </c>
      <c r="D53" s="24" t="s">
        <v>41</v>
      </c>
      <c r="E53" s="24" t="s">
        <v>70</v>
      </c>
      <c r="F53" s="24" t="s">
        <v>71</v>
      </c>
    </row>
    <row r="54" spans="2:6" x14ac:dyDescent="0.25">
      <c r="C54" s="25" t="s">
        <v>59</v>
      </c>
      <c r="D54" s="24" t="s">
        <v>44</v>
      </c>
      <c r="E54" s="24" t="s">
        <v>72</v>
      </c>
      <c r="F54" s="24" t="s">
        <v>73</v>
      </c>
    </row>
    <row r="55" spans="2:6" x14ac:dyDescent="0.25">
      <c r="C55" s="25" t="s">
        <v>60</v>
      </c>
      <c r="D55" s="24" t="s">
        <v>44</v>
      </c>
      <c r="E55" s="24" t="s">
        <v>68</v>
      </c>
      <c r="F55" s="24" t="s">
        <v>69</v>
      </c>
    </row>
    <row r="56" spans="2:6" x14ac:dyDescent="0.25">
      <c r="C56" s="25"/>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407</v>
      </c>
      <c r="E73" s="21" t="s">
        <v>408</v>
      </c>
      <c r="F73" s="21"/>
    </row>
    <row r="74" spans="2:6" x14ac:dyDescent="0.25">
      <c r="B74" s="7">
        <v>2</v>
      </c>
      <c r="C74" s="1">
        <v>2</v>
      </c>
      <c r="D74" s="21" t="s">
        <v>409</v>
      </c>
      <c r="E74" s="21" t="s">
        <v>410</v>
      </c>
      <c r="F74" s="21"/>
    </row>
    <row r="75" spans="2:6" x14ac:dyDescent="0.25">
      <c r="B75" s="7">
        <v>2</v>
      </c>
      <c r="C75" s="1">
        <v>3</v>
      </c>
      <c r="D75" s="21" t="s">
        <v>411</v>
      </c>
      <c r="E75" s="21" t="s">
        <v>408</v>
      </c>
      <c r="F75" s="21"/>
    </row>
    <row r="76" spans="2:6" x14ac:dyDescent="0.25">
      <c r="B76" s="7">
        <v>2</v>
      </c>
      <c r="C76" s="1">
        <v>4</v>
      </c>
      <c r="D76" s="21" t="s">
        <v>412</v>
      </c>
      <c r="E76" s="21" t="s">
        <v>410</v>
      </c>
      <c r="F76" s="21"/>
    </row>
    <row r="77" spans="2:6" x14ac:dyDescent="0.25">
      <c r="B77" s="7">
        <v>2</v>
      </c>
      <c r="C77" s="1">
        <v>5</v>
      </c>
      <c r="D77" s="21" t="s">
        <v>413</v>
      </c>
      <c r="E77" s="21" t="s">
        <v>408</v>
      </c>
      <c r="F77" s="21"/>
    </row>
    <row r="78" spans="2:6" x14ac:dyDescent="0.25">
      <c r="B78" s="7">
        <v>2</v>
      </c>
      <c r="C78" s="1">
        <v>6</v>
      </c>
      <c r="D78" s="21" t="s">
        <v>414</v>
      </c>
      <c r="E78" s="21" t="s">
        <v>415</v>
      </c>
      <c r="F78" s="21"/>
    </row>
    <row r="79" spans="2:6" x14ac:dyDescent="0.25">
      <c r="B79" s="7">
        <v>2</v>
      </c>
      <c r="C79" s="1">
        <v>7</v>
      </c>
      <c r="D79" s="21" t="s">
        <v>416</v>
      </c>
      <c r="E79" s="21" t="s">
        <v>417</v>
      </c>
      <c r="F79" s="21"/>
    </row>
    <row r="80" spans="2:6" x14ac:dyDescent="0.25">
      <c r="B80" s="7">
        <v>2</v>
      </c>
      <c r="C80" s="1">
        <v>8</v>
      </c>
      <c r="D80" s="21" t="s">
        <v>418</v>
      </c>
      <c r="E80" s="21" t="s">
        <v>410</v>
      </c>
      <c r="F80" s="21"/>
    </row>
    <row r="81" spans="2:6" x14ac:dyDescent="0.25">
      <c r="B81" s="7">
        <v>2</v>
      </c>
      <c r="C81" s="1">
        <v>9</v>
      </c>
      <c r="D81" s="21" t="s">
        <v>419</v>
      </c>
      <c r="E81" s="21" t="s">
        <v>410</v>
      </c>
      <c r="F81" s="21"/>
    </row>
    <row r="82" spans="2:6" x14ac:dyDescent="0.25">
      <c r="B82" s="7">
        <v>2</v>
      </c>
      <c r="C82" s="1">
        <v>10</v>
      </c>
      <c r="D82" s="21" t="s">
        <v>420</v>
      </c>
      <c r="E82" s="21" t="s">
        <v>408</v>
      </c>
      <c r="F82" s="21"/>
    </row>
    <row r="83" spans="2:6" x14ac:dyDescent="0.25">
      <c r="B83" s="7">
        <v>2</v>
      </c>
      <c r="C83" s="1">
        <v>11</v>
      </c>
      <c r="D83" s="21" t="s">
        <v>421</v>
      </c>
      <c r="E83" s="21" t="s">
        <v>415</v>
      </c>
      <c r="F83" s="21"/>
    </row>
    <row r="84" spans="2:6" x14ac:dyDescent="0.25">
      <c r="B84" s="7">
        <v>2</v>
      </c>
      <c r="C84" s="1">
        <v>12</v>
      </c>
      <c r="D84" s="21" t="s">
        <v>422</v>
      </c>
      <c r="E84" s="21" t="s">
        <v>423</v>
      </c>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5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431E3138-B78E-40DB-8906-C5B6A90BA4A5}">
          <x14:formula1>
            <xm:f>LISTS!$J$7:$J$16</xm:f>
          </x14:formula1>
          <xm:sqref>E46:E56</xm:sqref>
        </x14:dataValidation>
        <x14:dataValidation type="list" allowBlank="1" showInputMessage="1" showErrorMessage="1" xr:uid="{A7BB251E-C289-4AFE-837E-75E3985C6AC4}">
          <x14:formula1>
            <xm:f>LISTS!$G$7:$G$11</xm:f>
          </x14:formula1>
          <xm:sqref>D41:D42 D38:D39</xm:sqref>
        </x14:dataValidation>
        <x14:dataValidation type="list" allowBlank="1" showInputMessage="1" showErrorMessage="1" xr:uid="{91A4DB0E-9988-4C67-88FE-0DC4AE014787}">
          <x14:formula1>
            <xm:f>LISTS!$E$7:$E$11</xm:f>
          </x14:formula1>
          <xm:sqref>D46:D51 D53:D56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
  <dimension ref="B2:H84"/>
  <sheetViews>
    <sheetView showGridLines="0" zoomScale="85" zoomScaleNormal="85" workbookViewId="0">
      <selection activeCell="D67" sqref="D6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4052SPS</v>
      </c>
      <c r="D2" s="20" t="str">
        <f>D8</f>
        <v xml:space="preserve">Introduction to Developmental Psychology and Individual Differences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90" x14ac:dyDescent="0.25">
      <c r="B7" s="2"/>
      <c r="C7" s="3" t="s">
        <v>4</v>
      </c>
      <c r="D7" s="21" t="s">
        <v>158</v>
      </c>
      <c r="E7" s="4"/>
      <c r="F7" s="28" t="s">
        <v>159</v>
      </c>
    </row>
    <row r="8" spans="2:6" ht="30" x14ac:dyDescent="0.25">
      <c r="B8" s="2"/>
      <c r="C8" s="3" t="s">
        <v>6</v>
      </c>
      <c r="D8" s="21" t="s">
        <v>160</v>
      </c>
      <c r="E8" s="4"/>
      <c r="F8" s="26"/>
    </row>
    <row r="9" spans="2:6" x14ac:dyDescent="0.25">
      <c r="C9" s="3" t="s">
        <v>9</v>
      </c>
      <c r="D9" s="21">
        <v>20</v>
      </c>
      <c r="E9" s="4"/>
    </row>
    <row r="10" spans="2:6" x14ac:dyDescent="0.25">
      <c r="C10" s="3" t="s">
        <v>10</v>
      </c>
      <c r="D10" s="21">
        <v>1</v>
      </c>
      <c r="E10" s="4"/>
      <c r="F10" t="s">
        <v>11</v>
      </c>
    </row>
    <row r="11" spans="2:6" ht="60" x14ac:dyDescent="0.25">
      <c r="C11" s="3" t="s">
        <v>12</v>
      </c>
      <c r="D11" s="21">
        <v>4</v>
      </c>
      <c r="E11" s="4"/>
      <c r="F11" s="28" t="s">
        <v>161</v>
      </c>
    </row>
    <row r="12" spans="2:6" ht="60" x14ac:dyDescent="0.25">
      <c r="C12" s="3" t="s">
        <v>14</v>
      </c>
      <c r="D12" s="21" t="s">
        <v>162</v>
      </c>
      <c r="E12" s="4"/>
      <c r="F12" s="28" t="s">
        <v>163</v>
      </c>
    </row>
    <row r="13" spans="2:6" x14ac:dyDescent="0.25">
      <c r="C13" s="3" t="s">
        <v>17</v>
      </c>
      <c r="D13" s="21" t="s">
        <v>130</v>
      </c>
      <c r="E13" s="4"/>
      <c r="F13" s="24"/>
    </row>
    <row r="14" spans="2:6" x14ac:dyDescent="0.25">
      <c r="C14" s="3" t="s">
        <v>19</v>
      </c>
      <c r="D14" s="21" t="s">
        <v>20</v>
      </c>
      <c r="E14" s="4"/>
    </row>
    <row r="15" spans="2:6" x14ac:dyDescent="0.25">
      <c r="C15" s="3"/>
      <c r="D15" s="4"/>
      <c r="E15" s="4"/>
      <c r="F15" t="s">
        <v>21</v>
      </c>
    </row>
    <row r="16" spans="2:6" ht="60" x14ac:dyDescent="0.25">
      <c r="C16" s="3"/>
      <c r="D16" s="4"/>
      <c r="E16" s="4"/>
      <c r="F16" s="30" t="s">
        <v>164</v>
      </c>
    </row>
    <row r="17" spans="3:6" ht="18.75" x14ac:dyDescent="0.25">
      <c r="C17" s="5" t="s">
        <v>22</v>
      </c>
      <c r="D17" s="4"/>
      <c r="E17" s="4"/>
      <c r="F17" s="24"/>
    </row>
    <row r="18" spans="3:6" x14ac:dyDescent="0.25">
      <c r="C18" s="3" t="s">
        <v>23</v>
      </c>
      <c r="D18" s="1" t="s">
        <v>22</v>
      </c>
      <c r="E18" s="4"/>
      <c r="F18" s="24"/>
    </row>
    <row r="19" spans="3:6" x14ac:dyDescent="0.25">
      <c r="C19" s="3" t="s">
        <v>24</v>
      </c>
      <c r="D19" s="22">
        <v>22</v>
      </c>
      <c r="E19" s="4"/>
      <c r="F19" s="24"/>
    </row>
    <row r="20" spans="3:6" x14ac:dyDescent="0.25">
      <c r="C20" s="3" t="s">
        <v>25</v>
      </c>
      <c r="D20" s="22">
        <v>22</v>
      </c>
      <c r="E20" s="4"/>
      <c r="F20" s="24"/>
    </row>
    <row r="21" spans="3:6" x14ac:dyDescent="0.25">
      <c r="C21" s="3" t="s">
        <v>26</v>
      </c>
      <c r="D21" s="22"/>
      <c r="E21" s="4"/>
    </row>
    <row r="22" spans="3:6" x14ac:dyDescent="0.25">
      <c r="C22" s="3" t="s">
        <v>27</v>
      </c>
      <c r="D22" s="22"/>
      <c r="E22" s="4"/>
      <c r="F22" t="s">
        <v>28</v>
      </c>
    </row>
    <row r="23" spans="3:6" x14ac:dyDescent="0.25">
      <c r="C23" s="3" t="s">
        <v>29</v>
      </c>
      <c r="D23" s="22"/>
      <c r="E23" s="4"/>
      <c r="F23" s="24"/>
    </row>
    <row r="24" spans="3:6" x14ac:dyDescent="0.25">
      <c r="C24" s="3" t="s">
        <v>31</v>
      </c>
      <c r="D24" s="1">
        <f>SUM(D19:D23)</f>
        <v>44</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28" t="s">
        <v>165</v>
      </c>
      <c r="E29" s="4"/>
      <c r="F29" s="24"/>
    </row>
    <row r="30" spans="3:6" ht="30" x14ac:dyDescent="0.25">
      <c r="C30" s="3" t="s">
        <v>39</v>
      </c>
      <c r="D30" s="29" t="s">
        <v>166</v>
      </c>
      <c r="E30" s="4"/>
      <c r="F30" s="24"/>
    </row>
    <row r="31" spans="3:6" ht="30" x14ac:dyDescent="0.25">
      <c r="C31" s="3" t="s">
        <v>41</v>
      </c>
      <c r="D31" s="28" t="s">
        <v>167</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168</v>
      </c>
      <c r="G38" s="23">
        <v>0.4</v>
      </c>
      <c r="H38" s="21">
        <v>8</v>
      </c>
    </row>
    <row r="39" spans="3:8" x14ac:dyDescent="0.25">
      <c r="C39" s="3" t="s">
        <v>56</v>
      </c>
      <c r="D39" s="21" t="s">
        <v>53</v>
      </c>
      <c r="E39" s="21" t="s">
        <v>169</v>
      </c>
      <c r="F39" s="21" t="s">
        <v>170</v>
      </c>
      <c r="G39" s="23">
        <v>0.6</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142</v>
      </c>
    </row>
    <row r="47" spans="3:8" x14ac:dyDescent="0.25">
      <c r="C47" s="25" t="s">
        <v>52</v>
      </c>
      <c r="D47" s="24" t="s">
        <v>37</v>
      </c>
      <c r="E47" s="24" t="s">
        <v>141</v>
      </c>
      <c r="F47" s="24" t="s">
        <v>145</v>
      </c>
    </row>
    <row r="48" spans="3:8" x14ac:dyDescent="0.25">
      <c r="C48" s="25" t="s">
        <v>52</v>
      </c>
      <c r="D48" s="24" t="s">
        <v>39</v>
      </c>
      <c r="E48" s="24" t="s">
        <v>66</v>
      </c>
      <c r="F48" s="24" t="s">
        <v>67</v>
      </c>
    </row>
    <row r="49" spans="2:6" x14ac:dyDescent="0.25">
      <c r="C49" s="25" t="s">
        <v>56</v>
      </c>
      <c r="D49" s="24" t="s">
        <v>39</v>
      </c>
      <c r="E49" s="24" t="s">
        <v>141</v>
      </c>
      <c r="F49" s="24" t="s">
        <v>171</v>
      </c>
    </row>
    <row r="50" spans="2:6" x14ac:dyDescent="0.25">
      <c r="C50" s="25" t="s">
        <v>56</v>
      </c>
      <c r="D50" s="24" t="s">
        <v>41</v>
      </c>
      <c r="E50" s="24" t="s">
        <v>66</v>
      </c>
      <c r="F50" s="24" t="s">
        <v>67</v>
      </c>
    </row>
    <row r="51" spans="2:6" x14ac:dyDescent="0.25">
      <c r="C51" s="25" t="s">
        <v>56</v>
      </c>
      <c r="D51" s="24" t="s">
        <v>41</v>
      </c>
      <c r="E51" s="24" t="s">
        <v>116</v>
      </c>
      <c r="F51" s="24" t="s">
        <v>146</v>
      </c>
    </row>
    <row r="52" spans="2:6" x14ac:dyDescent="0.25">
      <c r="C52" s="25" t="s">
        <v>56</v>
      </c>
      <c r="D52" s="24"/>
      <c r="E52" s="24"/>
      <c r="F52" s="24"/>
    </row>
    <row r="53" spans="2:6" x14ac:dyDescent="0.25">
      <c r="C53" s="25" t="s">
        <v>56</v>
      </c>
      <c r="D53" s="24"/>
      <c r="E53" s="24"/>
      <c r="F53" s="24"/>
    </row>
    <row r="54" spans="2:6" x14ac:dyDescent="0.25">
      <c r="C54" s="25" t="s">
        <v>59</v>
      </c>
      <c r="D54" s="24"/>
      <c r="E54" s="24"/>
      <c r="F54" s="24"/>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ht="30" x14ac:dyDescent="0.25">
      <c r="B61" s="7">
        <v>1</v>
      </c>
      <c r="C61" s="1">
        <v>1</v>
      </c>
      <c r="D61" s="21" t="s">
        <v>172</v>
      </c>
      <c r="E61" s="21" t="s">
        <v>25</v>
      </c>
      <c r="F61" s="21"/>
    </row>
    <row r="62" spans="2:6" x14ac:dyDescent="0.25">
      <c r="B62" s="7">
        <v>1</v>
      </c>
      <c r="C62" s="1">
        <v>2</v>
      </c>
      <c r="D62" s="21" t="s">
        <v>173</v>
      </c>
      <c r="E62" s="27" t="s">
        <v>25</v>
      </c>
      <c r="F62" s="21"/>
    </row>
    <row r="63" spans="2:6" x14ac:dyDescent="0.25">
      <c r="B63" s="7">
        <v>1</v>
      </c>
      <c r="C63" s="1">
        <v>3</v>
      </c>
      <c r="D63" s="21" t="s">
        <v>174</v>
      </c>
      <c r="E63" s="27" t="s">
        <v>25</v>
      </c>
      <c r="F63" s="21"/>
    </row>
    <row r="64" spans="2:6" x14ac:dyDescent="0.25">
      <c r="B64" s="7">
        <v>1</v>
      </c>
      <c r="C64" s="1">
        <v>4</v>
      </c>
      <c r="D64" s="21" t="s">
        <v>174</v>
      </c>
      <c r="E64" s="27" t="s">
        <v>25</v>
      </c>
      <c r="F64" s="21"/>
    </row>
    <row r="65" spans="2:6" x14ac:dyDescent="0.25">
      <c r="B65" s="7">
        <v>1</v>
      </c>
      <c r="C65" s="1">
        <v>5</v>
      </c>
      <c r="D65" s="21" t="s">
        <v>175</v>
      </c>
      <c r="E65" s="27" t="s">
        <v>25</v>
      </c>
      <c r="F65" s="21"/>
    </row>
    <row r="66" spans="2:6" x14ac:dyDescent="0.25">
      <c r="B66" s="7">
        <v>1</v>
      </c>
      <c r="C66" s="1">
        <v>6</v>
      </c>
      <c r="D66" s="21" t="s">
        <v>176</v>
      </c>
      <c r="E66" s="27" t="s">
        <v>25</v>
      </c>
      <c r="F66" s="21"/>
    </row>
    <row r="67" spans="2:6" x14ac:dyDescent="0.25">
      <c r="B67" s="7">
        <v>1</v>
      </c>
      <c r="C67" s="1">
        <v>7</v>
      </c>
      <c r="D67" s="21" t="s">
        <v>177</v>
      </c>
      <c r="E67" s="27" t="s">
        <v>25</v>
      </c>
      <c r="F67" s="21"/>
    </row>
    <row r="68" spans="2:6" x14ac:dyDescent="0.25">
      <c r="B68" s="7">
        <v>1</v>
      </c>
      <c r="C68" s="1">
        <v>8</v>
      </c>
      <c r="D68" s="21" t="s">
        <v>178</v>
      </c>
      <c r="E68" s="27" t="s">
        <v>25</v>
      </c>
      <c r="F68" s="21"/>
    </row>
    <row r="69" spans="2:6" x14ac:dyDescent="0.25">
      <c r="B69" s="7">
        <v>1</v>
      </c>
      <c r="C69" s="1">
        <v>9</v>
      </c>
      <c r="D69" s="21" t="s">
        <v>179</v>
      </c>
      <c r="E69" s="27" t="s">
        <v>25</v>
      </c>
      <c r="F69" s="21"/>
    </row>
    <row r="70" spans="2:6" x14ac:dyDescent="0.25">
      <c r="B70" s="7">
        <v>1</v>
      </c>
      <c r="C70" s="1">
        <v>10</v>
      </c>
      <c r="D70" s="21" t="s">
        <v>155</v>
      </c>
      <c r="E70" s="27" t="s">
        <v>25</v>
      </c>
      <c r="F70" s="21"/>
    </row>
    <row r="71" spans="2:6" x14ac:dyDescent="0.25">
      <c r="B71" s="7">
        <v>1</v>
      </c>
      <c r="C71" s="1">
        <v>11</v>
      </c>
      <c r="D71" s="21" t="s">
        <v>180</v>
      </c>
      <c r="E71" s="27" t="s">
        <v>25</v>
      </c>
      <c r="F71" s="21"/>
    </row>
    <row r="72" spans="2:6" x14ac:dyDescent="0.25">
      <c r="B72" s="7">
        <v>1</v>
      </c>
      <c r="C72" s="1">
        <v>12</v>
      </c>
      <c r="D72" s="21" t="s">
        <v>181</v>
      </c>
      <c r="E72" s="27" t="s">
        <v>25</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E46:E56</xm:sqref>
        </x14:dataValidation>
        <x14:dataValidation type="list" allowBlank="1" showInputMessage="1" showErrorMessage="1" xr:uid="{13524674-6569-4444-A927-B70E751D7616}">
          <x14:formula1>
            <xm:f>LISTS!$E$7:$E$11</xm:f>
          </x14:formula1>
          <xm:sqref>D46:D56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3"/>
  <dimension ref="B2:H84"/>
  <sheetViews>
    <sheetView showGridLines="0" zoomScale="85" zoomScaleNormal="85" workbookViewId="0">
      <selection activeCell="E83" sqref="E83"/>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4053SPS</v>
      </c>
      <c r="D2" s="20" t="str">
        <f>D8</f>
        <v>Introduction to Cognitive and Biological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214</v>
      </c>
      <c r="E7" s="4"/>
      <c r="F7" s="24"/>
    </row>
    <row r="8" spans="2:6" ht="75.75" x14ac:dyDescent="0.25">
      <c r="B8" s="2"/>
      <c r="C8" s="3" t="s">
        <v>6</v>
      </c>
      <c r="D8" s="21" t="s">
        <v>215</v>
      </c>
      <c r="E8" s="4"/>
      <c r="F8" s="49" t="s">
        <v>216</v>
      </c>
    </row>
    <row r="9" spans="2:6" x14ac:dyDescent="0.25">
      <c r="C9" s="3" t="s">
        <v>9</v>
      </c>
      <c r="D9" s="21">
        <v>20</v>
      </c>
      <c r="E9" s="4"/>
    </row>
    <row r="10" spans="2:6" x14ac:dyDescent="0.25">
      <c r="C10" s="3" t="s">
        <v>10</v>
      </c>
      <c r="D10" s="21">
        <v>2</v>
      </c>
      <c r="E10" s="4"/>
      <c r="F10" t="s">
        <v>11</v>
      </c>
    </row>
    <row r="11" spans="2:6" x14ac:dyDescent="0.25">
      <c r="C11" s="3" t="s">
        <v>12</v>
      </c>
      <c r="D11" s="21">
        <v>4</v>
      </c>
      <c r="E11" s="4"/>
      <c r="F11" s="24"/>
    </row>
    <row r="12" spans="2:6" ht="75" x14ac:dyDescent="0.25">
      <c r="C12" s="3" t="s">
        <v>14</v>
      </c>
      <c r="D12" s="21" t="s">
        <v>217</v>
      </c>
      <c r="E12" s="4"/>
      <c r="F12" s="33" t="s">
        <v>218</v>
      </c>
    </row>
    <row r="13" spans="2:6" x14ac:dyDescent="0.25">
      <c r="C13" s="3" t="s">
        <v>17</v>
      </c>
      <c r="D13" s="21" t="s">
        <v>130</v>
      </c>
      <c r="E13" s="4"/>
      <c r="F13" s="24"/>
    </row>
    <row r="14" spans="2:6" x14ac:dyDescent="0.25">
      <c r="C14" s="3" t="s">
        <v>19</v>
      </c>
      <c r="D14" s="21" t="s">
        <v>20</v>
      </c>
      <c r="E14" s="4"/>
    </row>
    <row r="15" spans="2:6" x14ac:dyDescent="0.25">
      <c r="C15" s="3"/>
      <c r="D15" s="4"/>
      <c r="E15" s="4"/>
      <c r="F15" t="s">
        <v>21</v>
      </c>
    </row>
    <row r="16" spans="2:6" ht="15.75" x14ac:dyDescent="0.25">
      <c r="C16" s="3"/>
      <c r="D16" s="4"/>
      <c r="E16" s="4"/>
      <c r="F16" s="60" t="s">
        <v>219</v>
      </c>
    </row>
    <row r="17" spans="3:6" ht="31.5" x14ac:dyDescent="0.25">
      <c r="C17" s="5" t="s">
        <v>22</v>
      </c>
      <c r="D17" s="4"/>
      <c r="E17" s="4"/>
      <c r="F17" s="50" t="s">
        <v>220</v>
      </c>
    </row>
    <row r="18" spans="3:6" ht="31.5" x14ac:dyDescent="0.25">
      <c r="C18" s="3" t="s">
        <v>23</v>
      </c>
      <c r="D18" s="1" t="s">
        <v>22</v>
      </c>
      <c r="E18" s="4"/>
      <c r="F18" s="50" t="s">
        <v>221</v>
      </c>
    </row>
    <row r="19" spans="3:6" ht="30.75" x14ac:dyDescent="0.25">
      <c r="C19" s="3" t="s">
        <v>24</v>
      </c>
      <c r="D19" s="22">
        <v>22</v>
      </c>
      <c r="E19" s="4"/>
      <c r="F19" s="49" t="s">
        <v>222</v>
      </c>
    </row>
    <row r="20" spans="3:6" x14ac:dyDescent="0.25">
      <c r="C20" s="3" t="s">
        <v>25</v>
      </c>
      <c r="D20" s="22">
        <v>6</v>
      </c>
      <c r="E20" s="4"/>
      <c r="F20" s="24"/>
    </row>
    <row r="21" spans="3:6" x14ac:dyDescent="0.25">
      <c r="C21" s="3" t="s">
        <v>26</v>
      </c>
      <c r="D21" s="22">
        <v>8</v>
      </c>
      <c r="E21" s="4"/>
    </row>
    <row r="22" spans="3:6" x14ac:dyDescent="0.25">
      <c r="C22" s="3" t="s">
        <v>27</v>
      </c>
      <c r="D22" s="22">
        <v>4</v>
      </c>
      <c r="E22" s="4"/>
      <c r="F22" t="s">
        <v>28</v>
      </c>
    </row>
    <row r="23" spans="3:6" x14ac:dyDescent="0.25">
      <c r="C23" s="3" t="s">
        <v>29</v>
      </c>
      <c r="D23" s="22"/>
      <c r="E23" s="4"/>
      <c r="F23" s="24"/>
    </row>
    <row r="24" spans="3:6" ht="47.25" x14ac:dyDescent="0.25">
      <c r="C24" s="3" t="s">
        <v>31</v>
      </c>
      <c r="D24" s="1">
        <f>SUM(D19:D23)</f>
        <v>40</v>
      </c>
      <c r="E24" s="4"/>
      <c r="F24" s="51" t="s">
        <v>223</v>
      </c>
    </row>
    <row r="25" spans="3:6" ht="15.75" x14ac:dyDescent="0.25">
      <c r="F25" s="48"/>
    </row>
    <row r="26" spans="3:6" ht="15.75" x14ac:dyDescent="0.25">
      <c r="F26" s="48"/>
    </row>
    <row r="27" spans="3:6" ht="18.75" x14ac:dyDescent="0.25">
      <c r="C27" s="5" t="s">
        <v>33</v>
      </c>
      <c r="D27" s="12" t="s">
        <v>34</v>
      </c>
      <c r="F27" s="48"/>
    </row>
    <row r="28" spans="3:6" x14ac:dyDescent="0.25">
      <c r="C28" s="3" t="s">
        <v>35</v>
      </c>
      <c r="D28" s="3" t="s">
        <v>36</v>
      </c>
      <c r="E28" s="3"/>
      <c r="F28" s="24"/>
    </row>
    <row r="29" spans="3:6" ht="30" x14ac:dyDescent="0.25">
      <c r="C29" s="3" t="s">
        <v>37</v>
      </c>
      <c r="D29" s="31" t="s">
        <v>224</v>
      </c>
      <c r="E29" s="4"/>
      <c r="F29" s="24"/>
    </row>
    <row r="30" spans="3:6" ht="30" x14ac:dyDescent="0.25">
      <c r="C30" s="3" t="s">
        <v>39</v>
      </c>
      <c r="D30" s="31" t="s">
        <v>225</v>
      </c>
      <c r="E30" s="4"/>
      <c r="F30" s="24"/>
    </row>
    <row r="31" spans="3:6" ht="45" x14ac:dyDescent="0.25">
      <c r="C31" s="3" t="s">
        <v>41</v>
      </c>
      <c r="D31" s="21" t="s">
        <v>226</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227</v>
      </c>
      <c r="G38" s="23">
        <v>0.5</v>
      </c>
      <c r="H38" s="21">
        <v>6</v>
      </c>
    </row>
    <row r="39" spans="3:8" x14ac:dyDescent="0.25">
      <c r="C39" s="3" t="s">
        <v>56</v>
      </c>
      <c r="D39" s="21" t="s">
        <v>110</v>
      </c>
      <c r="E39" s="21" t="s">
        <v>111</v>
      </c>
      <c r="F39" s="21" t="s">
        <v>228</v>
      </c>
      <c r="G39" s="23">
        <v>0.5</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142</v>
      </c>
    </row>
    <row r="47" spans="3:8" x14ac:dyDescent="0.25">
      <c r="C47" s="25" t="s">
        <v>52</v>
      </c>
      <c r="D47" s="24" t="s">
        <v>37</v>
      </c>
      <c r="E47" s="24" t="s">
        <v>64</v>
      </c>
      <c r="F47" s="24" t="s">
        <v>143</v>
      </c>
    </row>
    <row r="48" spans="3:8" x14ac:dyDescent="0.25">
      <c r="C48" s="25" t="s">
        <v>52</v>
      </c>
      <c r="D48" s="24" t="s">
        <v>37</v>
      </c>
      <c r="E48" s="24" t="s">
        <v>66</v>
      </c>
      <c r="F48" s="24" t="s">
        <v>67</v>
      </c>
    </row>
    <row r="49" spans="2:6" x14ac:dyDescent="0.25">
      <c r="C49" s="25" t="s">
        <v>56</v>
      </c>
      <c r="D49" s="24" t="s">
        <v>39</v>
      </c>
      <c r="E49" s="24" t="s">
        <v>141</v>
      </c>
      <c r="F49" s="24" t="s">
        <v>143</v>
      </c>
    </row>
    <row r="50" spans="2:6" x14ac:dyDescent="0.25">
      <c r="C50" s="25" t="s">
        <v>56</v>
      </c>
      <c r="D50" s="24" t="s">
        <v>39</v>
      </c>
      <c r="E50" s="24" t="s">
        <v>141</v>
      </c>
      <c r="F50" s="24" t="s">
        <v>199</v>
      </c>
    </row>
    <row r="51" spans="2:6" x14ac:dyDescent="0.25">
      <c r="C51" s="25" t="s">
        <v>56</v>
      </c>
      <c r="D51" s="24"/>
      <c r="E51" s="24"/>
      <c r="F51" s="24"/>
    </row>
    <row r="52" spans="2:6" x14ac:dyDescent="0.25">
      <c r="C52" s="25" t="s">
        <v>59</v>
      </c>
      <c r="D52" s="24"/>
      <c r="E52" s="24"/>
      <c r="F52" s="24"/>
    </row>
    <row r="53" spans="2:6" x14ac:dyDescent="0.25">
      <c r="C53" s="25" t="s">
        <v>59</v>
      </c>
      <c r="D53" s="24"/>
      <c r="E53" s="24"/>
      <c r="F53" s="24"/>
    </row>
    <row r="54" spans="2:6" x14ac:dyDescent="0.25">
      <c r="C54" s="25" t="s">
        <v>59</v>
      </c>
      <c r="D54" s="24"/>
      <c r="E54" s="24"/>
      <c r="F54" s="24"/>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ht="15.75" x14ac:dyDescent="0.25">
      <c r="B68" s="7">
        <v>1</v>
      </c>
      <c r="C68" s="1">
        <v>8</v>
      </c>
      <c r="D68" s="46"/>
      <c r="E68" s="46"/>
      <c r="F68" s="21"/>
    </row>
    <row r="69" spans="2:6" ht="15.75" x14ac:dyDescent="0.25">
      <c r="B69" s="7">
        <v>1</v>
      </c>
      <c r="C69" s="1">
        <v>9</v>
      </c>
      <c r="D69" s="46"/>
      <c r="E69" s="46"/>
      <c r="F69" s="21"/>
    </row>
    <row r="70" spans="2:6" ht="15.75" x14ac:dyDescent="0.25">
      <c r="B70" s="7">
        <v>1</v>
      </c>
      <c r="C70" s="1">
        <v>10</v>
      </c>
      <c r="D70" s="46"/>
      <c r="E70" s="46"/>
      <c r="F70" s="21"/>
    </row>
    <row r="71" spans="2:6" ht="15.75" x14ac:dyDescent="0.25">
      <c r="B71" s="7">
        <v>1</v>
      </c>
      <c r="C71" s="1">
        <v>11</v>
      </c>
      <c r="D71" s="46"/>
      <c r="E71" s="46"/>
      <c r="F71" s="21"/>
    </row>
    <row r="72" spans="2:6" ht="15.75" x14ac:dyDescent="0.25">
      <c r="B72" s="7">
        <v>1</v>
      </c>
      <c r="C72" s="1">
        <v>12</v>
      </c>
      <c r="D72" s="46"/>
      <c r="E72" s="46"/>
      <c r="F72" s="21"/>
    </row>
    <row r="73" spans="2:6" ht="15.75" x14ac:dyDescent="0.25">
      <c r="B73" s="7">
        <v>2</v>
      </c>
      <c r="C73" s="1">
        <v>1</v>
      </c>
      <c r="D73" s="46" t="s">
        <v>229</v>
      </c>
      <c r="E73" s="46"/>
      <c r="F73" s="21"/>
    </row>
    <row r="74" spans="2:6" ht="15.75" x14ac:dyDescent="0.25">
      <c r="B74" s="7">
        <v>2</v>
      </c>
      <c r="C74" s="1">
        <v>2</v>
      </c>
      <c r="D74" s="46" t="s">
        <v>230</v>
      </c>
      <c r="E74" s="46"/>
      <c r="F74" s="21"/>
    </row>
    <row r="75" spans="2:6" ht="15.75" x14ac:dyDescent="0.25">
      <c r="B75" s="7">
        <v>2</v>
      </c>
      <c r="C75" s="1">
        <v>3</v>
      </c>
      <c r="D75" s="46" t="s">
        <v>231</v>
      </c>
      <c r="E75" s="46" t="s">
        <v>232</v>
      </c>
      <c r="F75" s="21"/>
    </row>
    <row r="76" spans="2:6" ht="15.75" x14ac:dyDescent="0.25">
      <c r="B76" s="7">
        <v>2</v>
      </c>
      <c r="C76" s="1">
        <v>4</v>
      </c>
      <c r="D76" s="46" t="s">
        <v>233</v>
      </c>
      <c r="E76" s="46" t="s">
        <v>234</v>
      </c>
      <c r="F76" s="21"/>
    </row>
    <row r="77" spans="2:6" ht="15.75" x14ac:dyDescent="0.25">
      <c r="B77" s="7">
        <v>2</v>
      </c>
      <c r="C77" s="1">
        <v>5</v>
      </c>
      <c r="D77" s="46" t="s">
        <v>235</v>
      </c>
      <c r="E77" s="46" t="s">
        <v>236</v>
      </c>
      <c r="F77" s="21"/>
    </row>
    <row r="78" spans="2:6" ht="15.75" x14ac:dyDescent="0.25">
      <c r="B78" s="7">
        <v>2</v>
      </c>
      <c r="C78" s="1">
        <v>6</v>
      </c>
      <c r="D78" s="46" t="s">
        <v>237</v>
      </c>
      <c r="E78" s="46" t="s">
        <v>238</v>
      </c>
      <c r="F78" s="21"/>
    </row>
    <row r="79" spans="2:6" ht="15.75" x14ac:dyDescent="0.25">
      <c r="B79" s="7">
        <v>2</v>
      </c>
      <c r="C79" s="1">
        <v>7</v>
      </c>
      <c r="D79" s="46" t="s">
        <v>239</v>
      </c>
      <c r="E79" s="46"/>
      <c r="F79" s="21"/>
    </row>
    <row r="80" spans="2:6" ht="15.75" x14ac:dyDescent="0.25">
      <c r="B80" s="7">
        <v>2</v>
      </c>
      <c r="C80" s="1">
        <v>8</v>
      </c>
      <c r="D80" s="46" t="s">
        <v>240</v>
      </c>
      <c r="E80" s="46" t="s">
        <v>241</v>
      </c>
      <c r="F80" s="21"/>
    </row>
    <row r="81" spans="2:6" ht="15.75" x14ac:dyDescent="0.25">
      <c r="B81" s="7">
        <v>2</v>
      </c>
      <c r="C81" s="1">
        <v>9</v>
      </c>
      <c r="D81" s="46" t="s">
        <v>242</v>
      </c>
      <c r="E81" s="46" t="s">
        <v>243</v>
      </c>
      <c r="F81" s="21"/>
    </row>
    <row r="82" spans="2:6" ht="15.75" x14ac:dyDescent="0.25">
      <c r="B82" s="7">
        <v>2</v>
      </c>
      <c r="C82" s="1">
        <v>10</v>
      </c>
      <c r="D82" s="47" t="s">
        <v>244</v>
      </c>
      <c r="E82" s="47" t="s">
        <v>245</v>
      </c>
      <c r="F82" s="21"/>
    </row>
    <row r="83" spans="2:6" ht="15.75" x14ac:dyDescent="0.25">
      <c r="B83" s="7">
        <v>2</v>
      </c>
      <c r="C83" s="1">
        <v>11</v>
      </c>
      <c r="D83" s="47" t="s">
        <v>246</v>
      </c>
      <c r="E83" s="47" t="s">
        <v>247</v>
      </c>
      <c r="F83" s="21"/>
    </row>
    <row r="84" spans="2:6" ht="15.75" x14ac:dyDescent="0.25">
      <c r="B84" s="7">
        <v>2</v>
      </c>
      <c r="C84" s="1">
        <v>12</v>
      </c>
      <c r="D84" s="47" t="s">
        <v>248</v>
      </c>
      <c r="E84" s="47" t="s">
        <v>249</v>
      </c>
      <c r="F84" s="21"/>
    </row>
  </sheetData>
  <sheetProtection sheet="1" objects="1" scenarios="1" selectLockedCells="1" sort="0" autoFilter="0" pivotTables="0"/>
  <dataValidations count="4">
    <dataValidation type="list" allowBlank="1" showInputMessage="1" showErrorMessage="1" sqref="F46:F5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4"/>
  <dimension ref="B2:H84"/>
  <sheetViews>
    <sheetView showGridLines="0" topLeftCell="A16" zoomScale="85" zoomScaleNormal="85" workbookViewId="0">
      <selection activeCell="D8" sqref="D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4054SPS</v>
      </c>
      <c r="D2" s="20" t="str">
        <f>D8</f>
        <v>Academic Skills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464</v>
      </c>
      <c r="E7" s="4"/>
      <c r="F7" s="33" t="s">
        <v>465</v>
      </c>
    </row>
    <row r="8" spans="2:6" ht="45" x14ac:dyDescent="0.25">
      <c r="B8" s="2"/>
      <c r="C8" s="3" t="s">
        <v>6</v>
      </c>
      <c r="D8" s="21" t="s">
        <v>466</v>
      </c>
      <c r="E8" s="4"/>
      <c r="F8" s="33" t="s">
        <v>467</v>
      </c>
    </row>
    <row r="9" spans="2:6" x14ac:dyDescent="0.25">
      <c r="C9" s="3" t="s">
        <v>9</v>
      </c>
      <c r="D9" s="21">
        <v>20</v>
      </c>
      <c r="E9" s="4"/>
    </row>
    <row r="10" spans="2:6" x14ac:dyDescent="0.25">
      <c r="C10" s="3" t="s">
        <v>10</v>
      </c>
      <c r="D10" s="21">
        <v>1</v>
      </c>
      <c r="E10" s="4"/>
      <c r="F10" t="s">
        <v>11</v>
      </c>
    </row>
    <row r="11" spans="2:6" ht="45" x14ac:dyDescent="0.25">
      <c r="C11" s="3" t="s">
        <v>12</v>
      </c>
      <c r="D11" s="21">
        <v>4</v>
      </c>
      <c r="E11" s="4"/>
      <c r="F11" s="33" t="s">
        <v>468</v>
      </c>
    </row>
    <row r="12" spans="2:6" ht="45" x14ac:dyDescent="0.25">
      <c r="C12" s="3" t="s">
        <v>14</v>
      </c>
      <c r="D12" s="21" t="s">
        <v>391</v>
      </c>
      <c r="E12" s="4"/>
      <c r="F12" s="33" t="s">
        <v>469</v>
      </c>
    </row>
    <row r="13" spans="2:6" ht="45" x14ac:dyDescent="0.25">
      <c r="C13" s="3" t="s">
        <v>17</v>
      </c>
      <c r="D13" s="21" t="s">
        <v>130</v>
      </c>
      <c r="E13" s="4"/>
      <c r="F13" s="33" t="s">
        <v>470</v>
      </c>
    </row>
    <row r="14" spans="2:6" x14ac:dyDescent="0.25">
      <c r="C14" s="3" t="s">
        <v>19</v>
      </c>
      <c r="D14" s="21" t="s">
        <v>20</v>
      </c>
      <c r="E14" s="4"/>
    </row>
    <row r="15" spans="2:6" x14ac:dyDescent="0.25">
      <c r="C15" s="3"/>
      <c r="D15" s="4"/>
      <c r="E15" s="4"/>
      <c r="F15" t="s">
        <v>21</v>
      </c>
    </row>
    <row r="16" spans="2:6" ht="135" x14ac:dyDescent="0.25">
      <c r="C16" s="3"/>
      <c r="D16" s="4"/>
      <c r="E16" s="4"/>
      <c r="F16" s="33" t="s">
        <v>471</v>
      </c>
    </row>
    <row r="17" spans="3:6" ht="18.75" x14ac:dyDescent="0.25">
      <c r="C17" s="5" t="s">
        <v>22</v>
      </c>
      <c r="D17" s="4"/>
      <c r="E17" s="4"/>
      <c r="F17" s="24"/>
    </row>
    <row r="18" spans="3:6" x14ac:dyDescent="0.25">
      <c r="C18" s="3" t="s">
        <v>23</v>
      </c>
      <c r="D18" s="1" t="s">
        <v>22</v>
      </c>
      <c r="E18" s="4"/>
      <c r="F18" s="24"/>
    </row>
    <row r="19" spans="3:6" x14ac:dyDescent="0.25">
      <c r="C19" s="3" t="s">
        <v>24</v>
      </c>
      <c r="D19" s="22">
        <v>44</v>
      </c>
      <c r="E19" s="4"/>
      <c r="F19" s="24"/>
    </row>
    <row r="20" spans="3:6" x14ac:dyDescent="0.25">
      <c r="C20" s="3" t="s">
        <v>25</v>
      </c>
      <c r="D20" s="22">
        <v>8</v>
      </c>
      <c r="E20" s="4"/>
      <c r="F20" s="24"/>
    </row>
    <row r="21" spans="3:6" x14ac:dyDescent="0.25">
      <c r="C21" s="3" t="s">
        <v>26</v>
      </c>
      <c r="D21" s="22">
        <v>8</v>
      </c>
      <c r="E21" s="4"/>
    </row>
    <row r="22" spans="3:6" x14ac:dyDescent="0.25">
      <c r="C22" s="3" t="s">
        <v>27</v>
      </c>
      <c r="D22" s="22">
        <v>12</v>
      </c>
      <c r="E22" s="4"/>
      <c r="F22" t="s">
        <v>28</v>
      </c>
    </row>
    <row r="23" spans="3:6" x14ac:dyDescent="0.25">
      <c r="C23" s="3" t="s">
        <v>29</v>
      </c>
      <c r="D23" s="22">
        <v>4</v>
      </c>
      <c r="E23" s="4"/>
      <c r="F23" s="24"/>
    </row>
    <row r="24" spans="3:6" x14ac:dyDescent="0.25">
      <c r="C24" s="3" t="s">
        <v>31</v>
      </c>
      <c r="D24" s="1">
        <f>SUM(D19:D23)</f>
        <v>76</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21" t="s">
        <v>472</v>
      </c>
      <c r="E29" s="4"/>
      <c r="F29" s="24"/>
    </row>
    <row r="30" spans="3:6" ht="60" x14ac:dyDescent="0.25">
      <c r="C30" s="3" t="s">
        <v>39</v>
      </c>
      <c r="D30" s="21" t="s">
        <v>473</v>
      </c>
      <c r="E30" s="4"/>
      <c r="F30" s="24"/>
    </row>
    <row r="31" spans="3:6" ht="45" x14ac:dyDescent="0.25">
      <c r="C31" s="3" t="s">
        <v>41</v>
      </c>
      <c r="D31" s="21" t="s">
        <v>474</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45" x14ac:dyDescent="0.25">
      <c r="C38" s="3" t="s">
        <v>52</v>
      </c>
      <c r="D38" s="21" t="s">
        <v>108</v>
      </c>
      <c r="E38" s="21" t="s">
        <v>475</v>
      </c>
      <c r="F38" s="21" t="s">
        <v>476</v>
      </c>
      <c r="G38" s="23">
        <v>0.5</v>
      </c>
      <c r="H38" s="21">
        <v>6</v>
      </c>
    </row>
    <row r="39" spans="3:8" ht="45" x14ac:dyDescent="0.25">
      <c r="C39" s="3" t="s">
        <v>56</v>
      </c>
      <c r="D39" s="21" t="s">
        <v>110</v>
      </c>
      <c r="E39" s="21" t="s">
        <v>136</v>
      </c>
      <c r="F39" s="21" t="s">
        <v>477</v>
      </c>
      <c r="G39" s="23">
        <v>0.5</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445</v>
      </c>
      <c r="F46" s="24" t="s">
        <v>478</v>
      </c>
    </row>
    <row r="47" spans="3:8" x14ac:dyDescent="0.25">
      <c r="C47" s="25" t="s">
        <v>52</v>
      </c>
      <c r="D47" s="24" t="s">
        <v>37</v>
      </c>
      <c r="E47" s="24" t="s">
        <v>446</v>
      </c>
      <c r="F47" s="24" t="s">
        <v>199</v>
      </c>
    </row>
    <row r="48" spans="3:8" x14ac:dyDescent="0.25">
      <c r="C48" s="25" t="s">
        <v>52</v>
      </c>
      <c r="D48" s="24" t="s">
        <v>39</v>
      </c>
      <c r="E48" s="24" t="s">
        <v>66</v>
      </c>
      <c r="F48" s="24" t="s">
        <v>479</v>
      </c>
    </row>
    <row r="49" spans="2:6" x14ac:dyDescent="0.25">
      <c r="C49" s="25" t="s">
        <v>52</v>
      </c>
      <c r="D49" s="24" t="s">
        <v>39</v>
      </c>
      <c r="E49" s="24" t="s">
        <v>449</v>
      </c>
      <c r="F49" s="24" t="s">
        <v>480</v>
      </c>
    </row>
    <row r="50" spans="2:6" x14ac:dyDescent="0.25">
      <c r="C50" s="25" t="s">
        <v>52</v>
      </c>
      <c r="D50" s="24" t="s">
        <v>39</v>
      </c>
      <c r="E50" s="24" t="s">
        <v>440</v>
      </c>
      <c r="F50" s="24" t="s">
        <v>481</v>
      </c>
    </row>
    <row r="51" spans="2:6" x14ac:dyDescent="0.25">
      <c r="C51" s="25" t="s">
        <v>56</v>
      </c>
      <c r="D51" s="24" t="s">
        <v>41</v>
      </c>
      <c r="E51" s="24" t="s">
        <v>440</v>
      </c>
      <c r="F51" s="24" t="s">
        <v>482</v>
      </c>
    </row>
    <row r="52" spans="2:6" x14ac:dyDescent="0.25">
      <c r="C52" s="25" t="s">
        <v>56</v>
      </c>
      <c r="D52" s="24" t="s">
        <v>41</v>
      </c>
      <c r="E52" s="24" t="s">
        <v>66</v>
      </c>
      <c r="F52" s="24" t="s">
        <v>144</v>
      </c>
    </row>
    <row r="53" spans="2:6" x14ac:dyDescent="0.25">
      <c r="C53" s="25" t="s">
        <v>56</v>
      </c>
      <c r="D53" s="24" t="s">
        <v>41</v>
      </c>
      <c r="E53" s="24" t="s">
        <v>447</v>
      </c>
      <c r="F53" s="24" t="s">
        <v>483</v>
      </c>
    </row>
    <row r="54" spans="2:6" x14ac:dyDescent="0.25">
      <c r="C54" s="25" t="s">
        <v>56</v>
      </c>
      <c r="D54" s="24" t="s">
        <v>41</v>
      </c>
      <c r="E54" s="24" t="s">
        <v>443</v>
      </c>
      <c r="F54" s="24" t="s">
        <v>484</v>
      </c>
    </row>
    <row r="55" spans="2:6" x14ac:dyDescent="0.25">
      <c r="C55" s="25" t="s">
        <v>56</v>
      </c>
      <c r="D55" s="24" t="s">
        <v>41</v>
      </c>
      <c r="E55" s="24" t="s">
        <v>449</v>
      </c>
      <c r="F55" s="24" t="s">
        <v>73</v>
      </c>
    </row>
    <row r="56" spans="2:6" x14ac:dyDescent="0.25">
      <c r="C56" s="25"/>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t="s">
        <v>485</v>
      </c>
      <c r="E61" s="21" t="s">
        <v>486</v>
      </c>
      <c r="F61" s="21"/>
    </row>
    <row r="62" spans="2:6" x14ac:dyDescent="0.25">
      <c r="B62" s="7">
        <v>1</v>
      </c>
      <c r="C62" s="1">
        <v>2</v>
      </c>
      <c r="D62" s="21" t="s">
        <v>487</v>
      </c>
      <c r="E62" s="21" t="s">
        <v>488</v>
      </c>
      <c r="F62" s="21"/>
    </row>
    <row r="63" spans="2:6" x14ac:dyDescent="0.25">
      <c r="B63" s="7">
        <v>1</v>
      </c>
      <c r="C63" s="1">
        <v>3</v>
      </c>
      <c r="D63" s="21" t="s">
        <v>489</v>
      </c>
      <c r="E63" s="21" t="s">
        <v>490</v>
      </c>
      <c r="F63" s="21"/>
    </row>
    <row r="64" spans="2:6" x14ac:dyDescent="0.25">
      <c r="B64" s="7">
        <v>1</v>
      </c>
      <c r="C64" s="1">
        <v>4</v>
      </c>
      <c r="D64" s="21" t="s">
        <v>479</v>
      </c>
      <c r="E64" s="21" t="s">
        <v>491</v>
      </c>
      <c r="F64" s="21"/>
    </row>
    <row r="65" spans="2:6" x14ac:dyDescent="0.25">
      <c r="B65" s="7">
        <v>1</v>
      </c>
      <c r="C65" s="1">
        <v>5</v>
      </c>
      <c r="D65" s="21" t="s">
        <v>492</v>
      </c>
      <c r="E65" s="21" t="s">
        <v>493</v>
      </c>
      <c r="F65" s="21"/>
    </row>
    <row r="66" spans="2:6" x14ac:dyDescent="0.25">
      <c r="B66" s="7">
        <v>1</v>
      </c>
      <c r="C66" s="1">
        <v>6</v>
      </c>
      <c r="D66" s="21" t="s">
        <v>494</v>
      </c>
      <c r="E66" s="21" t="s">
        <v>495</v>
      </c>
      <c r="F66" s="21"/>
    </row>
    <row r="67" spans="2:6" x14ac:dyDescent="0.25">
      <c r="B67" s="7">
        <v>1</v>
      </c>
      <c r="C67" s="1">
        <v>7</v>
      </c>
      <c r="D67" s="21" t="s">
        <v>458</v>
      </c>
      <c r="E67" s="21" t="s">
        <v>458</v>
      </c>
      <c r="F67" s="21"/>
    </row>
    <row r="68" spans="2:6" x14ac:dyDescent="0.25">
      <c r="B68" s="7">
        <v>1</v>
      </c>
      <c r="C68" s="1">
        <v>8</v>
      </c>
      <c r="D68" s="21" t="s">
        <v>496</v>
      </c>
      <c r="E68" s="21" t="s">
        <v>497</v>
      </c>
      <c r="F68" s="21"/>
    </row>
    <row r="69" spans="2:6" x14ac:dyDescent="0.25">
      <c r="B69" s="7">
        <v>1</v>
      </c>
      <c r="C69" s="1">
        <v>9</v>
      </c>
      <c r="D69" s="21" t="s">
        <v>498</v>
      </c>
      <c r="E69" s="21" t="s">
        <v>499</v>
      </c>
      <c r="F69" s="21"/>
    </row>
    <row r="70" spans="2:6" x14ac:dyDescent="0.25">
      <c r="B70" s="7">
        <v>1</v>
      </c>
      <c r="C70" s="1">
        <v>10</v>
      </c>
      <c r="D70" s="21" t="s">
        <v>500</v>
      </c>
      <c r="E70" s="21" t="s">
        <v>501</v>
      </c>
      <c r="F70" s="21"/>
    </row>
    <row r="71" spans="2:6" x14ac:dyDescent="0.25">
      <c r="B71" s="7">
        <v>1</v>
      </c>
      <c r="C71" s="1">
        <v>11</v>
      </c>
      <c r="D71" s="21" t="s">
        <v>502</v>
      </c>
      <c r="E71" s="21" t="s">
        <v>503</v>
      </c>
      <c r="F71" s="21"/>
    </row>
    <row r="72" spans="2:6" x14ac:dyDescent="0.25">
      <c r="B72" s="7">
        <v>1</v>
      </c>
      <c r="C72" s="1">
        <v>12</v>
      </c>
      <c r="D72" s="21" t="s">
        <v>504</v>
      </c>
      <c r="E72" s="21" t="s">
        <v>505</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5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D46:D56</xm:sqref>
        </x14:dataValidation>
        <x14:dataValidation type="list" allowBlank="1" showInputMessage="1" showErrorMessage="1" xr:uid="{5036F22C-DC1A-45C2-ACC5-04A85C0867A2}">
          <x14:formula1>
            <xm:f>LISTS!$J$7:$J$16</xm:f>
          </x14:formula1>
          <xm:sqref>E46:E56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5"/>
  <dimension ref="B2:H84"/>
  <sheetViews>
    <sheetView showGridLines="0" topLeftCell="A14" zoomScale="85" zoomScaleNormal="85" workbookViewId="0">
      <selection activeCell="F8" sqref="F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4093SPS</v>
      </c>
      <c r="D2" s="20">
        <f>D9</f>
        <v>20</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285</v>
      </c>
      <c r="E7" s="4"/>
      <c r="F7" s="24"/>
    </row>
    <row r="8" spans="2:6" ht="15.75" x14ac:dyDescent="0.25">
      <c r="B8" s="2"/>
      <c r="C8" s="3" t="s">
        <v>6</v>
      </c>
      <c r="D8" s="58" t="s">
        <v>286</v>
      </c>
      <c r="E8" s="4"/>
      <c r="F8" s="54" t="s">
        <v>287</v>
      </c>
    </row>
    <row r="9" spans="2:6" x14ac:dyDescent="0.25">
      <c r="C9" s="3" t="s">
        <v>9</v>
      </c>
      <c r="D9" s="57">
        <v>20</v>
      </c>
      <c r="E9" s="4"/>
    </row>
    <row r="10" spans="2:6" x14ac:dyDescent="0.25">
      <c r="C10" s="3" t="s">
        <v>10</v>
      </c>
      <c r="D10" s="21">
        <v>1</v>
      </c>
      <c r="E10" s="4"/>
      <c r="F10" t="s">
        <v>11</v>
      </c>
    </row>
    <row r="11" spans="2:6" ht="15.75" x14ac:dyDescent="0.25">
      <c r="C11" s="3" t="s">
        <v>12</v>
      </c>
      <c r="D11" s="21">
        <v>4</v>
      </c>
      <c r="E11" s="4"/>
      <c r="F11" s="54" t="s">
        <v>288</v>
      </c>
    </row>
    <row r="12" spans="2:6" x14ac:dyDescent="0.25">
      <c r="C12" s="3" t="s">
        <v>14</v>
      </c>
      <c r="D12" s="21" t="s">
        <v>289</v>
      </c>
      <c r="E12" s="4"/>
      <c r="F12" s="24"/>
    </row>
    <row r="13" spans="2:6" x14ac:dyDescent="0.25">
      <c r="C13" s="3" t="s">
        <v>17</v>
      </c>
      <c r="D13" s="21" t="s">
        <v>130</v>
      </c>
      <c r="E13" s="4"/>
      <c r="F13" s="24"/>
    </row>
    <row r="14" spans="2:6" x14ac:dyDescent="0.25">
      <c r="C14" s="3" t="s">
        <v>19</v>
      </c>
      <c r="D14" s="21" t="s">
        <v>188</v>
      </c>
      <c r="E14" s="4"/>
    </row>
    <row r="15" spans="2:6" x14ac:dyDescent="0.25">
      <c r="C15" s="3"/>
      <c r="D15" s="4"/>
      <c r="E15" s="4"/>
      <c r="F15" t="s">
        <v>21</v>
      </c>
    </row>
    <row r="16" spans="2:6" x14ac:dyDescent="0.25">
      <c r="C16" s="3"/>
      <c r="D16" s="4"/>
      <c r="E16" s="4"/>
      <c r="F16" s="56" t="s">
        <v>287</v>
      </c>
    </row>
    <row r="17" spans="3:6" ht="18.75" x14ac:dyDescent="0.25">
      <c r="C17" s="5" t="s">
        <v>22</v>
      </c>
      <c r="D17" s="4"/>
      <c r="E17" s="4"/>
      <c r="F17" s="24"/>
    </row>
    <row r="18" spans="3:6" x14ac:dyDescent="0.25">
      <c r="C18" s="3" t="s">
        <v>23</v>
      </c>
      <c r="D18" s="1" t="s">
        <v>22</v>
      </c>
      <c r="E18" s="4"/>
      <c r="F18" s="24"/>
    </row>
    <row r="19" spans="3:6" x14ac:dyDescent="0.25">
      <c r="C19" s="3" t="s">
        <v>24</v>
      </c>
      <c r="D19" s="22">
        <v>22</v>
      </c>
      <c r="E19" s="4"/>
      <c r="F19" s="24"/>
    </row>
    <row r="20" spans="3:6" x14ac:dyDescent="0.25">
      <c r="C20" s="3" t="s">
        <v>25</v>
      </c>
      <c r="D20" s="22"/>
      <c r="E20" s="4"/>
      <c r="F20" s="24"/>
    </row>
    <row r="21" spans="3:6" x14ac:dyDescent="0.25">
      <c r="C21" s="3" t="s">
        <v>26</v>
      </c>
      <c r="D21" s="22"/>
      <c r="E21" s="4"/>
    </row>
    <row r="22" spans="3:6" x14ac:dyDescent="0.25">
      <c r="C22" s="3" t="s">
        <v>27</v>
      </c>
      <c r="D22" s="22"/>
      <c r="E22" s="4"/>
      <c r="F22" t="s">
        <v>28</v>
      </c>
    </row>
    <row r="23" spans="3:6" x14ac:dyDescent="0.25">
      <c r="C23" s="3" t="s">
        <v>29</v>
      </c>
      <c r="D23" s="22">
        <v>22</v>
      </c>
      <c r="E23" s="4"/>
      <c r="F23" s="52" t="s">
        <v>290</v>
      </c>
    </row>
    <row r="24" spans="3:6" x14ac:dyDescent="0.25">
      <c r="C24" s="3" t="s">
        <v>31</v>
      </c>
      <c r="D24" s="1">
        <f>SUM(D19:D23)</f>
        <v>44</v>
      </c>
      <c r="E24" s="4"/>
      <c r="F24" s="52" t="s">
        <v>291</v>
      </c>
    </row>
    <row r="25" spans="3:6" x14ac:dyDescent="0.25">
      <c r="F25" s="52" t="s">
        <v>292</v>
      </c>
    </row>
    <row r="26" spans="3:6" x14ac:dyDescent="0.25">
      <c r="F26" s="52" t="s">
        <v>293</v>
      </c>
    </row>
    <row r="27" spans="3:6" ht="18.75" x14ac:dyDescent="0.25">
      <c r="C27" s="5" t="s">
        <v>33</v>
      </c>
      <c r="D27" s="12" t="s">
        <v>34</v>
      </c>
      <c r="F27" s="52" t="s">
        <v>294</v>
      </c>
    </row>
    <row r="28" spans="3:6" x14ac:dyDescent="0.25">
      <c r="C28" s="3" t="s">
        <v>35</v>
      </c>
      <c r="D28" s="3" t="s">
        <v>36</v>
      </c>
      <c r="E28" s="3"/>
      <c r="F28" s="52" t="s">
        <v>295</v>
      </c>
    </row>
    <row r="29" spans="3:6" ht="15.75" x14ac:dyDescent="0.25">
      <c r="C29" s="3" t="s">
        <v>37</v>
      </c>
      <c r="D29" s="54" t="s">
        <v>296</v>
      </c>
      <c r="E29" s="4"/>
      <c r="F29" s="52" t="s">
        <v>297</v>
      </c>
    </row>
    <row r="30" spans="3:6" ht="15.75" x14ac:dyDescent="0.25">
      <c r="C30" s="3" t="s">
        <v>39</v>
      </c>
      <c r="D30" s="54" t="s">
        <v>298</v>
      </c>
      <c r="E30" s="4"/>
      <c r="F30" s="24" t="s">
        <v>299</v>
      </c>
    </row>
    <row r="31" spans="3:6" ht="15.75" x14ac:dyDescent="0.25">
      <c r="C31" s="3" t="s">
        <v>41</v>
      </c>
      <c r="D31" s="54" t="s">
        <v>300</v>
      </c>
      <c r="E31" s="4"/>
      <c r="F31" s="24" t="s">
        <v>299</v>
      </c>
    </row>
    <row r="32" spans="3:6" x14ac:dyDescent="0.25">
      <c r="C32" s="3" t="s">
        <v>43</v>
      </c>
      <c r="D32" s="21"/>
      <c r="E32" s="4"/>
      <c r="F32" s="24"/>
    </row>
    <row r="33" spans="3:8" x14ac:dyDescent="0.25">
      <c r="C33" s="3" t="s">
        <v>44</v>
      </c>
      <c r="D33" s="21"/>
      <c r="E33" s="4"/>
      <c r="F33" s="24" t="s">
        <v>301</v>
      </c>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138</v>
      </c>
      <c r="E38" s="21" t="s">
        <v>194</v>
      </c>
      <c r="F38" s="56" t="s">
        <v>302</v>
      </c>
      <c r="G38" s="23">
        <v>0.5</v>
      </c>
      <c r="H38" s="55" t="s">
        <v>303</v>
      </c>
    </row>
    <row r="39" spans="3:8" x14ac:dyDescent="0.25">
      <c r="C39" s="3" t="s">
        <v>56</v>
      </c>
      <c r="D39" s="21" t="s">
        <v>138</v>
      </c>
      <c r="E39" s="21" t="s">
        <v>194</v>
      </c>
      <c r="F39" s="55" t="s">
        <v>304</v>
      </c>
      <c r="G39" s="23">
        <v>0.5</v>
      </c>
      <c r="H39" s="55" t="s">
        <v>305</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142</v>
      </c>
    </row>
    <row r="47" spans="3:8" x14ac:dyDescent="0.25">
      <c r="C47" s="25" t="s">
        <v>52</v>
      </c>
      <c r="D47" s="24" t="s">
        <v>37</v>
      </c>
      <c r="E47" s="24" t="s">
        <v>116</v>
      </c>
      <c r="F47" s="24" t="s">
        <v>263</v>
      </c>
    </row>
    <row r="48" spans="3:8" x14ac:dyDescent="0.25">
      <c r="C48" s="25" t="s">
        <v>56</v>
      </c>
      <c r="D48" s="24" t="s">
        <v>39</v>
      </c>
      <c r="E48" s="24" t="s">
        <v>141</v>
      </c>
      <c r="F48" s="24" t="s">
        <v>142</v>
      </c>
    </row>
    <row r="49" spans="2:6" x14ac:dyDescent="0.25">
      <c r="C49" s="25" t="s">
        <v>56</v>
      </c>
      <c r="D49" s="24" t="s">
        <v>39</v>
      </c>
      <c r="E49" s="24" t="s">
        <v>116</v>
      </c>
      <c r="F49" s="24" t="s">
        <v>263</v>
      </c>
    </row>
    <row r="50" spans="2:6" x14ac:dyDescent="0.25">
      <c r="C50" s="25"/>
      <c r="D50" s="24"/>
      <c r="E50" s="24"/>
      <c r="F50" s="24"/>
    </row>
    <row r="51" spans="2:6" x14ac:dyDescent="0.25">
      <c r="C51" s="25"/>
      <c r="D51" s="24"/>
      <c r="E51" s="24"/>
      <c r="F51" s="24"/>
    </row>
    <row r="52" spans="2:6" x14ac:dyDescent="0.25">
      <c r="C52" s="25"/>
      <c r="D52" s="24"/>
      <c r="E52" s="24"/>
      <c r="F52" s="24"/>
    </row>
    <row r="53" spans="2:6" x14ac:dyDescent="0.25">
      <c r="C53" s="25"/>
      <c r="D53" s="24"/>
      <c r="E53" s="24"/>
      <c r="F53" s="24"/>
    </row>
    <row r="54" spans="2:6" x14ac:dyDescent="0.25">
      <c r="C54" s="25"/>
      <c r="D54" s="24"/>
      <c r="E54" s="24"/>
      <c r="F54" s="24"/>
    </row>
    <row r="55" spans="2:6" x14ac:dyDescent="0.25">
      <c r="C55" s="25"/>
      <c r="D55" s="24"/>
      <c r="E55" s="24"/>
      <c r="F55" s="24"/>
    </row>
    <row r="56" spans="2:6" x14ac:dyDescent="0.25">
      <c r="C56" s="25"/>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t="s">
        <v>306</v>
      </c>
      <c r="E61" s="21" t="s">
        <v>307</v>
      </c>
      <c r="F61" s="21" t="s">
        <v>308</v>
      </c>
    </row>
    <row r="62" spans="2:6" x14ac:dyDescent="0.25">
      <c r="B62" s="7">
        <v>1</v>
      </c>
      <c r="C62" s="1">
        <v>2</v>
      </c>
      <c r="D62" s="21" t="s">
        <v>306</v>
      </c>
      <c r="E62" s="21" t="s">
        <v>309</v>
      </c>
      <c r="F62" s="21" t="s">
        <v>308</v>
      </c>
    </row>
    <row r="63" spans="2:6" x14ac:dyDescent="0.25">
      <c r="B63" s="7">
        <v>1</v>
      </c>
      <c r="C63" s="1">
        <v>3</v>
      </c>
      <c r="D63" s="21" t="s">
        <v>306</v>
      </c>
      <c r="E63" s="21" t="s">
        <v>310</v>
      </c>
      <c r="F63" s="21" t="s">
        <v>308</v>
      </c>
    </row>
    <row r="64" spans="2:6" x14ac:dyDescent="0.25">
      <c r="B64" s="7">
        <v>1</v>
      </c>
      <c r="C64" s="1">
        <v>4</v>
      </c>
      <c r="D64" s="21" t="s">
        <v>306</v>
      </c>
      <c r="E64" s="21" t="s">
        <v>311</v>
      </c>
      <c r="F64" s="21" t="s">
        <v>308</v>
      </c>
    </row>
    <row r="65" spans="2:6" x14ac:dyDescent="0.25">
      <c r="B65" s="7">
        <v>1</v>
      </c>
      <c r="C65" s="1">
        <v>5</v>
      </c>
      <c r="D65" s="21" t="s">
        <v>306</v>
      </c>
      <c r="E65" s="21" t="s">
        <v>312</v>
      </c>
      <c r="F65" s="21" t="s">
        <v>308</v>
      </c>
    </row>
    <row r="66" spans="2:6" x14ac:dyDescent="0.25">
      <c r="B66" s="7">
        <v>1</v>
      </c>
      <c r="C66" s="1">
        <v>6</v>
      </c>
      <c r="D66" s="21" t="s">
        <v>306</v>
      </c>
      <c r="E66" s="21" t="s">
        <v>313</v>
      </c>
      <c r="F66" s="21" t="s">
        <v>308</v>
      </c>
    </row>
    <row r="67" spans="2:6" x14ac:dyDescent="0.25">
      <c r="B67" s="7">
        <v>1</v>
      </c>
      <c r="C67" s="1">
        <v>7</v>
      </c>
      <c r="D67" s="21"/>
      <c r="E67" s="21"/>
      <c r="F67" s="21"/>
    </row>
    <row r="68" spans="2:6" x14ac:dyDescent="0.25">
      <c r="B68" s="7">
        <v>1</v>
      </c>
      <c r="C68" s="1">
        <v>8</v>
      </c>
      <c r="D68" s="21" t="s">
        <v>306</v>
      </c>
      <c r="E68" s="21" t="s">
        <v>314</v>
      </c>
      <c r="F68" s="21" t="s">
        <v>308</v>
      </c>
    </row>
    <row r="69" spans="2:6" x14ac:dyDescent="0.25">
      <c r="B69" s="7">
        <v>1</v>
      </c>
      <c r="C69" s="1">
        <v>9</v>
      </c>
      <c r="D69" s="21" t="s">
        <v>306</v>
      </c>
      <c r="E69" s="21" t="s">
        <v>315</v>
      </c>
      <c r="F69" s="21" t="s">
        <v>308</v>
      </c>
    </row>
    <row r="70" spans="2:6" x14ac:dyDescent="0.25">
      <c r="B70" s="7">
        <v>1</v>
      </c>
      <c r="C70" s="1">
        <v>10</v>
      </c>
      <c r="D70" s="21" t="s">
        <v>306</v>
      </c>
      <c r="E70" s="21" t="s">
        <v>316</v>
      </c>
      <c r="F70" s="21" t="s">
        <v>308</v>
      </c>
    </row>
    <row r="71" spans="2:6" x14ac:dyDescent="0.25">
      <c r="B71" s="7">
        <v>1</v>
      </c>
      <c r="C71" s="1">
        <v>11</v>
      </c>
      <c r="D71" s="21" t="s">
        <v>306</v>
      </c>
      <c r="E71" s="21" t="s">
        <v>317</v>
      </c>
      <c r="F71" s="21" t="s">
        <v>308</v>
      </c>
    </row>
    <row r="72" spans="2:6" x14ac:dyDescent="0.25">
      <c r="B72" s="7">
        <v>1</v>
      </c>
      <c r="C72" s="1">
        <v>12</v>
      </c>
      <c r="D72" s="21" t="s">
        <v>306</v>
      </c>
      <c r="E72" s="21" t="s">
        <v>318</v>
      </c>
      <c r="F72" s="21" t="s">
        <v>308</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E46:E56</xm:sqref>
        </x14:dataValidation>
        <x14:dataValidation type="list" allowBlank="1" showInputMessage="1" showErrorMessage="1" xr:uid="{A4EF2000-8BB6-4BFE-B91D-91E943534494}">
          <x14:formula1>
            <xm:f>LISTS!$E$7:$E$11</xm:f>
          </x14:formula1>
          <xm:sqref>D46:D56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6"/>
  <dimension ref="B2:H84"/>
  <sheetViews>
    <sheetView showGridLines="0" topLeftCell="B8" zoomScale="85" zoomScaleNormal="85" workbookViewId="0">
      <selection activeCell="D31" sqref="D3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5051SPS</v>
      </c>
      <c r="D2" s="20" t="str">
        <f>D8</f>
        <v>PROFESSIONAL PRACTICE IN SPORT PSYCHOLOGY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424</v>
      </c>
      <c r="E7" s="4"/>
      <c r="F7" s="33" t="s">
        <v>425</v>
      </c>
    </row>
    <row r="8" spans="2:6" ht="60" x14ac:dyDescent="0.25">
      <c r="B8" s="2"/>
      <c r="C8" s="3" t="s">
        <v>6</v>
      </c>
      <c r="D8" s="21" t="s">
        <v>426</v>
      </c>
      <c r="E8" s="4"/>
      <c r="F8" s="33" t="s">
        <v>427</v>
      </c>
    </row>
    <row r="9" spans="2:6" x14ac:dyDescent="0.25">
      <c r="C9" s="3" t="s">
        <v>9</v>
      </c>
      <c r="D9" s="21">
        <v>20</v>
      </c>
      <c r="E9" s="4"/>
    </row>
    <row r="10" spans="2:6" x14ac:dyDescent="0.25">
      <c r="C10" s="3" t="s">
        <v>10</v>
      </c>
      <c r="D10" s="21">
        <v>1</v>
      </c>
      <c r="E10" s="4"/>
      <c r="F10" t="s">
        <v>11</v>
      </c>
    </row>
    <row r="11" spans="2:6" ht="43.5" x14ac:dyDescent="0.25">
      <c r="C11" s="3" t="s">
        <v>12</v>
      </c>
      <c r="D11" s="21">
        <v>5</v>
      </c>
      <c r="E11" s="4"/>
      <c r="F11" s="59" t="s">
        <v>428</v>
      </c>
    </row>
    <row r="12" spans="2:6" ht="60" x14ac:dyDescent="0.25">
      <c r="C12" s="3" t="s">
        <v>14</v>
      </c>
      <c r="D12" s="21" t="s">
        <v>391</v>
      </c>
      <c r="E12" s="4"/>
      <c r="F12" s="33" t="s">
        <v>429</v>
      </c>
    </row>
    <row r="13" spans="2:6" ht="45" x14ac:dyDescent="0.25">
      <c r="C13" s="3" t="s">
        <v>17</v>
      </c>
      <c r="D13" s="21" t="s">
        <v>18</v>
      </c>
      <c r="E13" s="4"/>
      <c r="F13" s="33" t="s">
        <v>430</v>
      </c>
    </row>
    <row r="14" spans="2:6" x14ac:dyDescent="0.25">
      <c r="C14" s="3" t="s">
        <v>19</v>
      </c>
      <c r="D14" s="21" t="s">
        <v>20</v>
      </c>
      <c r="E14" s="4"/>
    </row>
    <row r="15" spans="2:6" x14ac:dyDescent="0.25">
      <c r="C15" s="3"/>
      <c r="D15" s="4"/>
      <c r="E15" s="4"/>
      <c r="F15" t="s">
        <v>21</v>
      </c>
    </row>
    <row r="16" spans="2:6" ht="120" x14ac:dyDescent="0.25">
      <c r="C16" s="3"/>
      <c r="D16" s="4"/>
      <c r="E16" s="4"/>
      <c r="F16" s="33" t="s">
        <v>431</v>
      </c>
    </row>
    <row r="17" spans="3:6" ht="18.75" x14ac:dyDescent="0.25">
      <c r="C17" s="5" t="s">
        <v>22</v>
      </c>
      <c r="D17" s="4"/>
      <c r="E17" s="4"/>
      <c r="F17" s="24"/>
    </row>
    <row r="18" spans="3:6" x14ac:dyDescent="0.25">
      <c r="C18" s="3" t="s">
        <v>23</v>
      </c>
      <c r="D18" s="1" t="s">
        <v>22</v>
      </c>
      <c r="E18" s="4"/>
      <c r="F18" s="24"/>
    </row>
    <row r="19" spans="3:6" x14ac:dyDescent="0.25">
      <c r="C19" s="3" t="s">
        <v>24</v>
      </c>
      <c r="D19" s="22">
        <v>44</v>
      </c>
      <c r="E19" s="4"/>
      <c r="F19" s="24"/>
    </row>
    <row r="20" spans="3:6" x14ac:dyDescent="0.25">
      <c r="C20" s="3" t="s">
        <v>25</v>
      </c>
      <c r="D20" s="22">
        <v>10</v>
      </c>
      <c r="E20" s="4"/>
      <c r="F20" s="24"/>
    </row>
    <row r="21" spans="3:6" x14ac:dyDescent="0.25">
      <c r="C21" s="3" t="s">
        <v>26</v>
      </c>
      <c r="D21" s="22">
        <v>4</v>
      </c>
      <c r="E21" s="4"/>
    </row>
    <row r="22" spans="3:6" x14ac:dyDescent="0.25">
      <c r="C22" s="3" t="s">
        <v>27</v>
      </c>
      <c r="D22" s="22">
        <v>8</v>
      </c>
      <c r="E22" s="4"/>
      <c r="F22" t="s">
        <v>28</v>
      </c>
    </row>
    <row r="23" spans="3:6" x14ac:dyDescent="0.25">
      <c r="C23" s="3" t="s">
        <v>29</v>
      </c>
      <c r="D23" s="22">
        <v>0</v>
      </c>
      <c r="E23" s="4"/>
      <c r="F23" s="24"/>
    </row>
    <row r="24" spans="3:6" x14ac:dyDescent="0.25">
      <c r="C24" s="3" t="s">
        <v>31</v>
      </c>
      <c r="D24" s="1">
        <f>SUM(D19:D23)</f>
        <v>66</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21" t="s">
        <v>432</v>
      </c>
      <c r="E29" s="4"/>
      <c r="F29" s="24"/>
    </row>
    <row r="30" spans="3:6" ht="45" x14ac:dyDescent="0.25">
      <c r="C30" s="3" t="s">
        <v>39</v>
      </c>
      <c r="D30" s="21" t="s">
        <v>433</v>
      </c>
      <c r="E30" s="4"/>
      <c r="F30" s="24"/>
    </row>
    <row r="31" spans="3:6" ht="60" x14ac:dyDescent="0.25">
      <c r="C31" s="3" t="s">
        <v>41</v>
      </c>
      <c r="D31" s="21" t="s">
        <v>434</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435</v>
      </c>
      <c r="G38" s="23">
        <v>0.4</v>
      </c>
      <c r="H38" s="21">
        <v>6</v>
      </c>
    </row>
    <row r="39" spans="3:8" x14ac:dyDescent="0.25">
      <c r="C39" s="3" t="s">
        <v>56</v>
      </c>
      <c r="D39" s="21" t="s">
        <v>110</v>
      </c>
      <c r="E39" s="21" t="s">
        <v>192</v>
      </c>
      <c r="F39" s="21" t="s">
        <v>436</v>
      </c>
      <c r="G39" s="23" t="s">
        <v>437</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438</v>
      </c>
      <c r="D46" s="24" t="s">
        <v>39</v>
      </c>
      <c r="E46" s="24" t="s">
        <v>66</v>
      </c>
      <c r="F46" s="24" t="s">
        <v>439</v>
      </c>
    </row>
    <row r="47" spans="3:8" x14ac:dyDescent="0.25">
      <c r="C47" s="25" t="s">
        <v>438</v>
      </c>
      <c r="D47" s="24" t="s">
        <v>39</v>
      </c>
      <c r="E47" s="24" t="s">
        <v>440</v>
      </c>
      <c r="F47" s="24" t="s">
        <v>403</v>
      </c>
    </row>
    <row r="48" spans="3:8" x14ac:dyDescent="0.25">
      <c r="C48" s="25" t="s">
        <v>438</v>
      </c>
      <c r="D48" s="24" t="s">
        <v>39</v>
      </c>
      <c r="E48" s="24" t="s">
        <v>441</v>
      </c>
      <c r="F48" s="24" t="s">
        <v>442</v>
      </c>
    </row>
    <row r="49" spans="2:6" x14ac:dyDescent="0.25">
      <c r="C49" s="25" t="s">
        <v>438</v>
      </c>
      <c r="D49" s="24" t="s">
        <v>39</v>
      </c>
      <c r="E49" s="24" t="s">
        <v>443</v>
      </c>
      <c r="F49" s="24" t="s">
        <v>65</v>
      </c>
    </row>
    <row r="50" spans="2:6" x14ac:dyDescent="0.25">
      <c r="C50" s="25" t="s">
        <v>444</v>
      </c>
      <c r="D50" s="24" t="s">
        <v>37</v>
      </c>
      <c r="E50" s="24" t="s">
        <v>445</v>
      </c>
      <c r="F50" s="24" t="s">
        <v>117</v>
      </c>
    </row>
    <row r="51" spans="2:6" x14ac:dyDescent="0.25">
      <c r="C51" s="25" t="s">
        <v>444</v>
      </c>
      <c r="D51" s="24" t="s">
        <v>37</v>
      </c>
      <c r="E51" s="24" t="s">
        <v>446</v>
      </c>
      <c r="F51" s="24" t="s">
        <v>199</v>
      </c>
    </row>
    <row r="52" spans="2:6" x14ac:dyDescent="0.25">
      <c r="C52" s="25" t="s">
        <v>444</v>
      </c>
      <c r="D52" s="24" t="s">
        <v>39</v>
      </c>
      <c r="E52" s="24" t="s">
        <v>447</v>
      </c>
      <c r="F52" s="24" t="s">
        <v>448</v>
      </c>
    </row>
    <row r="53" spans="2:6" x14ac:dyDescent="0.25">
      <c r="C53" s="25" t="s">
        <v>444</v>
      </c>
      <c r="D53" s="24" t="s">
        <v>39</v>
      </c>
      <c r="E53" s="24" t="s">
        <v>443</v>
      </c>
      <c r="F53" s="24" t="s">
        <v>362</v>
      </c>
    </row>
    <row r="54" spans="2:6" x14ac:dyDescent="0.25">
      <c r="C54" s="25" t="s">
        <v>444</v>
      </c>
      <c r="D54" s="24" t="s">
        <v>41</v>
      </c>
      <c r="E54" s="24" t="s">
        <v>449</v>
      </c>
      <c r="F54" s="24" t="s">
        <v>73</v>
      </c>
    </row>
    <row r="55" spans="2:6" x14ac:dyDescent="0.25">
      <c r="C55" s="25" t="s">
        <v>444</v>
      </c>
      <c r="D55" s="24" t="s">
        <v>41</v>
      </c>
      <c r="E55" s="24" t="s">
        <v>450</v>
      </c>
      <c r="F55" s="24" t="s">
        <v>451</v>
      </c>
    </row>
    <row r="56" spans="2:6" x14ac:dyDescent="0.25">
      <c r="C56" s="25"/>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t="s">
        <v>452</v>
      </c>
      <c r="E61" s="21" t="s">
        <v>408</v>
      </c>
      <c r="F61" s="21"/>
    </row>
    <row r="62" spans="2:6" x14ac:dyDescent="0.25">
      <c r="B62" s="7">
        <v>1</v>
      </c>
      <c r="C62" s="1">
        <v>2</v>
      </c>
      <c r="D62" s="21" t="s">
        <v>453</v>
      </c>
      <c r="E62" s="21" t="s">
        <v>410</v>
      </c>
      <c r="F62" s="21"/>
    </row>
    <row r="63" spans="2:6" x14ac:dyDescent="0.25">
      <c r="B63" s="7">
        <v>1</v>
      </c>
      <c r="C63" s="1">
        <v>3</v>
      </c>
      <c r="D63" s="21" t="s">
        <v>454</v>
      </c>
      <c r="E63" s="21" t="s">
        <v>408</v>
      </c>
      <c r="F63" s="21"/>
    </row>
    <row r="64" spans="2:6" x14ac:dyDescent="0.25">
      <c r="B64" s="7">
        <v>1</v>
      </c>
      <c r="C64" s="1">
        <v>4</v>
      </c>
      <c r="D64" s="21" t="s">
        <v>455</v>
      </c>
      <c r="E64" s="21" t="s">
        <v>410</v>
      </c>
      <c r="F64" s="21"/>
    </row>
    <row r="65" spans="2:6" x14ac:dyDescent="0.25">
      <c r="B65" s="7">
        <v>1</v>
      </c>
      <c r="C65" s="1">
        <v>5</v>
      </c>
      <c r="D65" s="21" t="s">
        <v>456</v>
      </c>
      <c r="E65" s="21" t="s">
        <v>408</v>
      </c>
      <c r="F65" s="21"/>
    </row>
    <row r="66" spans="2:6" x14ac:dyDescent="0.25">
      <c r="B66" s="7">
        <v>1</v>
      </c>
      <c r="C66" s="1">
        <v>6</v>
      </c>
      <c r="D66" s="21" t="s">
        <v>457</v>
      </c>
      <c r="E66" s="21" t="s">
        <v>415</v>
      </c>
      <c r="F66" s="21"/>
    </row>
    <row r="67" spans="2:6" x14ac:dyDescent="0.25">
      <c r="B67" s="7">
        <v>1</v>
      </c>
      <c r="C67" s="1">
        <v>7</v>
      </c>
      <c r="D67" s="21" t="s">
        <v>458</v>
      </c>
      <c r="E67" s="21" t="s">
        <v>417</v>
      </c>
      <c r="F67" s="21"/>
    </row>
    <row r="68" spans="2:6" x14ac:dyDescent="0.25">
      <c r="B68" s="7">
        <v>1</v>
      </c>
      <c r="C68" s="1">
        <v>8</v>
      </c>
      <c r="D68" s="21" t="s">
        <v>459</v>
      </c>
      <c r="E68" s="21" t="s">
        <v>410</v>
      </c>
      <c r="F68" s="21"/>
    </row>
    <row r="69" spans="2:6" x14ac:dyDescent="0.25">
      <c r="B69" s="7">
        <v>1</v>
      </c>
      <c r="C69" s="1">
        <v>9</v>
      </c>
      <c r="D69" s="21" t="s">
        <v>460</v>
      </c>
      <c r="E69" s="21" t="s">
        <v>410</v>
      </c>
      <c r="F69" s="21"/>
    </row>
    <row r="70" spans="2:6" x14ac:dyDescent="0.25">
      <c r="B70" s="7">
        <v>1</v>
      </c>
      <c r="C70" s="1">
        <v>10</v>
      </c>
      <c r="D70" s="21" t="s">
        <v>461</v>
      </c>
      <c r="E70" s="21" t="s">
        <v>408</v>
      </c>
      <c r="F70" s="21"/>
    </row>
    <row r="71" spans="2:6" x14ac:dyDescent="0.25">
      <c r="B71" s="7">
        <v>1</v>
      </c>
      <c r="C71" s="1">
        <v>11</v>
      </c>
      <c r="D71" s="21" t="s">
        <v>462</v>
      </c>
      <c r="E71" s="21" t="s">
        <v>415</v>
      </c>
      <c r="F71" s="21"/>
    </row>
    <row r="72" spans="2:6" x14ac:dyDescent="0.25">
      <c r="B72" s="7">
        <v>1</v>
      </c>
      <c r="C72" s="1">
        <v>12</v>
      </c>
      <c r="D72" s="21" t="s">
        <v>463</v>
      </c>
      <c r="E72" s="21" t="s">
        <v>423</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E46:E56</xm:sqref>
        </x14:dataValidation>
        <x14:dataValidation type="list" allowBlank="1" showInputMessage="1" showErrorMessage="1" xr:uid="{14DAA443-23DD-4C34-A97A-3ECF7C0E8C55}">
          <x14:formula1>
            <xm:f>LISTS!$E$7:$E$11</xm:f>
          </x14:formula1>
          <xm:sqref>D46:D56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7"/>
  <dimension ref="B2:H84"/>
  <sheetViews>
    <sheetView showGridLines="0" zoomScale="85" zoomScaleNormal="85" workbookViewId="0">
      <selection activeCell="F11" sqref="F1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5052SPS</v>
      </c>
      <c r="D2" s="20" t="str">
        <f>D8</f>
        <v>Advances in Cognitive and Biological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319</v>
      </c>
      <c r="E7" s="4"/>
      <c r="F7" s="24" t="s">
        <v>320</v>
      </c>
    </row>
    <row r="8" spans="2:6" x14ac:dyDescent="0.25">
      <c r="B8" s="2"/>
      <c r="C8" s="3" t="s">
        <v>6</v>
      </c>
      <c r="D8" s="21" t="s">
        <v>321</v>
      </c>
      <c r="E8" s="4"/>
      <c r="F8" s="24" t="s">
        <v>322</v>
      </c>
    </row>
    <row r="9" spans="2:6" x14ac:dyDescent="0.25">
      <c r="C9" s="3" t="s">
        <v>9</v>
      </c>
      <c r="D9" s="21">
        <v>20</v>
      </c>
      <c r="E9" s="4"/>
    </row>
    <row r="10" spans="2:6" x14ac:dyDescent="0.25">
      <c r="C10" s="3" t="s">
        <v>10</v>
      </c>
      <c r="D10" s="21">
        <v>1</v>
      </c>
      <c r="E10" s="4"/>
      <c r="F10" t="s">
        <v>11</v>
      </c>
    </row>
    <row r="11" spans="2:6" x14ac:dyDescent="0.25">
      <c r="C11" s="3" t="s">
        <v>12</v>
      </c>
      <c r="D11" s="21">
        <v>5</v>
      </c>
      <c r="E11" s="4"/>
      <c r="F11" s="24" t="s">
        <v>323</v>
      </c>
    </row>
    <row r="12" spans="2:6" x14ac:dyDescent="0.25">
      <c r="C12" s="3" t="s">
        <v>14</v>
      </c>
      <c r="D12" s="21" t="s">
        <v>324</v>
      </c>
      <c r="E12" s="4"/>
      <c r="F12" s="24" t="s">
        <v>325</v>
      </c>
    </row>
    <row r="13" spans="2:6" x14ac:dyDescent="0.25">
      <c r="C13" s="3" t="s">
        <v>17</v>
      </c>
      <c r="D13" s="21" t="s">
        <v>130</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22</v>
      </c>
      <c r="D17" s="4"/>
      <c r="E17" s="4"/>
      <c r="F17" s="24"/>
    </row>
    <row r="18" spans="3:6" x14ac:dyDescent="0.25">
      <c r="C18" s="3" t="s">
        <v>23</v>
      </c>
      <c r="D18" s="1" t="s">
        <v>22</v>
      </c>
      <c r="E18" s="4"/>
      <c r="F18" s="24"/>
    </row>
    <row r="19" spans="3:6" x14ac:dyDescent="0.25">
      <c r="C19" s="3" t="s">
        <v>24</v>
      </c>
      <c r="D19" s="22">
        <v>18</v>
      </c>
      <c r="E19" s="4"/>
      <c r="F19" s="24"/>
    </row>
    <row r="20" spans="3:6" x14ac:dyDescent="0.25">
      <c r="C20" s="3" t="s">
        <v>25</v>
      </c>
      <c r="D20" s="22">
        <v>4</v>
      </c>
      <c r="E20" s="4"/>
      <c r="F20" s="24"/>
    </row>
    <row r="21" spans="3:6" x14ac:dyDescent="0.25">
      <c r="C21" s="3" t="s">
        <v>26</v>
      </c>
      <c r="D21" s="22">
        <v>16</v>
      </c>
      <c r="E21" s="4"/>
    </row>
    <row r="22" spans="3:6" x14ac:dyDescent="0.25">
      <c r="C22" s="3" t="s">
        <v>27</v>
      </c>
      <c r="D22" s="22">
        <v>0</v>
      </c>
      <c r="E22" s="4"/>
      <c r="F22" t="s">
        <v>28</v>
      </c>
    </row>
    <row r="23" spans="3:6" x14ac:dyDescent="0.25">
      <c r="C23" s="3" t="s">
        <v>29</v>
      </c>
      <c r="D23" s="22">
        <v>4</v>
      </c>
      <c r="E23" s="4"/>
      <c r="F23" s="24"/>
    </row>
    <row r="24" spans="3:6" x14ac:dyDescent="0.25">
      <c r="C24" s="3" t="s">
        <v>31</v>
      </c>
      <c r="D24" s="1">
        <f>SUM(D19:D23)</f>
        <v>42</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21" t="s">
        <v>326</v>
      </c>
      <c r="E29" s="4"/>
      <c r="F29" s="24"/>
    </row>
    <row r="30" spans="3:6" ht="45" x14ac:dyDescent="0.25">
      <c r="C30" s="3" t="s">
        <v>39</v>
      </c>
      <c r="D30" s="21" t="s">
        <v>327</v>
      </c>
      <c r="E30" s="4"/>
      <c r="F30" s="24"/>
    </row>
    <row r="31" spans="3:6" x14ac:dyDescent="0.25">
      <c r="C31" s="3" t="s">
        <v>41</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328</v>
      </c>
      <c r="G38" s="23">
        <v>0.5</v>
      </c>
      <c r="H38" s="21">
        <v>8</v>
      </c>
    </row>
    <row r="39" spans="3:8" x14ac:dyDescent="0.25">
      <c r="C39" s="3" t="s">
        <v>56</v>
      </c>
      <c r="D39" s="21" t="s">
        <v>53</v>
      </c>
      <c r="E39" s="21" t="s">
        <v>57</v>
      </c>
      <c r="F39" s="21" t="s">
        <v>329</v>
      </c>
      <c r="G39" s="23">
        <v>0.5</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142</v>
      </c>
    </row>
    <row r="47" spans="3:8" x14ac:dyDescent="0.25">
      <c r="C47" s="25" t="s">
        <v>52</v>
      </c>
      <c r="D47" s="24" t="s">
        <v>37</v>
      </c>
      <c r="E47" s="24" t="s">
        <v>141</v>
      </c>
      <c r="F47" s="24" t="s">
        <v>143</v>
      </c>
    </row>
    <row r="48" spans="3:8" x14ac:dyDescent="0.25">
      <c r="C48" s="25" t="s">
        <v>52</v>
      </c>
      <c r="D48" s="24" t="s">
        <v>37</v>
      </c>
      <c r="E48" s="24" t="s">
        <v>66</v>
      </c>
      <c r="F48" s="24" t="s">
        <v>67</v>
      </c>
    </row>
    <row r="49" spans="2:6" x14ac:dyDescent="0.25">
      <c r="C49" s="25" t="s">
        <v>56</v>
      </c>
      <c r="D49" s="24" t="s">
        <v>39</v>
      </c>
      <c r="E49" s="24" t="s">
        <v>330</v>
      </c>
      <c r="F49" s="24" t="s">
        <v>331</v>
      </c>
    </row>
    <row r="50" spans="2:6" x14ac:dyDescent="0.25">
      <c r="C50" s="25" t="s">
        <v>56</v>
      </c>
      <c r="D50" s="24" t="s">
        <v>39</v>
      </c>
      <c r="E50" s="24" t="s">
        <v>116</v>
      </c>
      <c r="F50" s="24" t="s">
        <v>117</v>
      </c>
    </row>
    <row r="51" spans="2:6" x14ac:dyDescent="0.25">
      <c r="C51" s="25" t="s">
        <v>56</v>
      </c>
      <c r="D51" s="24" t="s">
        <v>39</v>
      </c>
      <c r="E51" s="24" t="s">
        <v>116</v>
      </c>
      <c r="F51" s="24" t="s">
        <v>263</v>
      </c>
    </row>
    <row r="52" spans="2:6" x14ac:dyDescent="0.25">
      <c r="C52" s="25" t="s">
        <v>59</v>
      </c>
      <c r="D52" s="24" t="s">
        <v>39</v>
      </c>
      <c r="E52" s="24" t="s">
        <v>66</v>
      </c>
      <c r="F52" s="24" t="s">
        <v>67</v>
      </c>
    </row>
    <row r="53" spans="2:6" x14ac:dyDescent="0.25">
      <c r="C53" s="25" t="s">
        <v>59</v>
      </c>
      <c r="D53" s="24" t="s">
        <v>39</v>
      </c>
      <c r="E53" s="24" t="s">
        <v>141</v>
      </c>
      <c r="F53" s="24" t="s">
        <v>199</v>
      </c>
    </row>
    <row r="54" spans="2:6" x14ac:dyDescent="0.25">
      <c r="C54" s="25" t="s">
        <v>59</v>
      </c>
      <c r="D54" s="24" t="s">
        <v>39</v>
      </c>
      <c r="E54" s="24" t="s">
        <v>141</v>
      </c>
      <c r="F54" s="24" t="s">
        <v>332</v>
      </c>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t="s">
        <v>333</v>
      </c>
      <c r="E61" s="21" t="s">
        <v>334</v>
      </c>
      <c r="F61" s="21"/>
    </row>
    <row r="62" spans="2:6" x14ac:dyDescent="0.25">
      <c r="B62" s="7">
        <v>1</v>
      </c>
      <c r="C62" s="1">
        <v>2</v>
      </c>
      <c r="D62" s="21" t="s">
        <v>335</v>
      </c>
      <c r="E62" s="21" t="s">
        <v>336</v>
      </c>
      <c r="F62" s="21"/>
    </row>
    <row r="63" spans="2:6" x14ac:dyDescent="0.25">
      <c r="B63" s="7">
        <v>1</v>
      </c>
      <c r="C63" s="1">
        <v>3</v>
      </c>
      <c r="D63" s="21" t="s">
        <v>337</v>
      </c>
      <c r="E63" s="21" t="s">
        <v>336</v>
      </c>
      <c r="F63" s="21"/>
    </row>
    <row r="64" spans="2:6" x14ac:dyDescent="0.25">
      <c r="B64" s="7">
        <v>1</v>
      </c>
      <c r="C64" s="1">
        <v>4</v>
      </c>
      <c r="D64" s="21" t="s">
        <v>338</v>
      </c>
      <c r="E64" s="21" t="s">
        <v>336</v>
      </c>
      <c r="F64" s="21"/>
    </row>
    <row r="65" spans="2:6" x14ac:dyDescent="0.25">
      <c r="B65" s="7">
        <v>1</v>
      </c>
      <c r="C65" s="1">
        <v>5</v>
      </c>
      <c r="D65" s="21" t="s">
        <v>339</v>
      </c>
      <c r="E65" s="21" t="s">
        <v>336</v>
      </c>
      <c r="F65" s="21"/>
    </row>
    <row r="66" spans="2:6" x14ac:dyDescent="0.25">
      <c r="B66" s="7">
        <v>1</v>
      </c>
      <c r="C66" s="1">
        <v>6</v>
      </c>
      <c r="D66" s="21" t="s">
        <v>340</v>
      </c>
      <c r="E66" s="21" t="s">
        <v>336</v>
      </c>
      <c r="F66" s="21"/>
    </row>
    <row r="67" spans="2:6" x14ac:dyDescent="0.25">
      <c r="B67" s="7">
        <v>1</v>
      </c>
      <c r="C67" s="1">
        <v>7</v>
      </c>
      <c r="D67" s="21" t="s">
        <v>341</v>
      </c>
      <c r="E67" s="21"/>
      <c r="F67" s="21"/>
    </row>
    <row r="68" spans="2:6" x14ac:dyDescent="0.25">
      <c r="B68" s="7">
        <v>1</v>
      </c>
      <c r="C68" s="1">
        <v>8</v>
      </c>
      <c r="D68" s="21" t="s">
        <v>342</v>
      </c>
      <c r="E68" s="21" t="s">
        <v>343</v>
      </c>
      <c r="F68" s="21"/>
    </row>
    <row r="69" spans="2:6" x14ac:dyDescent="0.25">
      <c r="B69" s="7">
        <v>1</v>
      </c>
      <c r="C69" s="1">
        <v>9</v>
      </c>
      <c r="D69" s="21" t="s">
        <v>344</v>
      </c>
      <c r="E69" s="21" t="s">
        <v>345</v>
      </c>
      <c r="F69" s="21"/>
    </row>
    <row r="70" spans="2:6" x14ac:dyDescent="0.25">
      <c r="B70" s="7">
        <v>1</v>
      </c>
      <c r="C70" s="1">
        <v>10</v>
      </c>
      <c r="D70" s="21" t="s">
        <v>346</v>
      </c>
      <c r="E70" s="21" t="s">
        <v>345</v>
      </c>
      <c r="F70" s="21"/>
    </row>
    <row r="71" spans="2:6" x14ac:dyDescent="0.25">
      <c r="B71" s="7">
        <v>1</v>
      </c>
      <c r="C71" s="1">
        <v>11</v>
      </c>
      <c r="D71" s="21" t="s">
        <v>347</v>
      </c>
      <c r="E71" s="21" t="s">
        <v>345</v>
      </c>
      <c r="F71" s="21"/>
    </row>
    <row r="72" spans="2:6" x14ac:dyDescent="0.25">
      <c r="B72" s="7">
        <v>1</v>
      </c>
      <c r="C72" s="1">
        <v>12</v>
      </c>
      <c r="D72" s="21" t="s">
        <v>348</v>
      </c>
      <c r="E72" s="21" t="s">
        <v>349</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53:F56 F46:F51"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D46:D56</xm:sqref>
        </x14:dataValidation>
        <x14:dataValidation type="list" allowBlank="1" showInputMessage="1" showErrorMessage="1" xr:uid="{2751552D-9CB1-43E7-81A0-A1705BDEC705}">
          <x14:formula1>
            <xm:f>LISTS!$J$7:$J$16</xm:f>
          </x14:formula1>
          <xm:sqref>E53:E56 E46:E51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8"/>
  <dimension ref="B2:H84"/>
  <sheetViews>
    <sheetView showGridLines="0" zoomScale="85" zoomScaleNormal="85" workbookViewId="0">
      <selection activeCell="D67" sqref="D6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5053SPS</v>
      </c>
      <c r="D2" s="20" t="str">
        <f>D8</f>
        <v>Exercise and Health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5.75" x14ac:dyDescent="0.25">
      <c r="B7" s="2"/>
      <c r="C7" s="3" t="s">
        <v>4</v>
      </c>
      <c r="D7" s="21" t="s">
        <v>506</v>
      </c>
      <c r="E7" s="4"/>
      <c r="F7" s="46" t="s">
        <v>507</v>
      </c>
    </row>
    <row r="8" spans="2:6" x14ac:dyDescent="0.25">
      <c r="B8" s="2"/>
      <c r="C8" s="3" t="s">
        <v>6</v>
      </c>
      <c r="D8" s="21" t="s">
        <v>508</v>
      </c>
      <c r="E8" s="4"/>
      <c r="F8" s="24"/>
    </row>
    <row r="9" spans="2:6" x14ac:dyDescent="0.25">
      <c r="C9" s="3" t="s">
        <v>9</v>
      </c>
      <c r="D9" s="21">
        <v>20</v>
      </c>
      <c r="E9" s="4"/>
    </row>
    <row r="10" spans="2:6" x14ac:dyDescent="0.25">
      <c r="C10" s="3" t="s">
        <v>10</v>
      </c>
      <c r="D10" s="21">
        <v>1</v>
      </c>
      <c r="E10" s="4"/>
      <c r="F10" t="s">
        <v>11</v>
      </c>
    </row>
    <row r="11" spans="2:6" ht="15.75" x14ac:dyDescent="0.25">
      <c r="C11" s="3" t="s">
        <v>12</v>
      </c>
      <c r="D11" s="21">
        <v>5</v>
      </c>
      <c r="E11" s="4"/>
      <c r="F11" s="46" t="s">
        <v>509</v>
      </c>
    </row>
    <row r="12" spans="2:6" x14ac:dyDescent="0.25">
      <c r="C12" s="3" t="s">
        <v>14</v>
      </c>
      <c r="D12" s="21" t="s">
        <v>510</v>
      </c>
      <c r="E12" s="4"/>
      <c r="F12" s="24"/>
    </row>
    <row r="13" spans="2:6" x14ac:dyDescent="0.25">
      <c r="C13" s="3" t="s">
        <v>17</v>
      </c>
      <c r="D13" s="21" t="s">
        <v>130</v>
      </c>
      <c r="E13" s="4"/>
      <c r="F13" s="24"/>
    </row>
    <row r="14" spans="2:6" x14ac:dyDescent="0.25">
      <c r="C14" s="3" t="s">
        <v>19</v>
      </c>
      <c r="D14" s="21" t="s">
        <v>20</v>
      </c>
      <c r="E14" s="4"/>
    </row>
    <row r="15" spans="2:6" x14ac:dyDescent="0.25">
      <c r="C15" s="3"/>
      <c r="D15" s="4"/>
      <c r="E15" s="4"/>
      <c r="F15" t="s">
        <v>21</v>
      </c>
    </row>
    <row r="16" spans="2:6" x14ac:dyDescent="0.25">
      <c r="C16" s="3"/>
      <c r="D16" s="4"/>
      <c r="E16" s="4"/>
      <c r="F16" s="61" t="s">
        <v>511</v>
      </c>
    </row>
    <row r="17" spans="3:6" ht="18.75" x14ac:dyDescent="0.25">
      <c r="C17" s="5" t="s">
        <v>22</v>
      </c>
      <c r="D17" s="4"/>
      <c r="E17" s="4"/>
      <c r="F17" s="24"/>
    </row>
    <row r="18" spans="3:6" x14ac:dyDescent="0.25">
      <c r="C18" s="3" t="s">
        <v>23</v>
      </c>
      <c r="D18" s="1" t="s">
        <v>22</v>
      </c>
      <c r="E18" s="4"/>
      <c r="F18" s="24"/>
    </row>
    <row r="19" spans="3:6" x14ac:dyDescent="0.25">
      <c r="C19" s="3" t="s">
        <v>24</v>
      </c>
      <c r="D19" s="22">
        <v>22</v>
      </c>
      <c r="E19" s="4"/>
      <c r="F19" s="24"/>
    </row>
    <row r="20" spans="3:6" x14ac:dyDescent="0.25">
      <c r="C20" s="3" t="s">
        <v>25</v>
      </c>
      <c r="D20" s="22">
        <v>22</v>
      </c>
      <c r="E20" s="4"/>
      <c r="F20" s="24"/>
    </row>
    <row r="21" spans="3:6" x14ac:dyDescent="0.25">
      <c r="C21" s="3" t="s">
        <v>26</v>
      </c>
      <c r="D21" s="22"/>
      <c r="E21" s="4"/>
    </row>
    <row r="22" spans="3:6" x14ac:dyDescent="0.25">
      <c r="C22" s="3" t="s">
        <v>27</v>
      </c>
      <c r="D22" s="22"/>
      <c r="E22" s="4"/>
      <c r="F22" t="s">
        <v>28</v>
      </c>
    </row>
    <row r="23" spans="3:6" x14ac:dyDescent="0.25">
      <c r="C23" s="3" t="s">
        <v>29</v>
      </c>
      <c r="D23" s="22"/>
      <c r="E23" s="4"/>
      <c r="F23" s="24"/>
    </row>
    <row r="24" spans="3:6" x14ac:dyDescent="0.25">
      <c r="C24" s="3" t="s">
        <v>31</v>
      </c>
      <c r="D24" s="1">
        <f>SUM(D19:D23)</f>
        <v>44</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15.75" x14ac:dyDescent="0.25">
      <c r="C29" s="3" t="s">
        <v>37</v>
      </c>
      <c r="D29" s="46" t="s">
        <v>512</v>
      </c>
      <c r="E29" s="4"/>
      <c r="F29" s="24"/>
    </row>
    <row r="30" spans="3:6" ht="15.75" x14ac:dyDescent="0.25">
      <c r="C30" s="3" t="s">
        <v>39</v>
      </c>
      <c r="D30" s="46" t="s">
        <v>513</v>
      </c>
      <c r="E30" s="4"/>
      <c r="F30" s="24"/>
    </row>
    <row r="31" spans="3:6" ht="15.75" x14ac:dyDescent="0.25">
      <c r="C31" s="3" t="s">
        <v>41</v>
      </c>
      <c r="D31" s="46" t="s">
        <v>514</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110</v>
      </c>
      <c r="E38" s="21" t="s">
        <v>515</v>
      </c>
      <c r="F38" s="21" t="s">
        <v>516</v>
      </c>
      <c r="G38" s="23">
        <v>0.6</v>
      </c>
      <c r="H38" s="21">
        <v>6</v>
      </c>
    </row>
    <row r="39" spans="3:8" x14ac:dyDescent="0.25">
      <c r="C39" s="3" t="s">
        <v>56</v>
      </c>
      <c r="D39" s="21" t="s">
        <v>53</v>
      </c>
      <c r="E39" s="21" t="s">
        <v>54</v>
      </c>
      <c r="F39" s="21" t="s">
        <v>517</v>
      </c>
      <c r="G39" s="23">
        <v>0.4</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142</v>
      </c>
    </row>
    <row r="47" spans="3:8" x14ac:dyDescent="0.25">
      <c r="C47" s="25" t="s">
        <v>52</v>
      </c>
      <c r="D47" s="24" t="s">
        <v>37</v>
      </c>
      <c r="E47" s="24" t="s">
        <v>141</v>
      </c>
      <c r="F47" s="24" t="s">
        <v>199</v>
      </c>
    </row>
    <row r="48" spans="3:8" x14ac:dyDescent="0.25">
      <c r="C48" s="25" t="s">
        <v>52</v>
      </c>
      <c r="D48" s="24" t="s">
        <v>41</v>
      </c>
      <c r="E48" s="24" t="s">
        <v>330</v>
      </c>
      <c r="F48" s="24" t="s">
        <v>518</v>
      </c>
    </row>
    <row r="49" spans="2:6" x14ac:dyDescent="0.25">
      <c r="C49" s="25" t="s">
        <v>56</v>
      </c>
      <c r="D49" s="24" t="s">
        <v>37</v>
      </c>
      <c r="E49" s="24" t="s">
        <v>141</v>
      </c>
      <c r="F49" s="24" t="s">
        <v>143</v>
      </c>
    </row>
    <row r="50" spans="2:6" x14ac:dyDescent="0.25">
      <c r="C50" s="25" t="s">
        <v>56</v>
      </c>
      <c r="D50" s="24" t="s">
        <v>37</v>
      </c>
      <c r="E50" s="24" t="s">
        <v>141</v>
      </c>
      <c r="F50" s="24" t="s">
        <v>145</v>
      </c>
    </row>
    <row r="51" spans="2:6" x14ac:dyDescent="0.25">
      <c r="C51" s="25" t="s">
        <v>56</v>
      </c>
      <c r="D51" s="24" t="s">
        <v>39</v>
      </c>
      <c r="E51" s="24" t="s">
        <v>116</v>
      </c>
      <c r="F51" s="24" t="s">
        <v>263</v>
      </c>
    </row>
    <row r="52" spans="2:6" x14ac:dyDescent="0.25">
      <c r="C52" s="25" t="s">
        <v>56</v>
      </c>
      <c r="D52" s="24" t="s">
        <v>39</v>
      </c>
      <c r="E52" s="24" t="s">
        <v>66</v>
      </c>
      <c r="F52" s="24" t="s">
        <v>67</v>
      </c>
    </row>
    <row r="53" spans="2:6" x14ac:dyDescent="0.25">
      <c r="C53" s="25" t="s">
        <v>59</v>
      </c>
      <c r="D53" s="24"/>
      <c r="E53" s="24"/>
      <c r="F53" s="24"/>
    </row>
    <row r="54" spans="2:6" x14ac:dyDescent="0.25">
      <c r="C54" s="25" t="s">
        <v>59</v>
      </c>
      <c r="D54" s="24"/>
      <c r="E54" s="24"/>
      <c r="F54" s="24"/>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52" t="s">
        <v>519</v>
      </c>
      <c r="E61" s="21"/>
      <c r="F61" s="21"/>
    </row>
    <row r="62" spans="2:6" x14ac:dyDescent="0.25">
      <c r="B62" s="7">
        <v>1</v>
      </c>
      <c r="C62" s="1">
        <v>2</v>
      </c>
      <c r="D62" s="62" t="s">
        <v>520</v>
      </c>
      <c r="E62" s="21" t="s">
        <v>25</v>
      </c>
      <c r="F62" s="21"/>
    </row>
    <row r="63" spans="2:6" x14ac:dyDescent="0.25">
      <c r="B63" s="7">
        <v>1</v>
      </c>
      <c r="C63" s="1">
        <v>3</v>
      </c>
      <c r="D63" s="52" t="s">
        <v>521</v>
      </c>
      <c r="E63" s="21" t="s">
        <v>25</v>
      </c>
      <c r="F63" s="21"/>
    </row>
    <row r="64" spans="2:6" x14ac:dyDescent="0.25">
      <c r="B64" s="7">
        <v>1</v>
      </c>
      <c r="C64" s="1">
        <v>4</v>
      </c>
      <c r="D64" s="52" t="s">
        <v>522</v>
      </c>
      <c r="E64" s="21" t="s">
        <v>25</v>
      </c>
      <c r="F64" s="21"/>
    </row>
    <row r="65" spans="2:6" x14ac:dyDescent="0.25">
      <c r="B65" s="7">
        <v>1</v>
      </c>
      <c r="C65" s="1">
        <v>5</v>
      </c>
      <c r="D65" s="29" t="s">
        <v>523</v>
      </c>
      <c r="E65" s="21" t="s">
        <v>25</v>
      </c>
      <c r="F65" s="21"/>
    </row>
    <row r="66" spans="2:6" x14ac:dyDescent="0.25">
      <c r="B66" s="7">
        <v>1</v>
      </c>
      <c r="C66" s="1">
        <v>6</v>
      </c>
      <c r="D66" s="52" t="s">
        <v>524</v>
      </c>
      <c r="E66" s="21" t="s">
        <v>25</v>
      </c>
      <c r="F66" s="21"/>
    </row>
    <row r="67" spans="2:6" x14ac:dyDescent="0.25">
      <c r="B67" s="7">
        <v>1</v>
      </c>
      <c r="C67" s="1">
        <v>7</v>
      </c>
      <c r="D67" s="29" t="s">
        <v>525</v>
      </c>
      <c r="E67" s="21" t="s">
        <v>525</v>
      </c>
      <c r="F67" s="21"/>
    </row>
    <row r="68" spans="2:6" x14ac:dyDescent="0.25">
      <c r="B68" s="7">
        <v>1</v>
      </c>
      <c r="C68" s="1">
        <v>8</v>
      </c>
      <c r="D68" s="52" t="s">
        <v>526</v>
      </c>
      <c r="E68" s="21" t="s">
        <v>25</v>
      </c>
      <c r="F68" s="21"/>
    </row>
    <row r="69" spans="2:6" x14ac:dyDescent="0.25">
      <c r="B69" s="7">
        <v>1</v>
      </c>
      <c r="C69" s="1">
        <v>9</v>
      </c>
      <c r="D69" s="52" t="s">
        <v>527</v>
      </c>
      <c r="E69" s="21" t="s">
        <v>25</v>
      </c>
      <c r="F69" s="21"/>
    </row>
    <row r="70" spans="2:6" x14ac:dyDescent="0.25">
      <c r="B70" s="7">
        <v>1</v>
      </c>
      <c r="C70" s="1">
        <v>10</v>
      </c>
      <c r="D70" s="52" t="s">
        <v>528</v>
      </c>
      <c r="E70" s="21" t="s">
        <v>25</v>
      </c>
      <c r="F70" s="21"/>
    </row>
    <row r="71" spans="2:6" x14ac:dyDescent="0.25">
      <c r="B71" s="7">
        <v>1</v>
      </c>
      <c r="C71" s="1">
        <v>11</v>
      </c>
      <c r="D71" s="52" t="s">
        <v>529</v>
      </c>
      <c r="E71" s="21" t="s">
        <v>25</v>
      </c>
      <c r="F71" s="21"/>
    </row>
    <row r="72" spans="2:6" x14ac:dyDescent="0.25">
      <c r="B72" s="7">
        <v>1</v>
      </c>
      <c r="C72" s="1">
        <v>12</v>
      </c>
      <c r="D72" s="52" t="s">
        <v>530</v>
      </c>
      <c r="E72" s="21" t="s">
        <v>25</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E46:E56</xm:sqref>
        </x14:dataValidation>
        <x14:dataValidation type="list" allowBlank="1" showInputMessage="1" showErrorMessage="1" xr:uid="{D5185C3B-86B1-46E5-8604-328E877B51BB}">
          <x14:formula1>
            <xm:f>LISTS!$E$7:$E$11</xm:f>
          </x14:formula1>
          <xm:sqref>D46:D56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9"/>
  <dimension ref="B2:H84"/>
  <sheetViews>
    <sheetView showGridLines="0" zoomScale="85" zoomScaleNormal="85" workbookViewId="0">
      <selection activeCell="F16" sqref="F16"/>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5054SPS</v>
      </c>
      <c r="D2" s="20" t="str">
        <f>D8</f>
        <v xml:space="preserve">Developmental and Social Psychology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30" x14ac:dyDescent="0.25">
      <c r="B7" s="2"/>
      <c r="C7" s="3" t="s">
        <v>4</v>
      </c>
      <c r="D7" s="21" t="s">
        <v>123</v>
      </c>
      <c r="E7" s="4"/>
      <c r="F7" s="37" t="s">
        <v>124</v>
      </c>
    </row>
    <row r="8" spans="2:6" ht="75" x14ac:dyDescent="0.25">
      <c r="B8" s="2"/>
      <c r="C8" s="3" t="s">
        <v>6</v>
      </c>
      <c r="D8" s="21" t="s">
        <v>125</v>
      </c>
      <c r="E8" s="4"/>
      <c r="F8" s="37" t="s">
        <v>126</v>
      </c>
    </row>
    <row r="9" spans="2:6" x14ac:dyDescent="0.25">
      <c r="C9" s="3" t="s">
        <v>9</v>
      </c>
      <c r="D9" s="21">
        <v>20</v>
      </c>
      <c r="E9" s="4"/>
    </row>
    <row r="10" spans="2:6" x14ac:dyDescent="0.25">
      <c r="C10" s="3" t="s">
        <v>10</v>
      </c>
      <c r="D10" s="21">
        <v>2</v>
      </c>
      <c r="E10" s="4"/>
      <c r="F10" t="s">
        <v>11</v>
      </c>
    </row>
    <row r="11" spans="2:6" ht="45" x14ac:dyDescent="0.25">
      <c r="C11" s="3" t="s">
        <v>12</v>
      </c>
      <c r="D11" s="21">
        <v>5</v>
      </c>
      <c r="E11" s="4"/>
      <c r="F11" s="38" t="s">
        <v>127</v>
      </c>
    </row>
    <row r="12" spans="2:6" ht="30" x14ac:dyDescent="0.25">
      <c r="C12" s="3" t="s">
        <v>14</v>
      </c>
      <c r="D12" s="21" t="s">
        <v>128</v>
      </c>
      <c r="E12" s="4"/>
      <c r="F12" s="39" t="s">
        <v>129</v>
      </c>
    </row>
    <row r="13" spans="2:6" ht="45" x14ac:dyDescent="0.25">
      <c r="C13" s="3" t="s">
        <v>17</v>
      </c>
      <c r="D13" s="21" t="s">
        <v>130</v>
      </c>
      <c r="E13" s="4"/>
      <c r="F13" s="39" t="s">
        <v>131</v>
      </c>
    </row>
    <row r="14" spans="2:6" x14ac:dyDescent="0.25">
      <c r="C14" s="3" t="s">
        <v>19</v>
      </c>
      <c r="D14" s="21" t="s">
        <v>20</v>
      </c>
      <c r="E14" s="4"/>
    </row>
    <row r="15" spans="2:6" x14ac:dyDescent="0.25">
      <c r="C15" s="3"/>
      <c r="D15" s="4"/>
      <c r="E15" s="4"/>
      <c r="F15" t="s">
        <v>21</v>
      </c>
    </row>
    <row r="16" spans="2:6" ht="135" x14ac:dyDescent="0.25">
      <c r="C16" s="3"/>
      <c r="D16" s="4"/>
      <c r="E16" s="4"/>
      <c r="F16" s="33" t="s">
        <v>132</v>
      </c>
    </row>
    <row r="17" spans="3:6" ht="18.75" x14ac:dyDescent="0.25">
      <c r="C17" s="5" t="s">
        <v>22</v>
      </c>
      <c r="D17" s="4"/>
      <c r="E17" s="4"/>
      <c r="F17" s="24"/>
    </row>
    <row r="18" spans="3:6" x14ac:dyDescent="0.25">
      <c r="C18" s="3" t="s">
        <v>23</v>
      </c>
      <c r="D18" s="1" t="s">
        <v>22</v>
      </c>
      <c r="E18" s="4"/>
      <c r="F18" s="24"/>
    </row>
    <row r="19" spans="3:6" x14ac:dyDescent="0.25">
      <c r="C19" s="3" t="s">
        <v>24</v>
      </c>
      <c r="D19" s="22">
        <v>22</v>
      </c>
      <c r="E19" s="4"/>
      <c r="F19" s="24"/>
    </row>
    <row r="20" spans="3:6" x14ac:dyDescent="0.25">
      <c r="C20" s="3" t="s">
        <v>25</v>
      </c>
      <c r="D20" s="22">
        <v>22</v>
      </c>
      <c r="E20" s="4"/>
      <c r="F20" s="24"/>
    </row>
    <row r="21" spans="3:6" x14ac:dyDescent="0.25">
      <c r="C21" s="3" t="s">
        <v>26</v>
      </c>
      <c r="D21" s="22"/>
      <c r="E21" s="4"/>
    </row>
    <row r="22" spans="3:6" x14ac:dyDescent="0.25">
      <c r="C22" s="3" t="s">
        <v>27</v>
      </c>
      <c r="D22" s="22"/>
      <c r="E22" s="4"/>
      <c r="F22" t="s">
        <v>28</v>
      </c>
    </row>
    <row r="23" spans="3:6" x14ac:dyDescent="0.25">
      <c r="C23" s="3" t="s">
        <v>29</v>
      </c>
      <c r="D23" s="22"/>
      <c r="E23" s="4"/>
      <c r="F23" s="24"/>
    </row>
    <row r="24" spans="3:6" x14ac:dyDescent="0.25">
      <c r="C24" s="3" t="s">
        <v>31</v>
      </c>
      <c r="D24" s="1">
        <f>SUM(D19:D23)</f>
        <v>44</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36" t="s">
        <v>133</v>
      </c>
      <c r="E29" s="4"/>
      <c r="F29" s="24"/>
    </row>
    <row r="30" spans="3:6" ht="30" x14ac:dyDescent="0.25">
      <c r="C30" s="3" t="s">
        <v>39</v>
      </c>
      <c r="D30" s="34" t="s">
        <v>134</v>
      </c>
      <c r="E30" s="4"/>
      <c r="F30" s="24"/>
    </row>
    <row r="31" spans="3:6" ht="45" x14ac:dyDescent="0.25">
      <c r="C31" s="3" t="s">
        <v>41</v>
      </c>
      <c r="D31" s="35" t="s">
        <v>135</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45" x14ac:dyDescent="0.25">
      <c r="C38" s="3" t="s">
        <v>52</v>
      </c>
      <c r="D38" s="21" t="s">
        <v>110</v>
      </c>
      <c r="E38" s="21" t="s">
        <v>136</v>
      </c>
      <c r="F38" s="21" t="s">
        <v>137</v>
      </c>
      <c r="G38" s="23">
        <v>0.4</v>
      </c>
      <c r="H38" s="21">
        <v>8</v>
      </c>
    </row>
    <row r="39" spans="3:8" ht="30" x14ac:dyDescent="0.25">
      <c r="C39" s="3" t="s">
        <v>56</v>
      </c>
      <c r="D39" s="21" t="s">
        <v>138</v>
      </c>
      <c r="E39" s="21" t="s">
        <v>111</v>
      </c>
      <c r="F39" s="21" t="s">
        <v>139</v>
      </c>
      <c r="G39" s="23">
        <v>0.6</v>
      </c>
      <c r="H39" s="21" t="s">
        <v>140</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41</v>
      </c>
      <c r="E46" s="24" t="s">
        <v>141</v>
      </c>
      <c r="F46" s="24" t="s">
        <v>142</v>
      </c>
    </row>
    <row r="47" spans="3:8" x14ac:dyDescent="0.25">
      <c r="C47" s="25" t="s">
        <v>52</v>
      </c>
      <c r="D47" s="24" t="s">
        <v>37</v>
      </c>
      <c r="E47" s="24" t="s">
        <v>116</v>
      </c>
      <c r="F47" s="24" t="s">
        <v>143</v>
      </c>
    </row>
    <row r="48" spans="3:8" x14ac:dyDescent="0.25">
      <c r="C48" s="25" t="s">
        <v>52</v>
      </c>
      <c r="D48" s="24" t="s">
        <v>37</v>
      </c>
      <c r="E48" s="24" t="s">
        <v>66</v>
      </c>
      <c r="F48" s="24" t="s">
        <v>144</v>
      </c>
    </row>
    <row r="49" spans="2:6" x14ac:dyDescent="0.25">
      <c r="C49" s="25" t="s">
        <v>56</v>
      </c>
      <c r="D49" s="24" t="s">
        <v>41</v>
      </c>
      <c r="E49" s="24" t="s">
        <v>141</v>
      </c>
      <c r="F49" s="24" t="s">
        <v>145</v>
      </c>
    </row>
    <row r="50" spans="2:6" x14ac:dyDescent="0.25">
      <c r="C50" s="25" t="s">
        <v>56</v>
      </c>
      <c r="D50" s="24" t="s">
        <v>39</v>
      </c>
      <c r="E50" s="24" t="s">
        <v>116</v>
      </c>
      <c r="F50" s="24" t="s">
        <v>146</v>
      </c>
    </row>
    <row r="51" spans="2:6" x14ac:dyDescent="0.25">
      <c r="C51" s="25" t="s">
        <v>56</v>
      </c>
      <c r="D51" s="24" t="s">
        <v>39</v>
      </c>
      <c r="E51" s="24" t="s">
        <v>116</v>
      </c>
      <c r="F51" s="24" t="s">
        <v>117</v>
      </c>
    </row>
    <row r="52" spans="2:6" x14ac:dyDescent="0.25">
      <c r="C52" s="25" t="s">
        <v>59</v>
      </c>
      <c r="D52" s="24"/>
      <c r="E52" s="24"/>
      <c r="F52" s="24"/>
    </row>
    <row r="53" spans="2:6" x14ac:dyDescent="0.25">
      <c r="C53" s="25" t="s">
        <v>59</v>
      </c>
      <c r="D53" s="24"/>
      <c r="E53" s="24"/>
      <c r="F53" s="24"/>
    </row>
    <row r="54" spans="2:6" x14ac:dyDescent="0.25">
      <c r="C54" s="25" t="s">
        <v>59</v>
      </c>
      <c r="D54" s="24"/>
      <c r="E54" s="24"/>
      <c r="F54" s="24"/>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147</v>
      </c>
      <c r="E73" s="21" t="s">
        <v>25</v>
      </c>
      <c r="F73" s="21"/>
    </row>
    <row r="74" spans="2:6" x14ac:dyDescent="0.25">
      <c r="B74" s="7">
        <v>2</v>
      </c>
      <c r="C74" s="1">
        <v>2</v>
      </c>
      <c r="D74" s="21" t="s">
        <v>148</v>
      </c>
      <c r="E74" s="21" t="s">
        <v>25</v>
      </c>
      <c r="F74" s="21"/>
    </row>
    <row r="75" spans="2:6" x14ac:dyDescent="0.25">
      <c r="B75" s="7">
        <v>2</v>
      </c>
      <c r="C75" s="1">
        <v>3</v>
      </c>
      <c r="D75" s="21" t="s">
        <v>149</v>
      </c>
      <c r="E75" s="21" t="s">
        <v>25</v>
      </c>
      <c r="F75" s="21"/>
    </row>
    <row r="76" spans="2:6" x14ac:dyDescent="0.25">
      <c r="B76" s="7">
        <v>2</v>
      </c>
      <c r="C76" s="1">
        <v>4</v>
      </c>
      <c r="D76" s="21" t="s">
        <v>150</v>
      </c>
      <c r="E76" s="21" t="s">
        <v>25</v>
      </c>
      <c r="F76" s="21"/>
    </row>
    <row r="77" spans="2:6" x14ac:dyDescent="0.25">
      <c r="B77" s="7">
        <v>2</v>
      </c>
      <c r="C77" s="1">
        <v>5</v>
      </c>
      <c r="D77" s="21" t="s">
        <v>151</v>
      </c>
      <c r="E77" s="21" t="s">
        <v>25</v>
      </c>
      <c r="F77" s="21"/>
    </row>
    <row r="78" spans="2:6" x14ac:dyDescent="0.25">
      <c r="B78" s="7">
        <v>2</v>
      </c>
      <c r="C78" s="1">
        <v>6</v>
      </c>
      <c r="D78" s="21" t="s">
        <v>152</v>
      </c>
      <c r="E78" s="21" t="s">
        <v>25</v>
      </c>
      <c r="F78" s="21"/>
    </row>
    <row r="79" spans="2:6" x14ac:dyDescent="0.25">
      <c r="B79" s="7">
        <v>2</v>
      </c>
      <c r="C79" s="1">
        <v>7</v>
      </c>
      <c r="D79" s="21" t="s">
        <v>89</v>
      </c>
      <c r="E79" s="21"/>
      <c r="F79" s="21"/>
    </row>
    <row r="80" spans="2:6" x14ac:dyDescent="0.25">
      <c r="B80" s="7">
        <v>2</v>
      </c>
      <c r="C80" s="1">
        <v>8</v>
      </c>
      <c r="D80" s="21" t="s">
        <v>153</v>
      </c>
      <c r="E80" s="21" t="s">
        <v>25</v>
      </c>
      <c r="F80" s="21"/>
    </row>
    <row r="81" spans="2:6" x14ac:dyDescent="0.25">
      <c r="B81" s="7">
        <v>2</v>
      </c>
      <c r="C81" s="1">
        <v>9</v>
      </c>
      <c r="D81" s="21" t="s">
        <v>154</v>
      </c>
      <c r="E81" s="21" t="s">
        <v>25</v>
      </c>
      <c r="F81" s="21"/>
    </row>
    <row r="82" spans="2:6" x14ac:dyDescent="0.25">
      <c r="B82" s="7">
        <v>2</v>
      </c>
      <c r="C82" s="1">
        <v>10</v>
      </c>
      <c r="D82" s="21" t="s">
        <v>155</v>
      </c>
      <c r="E82" s="21" t="s">
        <v>25</v>
      </c>
      <c r="F82" s="21"/>
    </row>
    <row r="83" spans="2:6" x14ac:dyDescent="0.25">
      <c r="B83" s="7">
        <v>2</v>
      </c>
      <c r="C83" s="1">
        <v>11</v>
      </c>
      <c r="D83" s="21" t="s">
        <v>156</v>
      </c>
      <c r="E83" s="21" t="s">
        <v>25</v>
      </c>
      <c r="F83" s="21"/>
    </row>
    <row r="84" spans="2:6" x14ac:dyDescent="0.25">
      <c r="B84" s="7">
        <v>2</v>
      </c>
      <c r="C84" s="1">
        <v>12</v>
      </c>
      <c r="D84" s="21" t="s">
        <v>157</v>
      </c>
      <c r="E84" s="21" t="s">
        <v>25</v>
      </c>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5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D46:D56</xm:sqref>
        </x14:dataValidation>
        <x14:dataValidation type="list" allowBlank="1" showInputMessage="1" showErrorMessage="1" xr:uid="{C1ACB768-367A-4765-AEE3-B6D50718CC09}">
          <x14:formula1>
            <xm:f>LISTS!$J$7:$J$16</xm:f>
          </x14:formula1>
          <xm:sqref>E46:E56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84"/>
  <sheetViews>
    <sheetView showGridLines="0" zoomScale="85" zoomScaleNormal="85" workbookViewId="0">
      <selection activeCell="F13" sqref="F13"/>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5093SPS</v>
      </c>
      <c r="D2" s="20" t="str">
        <f>D8</f>
        <v>Sport amd Performance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350</v>
      </c>
      <c r="E7" s="4"/>
      <c r="F7" s="24" t="s">
        <v>351</v>
      </c>
    </row>
    <row r="8" spans="2:6" x14ac:dyDescent="0.25">
      <c r="B8" s="2"/>
      <c r="C8" s="3" t="s">
        <v>6</v>
      </c>
      <c r="D8" s="21" t="s">
        <v>352</v>
      </c>
      <c r="E8" s="4"/>
      <c r="F8" s="24" t="s">
        <v>353</v>
      </c>
    </row>
    <row r="9" spans="2:6" x14ac:dyDescent="0.25">
      <c r="C9" s="3" t="s">
        <v>9</v>
      </c>
      <c r="D9" s="21">
        <v>20</v>
      </c>
      <c r="E9" s="4"/>
    </row>
    <row r="10" spans="2:6" x14ac:dyDescent="0.25">
      <c r="C10" s="3" t="s">
        <v>10</v>
      </c>
      <c r="D10" s="21">
        <v>2</v>
      </c>
      <c r="E10" s="4"/>
      <c r="F10" t="s">
        <v>11</v>
      </c>
    </row>
    <row r="11" spans="2:6" x14ac:dyDescent="0.25">
      <c r="C11" s="3" t="s">
        <v>12</v>
      </c>
      <c r="D11" s="21">
        <v>5</v>
      </c>
      <c r="E11" s="4"/>
      <c r="F11" s="24" t="s">
        <v>354</v>
      </c>
    </row>
    <row r="12" spans="2:6" x14ac:dyDescent="0.25">
      <c r="C12" s="3" t="s">
        <v>14</v>
      </c>
      <c r="D12" s="21" t="s">
        <v>324</v>
      </c>
      <c r="E12" s="4"/>
      <c r="F12" s="24" t="s">
        <v>355</v>
      </c>
    </row>
    <row r="13" spans="2:6" x14ac:dyDescent="0.25">
      <c r="C13" s="3" t="s">
        <v>17</v>
      </c>
      <c r="D13" s="21" t="s">
        <v>130</v>
      </c>
      <c r="E13" s="4"/>
      <c r="F13" s="24"/>
    </row>
    <row r="14" spans="2:6" x14ac:dyDescent="0.25">
      <c r="C14" s="3" t="s">
        <v>19</v>
      </c>
      <c r="D14" s="21" t="s">
        <v>356</v>
      </c>
      <c r="E14" s="4"/>
    </row>
    <row r="15" spans="2:6" x14ac:dyDescent="0.25">
      <c r="C15" s="3"/>
      <c r="D15" s="4"/>
      <c r="E15" s="4"/>
      <c r="F15" t="s">
        <v>21</v>
      </c>
    </row>
    <row r="16" spans="2:6" x14ac:dyDescent="0.25">
      <c r="C16" s="3"/>
      <c r="D16" s="4"/>
      <c r="E16" s="4"/>
      <c r="F16" s="24"/>
    </row>
    <row r="17" spans="3:6" ht="18.75" x14ac:dyDescent="0.25">
      <c r="C17" s="5" t="s">
        <v>22</v>
      </c>
      <c r="D17" s="4"/>
      <c r="E17" s="4"/>
      <c r="F17" s="24"/>
    </row>
    <row r="18" spans="3:6" x14ac:dyDescent="0.25">
      <c r="C18" s="3" t="s">
        <v>23</v>
      </c>
      <c r="D18" s="1" t="s">
        <v>22</v>
      </c>
      <c r="E18" s="4"/>
      <c r="F18" s="24"/>
    </row>
    <row r="19" spans="3:6" x14ac:dyDescent="0.25">
      <c r="C19" s="3" t="s">
        <v>24</v>
      </c>
      <c r="D19" s="22">
        <v>38</v>
      </c>
      <c r="E19" s="4"/>
      <c r="F19" s="24"/>
    </row>
    <row r="20" spans="3:6" x14ac:dyDescent="0.25">
      <c r="C20" s="3" t="s">
        <v>25</v>
      </c>
      <c r="D20" s="22">
        <v>6</v>
      </c>
      <c r="E20" s="4"/>
      <c r="F20" s="24"/>
    </row>
    <row r="21" spans="3:6" x14ac:dyDescent="0.25">
      <c r="C21" s="3" t="s">
        <v>26</v>
      </c>
      <c r="D21" s="22">
        <v>0</v>
      </c>
      <c r="E21" s="4"/>
    </row>
    <row r="22" spans="3:6" x14ac:dyDescent="0.25">
      <c r="C22" s="3" t="s">
        <v>27</v>
      </c>
      <c r="D22" s="22">
        <v>0</v>
      </c>
      <c r="E22" s="4"/>
      <c r="F22" t="s">
        <v>28</v>
      </c>
    </row>
    <row r="23" spans="3:6" x14ac:dyDescent="0.25">
      <c r="C23" s="3" t="s">
        <v>29</v>
      </c>
      <c r="D23" s="22">
        <v>0</v>
      </c>
      <c r="E23" s="4"/>
      <c r="F23" s="24"/>
    </row>
    <row r="24" spans="3:6" x14ac:dyDescent="0.25">
      <c r="C24" s="3" t="s">
        <v>31</v>
      </c>
      <c r="D24" s="1">
        <f>SUM(D19:D23)</f>
        <v>44</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30" x14ac:dyDescent="0.25">
      <c r="C29" s="3" t="s">
        <v>37</v>
      </c>
      <c r="D29" s="21" t="s">
        <v>357</v>
      </c>
      <c r="E29" s="4"/>
      <c r="F29" s="24"/>
    </row>
    <row r="30" spans="3:6" ht="30" x14ac:dyDescent="0.25">
      <c r="C30" s="3" t="s">
        <v>39</v>
      </c>
      <c r="D30" s="21" t="s">
        <v>358</v>
      </c>
      <c r="E30" s="4"/>
      <c r="F30" s="24"/>
    </row>
    <row r="31" spans="3:6" x14ac:dyDescent="0.25">
      <c r="C31" s="3" t="s">
        <v>41</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138</v>
      </c>
      <c r="E38" s="21" t="s">
        <v>194</v>
      </c>
      <c r="F38" s="21" t="s">
        <v>359</v>
      </c>
      <c r="G38" s="23">
        <v>0.5</v>
      </c>
      <c r="H38" s="21">
        <v>8</v>
      </c>
    </row>
    <row r="39" spans="3:8" x14ac:dyDescent="0.25">
      <c r="C39" s="3" t="s">
        <v>56</v>
      </c>
      <c r="D39" s="21" t="s">
        <v>138</v>
      </c>
      <c r="E39" s="21" t="s">
        <v>194</v>
      </c>
      <c r="F39" s="21" t="s">
        <v>360</v>
      </c>
      <c r="G39" s="23">
        <v>0.5</v>
      </c>
      <c r="H39" s="21" t="s">
        <v>361</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64</v>
      </c>
      <c r="F46" s="24" t="s">
        <v>362</v>
      </c>
    </row>
    <row r="47" spans="3:8" x14ac:dyDescent="0.25">
      <c r="C47" s="25" t="s">
        <v>52</v>
      </c>
      <c r="D47" s="24" t="s">
        <v>37</v>
      </c>
      <c r="E47" s="24" t="s">
        <v>70</v>
      </c>
      <c r="F47" s="24" t="s">
        <v>71</v>
      </c>
    </row>
    <row r="48" spans="3:8" x14ac:dyDescent="0.25">
      <c r="C48" s="25" t="s">
        <v>52</v>
      </c>
      <c r="D48" s="24" t="s">
        <v>37</v>
      </c>
      <c r="E48" s="24" t="s">
        <v>70</v>
      </c>
      <c r="F48" s="24" t="s">
        <v>363</v>
      </c>
    </row>
    <row r="49" spans="2:6" x14ac:dyDescent="0.25">
      <c r="C49" s="25" t="s">
        <v>56</v>
      </c>
      <c r="D49" s="24" t="s">
        <v>37</v>
      </c>
      <c r="E49" s="24" t="s">
        <v>141</v>
      </c>
      <c r="F49" s="24" t="s">
        <v>142</v>
      </c>
    </row>
    <row r="50" spans="2:6" x14ac:dyDescent="0.25">
      <c r="C50" s="25" t="s">
        <v>56</v>
      </c>
      <c r="D50" s="24" t="s">
        <v>37</v>
      </c>
      <c r="E50" s="24" t="s">
        <v>141</v>
      </c>
      <c r="F50" s="24" t="s">
        <v>199</v>
      </c>
    </row>
    <row r="51" spans="2:6" x14ac:dyDescent="0.25">
      <c r="C51" s="25" t="s">
        <v>56</v>
      </c>
      <c r="D51" s="24" t="s">
        <v>39</v>
      </c>
      <c r="E51" s="24" t="s">
        <v>64</v>
      </c>
      <c r="F51" s="24" t="s">
        <v>362</v>
      </c>
    </row>
    <row r="52" spans="2:6" x14ac:dyDescent="0.25">
      <c r="C52" s="25" t="s">
        <v>59</v>
      </c>
      <c r="D52" s="24" t="s">
        <v>39</v>
      </c>
      <c r="E52" s="24" t="s">
        <v>70</v>
      </c>
      <c r="F52" s="24" t="s">
        <v>71</v>
      </c>
    </row>
    <row r="53" spans="2:6" x14ac:dyDescent="0.25">
      <c r="C53" s="25" t="s">
        <v>59</v>
      </c>
      <c r="D53" s="24" t="s">
        <v>39</v>
      </c>
      <c r="E53" s="24" t="s">
        <v>70</v>
      </c>
      <c r="F53" s="24" t="s">
        <v>363</v>
      </c>
    </row>
    <row r="54" spans="2:6" x14ac:dyDescent="0.25">
      <c r="C54" s="25" t="s">
        <v>59</v>
      </c>
      <c r="D54" s="24" t="s">
        <v>39</v>
      </c>
      <c r="E54" s="24" t="s">
        <v>141</v>
      </c>
      <c r="F54" s="24" t="s">
        <v>142</v>
      </c>
    </row>
    <row r="55" spans="2:6" x14ac:dyDescent="0.25">
      <c r="C55" s="25" t="s">
        <v>60</v>
      </c>
      <c r="D55" s="24" t="s">
        <v>39</v>
      </c>
      <c r="E55" s="24" t="s">
        <v>141</v>
      </c>
      <c r="F55" s="24" t="s">
        <v>199</v>
      </c>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333</v>
      </c>
      <c r="E73" s="21" t="s">
        <v>364</v>
      </c>
      <c r="F73" s="21"/>
    </row>
    <row r="74" spans="2:6" x14ac:dyDescent="0.25">
      <c r="B74" s="7">
        <v>2</v>
      </c>
      <c r="C74" s="1">
        <v>2</v>
      </c>
      <c r="D74" s="21" t="s">
        <v>365</v>
      </c>
      <c r="E74" s="21" t="s">
        <v>366</v>
      </c>
      <c r="F74" s="21"/>
    </row>
    <row r="75" spans="2:6" ht="30" x14ac:dyDescent="0.25">
      <c r="B75" s="7">
        <v>2</v>
      </c>
      <c r="C75" s="1">
        <v>3</v>
      </c>
      <c r="D75" s="21" t="s">
        <v>367</v>
      </c>
      <c r="E75" s="21" t="s">
        <v>368</v>
      </c>
      <c r="F75" s="21"/>
    </row>
    <row r="76" spans="2:6" x14ac:dyDescent="0.25">
      <c r="B76" s="7">
        <v>2</v>
      </c>
      <c r="C76" s="1">
        <v>4</v>
      </c>
      <c r="D76" s="21" t="s">
        <v>369</v>
      </c>
      <c r="E76" s="21" t="s">
        <v>370</v>
      </c>
      <c r="F76" s="21"/>
    </row>
    <row r="77" spans="2:6" ht="30" x14ac:dyDescent="0.25">
      <c r="B77" s="7">
        <v>2</v>
      </c>
      <c r="C77" s="1">
        <v>5</v>
      </c>
      <c r="D77" s="21" t="s">
        <v>371</v>
      </c>
      <c r="E77" s="21" t="s">
        <v>372</v>
      </c>
      <c r="F77" s="21"/>
    </row>
    <row r="78" spans="2:6" ht="30" x14ac:dyDescent="0.25">
      <c r="B78" s="7">
        <v>2</v>
      </c>
      <c r="C78" s="1">
        <v>6</v>
      </c>
      <c r="D78" s="21" t="s">
        <v>373</v>
      </c>
      <c r="E78" s="21" t="s">
        <v>374</v>
      </c>
      <c r="F78" s="21"/>
    </row>
    <row r="79" spans="2:6" x14ac:dyDescent="0.25">
      <c r="B79" s="7">
        <v>2</v>
      </c>
      <c r="C79" s="1">
        <v>7</v>
      </c>
      <c r="D79" s="21" t="s">
        <v>375</v>
      </c>
      <c r="E79" s="21"/>
      <c r="F79" s="21"/>
    </row>
    <row r="80" spans="2:6" x14ac:dyDescent="0.25">
      <c r="B80" s="7">
        <v>2</v>
      </c>
      <c r="C80" s="1">
        <v>8</v>
      </c>
      <c r="D80" s="21" t="s">
        <v>376</v>
      </c>
      <c r="E80" s="21" t="s">
        <v>377</v>
      </c>
      <c r="F80" s="21"/>
    </row>
    <row r="81" spans="2:6" x14ac:dyDescent="0.25">
      <c r="B81" s="7">
        <v>2</v>
      </c>
      <c r="C81" s="1">
        <v>9</v>
      </c>
      <c r="D81" s="21" t="s">
        <v>378</v>
      </c>
      <c r="E81" s="21" t="s">
        <v>379</v>
      </c>
      <c r="F81" s="21"/>
    </row>
    <row r="82" spans="2:6" x14ac:dyDescent="0.25">
      <c r="B82" s="7">
        <v>2</v>
      </c>
      <c r="C82" s="1">
        <v>10</v>
      </c>
      <c r="D82" s="21" t="s">
        <v>380</v>
      </c>
      <c r="E82" s="21" t="s">
        <v>381</v>
      </c>
      <c r="F82" s="21"/>
    </row>
    <row r="83" spans="2:6" x14ac:dyDescent="0.25">
      <c r="B83" s="7">
        <v>2</v>
      </c>
      <c r="C83" s="1">
        <v>11</v>
      </c>
      <c r="D83" s="21" t="s">
        <v>382</v>
      </c>
      <c r="E83" s="21" t="s">
        <v>383</v>
      </c>
      <c r="F83" s="21"/>
    </row>
    <row r="84" spans="2:6" x14ac:dyDescent="0.25">
      <c r="B84" s="7">
        <v>2</v>
      </c>
      <c r="C84" s="1">
        <v>12</v>
      </c>
      <c r="D84" s="21" t="s">
        <v>384</v>
      </c>
      <c r="E84" s="21" t="s">
        <v>385</v>
      </c>
      <c r="F84" s="21"/>
    </row>
  </sheetData>
  <sheetProtection sheet="1" objects="1" scenarios="1" selectLockedCells="1" sort="0" autoFilter="0" pivotTables="0"/>
  <dataValidations count="4">
    <dataValidation type="list" allowBlank="1" showInputMessage="1" showErrorMessage="1" sqref="F46:F5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E46:E56</xm:sqref>
        </x14:dataValidation>
        <x14:dataValidation type="list" allowBlank="1" showInputMessage="1" showErrorMessage="1" xr:uid="{4F387FE4-F215-4DCB-AA99-F2CB3B064FA3}">
          <x14:formula1>
            <xm:f>LISTS!$E$7:$E$11</xm:f>
          </x14:formula1>
          <xm:sqref>D46:D56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11"/>
  <dimension ref="B2:H84"/>
  <sheetViews>
    <sheetView showGridLines="0" topLeftCell="A33" zoomScale="85" zoomScaleNormal="85" workbookViewId="0">
      <selection activeCell="D39" sqref="D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6051SPS</v>
      </c>
      <c r="D2" s="20" t="str">
        <f>D8</f>
        <v>Professional Practice 3</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ht="120" x14ac:dyDescent="0.25">
      <c r="B8" s="2"/>
      <c r="C8" s="3" t="s">
        <v>6</v>
      </c>
      <c r="D8" s="40" t="s">
        <v>7</v>
      </c>
      <c r="E8" s="4"/>
      <c r="F8" s="33" t="s">
        <v>8</v>
      </c>
    </row>
    <row r="9" spans="2:6" x14ac:dyDescent="0.25">
      <c r="C9" s="3" t="s">
        <v>9</v>
      </c>
      <c r="D9" s="21">
        <v>20</v>
      </c>
      <c r="E9" s="4"/>
    </row>
    <row r="10" spans="2:6" x14ac:dyDescent="0.25">
      <c r="C10" s="3" t="s">
        <v>10</v>
      </c>
      <c r="D10" s="21">
        <v>1</v>
      </c>
      <c r="E10" s="4"/>
      <c r="F10" t="s">
        <v>11</v>
      </c>
    </row>
    <row r="11" spans="2:6" ht="60.75" x14ac:dyDescent="0.25">
      <c r="C11" s="3" t="s">
        <v>12</v>
      </c>
      <c r="D11" s="21">
        <v>6</v>
      </c>
      <c r="E11" s="4"/>
      <c r="F11" s="41" t="s">
        <v>13</v>
      </c>
    </row>
    <row r="12" spans="2:6" ht="45.75" x14ac:dyDescent="0.25">
      <c r="C12" s="3" t="s">
        <v>14</v>
      </c>
      <c r="D12" s="21" t="s">
        <v>15</v>
      </c>
      <c r="E12" s="4"/>
      <c r="F12" s="41" t="s">
        <v>16</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22</v>
      </c>
      <c r="D17" s="4"/>
      <c r="E17" s="4"/>
      <c r="F17" s="24"/>
    </row>
    <row r="18" spans="3:6" x14ac:dyDescent="0.25">
      <c r="C18" s="3" t="s">
        <v>23</v>
      </c>
      <c r="D18" s="1" t="s">
        <v>22</v>
      </c>
      <c r="E18" s="4"/>
      <c r="F18" s="24"/>
    </row>
    <row r="19" spans="3:6" x14ac:dyDescent="0.25">
      <c r="C19" s="3" t="s">
        <v>24</v>
      </c>
      <c r="D19" s="22">
        <v>18</v>
      </c>
      <c r="E19" s="4"/>
      <c r="F19" s="24"/>
    </row>
    <row r="20" spans="3:6" x14ac:dyDescent="0.25">
      <c r="C20" s="3" t="s">
        <v>25</v>
      </c>
      <c r="D20" s="22">
        <v>4</v>
      </c>
      <c r="E20" s="4"/>
      <c r="F20" s="24"/>
    </row>
    <row r="21" spans="3:6" x14ac:dyDescent="0.25">
      <c r="C21" s="3" t="s">
        <v>26</v>
      </c>
      <c r="D21" s="22"/>
      <c r="E21" s="4"/>
    </row>
    <row r="22" spans="3:6" x14ac:dyDescent="0.25">
      <c r="C22" s="3" t="s">
        <v>27</v>
      </c>
      <c r="D22" s="22">
        <v>18</v>
      </c>
      <c r="E22" s="4"/>
      <c r="F22" t="s">
        <v>28</v>
      </c>
    </row>
    <row r="23" spans="3:6" x14ac:dyDescent="0.25">
      <c r="C23" s="3" t="s">
        <v>29</v>
      </c>
      <c r="D23" s="22"/>
      <c r="E23" s="4"/>
      <c r="F23" s="24" t="s">
        <v>30</v>
      </c>
    </row>
    <row r="24" spans="3:6" x14ac:dyDescent="0.25">
      <c r="C24" s="3" t="s">
        <v>31</v>
      </c>
      <c r="D24" s="1">
        <f>SUM(D19:D23)</f>
        <v>40</v>
      </c>
      <c r="E24" s="4"/>
      <c r="F24" s="24" t="s">
        <v>32</v>
      </c>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31" t="s">
        <v>38</v>
      </c>
      <c r="E29" s="4"/>
      <c r="F29" s="24"/>
    </row>
    <row r="30" spans="3:6" ht="30" x14ac:dyDescent="0.25">
      <c r="C30" s="3" t="s">
        <v>39</v>
      </c>
      <c r="D30" s="32" t="s">
        <v>40</v>
      </c>
      <c r="E30" s="4"/>
      <c r="F30" s="24"/>
    </row>
    <row r="31" spans="3:6" ht="30" x14ac:dyDescent="0.25">
      <c r="C31" s="3" t="s">
        <v>41</v>
      </c>
      <c r="D31" s="31" t="s">
        <v>42</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4" t="s">
        <v>55</v>
      </c>
      <c r="G38" s="23">
        <v>0.4</v>
      </c>
      <c r="H38" s="21">
        <v>12</v>
      </c>
    </row>
    <row r="39" spans="3:8" ht="45" x14ac:dyDescent="0.25">
      <c r="C39" s="3" t="s">
        <v>56</v>
      </c>
      <c r="D39" s="21" t="s">
        <v>53</v>
      </c>
      <c r="E39" s="21" t="s">
        <v>57</v>
      </c>
      <c r="F39" s="21" t="s">
        <v>58</v>
      </c>
      <c r="G39" s="23">
        <v>0.8</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64</v>
      </c>
      <c r="F46" s="24" t="s">
        <v>65</v>
      </c>
    </row>
    <row r="47" spans="3:8" x14ac:dyDescent="0.25">
      <c r="C47" s="25" t="s">
        <v>52</v>
      </c>
      <c r="D47" s="24" t="s">
        <v>37</v>
      </c>
      <c r="E47" s="24" t="s">
        <v>66</v>
      </c>
      <c r="F47" s="24" t="s">
        <v>67</v>
      </c>
    </row>
    <row r="48" spans="3:8" x14ac:dyDescent="0.25">
      <c r="C48" s="25" t="s">
        <v>52</v>
      </c>
      <c r="D48" s="24" t="s">
        <v>37</v>
      </c>
      <c r="E48" s="24" t="s">
        <v>68</v>
      </c>
      <c r="F48" s="24" t="s">
        <v>69</v>
      </c>
    </row>
    <row r="49" spans="2:6" x14ac:dyDescent="0.25">
      <c r="C49" s="25" t="s">
        <v>56</v>
      </c>
      <c r="D49" s="24" t="s">
        <v>39</v>
      </c>
      <c r="E49" s="24" t="s">
        <v>70</v>
      </c>
      <c r="F49" s="24" t="s">
        <v>71</v>
      </c>
    </row>
    <row r="50" spans="2:6" x14ac:dyDescent="0.25">
      <c r="C50" s="25" t="s">
        <v>56</v>
      </c>
      <c r="D50" s="24" t="s">
        <v>39</v>
      </c>
      <c r="E50" s="24" t="s">
        <v>64</v>
      </c>
      <c r="F50" s="24" t="s">
        <v>65</v>
      </c>
    </row>
    <row r="51" spans="2:6" x14ac:dyDescent="0.25">
      <c r="C51" s="25" t="s">
        <v>56</v>
      </c>
      <c r="D51" s="24" t="s">
        <v>41</v>
      </c>
      <c r="E51" s="24" t="s">
        <v>72</v>
      </c>
      <c r="F51" s="24" t="s">
        <v>73</v>
      </c>
    </row>
    <row r="52" spans="2:6" x14ac:dyDescent="0.25">
      <c r="C52" s="25" t="s">
        <v>59</v>
      </c>
      <c r="D52" s="24"/>
      <c r="E52" s="24"/>
      <c r="F52" s="24"/>
    </row>
    <row r="53" spans="2:6" x14ac:dyDescent="0.25">
      <c r="C53" s="25" t="s">
        <v>59</v>
      </c>
      <c r="D53" s="24"/>
      <c r="E53" s="24"/>
      <c r="F53" s="24"/>
    </row>
    <row r="54" spans="2:6" x14ac:dyDescent="0.25">
      <c r="C54" s="25" t="s">
        <v>59</v>
      </c>
      <c r="D54" s="24"/>
      <c r="E54" s="24"/>
      <c r="F54" s="24"/>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42" t="s">
        <v>80</v>
      </c>
      <c r="E61" s="21" t="s">
        <v>81</v>
      </c>
      <c r="F61" s="21"/>
    </row>
    <row r="62" spans="2:6" x14ac:dyDescent="0.25">
      <c r="B62" s="7">
        <v>1</v>
      </c>
      <c r="C62" s="1">
        <v>2</v>
      </c>
      <c r="D62" s="21" t="s">
        <v>82</v>
      </c>
      <c r="E62" s="21" t="s">
        <v>83</v>
      </c>
      <c r="F62" s="21"/>
    </row>
    <row r="63" spans="2:6" x14ac:dyDescent="0.25">
      <c r="B63" s="7">
        <v>1</v>
      </c>
      <c r="C63" s="1">
        <v>3</v>
      </c>
      <c r="D63" s="21" t="s">
        <v>73</v>
      </c>
      <c r="E63" s="21" t="s">
        <v>84</v>
      </c>
      <c r="F63" s="21"/>
    </row>
    <row r="64" spans="2:6" x14ac:dyDescent="0.25">
      <c r="B64" s="7">
        <v>1</v>
      </c>
      <c r="C64" s="1">
        <v>4</v>
      </c>
      <c r="D64" s="21" t="s">
        <v>85</v>
      </c>
      <c r="E64" s="21" t="s">
        <v>83</v>
      </c>
      <c r="F64" s="21"/>
    </row>
    <row r="65" spans="2:6" x14ac:dyDescent="0.25">
      <c r="B65" s="7">
        <v>1</v>
      </c>
      <c r="C65" s="1">
        <v>5</v>
      </c>
      <c r="D65" s="21" t="s">
        <v>86</v>
      </c>
      <c r="E65" s="21" t="s">
        <v>87</v>
      </c>
      <c r="F65" s="21"/>
    </row>
    <row r="66" spans="2:6" x14ac:dyDescent="0.25">
      <c r="B66" s="7">
        <v>1</v>
      </c>
      <c r="C66" s="1">
        <v>6</v>
      </c>
      <c r="D66" s="21" t="s">
        <v>88</v>
      </c>
      <c r="E66" s="21" t="s">
        <v>87</v>
      </c>
      <c r="F66" s="21"/>
    </row>
    <row r="67" spans="2:6" x14ac:dyDescent="0.25">
      <c r="B67" s="7">
        <v>1</v>
      </c>
      <c r="C67" s="1">
        <v>7</v>
      </c>
      <c r="D67" s="21" t="s">
        <v>89</v>
      </c>
      <c r="E67" s="21"/>
      <c r="F67" s="21"/>
    </row>
    <row r="68" spans="2:6" x14ac:dyDescent="0.25">
      <c r="B68" s="7">
        <v>1</v>
      </c>
      <c r="C68" s="1">
        <v>8</v>
      </c>
      <c r="D68" s="21" t="s">
        <v>90</v>
      </c>
      <c r="E68" s="42" t="s">
        <v>91</v>
      </c>
      <c r="F68" s="21" t="s">
        <v>92</v>
      </c>
    </row>
    <row r="69" spans="2:6" x14ac:dyDescent="0.25">
      <c r="B69" s="7">
        <v>1</v>
      </c>
      <c r="C69" s="1">
        <v>9</v>
      </c>
      <c r="D69" s="21" t="s">
        <v>93</v>
      </c>
      <c r="E69" s="21" t="s">
        <v>83</v>
      </c>
      <c r="F69" s="21" t="s">
        <v>92</v>
      </c>
    </row>
    <row r="70" spans="2:6" x14ac:dyDescent="0.25">
      <c r="B70" s="7">
        <v>1</v>
      </c>
      <c r="C70" s="1">
        <v>10</v>
      </c>
      <c r="D70" s="21" t="s">
        <v>94</v>
      </c>
      <c r="E70" s="21" t="s">
        <v>95</v>
      </c>
      <c r="F70" s="21" t="s">
        <v>92</v>
      </c>
    </row>
    <row r="71" spans="2:6" x14ac:dyDescent="0.25">
      <c r="B71" s="7">
        <v>1</v>
      </c>
      <c r="C71" s="1">
        <v>11</v>
      </c>
      <c r="D71" s="21" t="s">
        <v>96</v>
      </c>
      <c r="E71" s="21" t="s">
        <v>97</v>
      </c>
      <c r="F71" s="21" t="s">
        <v>92</v>
      </c>
    </row>
    <row r="72" spans="2:6" x14ac:dyDescent="0.25">
      <c r="B72" s="7">
        <v>1</v>
      </c>
      <c r="C72" s="1">
        <v>12</v>
      </c>
      <c r="D72" s="21" t="s">
        <v>45</v>
      </c>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E46:E56</xm:sqref>
        </x14:dataValidation>
        <x14:dataValidation type="list" allowBlank="1" showInputMessage="1" showErrorMessage="1" xr:uid="{009B3F76-CBC5-41A8-84DE-D4AD00A25980}">
          <x14:formula1>
            <xm:f>LISTS!$E$7:$E$11</xm:f>
          </x14:formula1>
          <xm:sqref>D46:D56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12"/>
  <dimension ref="B2:H84"/>
  <sheetViews>
    <sheetView showGridLines="0" topLeftCell="A29" zoomScale="85" zoomScaleNormal="85" workbookViewId="0">
      <selection activeCell="F25" sqref="F25"/>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6052SPS</v>
      </c>
      <c r="D2" s="20" t="str">
        <f>D8</f>
        <v>Applied Motor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250</v>
      </c>
      <c r="E7" s="4"/>
      <c r="F7" s="24"/>
    </row>
    <row r="8" spans="2:6" ht="45" x14ac:dyDescent="0.25">
      <c r="B8" s="2"/>
      <c r="C8" s="3" t="s">
        <v>6</v>
      </c>
      <c r="D8" s="21" t="s">
        <v>251</v>
      </c>
      <c r="E8" s="4"/>
      <c r="F8" s="30" t="s">
        <v>252</v>
      </c>
    </row>
    <row r="9" spans="2:6" x14ac:dyDescent="0.25">
      <c r="C9" s="3" t="s">
        <v>9</v>
      </c>
      <c r="D9" s="21">
        <v>20</v>
      </c>
      <c r="E9" s="4"/>
    </row>
    <row r="10" spans="2:6" x14ac:dyDescent="0.25">
      <c r="C10" s="3" t="s">
        <v>10</v>
      </c>
      <c r="D10" s="21">
        <v>1</v>
      </c>
      <c r="E10" s="4"/>
      <c r="F10" t="s">
        <v>11</v>
      </c>
    </row>
    <row r="11" spans="2:6" ht="60" x14ac:dyDescent="0.25">
      <c r="C11" s="3" t="s">
        <v>12</v>
      </c>
      <c r="D11" s="21">
        <v>6</v>
      </c>
      <c r="E11" s="4"/>
      <c r="F11" s="53" t="s">
        <v>253</v>
      </c>
    </row>
    <row r="12" spans="2:6" ht="60" x14ac:dyDescent="0.25">
      <c r="C12" s="3" t="s">
        <v>14</v>
      </c>
      <c r="D12" s="21" t="s">
        <v>254</v>
      </c>
      <c r="E12" s="4"/>
      <c r="F12" s="53" t="s">
        <v>255</v>
      </c>
    </row>
    <row r="13" spans="2:6" x14ac:dyDescent="0.25">
      <c r="C13" s="3" t="s">
        <v>17</v>
      </c>
      <c r="D13" s="21" t="s">
        <v>130</v>
      </c>
      <c r="E13" s="4"/>
      <c r="F13" s="24"/>
    </row>
    <row r="14" spans="2:6" x14ac:dyDescent="0.25">
      <c r="C14" s="3" t="s">
        <v>19</v>
      </c>
      <c r="D14" s="21" t="s">
        <v>20</v>
      </c>
      <c r="E14" s="4"/>
    </row>
    <row r="15" spans="2:6" x14ac:dyDescent="0.25">
      <c r="C15" s="3"/>
      <c r="D15" s="4"/>
      <c r="E15" s="4"/>
      <c r="F15" t="s">
        <v>21</v>
      </c>
    </row>
    <row r="16" spans="2:6" ht="120" x14ac:dyDescent="0.25">
      <c r="C16" s="3"/>
      <c r="D16" s="4"/>
      <c r="E16" s="4"/>
      <c r="F16" s="33" t="s">
        <v>256</v>
      </c>
    </row>
    <row r="17" spans="3:6" ht="18.75" x14ac:dyDescent="0.25">
      <c r="C17" s="5" t="s">
        <v>22</v>
      </c>
      <c r="D17" s="4"/>
      <c r="E17" s="4"/>
      <c r="F17" s="24"/>
    </row>
    <row r="18" spans="3:6" x14ac:dyDescent="0.25">
      <c r="C18" s="3" t="s">
        <v>23</v>
      </c>
      <c r="D18" s="1" t="s">
        <v>22</v>
      </c>
      <c r="E18" s="4"/>
      <c r="F18" s="24"/>
    </row>
    <row r="19" spans="3:6" x14ac:dyDescent="0.25">
      <c r="C19" s="3" t="s">
        <v>24</v>
      </c>
      <c r="D19" s="22">
        <v>22</v>
      </c>
      <c r="E19" s="4"/>
      <c r="F19" s="24"/>
    </row>
    <row r="20" spans="3:6" x14ac:dyDescent="0.25">
      <c r="C20" s="3" t="s">
        <v>25</v>
      </c>
      <c r="D20" s="22"/>
      <c r="E20" s="4"/>
      <c r="F20" s="24"/>
    </row>
    <row r="21" spans="3:6" x14ac:dyDescent="0.25">
      <c r="C21" s="3" t="s">
        <v>26</v>
      </c>
      <c r="D21" s="22">
        <v>8</v>
      </c>
      <c r="E21" s="4"/>
    </row>
    <row r="22" spans="3:6" x14ac:dyDescent="0.25">
      <c r="C22" s="3" t="s">
        <v>27</v>
      </c>
      <c r="D22" s="22">
        <v>14</v>
      </c>
      <c r="E22" s="4"/>
      <c r="F22" t="s">
        <v>28</v>
      </c>
    </row>
    <row r="23" spans="3:6" x14ac:dyDescent="0.25">
      <c r="C23" s="3" t="s">
        <v>29</v>
      </c>
      <c r="D23" s="22"/>
      <c r="E23" s="4"/>
      <c r="F23" s="24"/>
    </row>
    <row r="24" spans="3:6" ht="120" x14ac:dyDescent="0.25">
      <c r="C24" s="3" t="s">
        <v>31</v>
      </c>
      <c r="D24" s="1">
        <f>SUM(D19:D23)</f>
        <v>44</v>
      </c>
      <c r="E24" s="4"/>
      <c r="F24" s="33" t="s">
        <v>257</v>
      </c>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30" t="s">
        <v>258</v>
      </c>
      <c r="E29" s="4"/>
      <c r="F29" s="24"/>
    </row>
    <row r="30" spans="3:6" ht="45" x14ac:dyDescent="0.25">
      <c r="C30" s="3" t="s">
        <v>39</v>
      </c>
      <c r="D30" s="30" t="s">
        <v>259</v>
      </c>
      <c r="E30" s="4"/>
      <c r="F30" s="24"/>
    </row>
    <row r="31" spans="3:6" ht="30" x14ac:dyDescent="0.25">
      <c r="C31" s="3" t="s">
        <v>41</v>
      </c>
      <c r="D31" s="30" t="s">
        <v>260</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261</v>
      </c>
      <c r="G38" s="23">
        <v>0.5</v>
      </c>
      <c r="H38" s="21">
        <v>8</v>
      </c>
    </row>
    <row r="39" spans="3:8" ht="45" x14ac:dyDescent="0.25">
      <c r="C39" s="3" t="s">
        <v>56</v>
      </c>
      <c r="D39" s="21" t="s">
        <v>138</v>
      </c>
      <c r="E39" s="21" t="s">
        <v>111</v>
      </c>
      <c r="F39" s="21" t="s">
        <v>262</v>
      </c>
      <c r="G39" s="23">
        <v>0.5</v>
      </c>
      <c r="H39" s="21">
        <v>17</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171</v>
      </c>
    </row>
    <row r="47" spans="3:8" x14ac:dyDescent="0.25">
      <c r="C47" s="25" t="s">
        <v>52</v>
      </c>
      <c r="D47" s="24" t="s">
        <v>37</v>
      </c>
      <c r="E47" s="24" t="s">
        <v>141</v>
      </c>
      <c r="F47" s="24" t="s">
        <v>143</v>
      </c>
    </row>
    <row r="48" spans="3:8" x14ac:dyDescent="0.25">
      <c r="C48" s="25" t="s">
        <v>52</v>
      </c>
      <c r="D48" s="24" t="s">
        <v>41</v>
      </c>
      <c r="E48" s="24" t="s">
        <v>64</v>
      </c>
      <c r="F48" s="24" t="s">
        <v>65</v>
      </c>
    </row>
    <row r="49" spans="2:6" x14ac:dyDescent="0.25">
      <c r="C49" s="25" t="s">
        <v>52</v>
      </c>
      <c r="D49" s="24" t="s">
        <v>37</v>
      </c>
      <c r="E49" s="24" t="s">
        <v>66</v>
      </c>
      <c r="F49" s="24" t="s">
        <v>67</v>
      </c>
    </row>
    <row r="50" spans="2:6" x14ac:dyDescent="0.25">
      <c r="C50" s="25" t="s">
        <v>52</v>
      </c>
      <c r="D50" s="24" t="s">
        <v>37</v>
      </c>
      <c r="E50" s="24" t="s">
        <v>68</v>
      </c>
      <c r="F50" s="24" t="s">
        <v>69</v>
      </c>
    </row>
    <row r="51" spans="2:6" x14ac:dyDescent="0.25">
      <c r="C51" s="25" t="s">
        <v>56</v>
      </c>
      <c r="D51" s="24" t="s">
        <v>39</v>
      </c>
      <c r="E51" s="24" t="s">
        <v>141</v>
      </c>
      <c r="F51" s="24" t="s">
        <v>171</v>
      </c>
    </row>
    <row r="52" spans="2:6" x14ac:dyDescent="0.25">
      <c r="C52" s="25" t="s">
        <v>59</v>
      </c>
      <c r="D52" s="24" t="s">
        <v>39</v>
      </c>
      <c r="E52" s="24" t="s">
        <v>141</v>
      </c>
      <c r="F52" s="24" t="s">
        <v>143</v>
      </c>
    </row>
    <row r="53" spans="2:6" x14ac:dyDescent="0.25">
      <c r="C53" s="25" t="s">
        <v>59</v>
      </c>
      <c r="D53" s="24" t="s">
        <v>39</v>
      </c>
      <c r="E53" s="24" t="s">
        <v>116</v>
      </c>
      <c r="F53" s="24" t="s">
        <v>117</v>
      </c>
    </row>
    <row r="54" spans="2:6" x14ac:dyDescent="0.25">
      <c r="C54" s="25" t="s">
        <v>59</v>
      </c>
      <c r="D54" s="24" t="s">
        <v>39</v>
      </c>
      <c r="E54" s="24" t="s">
        <v>116</v>
      </c>
      <c r="F54" s="24" t="s">
        <v>263</v>
      </c>
    </row>
    <row r="55" spans="2:6" x14ac:dyDescent="0.25">
      <c r="C55" s="25" t="s">
        <v>60</v>
      </c>
      <c r="D55" s="24" t="s">
        <v>41</v>
      </c>
      <c r="E55" s="24" t="s">
        <v>64</v>
      </c>
      <c r="F55" s="24" t="s">
        <v>65</v>
      </c>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t="s">
        <v>264</v>
      </c>
      <c r="E61" s="52" t="s">
        <v>265</v>
      </c>
      <c r="F61" s="21"/>
    </row>
    <row r="62" spans="2:6" x14ac:dyDescent="0.25">
      <c r="B62" s="7">
        <v>1</v>
      </c>
      <c r="C62" s="1">
        <v>2</v>
      </c>
      <c r="D62" s="21" t="s">
        <v>266</v>
      </c>
      <c r="E62" s="21" t="s">
        <v>267</v>
      </c>
      <c r="F62" s="21"/>
    </row>
    <row r="63" spans="2:6" x14ac:dyDescent="0.25">
      <c r="B63" s="7">
        <v>1</v>
      </c>
      <c r="C63" s="1">
        <v>3</v>
      </c>
      <c r="D63" s="21" t="s">
        <v>268</v>
      </c>
      <c r="E63" s="52" t="s">
        <v>269</v>
      </c>
      <c r="F63" s="21"/>
    </row>
    <row r="64" spans="2:6" x14ac:dyDescent="0.25">
      <c r="B64" s="7">
        <v>1</v>
      </c>
      <c r="C64" s="1">
        <v>4</v>
      </c>
      <c r="D64" s="21" t="s">
        <v>270</v>
      </c>
      <c r="E64" s="21" t="s">
        <v>271</v>
      </c>
      <c r="F64" s="21"/>
    </row>
    <row r="65" spans="2:6" ht="30" x14ac:dyDescent="0.25">
      <c r="B65" s="7">
        <v>1</v>
      </c>
      <c r="C65" s="1">
        <v>5</v>
      </c>
      <c r="D65" s="21" t="s">
        <v>272</v>
      </c>
      <c r="E65" s="21" t="s">
        <v>273</v>
      </c>
      <c r="F65" s="21"/>
    </row>
    <row r="66" spans="2:6" ht="30" x14ac:dyDescent="0.25">
      <c r="B66" s="7">
        <v>1</v>
      </c>
      <c r="C66" s="1">
        <v>6</v>
      </c>
      <c r="D66" s="21" t="s">
        <v>274</v>
      </c>
      <c r="E66" s="21" t="s">
        <v>275</v>
      </c>
      <c r="F66" s="21"/>
    </row>
    <row r="67" spans="2:6" x14ac:dyDescent="0.25">
      <c r="B67" s="7">
        <v>1</v>
      </c>
      <c r="C67" s="1">
        <v>7</v>
      </c>
      <c r="D67" s="21" t="s">
        <v>177</v>
      </c>
      <c r="E67" s="21"/>
      <c r="F67" s="21"/>
    </row>
    <row r="68" spans="2:6" x14ac:dyDescent="0.25">
      <c r="B68" s="7">
        <v>1</v>
      </c>
      <c r="C68" s="1">
        <v>8</v>
      </c>
      <c r="D68" s="21" t="s">
        <v>276</v>
      </c>
      <c r="E68" s="21" t="s">
        <v>277</v>
      </c>
      <c r="F68" s="21"/>
    </row>
    <row r="69" spans="2:6" ht="30" x14ac:dyDescent="0.25">
      <c r="B69" s="7">
        <v>1</v>
      </c>
      <c r="C69" s="1">
        <v>9</v>
      </c>
      <c r="D69" s="21" t="s">
        <v>278</v>
      </c>
      <c r="E69" s="21" t="s">
        <v>279</v>
      </c>
      <c r="F69" s="21"/>
    </row>
    <row r="70" spans="2:6" x14ac:dyDescent="0.25">
      <c r="B70" s="7">
        <v>1</v>
      </c>
      <c r="C70" s="1">
        <v>10</v>
      </c>
      <c r="D70" s="21" t="s">
        <v>280</v>
      </c>
      <c r="E70" s="21" t="s">
        <v>281</v>
      </c>
      <c r="F70" s="21"/>
    </row>
    <row r="71" spans="2:6" x14ac:dyDescent="0.25">
      <c r="B71" s="7">
        <v>1</v>
      </c>
      <c r="C71" s="1">
        <v>11</v>
      </c>
      <c r="D71" s="21" t="s">
        <v>282</v>
      </c>
      <c r="E71" s="21" t="s">
        <v>283</v>
      </c>
      <c r="F71" s="21"/>
    </row>
    <row r="72" spans="2:6" x14ac:dyDescent="0.25">
      <c r="B72" s="7">
        <v>1</v>
      </c>
      <c r="C72" s="1">
        <v>12</v>
      </c>
      <c r="D72" s="29" t="s">
        <v>284</v>
      </c>
      <c r="E72" s="21" t="s">
        <v>281</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5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D46:D56</xm:sqref>
        </x14:dataValidation>
        <x14:dataValidation type="list" allowBlank="1" showInputMessage="1" showErrorMessage="1" xr:uid="{BE7A30BD-1760-4896-BACE-8BCA87088F96}">
          <x14:formula1>
            <xm:f>LISTS!$J$7:$J$16</xm:f>
          </x14:formula1>
          <xm:sqref>E46:E56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3"/>
  <dimension ref="B2:H86"/>
  <sheetViews>
    <sheetView showGridLines="0" topLeftCell="A73" zoomScale="85" zoomScaleNormal="85" workbookViewId="0">
      <selection activeCell="D75" sqref="D75:D86"/>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6053SPS</v>
      </c>
      <c r="D2" s="20" t="str">
        <f>D8</f>
        <v>Current Issues in Sport and Exercise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182</v>
      </c>
      <c r="E7" s="4"/>
      <c r="F7" s="24"/>
    </row>
    <row r="8" spans="2:6" ht="60" x14ac:dyDescent="0.25">
      <c r="B8" s="2"/>
      <c r="C8" s="3" t="s">
        <v>6</v>
      </c>
      <c r="D8" s="21" t="s">
        <v>183</v>
      </c>
      <c r="E8" s="4"/>
      <c r="F8" s="45" t="s">
        <v>184</v>
      </c>
    </row>
    <row r="9" spans="2:6" x14ac:dyDescent="0.25">
      <c r="C9" s="3" t="s">
        <v>9</v>
      </c>
      <c r="D9" s="21">
        <v>20</v>
      </c>
      <c r="E9" s="4"/>
    </row>
    <row r="10" spans="2:6" x14ac:dyDescent="0.25">
      <c r="C10" s="3" t="s">
        <v>10</v>
      </c>
      <c r="D10" s="21">
        <v>2</v>
      </c>
      <c r="E10" s="4"/>
      <c r="F10" t="s">
        <v>11</v>
      </c>
    </row>
    <row r="11" spans="2:6" ht="30" x14ac:dyDescent="0.25">
      <c r="C11" s="3" t="s">
        <v>12</v>
      </c>
      <c r="D11" s="21">
        <v>6</v>
      </c>
      <c r="E11" s="4"/>
      <c r="F11" s="45" t="s">
        <v>185</v>
      </c>
    </row>
    <row r="12" spans="2:6" ht="45" x14ac:dyDescent="0.25">
      <c r="C12" s="3" t="s">
        <v>14</v>
      </c>
      <c r="D12" s="21" t="s">
        <v>186</v>
      </c>
      <c r="E12" s="4"/>
      <c r="F12" s="30" t="s">
        <v>187</v>
      </c>
    </row>
    <row r="13" spans="2:6" x14ac:dyDescent="0.25">
      <c r="C13" s="3" t="s">
        <v>17</v>
      </c>
      <c r="D13" s="21" t="s">
        <v>130</v>
      </c>
      <c r="E13" s="4"/>
      <c r="F13" s="24"/>
    </row>
    <row r="14" spans="2:6" x14ac:dyDescent="0.25">
      <c r="C14" s="3" t="s">
        <v>19</v>
      </c>
      <c r="D14" s="21" t="s">
        <v>188</v>
      </c>
      <c r="E14" s="4"/>
    </row>
    <row r="15" spans="2:6" x14ac:dyDescent="0.25">
      <c r="C15" s="3"/>
      <c r="D15" s="4"/>
      <c r="E15" s="4"/>
      <c r="F15" t="s">
        <v>21</v>
      </c>
    </row>
    <row r="16" spans="2:6" ht="60" x14ac:dyDescent="0.25">
      <c r="C16" s="3"/>
      <c r="D16" s="4"/>
      <c r="E16" s="4"/>
      <c r="F16" s="45" t="s">
        <v>189</v>
      </c>
    </row>
    <row r="17" spans="3:6" ht="18.75" x14ac:dyDescent="0.25">
      <c r="C17" s="5" t="s">
        <v>22</v>
      </c>
      <c r="D17" s="4"/>
      <c r="E17" s="4"/>
      <c r="F17" s="24"/>
    </row>
    <row r="18" spans="3:6" x14ac:dyDescent="0.25">
      <c r="C18" s="3" t="s">
        <v>23</v>
      </c>
      <c r="D18" s="1" t="s">
        <v>22</v>
      </c>
      <c r="E18" s="4"/>
      <c r="F18" s="24"/>
    </row>
    <row r="19" spans="3:6" x14ac:dyDescent="0.25">
      <c r="C19" s="3" t="s">
        <v>24</v>
      </c>
      <c r="D19" s="22">
        <v>22</v>
      </c>
      <c r="E19" s="4"/>
      <c r="F19" s="24"/>
    </row>
    <row r="20" spans="3:6" x14ac:dyDescent="0.25">
      <c r="C20" s="3" t="s">
        <v>25</v>
      </c>
      <c r="D20" s="22">
        <v>22</v>
      </c>
      <c r="E20" s="4"/>
      <c r="F20" s="24"/>
    </row>
    <row r="21" spans="3:6" x14ac:dyDescent="0.25">
      <c r="C21" s="3" t="s">
        <v>26</v>
      </c>
      <c r="D21" s="22"/>
      <c r="E21" s="4"/>
    </row>
    <row r="22" spans="3:6" x14ac:dyDescent="0.25">
      <c r="C22" s="3" t="s">
        <v>27</v>
      </c>
      <c r="D22" s="22"/>
      <c r="E22" s="4"/>
      <c r="F22" t="s">
        <v>28</v>
      </c>
    </row>
    <row r="23" spans="3:6" x14ac:dyDescent="0.25">
      <c r="C23" s="3" t="s">
        <v>29</v>
      </c>
      <c r="D23" s="22"/>
      <c r="E23" s="4"/>
      <c r="F23" s="24"/>
    </row>
    <row r="24" spans="3:6" x14ac:dyDescent="0.25">
      <c r="C24" s="3" t="s">
        <v>31</v>
      </c>
      <c r="D24" s="1">
        <f>SUM(D19:D23)</f>
        <v>44</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24.75" x14ac:dyDescent="0.25">
      <c r="C29" s="3" t="s">
        <v>37</v>
      </c>
      <c r="D29" s="44" t="s">
        <v>190</v>
      </c>
      <c r="E29" s="4"/>
      <c r="F29" s="24"/>
    </row>
    <row r="30" spans="3:6" ht="24.75" x14ac:dyDescent="0.25">
      <c r="C30" s="3" t="s">
        <v>39</v>
      </c>
      <c r="D30" s="44" t="s">
        <v>191</v>
      </c>
      <c r="E30" s="4"/>
      <c r="F30" s="24"/>
    </row>
    <row r="31" spans="3:6" x14ac:dyDescent="0.25">
      <c r="C31" s="3" t="s">
        <v>41</v>
      </c>
      <c r="D31" s="21"/>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ht="30" x14ac:dyDescent="0.25">
      <c r="C38" s="3" t="s">
        <v>52</v>
      </c>
      <c r="D38" s="21" t="s">
        <v>110</v>
      </c>
      <c r="E38" s="21" t="s">
        <v>192</v>
      </c>
      <c r="F38" s="21" t="s">
        <v>193</v>
      </c>
      <c r="G38" s="23">
        <v>0.5</v>
      </c>
      <c r="H38" s="21">
        <v>6</v>
      </c>
    </row>
    <row r="39" spans="3:8" ht="30" x14ac:dyDescent="0.25">
      <c r="C39" s="3" t="s">
        <v>56</v>
      </c>
      <c r="D39" s="21" t="s">
        <v>138</v>
      </c>
      <c r="E39" s="21" t="s">
        <v>194</v>
      </c>
      <c r="F39" s="21" t="s">
        <v>195</v>
      </c>
      <c r="G39" s="23">
        <v>0.5</v>
      </c>
      <c r="H39" s="21" t="s">
        <v>196</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171</v>
      </c>
    </row>
    <row r="47" spans="3:8" x14ac:dyDescent="0.25">
      <c r="C47" s="25" t="s">
        <v>52</v>
      </c>
      <c r="D47" s="24" t="s">
        <v>37</v>
      </c>
      <c r="E47" s="24" t="s">
        <v>116</v>
      </c>
      <c r="F47" s="24" t="s">
        <v>197</v>
      </c>
    </row>
    <row r="48" spans="3:8" x14ac:dyDescent="0.25">
      <c r="C48" s="25" t="s">
        <v>52</v>
      </c>
      <c r="D48" s="24" t="s">
        <v>37</v>
      </c>
      <c r="E48" s="24" t="s">
        <v>66</v>
      </c>
      <c r="F48" s="24" t="s">
        <v>198</v>
      </c>
    </row>
    <row r="49" spans="2:6" x14ac:dyDescent="0.25">
      <c r="C49" s="25" t="s">
        <v>52</v>
      </c>
      <c r="D49" s="24" t="s">
        <v>37</v>
      </c>
      <c r="E49" s="24" t="s">
        <v>141</v>
      </c>
      <c r="F49" s="24" t="s">
        <v>199</v>
      </c>
    </row>
    <row r="50" spans="2:6" x14ac:dyDescent="0.25">
      <c r="C50" s="25" t="s">
        <v>52</v>
      </c>
      <c r="D50" s="24" t="s">
        <v>37</v>
      </c>
      <c r="E50" s="24" t="s">
        <v>116</v>
      </c>
      <c r="F50" s="24" t="s">
        <v>200</v>
      </c>
    </row>
    <row r="51" spans="2:6" x14ac:dyDescent="0.25">
      <c r="C51" s="25" t="s">
        <v>56</v>
      </c>
      <c r="D51" s="24" t="s">
        <v>39</v>
      </c>
      <c r="E51" s="24" t="s">
        <v>66</v>
      </c>
      <c r="F51" s="24" t="s">
        <v>198</v>
      </c>
    </row>
    <row r="52" spans="2:6" x14ac:dyDescent="0.25">
      <c r="C52" s="25" t="s">
        <v>56</v>
      </c>
      <c r="D52" s="24" t="s">
        <v>39</v>
      </c>
      <c r="E52" s="24" t="s">
        <v>141</v>
      </c>
      <c r="F52" s="24" t="s">
        <v>142</v>
      </c>
    </row>
    <row r="53" spans="2:6" x14ac:dyDescent="0.25">
      <c r="C53" s="25" t="s">
        <v>56</v>
      </c>
      <c r="D53" s="24" t="s">
        <v>39</v>
      </c>
      <c r="E53" s="24" t="s">
        <v>116</v>
      </c>
      <c r="F53" s="24" t="s">
        <v>197</v>
      </c>
    </row>
    <row r="54" spans="2:6" x14ac:dyDescent="0.25">
      <c r="C54" s="25" t="s">
        <v>59</v>
      </c>
      <c r="D54" s="24"/>
      <c r="E54" s="24"/>
      <c r="F54" s="24"/>
    </row>
    <row r="55" spans="2:6" x14ac:dyDescent="0.25">
      <c r="C55" s="25" t="s">
        <v>59</v>
      </c>
      <c r="D55" s="24"/>
      <c r="E55" s="24"/>
      <c r="F55" s="24"/>
    </row>
    <row r="56" spans="2:6" x14ac:dyDescent="0.25">
      <c r="C56" s="25" t="s">
        <v>59</v>
      </c>
      <c r="D56" s="24"/>
      <c r="E56" s="24"/>
      <c r="F56" s="24"/>
    </row>
    <row r="57" spans="2:6" x14ac:dyDescent="0.25">
      <c r="C57" s="25" t="s">
        <v>60</v>
      </c>
      <c r="D57" s="24"/>
      <c r="E57" s="24"/>
      <c r="F57" s="24"/>
    </row>
    <row r="58" spans="2:6" x14ac:dyDescent="0.25">
      <c r="C58" s="25" t="s">
        <v>60</v>
      </c>
      <c r="D58" s="24"/>
      <c r="E58" s="24"/>
      <c r="F58" s="24"/>
    </row>
    <row r="61" spans="2:6" ht="18.75" x14ac:dyDescent="0.25">
      <c r="C61" s="5" t="s">
        <v>74</v>
      </c>
    </row>
    <row r="62" spans="2:6" x14ac:dyDescent="0.25">
      <c r="B62" t="s">
        <v>75</v>
      </c>
      <c r="C62" s="1" t="s">
        <v>76</v>
      </c>
      <c r="D62" s="1" t="s">
        <v>77</v>
      </c>
      <c r="E62" s="1" t="s">
        <v>78</v>
      </c>
      <c r="F62" s="1" t="s">
        <v>79</v>
      </c>
    </row>
    <row r="63" spans="2:6" x14ac:dyDescent="0.25">
      <c r="B63" s="7">
        <v>1</v>
      </c>
      <c r="C63" s="1">
        <v>1</v>
      </c>
      <c r="D63" s="21"/>
      <c r="E63" s="21"/>
      <c r="F63" s="21"/>
    </row>
    <row r="64" spans="2:6" x14ac:dyDescent="0.25">
      <c r="B64" s="7">
        <v>1</v>
      </c>
      <c r="C64" s="1">
        <v>2</v>
      </c>
      <c r="D64" s="21"/>
      <c r="E64" s="21"/>
      <c r="F64" s="21"/>
    </row>
    <row r="65" spans="2:6" x14ac:dyDescent="0.25">
      <c r="B65" s="7">
        <v>1</v>
      </c>
      <c r="C65" s="1">
        <v>3</v>
      </c>
      <c r="D65" s="21"/>
      <c r="E65" s="21"/>
      <c r="F65" s="21"/>
    </row>
    <row r="66" spans="2:6" x14ac:dyDescent="0.25">
      <c r="B66" s="7">
        <v>1</v>
      </c>
      <c r="C66" s="1">
        <v>4</v>
      </c>
      <c r="D66" s="21"/>
      <c r="E66" s="21"/>
      <c r="F66" s="21"/>
    </row>
    <row r="67" spans="2:6" x14ac:dyDescent="0.25">
      <c r="B67" s="7">
        <v>1</v>
      </c>
      <c r="C67" s="1">
        <v>5</v>
      </c>
      <c r="D67" s="21"/>
      <c r="E67" s="21"/>
      <c r="F67" s="21"/>
    </row>
    <row r="68" spans="2:6" x14ac:dyDescent="0.25">
      <c r="B68" s="7">
        <v>1</v>
      </c>
      <c r="C68" s="1">
        <v>6</v>
      </c>
      <c r="D68" s="21"/>
      <c r="E68" s="21"/>
      <c r="F68" s="21"/>
    </row>
    <row r="69" spans="2:6" x14ac:dyDescent="0.25">
      <c r="B69" s="7">
        <v>1</v>
      </c>
      <c r="C69" s="1">
        <v>7</v>
      </c>
      <c r="D69" s="21"/>
      <c r="E69" s="21"/>
      <c r="F69" s="21"/>
    </row>
    <row r="70" spans="2:6" x14ac:dyDescent="0.25">
      <c r="B70" s="7">
        <v>1</v>
      </c>
      <c r="C70" s="1">
        <v>8</v>
      </c>
      <c r="D70" s="21"/>
      <c r="E70" s="21"/>
      <c r="F70" s="21"/>
    </row>
    <row r="71" spans="2:6" x14ac:dyDescent="0.25">
      <c r="B71" s="7">
        <v>1</v>
      </c>
      <c r="C71" s="1">
        <v>9</v>
      </c>
      <c r="D71" s="21"/>
      <c r="E71" s="21"/>
      <c r="F71" s="21"/>
    </row>
    <row r="72" spans="2:6" x14ac:dyDescent="0.25">
      <c r="B72" s="7">
        <v>1</v>
      </c>
      <c r="C72" s="1">
        <v>10</v>
      </c>
      <c r="D72" s="21"/>
      <c r="E72" s="21"/>
      <c r="F72" s="21"/>
    </row>
    <row r="73" spans="2:6" x14ac:dyDescent="0.25">
      <c r="B73" s="7">
        <v>1</v>
      </c>
      <c r="C73" s="1">
        <v>11</v>
      </c>
      <c r="D73" s="21"/>
      <c r="E73" s="21"/>
      <c r="F73" s="21"/>
    </row>
    <row r="74" spans="2:6" x14ac:dyDescent="0.25">
      <c r="B74" s="7">
        <v>1</v>
      </c>
      <c r="C74" s="1">
        <v>12</v>
      </c>
      <c r="D74" s="21"/>
      <c r="E74" s="21"/>
      <c r="F74" s="21"/>
    </row>
    <row r="75" spans="2:6" x14ac:dyDescent="0.25">
      <c r="B75" s="7">
        <v>2</v>
      </c>
      <c r="C75" s="1">
        <v>1</v>
      </c>
      <c r="D75" s="21" t="s">
        <v>201</v>
      </c>
      <c r="E75" s="21" t="s">
        <v>202</v>
      </c>
      <c r="F75" s="21"/>
    </row>
    <row r="76" spans="2:6" x14ac:dyDescent="0.25">
      <c r="B76" s="7">
        <v>2</v>
      </c>
      <c r="C76" s="1">
        <v>2</v>
      </c>
      <c r="D76" s="21" t="s">
        <v>203</v>
      </c>
      <c r="E76" s="27" t="s">
        <v>204</v>
      </c>
      <c r="F76" s="21"/>
    </row>
    <row r="77" spans="2:6" x14ac:dyDescent="0.25">
      <c r="B77" s="7">
        <v>2</v>
      </c>
      <c r="C77" s="1">
        <v>3</v>
      </c>
      <c r="D77" s="21" t="s">
        <v>205</v>
      </c>
      <c r="E77" s="27" t="s">
        <v>204</v>
      </c>
      <c r="F77" s="21"/>
    </row>
    <row r="78" spans="2:6" x14ac:dyDescent="0.25">
      <c r="B78" s="7">
        <v>2</v>
      </c>
      <c r="C78" s="1">
        <v>4</v>
      </c>
      <c r="D78" s="21" t="s">
        <v>206</v>
      </c>
      <c r="E78" s="27" t="s">
        <v>204</v>
      </c>
      <c r="F78" s="21"/>
    </row>
    <row r="79" spans="2:6" x14ac:dyDescent="0.25">
      <c r="B79" s="7">
        <v>2</v>
      </c>
      <c r="C79" s="1">
        <v>5</v>
      </c>
      <c r="D79" s="21" t="s">
        <v>207</v>
      </c>
      <c r="E79" s="27" t="s">
        <v>204</v>
      </c>
      <c r="F79" s="21"/>
    </row>
    <row r="80" spans="2:6" x14ac:dyDescent="0.25">
      <c r="B80" s="7">
        <v>2</v>
      </c>
      <c r="C80" s="1">
        <v>6</v>
      </c>
      <c r="D80" s="21" t="s">
        <v>208</v>
      </c>
      <c r="E80" s="27" t="s">
        <v>204</v>
      </c>
      <c r="F80" s="21"/>
    </row>
    <row r="81" spans="2:6" x14ac:dyDescent="0.25">
      <c r="B81" s="7">
        <v>2</v>
      </c>
      <c r="C81" s="1">
        <v>7</v>
      </c>
      <c r="D81" s="21" t="s">
        <v>177</v>
      </c>
      <c r="E81" s="21" t="s">
        <v>177</v>
      </c>
      <c r="F81" s="21"/>
    </row>
    <row r="82" spans="2:6" x14ac:dyDescent="0.25">
      <c r="B82" s="7">
        <v>2</v>
      </c>
      <c r="C82" s="1">
        <v>8</v>
      </c>
      <c r="D82" s="21" t="s">
        <v>209</v>
      </c>
      <c r="E82" s="27" t="s">
        <v>204</v>
      </c>
      <c r="F82" s="21"/>
    </row>
    <row r="83" spans="2:6" x14ac:dyDescent="0.25">
      <c r="B83" s="7">
        <v>2</v>
      </c>
      <c r="C83" s="1">
        <v>9</v>
      </c>
      <c r="D83" s="21" t="s">
        <v>210</v>
      </c>
      <c r="E83" s="27" t="s">
        <v>204</v>
      </c>
      <c r="F83" s="21"/>
    </row>
    <row r="84" spans="2:6" x14ac:dyDescent="0.25">
      <c r="B84" s="7">
        <v>2</v>
      </c>
      <c r="C84" s="1">
        <v>10</v>
      </c>
      <c r="D84" s="21" t="s">
        <v>211</v>
      </c>
      <c r="E84" s="27" t="s">
        <v>204</v>
      </c>
      <c r="F84" s="21"/>
    </row>
    <row r="85" spans="2:6" x14ac:dyDescent="0.25">
      <c r="B85" s="7">
        <v>2</v>
      </c>
      <c r="C85" s="1">
        <v>11</v>
      </c>
      <c r="D85" s="21" t="s">
        <v>212</v>
      </c>
      <c r="E85" s="27" t="s">
        <v>204</v>
      </c>
      <c r="F85" s="21"/>
    </row>
    <row r="86" spans="2:6" ht="30" x14ac:dyDescent="0.25">
      <c r="B86" s="7">
        <v>2</v>
      </c>
      <c r="C86" s="1">
        <v>12</v>
      </c>
      <c r="D86" s="21" t="s">
        <v>213</v>
      </c>
      <c r="E86" s="27" t="s">
        <v>204</v>
      </c>
      <c r="F86"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58"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D46:D58</xm:sqref>
        </x14:dataValidation>
        <x14:dataValidation type="list" allowBlank="1" showInputMessage="1" showErrorMessage="1" xr:uid="{EB948922-0A22-4BD6-8094-4C6953146F85}">
          <x14:formula1>
            <xm:f>LISTS!$J$7:$J$16</xm:f>
          </x14:formula1>
          <xm:sqref>E46:E58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4"/>
  <dimension ref="B2:H84"/>
  <sheetViews>
    <sheetView showGridLines="0" topLeftCell="A21" zoomScale="85" zoomScaleNormal="85" workbookViewId="0">
      <selection activeCell="F39" sqref="F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6054SPS</v>
      </c>
      <c r="D2" s="20" t="str">
        <f>D8</f>
        <v xml:space="preserve">Professional placement or work related learning project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98</v>
      </c>
      <c r="E7" s="4"/>
      <c r="F7" s="37" t="s">
        <v>99</v>
      </c>
    </row>
    <row r="8" spans="2:6" x14ac:dyDescent="0.25">
      <c r="B8" s="2"/>
      <c r="C8" s="3" t="s">
        <v>6</v>
      </c>
      <c r="D8" s="21" t="s">
        <v>100</v>
      </c>
      <c r="E8" s="4"/>
      <c r="F8" s="24"/>
    </row>
    <row r="9" spans="2:6" x14ac:dyDescent="0.25">
      <c r="C9" s="3" t="s">
        <v>9</v>
      </c>
      <c r="D9" s="21">
        <v>20</v>
      </c>
      <c r="E9" s="4"/>
    </row>
    <row r="10" spans="2:6" x14ac:dyDescent="0.25">
      <c r="C10" s="3" t="s">
        <v>10</v>
      </c>
      <c r="D10" s="21">
        <v>2</v>
      </c>
      <c r="E10" s="4"/>
      <c r="F10" t="s">
        <v>11</v>
      </c>
    </row>
    <row r="11" spans="2:6" ht="45.75" x14ac:dyDescent="0.25">
      <c r="C11" s="3" t="s">
        <v>12</v>
      </c>
      <c r="D11" s="21">
        <v>6</v>
      </c>
      <c r="E11" s="4"/>
      <c r="F11" s="41" t="s">
        <v>101</v>
      </c>
    </row>
    <row r="12" spans="2:6" ht="45.75" x14ac:dyDescent="0.25">
      <c r="C12" s="3" t="s">
        <v>14</v>
      </c>
      <c r="D12" s="21" t="s">
        <v>15</v>
      </c>
      <c r="E12" s="4"/>
      <c r="F12" s="41" t="s">
        <v>102</v>
      </c>
    </row>
    <row r="13" spans="2:6" x14ac:dyDescent="0.25">
      <c r="C13" s="3" t="s">
        <v>17</v>
      </c>
      <c r="D13" s="21" t="s">
        <v>103</v>
      </c>
      <c r="E13" s="4"/>
      <c r="F13" s="24"/>
    </row>
    <row r="14" spans="2:6" x14ac:dyDescent="0.25">
      <c r="C14" s="3" t="s">
        <v>19</v>
      </c>
      <c r="D14" s="21" t="s">
        <v>20</v>
      </c>
      <c r="E14" s="4"/>
    </row>
    <row r="15" spans="2:6" x14ac:dyDescent="0.25">
      <c r="C15" s="3"/>
      <c r="D15" s="4"/>
      <c r="E15" s="4"/>
      <c r="F15" t="s">
        <v>21</v>
      </c>
    </row>
    <row r="16" spans="2:6" ht="90" x14ac:dyDescent="0.25">
      <c r="C16" s="3"/>
      <c r="D16" s="4"/>
      <c r="E16" s="4"/>
      <c r="F16" s="37" t="s">
        <v>104</v>
      </c>
    </row>
    <row r="17" spans="3:6" ht="18.75" x14ac:dyDescent="0.25">
      <c r="C17" s="5" t="s">
        <v>22</v>
      </c>
      <c r="D17" s="4"/>
      <c r="E17" s="4"/>
      <c r="F17" s="24"/>
    </row>
    <row r="18" spans="3:6" x14ac:dyDescent="0.25">
      <c r="C18" s="3" t="s">
        <v>23</v>
      </c>
      <c r="D18" s="1" t="s">
        <v>22</v>
      </c>
      <c r="E18" s="4"/>
      <c r="F18" s="24"/>
    </row>
    <row r="19" spans="3:6" x14ac:dyDescent="0.25">
      <c r="C19" s="3" t="s">
        <v>24</v>
      </c>
      <c r="D19" s="22"/>
      <c r="E19" s="4"/>
      <c r="F19" s="24"/>
    </row>
    <row r="20" spans="3:6" x14ac:dyDescent="0.25">
      <c r="C20" s="3" t="s">
        <v>25</v>
      </c>
      <c r="D20" s="22">
        <v>8</v>
      </c>
      <c r="E20" s="4"/>
      <c r="F20" s="24"/>
    </row>
    <row r="21" spans="3:6" x14ac:dyDescent="0.25">
      <c r="C21" s="3" t="s">
        <v>26</v>
      </c>
      <c r="D21" s="22">
        <v>40</v>
      </c>
      <c r="E21" s="4"/>
    </row>
    <row r="22" spans="3:6" x14ac:dyDescent="0.25">
      <c r="C22" s="3" t="s">
        <v>27</v>
      </c>
      <c r="D22" s="22">
        <v>12</v>
      </c>
      <c r="E22" s="4"/>
      <c r="F22" t="s">
        <v>28</v>
      </c>
    </row>
    <row r="23" spans="3:6" x14ac:dyDescent="0.25">
      <c r="C23" s="3" t="s">
        <v>29</v>
      </c>
      <c r="D23" s="22"/>
      <c r="E23" s="4"/>
      <c r="F23" s="24"/>
    </row>
    <row r="24" spans="3:6" x14ac:dyDescent="0.25">
      <c r="C24" s="3" t="s">
        <v>31</v>
      </c>
      <c r="D24" s="1">
        <f>SUM(D19:D23)</f>
        <v>60</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2.75" x14ac:dyDescent="0.25">
      <c r="C29" s="3" t="s">
        <v>37</v>
      </c>
      <c r="D29" s="43" t="s">
        <v>105</v>
      </c>
      <c r="E29" s="4"/>
      <c r="F29" s="24"/>
    </row>
    <row r="30" spans="3:6" ht="42.75" x14ac:dyDescent="0.25">
      <c r="C30" s="3" t="s">
        <v>39</v>
      </c>
      <c r="D30" s="43" t="s">
        <v>106</v>
      </c>
      <c r="E30" s="4"/>
      <c r="F30" s="24"/>
    </row>
    <row r="31" spans="3:6" ht="42.75" x14ac:dyDescent="0.25">
      <c r="C31" s="3" t="s">
        <v>41</v>
      </c>
      <c r="D31" s="43" t="s">
        <v>107</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108</v>
      </c>
      <c r="E38" s="21"/>
      <c r="F38" s="21" t="s">
        <v>109</v>
      </c>
      <c r="G38" s="23">
        <v>0.4</v>
      </c>
      <c r="H38" s="21">
        <v>12</v>
      </c>
    </row>
    <row r="39" spans="3:8" x14ac:dyDescent="0.25">
      <c r="C39" s="3" t="s">
        <v>56</v>
      </c>
      <c r="D39" s="21" t="s">
        <v>110</v>
      </c>
      <c r="E39" s="21" t="s">
        <v>111</v>
      </c>
      <c r="F39" s="21" t="s">
        <v>112</v>
      </c>
      <c r="G39" s="23">
        <v>0.6</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68</v>
      </c>
      <c r="F46" s="24" t="s">
        <v>113</v>
      </c>
    </row>
    <row r="47" spans="3:8" x14ac:dyDescent="0.25">
      <c r="C47" s="25" t="s">
        <v>52</v>
      </c>
      <c r="D47" s="24" t="s">
        <v>37</v>
      </c>
      <c r="E47" s="24" t="s">
        <v>64</v>
      </c>
      <c r="F47" s="24" t="s">
        <v>65</v>
      </c>
    </row>
    <row r="48" spans="3:8" x14ac:dyDescent="0.25">
      <c r="C48" s="25" t="s">
        <v>52</v>
      </c>
      <c r="D48" s="24" t="s">
        <v>37</v>
      </c>
      <c r="E48" s="24" t="s">
        <v>114</v>
      </c>
      <c r="F48" s="24" t="s">
        <v>115</v>
      </c>
    </row>
    <row r="49" spans="2:6" x14ac:dyDescent="0.25">
      <c r="C49" s="25" t="s">
        <v>56</v>
      </c>
      <c r="D49" s="24" t="s">
        <v>39</v>
      </c>
      <c r="E49" s="24" t="s">
        <v>116</v>
      </c>
      <c r="F49" s="24" t="s">
        <v>117</v>
      </c>
    </row>
    <row r="50" spans="2:6" x14ac:dyDescent="0.25">
      <c r="C50" s="25" t="s">
        <v>56</v>
      </c>
      <c r="D50" s="24" t="s">
        <v>39</v>
      </c>
      <c r="E50" s="24" t="s">
        <v>70</v>
      </c>
      <c r="F50" s="24" t="s">
        <v>118</v>
      </c>
    </row>
    <row r="51" spans="2:6" x14ac:dyDescent="0.25">
      <c r="C51" s="25" t="s">
        <v>56</v>
      </c>
      <c r="D51" s="24" t="s">
        <v>41</v>
      </c>
      <c r="E51" s="24" t="s">
        <v>72</v>
      </c>
      <c r="F51" s="24" t="s">
        <v>73</v>
      </c>
    </row>
    <row r="52" spans="2:6" x14ac:dyDescent="0.25">
      <c r="C52" s="25" t="s">
        <v>59</v>
      </c>
      <c r="D52" s="24"/>
      <c r="E52" s="24"/>
      <c r="F52" s="24"/>
    </row>
    <row r="53" spans="2:6" x14ac:dyDescent="0.25">
      <c r="C53" s="25" t="s">
        <v>59</v>
      </c>
      <c r="D53" s="24"/>
      <c r="E53" s="24"/>
      <c r="F53" s="24"/>
    </row>
    <row r="54" spans="2:6" x14ac:dyDescent="0.25">
      <c r="C54" s="25" t="s">
        <v>59</v>
      </c>
      <c r="D54" s="24"/>
      <c r="E54" s="24"/>
      <c r="F54" s="24"/>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c r="E61" s="21" t="s">
        <v>119</v>
      </c>
      <c r="F61" s="21" t="s">
        <v>120</v>
      </c>
    </row>
    <row r="62" spans="2:6" x14ac:dyDescent="0.25">
      <c r="B62" s="7">
        <v>1</v>
      </c>
      <c r="C62" s="1">
        <v>2</v>
      </c>
      <c r="D62" s="21" t="s">
        <v>121</v>
      </c>
      <c r="E62" s="21" t="s">
        <v>119</v>
      </c>
      <c r="F62" s="21"/>
    </row>
    <row r="63" spans="2:6" x14ac:dyDescent="0.25">
      <c r="B63" s="7">
        <v>1</v>
      </c>
      <c r="C63" s="1">
        <v>3</v>
      </c>
      <c r="D63" s="21" t="s">
        <v>121</v>
      </c>
      <c r="E63" s="21" t="s">
        <v>119</v>
      </c>
      <c r="F63" s="21"/>
    </row>
    <row r="64" spans="2:6" x14ac:dyDescent="0.25">
      <c r="B64" s="7">
        <v>1</v>
      </c>
      <c r="C64" s="1">
        <v>4</v>
      </c>
      <c r="D64" s="21" t="s">
        <v>121</v>
      </c>
      <c r="E64" s="21" t="s">
        <v>119</v>
      </c>
      <c r="F64" s="21" t="s">
        <v>122</v>
      </c>
    </row>
    <row r="65" spans="2:6" x14ac:dyDescent="0.25">
      <c r="B65" s="7">
        <v>1</v>
      </c>
      <c r="C65" s="1">
        <v>5</v>
      </c>
      <c r="D65" s="21" t="s">
        <v>121</v>
      </c>
      <c r="E65" s="21" t="s">
        <v>119</v>
      </c>
      <c r="F65" s="21"/>
    </row>
    <row r="66" spans="2:6" x14ac:dyDescent="0.25">
      <c r="B66" s="7">
        <v>1</v>
      </c>
      <c r="C66" s="1">
        <v>6</v>
      </c>
      <c r="D66" s="21" t="s">
        <v>121</v>
      </c>
      <c r="E66" s="21" t="s">
        <v>119</v>
      </c>
      <c r="F66" s="21"/>
    </row>
    <row r="67" spans="2:6" x14ac:dyDescent="0.25">
      <c r="B67" s="7">
        <v>1</v>
      </c>
      <c r="C67" s="1">
        <v>7</v>
      </c>
      <c r="D67" s="21" t="s">
        <v>121</v>
      </c>
      <c r="E67" s="21" t="s">
        <v>119</v>
      </c>
      <c r="F67" s="21"/>
    </row>
    <row r="68" spans="2:6" x14ac:dyDescent="0.25">
      <c r="B68" s="7">
        <v>1</v>
      </c>
      <c r="C68" s="1">
        <v>8</v>
      </c>
      <c r="D68" s="21" t="s">
        <v>121</v>
      </c>
      <c r="E68" s="21" t="s">
        <v>119</v>
      </c>
      <c r="F68" s="21"/>
    </row>
    <row r="69" spans="2:6" x14ac:dyDescent="0.25">
      <c r="B69" s="7">
        <v>1</v>
      </c>
      <c r="C69" s="1">
        <v>9</v>
      </c>
      <c r="D69" s="21" t="s">
        <v>121</v>
      </c>
      <c r="E69" s="21" t="s">
        <v>119</v>
      </c>
      <c r="F69" s="21"/>
    </row>
    <row r="70" spans="2:6" x14ac:dyDescent="0.25">
      <c r="B70" s="7">
        <v>1</v>
      </c>
      <c r="C70" s="1">
        <v>10</v>
      </c>
      <c r="D70" s="21" t="s">
        <v>121</v>
      </c>
      <c r="E70" s="21" t="s">
        <v>119</v>
      </c>
      <c r="F70" s="21"/>
    </row>
    <row r="71" spans="2:6" x14ac:dyDescent="0.25">
      <c r="B71" s="7">
        <v>1</v>
      </c>
      <c r="C71" s="1">
        <v>11</v>
      </c>
      <c r="D71" s="21" t="s">
        <v>121</v>
      </c>
      <c r="E71" s="21" t="s">
        <v>119</v>
      </c>
      <c r="F71" s="21"/>
    </row>
    <row r="72" spans="2:6" x14ac:dyDescent="0.25">
      <c r="B72" s="7">
        <v>1</v>
      </c>
      <c r="C72" s="1">
        <v>12</v>
      </c>
      <c r="D72" s="21"/>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5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D46:D56</xm:sqref>
        </x14:dataValidation>
        <x14:dataValidation type="list" allowBlank="1" showInputMessage="1" showErrorMessage="1" xr:uid="{C4F92686-9322-4C4E-8993-76138DE80E0B}">
          <x14:formula1>
            <xm:f>LISTS!$J$7:$J$16</xm:f>
          </x14:formula1>
          <xm:sqref>E46:E56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15"/>
  <dimension ref="B2:H84"/>
  <sheetViews>
    <sheetView showGridLines="0" topLeftCell="B1" zoomScale="85" zoomScaleNormal="85" workbookViewId="0">
      <selection activeCell="D31" sqref="D3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SEM401</v>
      </c>
      <c r="D2" s="20" t="str">
        <f>D8</f>
        <v>Applied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531</v>
      </c>
      <c r="E7" s="4"/>
      <c r="F7" s="24"/>
    </row>
    <row r="8" spans="2:6" x14ac:dyDescent="0.25">
      <c r="B8" s="2"/>
      <c r="C8" s="3" t="s">
        <v>6</v>
      </c>
      <c r="D8" s="21" t="s">
        <v>547</v>
      </c>
      <c r="E8" s="4"/>
      <c r="F8" s="24"/>
    </row>
    <row r="9" spans="2:6" x14ac:dyDescent="0.25">
      <c r="C9" s="3" t="s">
        <v>9</v>
      </c>
      <c r="D9" s="21">
        <v>20</v>
      </c>
      <c r="E9" s="4"/>
    </row>
    <row r="10" spans="2:6" x14ac:dyDescent="0.25">
      <c r="C10" s="3" t="s">
        <v>10</v>
      </c>
      <c r="D10" s="21">
        <v>1</v>
      </c>
      <c r="E10" s="4"/>
      <c r="F10" t="s">
        <v>11</v>
      </c>
    </row>
    <row r="11" spans="2:6" x14ac:dyDescent="0.25">
      <c r="C11" s="3" t="s">
        <v>12</v>
      </c>
      <c r="D11" s="21">
        <v>4</v>
      </c>
      <c r="E11" s="4"/>
      <c r="F11" s="24"/>
    </row>
    <row r="12" spans="2:6" x14ac:dyDescent="0.25">
      <c r="C12" s="3" t="s">
        <v>14</v>
      </c>
      <c r="D12" s="21" t="s">
        <v>548</v>
      </c>
      <c r="E12" s="4"/>
      <c r="F12" s="24"/>
    </row>
    <row r="13" spans="2:6" x14ac:dyDescent="0.25">
      <c r="C13" s="3" t="s">
        <v>17</v>
      </c>
      <c r="D13" s="21" t="s">
        <v>130</v>
      </c>
      <c r="E13" s="4"/>
      <c r="F13" s="24"/>
    </row>
    <row r="14" spans="2:6" x14ac:dyDescent="0.25">
      <c r="C14" s="3" t="s">
        <v>19</v>
      </c>
      <c r="D14" s="21"/>
      <c r="E14" s="4"/>
    </row>
    <row r="15" spans="2:6" x14ac:dyDescent="0.25">
      <c r="C15" s="3"/>
      <c r="D15" s="4"/>
      <c r="E15" s="4"/>
      <c r="F15" t="s">
        <v>21</v>
      </c>
    </row>
    <row r="16" spans="2:6" x14ac:dyDescent="0.25">
      <c r="C16" s="3"/>
      <c r="D16" s="4"/>
      <c r="E16" s="4"/>
      <c r="F16" s="24"/>
    </row>
    <row r="17" spans="3:6" ht="18.75" x14ac:dyDescent="0.25">
      <c r="C17" s="5" t="s">
        <v>22</v>
      </c>
      <c r="D17" s="4"/>
      <c r="E17" s="4"/>
      <c r="F17" s="24"/>
    </row>
    <row r="18" spans="3:6" x14ac:dyDescent="0.25">
      <c r="C18" s="3" t="s">
        <v>23</v>
      </c>
      <c r="D18" s="1" t="s">
        <v>22</v>
      </c>
      <c r="E18" s="4"/>
      <c r="F18" s="24"/>
    </row>
    <row r="19" spans="3:6" x14ac:dyDescent="0.25">
      <c r="C19" s="3" t="s">
        <v>24</v>
      </c>
      <c r="D19" s="22">
        <v>22</v>
      </c>
      <c r="E19" s="4"/>
      <c r="F19" s="24"/>
    </row>
    <row r="20" spans="3:6" x14ac:dyDescent="0.25">
      <c r="C20" s="3" t="s">
        <v>25</v>
      </c>
      <c r="D20" s="22">
        <v>12</v>
      </c>
      <c r="E20" s="4"/>
      <c r="F20" s="24"/>
    </row>
    <row r="21" spans="3:6" x14ac:dyDescent="0.25">
      <c r="C21" s="3" t="s">
        <v>26</v>
      </c>
      <c r="D21" s="22">
        <v>6</v>
      </c>
      <c r="E21" s="4"/>
    </row>
    <row r="22" spans="3:6" x14ac:dyDescent="0.25">
      <c r="C22" s="3" t="s">
        <v>27</v>
      </c>
      <c r="D22" s="22">
        <v>6</v>
      </c>
      <c r="E22" s="4"/>
      <c r="F22" t="s">
        <v>28</v>
      </c>
    </row>
    <row r="23" spans="3:6" x14ac:dyDescent="0.25">
      <c r="C23" s="3" t="s">
        <v>29</v>
      </c>
      <c r="D23" s="22">
        <v>0</v>
      </c>
      <c r="E23" s="4"/>
      <c r="F23" s="24"/>
    </row>
    <row r="24" spans="3:6" x14ac:dyDescent="0.25">
      <c r="C24" s="3" t="s">
        <v>31</v>
      </c>
      <c r="D24" s="1">
        <f>SUM(D19:D23)</f>
        <v>46</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x14ac:dyDescent="0.25">
      <c r="C29" s="3" t="s">
        <v>37</v>
      </c>
      <c r="D29" s="21" t="s">
        <v>549</v>
      </c>
      <c r="E29" s="4"/>
      <c r="F29" s="24"/>
    </row>
    <row r="30" spans="3:6" x14ac:dyDescent="0.25">
      <c r="C30" s="3" t="s">
        <v>39</v>
      </c>
      <c r="D30" s="21" t="s">
        <v>550</v>
      </c>
      <c r="E30" s="4"/>
      <c r="F30" s="24"/>
    </row>
    <row r="31" spans="3:6" x14ac:dyDescent="0.25">
      <c r="C31" s="3" t="s">
        <v>41</v>
      </c>
      <c r="D31" s="21" t="s">
        <v>551</v>
      </c>
      <c r="E31" s="4"/>
      <c r="F31" s="24"/>
    </row>
    <row r="32" spans="3:6" x14ac:dyDescent="0.25">
      <c r="C32" s="3" t="s">
        <v>43</v>
      </c>
      <c r="D32" s="21"/>
      <c r="E32" s="4"/>
      <c r="F32" s="24"/>
    </row>
    <row r="33" spans="3:8" x14ac:dyDescent="0.25">
      <c r="C33" s="3" t="s">
        <v>44</v>
      </c>
      <c r="D33" s="21"/>
      <c r="E33" s="4"/>
      <c r="F33" s="24"/>
    </row>
    <row r="36" spans="3:8" ht="18.75" x14ac:dyDescent="0.25">
      <c r="C36" s="5" t="s">
        <v>45</v>
      </c>
    </row>
    <row r="37" spans="3:8" x14ac:dyDescent="0.25">
      <c r="C37" s="3" t="s">
        <v>46</v>
      </c>
      <c r="D37" s="3" t="s">
        <v>47</v>
      </c>
      <c r="E37" s="3" t="s">
        <v>48</v>
      </c>
      <c r="F37" s="3" t="s">
        <v>49</v>
      </c>
      <c r="G37" s="3" t="s">
        <v>50</v>
      </c>
      <c r="H37" s="3" t="s">
        <v>51</v>
      </c>
    </row>
    <row r="38" spans="3:8" x14ac:dyDescent="0.25">
      <c r="C38" s="3" t="s">
        <v>52</v>
      </c>
      <c r="D38" s="21" t="s">
        <v>53</v>
      </c>
      <c r="E38" s="21" t="s">
        <v>54</v>
      </c>
      <c r="F38" s="21" t="s">
        <v>109</v>
      </c>
      <c r="G38" s="23">
        <v>0.5</v>
      </c>
      <c r="H38" s="21">
        <v>6</v>
      </c>
    </row>
    <row r="39" spans="3:8" x14ac:dyDescent="0.25">
      <c r="C39" s="3" t="s">
        <v>56</v>
      </c>
      <c r="D39" s="21" t="s">
        <v>138</v>
      </c>
      <c r="E39" s="21" t="s">
        <v>194</v>
      </c>
      <c r="F39" s="21"/>
      <c r="G39" s="23">
        <v>0.5</v>
      </c>
      <c r="H39" s="21">
        <v>12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46</v>
      </c>
      <c r="D45" s="1" t="s">
        <v>35</v>
      </c>
      <c r="E45" s="1" t="s">
        <v>62</v>
      </c>
      <c r="F45" s="1" t="s">
        <v>63</v>
      </c>
    </row>
    <row r="46" spans="3:8" x14ac:dyDescent="0.25">
      <c r="C46" s="25" t="s">
        <v>52</v>
      </c>
      <c r="D46" s="24" t="s">
        <v>37</v>
      </c>
      <c r="E46" s="24" t="s">
        <v>141</v>
      </c>
      <c r="F46" s="24" t="s">
        <v>142</v>
      </c>
    </row>
    <row r="47" spans="3:8" x14ac:dyDescent="0.25">
      <c r="C47" s="25" t="s">
        <v>52</v>
      </c>
      <c r="D47" s="24" t="s">
        <v>37</v>
      </c>
      <c r="E47" s="24" t="s">
        <v>141</v>
      </c>
      <c r="F47" s="24" t="s">
        <v>143</v>
      </c>
    </row>
    <row r="48" spans="3:8" x14ac:dyDescent="0.25">
      <c r="C48" s="25" t="s">
        <v>52</v>
      </c>
      <c r="D48" s="24" t="s">
        <v>37</v>
      </c>
      <c r="E48" s="24" t="s">
        <v>64</v>
      </c>
      <c r="F48" s="24" t="s">
        <v>532</v>
      </c>
    </row>
    <row r="49" spans="2:6" x14ac:dyDescent="0.25">
      <c r="C49" s="25" t="s">
        <v>56</v>
      </c>
      <c r="D49" s="24" t="s">
        <v>39</v>
      </c>
      <c r="E49" s="24" t="s">
        <v>66</v>
      </c>
      <c r="F49" s="24" t="s">
        <v>67</v>
      </c>
    </row>
    <row r="50" spans="2:6" x14ac:dyDescent="0.25">
      <c r="C50" s="25" t="s">
        <v>56</v>
      </c>
      <c r="D50" s="24" t="s">
        <v>39</v>
      </c>
      <c r="E50" s="24" t="s">
        <v>330</v>
      </c>
      <c r="F50" s="24" t="s">
        <v>331</v>
      </c>
    </row>
    <row r="51" spans="2:6" x14ac:dyDescent="0.25">
      <c r="C51" s="25" t="s">
        <v>56</v>
      </c>
      <c r="D51" s="24"/>
      <c r="E51" s="24" t="s">
        <v>66</v>
      </c>
      <c r="F51" s="24"/>
    </row>
    <row r="52" spans="2:6" x14ac:dyDescent="0.25">
      <c r="C52" s="25" t="s">
        <v>59</v>
      </c>
      <c r="D52" s="24"/>
      <c r="E52" s="24"/>
      <c r="F52" s="24"/>
    </row>
    <row r="53" spans="2:6" x14ac:dyDescent="0.25">
      <c r="C53" s="25" t="s">
        <v>59</v>
      </c>
      <c r="D53" s="24"/>
      <c r="E53" s="24"/>
      <c r="F53" s="24"/>
    </row>
    <row r="54" spans="2:6" x14ac:dyDescent="0.25">
      <c r="C54" s="25" t="s">
        <v>59</v>
      </c>
      <c r="D54" s="24"/>
      <c r="E54" s="24"/>
      <c r="F54" s="24"/>
    </row>
    <row r="55" spans="2:6" x14ac:dyDescent="0.25">
      <c r="C55" s="25" t="s">
        <v>60</v>
      </c>
      <c r="D55" s="24"/>
      <c r="E55" s="24"/>
      <c r="F55" s="24"/>
    </row>
    <row r="56" spans="2:6" x14ac:dyDescent="0.25">
      <c r="C56" s="25" t="s">
        <v>60</v>
      </c>
      <c r="D56" s="24"/>
      <c r="E56" s="24"/>
      <c r="F56" s="24"/>
    </row>
    <row r="59" spans="2:6" ht="18.75" x14ac:dyDescent="0.25">
      <c r="C59" s="5" t="s">
        <v>74</v>
      </c>
    </row>
    <row r="60" spans="2:6" x14ac:dyDescent="0.25">
      <c r="B60" t="s">
        <v>75</v>
      </c>
      <c r="C60" s="1" t="s">
        <v>76</v>
      </c>
      <c r="D60" s="1" t="s">
        <v>77</v>
      </c>
      <c r="E60" s="1" t="s">
        <v>78</v>
      </c>
      <c r="F60" s="1" t="s">
        <v>79</v>
      </c>
    </row>
    <row r="61" spans="2:6" x14ac:dyDescent="0.25">
      <c r="B61" s="7">
        <v>1</v>
      </c>
      <c r="C61" s="1">
        <v>1</v>
      </c>
      <c r="D61" s="21" t="s">
        <v>533</v>
      </c>
      <c r="E61" s="21"/>
      <c r="F61" s="21"/>
    </row>
    <row r="62" spans="2:6" x14ac:dyDescent="0.25">
      <c r="B62" s="7">
        <v>1</v>
      </c>
      <c r="C62" s="1">
        <v>2</v>
      </c>
      <c r="D62" s="21" t="s">
        <v>534</v>
      </c>
      <c r="E62" s="21" t="s">
        <v>535</v>
      </c>
      <c r="F62" s="21" t="s">
        <v>25</v>
      </c>
    </row>
    <row r="63" spans="2:6" x14ac:dyDescent="0.25">
      <c r="B63" s="7">
        <v>1</v>
      </c>
      <c r="C63" s="1">
        <v>3</v>
      </c>
      <c r="D63" s="21" t="s">
        <v>536</v>
      </c>
      <c r="E63" s="21"/>
      <c r="F63" s="21"/>
    </row>
    <row r="64" spans="2:6" x14ac:dyDescent="0.25">
      <c r="B64" s="7">
        <v>1</v>
      </c>
      <c r="C64" s="1">
        <v>4</v>
      </c>
      <c r="D64" s="21" t="s">
        <v>537</v>
      </c>
      <c r="E64" s="21" t="s">
        <v>538</v>
      </c>
      <c r="F64" s="21" t="s">
        <v>25</v>
      </c>
    </row>
    <row r="65" spans="2:6" x14ac:dyDescent="0.25">
      <c r="B65" s="7">
        <v>1</v>
      </c>
      <c r="C65" s="1">
        <v>5</v>
      </c>
      <c r="D65" s="21" t="s">
        <v>539</v>
      </c>
      <c r="E65" s="21"/>
      <c r="F65" s="21"/>
    </row>
    <row r="66" spans="2:6" x14ac:dyDescent="0.25">
      <c r="B66" s="7">
        <v>1</v>
      </c>
      <c r="C66" s="1">
        <v>6</v>
      </c>
      <c r="D66" s="21" t="s">
        <v>540</v>
      </c>
      <c r="E66" s="21"/>
      <c r="F66" s="21" t="s">
        <v>25</v>
      </c>
    </row>
    <row r="67" spans="2:6" x14ac:dyDescent="0.25">
      <c r="B67" s="7">
        <v>1</v>
      </c>
      <c r="C67" s="1">
        <v>7</v>
      </c>
      <c r="D67" s="21" t="s">
        <v>541</v>
      </c>
      <c r="E67" s="21"/>
      <c r="F67" s="21"/>
    </row>
    <row r="68" spans="2:6" x14ac:dyDescent="0.25">
      <c r="B68" s="7">
        <v>1</v>
      </c>
      <c r="C68" s="1">
        <v>8</v>
      </c>
      <c r="D68" s="21" t="s">
        <v>542</v>
      </c>
      <c r="E68" s="21"/>
      <c r="F68" s="21" t="s">
        <v>25</v>
      </c>
    </row>
    <row r="69" spans="2:6" x14ac:dyDescent="0.25">
      <c r="B69" s="7">
        <v>1</v>
      </c>
      <c r="C69" s="1">
        <v>9</v>
      </c>
      <c r="D69" s="21" t="s">
        <v>543</v>
      </c>
      <c r="E69" s="21"/>
      <c r="F69" s="21"/>
    </row>
    <row r="70" spans="2:6" x14ac:dyDescent="0.25">
      <c r="B70" s="7">
        <v>1</v>
      </c>
      <c r="C70" s="1">
        <v>10</v>
      </c>
      <c r="D70" s="21" t="s">
        <v>544</v>
      </c>
      <c r="E70" s="21" t="s">
        <v>545</v>
      </c>
      <c r="F70" s="21" t="s">
        <v>25</v>
      </c>
    </row>
    <row r="71" spans="2:6" x14ac:dyDescent="0.25">
      <c r="B71" s="7">
        <v>1</v>
      </c>
      <c r="C71" s="1">
        <v>11</v>
      </c>
      <c r="D71" s="21" t="s">
        <v>518</v>
      </c>
      <c r="E71" s="21"/>
      <c r="F71" s="21"/>
    </row>
    <row r="72" spans="2:6" x14ac:dyDescent="0.25">
      <c r="B72" s="7">
        <v>1</v>
      </c>
      <c r="C72" s="1">
        <v>12</v>
      </c>
      <c r="D72" s="21" t="s">
        <v>546</v>
      </c>
      <c r="E72" s="21"/>
      <c r="F72" s="21" t="s">
        <v>25</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phoneticPr fontId="2" type="noConversion"/>
  <dataValidations count="4">
    <dataValidation type="list" allowBlank="1" showInputMessage="1" showErrorMessage="1" sqref="F46:F5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E46:E56</xm:sqref>
        </x14:dataValidation>
        <x14:dataValidation type="list" allowBlank="1" showInputMessage="1" showErrorMessage="1" xr:uid="{44D1F96B-AB6E-4E58-B489-7D973FD9CD46}">
          <x14:formula1>
            <xm:f>LISTS!$E$7:$E$11</xm:f>
          </x14:formula1>
          <xm:sqref>D46:D56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6"/>
  <dimension ref="C4:T102"/>
  <sheetViews>
    <sheetView workbookViewId="0">
      <selection activeCell="C37" sqref="C37"/>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552</v>
      </c>
      <c r="E4" t="s">
        <v>553</v>
      </c>
      <c r="G4" t="s">
        <v>553</v>
      </c>
      <c r="J4" t="s">
        <v>554</v>
      </c>
    </row>
    <row r="7" spans="3:10" ht="15.75" customHeight="1" x14ac:dyDescent="0.25">
      <c r="C7" s="7">
        <v>1</v>
      </c>
      <c r="E7" t="s">
        <v>37</v>
      </c>
      <c r="G7" t="s">
        <v>110</v>
      </c>
      <c r="J7" t="s">
        <v>141</v>
      </c>
    </row>
    <row r="8" spans="3:10" x14ac:dyDescent="0.25">
      <c r="C8" s="7">
        <v>2</v>
      </c>
      <c r="E8" t="s">
        <v>39</v>
      </c>
      <c r="G8" t="s">
        <v>138</v>
      </c>
      <c r="J8" t="s">
        <v>330</v>
      </c>
    </row>
    <row r="9" spans="3:10" x14ac:dyDescent="0.25">
      <c r="C9" s="7" t="s">
        <v>555</v>
      </c>
      <c r="E9" t="s">
        <v>41</v>
      </c>
      <c r="G9" t="s">
        <v>53</v>
      </c>
      <c r="J9" t="s">
        <v>64</v>
      </c>
    </row>
    <row r="10" spans="3:10" x14ac:dyDescent="0.25">
      <c r="E10" t="s">
        <v>43</v>
      </c>
      <c r="G10" t="s">
        <v>26</v>
      </c>
      <c r="J10" t="s">
        <v>116</v>
      </c>
    </row>
    <row r="11" spans="3:10" x14ac:dyDescent="0.25">
      <c r="C11" s="7">
        <v>3</v>
      </c>
      <c r="E11" t="s">
        <v>44</v>
      </c>
      <c r="G11" t="s">
        <v>108</v>
      </c>
      <c r="J11" t="s">
        <v>72</v>
      </c>
    </row>
    <row r="12" spans="3:10" x14ac:dyDescent="0.25">
      <c r="C12" s="7">
        <v>4</v>
      </c>
      <c r="J12" t="s">
        <v>66</v>
      </c>
    </row>
    <row r="13" spans="3:10" x14ac:dyDescent="0.25">
      <c r="C13" s="7">
        <v>5</v>
      </c>
      <c r="J13" t="s">
        <v>70</v>
      </c>
    </row>
    <row r="14" spans="3:10" x14ac:dyDescent="0.25">
      <c r="C14" s="7">
        <v>6</v>
      </c>
      <c r="G14" t="s">
        <v>48</v>
      </c>
      <c r="J14" t="s">
        <v>68</v>
      </c>
    </row>
    <row r="15" spans="3:10" x14ac:dyDescent="0.25">
      <c r="C15" s="7">
        <v>7</v>
      </c>
      <c r="G15" t="s">
        <v>515</v>
      </c>
      <c r="J15" t="s">
        <v>114</v>
      </c>
    </row>
    <row r="16" spans="3:10" x14ac:dyDescent="0.25">
      <c r="G16" t="s">
        <v>57</v>
      </c>
      <c r="J16" t="s">
        <v>405</v>
      </c>
    </row>
    <row r="17" spans="3:20" x14ac:dyDescent="0.25">
      <c r="C17" t="s">
        <v>18</v>
      </c>
      <c r="G17" t="s">
        <v>556</v>
      </c>
    </row>
    <row r="18" spans="3:20" x14ac:dyDescent="0.25">
      <c r="C18" t="s">
        <v>557</v>
      </c>
      <c r="G18" t="s">
        <v>111</v>
      </c>
    </row>
    <row r="19" spans="3:20" x14ac:dyDescent="0.25">
      <c r="C19" t="s">
        <v>558</v>
      </c>
      <c r="G19" t="s">
        <v>54</v>
      </c>
      <c r="J19" t="s">
        <v>559</v>
      </c>
      <c r="K19" t="s">
        <v>560</v>
      </c>
    </row>
    <row r="20" spans="3:20" x14ac:dyDescent="0.25">
      <c r="C20" t="s">
        <v>103</v>
      </c>
      <c r="G20" t="s">
        <v>169</v>
      </c>
      <c r="J20" t="s">
        <v>141</v>
      </c>
      <c r="K20" t="s">
        <v>171</v>
      </c>
      <c r="O20" s="9" t="s">
        <v>446</v>
      </c>
      <c r="S20" s="14" t="s">
        <v>561</v>
      </c>
      <c r="T20" s="15" t="s">
        <v>562</v>
      </c>
    </row>
    <row r="21" spans="3:20" x14ac:dyDescent="0.25">
      <c r="C21" t="s">
        <v>563</v>
      </c>
      <c r="G21" t="s">
        <v>192</v>
      </c>
      <c r="J21" t="s">
        <v>141</v>
      </c>
      <c r="K21" t="s">
        <v>143</v>
      </c>
      <c r="O21" t="str" cm="1">
        <f t="array" ref="O21:O26">_xlfn._xlws.FILTER(LISTS_Table[Skill],LISTS_Table[Category]="Scientific Knowledge")</f>
        <v>Critical thinking</v>
      </c>
      <c r="S21" s="16" t="s">
        <v>141</v>
      </c>
      <c r="T21" s="17" t="s">
        <v>564</v>
      </c>
    </row>
    <row r="22" spans="3:20" x14ac:dyDescent="0.25">
      <c r="C22" t="s">
        <v>130</v>
      </c>
      <c r="G22" t="s">
        <v>475</v>
      </c>
      <c r="J22" t="s">
        <v>141</v>
      </c>
      <c r="K22" t="s">
        <v>142</v>
      </c>
      <c r="O22" t="str">
        <v>Scientific literacy</v>
      </c>
      <c r="S22" s="18" t="s">
        <v>330</v>
      </c>
      <c r="T22" s="19" t="s">
        <v>565</v>
      </c>
    </row>
    <row r="23" spans="3:20" x14ac:dyDescent="0.25">
      <c r="G23" t="s">
        <v>400</v>
      </c>
      <c r="J23" t="s">
        <v>141</v>
      </c>
      <c r="K23" t="s">
        <v>145</v>
      </c>
      <c r="O23" t="str">
        <v>Information retrieval</v>
      </c>
      <c r="S23" s="16" t="s">
        <v>64</v>
      </c>
      <c r="T23" s="17" t="s">
        <v>566</v>
      </c>
    </row>
    <row r="24" spans="3:20" x14ac:dyDescent="0.25">
      <c r="G24" t="s">
        <v>136</v>
      </c>
      <c r="J24" t="s">
        <v>141</v>
      </c>
      <c r="K24" t="s">
        <v>332</v>
      </c>
      <c r="O24" t="str">
        <v>Knowledge synthesis</v>
      </c>
      <c r="S24" s="18" t="s">
        <v>116</v>
      </c>
      <c r="T24" s="19" t="s">
        <v>567</v>
      </c>
    </row>
    <row r="25" spans="3:20" x14ac:dyDescent="0.25">
      <c r="G25" t="s">
        <v>568</v>
      </c>
      <c r="J25" t="s">
        <v>141</v>
      </c>
      <c r="K25" t="s">
        <v>199</v>
      </c>
      <c r="O25" t="str">
        <v>Domian-specfic analytical skills</v>
      </c>
      <c r="S25" s="16" t="s">
        <v>72</v>
      </c>
      <c r="T25" s="17" t="s">
        <v>569</v>
      </c>
    </row>
    <row r="26" spans="3:20" x14ac:dyDescent="0.25">
      <c r="C26" t="s">
        <v>570</v>
      </c>
      <c r="G26" t="s">
        <v>571</v>
      </c>
      <c r="J26" t="s">
        <v>330</v>
      </c>
      <c r="K26" t="s">
        <v>572</v>
      </c>
      <c r="O26" t="str">
        <v>Evidence evaluation</v>
      </c>
      <c r="S26" s="18" t="s">
        <v>66</v>
      </c>
      <c r="T26" s="19" t="s">
        <v>66</v>
      </c>
    </row>
    <row r="27" spans="3:20" x14ac:dyDescent="0.25">
      <c r="C27" t="s">
        <v>573</v>
      </c>
      <c r="G27" t="s">
        <v>574</v>
      </c>
      <c r="J27" t="s">
        <v>330</v>
      </c>
      <c r="K27" t="s">
        <v>575</v>
      </c>
      <c r="S27" s="16" t="s">
        <v>70</v>
      </c>
      <c r="T27" s="17" t="s">
        <v>576</v>
      </c>
    </row>
    <row r="28" spans="3:20" x14ac:dyDescent="0.25">
      <c r="C28" t="s">
        <v>577</v>
      </c>
      <c r="G28" t="s">
        <v>194</v>
      </c>
      <c r="J28" t="s">
        <v>330</v>
      </c>
      <c r="K28" t="s">
        <v>518</v>
      </c>
      <c r="O28" s="6" t="s">
        <v>440</v>
      </c>
      <c r="S28" s="18" t="s">
        <v>68</v>
      </c>
      <c r="T28" s="19" t="s">
        <v>578</v>
      </c>
    </row>
    <row r="29" spans="3:20" x14ac:dyDescent="0.25">
      <c r="C29" t="s">
        <v>579</v>
      </c>
      <c r="J29" t="s">
        <v>330</v>
      </c>
      <c r="K29" t="s">
        <v>403</v>
      </c>
      <c r="O29" t="str" cm="1">
        <f t="array" ref="O29:O34">_xlfn._xlws.FILTER(LISTS_Table[Skill],LISTS_Table[Category]="Technical Skills")</f>
        <v>Laboratory/clinical techniques</v>
      </c>
      <c r="S29" s="16" t="s">
        <v>114</v>
      </c>
      <c r="T29" s="17" t="s">
        <v>580</v>
      </c>
    </row>
    <row r="30" spans="3:20" x14ac:dyDescent="0.25">
      <c r="C30" t="s">
        <v>581</v>
      </c>
      <c r="J30" t="s">
        <v>330</v>
      </c>
      <c r="K30" t="s">
        <v>331</v>
      </c>
      <c r="O30" t="str">
        <v>Data collection</v>
      </c>
      <c r="S30" s="13" t="s">
        <v>405</v>
      </c>
      <c r="T30" s="11" t="s">
        <v>582</v>
      </c>
    </row>
    <row r="31" spans="3:20" x14ac:dyDescent="0.25">
      <c r="C31" t="s">
        <v>20</v>
      </c>
      <c r="J31" t="s">
        <v>330</v>
      </c>
      <c r="K31" t="s">
        <v>583</v>
      </c>
      <c r="O31" t="str">
        <v>Data analysis</v>
      </c>
    </row>
    <row r="32" spans="3:20" x14ac:dyDescent="0.25">
      <c r="C32" t="s">
        <v>356</v>
      </c>
      <c r="J32" t="s">
        <v>64</v>
      </c>
      <c r="K32" t="s">
        <v>532</v>
      </c>
      <c r="O32" t="str">
        <v>Digital literacy</v>
      </c>
    </row>
    <row r="33" spans="3:15" x14ac:dyDescent="0.25">
      <c r="C33" t="s">
        <v>584</v>
      </c>
      <c r="J33" t="s">
        <v>64</v>
      </c>
      <c r="K33" t="s">
        <v>585</v>
      </c>
      <c r="O33" t="str">
        <v>Equipment and technology utilisation</v>
      </c>
    </row>
    <row r="34" spans="3:15" x14ac:dyDescent="0.25">
      <c r="C34" t="s">
        <v>586</v>
      </c>
      <c r="J34" t="s">
        <v>64</v>
      </c>
      <c r="K34" t="s">
        <v>65</v>
      </c>
      <c r="O34" t="str">
        <v>Technical proficiency</v>
      </c>
    </row>
    <row r="35" spans="3:15" x14ac:dyDescent="0.25">
      <c r="C35" t="s">
        <v>587</v>
      </c>
      <c r="J35" t="s">
        <v>64</v>
      </c>
      <c r="K35" t="s">
        <v>362</v>
      </c>
    </row>
    <row r="36" spans="3:15" x14ac:dyDescent="0.25">
      <c r="C36" t="s">
        <v>588</v>
      </c>
      <c r="J36" t="s">
        <v>64</v>
      </c>
      <c r="K36" t="s">
        <v>589</v>
      </c>
      <c r="O36" s="9" t="s">
        <v>443</v>
      </c>
    </row>
    <row r="37" spans="3:15" x14ac:dyDescent="0.25">
      <c r="C37" t="s">
        <v>188</v>
      </c>
      <c r="J37" t="s">
        <v>64</v>
      </c>
      <c r="K37" t="s">
        <v>590</v>
      </c>
      <c r="O37" t="str" cm="1">
        <f t="array" ref="O37:O42">_xlfn._xlws.FILTER(LISTS_Table[Skill],LISTS_Table[Category]="Application of Knowledge and skills")</f>
        <v>Decision-making</v>
      </c>
    </row>
    <row r="38" spans="3:15" x14ac:dyDescent="0.25">
      <c r="J38" t="s">
        <v>116</v>
      </c>
      <c r="K38" t="s">
        <v>197</v>
      </c>
      <c r="O38" t="str">
        <v>Translational practice</v>
      </c>
    </row>
    <row r="39" spans="3:15" x14ac:dyDescent="0.25">
      <c r="J39" t="s">
        <v>116</v>
      </c>
      <c r="K39" t="s">
        <v>478</v>
      </c>
      <c r="O39" t="str">
        <v>Contextual application</v>
      </c>
    </row>
    <row r="40" spans="3:15" x14ac:dyDescent="0.25">
      <c r="J40" t="s">
        <v>116</v>
      </c>
      <c r="K40" t="s">
        <v>117</v>
      </c>
      <c r="O40" t="str">
        <v>Professional judgement</v>
      </c>
    </row>
    <row r="41" spans="3:15" x14ac:dyDescent="0.25">
      <c r="J41" t="s">
        <v>116</v>
      </c>
      <c r="K41" t="s">
        <v>263</v>
      </c>
      <c r="O41" t="str">
        <v>Adaptability</v>
      </c>
    </row>
    <row r="42" spans="3:15" x14ac:dyDescent="0.25">
      <c r="J42" t="s">
        <v>116</v>
      </c>
      <c r="K42" t="s">
        <v>200</v>
      </c>
      <c r="O42" t="str">
        <v>Risk assessment</v>
      </c>
    </row>
    <row r="43" spans="3:15" x14ac:dyDescent="0.25">
      <c r="J43" t="s">
        <v>116</v>
      </c>
      <c r="K43" t="s">
        <v>146</v>
      </c>
    </row>
    <row r="44" spans="3:15" x14ac:dyDescent="0.25">
      <c r="J44" t="s">
        <v>72</v>
      </c>
      <c r="K44" t="s">
        <v>73</v>
      </c>
      <c r="O44" s="8" t="s">
        <v>116</v>
      </c>
    </row>
    <row r="45" spans="3:15" x14ac:dyDescent="0.25">
      <c r="J45" t="s">
        <v>72</v>
      </c>
      <c r="K45" t="s">
        <v>591</v>
      </c>
      <c r="O45" t="str" cm="1">
        <f t="array" ref="O45:O50">_xlfn._xlws.FILTER(LISTS_Table[Skill],LISTS_Table[Category]="Understanding and use of research")</f>
        <v>Reserch literacy</v>
      </c>
    </row>
    <row r="46" spans="3:15" x14ac:dyDescent="0.25">
      <c r="J46" t="s">
        <v>72</v>
      </c>
      <c r="K46" t="s">
        <v>592</v>
      </c>
      <c r="O46" t="str">
        <v>Literature searching</v>
      </c>
    </row>
    <row r="47" spans="3:15" x14ac:dyDescent="0.25">
      <c r="J47" t="s">
        <v>72</v>
      </c>
      <c r="K47" t="s">
        <v>593</v>
      </c>
      <c r="O47" t="str">
        <v>Critical appraisal</v>
      </c>
    </row>
    <row r="48" spans="3:15" x14ac:dyDescent="0.25">
      <c r="J48" t="s">
        <v>72</v>
      </c>
      <c r="K48" t="s">
        <v>594</v>
      </c>
      <c r="O48" t="str">
        <v>Data interpretation</v>
      </c>
    </row>
    <row r="49" spans="10:15" x14ac:dyDescent="0.25">
      <c r="J49" t="s">
        <v>72</v>
      </c>
      <c r="K49" t="s">
        <v>595</v>
      </c>
      <c r="O49" t="str">
        <v>Evidne-based practice</v>
      </c>
    </row>
    <row r="50" spans="10:15" x14ac:dyDescent="0.25">
      <c r="J50" t="s">
        <v>72</v>
      </c>
      <c r="K50" t="s">
        <v>451</v>
      </c>
      <c r="O50" t="str">
        <v>Research communication</v>
      </c>
    </row>
    <row r="51" spans="10:15" x14ac:dyDescent="0.25">
      <c r="J51" t="s">
        <v>66</v>
      </c>
      <c r="K51" t="s">
        <v>198</v>
      </c>
    </row>
    <row r="52" spans="10:15" x14ac:dyDescent="0.25">
      <c r="J52" t="s">
        <v>66</v>
      </c>
      <c r="K52" t="s">
        <v>67</v>
      </c>
      <c r="O52" s="8" t="s">
        <v>72</v>
      </c>
    </row>
    <row r="53" spans="10:15" x14ac:dyDescent="0.25">
      <c r="J53" t="s">
        <v>66</v>
      </c>
      <c r="K53" t="s">
        <v>596</v>
      </c>
      <c r="O53" t="str" cm="1">
        <f t="array" ref="O53:O59">_xlfn._xlws.FILTER(LISTS_Table[Skill],LISTS_Table[Category]="Self-evaluation and professional development")</f>
        <v>Reflective practice</v>
      </c>
    </row>
    <row r="54" spans="10:15" x14ac:dyDescent="0.25">
      <c r="J54" t="s">
        <v>66</v>
      </c>
      <c r="K54" t="s">
        <v>597</v>
      </c>
      <c r="O54" t="str">
        <v>Self-awareness</v>
      </c>
    </row>
    <row r="55" spans="10:15" x14ac:dyDescent="0.25">
      <c r="J55" t="s">
        <v>66</v>
      </c>
      <c r="K55" t="s">
        <v>598</v>
      </c>
      <c r="O55" t="str">
        <v>Lifelong learning</v>
      </c>
    </row>
    <row r="56" spans="10:15" x14ac:dyDescent="0.25">
      <c r="J56" t="s">
        <v>66</v>
      </c>
      <c r="K56" t="s">
        <v>144</v>
      </c>
      <c r="O56" t="str">
        <v>Personal development planning</v>
      </c>
    </row>
    <row r="57" spans="10:15" x14ac:dyDescent="0.25">
      <c r="J57" t="s">
        <v>70</v>
      </c>
      <c r="K57" t="s">
        <v>599</v>
      </c>
      <c r="O57" t="str">
        <v>Resilience</v>
      </c>
    </row>
    <row r="58" spans="10:15" x14ac:dyDescent="0.25">
      <c r="J58" t="s">
        <v>70</v>
      </c>
      <c r="K58" t="s">
        <v>363</v>
      </c>
      <c r="O58" t="str">
        <v>Initiative</v>
      </c>
    </row>
    <row r="59" spans="10:15" x14ac:dyDescent="0.25">
      <c r="J59" t="s">
        <v>70</v>
      </c>
      <c r="K59" t="s">
        <v>600</v>
      </c>
      <c r="O59" t="str">
        <v>Accountability</v>
      </c>
    </row>
    <row r="60" spans="10:15" x14ac:dyDescent="0.25">
      <c r="J60" t="s">
        <v>70</v>
      </c>
      <c r="K60" t="s">
        <v>71</v>
      </c>
    </row>
    <row r="61" spans="10:15" x14ac:dyDescent="0.25">
      <c r="J61" t="s">
        <v>70</v>
      </c>
      <c r="K61" t="s">
        <v>601</v>
      </c>
      <c r="O61" s="10" t="s">
        <v>66</v>
      </c>
    </row>
    <row r="62" spans="10:15" x14ac:dyDescent="0.25">
      <c r="J62" t="s">
        <v>70</v>
      </c>
      <c r="K62" t="s">
        <v>118</v>
      </c>
      <c r="O62" t="str" cm="1">
        <f t="array" ref="O62:O67">_xlfn._xlws.FILTER(LISTS_Table[Skill],LISTS_Table[Category]="Communication")</f>
        <v>Written communication</v>
      </c>
    </row>
    <row r="63" spans="10:15" x14ac:dyDescent="0.25">
      <c r="J63" t="s">
        <v>68</v>
      </c>
      <c r="K63" t="s">
        <v>113</v>
      </c>
      <c r="O63" t="str">
        <v>Oral presentation</v>
      </c>
    </row>
    <row r="64" spans="10:15" x14ac:dyDescent="0.25">
      <c r="J64" t="s">
        <v>68</v>
      </c>
      <c r="K64" t="s">
        <v>602</v>
      </c>
      <c r="O64" t="str">
        <v>Active listening</v>
      </c>
    </row>
    <row r="65" spans="10:15" x14ac:dyDescent="0.25">
      <c r="J65" t="s">
        <v>68</v>
      </c>
      <c r="K65" t="s">
        <v>603</v>
      </c>
      <c r="O65" t="str">
        <v>Scientific writing</v>
      </c>
    </row>
    <row r="66" spans="10:15" x14ac:dyDescent="0.25">
      <c r="J66" t="s">
        <v>68</v>
      </c>
      <c r="K66" t="s">
        <v>69</v>
      </c>
      <c r="O66" t="str">
        <v>Interpesronal communication</v>
      </c>
    </row>
    <row r="67" spans="10:15" x14ac:dyDescent="0.25">
      <c r="J67" t="s">
        <v>68</v>
      </c>
      <c r="K67" t="s">
        <v>604</v>
      </c>
      <c r="O67" t="str">
        <v>Digital communication</v>
      </c>
    </row>
    <row r="68" spans="10:15" x14ac:dyDescent="0.25">
      <c r="J68" t="s">
        <v>68</v>
      </c>
      <c r="K68" t="s">
        <v>605</v>
      </c>
    </row>
    <row r="69" spans="10:15" x14ac:dyDescent="0.25">
      <c r="J69" t="s">
        <v>68</v>
      </c>
      <c r="K69" t="s">
        <v>606</v>
      </c>
      <c r="O69" s="10" t="s">
        <v>70</v>
      </c>
    </row>
    <row r="70" spans="10:15" x14ac:dyDescent="0.25">
      <c r="J70" t="s">
        <v>68</v>
      </c>
      <c r="K70" t="s">
        <v>607</v>
      </c>
      <c r="O70" t="str" cm="1">
        <f t="array" ref="O70:O75">_xlfn._xlws.FILTER(LISTS_Table[Skill],LISTS_Table[Category]="Problem solving and impact")</f>
        <v>Analytical thinking</v>
      </c>
    </row>
    <row r="71" spans="10:15" x14ac:dyDescent="0.25">
      <c r="J71" t="s">
        <v>68</v>
      </c>
      <c r="K71" t="s">
        <v>608</v>
      </c>
      <c r="O71" t="str">
        <v>problem identification</v>
      </c>
    </row>
    <row r="72" spans="10:15" x14ac:dyDescent="0.25">
      <c r="J72" t="s">
        <v>114</v>
      </c>
      <c r="K72" t="s">
        <v>609</v>
      </c>
      <c r="O72" t="str">
        <v>Creative thinking</v>
      </c>
    </row>
    <row r="73" spans="10:15" x14ac:dyDescent="0.25">
      <c r="J73" t="s">
        <v>114</v>
      </c>
      <c r="K73" t="s">
        <v>610</v>
      </c>
      <c r="O73" t="str">
        <v>Evidence-based decision making</v>
      </c>
    </row>
    <row r="74" spans="10:15" x14ac:dyDescent="0.25">
      <c r="J74" t="s">
        <v>114</v>
      </c>
      <c r="K74" t="s">
        <v>611</v>
      </c>
      <c r="O74" t="str">
        <v>Innovation</v>
      </c>
    </row>
    <row r="75" spans="10:15" x14ac:dyDescent="0.25">
      <c r="J75" t="s">
        <v>114</v>
      </c>
      <c r="K75" t="s">
        <v>115</v>
      </c>
      <c r="O75" t="str">
        <v>Evaluation of outcomes</v>
      </c>
    </row>
    <row r="76" spans="10:15" x14ac:dyDescent="0.25">
      <c r="J76" t="s">
        <v>114</v>
      </c>
      <c r="K76" t="s">
        <v>404</v>
      </c>
    </row>
    <row r="77" spans="10:15" x14ac:dyDescent="0.25">
      <c r="J77" t="s">
        <v>405</v>
      </c>
      <c r="K77" t="s">
        <v>612</v>
      </c>
      <c r="O77" s="10" t="s">
        <v>68</v>
      </c>
    </row>
    <row r="78" spans="10:15" x14ac:dyDescent="0.25">
      <c r="J78" t="s">
        <v>405</v>
      </c>
      <c r="K78" t="s">
        <v>613</v>
      </c>
      <c r="O78" t="str" cm="1">
        <f t="array" ref="O78:O86">_xlfn._xlws.FILTER(LISTS_Table[Skill],LISTS_Table[Category]="Management of self and others")</f>
        <v>Leadership</v>
      </c>
    </row>
    <row r="79" spans="10:15" x14ac:dyDescent="0.25">
      <c r="J79" t="s">
        <v>405</v>
      </c>
      <c r="K79" t="s">
        <v>406</v>
      </c>
      <c r="O79" t="str">
        <v>Coaching and mentoring</v>
      </c>
    </row>
    <row r="80" spans="10:15" x14ac:dyDescent="0.25">
      <c r="J80" t="s">
        <v>405</v>
      </c>
      <c r="K80" t="s">
        <v>614</v>
      </c>
      <c r="O80" t="str">
        <v>Time management</v>
      </c>
    </row>
    <row r="81" spans="10:15" x14ac:dyDescent="0.25">
      <c r="J81" t="s">
        <v>405</v>
      </c>
      <c r="K81" t="s">
        <v>615</v>
      </c>
      <c r="O81" t="str">
        <v>Organisation</v>
      </c>
    </row>
    <row r="82" spans="10:15" x14ac:dyDescent="0.25">
      <c r="J82" t="s">
        <v>405</v>
      </c>
      <c r="K82" t="s">
        <v>616</v>
      </c>
      <c r="O82" t="str">
        <v>Delegation</v>
      </c>
    </row>
    <row r="83" spans="10:15" x14ac:dyDescent="0.25">
      <c r="J83" t="s">
        <v>405</v>
      </c>
      <c r="K83" t="s">
        <v>617</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114</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618</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heet="1" objects="1" scenarios="1"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66C39B57-AB03-492D-AAEC-9AAE8EDCD617}">
  <ds:schemaRefs>
    <ds:schemaRef ds:uri="http://schemas.microsoft.com/sharepoint/v3/contenttype/forms"/>
  </ds:schemaRefs>
</ds:datastoreItem>
</file>

<file path=customXml/itemProps2.xml><?xml version="1.0" encoding="utf-8"?>
<ds:datastoreItem xmlns:ds="http://schemas.openxmlformats.org/officeDocument/2006/customXml" ds:itemID="{7D5095FC-C62C-4499-9B94-75B8B4677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C4D41C7-950E-4207-8DDA-A001BEF4E2FA}">
  <ds:schemaRefs>
    <ds:schemaRef ds:uri="http://schemas.microsoft.com/office/2006/metadata/properties"/>
    <ds:schemaRef ds:uri="http://schemas.openxmlformats.org/package/2006/metadata/core-properties"/>
    <ds:schemaRef ds:uri="http://schemas.microsoft.com/office/2006/documentManagement/types"/>
    <ds:schemaRef ds:uri="http://purl.org/dc/terms/"/>
    <ds:schemaRef ds:uri="e2acc87f-978a-4c56-9887-574fe2c7e53e"/>
    <ds:schemaRef ds:uri="f1436123-e04c-43f8-b7d8-6e3401685a6a"/>
    <ds:schemaRef ds:uri="http://purl.org/dc/dcmitype/"/>
    <ds:schemaRef ds:uri="http://schemas.microsoft.com/office/infopath/2007/PartnerControl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1</vt:i4>
      </vt:variant>
    </vt:vector>
  </HeadingPairs>
  <TitlesOfParts>
    <vt:vector size="17" baseType="lpstr">
      <vt:lpstr>4051SPS</vt:lpstr>
      <vt:lpstr>4052SPS</vt:lpstr>
      <vt:lpstr>4053SPS</vt:lpstr>
      <vt:lpstr>4054SPS</vt:lpstr>
      <vt:lpstr>4093SPS</vt:lpstr>
      <vt:lpstr>5051SPS</vt:lpstr>
      <vt:lpstr>5052SPS</vt:lpstr>
      <vt:lpstr>5053SPS</vt:lpstr>
      <vt:lpstr>5054SPS</vt:lpstr>
      <vt:lpstr>5093SPS</vt:lpstr>
      <vt:lpstr>6051SPS</vt:lpstr>
      <vt:lpstr>6052SPS</vt:lpstr>
      <vt:lpstr>6053SPS</vt:lpstr>
      <vt:lpstr>6054SPS</vt:lpstr>
      <vt:lpstr>Template</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2026-08-24T11:29:28Z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