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1.xml" ContentType="application/vnd.openxmlformats-officedocument.spreadsheetml.table+xml"/>
  <Override PartName="/xl/tables/table9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Physical Education/Module Documents/"/>
    </mc:Choice>
  </mc:AlternateContent>
  <xr:revisionPtr revIDLastSave="2030" documentId="8_{20AD63D6-7E4E-4EFA-BE5C-A6DF2DDE1EA8}" xr6:coauthVersionLast="47" xr6:coauthVersionMax="47" xr10:uidLastSave="{0CDDB94B-5FD7-4112-AFED-C320044EC711}"/>
  <bookViews>
    <workbookView xWindow="12825" yWindow="2160" windowWidth="26490" windowHeight="18525" activeTab="2" xr2:uid="{8D7B9789-0724-4FF2-A9AF-E462B2920CAC}"/>
  </bookViews>
  <sheets>
    <sheet name="4201SPS" sheetId="78" r:id="rId1"/>
    <sheet name="4202SPS" sheetId="86" r:id="rId2"/>
    <sheet name="5201SPS" sheetId="79" r:id="rId3"/>
    <sheet name="5202SPS" sheetId="87" r:id="rId4"/>
    <sheet name="5203SPS" sheetId="75" r:id="rId5"/>
    <sheet name="5204SPS" sheetId="88" r:id="rId6"/>
    <sheet name="6202SPS" sheetId="77" r:id="rId7"/>
    <sheet name="6203SPS" sheetId="80" r:id="rId8"/>
    <sheet name="6096SPS" sheetId="76" r:id="rId9"/>
    <sheet name="LISTS" sheetId="4" r:id="rId10"/>
  </sheets>
  <definedNames>
    <definedName name="ApplicationofKnowledge">_xlfn.ANCHORARRAY(LISTS!$O$37)</definedName>
    <definedName name="Communication">_xlfn.ANCHORARRAY(LISTS!$O$62)</definedName>
    <definedName name="DeliveryEnvironment">_xlfn.ANCHORARRAY(LISTS!$O$89)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8" l="1"/>
  <c r="D2" i="88"/>
  <c r="C2" i="88"/>
  <c r="D24" i="87"/>
  <c r="D2" i="87"/>
  <c r="C2" i="87"/>
  <c r="D24" i="86"/>
  <c r="D2" i="86"/>
  <c r="C2" i="86"/>
  <c r="D2" i="76"/>
  <c r="D24" i="80"/>
  <c r="D2" i="80"/>
  <c r="C2" i="80"/>
  <c r="D24" i="79"/>
  <c r="D2" i="79"/>
  <c r="C2" i="79"/>
  <c r="D24" i="78"/>
  <c r="D2" i="78"/>
  <c r="C2" i="78"/>
  <c r="D24" i="77"/>
  <c r="D2" i="77"/>
  <c r="C2" i="77"/>
  <c r="D24" i="76"/>
  <c r="C2" i="76"/>
  <c r="D24" i="75"/>
  <c r="D2" i="75"/>
  <c r="C2" i="75"/>
  <c r="O96" i="4" a="1"/>
  <c r="O96" i="4" s="1"/>
  <c r="O89" i="4" a="1"/>
  <c r="O89" i="4" s="1"/>
  <c r="O78" i="4" a="1"/>
  <c r="O78" i="4" s="1"/>
  <c r="O70" i="4" a="1"/>
  <c r="O70" i="4" s="1"/>
  <c r="O62" i="4" a="1"/>
  <c r="O62" i="4" s="1"/>
  <c r="O53" i="4" a="1"/>
  <c r="O53" i="4" s="1"/>
  <c r="O45" i="4" a="1"/>
  <c r="O45" i="4" s="1"/>
  <c r="O37" i="4" a="1"/>
  <c r="O37" i="4" s="1"/>
  <c r="O29" i="4" a="1"/>
  <c r="O29" i="4" s="1"/>
  <c r="O21" i="4" a="1"/>
  <c r="O21"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tc={A141EB10-B415-4A7A-82DA-FE0473DFBC67}</author>
  </authors>
  <commentList>
    <comment ref="F38" authorId="0" shapeId="0" xr:uid="{A141EB10-B415-4A7A-82DA-FE0473DFBC67}">
      <text>
        <t>[Threaded comment]
Your version of Excel allows you to read this threaded comment; however, any edits to it will get removed if the file is opened in a newer version of Excel. Learn more: https://go.microsoft.com/fwlink/?linkid=870924
Comment:
    make more of the lesson and the delivery, take the 6 week SOW out and/or the justification
Reply:
    highlight 5 aspects of your lesson plan, justify why you have done that, and a supportive reference.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<sst xmlns="http://schemas.openxmlformats.org/spreadsheetml/2006/main" count="1618" uniqueCount="345">
  <si>
    <t>Module Information</t>
  </si>
  <si>
    <t>Module Data</t>
  </si>
  <si>
    <t>Details</t>
  </si>
  <si>
    <t>Aims</t>
  </si>
  <si>
    <t>Module Code</t>
  </si>
  <si>
    <t>Module Title</t>
  </si>
  <si>
    <t>Credits</t>
  </si>
  <si>
    <t>Semester</t>
  </si>
  <si>
    <t>Outline Syllabus</t>
  </si>
  <si>
    <t>Level</t>
  </si>
  <si>
    <t>Module Leader</t>
  </si>
  <si>
    <t>Module Type</t>
  </si>
  <si>
    <t>Programme(s)</t>
  </si>
  <si>
    <t>Module Overview</t>
  </si>
  <si>
    <t>Contact Hours</t>
  </si>
  <si>
    <t>Component</t>
  </si>
  <si>
    <t>Lecture</t>
  </si>
  <si>
    <t>Seminar</t>
  </si>
  <si>
    <t>Practical</t>
  </si>
  <si>
    <t>Workshop</t>
  </si>
  <si>
    <t>Additional Information/Notes</t>
  </si>
  <si>
    <t>Online</t>
  </si>
  <si>
    <t>Total</t>
  </si>
  <si>
    <t>Learning Outcomes</t>
  </si>
  <si>
    <t>After completing the module the student should be able to:</t>
  </si>
  <si>
    <t>LO Number</t>
  </si>
  <si>
    <t>LO Description</t>
  </si>
  <si>
    <t>LO1</t>
  </si>
  <si>
    <t>LO2</t>
  </si>
  <si>
    <t>LO3</t>
  </si>
  <si>
    <t>LO4</t>
  </si>
  <si>
    <t>LO5</t>
  </si>
  <si>
    <t>Assessment</t>
  </si>
  <si>
    <t>Assessment No</t>
  </si>
  <si>
    <t>Assessment Type</t>
  </si>
  <si>
    <t>Assessment Specific</t>
  </si>
  <si>
    <t>Assessment Description</t>
  </si>
  <si>
    <t>Weighting</t>
  </si>
  <si>
    <t>Due Week</t>
  </si>
  <si>
    <t>A1</t>
  </si>
  <si>
    <t>Presentation</t>
  </si>
  <si>
    <t>Group Presentation</t>
  </si>
  <si>
    <t>Group presentation on biomechanical principles in weightlifting</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</si>
  <si>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</si>
  <si>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</si>
  <si>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</si>
  <si>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</si>
  <si>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</si>
  <si>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</si>
  <si>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</si>
  <si>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</si>
  <si>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</si>
  <si>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</si>
  <si>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</si>
  <si>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</si>
  <si>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</si>
  <si>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</si>
  <si>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</si>
  <si>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</si>
  <si>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</si>
  <si>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</si>
  <si>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</si>
  <si>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</si>
  <si>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</si>
  <si>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</si>
  <si>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</si>
  <si>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</si>
  <si>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</si>
  <si>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</si>
  <si>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</si>
  <si>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</si>
  <si>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</si>
  <si>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</si>
  <si>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</si>
  <si>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</si>
  <si>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</si>
  <si>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</si>
  <si>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</si>
  <si>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</si>
  <si>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4201SPS</t>
  </si>
  <si>
    <t xml:space="preserve">Professional Practice in Physical Education </t>
  </si>
  <si>
    <t>This module aims to develop students' understanding of the learning experiences that influence professional development within physical education (PE). Students will explore the role of occupational socialisation, particularly during the acculturation phase of teacher development, and consider how previous experiences of PE, role models, and professional learning communities may influence their approaches to teaching. Through a combination of theoretical input and practical experiences, students will reflect upon their own experiences as PE learners. Opportunities within the module to plan, deliver, evaluate, and reflect upon PE sessions with primary school-aged children will encourage students to consider how these experiences influence their developing approaches to teaching and learning in PE.</t>
  </si>
  <si>
    <t>Theme 1: Introduction to OST</t>
  </si>
  <si>
    <t>Ceri Magill</t>
  </si>
  <si>
    <t xml:space="preserve">Theme 2: Planning for Teaching </t>
  </si>
  <si>
    <t>Prof Practice Strand</t>
  </si>
  <si>
    <t>Physical Education</t>
  </si>
  <si>
    <t>This module consists of a face-to-face learning approach whereby students are expected to attend in-person timetabled lectures, workshops, and practical sessions. These sessions will enable students to develop their knowledge and understanding of the key themes explored within the module and provide opportunities to plan and deliver practical activities to primary school-aged pupils.</t>
  </si>
  <si>
    <t>Students are also encouraged to utilise the available directed learning and independent study time, alongside the resources made available through the virtual learning environment (i.e. Canvas). Students should complete the required and recommended reading to broaden their knowledge and understanding and enhance their ability to apply module content to discussions within sessions, engage with their peers, and inform their assessments.</t>
  </si>
  <si>
    <t>There will be a number of opportunities for students to plan, deliver, and evaluate practical activities with primary school-aged pupils, alongside receiving formative feedback from peers and tutors. Students will also engage in discussions and reflective activities related to occupational socialisation theory and its influence on professional development within PE. These activities are designed to encourage discussion, reflection, and the sharing of different perspectives, while supporting students' understanding of module content and preparation for the assessment (Report).</t>
  </si>
  <si>
    <t xml:space="preserve">CIMSPA Mapped </t>
  </si>
  <si>
    <t xml:space="preserve">Identify the key contextual experiences that influence occupational socialisation during the acculturation phase of PE teacher socialisation </t>
  </si>
  <si>
    <t>Recognise personal and professional strengths and areas for development relevant to professional practice within PE</t>
  </si>
  <si>
    <t>Plan, deliver and evlauate a range of high quality practical activities for primary school aged pupils</t>
  </si>
  <si>
    <t>Report</t>
  </si>
  <si>
    <t>Reflection</t>
  </si>
  <si>
    <t>Report split into 2 parts (Relfection essay and lesson plans/evaluations)</t>
  </si>
  <si>
    <t xml:space="preserve">Intro to module </t>
  </si>
  <si>
    <t>LTA Primary Teacher Award</t>
  </si>
  <si>
    <t xml:space="preserve">Lecture / Practical </t>
  </si>
  <si>
    <t>Occupational socialisation. Focus - PE learning journey. Where am I at now and why?</t>
  </si>
  <si>
    <t xml:space="preserve">Creating an effective practical learning environment </t>
  </si>
  <si>
    <t xml:space="preserve">Occupational socialisation. Focus-role model contextual influences on OST  </t>
  </si>
  <si>
    <t xml:space="preserve">Occupational socialisation. Focus-professional learning community influences on OST  </t>
  </si>
  <si>
    <t>Safeguarding in teaching/coaching award</t>
  </si>
  <si>
    <t xml:space="preserve">Lesson planning and creating an effective learning environment </t>
  </si>
  <si>
    <t>Planning for PE curriculum delivery (Key Stages 1 – 2)</t>
  </si>
  <si>
    <t>Lecture/Workshop</t>
  </si>
  <si>
    <t xml:space="preserve">Primary Delivery </t>
  </si>
  <si>
    <t>Delivery Evaluation / reflection</t>
  </si>
  <si>
    <t>Practical/Workshop</t>
  </si>
  <si>
    <t xml:space="preserve">Primary Delviery </t>
  </si>
  <si>
    <t>Professional development review</t>
  </si>
  <si>
    <t xml:space="preserve">Skills audit and essay writing </t>
  </si>
  <si>
    <t xml:space="preserve">Workshop </t>
  </si>
  <si>
    <t>Research Strand</t>
  </si>
  <si>
    <t>All Programmes</t>
  </si>
  <si>
    <t>Essay</t>
  </si>
  <si>
    <t>Understanding and use of research</t>
  </si>
  <si>
    <t>Data interpretation</t>
  </si>
  <si>
    <t>Literature searching</t>
  </si>
  <si>
    <t>Scientific writing</t>
  </si>
  <si>
    <t>5201SPS</t>
  </si>
  <si>
    <t>Professional Practice in PE 2</t>
  </si>
  <si>
    <t>This module aims to develop students’ understanding of the personal and professional skills required for teaching and learning within physical education (PE). Building upon the development of subject knowledge and understanding of occupational socialisation at Level 4, students will explore the professionalisation phase of occupational socialisation through relevant theoretical and practical experiences. These experiences include a 10-day work-based placement, engagement in outdoor and adventurous activities (OAA), and an OAA field trip, providing opportunities for students to reflect upon their personal and professional development. The module will also introduce the concept of PE teaching efficacy and support students in understanding, evaluating, and developing their efficacy through placement experiences, practical activities, and reflective learning.</t>
  </si>
  <si>
    <t xml:space="preserve">Theme 1: Occupational socialisation and the professionalisation phase of teacher socialisation in PE </t>
  </si>
  <si>
    <t>Theme 2: Knowledge and understanding of the PE National Curriulum through WBL and OAA (Key stages 1 - 4)</t>
  </si>
  <si>
    <t>This module consists of a face-to-face learning approach whereby students are expected to attend in-person timetabled lectures, and practical sessions which will enable them to develop their knowledge and understanding of the key themes being explored within the module. Building upon Level 4 learning, students will continue to explore occupational socialisation and its influence on professional development within PE. Through a combination of a 10-day work-based learning placement and participation in a range of OAA activities, students will contextualise their learning experiences, develop subject knowledge and practical skills, and further enhance their PE teaching efficacy. Students are also encouraged to utilise the available directed learning/private study time and resources made available via the virtual learning environment (i.e. Canvas). Students should also complete the required and recommended reading to widen their knowledge, understanding, and ability to apply module material to discussions within sessions, with their peers, and to inform the assessment. There are a number of opportunities for students to formatively assess their knowledge with peers throughout the module. These activities are designed to expose students to a diverse range of perspectives in relation to the module content and inform the presentation assessment. Opportunities to work with primary/secondary school-aged pupils will enable students to apply their learning in practice and reflect upon their experiences to support their ongoing professional development and PE teaching efficacy.</t>
  </si>
  <si>
    <t>Critically reflect upon the professionalisation phase of occupational socialisation theory within PE and its influence on professional development.</t>
  </si>
  <si>
    <t>Analyse the progression and development of personal and professional skills, including PE teaching efficacy, through work-based learning experiences</t>
  </si>
  <si>
    <t>Evaluate the contribution of work-based learning and outdoor and adventurous activities (OAA) experiences to the development of subject knowledge and professional practice within PE</t>
  </si>
  <si>
    <t>Individual Presentation</t>
  </si>
  <si>
    <t xml:space="preserve">Personal reflection &amp; WBL </t>
  </si>
  <si>
    <t>Introduction to the module and preparation for work-based learning placement (WBL)</t>
  </si>
  <si>
    <t>Understanding the professionalisation phase of occupational socialisation theory (OST)</t>
  </si>
  <si>
    <t>Professionalisation and its influence on the development of PE teaching efficacy</t>
  </si>
  <si>
    <t>Planning to Teach OAA</t>
  </si>
  <si>
    <t xml:space="preserve">OAA Field Trip </t>
  </si>
  <si>
    <t>Practical OAA delivery to school aged pupils</t>
  </si>
  <si>
    <t>Evaluating the influence of professional practice on PE teaching efficacy</t>
  </si>
  <si>
    <t>Review of placement &amp; Assessment Prep</t>
  </si>
  <si>
    <t>5203SPS</t>
  </si>
  <si>
    <t>This module aims to provide students with the knowledge and understanding of the National Curriculum for PE (NCPE) and the strategies and skills required to plan and deliver inclusive PE within a primary setting, therefore providing an opportunity to create, develop and apply their personal teacher identity.</t>
  </si>
  <si>
    <t>Primary PE teacher Education</t>
  </si>
  <si>
    <t>The National Curriculum for PE key stage 1 and 2: (alignment of learning aims – objectives – outcomes – content; Curriculum design – short- and long-term planning). Teaching and learning strategies: (Behaviour management; Learning styles; Assessment for, of, as learning). Inclusion: (Catering for abilities; Catering for seen disabilities). Communication styles The school games values The role of the PE teacher: (Learner experiences; Principles of practice; Teaching and learning; Planning delivery; Quality improvements; Organisational policies procedure, legislation and regulation).</t>
  </si>
  <si>
    <t>Kelly Massey</t>
  </si>
  <si>
    <t>Core module</t>
  </si>
  <si>
    <t>This module aims to provide you with the knowledge and understanding of the National Curriculum for PE (NCPE) and the strategies and skills required to plan and deliver inclusive PE within a primary setting, therefore providing an opportunity to create, develop and apply your personal teacher identity.</t>
  </si>
  <si>
    <t>CIMPSA mapped.</t>
  </si>
  <si>
    <t>Develop informed teaching and learning stratagies within a primary Physical Education setting</t>
  </si>
  <si>
    <t>Apply a range of teaching and learning strategies to deliver inclusive Physical Education</t>
  </si>
  <si>
    <t>Evaluate Physical Education curriculum planning and delivery within a primary setting</t>
  </si>
  <si>
    <t>Portfolio</t>
  </si>
  <si>
    <t>Group portfolio containing lesson plans, evidence of deliveries and peer lesson evaluations</t>
  </si>
  <si>
    <t>Individual porfolio containing a year long curriuum plan and academic justification of planning</t>
  </si>
  <si>
    <t>Evidne-based practice</t>
  </si>
  <si>
    <t>Self-evaluation and professional development</t>
  </si>
  <si>
    <t>Self-awareness</t>
  </si>
  <si>
    <t>Lifelong learning</t>
  </si>
  <si>
    <t>Interpesronal communication</t>
  </si>
  <si>
    <t>Problem solving and impact</t>
  </si>
  <si>
    <t>Evidence-based decision making</t>
  </si>
  <si>
    <t>Understanding the delivery environment</t>
  </si>
  <si>
    <t>Policy interpretation</t>
  </si>
  <si>
    <t>Professional awareness</t>
  </si>
  <si>
    <t>Professional relationships and behaviours</t>
  </si>
  <si>
    <t>Teamwork</t>
  </si>
  <si>
    <t>Ethical practice</t>
  </si>
  <si>
    <t>Professionalism</t>
  </si>
  <si>
    <t>Cultural awareness and competence</t>
  </si>
  <si>
    <t>Respect</t>
  </si>
  <si>
    <t>Contextual application</t>
  </si>
  <si>
    <t>Professional judgement</t>
  </si>
  <si>
    <t>Adaptability</t>
  </si>
  <si>
    <t>Risk assessment</t>
  </si>
  <si>
    <t>Active listening</t>
  </si>
  <si>
    <t>Management of self and others</t>
  </si>
  <si>
    <t>Leadership</t>
  </si>
  <si>
    <t>Time management</t>
  </si>
  <si>
    <t>Organisation</t>
  </si>
  <si>
    <t>Conflict resolution</t>
  </si>
  <si>
    <t>Empathy</t>
  </si>
  <si>
    <t>Multi-tasking</t>
  </si>
  <si>
    <t>Resource management</t>
  </si>
  <si>
    <t>Service delivery</t>
  </si>
  <si>
    <t>problem identification</t>
  </si>
  <si>
    <t>Creative thinking</t>
  </si>
  <si>
    <t>Critical appraisal</t>
  </si>
  <si>
    <t>Reflective practice</t>
  </si>
  <si>
    <t>Introduction to the module and lesson planning</t>
  </si>
  <si>
    <t>Using the NCPE to create a coherant aim, objective, outcome, and warm up</t>
  </si>
  <si>
    <t>Lecture and practical</t>
  </si>
  <si>
    <t>Creative PE</t>
  </si>
  <si>
    <t>Divergent movement and creative games</t>
  </si>
  <si>
    <t>Student Delivery 1</t>
  </si>
  <si>
    <t>Adaptive practice and SEND inclusion</t>
  </si>
  <si>
    <t>Seen disabilities examples, considerations, support stratagies</t>
  </si>
  <si>
    <t>Assessment stratagies and SEND inclusion</t>
  </si>
  <si>
    <t>Assessing learning outcomes what, how, why, when creating resources using AI. Develop a teacher toolbox</t>
  </si>
  <si>
    <t>Curriculum design and SEND inclusion</t>
  </si>
  <si>
    <t>Recap NCPE, childrens progression, Ofsted Pillars, planning critique</t>
  </si>
  <si>
    <t>Student Delivery 2</t>
  </si>
  <si>
    <t>School games and cultural diversity</t>
  </si>
  <si>
    <t>School Games structure and values, critque and how to create diversity in the NCPE and why</t>
  </si>
  <si>
    <t>Creating postive learning environments and cultrual diversity</t>
  </si>
  <si>
    <t>Types of communication and behaviour stratagies, when, where, how, and why, communication critique and develop a teacher toolbox</t>
  </si>
  <si>
    <t>Student Delivery 3</t>
  </si>
  <si>
    <t>Portfolio preparation and support</t>
  </si>
  <si>
    <t>6202SPS</t>
  </si>
  <si>
    <t>Colin Lewis</t>
  </si>
  <si>
    <t>6203SPS</t>
  </si>
  <si>
    <t>Professional Practicel in PE 3</t>
  </si>
  <si>
    <t>Students will have the opportunity to plan and deliver a school or community-based project within a school or community setting. In preparation for the project, students will critically review the leadership, management, and enterprise skills required for successful delivery, while building upon their understanding of the professionalisation phase of occupational socialisation theory (OST). The project will also provide insight into the organisational phase of OST through engagement with professional and community contexts. On completion of the project, students will critically review their personal and professional development and evaluate how these experiences have influenced the development of their professional identity.</t>
  </si>
  <si>
    <t>YL</t>
  </si>
  <si>
    <t xml:space="preserve">Theme 1: Project planning, management and delivery </t>
  </si>
  <si>
    <t xml:space="preserve">Theme 2: Occupational socialisation and professional identity </t>
  </si>
  <si>
    <r>
      <rPr>
        <sz val="11"/>
        <color rgb="FF000000"/>
        <rFont val="Aptos Narrow"/>
        <scheme val="minor"/>
      </rPr>
      <t>This module combines lectures, workshops, independent study, and work-based learning experiences. Students are expected to attend timetabled sessions</t>
    </r>
    <r>
      <rPr>
        <sz val="12"/>
        <color rgb="FF000000"/>
        <rFont val="Aptos Narrow"/>
        <scheme val="minor"/>
      </rPr>
      <t xml:space="preserve"> to develop their knowledge and understanding of the key concepts explored within the module. Students will undertake a work-based placement to plan, deliver, and evaluate a project within a school or community setting, providing opportunities to apply leadership, management, and enterprise skills in practice while reflecting on their personal and professional development. Students are encouraged to utilise the available directed learning and private study time, alongside resources made available via the virtual learning platform. Completion of the required and recommended reading will support students' understanding of occupational socialisation, professional identity, reflective practice, and project delivery, while enhancing their ability to apply module content to discussions, practical experiences, and assessment tasks. There are a number of opportunities for students to discuss and share their experiences with peers during the module. These activities are designed to expose students to a diverse range of perspectives, support critical reflection on professional practice. Students are encouraged to use the Buddycheck facility to monitor, evaluate, and reflect upon individual and group contributions throughout the project. Scheduled tutor meetings will provide additional support through project supervision, feedback, and discussion of project progress.</t>
    </r>
  </si>
  <si>
    <t xml:space="preserve">CIMPSA Mapped </t>
  </si>
  <si>
    <t>Apply leadership, management and enterprise principles to plan and deliver a physical education project, within a school or community environment.</t>
  </si>
  <si>
    <t>Critically evaluate a physical education related project within a school or community environment.</t>
  </si>
  <si>
    <t>Critically reflect on personal and professional practice drawing upon OST to evaluate how project experiences have contributed to the development of professional identity</t>
  </si>
  <si>
    <t>Group Report (with personal relfection compnents)</t>
  </si>
  <si>
    <t xml:space="preserve">Group Presentation </t>
  </si>
  <si>
    <t>Introduction to the module, project groups and project opportunities</t>
  </si>
  <si>
    <t xml:space="preserve">Lecture/Workshop </t>
  </si>
  <si>
    <t>Planning for projects.  Tuckman’s Model</t>
  </si>
  <si>
    <t>Role and responsibilities in group projects</t>
  </si>
  <si>
    <t>Project code of conduct and group management</t>
  </si>
  <si>
    <t>Project proposal presentations</t>
  </si>
  <si>
    <t>Project proposal feedback and confirmation of projects</t>
  </si>
  <si>
    <t>Project provider visits. What makes a successful project</t>
  </si>
  <si>
    <t>Project &amp; assessment planning</t>
  </si>
  <si>
    <r>
      <rPr>
        <sz val="11"/>
        <color rgb="FF000000"/>
        <rFont val="Aptos Narrow"/>
        <scheme val="minor"/>
      </rPr>
      <t>Expl</t>
    </r>
    <r>
      <rPr>
        <sz val="11"/>
        <color rgb="FF000000"/>
        <rFont val="Aptos Narrow"/>
      </rPr>
      <t>oring the professionalisation phase of OST: Experiences, values and identity formation</t>
    </r>
  </si>
  <si>
    <t>Using OST as framework for reflection and professional learning</t>
  </si>
  <si>
    <t xml:space="preserve">Project Delivery </t>
  </si>
  <si>
    <t xml:space="preserve">Off site </t>
  </si>
  <si>
    <t>Transitioning into the organisational phase: navigating professional contexts and cultures</t>
  </si>
  <si>
    <t>Professional identity development in PE</t>
  </si>
  <si>
    <t>Reflecting on project experiences and future professional practice</t>
  </si>
  <si>
    <t>6096SPS</t>
  </si>
  <si>
    <t>This option module aims to provide students with the knowledge and understanding of the current practices of Physical Education and school sport within the 14-19 National Curriculum. Students will also develop a critical understanding of examinations and awards within Physical Education for 14–19-year-olds. The module will enable students to plan and deliver within a 14-19 years setting thereby providing a contextual opportunity to develop personal teaching, learning and assessment approaches in Physical Education.</t>
  </si>
  <si>
    <t>Secondary PE Teacher Education</t>
  </si>
  <si>
    <t>Secondary school Physical Education: The National Curriculum for PE (NCPE) key stage 3 and 4; Examination and Awards within PE. Curriculum design: Higher level planning; Assessment within secondary Physical Education. Differentiation: Catering for abilities; Catering for unseen disabilities. The role of the PE teacher: Learner experiences; Principles of practice; Teaching and learning; Planning delivery; Quality improvements; Organisational policies procedure, legislation and regulation. Secondary school experience within KS4 core Physical Education and KS5 Physical Education examinations and/or awards.</t>
  </si>
  <si>
    <t>Option module</t>
  </si>
  <si>
    <t>SES, SC, PE</t>
  </si>
  <si>
    <t>This module will provide you with the knowledge and understanding of the current practices of Physical Education and school sport within the 14-19 National Curriculum. During the course you will also develop a critical understanding of examinations and awards within Physical Education for 14–19-year-olds. The module will enable you to plan and deliver within a 14-19 years setting thereby providing a contextual opportunity to develop personal teaching, learning and assessment approaches in Physical Education.</t>
  </si>
  <si>
    <t>Make sure this doesn't say it is CIMSPA mapped as it is an option module</t>
  </si>
  <si>
    <t>Critically analyse the structure, content, and delivery of the secondary Physical Education curriculum and the role of the PE teacher in facilitating effective learning</t>
  </si>
  <si>
    <t>Apply and evaluate pedagogical teaching and learning stratagies within a secondary Physical Education setting</t>
  </si>
  <si>
    <t>Critically evaluate the provision and processes that underpin Physical Education for learners within the 14-19 curriculum</t>
  </si>
  <si>
    <t>Group lesson plan and delivery of lesson</t>
  </si>
  <si>
    <t>Individual essay critically evaluating a current trend in secondary PE</t>
  </si>
  <si>
    <t>Organisational awareness</t>
  </si>
  <si>
    <t>Stakeholder awareness</t>
  </si>
  <si>
    <t>Introduction to module and secondary NCPE, Example core PE lessons</t>
  </si>
  <si>
    <t>Introduce module site, support, dictionary, overview of NCPE, developing conherancy in lessons.</t>
  </si>
  <si>
    <t>Planning for progression, Example BTEC lessons</t>
  </si>
  <si>
    <t>Recap lesson cohernacy, Using NC and specifications, Ofsted requirments, Assessment measures</t>
  </si>
  <si>
    <t>Examinations and awards, Example GCSE lessons</t>
  </si>
  <si>
    <t>Offers and uptake, trends, specifications - practitioners perspective</t>
  </si>
  <si>
    <t>Inclusion, Example of adaptations and resources in PE lessons</t>
  </si>
  <si>
    <t xml:space="preserve">Unseen disabilities, seen disabilities, examples, considerations, strategies, </t>
  </si>
  <si>
    <t>The role of the PE teacher, Delivery practice</t>
  </si>
  <si>
    <t xml:space="preserve">Risk assessment, assessment, </t>
  </si>
  <si>
    <t>Content summary and assessment 1  feedforward, Delivery practice</t>
  </si>
  <si>
    <t>Recap on content relevant to assessment 1, 2, and ITT. Creating resources via AI to enhance lessons.</t>
  </si>
  <si>
    <t>Student delivery</t>
  </si>
  <si>
    <t>Assessment 1 support and Assessment 2 feedforward</t>
  </si>
  <si>
    <t>Self/Peer evaluation of assessment 1. Recap on content relevant to assessment 2.</t>
  </si>
  <si>
    <t>Assessment 2 support</t>
  </si>
  <si>
    <t>Self/Peer evalaution of assessment 2. Goal setting, Writing workshop</t>
  </si>
  <si>
    <t>Booked seminars</t>
  </si>
  <si>
    <t>Exam</t>
  </si>
  <si>
    <t>In Person Exam</t>
  </si>
  <si>
    <t>Table 1</t>
  </si>
  <si>
    <t>Table 3</t>
  </si>
  <si>
    <t>Table 5</t>
  </si>
  <si>
    <t>Lab Report</t>
  </si>
  <si>
    <t>Viva</t>
  </si>
  <si>
    <t>Dissertation</t>
  </si>
  <si>
    <t>Research Project</t>
  </si>
  <si>
    <t>Category</t>
  </si>
  <si>
    <t>Skill</t>
  </si>
  <si>
    <t>Placement</t>
  </si>
  <si>
    <t>Critical thinking</t>
  </si>
  <si>
    <t>Scientific Knowledge</t>
  </si>
  <si>
    <t>Category text shown to user</t>
  </si>
  <si>
    <t>Defined Name</t>
  </si>
  <si>
    <t>Case Study</t>
  </si>
  <si>
    <t>ScientificKnowledge</t>
  </si>
  <si>
    <t>Data Analysis</t>
  </si>
  <si>
    <t>TechnicalSkills</t>
  </si>
  <si>
    <t>Video</t>
  </si>
  <si>
    <t>Knowledge synthesis</t>
  </si>
  <si>
    <t>ApplicationofKnowledge</t>
  </si>
  <si>
    <t>Infographic</t>
  </si>
  <si>
    <t>Domian-specfic analytical skills</t>
  </si>
  <si>
    <t>UnderstandingResearch</t>
  </si>
  <si>
    <t>Evidence evaluation</t>
  </si>
  <si>
    <t>SelfEvaluation</t>
  </si>
  <si>
    <t>Football Science</t>
  </si>
  <si>
    <t>Journal</t>
  </si>
  <si>
    <t>Laboratory/clinical techniques</t>
  </si>
  <si>
    <t>MCQ Online Test</t>
  </si>
  <si>
    <t>Data collection</t>
  </si>
  <si>
    <t>ProblemSolving</t>
  </si>
  <si>
    <t>Sport and Exercise Science</t>
  </si>
  <si>
    <t>Technical Skills</t>
  </si>
  <si>
    <t>MgmtSelf</t>
  </si>
  <si>
    <t>Sport Coaching</t>
  </si>
  <si>
    <t>Digital literacy</t>
  </si>
  <si>
    <t>DeliveryEnvironment</t>
  </si>
  <si>
    <t>Sport Nutrition</t>
  </si>
  <si>
    <t>ProfRelationships</t>
  </si>
  <si>
    <t>Sport Psychology</t>
  </si>
  <si>
    <t>Technical proficiency</t>
  </si>
  <si>
    <t>SES and FS</t>
  </si>
  <si>
    <t>Translational practice</t>
  </si>
  <si>
    <t>SES and SN</t>
  </si>
  <si>
    <t>SC and PE</t>
  </si>
  <si>
    <t>Application of Knowledge &amp; Skills</t>
  </si>
  <si>
    <t>Other combination</t>
  </si>
  <si>
    <t>Reserch literacy</t>
  </si>
  <si>
    <t>Research communication</t>
  </si>
  <si>
    <t>Personal development planning</t>
  </si>
  <si>
    <t>Resilience</t>
  </si>
  <si>
    <t>Initiative</t>
  </si>
  <si>
    <t>Accountability</t>
  </si>
  <si>
    <t>Written communication</t>
  </si>
  <si>
    <t>Digital communication</t>
  </si>
  <si>
    <t>Analytical thinking</t>
  </si>
  <si>
    <t>Innovation</t>
  </si>
  <si>
    <t>Evaluation of outcomes</t>
  </si>
  <si>
    <t>Coaching and mentoring</t>
  </si>
  <si>
    <t>Delegation</t>
  </si>
  <si>
    <t>Collaboration/multi-disciplinary working</t>
  </si>
  <si>
    <t>Integrity</t>
  </si>
  <si>
    <t>Professional relationships &amp; behaviours</t>
  </si>
  <si>
    <t>4202SPS</t>
  </si>
  <si>
    <t>Learning in PE and Sport Contexts</t>
  </si>
  <si>
    <t>5202SPS</t>
  </si>
  <si>
    <t>Learning in PE and Sport Contexts 2</t>
  </si>
  <si>
    <t>5204SPS</t>
  </si>
  <si>
    <t>Physical Education in Action 1</t>
  </si>
  <si>
    <t>Learning in PE and Sport Contexts 3 (TBC)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</si>
</sst>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rgb="FF000000"/>
      <name val="Aptos Narrow"/>
      <charset val="1"/>
    </font>
    <font>
      <sz val="11"/>
      <color rgb="FF242424"/>
      <name val="Aptos Narrow"/>
      <charset val="1"/>
    </font>
    <font>
      <sz val="11"/>
      <color theme="1"/>
      <name val="Aptos Narrow"/>
      <scheme val="minor"/>
    </font>
    <font>
      <sz val="11"/>
      <color rgb="FF000000"/>
      <name val="Aptos Narrow"/>
      <scheme val="minor"/>
    </font>
    <font>
      <sz val="11"/>
      <color rgb="FF000000"/>
      <name val="Aptos Narrow"/>
    </font>
    <font>
      <sz val="12"/>
      <color rgb="FF000000"/>
      <name val="Aptos Narrow"/>
      <scheme val="minor"/>
    </font>
    <font>
      <sz val="13.5"/>
      <color rgb="FF000000"/>
      <name val="Aptos Narrow"/>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38">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164" fontId="0" fillId="0" borderId="0" xfId="0" applyNumberFormat="1" applyAlignment="1" applyProtection="1">
      <alignment horizontal="center" vertical="center" wrapText="1"/>
      <protection locked="0"/>
    </xf>
    <xf numFmtId="0" fontId="0" fillId="0" borderId="0" xfId="0" applyAlignment="1" applyProtection="1">
      <alignment wrapText="1"/>
      <protection locked="0"/>
    </xf>
    <xf numFmtId="0" fontId="7" fillId="0" borderId="0" xfId="0" applyFont="1" applyAlignment="1" applyProtection="1">
      <alignment wrapText="1"/>
      <protection locked="0"/>
    </xf>
    <xf numFmtId="0" fontId="8" fillId="0" borderId="0" xfId="0" applyFont="1" applyAlignment="1" applyProtection="1">
      <alignment wrapText="1"/>
      <protection locked="0"/>
    </xf>
    <xf numFmtId="0" fontId="9" fillId="0" borderId="0" xfId="0" applyFont="1" applyProtection="1">
      <protection locked="0"/>
    </xf>
    <xf numFmtId="0" fontId="9" fillId="0" borderId="0" xfId="0" applyFont="1" applyAlignment="1" applyProtection="1">
      <alignment wrapText="1"/>
      <protection locked="0"/>
    </xf>
    <xf numFmtId="0" fontId="10" fillId="0" borderId="0" xfId="0" applyFont="1" applyAlignment="1" applyProtection="1">
      <alignment wrapText="1"/>
      <protection locked="0"/>
    </xf>
    <xf numFmtId="0" fontId="0" fillId="0" borderId="0" xfId="0" applyAlignment="1" applyProtection="1">
      <alignment horizontal="left" vertical="center"/>
      <protection locked="0"/>
    </xf>
    <xf numFmtId="0" fontId="11" fillId="0" borderId="0" xfId="0" applyFont="1" applyAlignment="1" applyProtection="1">
      <alignment wrapText="1"/>
      <protection locked="0"/>
    </xf>
    <xf numFmtId="0" fontId="13" fillId="0" borderId="0" xfId="0" applyFont="1" applyAlignment="1" applyProtection="1">
      <alignment wrapText="1"/>
      <protection locked="0"/>
    </xf>
    <xf numFmtId="0" fontId="10" fillId="0" borderId="0" xfId="0" applyFont="1" applyProtection="1">
      <protection locked="0"/>
    </xf>
    <xf numFmtId="0" fontId="12" fillId="0" borderId="0" xfId="0" applyFont="1" applyProtection="1">
      <protection locked="0"/>
    </xf>
  </cellXfs>
  <cellStyles count="1">
    <cellStyle name="Normal" xfId="0" builtinId="0"/>
  </cellStyles>
  <dxfs count="297">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person displayName="Massey, Kelly" id="{17CCD943-2F8F-49DC-A70A-25C20F374024}" userId="S::slnkmass@ljmu.ac.uk::53f7f461-b666-429c-bfcf-3118ea7aa86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4201SPS_Meta" displayName="_4201SPS_Meta" ref="C6:D14" totalsRowShown="0">
  <autoFilter ref="C6:D14" xr:uid="{CD75D2A7-14B1-4ABD-B64D-6E875F9BC652}">
    <filterColumn colId="0" hiddenButton="1"/>
    <filterColumn colId="1" hiddenButton="1"/>
  </autoFilter>
  <tableColumns count="2">
    <tableColumn id="1" xr3:uid="{294825A0-B000-4273-A73D-4BDF1B0EEF00}" name="Module Data" dataDxfId="296"/>
    <tableColumn id="2" xr3:uid="{BFFFACD7-D0A7-40F6-BF15-469686406C3F}" name="Details" dataDxfId="295"/>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4201SPS_LO" displayName="_4201SPS_LO" ref="C28:D33" totalsRowShown="0" headerRowDxfId="294">
  <autoFilter ref="C28:D33" xr:uid="{22316987-6BEB-4FAF-9619-BF9BE9909CFA}">
    <filterColumn colId="0" hiddenButton="1"/>
    <filterColumn colId="1" hiddenButton="1"/>
  </autoFilter>
  <tableColumns count="2">
    <tableColumn id="1" xr3:uid="{EB0958A2-9E66-44D9-A8DF-610B48FE0AC6}" name="LO Number" dataDxfId="293"/>
    <tableColumn id="2" xr3:uid="{0F368925-4523-471B-A68D-184E05AABCF7}" name="LO Description" dataDxfId="29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4201SPS_Assess" displayName="_4201SPS_Assess" ref="C37:H41" totalsRowShown="0" headerRowDxfId="29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290"/>
    <tableColumn id="2" xr3:uid="{1FA5C130-1C0E-45D6-8735-EA79A0166F2D}" name="Assessment Type" dataDxfId="289"/>
    <tableColumn id="7" xr3:uid="{34024CC2-5A32-45FD-95BD-978953E7F41B}" name="Assessment Specific" dataDxfId="288"/>
    <tableColumn id="3" xr3:uid="{5DA2B338-CCFE-4568-ACFD-CC8F0B883170}" name="Assessment Description" dataDxfId="287"/>
    <tableColumn id="4" xr3:uid="{597ADF95-B9B9-411B-8079-7F615E89550C}" name="Weighting" dataDxfId="286"/>
    <tableColumn id="5" xr3:uid="{A0D1FD19-8DF8-4595-ADE8-675937B4A7F4}" name="Due Week" dataDxfId="28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4201SPS_Weekly" displayName="_42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84"/>
    <tableColumn id="2" xr3:uid="{633971FF-9E7F-4A44-865E-D409908313D1}" name="Week Number" dataDxfId="283"/>
    <tableColumn id="3" xr3:uid="{77413702-BFB9-4DEA-BF99-C2A188E22509}" name="Weekly Content 1" dataDxfId="282"/>
    <tableColumn id="4" xr3:uid="{DD1B7D42-32B3-4CC2-9308-AD66B052F8DB}" name="Weekly Content 2" dataDxfId="281"/>
    <tableColumn id="5" xr3:uid="{504E9A1A-C43C-49D3-BB42-E4DD5A49EFCE}" name="Weekly Content 3" dataDxfId="280"/>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4201SPS_Hours" displayName="_4201SPS_Hours" ref="C18:D24" totalsRowShown="0">
  <autoFilter ref="C18:D24" xr:uid="{B71A3569-AA65-4A4E-98A2-885F5C38B46D}">
    <filterColumn colId="0" hiddenButton="1"/>
    <filterColumn colId="1" hiddenButton="1"/>
  </autoFilter>
  <tableColumns count="2">
    <tableColumn id="1" xr3:uid="{5D165BDB-09FC-4AAA-91DB-E67A247DFF72}" name="Component" dataDxfId="279"/>
    <tableColumn id="2" xr3:uid="{E28A3B10-E692-47D9-A3AD-18128B6A4794}" name="Contact Hours" dataDxfId="27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4201SPS_Mapping" displayName="_4201SPS_Mapping" ref="C45:F56" totalsRowShown="0" headerRowDxfId="277" dataDxfId="276">
  <autoFilter ref="C45:F5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75"/>
    <tableColumn id="2" xr3:uid="{A7D6827C-7020-4950-BD3E-00625169C68E}" name="LO Number" dataDxfId="274"/>
    <tableColumn id="3" xr3:uid="{1F68EB03-6C47-4955-9791-229A42D1A45A}" name="Graduate Skills Category" dataDxfId="273"/>
    <tableColumn id="4" xr3:uid="{1FD832D4-8E97-4B72-9B09-606CF407E6C7}" name="Graduate Skill" dataDxfId="272"/>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4201SPS_Aims" displayName="_4201SPS_Aims" ref="F6:F8" totalsRowShown="0" dataDxfId="271">
  <autoFilter ref="F6:F8" xr:uid="{9552138F-2332-4BC4-A585-0E13162881A5}"/>
  <tableColumns count="1">
    <tableColumn id="1" xr3:uid="{2EE5D059-BB6B-4406-AF24-CB56C5C24856}" name="Aims" dataDxfId="270"/>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4201SPS_Syllabus" displayName="_4201SPS_Syllabus" ref="F10:F13" totalsRowShown="0" dataDxfId="269">
  <autoFilter ref="F10:F13" xr:uid="{94F18F67-3F10-4F6E-A953-4FE3399B07F2}"/>
  <tableColumns count="1">
    <tableColumn id="1" xr3:uid="{CF8ACDF4-0E48-466C-AF99-EC810B28E6AF}" name="Outline Syllabus" dataDxfId="268"/>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4201SPS_Overview" displayName="_4201SPS_Overview" ref="F15:F20" totalsRowShown="0" dataDxfId="267">
  <autoFilter ref="F15:F20" xr:uid="{1B2BCD7B-6C15-4B1C-86BC-48FF83D8F225}"/>
  <tableColumns count="1">
    <tableColumn id="1" xr3:uid="{C16E0E90-DC44-4185-AB55-C39332B32B2D}" name="Module Overview" dataDxfId="266"/>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4201SPS_Notes" displayName="_4201SPS_Notes" ref="F22:F33" totalsRowShown="0" dataDxfId="265">
  <autoFilter ref="F22:F33" xr:uid="{D5968C0A-6D7E-4221-87EE-78A85A4039B3}"/>
  <tableColumns count="1">
    <tableColumn id="1" xr3:uid="{719B4DA9-E67A-4094-A58E-921C645096BE}" name="Additional Information/Notes" dataDxfId="264"/>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B44E3F-A15B-4DAD-8C86-5AB35452BAA4}" name="4202SPS_Meta" displayName="_4202SPS_Meta" ref="C6:D14" totalsRowShown="0">
  <autoFilter ref="C6:D14" xr:uid="{CD75D2A7-14B1-4ABD-B64D-6E875F9BC652}">
    <filterColumn colId="0" hiddenButton="1"/>
    <filterColumn colId="1" hiddenButton="1"/>
  </autoFilter>
  <tableColumns count="2">
    <tableColumn id="1" xr3:uid="{911FFA90-AD93-402D-9289-7334BA9EF594}" name="Module Data" dataDxfId="263"/>
    <tableColumn id="2" xr3:uid="{76E53F7B-D239-4801-BA94-8B66C7175008}" name="Details" dataDxfId="262"/>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BC361DD-C85F-42F2-8BC2-FCB72233D984}" name="4202SPS_LO" displayName="_4202SPS_LO" ref="C28:D33" totalsRowShown="0" headerRowDxfId="261">
  <autoFilter ref="C28:D33" xr:uid="{22316987-6BEB-4FAF-9619-BF9BE9909CFA}">
    <filterColumn colId="0" hiddenButton="1"/>
    <filterColumn colId="1" hiddenButton="1"/>
  </autoFilter>
  <tableColumns count="2">
    <tableColumn id="1" xr3:uid="{342D83AF-8BC7-418D-951F-1550F71805EE}" name="LO Number" dataDxfId="260"/>
    <tableColumn id="2" xr3:uid="{D1AF704D-E5A9-4339-9026-8FEA8E839906}" name="LO Description" dataDxfId="25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511E217-22E5-4481-A9EF-707F94050718}" name="4202SPS_Assess" displayName="_4202SPS_Assess" ref="C37:H41" totalsRowShown="0" headerRowDxfId="25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A2AE6406-E781-426D-96E0-445CB0CF08DF}" name="Assessment No" dataDxfId="257"/>
    <tableColumn id="2" xr3:uid="{77573BE3-600F-4B5A-B8B7-E6F9A452B869}" name="Assessment Type" dataDxfId="256"/>
    <tableColumn id="7" xr3:uid="{D48ECF21-E6DF-4D0E-8DD3-FCECA4C04F7B}" name="Assessment Specific" dataDxfId="255"/>
    <tableColumn id="3" xr3:uid="{5DB1222D-4A21-4A76-884A-C395E9425FAF}" name="Assessment Description" dataDxfId="254"/>
    <tableColumn id="4" xr3:uid="{4CC3A7D8-8707-4D85-A91A-FC21F9ED2602}" name="Weighting" dataDxfId="253"/>
    <tableColumn id="5" xr3:uid="{C2616A4D-554C-4000-B40E-D6BB0F6892DD}" name="Due Week" dataDxfId="252"/>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E860E52-BD2F-4D5F-B320-78E9B48289B6}" name="4202SPS_Weekly" displayName="_420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9C8787BC-9F93-4635-861A-169E577041AD}" name="Semester " dataDxfId="251"/>
    <tableColumn id="2" xr3:uid="{BB89A29A-6DCD-438A-A26B-39C47A944A42}" name="Week Number" dataDxfId="250"/>
    <tableColumn id="3" xr3:uid="{55EE232B-805C-4D94-85FD-D69C804FFD35}" name="Weekly Content 1" dataDxfId="249"/>
    <tableColumn id="4" xr3:uid="{1BDBF9C7-45DB-4994-BCA5-297744D3D6E0}" name="Weekly Content 2" dataDxfId="248"/>
    <tableColumn id="5" xr3:uid="{0A094E4F-FECD-4072-843D-E51184E81756}" name="Weekly Content 3" dataDxfId="247"/>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F880A79-C1C0-41CE-9D9E-DD4BE6237C2D}" name="4202SPS_Hours" displayName="_4202SPS_Hours" ref="C18:D24" totalsRowShown="0">
  <autoFilter ref="C18:D24" xr:uid="{B71A3569-AA65-4A4E-98A2-885F5C38B46D}">
    <filterColumn colId="0" hiddenButton="1"/>
    <filterColumn colId="1" hiddenButton="1"/>
  </autoFilter>
  <tableColumns count="2">
    <tableColumn id="1" xr3:uid="{C2E8AD25-A13C-4C7C-B890-D74E61D0A1F7}" name="Component" dataDxfId="246"/>
    <tableColumn id="2" xr3:uid="{54F0ECF9-4440-4C16-A7DF-A8F060752683}" name="Contact Hours" dataDxfId="245"/>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5F531E9-9A1D-462D-AC77-E9481604B509}" name="4202SPS_Mapping" displayName="_4202SPS_Mapping" ref="C45:F56" totalsRowShown="0" headerRowDxfId="244" dataDxfId="243">
  <autoFilter ref="C45:F56" xr:uid="{E0A841BB-B6D5-4048-B5F2-18CF9F502EBA}">
    <filterColumn colId="0" hiddenButton="1"/>
    <filterColumn colId="1" hiddenButton="1"/>
    <filterColumn colId="2" hiddenButton="1"/>
    <filterColumn colId="3" hiddenButton="1"/>
  </autoFilter>
  <tableColumns count="4">
    <tableColumn id="1" xr3:uid="{9DCECA84-0A3F-48FC-BB13-DF710360F60E}" name="Assessment No" dataDxfId="242"/>
    <tableColumn id="2" xr3:uid="{9510C734-CD9E-4F01-8C22-08006A9468EC}" name="LO Number" dataDxfId="241"/>
    <tableColumn id="3" xr3:uid="{0825DDE7-83AF-4E00-91DF-BD02D41E292B}" name="Graduate Skills Category" dataDxfId="240"/>
    <tableColumn id="4" xr3:uid="{AE1371FC-6C1E-480C-AEC7-8D608F778B17}" name="Graduate Skill" dataDxfId="239"/>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CD13701-E56B-4932-8E95-E435236E6E68}" name="4202SPS_Aims" displayName="_4202SPS_Aims" ref="F6:F8" totalsRowShown="0" dataDxfId="238">
  <autoFilter ref="F6:F8" xr:uid="{9552138F-2332-4BC4-A585-0E13162881A5}"/>
  <tableColumns count="1">
    <tableColumn id="1" xr3:uid="{CBE8E11F-E549-4889-B45D-A6B4A5344A03}" name="Aims" dataDxfId="237"/>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44FAD6A-EBA0-493E-86E9-A4F53C958548}" name="4202SPS_Syllabus" displayName="_4202SPS_Syllabus" ref="F10:F13" totalsRowShown="0" dataDxfId="236">
  <autoFilter ref="F10:F13" xr:uid="{94F18F67-3F10-4F6E-A953-4FE3399B07F2}"/>
  <tableColumns count="1">
    <tableColumn id="1" xr3:uid="{1C998F2B-1C2B-45EE-B244-E920FE529A51}" name="Outline Syllabus" dataDxfId="235"/>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2530E4E-8579-4FAF-80FF-74B54C976817}" name="4202SPS_Overview" displayName="_4202SPS_Overview" ref="F15:F20" totalsRowShown="0" dataDxfId="234">
  <autoFilter ref="F15:F20" xr:uid="{1B2BCD7B-6C15-4B1C-86BC-48FF83D8F225}"/>
  <tableColumns count="1">
    <tableColumn id="1" xr3:uid="{54134588-23D4-4E5C-A65A-BADFE9B0A455}" name="Module Overview" dataDxfId="233"/>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6277003-1A2D-46B4-8286-C09BBED21BFA}" name="4202SPS_Notes" displayName="_4202SPS_Notes" ref="F22:F33" totalsRowShown="0" dataDxfId="232">
  <autoFilter ref="F22:F33" xr:uid="{D5968C0A-6D7E-4221-87EE-78A85A4039B3}"/>
  <tableColumns count="1">
    <tableColumn id="1" xr3:uid="{F2780E3F-C1B9-495E-8E57-ACF21B2D9E19}" name="Additional Information/Notes" dataDxfId="231"/>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201SPS_Meta" displayName="_5201SPS_Meta" ref="C6:D14" totalsRowShown="0">
  <autoFilter ref="C6:D14" xr:uid="{CD75D2A7-14B1-4ABD-B64D-6E875F9BC652}">
    <filterColumn colId="0" hiddenButton="1"/>
    <filterColumn colId="1" hiddenButton="1"/>
  </autoFilter>
  <tableColumns count="2">
    <tableColumn id="1" xr3:uid="{7833E623-ED87-40CE-93D2-B78B6A7D7E94}" name="Module Data" dataDxfId="230"/>
    <tableColumn id="2" xr3:uid="{0659839B-A1DA-4204-9267-1A4CC295A6EF}" name="Details" dataDxfId="229"/>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201SPS_LO" displayName="_5201SPS_LO" ref="C28:D33" totalsRowShown="0" headerRowDxfId="228">
  <autoFilter ref="C28:D33" xr:uid="{22316987-6BEB-4FAF-9619-BF9BE9909CFA}">
    <filterColumn colId="0" hiddenButton="1"/>
    <filterColumn colId="1" hiddenButton="1"/>
  </autoFilter>
  <tableColumns count="2">
    <tableColumn id="1" xr3:uid="{FEDC5FCD-23F6-4532-A565-C979DFEE6452}" name="LO Number" dataDxfId="227"/>
    <tableColumn id="2" xr3:uid="{1F64A8B9-B360-490C-BD12-64A29F9CF82F}" name="LO Description" dataDxfId="22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201SPS_Assess" displayName="_5201SPS_Assess" ref="C37:H41" totalsRowShown="0" headerRowDxfId="22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24"/>
    <tableColumn id="2" xr3:uid="{0FE47FA8-B999-4405-B49D-E106E82A7509}" name="Assessment Type" dataDxfId="223"/>
    <tableColumn id="7" xr3:uid="{61D6D411-EDDD-4962-A754-A4B5EEB96263}" name="Assessment Specific" dataDxfId="222"/>
    <tableColumn id="3" xr3:uid="{1A288D47-FFDF-4BA0-94F1-9B647BE04DCC}" name="Assessment Description" dataDxfId="221"/>
    <tableColumn id="4" xr3:uid="{ED08857B-A938-490D-9B30-962DE64252AB}" name="Weighting" dataDxfId="220"/>
    <tableColumn id="5" xr3:uid="{581E13F4-4545-426B-8995-08E09758F5CB}" name="Due Week" dataDxfId="219"/>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201SPS_Weekly" displayName="_52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18"/>
    <tableColumn id="2" xr3:uid="{BED16F5A-D8C5-4300-A763-C0065F48E598}" name="Week Number" dataDxfId="217"/>
    <tableColumn id="3" xr3:uid="{1C3278D5-9F89-43C0-84A5-ACE6AE3BF8C8}" name="Weekly Content 1" dataDxfId="216"/>
    <tableColumn id="4" xr3:uid="{8ADEF497-35DC-4945-B42C-DCA4C8DB67C9}" name="Weekly Content 2" dataDxfId="215"/>
    <tableColumn id="5" xr3:uid="{E6B69E39-A78E-4994-8E8F-40C76F0002A1}" name="Weekly Content 3" dataDxfId="214"/>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201SPS_Hours" displayName="_5201SPS_Hours" ref="C18:D24" totalsRowShown="0">
  <autoFilter ref="C18:D24" xr:uid="{B71A3569-AA65-4A4E-98A2-885F5C38B46D}">
    <filterColumn colId="0" hiddenButton="1"/>
    <filterColumn colId="1" hiddenButton="1"/>
  </autoFilter>
  <tableColumns count="2">
    <tableColumn id="1" xr3:uid="{2FFE33E1-E3D8-499A-B70C-70494FCFC11F}" name="Component" dataDxfId="213"/>
    <tableColumn id="2" xr3:uid="{D8D74B7C-DED1-4107-9D9B-A69709137AF1}" name="Contact Hours" dataDxfId="212"/>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201SPS_Mapping" displayName="_5201SPS_Mapping" ref="C45:F56" totalsRowShown="0" headerRowDxfId="211" dataDxfId="210">
  <autoFilter ref="C45:F5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209"/>
    <tableColumn id="2" xr3:uid="{3DE98FE2-3138-46D6-BD99-F2FB47042775}" name="LO Number" dataDxfId="208"/>
    <tableColumn id="3" xr3:uid="{810A03D8-C153-4962-9C3C-D761D27C4A3F}" name="Graduate Skills Category" dataDxfId="207"/>
    <tableColumn id="4" xr3:uid="{C3B0D1F6-1274-4ED1-9705-01F40BB1E2F2}" name="Graduate Skill" dataDxfId="206"/>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201SPS_Aims" displayName="_5201SPS_Aims" ref="F6:F8" totalsRowShown="0" dataDxfId="205">
  <autoFilter ref="F6:F8" xr:uid="{9552138F-2332-4BC4-A585-0E13162881A5}"/>
  <tableColumns count="1">
    <tableColumn id="1" xr3:uid="{C445F0C7-61B3-46CB-A56F-67D79AE54D5C}" name="Aims" dataDxfId="204"/>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201SPS_Syllabus" displayName="_5201SPS_Syllabus" ref="F10:F13" totalsRowShown="0" dataDxfId="203">
  <autoFilter ref="F10:F13" xr:uid="{94F18F67-3F10-4F6E-A953-4FE3399B07F2}"/>
  <tableColumns count="1">
    <tableColumn id="1" xr3:uid="{CAABEA9D-6FBF-459A-AD97-585A17318A01}" name="Outline Syllabus" dataDxfId="202"/>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201SPS_Overview" displayName="_5201SPS_Overview" ref="F15:F20" totalsRowShown="0" dataDxfId="201">
  <autoFilter ref="F15:F20" xr:uid="{1B2BCD7B-6C15-4B1C-86BC-48FF83D8F225}"/>
  <tableColumns count="1">
    <tableColumn id="1" xr3:uid="{A14625FC-0807-41B3-BEF3-09E7E979EFED}" name="Module Overview" dataDxfId="200"/>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201SPS_Notes" displayName="_5201SPS_Notes" ref="F22:F33" totalsRowShown="0" dataDxfId="199">
  <autoFilter ref="F22:F33" xr:uid="{D5968C0A-6D7E-4221-87EE-78A85A4039B3}"/>
  <tableColumns count="1">
    <tableColumn id="1" xr3:uid="{0F69CA79-BA33-4E25-8FA9-233F7FC95036}" name="Additional Information/Notes" dataDxfId="198"/>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24DE4E-04E7-4530-80BA-393719B9E8DA}" name="5202SPS_Meta" displayName="_5202SPS_Meta" ref="C6:D14" totalsRowShown="0">
  <autoFilter ref="C6:D14" xr:uid="{CD75D2A7-14B1-4ABD-B64D-6E875F9BC652}">
    <filterColumn colId="0" hiddenButton="1"/>
    <filterColumn colId="1" hiddenButton="1"/>
  </autoFilter>
  <tableColumns count="2">
    <tableColumn id="1" xr3:uid="{A658ED90-FE8F-471A-B19F-F464DA5F581E}" name="Module Data" dataDxfId="197"/>
    <tableColumn id="2" xr3:uid="{31333EF3-B6A8-4228-8098-303F8A7820F5}" name="Details" dataDxfId="196"/>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7DF9277-21CB-4F3D-9700-0CFFA76E33BD}" name="5202SPS_LO" displayName="_5202SPS_LO" ref="C28:D33" totalsRowShown="0" headerRowDxfId="195">
  <autoFilter ref="C28:D33" xr:uid="{22316987-6BEB-4FAF-9619-BF9BE9909CFA}">
    <filterColumn colId="0" hiddenButton="1"/>
    <filterColumn colId="1" hiddenButton="1"/>
  </autoFilter>
  <tableColumns count="2">
    <tableColumn id="1" xr3:uid="{6214D75F-F769-4896-BA98-29A139F86CA1}" name="LO Number" dataDxfId="194"/>
    <tableColumn id="2" xr3:uid="{3FAA4A33-3105-426F-AD36-B25712025C90}" name="LO Description" dataDxfId="193"/>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CB2BBBF-3351-467C-85A7-F476B65CD5D9}" name="5202SPS_Assess" displayName="_5202SPS_Assess" ref="C37:H41" totalsRowShown="0" headerRowDxfId="19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5CA15E4-B948-4870-8CEA-A748A19B06FB}" name="Assessment No" dataDxfId="191"/>
    <tableColumn id="2" xr3:uid="{785DD684-AA6A-490B-89D1-9B14B151E551}" name="Assessment Type" dataDxfId="190"/>
    <tableColumn id="7" xr3:uid="{F7F1BEAE-AB5E-40D3-8100-10255286748B}" name="Assessment Specific" dataDxfId="189"/>
    <tableColumn id="3" xr3:uid="{45595B9B-093E-4051-8EBB-4786109E1BE3}" name="Assessment Description" dataDxfId="188"/>
    <tableColumn id="4" xr3:uid="{CFDB4067-4FEB-4115-9951-9BCB524DE395}" name="Weighting" dataDxfId="187"/>
    <tableColumn id="5" xr3:uid="{E7A5582A-EB1E-4298-AE79-2814AAE06317}" name="Due Week" dataDxfId="186"/>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50FAA42-C22A-4BC1-888D-C0959ACF16F9}" name="5202SPS_Weekly" displayName="_520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6CA1F739-1E85-4CF6-BEFC-33966FA8092C}" name="Semester " dataDxfId="185"/>
    <tableColumn id="2" xr3:uid="{A61C95EC-D4C3-4705-BAA9-1B676BFF9E5B}" name="Week Number" dataDxfId="184"/>
    <tableColumn id="3" xr3:uid="{7E4155D3-53EB-4546-9A42-E09B5F11DCD0}" name="Weekly Content 1" dataDxfId="183"/>
    <tableColumn id="4" xr3:uid="{E2DBC395-2FE3-4076-8A2D-DF134B4166FE}" name="Weekly Content 2" dataDxfId="182"/>
    <tableColumn id="5" xr3:uid="{B1A068F5-3594-4AB6-9834-185DC2BBB6FB}" name="Weekly Content 3" dataDxfId="181"/>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0786508-D42B-46BD-AE9B-41E8B847E1A8}" name="5202SPS_Hours" displayName="_5202SPS_Hours" ref="C18:D24" totalsRowShown="0">
  <autoFilter ref="C18:D24" xr:uid="{B71A3569-AA65-4A4E-98A2-885F5C38B46D}">
    <filterColumn colId="0" hiddenButton="1"/>
    <filterColumn colId="1" hiddenButton="1"/>
  </autoFilter>
  <tableColumns count="2">
    <tableColumn id="1" xr3:uid="{81EA3FC8-B8E1-41D4-AB7F-DE462B6AFAE3}" name="Component" dataDxfId="180"/>
    <tableColumn id="2" xr3:uid="{4539851E-8F2F-422F-92BC-8698D185409E}" name="Contact Hours" dataDxfId="179"/>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215EA3F-5A92-4E57-932D-71B388A65378}" name="5202SPS_Mapping" displayName="_5202SPS_Mapping" ref="C45:F56" totalsRowShown="0" headerRowDxfId="178" dataDxfId="177">
  <autoFilter ref="C45:F56" xr:uid="{E0A841BB-B6D5-4048-B5F2-18CF9F502EBA}">
    <filterColumn colId="0" hiddenButton="1"/>
    <filterColumn colId="1" hiddenButton="1"/>
    <filterColumn colId="2" hiddenButton="1"/>
    <filterColumn colId="3" hiddenButton="1"/>
  </autoFilter>
  <tableColumns count="4">
    <tableColumn id="1" xr3:uid="{13381336-439A-40A8-8F28-FB36955ABDED}" name="Assessment No" dataDxfId="176"/>
    <tableColumn id="2" xr3:uid="{D9ED1E50-9FD8-4788-958A-C679213C852E}" name="LO Number" dataDxfId="175"/>
    <tableColumn id="3" xr3:uid="{B98B6767-B4DE-41DB-89EA-CDF9FFFAEEB7}" name="Graduate Skills Category" dataDxfId="174"/>
    <tableColumn id="4" xr3:uid="{E9359339-CED0-4A6E-8306-C3245DAC8E5B}" name="Graduate Skill" dataDxfId="173"/>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0741FBF-D6E3-4D14-84A7-D74E3829E532}" name="5202SPS_Aims" displayName="_5202SPS_Aims" ref="F6:F8" totalsRowShown="0" dataDxfId="172">
  <autoFilter ref="F6:F8" xr:uid="{9552138F-2332-4BC4-A585-0E13162881A5}"/>
  <tableColumns count="1">
    <tableColumn id="1" xr3:uid="{B1F55A27-3A3C-4A5E-979A-2E3C14A5EA8D}" name="Aims" dataDxfId="171"/>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78FBCA9-3F76-422C-AC68-C9CB456E28D4}" name="5202SPS_Syllabus" displayName="_5202SPS_Syllabus" ref="F10:F13" totalsRowShown="0" dataDxfId="170">
  <autoFilter ref="F10:F13" xr:uid="{94F18F67-3F10-4F6E-A953-4FE3399B07F2}"/>
  <tableColumns count="1">
    <tableColumn id="1" xr3:uid="{6A7652B2-077D-48F9-8B5D-0B283C72D5FE}" name="Outline Syllabus" dataDxfId="169"/>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7B1C7B4-C8FF-4C41-8EF0-670AA1E6505E}" name="5202SPS_Overview" displayName="_5202SPS_Overview" ref="F15:F20" totalsRowShown="0" dataDxfId="168">
  <autoFilter ref="F15:F20" xr:uid="{1B2BCD7B-6C15-4B1C-86BC-48FF83D8F225}"/>
  <tableColumns count="1">
    <tableColumn id="1" xr3:uid="{6CEF3799-990F-40C3-AB6B-C5CD918F7203}" name="Module Overview" dataDxfId="167"/>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EE75835D-FE7B-4104-8CD6-92BB0F4256B4}" name="5202SPS_Notes" displayName="_5202SPS_Notes" ref="F22:F33" totalsRowShown="0" dataDxfId="166">
  <autoFilter ref="F22:F33" xr:uid="{D5968C0A-6D7E-4221-87EE-78A85A4039B3}"/>
  <tableColumns count="1">
    <tableColumn id="1" xr3:uid="{5D7EA399-A29E-4BC2-AA56-BF3C659E9128}" name="Additional Information/Notes" dataDxfId="165"/>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203SPS_Meta" displayName="_5203SPS_Meta" ref="C6:D14" totalsRowShown="0">
  <autoFilter ref="C6:D14" xr:uid="{CD75D2A7-14B1-4ABD-B64D-6E875F9BC652}">
    <filterColumn colId="0" hiddenButton="1"/>
    <filterColumn colId="1" hiddenButton="1"/>
  </autoFilter>
  <tableColumns count="2">
    <tableColumn id="1" xr3:uid="{7B568BCE-928C-447D-BD05-0832B97C0D72}" name="Module Data" dataDxfId="164"/>
    <tableColumn id="2" xr3:uid="{706D7CC6-0EB1-4219-8291-567821A0A5B8}" name="Details" dataDxfId="163"/>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203SPS_LO" displayName="_5203SPS_LO" ref="C28:D33" totalsRowShown="0" headerRowDxfId="162">
  <autoFilter ref="C28:D33" xr:uid="{22316987-6BEB-4FAF-9619-BF9BE9909CFA}">
    <filterColumn colId="0" hiddenButton="1"/>
    <filterColumn colId="1" hiddenButton="1"/>
  </autoFilter>
  <tableColumns count="2">
    <tableColumn id="1" xr3:uid="{C19B4674-B83E-4A42-A7E5-5468C8752F20}" name="LO Number" dataDxfId="161"/>
    <tableColumn id="2" xr3:uid="{78F135DA-0213-417E-88FD-2F76325B6D58}" name="LO Description" dataDxfId="160"/>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203SPS_Assess" displayName="_5203SPS_Assess" ref="C37:H39" totalsRowShown="0" headerRowDxfId="159">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158"/>
    <tableColumn id="2" xr3:uid="{43E55016-0B24-4AE6-8341-2CF6FE45EFE0}" name="Assessment Type" dataDxfId="157"/>
    <tableColumn id="7" xr3:uid="{74FB69C4-57FE-4D4F-92C7-425CCB32340D}" name="Assessment Specific" dataDxfId="156"/>
    <tableColumn id="3" xr3:uid="{F392CA10-65BB-49CE-8FEA-065DB3B1250A}" name="Assessment Description" dataDxfId="155"/>
    <tableColumn id="4" xr3:uid="{63105FFB-71CB-4889-BE3D-BA168F2B1D15}" name="Weighting" dataDxfId="154"/>
    <tableColumn id="5" xr3:uid="{942301B1-78DA-47AC-B487-4A82010FBC22}" name="Due Week" dataDxfId="153"/>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203SPS_Weekly" displayName="_5203SPS_Weekly" ref="B108:F120" totalsRowShown="0">
  <autoFilter ref="B108:F120"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152"/>
    <tableColumn id="2" xr3:uid="{D37085D6-4B13-4E18-BF1D-72E1D211C5E2}" name="Week Number" dataDxfId="151"/>
    <tableColumn id="3" xr3:uid="{E63B3791-EF8C-42D0-9D20-9E40C6780395}" name="Weekly Content 1" dataDxfId="150"/>
    <tableColumn id="4" xr3:uid="{B1BA8E95-AF48-472D-8022-4FFD3C39E6FD}" name="Weekly Content 2" dataDxfId="149"/>
    <tableColumn id="5" xr3:uid="{77ED77D2-DF2D-4913-862F-82B54D142645}" name="Weekly Content 3" dataDxfId="148"/>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203SPS_Hours" displayName="_5203SPS_Hours" ref="C18:D24" totalsRowShown="0">
  <autoFilter ref="C18:D24" xr:uid="{B71A3569-AA65-4A4E-98A2-885F5C38B46D}">
    <filterColumn colId="0" hiddenButton="1"/>
    <filterColumn colId="1" hiddenButton="1"/>
  </autoFilter>
  <tableColumns count="2">
    <tableColumn id="1" xr3:uid="{A4027C00-55EA-4E91-A17F-FC7D936AA12D}" name="Component" dataDxfId="147"/>
    <tableColumn id="2" xr3:uid="{2B461470-C937-400F-A861-E1EF437460FC}" name="Contact Hours" dataDxfId="146"/>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203SPS_Mapping" displayName="_5203SPS_Mapping" ref="C43:F105" totalsRowShown="0" headerRowDxfId="145" dataDxfId="144">
  <autoFilter ref="C43:F105"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143"/>
    <tableColumn id="2" xr3:uid="{01ED9B44-AD4B-499E-8D3C-3B9247E57323}" name="LO Number" dataDxfId="142"/>
    <tableColumn id="3" xr3:uid="{D52384A9-63E3-4ABE-86FB-4619A06E02AF}" name="Graduate Skills Category" dataDxfId="141"/>
    <tableColumn id="4" xr3:uid="{B45DCF04-04F9-4B36-A81D-CEBACC18D2E8}" name="Graduate Skill" dataDxfId="140"/>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203SPS_Aims" displayName="_5203SPS_Aims" ref="F6:F8" totalsRowShown="0" dataDxfId="139">
  <autoFilter ref="F6:F8" xr:uid="{9552138F-2332-4BC4-A585-0E13162881A5}"/>
  <tableColumns count="1">
    <tableColumn id="1" xr3:uid="{00C11AD8-5667-494A-85B4-23C210D1B918}" name="Aims" dataDxfId="138"/>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203SPS_Syllabus" displayName="_5203SPS_Syllabus" ref="F10:F13" totalsRowShown="0" dataDxfId="137">
  <autoFilter ref="F10:F13" xr:uid="{94F18F67-3F10-4F6E-A953-4FE3399B07F2}"/>
  <tableColumns count="1">
    <tableColumn id="1" xr3:uid="{8917F32D-2D78-4B3C-93BA-03E82057EA4B}" name="Outline Syllabus" dataDxfId="136"/>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203SPS_Overview" displayName="_5203SPS_Overview" ref="F15:F20" totalsRowShown="0" dataDxfId="135">
  <autoFilter ref="F15:F20" xr:uid="{1B2BCD7B-6C15-4B1C-86BC-48FF83D8F225}"/>
  <tableColumns count="1">
    <tableColumn id="1" xr3:uid="{B53F9EDB-3125-4C5C-A219-EFA16F274EFC}" name="Module Overview" dataDxfId="134"/>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203SPS_Notes" displayName="_5203SPS_Notes" ref="F22:F33" totalsRowShown="0" dataDxfId="133">
  <autoFilter ref="F22:F33" xr:uid="{D5968C0A-6D7E-4221-87EE-78A85A4039B3}"/>
  <tableColumns count="1">
    <tableColumn id="1" xr3:uid="{2E1C0BC3-8EFB-4AA5-A23B-DEAB35C7DEA7}" name="Additional Information/Notes" dataDxfId="132"/>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C4C19FD-9346-4806-A8C8-2459DD6B6079}" name="5204SPS_Meta" displayName="_5204SPS_Meta" ref="C6:D14" totalsRowShown="0">
  <autoFilter ref="C6:D14" xr:uid="{CD75D2A7-14B1-4ABD-B64D-6E875F9BC652}">
    <filterColumn colId="0" hiddenButton="1"/>
    <filterColumn colId="1" hiddenButton="1"/>
  </autoFilter>
  <tableColumns count="2">
    <tableColumn id="1" xr3:uid="{93EF9546-B1E1-4979-B62A-B2989751477E}" name="Module Data" dataDxfId="131"/>
    <tableColumn id="2" xr3:uid="{F16B111E-BD12-4F84-B4D8-F04D20DD8DBB}" name="Details" dataDxfId="130"/>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516635D-8244-4777-9DE4-11331E655F21}" name="5204SPS_LO" displayName="_5204SPS_LO" ref="C28:D33" totalsRowShown="0" headerRowDxfId="129">
  <autoFilter ref="C28:D33" xr:uid="{22316987-6BEB-4FAF-9619-BF9BE9909CFA}">
    <filterColumn colId="0" hiddenButton="1"/>
    <filterColumn colId="1" hiddenButton="1"/>
  </autoFilter>
  <tableColumns count="2">
    <tableColumn id="1" xr3:uid="{FCFA5DC6-8913-4A82-9BE3-D7C86F47B635}" name="LO Number" dataDxfId="128"/>
    <tableColumn id="2" xr3:uid="{A26107E9-F8C3-4208-9B7A-BF4BCBEBB19A}" name="LO Description" dataDxfId="127"/>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CB98171-BA23-4C4B-98B9-96D275729259}" name="5204SPS_Assess" displayName="_5204SPS_Assess" ref="C37:H39" totalsRowShown="0" headerRowDxfId="126">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3CCF83-5601-41C0-8D07-B3B4189FAA0A}" name="Assessment No" dataDxfId="125"/>
    <tableColumn id="2" xr3:uid="{8DE04119-F3E4-453B-BC3A-854F50978501}" name="Assessment Type" dataDxfId="124"/>
    <tableColumn id="7" xr3:uid="{B50A2E80-15E7-45A7-8DBE-5B45DBA0EE03}" name="Assessment Specific" dataDxfId="123"/>
    <tableColumn id="3" xr3:uid="{E8622972-E848-4085-8006-AB9BE3F8BA26}" name="Assessment Description" dataDxfId="122"/>
    <tableColumn id="4" xr3:uid="{84212026-914D-45DF-9D5F-CED7648E8DFA}" name="Weighting" dataDxfId="121"/>
    <tableColumn id="5" xr3:uid="{2541BCB1-EF73-49CB-AF8F-0A7A159BFADC}" name="Due Week" dataDxfId="120"/>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DE77F6A-26DB-4328-8166-F5D66A69C89A}" name="5204SPS_Weekly" displayName="_5204SPS_Weekly" ref="B108:F120" totalsRowShown="0">
  <autoFilter ref="B108:F120" xr:uid="{3A41AF80-1AD3-44F6-93D1-6C4A16CCF943}">
    <filterColumn colId="0" hiddenButton="1"/>
    <filterColumn colId="1" hiddenButton="1"/>
    <filterColumn colId="2" hiddenButton="1"/>
    <filterColumn colId="3" hiddenButton="1"/>
    <filterColumn colId="4" hiddenButton="1"/>
  </autoFilter>
  <tableColumns count="5">
    <tableColumn id="1" xr3:uid="{C744C4E3-2756-4632-81F3-10F9A63DCAFA}" name="Semester " dataDxfId="119"/>
    <tableColumn id="2" xr3:uid="{39E374F6-8FA6-4A17-B3E5-6861B7802E23}" name="Week Number" dataDxfId="118"/>
    <tableColumn id="3" xr3:uid="{0748FD0A-D483-4674-ADF4-F590E5FF84A1}" name="Weekly Content 1" dataDxfId="117"/>
    <tableColumn id="4" xr3:uid="{1C2B781D-8D14-4BB8-A73B-EE7856019F76}" name="Weekly Content 2" dataDxfId="116"/>
    <tableColumn id="5" xr3:uid="{354C8B75-DDEF-484E-BBC8-737E4723DA95}" name="Weekly Content 3" dataDxfId="115"/>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57764B1F-8952-422E-B8DF-3C9CE01F883B}" name="5204SPS_Hours" displayName="_5204SPS_Hours" ref="C18:D24" totalsRowShown="0">
  <autoFilter ref="C18:D24" xr:uid="{B71A3569-AA65-4A4E-98A2-885F5C38B46D}">
    <filterColumn colId="0" hiddenButton="1"/>
    <filterColumn colId="1" hiddenButton="1"/>
  </autoFilter>
  <tableColumns count="2">
    <tableColumn id="1" xr3:uid="{B5948EAF-8B6E-46B7-9242-EFAA9A47ED34}" name="Component" dataDxfId="114"/>
    <tableColumn id="2" xr3:uid="{CE29ACD9-237F-42F2-96D8-089595857098}" name="Contact Hours" dataDxfId="113"/>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3CF1FF5-9C48-4438-ACA3-7355F5E2E85B}" name="5204SPS_Mapping" displayName="_5204SPS_Mapping" ref="C43:F105" totalsRowShown="0" headerRowDxfId="112" dataDxfId="111">
  <autoFilter ref="C43:F105" xr:uid="{E0A841BB-B6D5-4048-B5F2-18CF9F502EBA}">
    <filterColumn colId="0" hiddenButton="1"/>
    <filterColumn colId="1" hiddenButton="1"/>
    <filterColumn colId="2" hiddenButton="1"/>
    <filterColumn colId="3" hiddenButton="1"/>
  </autoFilter>
  <tableColumns count="4">
    <tableColumn id="1" xr3:uid="{2C8A8CAA-AB4F-4ECF-ACF3-4AAAB0D9A60D}" name="Assessment No" dataDxfId="110"/>
    <tableColumn id="2" xr3:uid="{A9D38D67-C61A-433B-BADC-6C3E04CDA95E}" name="LO Number" dataDxfId="109"/>
    <tableColumn id="3" xr3:uid="{FE761D65-59EA-463F-9ADA-00E8680B2AA0}" name="Graduate Skills Category" dataDxfId="108"/>
    <tableColumn id="4" xr3:uid="{07A49AC4-23E7-46A1-BB21-BF25282D94C1}" name="Graduate Skill" dataDxfId="107"/>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8268B39-EE99-49ED-86E1-D29303AB4EED}" name="5204SPS_Aims" displayName="_5204SPS_Aims" ref="F6:F8" totalsRowShown="0" dataDxfId="106">
  <autoFilter ref="F6:F8" xr:uid="{9552138F-2332-4BC4-A585-0E13162881A5}"/>
  <tableColumns count="1">
    <tableColumn id="1" xr3:uid="{4403EEA5-FA6D-452B-BF1F-948A0D955BC8}" name="Aims" dataDxfId="105"/>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D5A8872-5E58-499C-B77A-737B8104FAE5}" name="5204SPS_Syllabus" displayName="_5204SPS_Syllabus" ref="F10:F13" totalsRowShown="0" dataDxfId="104">
  <autoFilter ref="F10:F13" xr:uid="{94F18F67-3F10-4F6E-A953-4FE3399B07F2}"/>
  <tableColumns count="1">
    <tableColumn id="1" xr3:uid="{B9B549E3-116D-4F6F-946B-85E5C7F75D02}" name="Outline Syllabus" dataDxfId="103"/>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28D9BB0-177A-4F7C-B0C7-270A06934461}" name="5204SPS_Overview" displayName="_5204SPS_Overview" ref="F15:F20" totalsRowShown="0" dataDxfId="102">
  <autoFilter ref="F15:F20" xr:uid="{1B2BCD7B-6C15-4B1C-86BC-48FF83D8F225}"/>
  <tableColumns count="1">
    <tableColumn id="1" xr3:uid="{DD8C63C2-BC98-4B9C-8D44-0683709D89CB}" name="Module Overview" dataDxfId="101"/>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10DB405C-0C1C-4E48-845D-66F427B631E7}" name="5204SPS_Notes" displayName="_5204SPS_Notes" ref="F22:F33" totalsRowShown="0" dataDxfId="100">
  <autoFilter ref="F22:F33" xr:uid="{D5968C0A-6D7E-4221-87EE-78A85A4039B3}"/>
  <tableColumns count="1">
    <tableColumn id="1" xr3:uid="{C74D8DE1-229C-47CE-93E3-94E58330376F}" name="Additional Information/Notes" dataDxfId="99"/>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202SPS_Meta" displayName="_6202SPS_Meta" ref="C6:D14" totalsRowShown="0">
  <autoFilter ref="C6:D14" xr:uid="{CD75D2A7-14B1-4ABD-B64D-6E875F9BC652}">
    <filterColumn colId="0" hiddenButton="1"/>
    <filterColumn colId="1" hiddenButton="1"/>
  </autoFilter>
  <tableColumns count="2">
    <tableColumn id="1" xr3:uid="{5D38FCD1-7A3F-4025-AC69-E6A90C68A79E}" name="Module Data" dataDxfId="98"/>
    <tableColumn id="2" xr3:uid="{ACE861FD-0C1D-4D19-A0A8-AC83427FA81A}" name="Details" dataDxfId="97"/>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202SPS_LO" displayName="_6202SPS_LO" ref="C28:D33" totalsRowShown="0" headerRowDxfId="96">
  <autoFilter ref="C28:D33" xr:uid="{22316987-6BEB-4FAF-9619-BF9BE9909CFA}">
    <filterColumn colId="0" hiddenButton="1"/>
    <filterColumn colId="1" hiddenButton="1"/>
  </autoFilter>
  <tableColumns count="2">
    <tableColumn id="1" xr3:uid="{92FDE3DF-EAC0-4CA6-A5B4-E15BAAC4A01D}" name="LO Number" dataDxfId="95"/>
    <tableColumn id="2" xr3:uid="{A384CFCB-55B0-46B7-AF9A-FAAC6022096A}" name="LO Description" dataDxfId="94"/>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202SPS_Assess" displayName="_6202SPS_Assess" ref="C37:H41" totalsRowShown="0" headerRowDxfId="9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92"/>
    <tableColumn id="2" xr3:uid="{390EF809-FA62-405F-B84C-B2AD571CEBAA}" name="Assessment Type" dataDxfId="91"/>
    <tableColumn id="7" xr3:uid="{2B1618E6-AA98-4A15-AE0C-79993F1BAFB7}" name="Assessment Specific" dataDxfId="90"/>
    <tableColumn id="3" xr3:uid="{138C3352-0967-40A6-A5BE-4B32DEC01ACB}" name="Assessment Description" dataDxfId="89"/>
    <tableColumn id="4" xr3:uid="{F4B4B6BF-3460-42E3-849C-1BBE242E83C3}" name="Weighting" dataDxfId="88"/>
    <tableColumn id="5" xr3:uid="{E52307F9-F56A-42FC-9A76-6A630F2C5B71}" name="Due Week" dataDxfId="87"/>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202SPS_Weekly" displayName="_620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86"/>
    <tableColumn id="2" xr3:uid="{1B7B234D-0DD9-4913-9C62-18CC4E0FD5D6}" name="Week Number" dataDxfId="85"/>
    <tableColumn id="3" xr3:uid="{FDA6287D-7D09-41DC-96F1-E9BCD4B11D2E}" name="Weekly Content 1" dataDxfId="84"/>
    <tableColumn id="4" xr3:uid="{C104D628-2E09-432B-BC7A-B7E29838D1BD}" name="Weekly Content 2" dataDxfId="83"/>
    <tableColumn id="5" xr3:uid="{6CD950CC-83A5-4FD3-93FC-B284F6F6350E}" name="Weekly Content 3" dataDxfId="82"/>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202SPS_Hours" displayName="_6202SPS_Hours" ref="C18:D24" totalsRowShown="0">
  <autoFilter ref="C18:D24" xr:uid="{B71A3569-AA65-4A4E-98A2-885F5C38B46D}">
    <filterColumn colId="0" hiddenButton="1"/>
    <filterColumn colId="1" hiddenButton="1"/>
  </autoFilter>
  <tableColumns count="2">
    <tableColumn id="1" xr3:uid="{27F817B7-6395-4976-9120-60D5C9775BA5}" name="Component" dataDxfId="81"/>
    <tableColumn id="2" xr3:uid="{D9B68E50-AFDD-4B94-80F2-BAB157C2FF40}" name="Contact Hours" dataDxfId="80"/>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202SPS_Mapping" displayName="_6202SPS_Mapping" ref="C45:F56" totalsRowShown="0" headerRowDxfId="79" dataDxfId="78">
  <autoFilter ref="C45:F5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77"/>
    <tableColumn id="2" xr3:uid="{CF29F699-8C1A-4AC4-A563-FCBB128AC8F3}" name="LO Number" dataDxfId="76"/>
    <tableColumn id="3" xr3:uid="{B1082C18-E8C1-42F9-B74D-584EBA4A0A39}" name="Graduate Skills Category" dataDxfId="75"/>
    <tableColumn id="4" xr3:uid="{BD6D6488-ABFD-45B6-B06F-748690280986}" name="Graduate Skill" dataDxfId="74"/>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202SPS_Aims" displayName="_6202SPS_Aims" ref="F6:F8" totalsRowShown="0" dataDxfId="73">
  <autoFilter ref="F6:F8" xr:uid="{9552138F-2332-4BC4-A585-0E13162881A5}"/>
  <tableColumns count="1">
    <tableColumn id="1" xr3:uid="{E2B338AF-53C9-469A-B45D-DF4BE4CCBDD0}" name="Aims" dataDxfId="72"/>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202SPS_Syllabus" displayName="_6202SPS_Syllabus" ref="F10:F13" totalsRowShown="0" dataDxfId="71">
  <autoFilter ref="F10:F13" xr:uid="{94F18F67-3F10-4F6E-A953-4FE3399B07F2}"/>
  <tableColumns count="1">
    <tableColumn id="1" xr3:uid="{0B585185-EFA9-44AB-A953-91DF09E1C8F4}" name="Outline Syllabus" dataDxfId="70"/>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202SPS_Overview" displayName="_6202SPS_Overview" ref="F15:F20" totalsRowShown="0" dataDxfId="69">
  <autoFilter ref="F15:F20" xr:uid="{1B2BCD7B-6C15-4B1C-86BC-48FF83D8F225}"/>
  <tableColumns count="1">
    <tableColumn id="1" xr3:uid="{8DA5C005-FC9F-4CBE-A281-B2B92A53526A}" name="Module Overview" dataDxfId="68"/>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202SPS_Notes" displayName="_6202SPS_Notes" ref="F22:F33" totalsRowShown="0" dataDxfId="67">
  <autoFilter ref="F22:F33" xr:uid="{D5968C0A-6D7E-4221-87EE-78A85A4039B3}"/>
  <tableColumns count="1">
    <tableColumn id="1" xr3:uid="{D67854B5-D179-408B-A477-7F6E3033D84B}" name="Additional Information/Notes" dataDxfId="66"/>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203SPS_Meta" displayName="_6203SPS_Meta" ref="C6:D14" totalsRowShown="0">
  <autoFilter ref="C6:D14" xr:uid="{CD75D2A7-14B1-4ABD-B64D-6E875F9BC652}">
    <filterColumn colId="0" hiddenButton="1"/>
    <filterColumn colId="1" hiddenButton="1"/>
  </autoFilter>
  <tableColumns count="2">
    <tableColumn id="1" xr3:uid="{DC5E8FB2-F1EF-4C76-ADAD-8DF1D4236058}" name="Module Data" dataDxfId="65"/>
    <tableColumn id="2" xr3:uid="{3CEC4644-C90E-484A-BB04-BC7E2522484B}" name="Details" dataDxfId="64"/>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203SPS_LO" displayName="_6203SPS_LO" ref="C28:D33" totalsRowShown="0" headerRowDxfId="63">
  <autoFilter ref="C28:D33" xr:uid="{22316987-6BEB-4FAF-9619-BF9BE9909CFA}">
    <filterColumn colId="0" hiddenButton="1"/>
    <filterColumn colId="1" hiddenButton="1"/>
  </autoFilter>
  <tableColumns count="2">
    <tableColumn id="1" xr3:uid="{96E1C0A4-F310-4104-877A-16C95A9DF8F8}" name="LO Number" dataDxfId="62"/>
    <tableColumn id="2" xr3:uid="{5193B932-1BB4-4665-BB60-1094CB27D2FB}" name="LO Description" dataDxfId="61"/>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203SPS_Assess" displayName="_6203SPS_Assess" ref="C37:H41" totalsRowShown="0" headerRowDxfId="6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59"/>
    <tableColumn id="2" xr3:uid="{F6CC8F23-24C9-49E1-A7E1-F0C42C5E4062}" name="Assessment Type" dataDxfId="58"/>
    <tableColumn id="7" xr3:uid="{23445359-B102-481A-9626-644EC1147971}" name="Assessment Specific" dataDxfId="57"/>
    <tableColumn id="3" xr3:uid="{09F68760-DB1D-47DA-9C3B-991E85819122}" name="Assessment Description" dataDxfId="56"/>
    <tableColumn id="4" xr3:uid="{9C4EFAF0-0549-4906-AB40-C8046612A4D0}" name="Weighting" dataDxfId="55"/>
    <tableColumn id="5" xr3:uid="{6867F2EF-8B96-4C7F-A3F0-4AD115D6B611}" name="Due Week" dataDxfId="54"/>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203SPS_Weekly" displayName="_620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53"/>
    <tableColumn id="2" xr3:uid="{3DC0D0B8-ED93-4FAA-ACD1-6A257B8D7D8B}" name="Week Number" dataDxfId="52"/>
    <tableColumn id="3" xr3:uid="{396A1CD9-0EA8-4576-AC19-41A37C40C78C}" name="Weekly Content 1" dataDxfId="51"/>
    <tableColumn id="4" xr3:uid="{27E6FFD2-4BB2-4380-B643-929F8059E10C}" name="Weekly Content 2" dataDxfId="50"/>
    <tableColumn id="5" xr3:uid="{5D410880-EC3B-476E-B727-61773B3F1720}" name="Weekly Content 3" dataDxfId="49"/>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203SPS_Hours" displayName="_6203SPS_Hours" ref="C18:D24" totalsRowShown="0">
  <autoFilter ref="C18:D24" xr:uid="{B71A3569-AA65-4A4E-98A2-885F5C38B46D}">
    <filterColumn colId="0" hiddenButton="1"/>
    <filterColumn colId="1" hiddenButton="1"/>
  </autoFilter>
  <tableColumns count="2">
    <tableColumn id="1" xr3:uid="{50ADF208-83C1-48D5-9F5C-65E697F266B7}" name="Component" dataDxfId="48"/>
    <tableColumn id="2" xr3:uid="{1EADC3A3-1557-4323-A40A-C84AEA0F188A}" name="Contact Hours" dataDxfId="47"/>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203SPS_Mapping" displayName="_6203SPS_Mapping" ref="C45:F56" totalsRowShown="0" headerRowDxfId="46" dataDxfId="45">
  <autoFilter ref="C45:F5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44"/>
    <tableColumn id="2" xr3:uid="{162D175A-F572-46B3-8399-9FF334864C28}" name="LO Number" dataDxfId="43"/>
    <tableColumn id="3" xr3:uid="{4B8F87D6-8076-4256-870F-FFB0D542729A}" name="Graduate Skills Category" dataDxfId="42"/>
    <tableColumn id="4" xr3:uid="{3DB5254F-E5B1-45EA-B3FC-772579673F08}" name="Graduate Skill" dataDxfId="41"/>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203SPS_Aims" displayName="_6203SPS_Aims" ref="F6:F8" totalsRowShown="0" dataDxfId="40">
  <autoFilter ref="F6:F8" xr:uid="{9552138F-2332-4BC4-A585-0E13162881A5}"/>
  <tableColumns count="1">
    <tableColumn id="1" xr3:uid="{D5911F00-3A12-4884-94FA-2461F2E6A773}" name="Aims" dataDxfId="39"/>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203SPS_Syllabus" displayName="_6203SPS_Syllabus" ref="F10:F13" totalsRowShown="0" dataDxfId="38">
  <autoFilter ref="F10:F13" xr:uid="{94F18F67-3F10-4F6E-A953-4FE3399B07F2}"/>
  <tableColumns count="1">
    <tableColumn id="1" xr3:uid="{1984609B-7A7C-44AA-A114-5466EF451351}" name="Outline Syllabus" dataDxfId="37"/>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203SPS_Overview" displayName="_6203SPS_Overview" ref="F15:F20" totalsRowShown="0" dataDxfId="36">
  <autoFilter ref="F15:F20" xr:uid="{1B2BCD7B-6C15-4B1C-86BC-48FF83D8F225}"/>
  <tableColumns count="1">
    <tableColumn id="1" xr3:uid="{19A46962-3EFC-4EE2-ACCE-5363E30EDC4F}" name="Module Overview" dataDxfId="35"/>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203SPS_Notes" displayName="_6203SPS_Notes" ref="F22:F33" totalsRowShown="0" dataDxfId="34">
  <autoFilter ref="F22:F33" xr:uid="{D5968C0A-6D7E-4221-87EE-78A85A4039B3}"/>
  <tableColumns count="1">
    <tableColumn id="1" xr3:uid="{EEDA3204-13C4-4B95-A550-B650C09B689D}" name="Additional Information/Notes" dataDxfId="33"/>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6096SPS_Meta" displayName="_6096SPS_Meta" ref="C6:D14" totalsRowShown="0">
  <autoFilter ref="C6:D14" xr:uid="{CD75D2A7-14B1-4ABD-B64D-6E875F9BC652}">
    <filterColumn colId="0" hiddenButton="1"/>
    <filterColumn colId="1" hiddenButton="1"/>
  </autoFilter>
  <tableColumns count="2">
    <tableColumn id="1" xr3:uid="{644E4444-F68A-4E74-BD5D-8748CD05A7D2}" name="Module Data" dataDxfId="32"/>
    <tableColumn id="2" xr3:uid="{AF6CCCE6-633B-4669-B570-EB4F893B50C4}" name="Details" dataDxfId="31"/>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6096SPS_LO" displayName="_6096SPS_LO" ref="C28:D33" totalsRowShown="0" headerRowDxfId="30">
  <autoFilter ref="C28:D33" xr:uid="{22316987-6BEB-4FAF-9619-BF9BE9909CFA}">
    <filterColumn colId="0" hiddenButton="1"/>
    <filterColumn colId="1" hiddenButton="1"/>
  </autoFilter>
  <tableColumns count="2">
    <tableColumn id="1" xr3:uid="{589112ED-5C99-4CD7-912A-F216AEC245F3}" name="LO Number" dataDxfId="29"/>
    <tableColumn id="2" xr3:uid="{D42319CA-BEAF-49C8-8EC7-B45F24386E7A}" name="LO Description" dataDxfId="28"/>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6096SPS_Assess" displayName="_6096SPS_Assess" ref="C37:H39" totalsRowShown="0" headerRowDxfId="27">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26"/>
    <tableColumn id="2" xr3:uid="{0C168E40-BC62-40F7-8494-D9D585BBF5DD}" name="Assessment Type" dataDxfId="25"/>
    <tableColumn id="7" xr3:uid="{03042C7C-BE5A-4EDB-B18A-F162688CAFDA}" name="Assessment Specific" dataDxfId="24"/>
    <tableColumn id="3" xr3:uid="{B536E57C-91CB-491F-8850-5E1F4FFB6EC2}" name="Assessment Description" dataDxfId="23"/>
    <tableColumn id="4" xr3:uid="{CFEF4DCA-7026-4AB8-9930-965F672B21EC}" name="Weighting" dataDxfId="22"/>
    <tableColumn id="5" xr3:uid="{268A91DF-58B1-43BF-A340-0E1D33705BAA}" name="Due Week" dataDxfId="21"/>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6096SPS_Weekly" displayName="_6096SPS_Weekly" ref="B86:F98" totalsRowShown="0">
  <autoFilter ref="B86:F98"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0"/>
    <tableColumn id="2" xr3:uid="{916AD303-2708-4E40-8E0C-DE9D347BA8EA}" name="Week Number" dataDxfId="19"/>
    <tableColumn id="3" xr3:uid="{66580F8A-FF82-4503-9EBF-1B44DD45F9F5}" name="Weekly Content 1" dataDxfId="18"/>
    <tableColumn id="4" xr3:uid="{5E6D35EA-634F-45B1-8A96-068CB99E3BA7}" name="Weekly Content 2" dataDxfId="17"/>
    <tableColumn id="5" xr3:uid="{25F8B45E-A68A-40F6-AADD-D3228D0F228B}" name="Weekly Content 3" dataDxfId="16"/>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6096SPS_Hours" displayName="_6096SPS_Hours" ref="C18:D24" totalsRowShown="0">
  <autoFilter ref="C18:D24" xr:uid="{B71A3569-AA65-4A4E-98A2-885F5C38B46D}">
    <filterColumn colId="0" hiddenButton="1"/>
    <filterColumn colId="1" hiddenButton="1"/>
  </autoFilter>
  <tableColumns count="2">
    <tableColumn id="1" xr3:uid="{E6DA5AB3-0374-477C-BB37-91CD5B04A8A7}" name="Component" dataDxfId="15"/>
    <tableColumn id="2" xr3:uid="{25171EA2-F360-4480-9A69-30F0637E5E19}" name="Contact Hours" dataDxfId="14"/>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6096SPS_Mapping" displayName="_6096SPS_Mapping" ref="C43:F83" totalsRowShown="0" headerRowDxfId="13" dataDxfId="12">
  <autoFilter ref="C43:F83"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11"/>
    <tableColumn id="2" xr3:uid="{220CCF7F-D01D-41B9-83FA-AB3772B56C47}" name="LO Number" dataDxfId="10"/>
    <tableColumn id="3" xr3:uid="{35876AFA-8C5D-4EB6-A40B-8013521A5A47}" name="Graduate Skills Category" dataDxfId="9"/>
    <tableColumn id="4" xr3:uid="{8CC8B0ED-B11D-43C6-AB11-C69764FE383C}" name="Graduate Skill" dataDxfId="8"/>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6096SPS_Aims" displayName="_6096SPS_Aims" ref="F6:F8" totalsRowShown="0" dataDxfId="7">
  <autoFilter ref="F6:F8" xr:uid="{9552138F-2332-4BC4-A585-0E13162881A5}"/>
  <tableColumns count="1">
    <tableColumn id="1" xr3:uid="{17C9A3A3-D0C1-421C-8D52-32617D054C2E}" name="Aims" dataDxfId="6"/>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6096SPS_Syllabus" displayName="_6096SPS_Syllabus" ref="F10:F13" totalsRowShown="0" dataDxfId="5">
  <autoFilter ref="F10:F13" xr:uid="{94F18F67-3F10-4F6E-A953-4FE3399B07F2}"/>
  <tableColumns count="1">
    <tableColumn id="1" xr3:uid="{D7FF23A0-D568-4D96-9868-A6319DCE887A}" name="Outline Syllabus" dataDxfId="4"/>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6096SPS_Overview" displayName="_6096SPS_Overview" ref="F15:F20" totalsRowShown="0" dataDxfId="3">
  <autoFilter ref="F15:F20" xr:uid="{1B2BCD7B-6C15-4B1C-86BC-48FF83D8F225}"/>
  <tableColumns count="1">
    <tableColumn id="1" xr3:uid="{E558D902-00D8-4FEB-8431-38F38D3FD8C5}" name="Module Overview" dataDxfId="2"/>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6096SPS_Notes" displayName="_6096SPS_Notes" ref="F22:F33" totalsRowShown="0" dataDxfId="1">
  <autoFilter ref="F22:F33" xr:uid="{D5968C0A-6D7E-4221-87EE-78A85A4039B3}"/>
  <tableColumns count="1">
    <tableColumn id="1" xr3:uid="{C6EF2F48-EFDC-40BF-8A10-F2C80BC78705}" name="Additional Information/Notes" dataDxfId="0"/>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38" dT="2026-07-21T09:39:01.88" personId="{17CCD943-2F8F-49DC-A70A-25C20F374024}" id="{A141EB10-B415-4A7A-82DA-FE0473DFBC67}">
    <text>make more of the lesson and the delivery, take the 6 week SOW out and/or the justification</text>
  </threadedComment>
  <threadedComment ref="F38" dT="2026-07-27T13:23:37.03" personId="{17CCD943-2F8F-49DC-A70A-25C20F374024}" id="{8453B69E-A466-4F26-A41C-55D3758FAFB7}" parentId="{A141EB10-B415-4A7A-82DA-FE0473DFBC67}">
    <text>highlight 5 aspects of your lesson plan, justify why you have done that, and a supportive reference.</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comments" Target="../comments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vmlDrawing" Target="../drawings/vmlDrawing1.vml"/><Relationship Id="rId1" Type="http://schemas.openxmlformats.org/officeDocument/2006/relationships/printerSettings" Target="../printerSettings/printerSettings9.bin"/><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92.xml"/><Relationship Id="rId1" Type="http://schemas.openxmlformats.org/officeDocument/2006/relationships/table" Target="../tables/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
  <dimension ref="B2:H84"/>
  <sheetViews>
    <sheetView showGridLines="0" zoomScale="85" zoomScaleNormal="85" workbookViewId="0">
      <selection activeCell="D14" sqref="D14"/>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4201SPS</v>
      </c>
      <c r="D2" s="20" t="str">
        <f>D8</f>
        <v xml:space="preserve">Professional Practice in Physical Education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79</v>
      </c>
      <c r="E7" s="4"/>
      <c r="F7" s="24"/>
    </row>
    <row r="8" spans="2:6" ht="195" x14ac:dyDescent="0.25">
      <c r="B8" s="2"/>
      <c r="C8" s="3" t="s">
        <v>5</v>
      </c>
      <c r="D8" s="21" t="s">
        <v>80</v>
      </c>
      <c r="E8" s="4"/>
      <c r="F8" s="31" t="s">
        <v>81</v>
      </c>
    </row>
    <row r="9" spans="2:6" x14ac:dyDescent="0.25">
      <c r="C9" s="3" t="s">
        <v>6</v>
      </c>
      <c r="D9" s="21">
        <v>20</v>
      </c>
      <c r="E9" s="4"/>
    </row>
    <row r="10" spans="2:6" x14ac:dyDescent="0.25">
      <c r="C10" s="3" t="s">
        <v>7</v>
      </c>
      <c r="D10" s="21">
        <v>1</v>
      </c>
      <c r="E10" s="4"/>
      <c r="F10" t="s">
        <v>8</v>
      </c>
    </row>
    <row r="11" spans="2:6" x14ac:dyDescent="0.25">
      <c r="C11" s="3" t="s">
        <v>9</v>
      </c>
      <c r="D11" s="21">
        <v>4</v>
      </c>
      <c r="E11" s="4"/>
      <c r="F11" s="24" t="s">
        <v>82</v>
      </c>
    </row>
    <row r="12" spans="2:6" x14ac:dyDescent="0.25">
      <c r="C12" s="3" t="s">
        <v>10</v>
      </c>
      <c r="D12" s="21" t="s">
        <v>83</v>
      </c>
      <c r="E12" s="4"/>
      <c r="F12" s="24" t="s">
        <v>84</v>
      </c>
    </row>
    <row r="13" spans="2:6" x14ac:dyDescent="0.25">
      <c r="C13" s="3" t="s">
        <v>11</v>
      </c>
      <c r="D13" s="21" t="s">
        <v>85</v>
      </c>
      <c r="E13" s="4"/>
      <c r="F13" s="24"/>
    </row>
    <row r="14" spans="2:6" x14ac:dyDescent="0.25">
      <c r="C14" s="3" t="s">
        <v>12</v>
      </c>
      <c r="D14" s="21" t="s">
        <v>86</v>
      </c>
      <c r="E14" s="4"/>
    </row>
    <row r="15" spans="2:6" x14ac:dyDescent="0.25">
      <c r="C15" s="3"/>
      <c r="D15" s="4"/>
      <c r="E15" s="4"/>
      <c r="F15" t="s">
        <v>13</v>
      </c>
    </row>
    <row r="16" spans="2:6" ht="90" x14ac:dyDescent="0.25">
      <c r="C16" s="3"/>
      <c r="D16" s="4"/>
      <c r="E16" s="4"/>
      <c r="F16" s="31" t="s">
        <v>87</v>
      </c>
    </row>
    <row r="17" spans="3:6" ht="105" x14ac:dyDescent="0.25">
      <c r="C17" s="5" t="s">
        <v>14</v>
      </c>
      <c r="D17" s="4"/>
      <c r="E17" s="4"/>
      <c r="F17" s="31" t="s">
        <v>88</v>
      </c>
    </row>
    <row r="18" spans="3:6" ht="135" x14ac:dyDescent="0.25">
      <c r="C18" s="3" t="s">
        <v>15</v>
      </c>
      <c r="D18" s="1" t="s">
        <v>14</v>
      </c>
      <c r="E18" s="4"/>
      <c r="F18" s="31" t="s">
        <v>89</v>
      </c>
    </row>
    <row r="19" spans="3:6" x14ac:dyDescent="0.25">
      <c r="C19" s="3" t="s">
        <v>16</v>
      </c>
      <c r="D19" s="22">
        <v>20</v>
      </c>
      <c r="E19" s="4"/>
      <c r="F19" s="24"/>
    </row>
    <row r="20" spans="3:6" x14ac:dyDescent="0.25">
      <c r="C20" s="3" t="s">
        <v>17</v>
      </c>
      <c r="D20" s="22"/>
      <c r="E20" s="4"/>
      <c r="F20" s="24"/>
    </row>
    <row r="21" spans="3:6" x14ac:dyDescent="0.25">
      <c r="C21" s="3" t="s">
        <v>18</v>
      </c>
      <c r="D21" s="22">
        <v>10</v>
      </c>
      <c r="E21" s="4"/>
    </row>
    <row r="22" spans="3:6" x14ac:dyDescent="0.25">
      <c r="C22" s="3" t="s">
        <v>19</v>
      </c>
      <c r="D22" s="22">
        <v>10</v>
      </c>
      <c r="E22" s="4"/>
      <c r="F22" t="s">
        <v>20</v>
      </c>
    </row>
    <row r="23" spans="3:6" x14ac:dyDescent="0.25">
      <c r="C23" s="3" t="s">
        <v>21</v>
      </c>
      <c r="D23" s="22"/>
      <c r="E23" s="4"/>
      <c r="F23" s="24" t="s">
        <v>90</v>
      </c>
    </row>
    <row r="24" spans="3:6" x14ac:dyDescent="0.25">
      <c r="C24" s="3" t="s">
        <v>22</v>
      </c>
      <c r="D24" s="1">
        <f>SUM(D19:D23)</f>
        <v>40</v>
      </c>
      <c r="E24" s="4"/>
      <c r="F24" s="24"/>
    </row>
    <row r="25" spans="3:6" x14ac:dyDescent="0.25">
      <c r="F25" s="24"/>
    </row>
    <row r="26" spans="3:6" x14ac:dyDescent="0.25">
      <c r="F26" s="24"/>
    </row>
    <row r="27" spans="3:6" ht="18.75" x14ac:dyDescent="0.25">
      <c r="C27" s="5" t="s">
        <v>23</v>
      </c>
      <c r="D27" s="12" t="s">
        <v>24</v>
      </c>
      <c r="F27" s="24"/>
    </row>
    <row r="28" spans="3:6" x14ac:dyDescent="0.25">
      <c r="C28" s="3" t="s">
        <v>25</v>
      </c>
      <c r="D28" s="3" t="s">
        <v>26</v>
      </c>
      <c r="E28" s="3"/>
      <c r="F28" s="24"/>
    </row>
    <row r="29" spans="3:6" ht="45" x14ac:dyDescent="0.25">
      <c r="C29" s="3" t="s">
        <v>27</v>
      </c>
      <c r="D29" s="21" t="s">
        <v>91</v>
      </c>
      <c r="E29" s="4"/>
      <c r="F29" s="24"/>
    </row>
    <row r="30" spans="3:6" ht="45" x14ac:dyDescent="0.25">
      <c r="C30" s="3" t="s">
        <v>28</v>
      </c>
      <c r="D30" s="21" t="s">
        <v>92</v>
      </c>
      <c r="E30" s="4"/>
      <c r="F30" s="24"/>
    </row>
    <row r="31" spans="3:6" ht="30" x14ac:dyDescent="0.25">
      <c r="C31" s="3" t="s">
        <v>29</v>
      </c>
      <c r="D31" s="21" t="s">
        <v>93</v>
      </c>
      <c r="E31" s="4"/>
      <c r="F31" s="24"/>
    </row>
    <row r="32" spans="3:6" x14ac:dyDescent="0.25">
      <c r="C32" s="3" t="s">
        <v>30</v>
      </c>
      <c r="D32" s="21"/>
      <c r="E32" s="4"/>
      <c r="F32" s="24"/>
    </row>
    <row r="33" spans="3:8" x14ac:dyDescent="0.25">
      <c r="C33" s="3" t="s">
        <v>31</v>
      </c>
      <c r="D33" s="21"/>
      <c r="E33" s="4"/>
      <c r="F33" s="24"/>
    </row>
    <row r="36" spans="3:8" ht="18.75" x14ac:dyDescent="0.25">
      <c r="C36" s="5" t="s">
        <v>32</v>
      </c>
    </row>
    <row r="37" spans="3:8" x14ac:dyDescent="0.25">
      <c r="C37" s="3" t="s">
        <v>33</v>
      </c>
      <c r="D37" s="3" t="s">
        <v>34</v>
      </c>
      <c r="E37" s="3" t="s">
        <v>35</v>
      </c>
      <c r="F37" s="3" t="s">
        <v>36</v>
      </c>
      <c r="G37" s="3" t="s">
        <v>37</v>
      </c>
      <c r="H37" s="3" t="s">
        <v>38</v>
      </c>
    </row>
    <row r="38" spans="3:8" ht="30" x14ac:dyDescent="0.25">
      <c r="C38" s="3" t="s">
        <v>39</v>
      </c>
      <c r="D38" s="21" t="s">
        <v>94</v>
      </c>
      <c r="E38" s="21" t="s">
        <v>95</v>
      </c>
      <c r="F38" s="21" t="s">
        <v>96</v>
      </c>
      <c r="G38" s="23">
        <v>1</v>
      </c>
      <c r="H38" s="21">
        <v>12</v>
      </c>
    </row>
    <row r="39" spans="3:8" x14ac:dyDescent="0.25">
      <c r="C39" s="3" t="s">
        <v>43</v>
      </c>
      <c r="D39" s="21"/>
      <c r="E39" s="21"/>
      <c r="F39" s="21"/>
      <c r="G39" s="23"/>
      <c r="H39" s="21"/>
    </row>
    <row r="40" spans="3:8" x14ac:dyDescent="0.25">
      <c r="C40" s="3" t="s">
        <v>44</v>
      </c>
      <c r="D40" s="24"/>
      <c r="E40" s="24"/>
      <c r="F40" s="24"/>
      <c r="G40" s="24"/>
      <c r="H40" s="24"/>
    </row>
    <row r="41" spans="3:8" x14ac:dyDescent="0.25">
      <c r="C41" s="3" t="s">
        <v>45</v>
      </c>
      <c r="D41" s="24"/>
      <c r="E41" s="24"/>
      <c r="F41" s="24"/>
      <c r="G41" s="24"/>
      <c r="H41" s="24"/>
    </row>
    <row r="42" spans="3:8" x14ac:dyDescent="0.25">
      <c r="C42" s="3"/>
    </row>
    <row r="44" spans="3:8" ht="18.75" x14ac:dyDescent="0.25">
      <c r="C44" s="5" t="s">
        <v>46</v>
      </c>
      <c r="D44" s="12"/>
    </row>
    <row r="45" spans="3:8" x14ac:dyDescent="0.25">
      <c r="C45" s="1" t="s">
        <v>33</v>
      </c>
      <c r="D45" s="1" t="s">
        <v>25</v>
      </c>
      <c r="E45" s="1" t="s">
        <v>47</v>
      </c>
      <c r="F45" s="1" t="s">
        <v>48</v>
      </c>
    </row>
    <row r="46" spans="3:8" x14ac:dyDescent="0.25">
      <c r="C46" s="25" t="s">
        <v>39</v>
      </c>
      <c r="D46" s="24" t="s">
        <v>27</v>
      </c>
      <c r="E46" s="24" t="s">
        <v>49</v>
      </c>
      <c r="F46" s="24" t="s">
        <v>50</v>
      </c>
    </row>
    <row r="47" spans="3:8" x14ac:dyDescent="0.25">
      <c r="C47" s="25" t="s">
        <v>39</v>
      </c>
      <c r="D47" s="24" t="s">
        <v>27</v>
      </c>
      <c r="E47" s="24" t="s">
        <v>49</v>
      </c>
      <c r="F47" s="24" t="s">
        <v>51</v>
      </c>
    </row>
    <row r="48" spans="3:8" x14ac:dyDescent="0.25">
      <c r="C48" s="25" t="s">
        <v>39</v>
      </c>
      <c r="D48" s="24" t="s">
        <v>27</v>
      </c>
      <c r="E48" s="24" t="s">
        <v>52</v>
      </c>
      <c r="F48" s="24" t="s">
        <v>53</v>
      </c>
    </row>
    <row r="49" spans="2:6" x14ac:dyDescent="0.25">
      <c r="C49" s="25" t="s">
        <v>43</v>
      </c>
      <c r="D49" s="24" t="s">
        <v>28</v>
      </c>
      <c r="E49" s="24" t="s">
        <v>54</v>
      </c>
      <c r="F49" s="24" t="s">
        <v>55</v>
      </c>
    </row>
    <row r="50" spans="2:6" x14ac:dyDescent="0.25">
      <c r="C50" s="25" t="s">
        <v>43</v>
      </c>
      <c r="D50" s="24" t="s">
        <v>28</v>
      </c>
      <c r="E50" s="24" t="s">
        <v>56</v>
      </c>
      <c r="F50" s="24" t="s">
        <v>57</v>
      </c>
    </row>
    <row r="51" spans="2:6" x14ac:dyDescent="0.25">
      <c r="C51" s="25" t="s">
        <v>43</v>
      </c>
      <c r="D51" s="24"/>
      <c r="E51" s="24"/>
      <c r="F51" s="24"/>
    </row>
    <row r="52" spans="2:6" x14ac:dyDescent="0.25">
      <c r="C52" s="25" t="s">
        <v>44</v>
      </c>
      <c r="D52" s="24"/>
      <c r="E52" s="24"/>
      <c r="F52" s="24"/>
    </row>
    <row r="53" spans="2:6" x14ac:dyDescent="0.25">
      <c r="C53" s="25" t="s">
        <v>44</v>
      </c>
      <c r="D53" s="24"/>
      <c r="E53" s="24"/>
      <c r="F53" s="24"/>
    </row>
    <row r="54" spans="2:6" x14ac:dyDescent="0.25">
      <c r="C54" s="25" t="s">
        <v>44</v>
      </c>
      <c r="D54" s="24"/>
      <c r="E54" s="24"/>
      <c r="F54" s="24"/>
    </row>
    <row r="55" spans="2:6" x14ac:dyDescent="0.25">
      <c r="C55" s="25" t="s">
        <v>45</v>
      </c>
      <c r="D55" s="24"/>
      <c r="E55" s="24"/>
      <c r="F55" s="24"/>
    </row>
    <row r="56" spans="2:6" x14ac:dyDescent="0.25">
      <c r="C56" s="25" t="s">
        <v>45</v>
      </c>
      <c r="D56" s="24"/>
      <c r="E56" s="24"/>
      <c r="F56" s="24"/>
    </row>
    <row r="59" spans="2:6" ht="18.75" x14ac:dyDescent="0.25">
      <c r="C59" s="5" t="s">
        <v>58</v>
      </c>
    </row>
    <row r="60" spans="2:6" x14ac:dyDescent="0.25">
      <c r="B60" t="s">
        <v>59</v>
      </c>
      <c r="C60" s="1" t="s">
        <v>60</v>
      </c>
      <c r="D60" s="1" t="s">
        <v>61</v>
      </c>
      <c r="E60" s="1" t="s">
        <v>62</v>
      </c>
      <c r="F60" s="1" t="s">
        <v>63</v>
      </c>
    </row>
    <row r="61" spans="2:6" x14ac:dyDescent="0.25">
      <c r="B61" s="7">
        <v>1</v>
      </c>
      <c r="C61" s="1">
        <v>1</v>
      </c>
      <c r="D61" s="21" t="s">
        <v>97</v>
      </c>
      <c r="E61" s="21" t="s">
        <v>98</v>
      </c>
      <c r="F61" s="21" t="s">
        <v>99</v>
      </c>
    </row>
    <row r="62" spans="2:6" ht="30" x14ac:dyDescent="0.25">
      <c r="B62" s="7">
        <v>1</v>
      </c>
      <c r="C62" s="1">
        <v>2</v>
      </c>
      <c r="D62" s="31" t="s">
        <v>100</v>
      </c>
      <c r="E62" s="21" t="s">
        <v>101</v>
      </c>
      <c r="F62" s="21" t="s">
        <v>99</v>
      </c>
    </row>
    <row r="63" spans="2:6" ht="30" x14ac:dyDescent="0.25">
      <c r="B63" s="7">
        <v>1</v>
      </c>
      <c r="C63" s="1">
        <v>3</v>
      </c>
      <c r="D63" s="31" t="s">
        <v>102</v>
      </c>
      <c r="E63" s="21" t="s">
        <v>101</v>
      </c>
      <c r="F63" s="21" t="s">
        <v>99</v>
      </c>
    </row>
    <row r="64" spans="2:6" ht="30" x14ac:dyDescent="0.25">
      <c r="B64" s="7">
        <v>1</v>
      </c>
      <c r="C64" s="1">
        <v>4</v>
      </c>
      <c r="D64" s="31" t="s">
        <v>103</v>
      </c>
      <c r="E64" s="30" t="s">
        <v>104</v>
      </c>
      <c r="F64" s="21" t="s">
        <v>99</v>
      </c>
    </row>
    <row r="65" spans="2:6" ht="30" x14ac:dyDescent="0.25">
      <c r="B65" s="7">
        <v>1</v>
      </c>
      <c r="C65" s="1">
        <v>5</v>
      </c>
      <c r="D65" s="31" t="s">
        <v>105</v>
      </c>
      <c r="E65" s="31" t="s">
        <v>106</v>
      </c>
      <c r="F65" s="21" t="s">
        <v>107</v>
      </c>
    </row>
    <row r="66" spans="2:6" x14ac:dyDescent="0.25">
      <c r="B66" s="7">
        <v>1</v>
      </c>
      <c r="C66" s="1">
        <v>6</v>
      </c>
      <c r="D66" s="21" t="s">
        <v>108</v>
      </c>
      <c r="E66" s="21" t="s">
        <v>109</v>
      </c>
      <c r="F66" s="21" t="s">
        <v>110</v>
      </c>
    </row>
    <row r="67" spans="2:6" x14ac:dyDescent="0.25">
      <c r="B67" s="7">
        <v>1</v>
      </c>
      <c r="C67" s="1">
        <v>7</v>
      </c>
      <c r="D67" s="21"/>
      <c r="E67" s="21"/>
      <c r="F67" s="21"/>
    </row>
    <row r="68" spans="2:6" x14ac:dyDescent="0.25">
      <c r="B68" s="7">
        <v>1</v>
      </c>
      <c r="C68" s="1">
        <v>8</v>
      </c>
      <c r="D68" s="21" t="s">
        <v>111</v>
      </c>
      <c r="E68" s="21" t="s">
        <v>109</v>
      </c>
      <c r="F68" s="21" t="s">
        <v>110</v>
      </c>
    </row>
    <row r="69" spans="2:6" x14ac:dyDescent="0.25">
      <c r="B69" s="7">
        <v>1</v>
      </c>
      <c r="C69" s="1">
        <v>9</v>
      </c>
      <c r="D69" s="21" t="s">
        <v>108</v>
      </c>
      <c r="E69" s="21" t="s">
        <v>109</v>
      </c>
      <c r="F69" s="21" t="s">
        <v>110</v>
      </c>
    </row>
    <row r="70" spans="2:6" x14ac:dyDescent="0.25">
      <c r="B70" s="7">
        <v>1</v>
      </c>
      <c r="C70" s="1">
        <v>10</v>
      </c>
      <c r="D70" s="30" t="s">
        <v>112</v>
      </c>
      <c r="E70" s="21" t="s">
        <v>113</v>
      </c>
      <c r="F70" s="21" t="s">
        <v>107</v>
      </c>
    </row>
    <row r="71" spans="2:6" x14ac:dyDescent="0.25">
      <c r="B71" s="7">
        <v>1</v>
      </c>
      <c r="C71" s="1">
        <v>11</v>
      </c>
      <c r="D71" s="21" t="s">
        <v>112</v>
      </c>
      <c r="E71" s="21" t="s">
        <v>113</v>
      </c>
      <c r="F71" s="21" t="s">
        <v>107</v>
      </c>
    </row>
    <row r="72" spans="2:6" x14ac:dyDescent="0.25">
      <c r="B72" s="7">
        <v>1</v>
      </c>
      <c r="C72" s="1">
        <v>12</v>
      </c>
      <c r="D72" s="21" t="s">
        <v>112</v>
      </c>
      <c r="E72" s="21" t="s">
        <v>113</v>
      </c>
      <c r="F72" s="21" t="s">
        <v>114</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5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D46:D56</xm:sqref>
        </x14:dataValidation>
        <x14:dataValidation type="list" allowBlank="1" showInputMessage="1" showErrorMessage="1" xr:uid="{EB948922-0A22-4BD6-8094-4C6953146F85}">
          <x14:formula1>
            <xm:f>LISTS!$J$7:$J$16</xm:f>
          </x14:formula1>
          <xm:sqref>E46:E56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B7E33-B46B-43E7-8792-27E7807435CC}">
  <sheetPr codeName="Sheet2"/>
  <dimension ref="B2:H84"/>
  <sheetViews>
    <sheetView showGridLines="0" zoomScale="85" zoomScaleNormal="85" workbookViewId="0">
      <selection activeCell="D19" sqref="D19"/>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4202SPS</v>
      </c>
      <c r="D2" s="20" t="str">
        <f>D8</f>
        <v>Learning in PE and Sport Contexts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338</v>
      </c>
      <c r="E7" s="4"/>
      <c r="F7" s="24"/>
    </row>
    <row r="8" spans="2:6" x14ac:dyDescent="0.25">
      <c r="B8" s="2"/>
      <c r="C8" s="3" t="s">
        <v>5</v>
      </c>
      <c r="D8" s="21" t="s">
        <v>339</v>
      </c>
      <c r="E8" s="4"/>
      <c r="F8" s="31"/>
    </row>
    <row r="9" spans="2:6" x14ac:dyDescent="0.25">
      <c r="C9" s="3" t="s">
        <v>6</v>
      </c>
      <c r="D9" s="21"/>
      <c r="E9" s="4"/>
    </row>
    <row r="10" spans="2:6" x14ac:dyDescent="0.25">
      <c r="C10" s="3" t="s">
        <v>7</v>
      </c>
      <c r="D10" s="21"/>
      <c r="E10" s="4"/>
      <c r="F10" t="s">
        <v>8</v>
      </c>
    </row>
    <row r="11" spans="2:6" x14ac:dyDescent="0.25">
      <c r="C11" s="3" t="s">
        <v>9</v>
      </c>
      <c r="D11" s="21"/>
      <c r="E11" s="4"/>
      <c r="F11" s="24"/>
    </row>
    <row r="12" spans="2:6" x14ac:dyDescent="0.25">
      <c r="C12" s="3" t="s">
        <v>10</v>
      </c>
      <c r="D12" s="21"/>
      <c r="E12" s="4"/>
      <c r="F12" s="24"/>
    </row>
    <row r="13" spans="2:6" x14ac:dyDescent="0.25">
      <c r="C13" s="3" t="s">
        <v>11</v>
      </c>
      <c r="D13" s="21"/>
      <c r="E13" s="4"/>
      <c r="F13" s="24"/>
    </row>
    <row r="14" spans="2:6" x14ac:dyDescent="0.25">
      <c r="C14" s="3" t="s">
        <v>12</v>
      </c>
      <c r="D14" s="21"/>
      <c r="E14" s="4"/>
    </row>
    <row r="15" spans="2:6" x14ac:dyDescent="0.25">
      <c r="C15" s="3"/>
      <c r="D15" s="4"/>
      <c r="E15" s="4"/>
      <c r="F15" t="s">
        <v>13</v>
      </c>
    </row>
    <row r="16" spans="2:6" x14ac:dyDescent="0.25">
      <c r="C16" s="3"/>
      <c r="D16" s="4"/>
      <c r="E16" s="4"/>
      <c r="F16" s="31"/>
    </row>
    <row r="17" spans="3:6" ht="18.75" x14ac:dyDescent="0.25">
      <c r="C17" s="5" t="s">
        <v>14</v>
      </c>
      <c r="D17" s="4"/>
      <c r="E17" s="4"/>
      <c r="F17" s="31"/>
    </row>
    <row r="18" spans="3:6" x14ac:dyDescent="0.25">
      <c r="C18" s="3" t="s">
        <v>15</v>
      </c>
      <c r="D18" s="1" t="s">
        <v>14</v>
      </c>
      <c r="E18" s="4"/>
      <c r="F18" s="31"/>
    </row>
    <row r="19" spans="3:6" x14ac:dyDescent="0.25">
      <c r="C19" s="3" t="s">
        <v>16</v>
      </c>
      <c r="D19" s="22"/>
      <c r="E19" s="4"/>
      <c r="F19" s="24"/>
    </row>
    <row r="20" spans="3:6" x14ac:dyDescent="0.25">
      <c r="C20" s="3" t="s">
        <v>17</v>
      </c>
      <c r="D20" s="22"/>
      <c r="E20" s="4"/>
      <c r="F20" s="24"/>
    </row>
    <row r="21" spans="3:6" x14ac:dyDescent="0.25">
      <c r="C21" s="3" t="s">
        <v>18</v>
      </c>
      <c r="D21" s="22"/>
      <c r="E21" s="4"/>
    </row>
    <row r="22" spans="3:6" x14ac:dyDescent="0.25">
      <c r="C22" s="3" t="s">
        <v>19</v>
      </c>
      <c r="D22" s="22"/>
      <c r="E22" s="4"/>
      <c r="F22" t="s">
        <v>20</v>
      </c>
    </row>
    <row r="23" spans="3:6" x14ac:dyDescent="0.25">
      <c r="C23" s="3" t="s">
        <v>21</v>
      </c>
      <c r="D23" s="22"/>
      <c r="E23" s="4"/>
      <c r="F23" s="24" t="s">
        <v>90</v>
      </c>
    </row>
    <row r="24" spans="3:6" x14ac:dyDescent="0.25">
      <c r="C24" s="3" t="s">
        <v>22</v>
      </c>
      <c r="D24" s="1">
        <f>SUM(D19:D23)</f>
        <v>0</v>
      </c>
      <c r="E24" s="4"/>
      <c r="F24" s="24"/>
    </row>
    <row r="25" spans="3:6" x14ac:dyDescent="0.25">
      <c r="F25" s="24"/>
    </row>
    <row r="26" spans="3:6" x14ac:dyDescent="0.25">
      <c r="F26" s="24"/>
    </row>
    <row r="27" spans="3:6" ht="18.75" x14ac:dyDescent="0.25">
      <c r="C27" s="5" t="s">
        <v>23</v>
      </c>
      <c r="D27" s="12" t="s">
        <v>24</v>
      </c>
      <c r="F27" s="24"/>
    </row>
    <row r="28" spans="3:6" x14ac:dyDescent="0.25">
      <c r="C28" s="3" t="s">
        <v>25</v>
      </c>
      <c r="D28" s="3" t="s">
        <v>26</v>
      </c>
      <c r="E28" s="3"/>
      <c r="F28" s="24"/>
    </row>
    <row r="29" spans="3:6" x14ac:dyDescent="0.25">
      <c r="C29" s="3" t="s">
        <v>27</v>
      </c>
      <c r="D29" s="21"/>
      <c r="E29" s="4"/>
      <c r="F29" s="24"/>
    </row>
    <row r="30" spans="3:6" x14ac:dyDescent="0.25">
      <c r="C30" s="3" t="s">
        <v>28</v>
      </c>
      <c r="D30" s="21"/>
      <c r="E30" s="4"/>
      <c r="F30" s="24"/>
    </row>
    <row r="31" spans="3:6" x14ac:dyDescent="0.25">
      <c r="C31" s="3" t="s">
        <v>29</v>
      </c>
      <c r="D31" s="21"/>
      <c r="E31" s="4"/>
      <c r="F31" s="24"/>
    </row>
    <row r="32" spans="3:6" x14ac:dyDescent="0.25">
      <c r="C32" s="3" t="s">
        <v>30</v>
      </c>
      <c r="D32" s="21"/>
      <c r="E32" s="4"/>
      <c r="F32" s="24"/>
    </row>
    <row r="33" spans="3:8" x14ac:dyDescent="0.25">
      <c r="C33" s="3" t="s">
        <v>31</v>
      </c>
      <c r="D33" s="21"/>
      <c r="E33" s="4"/>
      <c r="F33" s="24"/>
    </row>
    <row r="36" spans="3:8" ht="18.75" x14ac:dyDescent="0.25">
      <c r="C36" s="5" t="s">
        <v>32</v>
      </c>
    </row>
    <row r="37" spans="3:8" x14ac:dyDescent="0.25">
      <c r="C37" s="3" t="s">
        <v>33</v>
      </c>
      <c r="D37" s="3" t="s">
        <v>34</v>
      </c>
      <c r="E37" s="3" t="s">
        <v>35</v>
      </c>
      <c r="F37" s="3" t="s">
        <v>36</v>
      </c>
      <c r="G37" s="3" t="s">
        <v>37</v>
      </c>
      <c r="H37" s="3" t="s">
        <v>38</v>
      </c>
    </row>
    <row r="38" spans="3:8" x14ac:dyDescent="0.25">
      <c r="C38" s="3" t="s">
        <v>39</v>
      </c>
      <c r="D38" s="21" t="s">
        <v>94</v>
      </c>
      <c r="E38" s="21"/>
      <c r="F38" s="21"/>
      <c r="G38" s="23">
        <v>1</v>
      </c>
      <c r="H38" s="21">
        <v>12</v>
      </c>
    </row>
    <row r="39" spans="3:8" x14ac:dyDescent="0.25">
      <c r="C39" s="3" t="s">
        <v>43</v>
      </c>
      <c r="D39" s="21"/>
      <c r="E39" s="21"/>
      <c r="F39" s="21"/>
      <c r="G39" s="23"/>
      <c r="H39" s="21"/>
    </row>
    <row r="40" spans="3:8" x14ac:dyDescent="0.25">
      <c r="C40" s="3" t="s">
        <v>44</v>
      </c>
      <c r="D40" s="24"/>
      <c r="E40" s="24"/>
      <c r="F40" s="24"/>
      <c r="G40" s="24"/>
      <c r="H40" s="24"/>
    </row>
    <row r="41" spans="3:8" x14ac:dyDescent="0.25">
      <c r="C41" s="3" t="s">
        <v>45</v>
      </c>
      <c r="D41" s="24"/>
      <c r="E41" s="24"/>
      <c r="F41" s="24"/>
      <c r="G41" s="24"/>
      <c r="H41" s="24"/>
    </row>
    <row r="42" spans="3:8" x14ac:dyDescent="0.25">
      <c r="C42" s="3"/>
    </row>
    <row r="44" spans="3:8" ht="18.75" x14ac:dyDescent="0.25">
      <c r="C44" s="5" t="s">
        <v>46</v>
      </c>
      <c r="D44" s="12"/>
    </row>
    <row r="45" spans="3:8" x14ac:dyDescent="0.25">
      <c r="C45" s="1" t="s">
        <v>33</v>
      </c>
      <c r="D45" s="1" t="s">
        <v>25</v>
      </c>
      <c r="E45" s="1" t="s">
        <v>47</v>
      </c>
      <c r="F45" s="1" t="s">
        <v>48</v>
      </c>
    </row>
    <row r="46" spans="3:8" x14ac:dyDescent="0.25">
      <c r="C46" s="25" t="s">
        <v>39</v>
      </c>
      <c r="D46" s="24" t="s">
        <v>27</v>
      </c>
      <c r="E46" s="24" t="s">
        <v>49</v>
      </c>
      <c r="F46" s="24" t="s">
        <v>50</v>
      </c>
    </row>
    <row r="47" spans="3:8" x14ac:dyDescent="0.25">
      <c r="C47" s="25" t="s">
        <v>39</v>
      </c>
      <c r="D47" s="24" t="s">
        <v>27</v>
      </c>
      <c r="E47" s="24" t="s">
        <v>49</v>
      </c>
      <c r="F47" s="24" t="s">
        <v>51</v>
      </c>
    </row>
    <row r="48" spans="3:8" x14ac:dyDescent="0.25">
      <c r="C48" s="25" t="s">
        <v>39</v>
      </c>
      <c r="D48" s="24"/>
      <c r="E48" s="24"/>
      <c r="F48" s="24"/>
    </row>
    <row r="49" spans="2:6" x14ac:dyDescent="0.25">
      <c r="C49" s="25" t="s">
        <v>43</v>
      </c>
      <c r="D49" s="24"/>
      <c r="E49" s="24"/>
      <c r="F49" s="24"/>
    </row>
    <row r="50" spans="2:6" x14ac:dyDescent="0.25">
      <c r="C50" s="25" t="s">
        <v>43</v>
      </c>
      <c r="D50" s="24"/>
      <c r="E50" s="24"/>
      <c r="F50" s="24"/>
    </row>
    <row r="51" spans="2:6" x14ac:dyDescent="0.25">
      <c r="C51" s="25" t="s">
        <v>43</v>
      </c>
      <c r="D51" s="24"/>
      <c r="E51" s="24"/>
      <c r="F51" s="24"/>
    </row>
    <row r="52" spans="2:6" x14ac:dyDescent="0.25">
      <c r="C52" s="25" t="s">
        <v>44</v>
      </c>
      <c r="D52" s="24"/>
      <c r="E52" s="24"/>
      <c r="F52" s="24"/>
    </row>
    <row r="53" spans="2:6" x14ac:dyDescent="0.25">
      <c r="C53" s="25" t="s">
        <v>44</v>
      </c>
      <c r="D53" s="24"/>
      <c r="E53" s="24"/>
      <c r="F53" s="24"/>
    </row>
    <row r="54" spans="2:6" x14ac:dyDescent="0.25">
      <c r="C54" s="25" t="s">
        <v>44</v>
      </c>
      <c r="D54" s="24"/>
      <c r="E54" s="24"/>
      <c r="F54" s="24"/>
    </row>
    <row r="55" spans="2:6" x14ac:dyDescent="0.25">
      <c r="C55" s="25" t="s">
        <v>45</v>
      </c>
      <c r="D55" s="24"/>
      <c r="E55" s="24"/>
      <c r="F55" s="24"/>
    </row>
    <row r="56" spans="2:6" x14ac:dyDescent="0.25">
      <c r="C56" s="25" t="s">
        <v>45</v>
      </c>
      <c r="D56" s="24"/>
      <c r="E56" s="24"/>
      <c r="F56" s="24"/>
    </row>
    <row r="59" spans="2:6" ht="18.75" x14ac:dyDescent="0.25">
      <c r="C59" s="5" t="s">
        <v>58</v>
      </c>
    </row>
    <row r="60" spans="2:6" x14ac:dyDescent="0.25">
      <c r="B60" t="s">
        <v>59</v>
      </c>
      <c r="C60" s="1" t="s">
        <v>60</v>
      </c>
      <c r="D60" s="1" t="s">
        <v>61</v>
      </c>
      <c r="E60" s="1" t="s">
        <v>62</v>
      </c>
      <c r="F60" s="1" t="s">
        <v>63</v>
      </c>
    </row>
    <row r="61" spans="2:6" x14ac:dyDescent="0.25">
      <c r="B61" s="7">
        <v>1</v>
      </c>
      <c r="C61" s="1">
        <v>1</v>
      </c>
      <c r="D61" s="21"/>
      <c r="E61" s="21"/>
      <c r="F61" s="21"/>
    </row>
    <row r="62" spans="2:6" x14ac:dyDescent="0.25">
      <c r="B62" s="7">
        <v>1</v>
      </c>
      <c r="C62" s="1">
        <v>2</v>
      </c>
      <c r="D62" s="31"/>
      <c r="E62" s="21"/>
      <c r="F62" s="21"/>
    </row>
    <row r="63" spans="2:6" x14ac:dyDescent="0.25">
      <c r="B63" s="7">
        <v>1</v>
      </c>
      <c r="C63" s="1">
        <v>3</v>
      </c>
      <c r="D63" s="31"/>
      <c r="E63" s="21"/>
      <c r="F63" s="21"/>
    </row>
    <row r="64" spans="2:6" x14ac:dyDescent="0.25">
      <c r="B64" s="7">
        <v>1</v>
      </c>
      <c r="C64" s="1">
        <v>4</v>
      </c>
      <c r="D64" s="31"/>
      <c r="E64" s="30"/>
      <c r="F64" s="21"/>
    </row>
    <row r="65" spans="2:6" x14ac:dyDescent="0.25">
      <c r="B65" s="7">
        <v>1</v>
      </c>
      <c r="C65" s="1">
        <v>5</v>
      </c>
      <c r="D65" s="31"/>
      <c r="E65" s="3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30"/>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2F5B00A4-CC7D-44F7-8FB0-EE01560D24E8}">
      <formula1>INDIRECT(VLOOKUP($E46, SkillNameMap, 2, FALSE))</formula1>
    </dataValidation>
    <dataValidation type="list" allowBlank="1" showInputMessage="1" showErrorMessage="1" sqref="E38:E41" xr:uid="{165FB68E-8BBC-4283-8BB5-0A119354C950}">
      <formula1>INDIRECT("LISTAssess[Assessment Specific]")</formula1>
    </dataValidation>
    <dataValidation type="whole" showInputMessage="1" showErrorMessage="1" error="This is not a realistic number of contact hours please change" sqref="D19" xr:uid="{EACCC191-4EDD-408C-9C51-0D6DC78B96F9}">
      <formula1>0</formula1>
      <formula2>80</formula2>
    </dataValidation>
    <dataValidation type="whole" showInputMessage="1" showErrorMessage="1" error="This is not a realistic number of contact hours please reduce" sqref="D20:D23" xr:uid="{1D667A9D-791D-4EE7-9958-37048887D8DF}">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D14279E-5C73-4210-ACBB-72634DCA03B9}">
          <x14:formula1>
            <xm:f>LISTS!$J$7:$J$16</xm:f>
          </x14:formula1>
          <xm:sqref>E46:E56</xm:sqref>
        </x14:dataValidation>
        <x14:dataValidation type="list" allowBlank="1" showInputMessage="1" showErrorMessage="1" xr:uid="{842BEC48-0817-4B7D-B59B-6FC85AB294A9}">
          <x14:formula1>
            <xm:f>LISTS!$E$7:$E$11</xm:f>
          </x14:formula1>
          <xm:sqref>D46:D56</xm:sqref>
        </x14:dataValidation>
        <x14:dataValidation type="list" allowBlank="1" showInputMessage="1" showErrorMessage="1" xr:uid="{3D36D21E-0AFD-472A-882E-CDC3D3D31DC6}">
          <x14:formula1>
            <xm:f>LISTS!$G$7:$G$11</xm:f>
          </x14:formula1>
          <xm:sqref>D38:D42</xm:sqref>
        </x14:dataValidation>
        <x14:dataValidation type="list" allowBlank="1" showInputMessage="1" showErrorMessage="1" xr:uid="{CB3521EC-6C59-4868-8B8A-6020317EFDB5}">
          <x14:formula1>
            <xm:f>LISTS!$C$11:$C$15</xm:f>
          </x14:formula1>
          <xm:sqref>D11</xm:sqref>
        </x14:dataValidation>
        <x14:dataValidation type="list" allowBlank="1" showInputMessage="1" showErrorMessage="1" xr:uid="{AFF969B0-06F9-4086-864B-817CEB8E43D9}">
          <x14:formula1>
            <xm:f>LISTS!$C$7:$C$9</xm:f>
          </x14:formula1>
          <xm:sqref>D10</xm:sqref>
        </x14:dataValidation>
        <x14:dataValidation type="list" allowBlank="1" showInputMessage="1" showErrorMessage="1" xr:uid="{8398F5B1-D6C0-4E73-AA61-6A2C00B66B54}">
          <x14:formula1>
            <xm:f>LISTS!$C$17:$C$22</xm:f>
          </x14:formula1>
          <xm:sqref>D13</xm:sqref>
        </x14:dataValidation>
        <x14:dataValidation type="list" allowBlank="1" showInputMessage="1" showErrorMessage="1" xr:uid="{E129A817-3C65-4347-867E-6E462CD5AA6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84"/>
  <sheetViews>
    <sheetView showGridLines="0" tabSelected="1" topLeftCell="A7" zoomScale="85" zoomScaleNormal="85" workbookViewId="0">
      <selection activeCell="F16" sqref="F16"/>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5201SPS</v>
      </c>
      <c r="D2" s="20" t="str">
        <f>D8</f>
        <v>Professional Practice in PE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122</v>
      </c>
      <c r="E7" s="4"/>
      <c r="F7" s="24"/>
    </row>
    <row r="8" spans="2:6" ht="210" x14ac:dyDescent="0.25">
      <c r="B8" s="2"/>
      <c r="C8" s="3" t="s">
        <v>5</v>
      </c>
      <c r="D8" s="21" t="s">
        <v>123</v>
      </c>
      <c r="E8" s="4"/>
      <c r="F8" s="32" t="s">
        <v>124</v>
      </c>
    </row>
    <row r="9" spans="2:6" x14ac:dyDescent="0.25">
      <c r="C9" s="3" t="s">
        <v>6</v>
      </c>
      <c r="D9" s="21">
        <v>20</v>
      </c>
      <c r="E9" s="4"/>
    </row>
    <row r="10" spans="2:6" x14ac:dyDescent="0.25">
      <c r="C10" s="3" t="s">
        <v>7</v>
      </c>
      <c r="D10" s="21">
        <v>2</v>
      </c>
      <c r="E10" s="4"/>
      <c r="F10" t="s">
        <v>8</v>
      </c>
    </row>
    <row r="11" spans="2:6" ht="30" x14ac:dyDescent="0.25">
      <c r="C11" s="3" t="s">
        <v>9</v>
      </c>
      <c r="D11" s="21">
        <v>5</v>
      </c>
      <c r="E11" s="4"/>
      <c r="F11" s="27" t="s">
        <v>125</v>
      </c>
    </row>
    <row r="12" spans="2:6" ht="30" x14ac:dyDescent="0.25">
      <c r="C12" s="3" t="s">
        <v>10</v>
      </c>
      <c r="D12" s="21" t="s">
        <v>83</v>
      </c>
      <c r="E12" s="4"/>
      <c r="F12" s="27" t="s">
        <v>126</v>
      </c>
    </row>
    <row r="13" spans="2:6" x14ac:dyDescent="0.25">
      <c r="C13" s="3" t="s">
        <v>11</v>
      </c>
      <c r="D13" s="21" t="s">
        <v>85</v>
      </c>
      <c r="E13" s="4"/>
      <c r="F13" s="24"/>
    </row>
    <row r="14" spans="2:6" x14ac:dyDescent="0.25">
      <c r="C14" s="3" t="s">
        <v>12</v>
      </c>
      <c r="D14" s="21" t="s">
        <v>86</v>
      </c>
      <c r="E14" s="4"/>
    </row>
    <row r="15" spans="2:6" x14ac:dyDescent="0.25">
      <c r="C15" s="3"/>
      <c r="D15" s="4"/>
      <c r="E15" s="4"/>
      <c r="F15" t="s">
        <v>13</v>
      </c>
    </row>
    <row r="16" spans="2:6" x14ac:dyDescent="0.25">
      <c r="C16" s="3"/>
      <c r="D16" s="4"/>
      <c r="E16" s="4"/>
      <c r="F16" s="36" t="s">
        <v>127</v>
      </c>
    </row>
    <row r="17" spans="3:6" ht="18.75" x14ac:dyDescent="0.25">
      <c r="C17" s="5" t="s">
        <v>14</v>
      </c>
      <c r="D17" s="4"/>
      <c r="E17" s="4"/>
      <c r="F17" s="24"/>
    </row>
    <row r="18" spans="3:6" x14ac:dyDescent="0.25">
      <c r="C18" s="3" t="s">
        <v>15</v>
      </c>
      <c r="D18" s="1" t="s">
        <v>14</v>
      </c>
      <c r="E18" s="4"/>
      <c r="F18" s="24"/>
    </row>
    <row r="19" spans="3:6" x14ac:dyDescent="0.25">
      <c r="C19" s="3" t="s">
        <v>16</v>
      </c>
      <c r="D19" s="22">
        <v>20</v>
      </c>
      <c r="E19" s="4"/>
      <c r="F19" s="24"/>
    </row>
    <row r="20" spans="3:6" x14ac:dyDescent="0.25">
      <c r="C20" s="3" t="s">
        <v>17</v>
      </c>
      <c r="D20" s="22"/>
      <c r="E20" s="4"/>
      <c r="F20" s="24"/>
    </row>
    <row r="21" spans="3:6" x14ac:dyDescent="0.25">
      <c r="C21" s="3" t="s">
        <v>18</v>
      </c>
      <c r="D21" s="22">
        <v>20</v>
      </c>
      <c r="E21" s="4"/>
    </row>
    <row r="22" spans="3:6" x14ac:dyDescent="0.25">
      <c r="C22" s="3" t="s">
        <v>19</v>
      </c>
      <c r="D22" s="22"/>
      <c r="E22" s="4"/>
      <c r="F22" t="s">
        <v>20</v>
      </c>
    </row>
    <row r="23" spans="3:6" x14ac:dyDescent="0.25">
      <c r="C23" s="3" t="s">
        <v>21</v>
      </c>
      <c r="D23" s="22"/>
      <c r="E23" s="4"/>
      <c r="F23" s="24" t="s">
        <v>90</v>
      </c>
    </row>
    <row r="24" spans="3:6" x14ac:dyDescent="0.25">
      <c r="C24" s="3" t="s">
        <v>22</v>
      </c>
      <c r="D24" s="1">
        <f>SUM(D19:D23)</f>
        <v>40</v>
      </c>
      <c r="E24" s="4"/>
      <c r="F24" s="24"/>
    </row>
    <row r="25" spans="3:6" x14ac:dyDescent="0.25">
      <c r="F25" s="24"/>
    </row>
    <row r="26" spans="3:6" x14ac:dyDescent="0.25">
      <c r="F26" s="24"/>
    </row>
    <row r="27" spans="3:6" ht="18.75" x14ac:dyDescent="0.25">
      <c r="C27" s="5" t="s">
        <v>23</v>
      </c>
      <c r="D27" s="12" t="s">
        <v>24</v>
      </c>
      <c r="F27" s="24"/>
    </row>
    <row r="28" spans="3:6" x14ac:dyDescent="0.25">
      <c r="C28" s="3" t="s">
        <v>25</v>
      </c>
      <c r="D28" s="3" t="s">
        <v>26</v>
      </c>
      <c r="E28" s="3"/>
      <c r="F28" s="24"/>
    </row>
    <row r="29" spans="3:6" ht="45" x14ac:dyDescent="0.25">
      <c r="C29" s="3" t="s">
        <v>27</v>
      </c>
      <c r="D29" s="31" t="s">
        <v>128</v>
      </c>
      <c r="E29" s="4"/>
      <c r="F29" s="24"/>
    </row>
    <row r="30" spans="3:6" ht="45" x14ac:dyDescent="0.25">
      <c r="C30" s="3" t="s">
        <v>28</v>
      </c>
      <c r="D30" s="31" t="s">
        <v>129</v>
      </c>
      <c r="E30" s="4"/>
      <c r="F30" s="24"/>
    </row>
    <row r="31" spans="3:6" ht="60" x14ac:dyDescent="0.25">
      <c r="C31" s="3" t="s">
        <v>29</v>
      </c>
      <c r="D31" s="31" t="s">
        <v>130</v>
      </c>
      <c r="E31" s="4"/>
      <c r="F31" s="24"/>
    </row>
    <row r="32" spans="3:6" x14ac:dyDescent="0.25">
      <c r="C32" s="3" t="s">
        <v>30</v>
      </c>
      <c r="D32" s="21"/>
      <c r="E32" s="4"/>
      <c r="F32" s="24"/>
    </row>
    <row r="33" spans="3:8" x14ac:dyDescent="0.25">
      <c r="C33" s="3" t="s">
        <v>31</v>
      </c>
      <c r="D33" s="21"/>
      <c r="E33" s="4"/>
      <c r="F33" s="24"/>
    </row>
    <row r="36" spans="3:8" ht="18.75" x14ac:dyDescent="0.25">
      <c r="C36" s="5" t="s">
        <v>32</v>
      </c>
    </row>
    <row r="37" spans="3:8" x14ac:dyDescent="0.25">
      <c r="C37" s="3" t="s">
        <v>33</v>
      </c>
      <c r="D37" s="3" t="s">
        <v>34</v>
      </c>
      <c r="E37" s="3" t="s">
        <v>35</v>
      </c>
      <c r="F37" s="3" t="s">
        <v>36</v>
      </c>
      <c r="G37" s="3" t="s">
        <v>37</v>
      </c>
      <c r="H37" s="3" t="s">
        <v>38</v>
      </c>
    </row>
    <row r="38" spans="3:8" x14ac:dyDescent="0.25">
      <c r="C38" s="3" t="s">
        <v>39</v>
      </c>
      <c r="D38" s="21" t="s">
        <v>40</v>
      </c>
      <c r="E38" s="21" t="s">
        <v>131</v>
      </c>
      <c r="F38" s="21" t="s">
        <v>132</v>
      </c>
      <c r="G38" s="23">
        <v>1</v>
      </c>
      <c r="H38" s="21">
        <v>18</v>
      </c>
    </row>
    <row r="39" spans="3:8" x14ac:dyDescent="0.25">
      <c r="C39" s="3" t="s">
        <v>43</v>
      </c>
      <c r="D39" s="21"/>
      <c r="E39" s="21"/>
      <c r="F39" s="21"/>
      <c r="G39" s="23"/>
      <c r="H39" s="21"/>
    </row>
    <row r="40" spans="3:8" x14ac:dyDescent="0.25">
      <c r="C40" s="3" t="s">
        <v>44</v>
      </c>
      <c r="D40" s="24"/>
      <c r="E40" s="24"/>
      <c r="F40" s="24"/>
      <c r="G40" s="24"/>
      <c r="H40" s="24"/>
    </row>
    <row r="41" spans="3:8" x14ac:dyDescent="0.25">
      <c r="C41" s="3" t="s">
        <v>45</v>
      </c>
      <c r="D41" s="24"/>
      <c r="E41" s="24"/>
      <c r="F41" s="24"/>
      <c r="G41" s="24"/>
      <c r="H41" s="24"/>
    </row>
    <row r="42" spans="3:8" x14ac:dyDescent="0.25">
      <c r="C42" s="3"/>
    </row>
    <row r="44" spans="3:8" ht="18.75" x14ac:dyDescent="0.25">
      <c r="C44" s="5" t="s">
        <v>46</v>
      </c>
      <c r="D44" s="12"/>
    </row>
    <row r="45" spans="3:8" x14ac:dyDescent="0.25">
      <c r="C45" s="1" t="s">
        <v>33</v>
      </c>
      <c r="D45" s="1" t="s">
        <v>25</v>
      </c>
      <c r="E45" s="1" t="s">
        <v>47</v>
      </c>
      <c r="F45" s="1" t="s">
        <v>48</v>
      </c>
    </row>
    <row r="46" spans="3:8" x14ac:dyDescent="0.25">
      <c r="C46" s="25" t="s">
        <v>39</v>
      </c>
      <c r="D46" s="24" t="s">
        <v>27</v>
      </c>
      <c r="E46" s="24" t="s">
        <v>49</v>
      </c>
      <c r="F46" s="24" t="s">
        <v>50</v>
      </c>
    </row>
    <row r="47" spans="3:8" x14ac:dyDescent="0.25">
      <c r="C47" s="25" t="s">
        <v>39</v>
      </c>
      <c r="D47" s="24" t="s">
        <v>27</v>
      </c>
      <c r="E47" s="24" t="s">
        <v>49</v>
      </c>
      <c r="F47" s="24" t="s">
        <v>51</v>
      </c>
    </row>
    <row r="48" spans="3:8" x14ac:dyDescent="0.25">
      <c r="C48" s="25" t="s">
        <v>39</v>
      </c>
      <c r="D48" s="24" t="s">
        <v>27</v>
      </c>
      <c r="E48" s="24" t="s">
        <v>52</v>
      </c>
      <c r="F48" s="24" t="s">
        <v>53</v>
      </c>
    </row>
    <row r="49" spans="2:6" x14ac:dyDescent="0.25">
      <c r="C49" s="25" t="s">
        <v>43</v>
      </c>
      <c r="D49" s="24" t="s">
        <v>28</v>
      </c>
      <c r="E49" s="24" t="s">
        <v>54</v>
      </c>
      <c r="F49" s="24" t="s">
        <v>55</v>
      </c>
    </row>
    <row r="50" spans="2:6" x14ac:dyDescent="0.25">
      <c r="C50" s="25" t="s">
        <v>43</v>
      </c>
      <c r="D50" s="24" t="s">
        <v>28</v>
      </c>
      <c r="E50" s="24" t="s">
        <v>56</v>
      </c>
      <c r="F50" s="24" t="s">
        <v>57</v>
      </c>
    </row>
    <row r="51" spans="2:6" x14ac:dyDescent="0.25">
      <c r="C51" s="25" t="s">
        <v>43</v>
      </c>
      <c r="D51" s="24"/>
      <c r="E51" s="24"/>
      <c r="F51" s="24"/>
    </row>
    <row r="52" spans="2:6" x14ac:dyDescent="0.25">
      <c r="C52" s="25" t="s">
        <v>44</v>
      </c>
      <c r="D52" s="24"/>
      <c r="E52" s="24"/>
      <c r="F52" s="24"/>
    </row>
    <row r="53" spans="2:6" x14ac:dyDescent="0.25">
      <c r="C53" s="25" t="s">
        <v>44</v>
      </c>
      <c r="D53" s="24"/>
      <c r="E53" s="24"/>
      <c r="F53" s="24"/>
    </row>
    <row r="54" spans="2:6" x14ac:dyDescent="0.25">
      <c r="C54" s="25" t="s">
        <v>44</v>
      </c>
      <c r="D54" s="24"/>
      <c r="E54" s="24"/>
      <c r="F54" s="24"/>
    </row>
    <row r="55" spans="2:6" x14ac:dyDescent="0.25">
      <c r="C55" s="25" t="s">
        <v>45</v>
      </c>
      <c r="D55" s="24"/>
      <c r="E55" s="24"/>
      <c r="F55" s="24"/>
    </row>
    <row r="56" spans="2:6" x14ac:dyDescent="0.25">
      <c r="C56" s="25" t="s">
        <v>45</v>
      </c>
      <c r="D56" s="24"/>
      <c r="E56" s="24"/>
      <c r="F56" s="24"/>
    </row>
    <row r="59" spans="2:6" ht="18.75" x14ac:dyDescent="0.25">
      <c r="C59" s="5" t="s">
        <v>58</v>
      </c>
    </row>
    <row r="60" spans="2:6" x14ac:dyDescent="0.25">
      <c r="B60" t="s">
        <v>59</v>
      </c>
      <c r="C60" s="1" t="s">
        <v>60</v>
      </c>
      <c r="D60" s="1" t="s">
        <v>61</v>
      </c>
      <c r="E60" s="1" t="s">
        <v>62</v>
      </c>
      <c r="F60" s="1" t="s">
        <v>63</v>
      </c>
    </row>
    <row r="61" spans="2:6" x14ac:dyDescent="0.25">
      <c r="B61" s="7">
        <v>1</v>
      </c>
      <c r="C61" s="1">
        <v>1</v>
      </c>
      <c r="D61" s="21"/>
      <c r="E61" s="33"/>
      <c r="F61" s="21" t="s">
        <v>16</v>
      </c>
    </row>
    <row r="62" spans="2:6" x14ac:dyDescent="0.25">
      <c r="B62" s="7">
        <v>1</v>
      </c>
      <c r="C62" s="1">
        <v>2</v>
      </c>
      <c r="D62" s="21"/>
      <c r="E62" s="21"/>
      <c r="F62" s="21" t="s">
        <v>16</v>
      </c>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ht="30" x14ac:dyDescent="0.25">
      <c r="B73" s="7">
        <v>2</v>
      </c>
      <c r="C73" s="1">
        <v>1</v>
      </c>
      <c r="D73" s="34" t="s">
        <v>133</v>
      </c>
      <c r="E73" s="21"/>
      <c r="F73" s="21" t="s">
        <v>16</v>
      </c>
    </row>
    <row r="74" spans="2:6" ht="30" x14ac:dyDescent="0.25">
      <c r="B74" s="7">
        <v>2</v>
      </c>
      <c r="C74" s="1">
        <v>2</v>
      </c>
      <c r="D74" s="31" t="s">
        <v>134</v>
      </c>
      <c r="E74" s="21"/>
      <c r="F74" s="21" t="s">
        <v>16</v>
      </c>
    </row>
    <row r="75" spans="2:6" ht="30" x14ac:dyDescent="0.25">
      <c r="B75" s="7">
        <v>2</v>
      </c>
      <c r="C75" s="1">
        <v>3</v>
      </c>
      <c r="D75" s="31" t="s">
        <v>134</v>
      </c>
      <c r="E75" s="21"/>
      <c r="F75" s="21" t="s">
        <v>16</v>
      </c>
    </row>
    <row r="76" spans="2:6" ht="30" x14ac:dyDescent="0.25">
      <c r="B76" s="7">
        <v>2</v>
      </c>
      <c r="C76" s="1">
        <v>4</v>
      </c>
      <c r="D76" s="31" t="s">
        <v>135</v>
      </c>
      <c r="E76" s="21"/>
      <c r="F76" s="21" t="s">
        <v>16</v>
      </c>
    </row>
    <row r="77" spans="2:6" x14ac:dyDescent="0.25">
      <c r="B77" s="7">
        <v>2</v>
      </c>
      <c r="C77" s="1">
        <v>5</v>
      </c>
      <c r="D77" s="21" t="s">
        <v>136</v>
      </c>
      <c r="E77" s="21"/>
      <c r="F77" s="21" t="s">
        <v>18</v>
      </c>
    </row>
    <row r="78" spans="2:6" x14ac:dyDescent="0.25">
      <c r="B78" s="7">
        <v>2</v>
      </c>
      <c r="C78" s="1">
        <v>6</v>
      </c>
      <c r="D78" s="21" t="s">
        <v>136</v>
      </c>
      <c r="E78" s="21"/>
      <c r="F78" s="21" t="s">
        <v>18</v>
      </c>
    </row>
    <row r="79" spans="2:6" x14ac:dyDescent="0.25">
      <c r="B79" s="7">
        <v>2</v>
      </c>
      <c r="C79" s="1">
        <v>7</v>
      </c>
      <c r="D79" s="21"/>
      <c r="E79" s="21"/>
      <c r="F79" s="21"/>
    </row>
    <row r="80" spans="2:6" x14ac:dyDescent="0.25">
      <c r="B80" s="7">
        <v>2</v>
      </c>
      <c r="C80" s="1">
        <v>8</v>
      </c>
      <c r="D80" s="21" t="s">
        <v>136</v>
      </c>
      <c r="E80" s="21"/>
      <c r="F80" s="21" t="s">
        <v>18</v>
      </c>
    </row>
    <row r="81" spans="2:6" x14ac:dyDescent="0.25">
      <c r="B81" s="7">
        <v>2</v>
      </c>
      <c r="C81" s="1">
        <v>9</v>
      </c>
      <c r="D81" s="21" t="s">
        <v>137</v>
      </c>
      <c r="E81" s="21"/>
      <c r="F81" s="21" t="s">
        <v>18</v>
      </c>
    </row>
    <row r="82" spans="2:6" x14ac:dyDescent="0.25">
      <c r="B82" s="7">
        <v>2</v>
      </c>
      <c r="C82" s="1">
        <v>10</v>
      </c>
      <c r="D82" s="30" t="s">
        <v>138</v>
      </c>
      <c r="E82" s="21"/>
      <c r="F82" s="21" t="s">
        <v>18</v>
      </c>
    </row>
    <row r="83" spans="2:6" ht="30" x14ac:dyDescent="0.25">
      <c r="B83" s="7">
        <v>2</v>
      </c>
      <c r="C83" s="1">
        <v>11</v>
      </c>
      <c r="D83" s="31" t="s">
        <v>139</v>
      </c>
      <c r="E83" s="21"/>
      <c r="F83" s="21" t="s">
        <v>18</v>
      </c>
    </row>
    <row r="84" spans="2:6" x14ac:dyDescent="0.25">
      <c r="B84" s="7">
        <v>2</v>
      </c>
      <c r="C84" s="1">
        <v>12</v>
      </c>
      <c r="D84" s="30" t="s">
        <v>140</v>
      </c>
      <c r="E84" s="21"/>
      <c r="F84" s="21" t="s">
        <v>16</v>
      </c>
    </row>
  </sheetData>
  <sheetProtection sheet="1" objects="1" scenarios="1" selectLockedCells="1" sort="0" autoFilter="0" pivotTables="0"/>
  <dataValidations count="4">
    <dataValidation type="list" allowBlank="1" showInputMessage="1" showErrorMessage="1" sqref="F46:F5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E46:E56</xm:sqref>
        </x14:dataValidation>
        <x14:dataValidation type="list" allowBlank="1" showInputMessage="1" showErrorMessage="1" xr:uid="{4A234C3A-C5D8-4DCE-A391-988FDC67A9B9}">
          <x14:formula1>
            <xm:f>LISTS!$E$7:$E$11</xm:f>
          </x14:formula1>
          <xm:sqref>D46:D56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884BD-6278-4CE7-A889-8DDD73C24938}">
  <sheetPr codeName="Sheet5"/>
  <dimension ref="B2:H84"/>
  <sheetViews>
    <sheetView showGridLines="0" zoomScale="85" zoomScaleNormal="85" workbookViewId="0">
      <selection activeCell="E70" sqref="E70"/>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5202SPS</v>
      </c>
      <c r="D2" s="20" t="str">
        <f>D8</f>
        <v>Learning in PE and Sport Contexts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340</v>
      </c>
      <c r="E7" s="4"/>
      <c r="F7" s="24"/>
    </row>
    <row r="8" spans="2:6" x14ac:dyDescent="0.25">
      <c r="B8" s="2"/>
      <c r="C8" s="3" t="s">
        <v>5</v>
      </c>
      <c r="D8" s="21" t="s">
        <v>341</v>
      </c>
      <c r="E8" s="4"/>
      <c r="F8" s="32"/>
    </row>
    <row r="9" spans="2:6" x14ac:dyDescent="0.25">
      <c r="C9" s="3" t="s">
        <v>6</v>
      </c>
      <c r="D9" s="21"/>
      <c r="E9" s="4"/>
    </row>
    <row r="10" spans="2:6" x14ac:dyDescent="0.25">
      <c r="C10" s="3" t="s">
        <v>7</v>
      </c>
      <c r="D10" s="21"/>
      <c r="E10" s="4"/>
      <c r="F10" t="s">
        <v>8</v>
      </c>
    </row>
    <row r="11" spans="2:6" x14ac:dyDescent="0.25">
      <c r="C11" s="3" t="s">
        <v>9</v>
      </c>
      <c r="D11" s="21"/>
      <c r="E11" s="4"/>
      <c r="F11" s="27"/>
    </row>
    <row r="12" spans="2:6" x14ac:dyDescent="0.25">
      <c r="C12" s="3" t="s">
        <v>10</v>
      </c>
      <c r="D12" s="21"/>
      <c r="E12" s="4"/>
      <c r="F12" s="27"/>
    </row>
    <row r="13" spans="2:6" x14ac:dyDescent="0.25">
      <c r="C13" s="3" t="s">
        <v>11</v>
      </c>
      <c r="D13" s="21"/>
      <c r="E13" s="4"/>
      <c r="F13" s="24"/>
    </row>
    <row r="14" spans="2:6" x14ac:dyDescent="0.25">
      <c r="C14" s="3" t="s">
        <v>12</v>
      </c>
      <c r="D14" s="21"/>
      <c r="E14" s="4"/>
    </row>
    <row r="15" spans="2:6" x14ac:dyDescent="0.25">
      <c r="C15" s="3"/>
      <c r="D15" s="4"/>
      <c r="E15" s="4"/>
      <c r="F15" t="s">
        <v>13</v>
      </c>
    </row>
    <row r="16" spans="2:6" x14ac:dyDescent="0.25">
      <c r="C16" s="3"/>
      <c r="D16" s="4"/>
      <c r="E16" s="4"/>
      <c r="F16" s="36"/>
    </row>
    <row r="17" spans="3:6" ht="18.75" x14ac:dyDescent="0.25">
      <c r="C17" s="5" t="s">
        <v>14</v>
      </c>
      <c r="D17" s="4"/>
      <c r="E17" s="4"/>
      <c r="F17" s="24"/>
    </row>
    <row r="18" spans="3:6" x14ac:dyDescent="0.25">
      <c r="C18" s="3" t="s">
        <v>15</v>
      </c>
      <c r="D18" s="1" t="s">
        <v>14</v>
      </c>
      <c r="E18" s="4"/>
      <c r="F18" s="24"/>
    </row>
    <row r="19" spans="3:6" x14ac:dyDescent="0.25">
      <c r="C19" s="3" t="s">
        <v>16</v>
      </c>
      <c r="D19" s="22"/>
      <c r="E19" s="4"/>
      <c r="F19" s="24"/>
    </row>
    <row r="20" spans="3:6" x14ac:dyDescent="0.25">
      <c r="C20" s="3" t="s">
        <v>17</v>
      </c>
      <c r="D20" s="22"/>
      <c r="E20" s="4"/>
      <c r="F20" s="24"/>
    </row>
    <row r="21" spans="3:6" x14ac:dyDescent="0.25">
      <c r="C21" s="3" t="s">
        <v>18</v>
      </c>
      <c r="D21" s="22"/>
      <c r="E21" s="4"/>
    </row>
    <row r="22" spans="3:6" x14ac:dyDescent="0.25">
      <c r="C22" s="3" t="s">
        <v>19</v>
      </c>
      <c r="D22" s="22"/>
      <c r="E22" s="4"/>
      <c r="F22" t="s">
        <v>20</v>
      </c>
    </row>
    <row r="23" spans="3:6" x14ac:dyDescent="0.25">
      <c r="C23" s="3" t="s">
        <v>21</v>
      </c>
      <c r="D23" s="22"/>
      <c r="E23" s="4"/>
      <c r="F23" s="24" t="s">
        <v>90</v>
      </c>
    </row>
    <row r="24" spans="3:6" x14ac:dyDescent="0.25">
      <c r="C24" s="3" t="s">
        <v>22</v>
      </c>
      <c r="D24" s="1">
        <f>SUM(D19:D23)</f>
        <v>0</v>
      </c>
      <c r="E24" s="4"/>
      <c r="F24" s="24"/>
    </row>
    <row r="25" spans="3:6" x14ac:dyDescent="0.25">
      <c r="F25" s="24"/>
    </row>
    <row r="26" spans="3:6" x14ac:dyDescent="0.25">
      <c r="F26" s="24"/>
    </row>
    <row r="27" spans="3:6" ht="18.75" x14ac:dyDescent="0.25">
      <c r="C27" s="5" t="s">
        <v>23</v>
      </c>
      <c r="D27" s="12" t="s">
        <v>24</v>
      </c>
      <c r="F27" s="24"/>
    </row>
    <row r="28" spans="3:6" x14ac:dyDescent="0.25">
      <c r="C28" s="3" t="s">
        <v>25</v>
      </c>
      <c r="D28" s="3" t="s">
        <v>26</v>
      </c>
      <c r="E28" s="3"/>
      <c r="F28" s="24"/>
    </row>
    <row r="29" spans="3:6" x14ac:dyDescent="0.25">
      <c r="C29" s="3" t="s">
        <v>27</v>
      </c>
      <c r="D29" s="31"/>
      <c r="E29" s="4"/>
      <c r="F29" s="24"/>
    </row>
    <row r="30" spans="3:6" x14ac:dyDescent="0.25">
      <c r="C30" s="3" t="s">
        <v>28</v>
      </c>
      <c r="D30" s="31"/>
      <c r="E30" s="4"/>
      <c r="F30" s="24"/>
    </row>
    <row r="31" spans="3:6" x14ac:dyDescent="0.25">
      <c r="C31" s="3" t="s">
        <v>29</v>
      </c>
      <c r="D31" s="31"/>
      <c r="E31" s="4"/>
      <c r="F31" s="24"/>
    </row>
    <row r="32" spans="3:6" x14ac:dyDescent="0.25">
      <c r="C32" s="3" t="s">
        <v>30</v>
      </c>
      <c r="D32" s="21"/>
      <c r="E32" s="4"/>
      <c r="F32" s="24"/>
    </row>
    <row r="33" spans="3:8" x14ac:dyDescent="0.25">
      <c r="C33" s="3" t="s">
        <v>31</v>
      </c>
      <c r="D33" s="21"/>
      <c r="E33" s="4"/>
      <c r="F33" s="24"/>
    </row>
    <row r="36" spans="3:8" ht="18.75" x14ac:dyDescent="0.25">
      <c r="C36" s="5" t="s">
        <v>32</v>
      </c>
    </row>
    <row r="37" spans="3:8" x14ac:dyDescent="0.25">
      <c r="C37" s="3" t="s">
        <v>33</v>
      </c>
      <c r="D37" s="3" t="s">
        <v>34</v>
      </c>
      <c r="E37" s="3" t="s">
        <v>35</v>
      </c>
      <c r="F37" s="3" t="s">
        <v>36</v>
      </c>
      <c r="G37" s="3" t="s">
        <v>37</v>
      </c>
      <c r="H37" s="3" t="s">
        <v>38</v>
      </c>
    </row>
    <row r="38" spans="3:8" x14ac:dyDescent="0.25">
      <c r="C38" s="3" t="s">
        <v>39</v>
      </c>
      <c r="D38" s="21" t="s">
        <v>40</v>
      </c>
      <c r="E38" s="21"/>
      <c r="F38" s="21"/>
      <c r="G38" s="23">
        <v>1</v>
      </c>
      <c r="H38" s="21">
        <v>18</v>
      </c>
    </row>
    <row r="39" spans="3:8" x14ac:dyDescent="0.25">
      <c r="C39" s="3" t="s">
        <v>43</v>
      </c>
      <c r="D39" s="21"/>
      <c r="E39" s="21"/>
      <c r="F39" s="21"/>
      <c r="G39" s="23"/>
      <c r="H39" s="21"/>
    </row>
    <row r="40" spans="3:8" x14ac:dyDescent="0.25">
      <c r="C40" s="3" t="s">
        <v>44</v>
      </c>
      <c r="D40" s="24"/>
      <c r="E40" s="24"/>
      <c r="F40" s="24"/>
      <c r="G40" s="24"/>
      <c r="H40" s="24"/>
    </row>
    <row r="41" spans="3:8" x14ac:dyDescent="0.25">
      <c r="C41" s="3" t="s">
        <v>45</v>
      </c>
      <c r="D41" s="24"/>
      <c r="E41" s="24"/>
      <c r="F41" s="24"/>
      <c r="G41" s="24"/>
      <c r="H41" s="24"/>
    </row>
    <row r="42" spans="3:8" x14ac:dyDescent="0.25">
      <c r="C42" s="3"/>
    </row>
    <row r="44" spans="3:8" ht="18.75" x14ac:dyDescent="0.25">
      <c r="C44" s="5" t="s">
        <v>46</v>
      </c>
      <c r="D44" s="12"/>
    </row>
    <row r="45" spans="3:8" x14ac:dyDescent="0.25">
      <c r="C45" s="1" t="s">
        <v>33</v>
      </c>
      <c r="D45" s="1" t="s">
        <v>25</v>
      </c>
      <c r="E45" s="1" t="s">
        <v>47</v>
      </c>
      <c r="F45" s="1" t="s">
        <v>48</v>
      </c>
    </row>
    <row r="46" spans="3:8" x14ac:dyDescent="0.25">
      <c r="C46" s="25" t="s">
        <v>39</v>
      </c>
      <c r="D46" s="24" t="s">
        <v>27</v>
      </c>
      <c r="E46" s="24" t="s">
        <v>49</v>
      </c>
      <c r="F46" s="24" t="s">
        <v>50</v>
      </c>
    </row>
    <row r="47" spans="3:8" x14ac:dyDescent="0.25">
      <c r="C47" s="25" t="s">
        <v>39</v>
      </c>
      <c r="D47" s="24" t="s">
        <v>27</v>
      </c>
      <c r="E47" s="24" t="s">
        <v>49</v>
      </c>
      <c r="F47" s="24" t="s">
        <v>51</v>
      </c>
    </row>
    <row r="48" spans="3:8" x14ac:dyDescent="0.25">
      <c r="C48" s="25" t="s">
        <v>39</v>
      </c>
      <c r="D48" s="24"/>
      <c r="E48" s="24"/>
      <c r="F48" s="24"/>
    </row>
    <row r="49" spans="2:6" x14ac:dyDescent="0.25">
      <c r="C49" s="25" t="s">
        <v>43</v>
      </c>
      <c r="D49" s="24"/>
      <c r="E49" s="24"/>
      <c r="F49" s="24"/>
    </row>
    <row r="50" spans="2:6" x14ac:dyDescent="0.25">
      <c r="C50" s="25" t="s">
        <v>43</v>
      </c>
      <c r="D50" s="24"/>
      <c r="E50" s="24"/>
      <c r="F50" s="24"/>
    </row>
    <row r="51" spans="2:6" x14ac:dyDescent="0.25">
      <c r="C51" s="25" t="s">
        <v>43</v>
      </c>
      <c r="D51" s="24"/>
      <c r="E51" s="24"/>
      <c r="F51" s="24"/>
    </row>
    <row r="52" spans="2:6" x14ac:dyDescent="0.25">
      <c r="C52" s="25" t="s">
        <v>44</v>
      </c>
      <c r="D52" s="24"/>
      <c r="E52" s="24"/>
      <c r="F52" s="24"/>
    </row>
    <row r="53" spans="2:6" x14ac:dyDescent="0.25">
      <c r="C53" s="25" t="s">
        <v>44</v>
      </c>
      <c r="D53" s="24"/>
      <c r="E53" s="24"/>
      <c r="F53" s="24"/>
    </row>
    <row r="54" spans="2:6" x14ac:dyDescent="0.25">
      <c r="C54" s="25" t="s">
        <v>44</v>
      </c>
      <c r="D54" s="24"/>
      <c r="E54" s="24"/>
      <c r="F54" s="24"/>
    </row>
    <row r="55" spans="2:6" x14ac:dyDescent="0.25">
      <c r="C55" s="25" t="s">
        <v>45</v>
      </c>
      <c r="D55" s="24"/>
      <c r="E55" s="24"/>
      <c r="F55" s="24"/>
    </row>
    <row r="56" spans="2:6" x14ac:dyDescent="0.25">
      <c r="C56" s="25" t="s">
        <v>45</v>
      </c>
      <c r="D56" s="24"/>
      <c r="E56" s="24"/>
      <c r="F56" s="24"/>
    </row>
    <row r="59" spans="2:6" ht="18.75" x14ac:dyDescent="0.25">
      <c r="C59" s="5" t="s">
        <v>58</v>
      </c>
    </row>
    <row r="60" spans="2:6" x14ac:dyDescent="0.25">
      <c r="B60" t="s">
        <v>59</v>
      </c>
      <c r="C60" s="1" t="s">
        <v>60</v>
      </c>
      <c r="D60" s="1" t="s">
        <v>61</v>
      </c>
      <c r="E60" s="1" t="s">
        <v>62</v>
      </c>
      <c r="F60" s="1" t="s">
        <v>63</v>
      </c>
    </row>
    <row r="61" spans="2:6" x14ac:dyDescent="0.25">
      <c r="B61" s="7">
        <v>1</v>
      </c>
      <c r="C61" s="1">
        <v>1</v>
      </c>
      <c r="D61" s="21"/>
      <c r="E61" s="33"/>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34"/>
      <c r="E73" s="21"/>
      <c r="F73" s="21"/>
    </row>
    <row r="74" spans="2:6" x14ac:dyDescent="0.25">
      <c r="B74" s="7">
        <v>2</v>
      </c>
      <c r="C74" s="1">
        <v>2</v>
      </c>
      <c r="D74" s="31"/>
      <c r="E74" s="21"/>
      <c r="F74" s="21"/>
    </row>
    <row r="75" spans="2:6" x14ac:dyDescent="0.25">
      <c r="B75" s="7">
        <v>2</v>
      </c>
      <c r="C75" s="1">
        <v>3</v>
      </c>
      <c r="D75" s="31"/>
      <c r="E75" s="21"/>
      <c r="F75" s="21"/>
    </row>
    <row r="76" spans="2:6" x14ac:dyDescent="0.25">
      <c r="B76" s="7">
        <v>2</v>
      </c>
      <c r="C76" s="1">
        <v>4</v>
      </c>
      <c r="D76" s="3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30"/>
      <c r="E82" s="21"/>
      <c r="F82" s="21"/>
    </row>
    <row r="83" spans="2:6" x14ac:dyDescent="0.25">
      <c r="B83" s="7">
        <v>2</v>
      </c>
      <c r="C83" s="1">
        <v>11</v>
      </c>
      <c r="D83" s="31"/>
      <c r="E83" s="21"/>
      <c r="F83" s="21"/>
    </row>
    <row r="84" spans="2:6" x14ac:dyDescent="0.25">
      <c r="B84" s="7">
        <v>2</v>
      </c>
      <c r="C84" s="1">
        <v>12</v>
      </c>
      <c r="D84" s="30"/>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FE45A5EA-BEFE-42EE-A656-B931B8DAE2D1}">
      <formula1>0</formula1>
      <formula2>80</formula2>
    </dataValidation>
    <dataValidation type="whole" showInputMessage="1" showErrorMessage="1" error="This is not a realistic number of contact hours please change" sqref="D19" xr:uid="{7393D505-264B-48A0-884D-0DB05B677F6E}">
      <formula1>0</formula1>
      <formula2>80</formula2>
    </dataValidation>
    <dataValidation type="list" allowBlank="1" showInputMessage="1" showErrorMessage="1" sqref="E38:E41" xr:uid="{54BEE12B-0450-4EB8-BE43-A915432B35DF}">
      <formula1>INDIRECT("LISTAssess[Assessment Specific]")</formula1>
    </dataValidation>
    <dataValidation type="list" allowBlank="1" showInputMessage="1" showErrorMessage="1" sqref="F46:F56" xr:uid="{5A44F9E5-2AA7-41DB-A7E9-D78E1FC317D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8FEB5F7-DB58-4A6C-97FD-7C3EADB5679F}">
          <x14:formula1>
            <xm:f>LISTS!$C$26:$C$37</xm:f>
          </x14:formula1>
          <xm:sqref>D14</xm:sqref>
        </x14:dataValidation>
        <x14:dataValidation type="list" allowBlank="1" showInputMessage="1" showErrorMessage="1" xr:uid="{7C2436CF-19C7-4E7E-BA48-C0C23DE0E3F8}">
          <x14:formula1>
            <xm:f>LISTS!$C$17:$C$22</xm:f>
          </x14:formula1>
          <xm:sqref>D13</xm:sqref>
        </x14:dataValidation>
        <x14:dataValidation type="list" allowBlank="1" showInputMessage="1" showErrorMessage="1" xr:uid="{5E086A06-5E34-461E-A5AE-CD7FABE126BE}">
          <x14:formula1>
            <xm:f>LISTS!$C$7:$C$9</xm:f>
          </x14:formula1>
          <xm:sqref>D10</xm:sqref>
        </x14:dataValidation>
        <x14:dataValidation type="list" allowBlank="1" showInputMessage="1" showErrorMessage="1" xr:uid="{1F819FDE-D680-4C01-AB88-F60C15630AF1}">
          <x14:formula1>
            <xm:f>LISTS!$C$11:$C$15</xm:f>
          </x14:formula1>
          <xm:sqref>D11</xm:sqref>
        </x14:dataValidation>
        <x14:dataValidation type="list" allowBlank="1" showInputMessage="1" showErrorMessage="1" xr:uid="{B2D8CDA9-B2D5-4539-AD20-4F9491A7C160}">
          <x14:formula1>
            <xm:f>LISTS!$G$7:$G$11</xm:f>
          </x14:formula1>
          <xm:sqref>D38:D42</xm:sqref>
        </x14:dataValidation>
        <x14:dataValidation type="list" allowBlank="1" showInputMessage="1" showErrorMessage="1" xr:uid="{ED868237-0C64-4453-AFB3-8E41F621B071}">
          <x14:formula1>
            <xm:f>LISTS!$E$7:$E$11</xm:f>
          </x14:formula1>
          <xm:sqref>D46:D56</xm:sqref>
        </x14:dataValidation>
        <x14:dataValidation type="list" allowBlank="1" showInputMessage="1" showErrorMessage="1" xr:uid="{007BC7D6-BE84-4F4E-A94C-2023A77E1378}">
          <x14:formula1>
            <xm:f>LISTS!$J$7:$J$16</xm:f>
          </x14:formula1>
          <xm:sqref>E46:E56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6"/>
  <dimension ref="B2:H120"/>
  <sheetViews>
    <sheetView showGridLines="0" zoomScale="85" zoomScaleNormal="85" workbookViewId="0">
      <selection activeCell="D8" sqref="D8"/>
    </sheetView>
  </sheetViews>
  <sheetFormatPr defaultRowHeight="15" x14ac:dyDescent="0.25"/>
  <cols>
    <col min="3" max="3" width="25.5703125" customWidth="1"/>
    <col min="4" max="4" width="47.7109375" customWidth="1"/>
    <col min="5" max="5" width="58.28515625" customWidth="1"/>
    <col min="6" max="6" width="59.85546875" customWidth="1"/>
    <col min="7" max="7" width="11.42578125" customWidth="1"/>
    <col min="8" max="8" width="11.28515625" customWidth="1"/>
    <col min="9" max="9" width="14.7109375" customWidth="1"/>
  </cols>
  <sheetData>
    <row r="2" spans="2:6" ht="26.25" x14ac:dyDescent="0.4">
      <c r="C2" s="20" t="str">
        <f>D7</f>
        <v>5203SPS</v>
      </c>
      <c r="D2" s="20" t="str">
        <f>D8</f>
        <v>Primary PE teacher Education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75" x14ac:dyDescent="0.25">
      <c r="B7" s="2"/>
      <c r="C7" s="3" t="s">
        <v>4</v>
      </c>
      <c r="D7" s="21" t="s">
        <v>141</v>
      </c>
      <c r="E7" s="4"/>
      <c r="F7" s="27" t="s">
        <v>142</v>
      </c>
    </row>
    <row r="8" spans="2:6" x14ac:dyDescent="0.25">
      <c r="B8" s="2"/>
      <c r="C8" s="3" t="s">
        <v>5</v>
      </c>
      <c r="D8" s="21" t="s">
        <v>143</v>
      </c>
      <c r="E8" s="4"/>
      <c r="F8" s="24"/>
    </row>
    <row r="9" spans="2:6" x14ac:dyDescent="0.25">
      <c r="C9" s="3" t="s">
        <v>6</v>
      </c>
      <c r="D9" s="21">
        <v>20</v>
      </c>
      <c r="E9" s="4"/>
    </row>
    <row r="10" spans="2:6" x14ac:dyDescent="0.25">
      <c r="C10" s="3" t="s">
        <v>7</v>
      </c>
      <c r="D10" s="21"/>
      <c r="E10" s="4"/>
      <c r="F10" t="s">
        <v>8</v>
      </c>
    </row>
    <row r="11" spans="2:6" ht="150" x14ac:dyDescent="0.25">
      <c r="C11" s="3" t="s">
        <v>9</v>
      </c>
      <c r="D11" s="21">
        <v>5</v>
      </c>
      <c r="E11" s="4"/>
      <c r="F11" s="27" t="s">
        <v>144</v>
      </c>
    </row>
    <row r="12" spans="2:6" x14ac:dyDescent="0.25">
      <c r="C12" s="3" t="s">
        <v>10</v>
      </c>
      <c r="D12" s="21" t="s">
        <v>145</v>
      </c>
      <c r="E12" s="4"/>
      <c r="F12" s="24"/>
    </row>
    <row r="13" spans="2:6" x14ac:dyDescent="0.25">
      <c r="C13" s="3" t="s">
        <v>11</v>
      </c>
      <c r="D13" s="21" t="s">
        <v>146</v>
      </c>
      <c r="E13" s="4"/>
      <c r="F13" s="24"/>
    </row>
    <row r="14" spans="2:6" x14ac:dyDescent="0.25">
      <c r="C14" s="3" t="s">
        <v>12</v>
      </c>
      <c r="D14" s="21" t="s">
        <v>86</v>
      </c>
      <c r="E14" s="4"/>
    </row>
    <row r="15" spans="2:6" x14ac:dyDescent="0.25">
      <c r="C15" s="3"/>
      <c r="D15" s="4"/>
      <c r="E15" s="4"/>
      <c r="F15" t="s">
        <v>13</v>
      </c>
    </row>
    <row r="16" spans="2:6" ht="75" x14ac:dyDescent="0.25">
      <c r="C16" s="3"/>
      <c r="D16" s="4"/>
      <c r="E16" s="4"/>
      <c r="F16" s="27" t="s">
        <v>147</v>
      </c>
    </row>
    <row r="17" spans="3:6" ht="18.75" x14ac:dyDescent="0.25">
      <c r="C17" s="5" t="s">
        <v>14</v>
      </c>
      <c r="D17" s="4"/>
      <c r="E17" s="4"/>
      <c r="F17" s="24"/>
    </row>
    <row r="18" spans="3:6" x14ac:dyDescent="0.25">
      <c r="C18" s="3" t="s">
        <v>15</v>
      </c>
      <c r="D18" s="1" t="s">
        <v>14</v>
      </c>
      <c r="E18" s="4"/>
      <c r="F18" s="24"/>
    </row>
    <row r="19" spans="3:6" x14ac:dyDescent="0.25">
      <c r="C19" s="3" t="s">
        <v>16</v>
      </c>
      <c r="D19" s="26">
        <v>10</v>
      </c>
      <c r="E19" s="4"/>
      <c r="F19" s="24"/>
    </row>
    <row r="20" spans="3:6" x14ac:dyDescent="0.25">
      <c r="C20" s="3" t="s">
        <v>17</v>
      </c>
      <c r="D20" s="26">
        <v>0</v>
      </c>
      <c r="E20" s="4"/>
      <c r="F20" s="24"/>
    </row>
    <row r="21" spans="3:6" x14ac:dyDescent="0.25">
      <c r="C21" s="3" t="s">
        <v>18</v>
      </c>
      <c r="D21" s="26">
        <v>19</v>
      </c>
      <c r="E21" s="4"/>
    </row>
    <row r="22" spans="3:6" x14ac:dyDescent="0.25">
      <c r="C22" s="3" t="s">
        <v>19</v>
      </c>
      <c r="D22" s="26">
        <v>3</v>
      </c>
      <c r="E22" s="4"/>
      <c r="F22" t="s">
        <v>20</v>
      </c>
    </row>
    <row r="23" spans="3:6" x14ac:dyDescent="0.25">
      <c r="C23" s="3" t="s">
        <v>21</v>
      </c>
      <c r="D23" s="26">
        <v>8</v>
      </c>
      <c r="E23" s="4"/>
      <c r="F23" s="24" t="s">
        <v>148</v>
      </c>
    </row>
    <row r="24" spans="3:6" x14ac:dyDescent="0.25">
      <c r="C24" s="3" t="s">
        <v>22</v>
      </c>
      <c r="D24" s="1">
        <f>SUM(D19:D23)</f>
        <v>40</v>
      </c>
      <c r="E24" s="4"/>
      <c r="F24" s="24"/>
    </row>
    <row r="25" spans="3:6" x14ac:dyDescent="0.25">
      <c r="F25" s="24"/>
    </row>
    <row r="26" spans="3:6" x14ac:dyDescent="0.25">
      <c r="F26" s="24"/>
    </row>
    <row r="27" spans="3:6" ht="18.75" x14ac:dyDescent="0.25">
      <c r="C27" s="5" t="s">
        <v>23</v>
      </c>
      <c r="D27" s="12" t="s">
        <v>24</v>
      </c>
      <c r="F27" s="24"/>
    </row>
    <row r="28" spans="3:6" x14ac:dyDescent="0.25">
      <c r="C28" s="3" t="s">
        <v>25</v>
      </c>
      <c r="D28" s="3" t="s">
        <v>26</v>
      </c>
      <c r="E28" s="3"/>
      <c r="F28" s="24"/>
    </row>
    <row r="29" spans="3:6" ht="30" x14ac:dyDescent="0.25">
      <c r="C29" s="3" t="s">
        <v>27</v>
      </c>
      <c r="D29" s="21" t="s">
        <v>149</v>
      </c>
      <c r="E29" s="4"/>
      <c r="F29" s="24"/>
    </row>
    <row r="30" spans="3:6" ht="30" x14ac:dyDescent="0.25">
      <c r="C30" s="3" t="s">
        <v>28</v>
      </c>
      <c r="D30" s="21" t="s">
        <v>150</v>
      </c>
      <c r="E30" s="4"/>
      <c r="F30" s="24"/>
    </row>
    <row r="31" spans="3:6" ht="30" x14ac:dyDescent="0.25">
      <c r="C31" s="3" t="s">
        <v>29</v>
      </c>
      <c r="D31" s="21" t="s">
        <v>151</v>
      </c>
      <c r="E31" s="4"/>
      <c r="F31" s="24"/>
    </row>
    <row r="32" spans="3:6" x14ac:dyDescent="0.25">
      <c r="C32" s="3" t="s">
        <v>30</v>
      </c>
      <c r="D32" s="21"/>
      <c r="E32" s="4"/>
      <c r="F32" s="24"/>
    </row>
    <row r="33" spans="3:8" x14ac:dyDescent="0.25">
      <c r="C33" s="3" t="s">
        <v>31</v>
      </c>
      <c r="D33" s="21"/>
      <c r="E33" s="4"/>
      <c r="F33" s="24"/>
    </row>
    <row r="36" spans="3:8" ht="18.75" x14ac:dyDescent="0.25">
      <c r="C36" s="5" t="s">
        <v>32</v>
      </c>
    </row>
    <row r="37" spans="3:8" x14ac:dyDescent="0.25">
      <c r="C37" s="3" t="s">
        <v>33</v>
      </c>
      <c r="D37" s="3" t="s">
        <v>34</v>
      </c>
      <c r="E37" s="3" t="s">
        <v>35</v>
      </c>
      <c r="F37" s="3" t="s">
        <v>36</v>
      </c>
      <c r="G37" s="3" t="s">
        <v>37</v>
      </c>
      <c r="H37" s="3" t="s">
        <v>38</v>
      </c>
    </row>
    <row r="38" spans="3:8" ht="30" x14ac:dyDescent="0.25">
      <c r="C38" s="3" t="s">
        <v>39</v>
      </c>
      <c r="D38" s="21" t="s">
        <v>152</v>
      </c>
      <c r="E38" s="21"/>
      <c r="F38" s="21" t="s">
        <v>153</v>
      </c>
      <c r="G38" s="23">
        <v>0.6</v>
      </c>
      <c r="H38" s="21">
        <v>12</v>
      </c>
    </row>
    <row r="39" spans="3:8" ht="30" x14ac:dyDescent="0.25">
      <c r="C39" s="3" t="s">
        <v>43</v>
      </c>
      <c r="D39" s="21" t="s">
        <v>152</v>
      </c>
      <c r="E39" s="21"/>
      <c r="F39" s="21" t="s">
        <v>154</v>
      </c>
      <c r="G39" s="23">
        <v>0.4</v>
      </c>
      <c r="H39" s="21">
        <v>16</v>
      </c>
    </row>
    <row r="40" spans="3:8" x14ac:dyDescent="0.25">
      <c r="C40" s="3"/>
    </row>
    <row r="41" spans="3:8" ht="18" customHeight="1" x14ac:dyDescent="0.25"/>
    <row r="42" spans="3:8" ht="40.5" customHeight="1" x14ac:dyDescent="0.25">
      <c r="C42" s="5" t="s">
        <v>46</v>
      </c>
      <c r="D42" s="12"/>
    </row>
    <row r="43" spans="3:8" x14ac:dyDescent="0.25">
      <c r="C43" s="1" t="s">
        <v>33</v>
      </c>
      <c r="D43" s="1" t="s">
        <v>25</v>
      </c>
      <c r="E43" s="1" t="s">
        <v>47</v>
      </c>
      <c r="F43" s="1" t="s">
        <v>48</v>
      </c>
    </row>
    <row r="44" spans="3:8" x14ac:dyDescent="0.25">
      <c r="C44" s="25" t="s">
        <v>39</v>
      </c>
      <c r="D44" s="24" t="s">
        <v>27</v>
      </c>
      <c r="E44" s="24" t="s">
        <v>118</v>
      </c>
      <c r="F44" s="24" t="s">
        <v>155</v>
      </c>
    </row>
    <row r="45" spans="3:8" x14ac:dyDescent="0.25">
      <c r="C45" s="25" t="s">
        <v>39</v>
      </c>
      <c r="D45" s="24" t="s">
        <v>27</v>
      </c>
      <c r="E45" s="24" t="s">
        <v>156</v>
      </c>
      <c r="F45" s="24" t="s">
        <v>157</v>
      </c>
    </row>
    <row r="46" spans="3:8" x14ac:dyDescent="0.25">
      <c r="C46" s="25" t="s">
        <v>39</v>
      </c>
      <c r="D46" s="24" t="s">
        <v>27</v>
      </c>
      <c r="E46" s="24" t="s">
        <v>156</v>
      </c>
      <c r="F46" s="24" t="s">
        <v>158</v>
      </c>
    </row>
    <row r="47" spans="3:8" x14ac:dyDescent="0.25">
      <c r="C47" s="25" t="s">
        <v>39</v>
      </c>
      <c r="D47" s="24" t="s">
        <v>27</v>
      </c>
      <c r="E47" s="24" t="s">
        <v>54</v>
      </c>
      <c r="F47" s="24" t="s">
        <v>159</v>
      </c>
    </row>
    <row r="48" spans="3:8" x14ac:dyDescent="0.25">
      <c r="C48" s="25" t="s">
        <v>39</v>
      </c>
      <c r="D48" s="24" t="s">
        <v>27</v>
      </c>
      <c r="E48" s="24" t="s">
        <v>160</v>
      </c>
      <c r="F48" s="24" t="s">
        <v>161</v>
      </c>
    </row>
    <row r="49" spans="3:6" x14ac:dyDescent="0.25">
      <c r="C49" s="25" t="s">
        <v>39</v>
      </c>
      <c r="D49" s="24" t="s">
        <v>27</v>
      </c>
      <c r="E49" s="24" t="s">
        <v>162</v>
      </c>
      <c r="F49" s="24" t="s">
        <v>163</v>
      </c>
    </row>
    <row r="50" spans="3:6" x14ac:dyDescent="0.25">
      <c r="C50" s="25" t="s">
        <v>39</v>
      </c>
      <c r="D50" s="24" t="s">
        <v>27</v>
      </c>
      <c r="E50" s="24" t="s">
        <v>162</v>
      </c>
      <c r="F50" s="24" t="s">
        <v>164</v>
      </c>
    </row>
    <row r="51" spans="3:6" x14ac:dyDescent="0.25">
      <c r="C51" s="25" t="s">
        <v>39</v>
      </c>
      <c r="D51" s="24" t="s">
        <v>27</v>
      </c>
      <c r="E51" s="24" t="s">
        <v>165</v>
      </c>
      <c r="F51" s="24" t="s">
        <v>166</v>
      </c>
    </row>
    <row r="52" spans="3:6" x14ac:dyDescent="0.25">
      <c r="C52" s="25" t="s">
        <v>39</v>
      </c>
      <c r="D52" s="24" t="s">
        <v>27</v>
      </c>
      <c r="E52" s="24" t="s">
        <v>165</v>
      </c>
      <c r="F52" s="24" t="s">
        <v>167</v>
      </c>
    </row>
    <row r="53" spans="3:6" x14ac:dyDescent="0.25">
      <c r="C53" s="25" t="s">
        <v>39</v>
      </c>
      <c r="D53" s="24" t="s">
        <v>27</v>
      </c>
      <c r="E53" s="24" t="s">
        <v>165</v>
      </c>
      <c r="F53" s="24" t="s">
        <v>168</v>
      </c>
    </row>
    <row r="54" spans="3:6" x14ac:dyDescent="0.25">
      <c r="C54" s="25" t="s">
        <v>39</v>
      </c>
      <c r="D54" s="24" t="s">
        <v>27</v>
      </c>
      <c r="E54" s="24" t="s">
        <v>165</v>
      </c>
      <c r="F54" s="24" t="s">
        <v>169</v>
      </c>
    </row>
    <row r="55" spans="3:6" x14ac:dyDescent="0.25">
      <c r="C55" s="25" t="s">
        <v>39</v>
      </c>
      <c r="D55" s="24" t="s">
        <v>27</v>
      </c>
      <c r="E55" s="24" t="s">
        <v>165</v>
      </c>
      <c r="F55" s="24" t="s">
        <v>170</v>
      </c>
    </row>
    <row r="56" spans="3:6" ht="14.25" customHeight="1" x14ac:dyDescent="0.25">
      <c r="C56" s="25" t="s">
        <v>39</v>
      </c>
      <c r="D56" s="24" t="s">
        <v>28</v>
      </c>
      <c r="E56" s="24" t="s">
        <v>52</v>
      </c>
      <c r="F56" s="24" t="s">
        <v>53</v>
      </c>
    </row>
    <row r="57" spans="3:6" ht="14.25" customHeight="1" x14ac:dyDescent="0.25">
      <c r="C57" s="25" t="s">
        <v>39</v>
      </c>
      <c r="D57" s="24" t="s">
        <v>28</v>
      </c>
      <c r="E57" s="24" t="s">
        <v>52</v>
      </c>
      <c r="F57" s="24" t="s">
        <v>171</v>
      </c>
    </row>
    <row r="58" spans="3:6" ht="14.25" customHeight="1" x14ac:dyDescent="0.25">
      <c r="C58" s="25" t="s">
        <v>39</v>
      </c>
      <c r="D58" s="24" t="s">
        <v>28</v>
      </c>
      <c r="E58" s="24" t="s">
        <v>52</v>
      </c>
      <c r="F58" s="24" t="s">
        <v>172</v>
      </c>
    </row>
    <row r="59" spans="3:6" ht="14.25" customHeight="1" x14ac:dyDescent="0.25">
      <c r="C59" s="25" t="s">
        <v>39</v>
      </c>
      <c r="D59" s="24" t="s">
        <v>28</v>
      </c>
      <c r="E59" s="24" t="s">
        <v>52</v>
      </c>
      <c r="F59" s="24" t="s">
        <v>173</v>
      </c>
    </row>
    <row r="60" spans="3:6" ht="14.25" customHeight="1" x14ac:dyDescent="0.25">
      <c r="C60" s="25" t="s">
        <v>39</v>
      </c>
      <c r="D60" s="24" t="s">
        <v>28</v>
      </c>
      <c r="E60" s="24" t="s">
        <v>52</v>
      </c>
      <c r="F60" s="24" t="s">
        <v>174</v>
      </c>
    </row>
    <row r="61" spans="3:6" x14ac:dyDescent="0.25">
      <c r="C61" s="25" t="s">
        <v>39</v>
      </c>
      <c r="D61" s="24" t="s">
        <v>28</v>
      </c>
      <c r="E61" s="24" t="s">
        <v>54</v>
      </c>
      <c r="F61" s="24" t="s">
        <v>55</v>
      </c>
    </row>
    <row r="62" spans="3:6" x14ac:dyDescent="0.25">
      <c r="C62" s="25" t="s">
        <v>39</v>
      </c>
      <c r="D62" s="24" t="s">
        <v>28</v>
      </c>
      <c r="E62" s="24" t="s">
        <v>54</v>
      </c>
      <c r="F62" s="24" t="s">
        <v>175</v>
      </c>
    </row>
    <row r="63" spans="3:6" x14ac:dyDescent="0.25">
      <c r="C63" s="25" t="s">
        <v>39</v>
      </c>
      <c r="D63" s="24" t="s">
        <v>28</v>
      </c>
      <c r="E63" s="24" t="s">
        <v>54</v>
      </c>
      <c r="F63" s="24" t="s">
        <v>159</v>
      </c>
    </row>
    <row r="64" spans="3:6" x14ac:dyDescent="0.25">
      <c r="C64" s="25" t="s">
        <v>39</v>
      </c>
      <c r="D64" s="24" t="s">
        <v>28</v>
      </c>
      <c r="E64" s="24" t="s">
        <v>176</v>
      </c>
      <c r="F64" s="24" t="s">
        <v>177</v>
      </c>
    </row>
    <row r="65" spans="3:6" x14ac:dyDescent="0.25">
      <c r="C65" s="25" t="s">
        <v>39</v>
      </c>
      <c r="D65" s="24" t="s">
        <v>28</v>
      </c>
      <c r="E65" s="24" t="s">
        <v>176</v>
      </c>
      <c r="F65" s="24" t="s">
        <v>178</v>
      </c>
    </row>
    <row r="66" spans="3:6" x14ac:dyDescent="0.25">
      <c r="C66" s="25" t="s">
        <v>39</v>
      </c>
      <c r="D66" s="24" t="s">
        <v>28</v>
      </c>
      <c r="E66" s="24" t="s">
        <v>176</v>
      </c>
      <c r="F66" s="24" t="s">
        <v>179</v>
      </c>
    </row>
    <row r="67" spans="3:6" x14ac:dyDescent="0.25">
      <c r="C67" s="25" t="s">
        <v>39</v>
      </c>
      <c r="D67" s="24" t="s">
        <v>28</v>
      </c>
      <c r="E67" s="24" t="s">
        <v>176</v>
      </c>
      <c r="F67" s="24" t="s">
        <v>180</v>
      </c>
    </row>
    <row r="68" spans="3:6" x14ac:dyDescent="0.25">
      <c r="C68" s="25" t="s">
        <v>39</v>
      </c>
      <c r="D68" s="24" t="s">
        <v>28</v>
      </c>
      <c r="E68" s="24" t="s">
        <v>176</v>
      </c>
      <c r="F68" s="24" t="s">
        <v>181</v>
      </c>
    </row>
    <row r="69" spans="3:6" x14ac:dyDescent="0.25">
      <c r="C69" s="25" t="s">
        <v>39</v>
      </c>
      <c r="D69" s="24" t="s">
        <v>28</v>
      </c>
      <c r="E69" s="24" t="s">
        <v>176</v>
      </c>
      <c r="F69" s="24" t="s">
        <v>182</v>
      </c>
    </row>
    <row r="70" spans="3:6" x14ac:dyDescent="0.25">
      <c r="C70" s="25" t="s">
        <v>39</v>
      </c>
      <c r="D70" s="24" t="s">
        <v>28</v>
      </c>
      <c r="E70" s="24" t="s">
        <v>176</v>
      </c>
      <c r="F70" s="24" t="s">
        <v>183</v>
      </c>
    </row>
    <row r="71" spans="3:6" x14ac:dyDescent="0.25">
      <c r="C71" s="25" t="s">
        <v>39</v>
      </c>
      <c r="D71" s="24" t="s">
        <v>28</v>
      </c>
      <c r="E71" s="24" t="s">
        <v>162</v>
      </c>
      <c r="F71" s="24" t="s">
        <v>184</v>
      </c>
    </row>
    <row r="72" spans="3:6" x14ac:dyDescent="0.25">
      <c r="C72" s="25" t="s">
        <v>39</v>
      </c>
      <c r="D72" s="24" t="s">
        <v>28</v>
      </c>
      <c r="E72" s="24" t="s">
        <v>162</v>
      </c>
      <c r="F72" s="24" t="s">
        <v>164</v>
      </c>
    </row>
    <row r="73" spans="3:6" x14ac:dyDescent="0.25">
      <c r="C73" s="25" t="s">
        <v>39</v>
      </c>
      <c r="D73" s="24" t="s">
        <v>28</v>
      </c>
      <c r="E73" s="24" t="s">
        <v>165</v>
      </c>
      <c r="F73" s="24" t="s">
        <v>166</v>
      </c>
    </row>
    <row r="74" spans="3:6" x14ac:dyDescent="0.25">
      <c r="C74" s="25" t="s">
        <v>39</v>
      </c>
      <c r="D74" s="24" t="s">
        <v>28</v>
      </c>
      <c r="E74" s="24" t="s">
        <v>165</v>
      </c>
      <c r="F74" s="24" t="s">
        <v>167</v>
      </c>
    </row>
    <row r="75" spans="3:6" x14ac:dyDescent="0.25">
      <c r="C75" s="25" t="s">
        <v>39</v>
      </c>
      <c r="D75" s="24" t="s">
        <v>28</v>
      </c>
      <c r="E75" s="24" t="s">
        <v>165</v>
      </c>
      <c r="F75" s="24" t="s">
        <v>168</v>
      </c>
    </row>
    <row r="76" spans="3:6" x14ac:dyDescent="0.25">
      <c r="C76" s="25" t="s">
        <v>39</v>
      </c>
      <c r="D76" s="24" t="s">
        <v>28</v>
      </c>
      <c r="E76" s="24" t="s">
        <v>165</v>
      </c>
      <c r="F76" s="24" t="s">
        <v>169</v>
      </c>
    </row>
    <row r="77" spans="3:6" x14ac:dyDescent="0.25">
      <c r="C77" s="25" t="s">
        <v>39</v>
      </c>
      <c r="D77" s="24" t="s">
        <v>28</v>
      </c>
      <c r="E77" s="24" t="s">
        <v>165</v>
      </c>
      <c r="F77" s="24" t="s">
        <v>170</v>
      </c>
    </row>
    <row r="78" spans="3:6" x14ac:dyDescent="0.25">
      <c r="C78" s="25" t="s">
        <v>39</v>
      </c>
      <c r="D78" s="24" t="s">
        <v>28</v>
      </c>
      <c r="E78" s="24" t="s">
        <v>160</v>
      </c>
      <c r="F78" s="24" t="s">
        <v>185</v>
      </c>
    </row>
    <row r="79" spans="3:6" x14ac:dyDescent="0.25">
      <c r="C79" s="25" t="s">
        <v>39</v>
      </c>
      <c r="D79" s="24" t="s">
        <v>28</v>
      </c>
      <c r="E79" s="24" t="s">
        <v>160</v>
      </c>
      <c r="F79" s="24" t="s">
        <v>186</v>
      </c>
    </row>
    <row r="80" spans="3:6" x14ac:dyDescent="0.25">
      <c r="C80" s="25" t="s">
        <v>39</v>
      </c>
      <c r="D80" s="24" t="s">
        <v>28</v>
      </c>
      <c r="E80" s="24" t="s">
        <v>160</v>
      </c>
      <c r="F80" s="24" t="s">
        <v>161</v>
      </c>
    </row>
    <row r="81" spans="3:6" x14ac:dyDescent="0.25">
      <c r="C81" s="25" t="s">
        <v>39</v>
      </c>
      <c r="D81" s="24" t="s">
        <v>29</v>
      </c>
      <c r="E81" s="24" t="s">
        <v>52</v>
      </c>
      <c r="F81" s="24" t="s">
        <v>53</v>
      </c>
    </row>
    <row r="82" spans="3:6" x14ac:dyDescent="0.25">
      <c r="C82" s="25" t="s">
        <v>39</v>
      </c>
      <c r="D82" s="24" t="s">
        <v>29</v>
      </c>
      <c r="E82" s="24" t="s">
        <v>52</v>
      </c>
      <c r="F82" s="24" t="s">
        <v>172</v>
      </c>
    </row>
    <row r="83" spans="3:6" x14ac:dyDescent="0.25">
      <c r="C83" s="25" t="s">
        <v>39</v>
      </c>
      <c r="D83" s="24" t="s">
        <v>29</v>
      </c>
      <c r="E83" s="24" t="s">
        <v>52</v>
      </c>
      <c r="F83" s="24" t="s">
        <v>174</v>
      </c>
    </row>
    <row r="84" spans="3:6" x14ac:dyDescent="0.25">
      <c r="C84" s="25" t="s">
        <v>39</v>
      </c>
      <c r="D84" s="24" t="s">
        <v>29</v>
      </c>
      <c r="E84" s="24" t="s">
        <v>118</v>
      </c>
      <c r="F84" s="24" t="s">
        <v>120</v>
      </c>
    </row>
    <row r="85" spans="3:6" x14ac:dyDescent="0.25">
      <c r="C85" s="25" t="s">
        <v>39</v>
      </c>
      <c r="D85" s="24" t="s">
        <v>29</v>
      </c>
      <c r="E85" s="24" t="s">
        <v>118</v>
      </c>
      <c r="F85" s="24" t="s">
        <v>187</v>
      </c>
    </row>
    <row r="86" spans="3:6" x14ac:dyDescent="0.25">
      <c r="C86" s="25" t="s">
        <v>39</v>
      </c>
      <c r="D86" s="24" t="s">
        <v>29</v>
      </c>
      <c r="E86" s="24" t="s">
        <v>156</v>
      </c>
      <c r="F86" s="24" t="s">
        <v>188</v>
      </c>
    </row>
    <row r="87" spans="3:6" x14ac:dyDescent="0.25">
      <c r="C87" s="25" t="s">
        <v>39</v>
      </c>
      <c r="D87" s="24" t="s">
        <v>29</v>
      </c>
      <c r="E87" s="24" t="s">
        <v>162</v>
      </c>
      <c r="F87" s="24" t="s">
        <v>163</v>
      </c>
    </row>
    <row r="88" spans="3:6" x14ac:dyDescent="0.25">
      <c r="C88" s="25" t="s">
        <v>39</v>
      </c>
      <c r="D88" s="24" t="s">
        <v>29</v>
      </c>
      <c r="E88" s="24" t="s">
        <v>162</v>
      </c>
      <c r="F88" s="24" t="s">
        <v>164</v>
      </c>
    </row>
    <row r="89" spans="3:6" x14ac:dyDescent="0.25">
      <c r="C89" s="25" t="s">
        <v>43</v>
      </c>
      <c r="D89" s="24" t="s">
        <v>27</v>
      </c>
      <c r="E89" s="24" t="s">
        <v>118</v>
      </c>
      <c r="F89" s="24" t="s">
        <v>155</v>
      </c>
    </row>
    <row r="90" spans="3:6" x14ac:dyDescent="0.25">
      <c r="C90" s="25" t="s">
        <v>43</v>
      </c>
      <c r="D90" s="24" t="s">
        <v>27</v>
      </c>
      <c r="E90" s="24" t="s">
        <v>156</v>
      </c>
      <c r="F90" s="24" t="s">
        <v>157</v>
      </c>
    </row>
    <row r="91" spans="3:6" x14ac:dyDescent="0.25">
      <c r="C91" s="25" t="s">
        <v>43</v>
      </c>
      <c r="D91" s="24" t="s">
        <v>27</v>
      </c>
      <c r="E91" s="24" t="s">
        <v>156</v>
      </c>
      <c r="F91" s="24" t="s">
        <v>158</v>
      </c>
    </row>
    <row r="92" spans="3:6" x14ac:dyDescent="0.25">
      <c r="C92" s="25" t="s">
        <v>43</v>
      </c>
      <c r="D92" s="24" t="s">
        <v>27</v>
      </c>
      <c r="E92" s="24" t="s">
        <v>54</v>
      </c>
      <c r="F92" s="24" t="s">
        <v>159</v>
      </c>
    </row>
    <row r="93" spans="3:6" x14ac:dyDescent="0.25">
      <c r="C93" s="25" t="s">
        <v>43</v>
      </c>
      <c r="D93" s="24" t="s">
        <v>27</v>
      </c>
      <c r="E93" s="24" t="s">
        <v>160</v>
      </c>
      <c r="F93" s="24" t="s">
        <v>161</v>
      </c>
    </row>
    <row r="94" spans="3:6" x14ac:dyDescent="0.25">
      <c r="C94" s="25" t="s">
        <v>43</v>
      </c>
      <c r="D94" s="24" t="s">
        <v>27</v>
      </c>
      <c r="E94" s="24" t="s">
        <v>162</v>
      </c>
      <c r="F94" s="24" t="s">
        <v>163</v>
      </c>
    </row>
    <row r="95" spans="3:6" x14ac:dyDescent="0.25">
      <c r="C95" s="25" t="s">
        <v>43</v>
      </c>
      <c r="D95" s="24" t="s">
        <v>27</v>
      </c>
      <c r="E95" s="24" t="s">
        <v>162</v>
      </c>
      <c r="F95" s="24" t="s">
        <v>164</v>
      </c>
    </row>
    <row r="96" spans="3:6" x14ac:dyDescent="0.25">
      <c r="C96" s="25" t="s">
        <v>43</v>
      </c>
      <c r="D96" s="24" t="s">
        <v>27</v>
      </c>
      <c r="E96" s="24" t="s">
        <v>165</v>
      </c>
      <c r="F96" s="24" t="s">
        <v>166</v>
      </c>
    </row>
    <row r="97" spans="2:6" x14ac:dyDescent="0.25">
      <c r="C97" s="25" t="s">
        <v>43</v>
      </c>
      <c r="D97" s="24" t="s">
        <v>27</v>
      </c>
      <c r="E97" s="24" t="s">
        <v>165</v>
      </c>
      <c r="F97" s="24" t="s">
        <v>167</v>
      </c>
    </row>
    <row r="98" spans="2:6" x14ac:dyDescent="0.25">
      <c r="C98" s="25" t="s">
        <v>43</v>
      </c>
      <c r="D98" s="24" t="s">
        <v>27</v>
      </c>
      <c r="E98" s="24" t="s">
        <v>165</v>
      </c>
      <c r="F98" s="24" t="s">
        <v>168</v>
      </c>
    </row>
    <row r="99" spans="2:6" x14ac:dyDescent="0.25">
      <c r="C99" s="25" t="s">
        <v>43</v>
      </c>
      <c r="D99" s="24" t="s">
        <v>27</v>
      </c>
      <c r="E99" s="24" t="s">
        <v>165</v>
      </c>
      <c r="F99" s="24" t="s">
        <v>169</v>
      </c>
    </row>
    <row r="100" spans="2:6" x14ac:dyDescent="0.25">
      <c r="C100" s="25" t="s">
        <v>43</v>
      </c>
      <c r="D100" s="24" t="s">
        <v>27</v>
      </c>
      <c r="E100" s="24" t="s">
        <v>165</v>
      </c>
      <c r="F100" s="24" t="s">
        <v>170</v>
      </c>
    </row>
    <row r="101" spans="2:6" x14ac:dyDescent="0.25">
      <c r="C101" s="25" t="s">
        <v>43</v>
      </c>
      <c r="D101" s="24" t="s">
        <v>29</v>
      </c>
      <c r="E101" s="24" t="s">
        <v>52</v>
      </c>
      <c r="F101" s="24" t="s">
        <v>172</v>
      </c>
    </row>
    <row r="102" spans="2:6" x14ac:dyDescent="0.25">
      <c r="C102" s="25" t="s">
        <v>43</v>
      </c>
      <c r="D102" s="24" t="s">
        <v>29</v>
      </c>
      <c r="E102" s="24" t="s">
        <v>118</v>
      </c>
      <c r="F102" s="24" t="s">
        <v>120</v>
      </c>
    </row>
    <row r="103" spans="2:6" x14ac:dyDescent="0.25">
      <c r="C103" s="25" t="s">
        <v>43</v>
      </c>
      <c r="D103" s="24" t="s">
        <v>29</v>
      </c>
      <c r="E103" s="24" t="s">
        <v>118</v>
      </c>
      <c r="F103" s="24" t="s">
        <v>187</v>
      </c>
    </row>
    <row r="104" spans="2:6" x14ac:dyDescent="0.25">
      <c r="C104" s="25" t="s">
        <v>43</v>
      </c>
      <c r="D104" s="24" t="s">
        <v>29</v>
      </c>
      <c r="E104" s="24" t="s">
        <v>162</v>
      </c>
      <c r="F104" s="24" t="s">
        <v>163</v>
      </c>
    </row>
    <row r="105" spans="2:6" x14ac:dyDescent="0.25">
      <c r="C105" s="25" t="s">
        <v>43</v>
      </c>
      <c r="D105" s="24" t="s">
        <v>29</v>
      </c>
      <c r="E105" s="24" t="s">
        <v>162</v>
      </c>
      <c r="F105" s="24" t="s">
        <v>164</v>
      </c>
    </row>
    <row r="107" spans="2:6" ht="18.75" x14ac:dyDescent="0.25">
      <c r="C107" s="5" t="s">
        <v>58</v>
      </c>
    </row>
    <row r="108" spans="2:6" x14ac:dyDescent="0.25">
      <c r="B108" t="s">
        <v>59</v>
      </c>
      <c r="C108" s="1" t="s">
        <v>60</v>
      </c>
      <c r="D108" s="1" t="s">
        <v>61</v>
      </c>
      <c r="E108" s="1" t="s">
        <v>62</v>
      </c>
      <c r="F108" s="1" t="s">
        <v>63</v>
      </c>
    </row>
    <row r="109" spans="2:6" ht="30" x14ac:dyDescent="0.25">
      <c r="B109" s="7">
        <v>1</v>
      </c>
      <c r="C109" s="1">
        <v>1</v>
      </c>
      <c r="D109" s="21" t="s">
        <v>189</v>
      </c>
      <c r="E109" s="21" t="s">
        <v>190</v>
      </c>
      <c r="F109" s="21" t="s">
        <v>191</v>
      </c>
    </row>
    <row r="110" spans="2:6" x14ac:dyDescent="0.25">
      <c r="B110" s="7">
        <v>1</v>
      </c>
      <c r="C110" s="1">
        <v>2</v>
      </c>
      <c r="D110" s="21" t="s">
        <v>192</v>
      </c>
      <c r="E110" s="21" t="s">
        <v>193</v>
      </c>
      <c r="F110" s="21" t="s">
        <v>191</v>
      </c>
    </row>
    <row r="111" spans="2:6" x14ac:dyDescent="0.25">
      <c r="B111" s="7">
        <v>1</v>
      </c>
      <c r="C111" s="1">
        <v>3</v>
      </c>
      <c r="D111" s="21" t="s">
        <v>194</v>
      </c>
      <c r="E111" s="21"/>
      <c r="F111" s="21" t="s">
        <v>18</v>
      </c>
    </row>
    <row r="112" spans="2:6" x14ac:dyDescent="0.25">
      <c r="B112" s="7">
        <v>1</v>
      </c>
      <c r="C112" s="1">
        <v>4</v>
      </c>
      <c r="D112" s="21" t="s">
        <v>195</v>
      </c>
      <c r="E112" s="21" t="s">
        <v>196</v>
      </c>
      <c r="F112" s="21" t="s">
        <v>191</v>
      </c>
    </row>
    <row r="113" spans="2:6" ht="30" x14ac:dyDescent="0.25">
      <c r="B113" s="7">
        <v>1</v>
      </c>
      <c r="C113" s="1">
        <v>5</v>
      </c>
      <c r="D113" s="21" t="s">
        <v>197</v>
      </c>
      <c r="E113" s="21" t="s">
        <v>198</v>
      </c>
      <c r="F113" s="21" t="s">
        <v>191</v>
      </c>
    </row>
    <row r="114" spans="2:6" ht="30" x14ac:dyDescent="0.25">
      <c r="B114" s="7">
        <v>1</v>
      </c>
      <c r="C114" s="1">
        <v>6</v>
      </c>
      <c r="D114" s="21" t="s">
        <v>199</v>
      </c>
      <c r="E114" s="21" t="s">
        <v>200</v>
      </c>
      <c r="F114" s="21" t="s">
        <v>191</v>
      </c>
    </row>
    <row r="115" spans="2:6" x14ac:dyDescent="0.25">
      <c r="B115" s="7">
        <v>1</v>
      </c>
      <c r="C115" s="1">
        <v>7</v>
      </c>
      <c r="D115" s="21" t="s">
        <v>201</v>
      </c>
      <c r="E115" s="21"/>
      <c r="F115" s="21" t="s">
        <v>18</v>
      </c>
    </row>
    <row r="116" spans="2:6" ht="30" x14ac:dyDescent="0.25">
      <c r="B116" s="7">
        <v>1</v>
      </c>
      <c r="C116" s="1">
        <v>8</v>
      </c>
      <c r="D116" s="21" t="s">
        <v>202</v>
      </c>
      <c r="E116" s="21" t="s">
        <v>203</v>
      </c>
      <c r="F116" s="21" t="s">
        <v>191</v>
      </c>
    </row>
    <row r="117" spans="2:6" ht="45" x14ac:dyDescent="0.25">
      <c r="B117" s="7">
        <v>1</v>
      </c>
      <c r="C117" s="1">
        <v>9</v>
      </c>
      <c r="D117" s="21" t="s">
        <v>204</v>
      </c>
      <c r="E117" s="21" t="s">
        <v>205</v>
      </c>
      <c r="F117" s="21" t="s">
        <v>191</v>
      </c>
    </row>
    <row r="118" spans="2:6" x14ac:dyDescent="0.25">
      <c r="B118" s="7">
        <v>1</v>
      </c>
      <c r="C118" s="1">
        <v>10</v>
      </c>
      <c r="D118" s="21" t="s">
        <v>206</v>
      </c>
      <c r="E118" s="21"/>
      <c r="F118" s="21" t="s">
        <v>18</v>
      </c>
    </row>
    <row r="119" spans="2:6" x14ac:dyDescent="0.25">
      <c r="B119" s="7">
        <v>1</v>
      </c>
      <c r="C119" s="1">
        <v>11</v>
      </c>
      <c r="D119" s="21" t="s">
        <v>207</v>
      </c>
      <c r="E119" s="21"/>
      <c r="F119" s="21" t="s">
        <v>19</v>
      </c>
    </row>
    <row r="120" spans="2:6" x14ac:dyDescent="0.25">
      <c r="B120" s="7">
        <v>1</v>
      </c>
      <c r="C120" s="1">
        <v>12</v>
      </c>
      <c r="D120" s="21"/>
      <c r="E120" s="21"/>
      <c r="F120" s="21"/>
    </row>
  </sheetData>
  <sheetProtection sheet="1" objects="1" scenarios="1" selectLockedCells="1" sort="0" autoFilter="0" pivotTables="0"/>
  <dataValidations count="4">
    <dataValidation type="list" allowBlank="1" showInputMessage="1" showErrorMessage="1" sqref="E38:E39"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 type="list" allowBlank="1" showInputMessage="1" showErrorMessage="1" sqref="F44:F105" xr:uid="{199417CD-50E7-40D5-ADCF-61994B27264E}">
      <formula1>INDIRECT(VLOOKUP($E44,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 type="list" allowBlank="1" showInputMessage="1" showErrorMessage="1" xr:uid="{E4C466FC-4B20-43FE-83BB-6DB372D1E2AF}">
          <x14:formula1>
            <xm:f>LISTS!$G$7:$G$11</xm:f>
          </x14:formula1>
          <xm:sqref>D38:D40</xm:sqref>
        </x14:dataValidation>
        <x14:dataValidation type="list" allowBlank="1" showInputMessage="1" showErrorMessage="1" xr:uid="{5C65280C-5249-4CA6-9640-3CC5D292F59A}">
          <x14:formula1>
            <xm:f>LISTS!$J$7:$J$16</xm:f>
          </x14:formula1>
          <xm:sqref>E44:E105</xm:sqref>
        </x14:dataValidation>
        <x14:dataValidation type="list" allowBlank="1" showInputMessage="1" showErrorMessage="1" xr:uid="{009B3F76-CBC5-41A8-84DE-D4AD00A25980}">
          <x14:formula1>
            <xm:f>LISTS!$E$7:$E$11</xm:f>
          </x14:formula1>
          <xm:sqref>D44:D105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6B122-2708-4270-8EB4-FF346B869DC1}">
  <sheetPr codeName="Sheet7"/>
  <dimension ref="B2:H120"/>
  <sheetViews>
    <sheetView showGridLines="0" zoomScale="85" zoomScaleNormal="85" workbookViewId="0">
      <selection activeCell="D9" sqref="D9"/>
    </sheetView>
  </sheetViews>
  <sheetFormatPr defaultRowHeight="15" x14ac:dyDescent="0.25"/>
  <cols>
    <col min="3" max="3" width="25.5703125" customWidth="1"/>
    <col min="4" max="4" width="47.7109375" customWidth="1"/>
    <col min="5" max="5" width="58.28515625" customWidth="1"/>
    <col min="6" max="6" width="59.85546875" customWidth="1"/>
    <col min="7" max="7" width="11.42578125" customWidth="1"/>
    <col min="8" max="8" width="11.28515625" customWidth="1"/>
    <col min="9" max="9" width="14.7109375" customWidth="1"/>
  </cols>
  <sheetData>
    <row r="2" spans="2:6" ht="26.25" x14ac:dyDescent="0.4">
      <c r="C2" s="20" t="str">
        <f>D7</f>
        <v>5204SPS</v>
      </c>
      <c r="D2" s="20" t="str">
        <f>D8</f>
        <v>Physical Education in Action 1</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342</v>
      </c>
      <c r="E7" s="4"/>
      <c r="F7" s="27"/>
    </row>
    <row r="8" spans="2:6" x14ac:dyDescent="0.25">
      <c r="B8" s="2"/>
      <c r="C8" s="3" t="s">
        <v>5</v>
      </c>
      <c r="D8" s="21" t="s">
        <v>343</v>
      </c>
      <c r="E8" s="4"/>
      <c r="F8" s="24"/>
    </row>
    <row r="9" spans="2:6" x14ac:dyDescent="0.25">
      <c r="C9" s="3" t="s">
        <v>6</v>
      </c>
      <c r="D9" s="21"/>
      <c r="E9" s="4"/>
    </row>
    <row r="10" spans="2:6" x14ac:dyDescent="0.25">
      <c r="C10" s="3" t="s">
        <v>7</v>
      </c>
      <c r="D10" s="21"/>
      <c r="E10" s="4"/>
      <c r="F10" t="s">
        <v>8</v>
      </c>
    </row>
    <row r="11" spans="2:6" x14ac:dyDescent="0.25">
      <c r="C11" s="3" t="s">
        <v>9</v>
      </c>
      <c r="D11" s="21"/>
      <c r="E11" s="4"/>
      <c r="F11" s="27"/>
    </row>
    <row r="12" spans="2:6" x14ac:dyDescent="0.25">
      <c r="C12" s="3" t="s">
        <v>10</v>
      </c>
      <c r="D12" s="21"/>
      <c r="E12" s="4"/>
      <c r="F12" s="24"/>
    </row>
    <row r="13" spans="2:6" x14ac:dyDescent="0.25">
      <c r="C13" s="3" t="s">
        <v>11</v>
      </c>
      <c r="D13" s="21"/>
      <c r="E13" s="4"/>
      <c r="F13" s="24"/>
    </row>
    <row r="14" spans="2:6" x14ac:dyDescent="0.25">
      <c r="C14" s="3" t="s">
        <v>12</v>
      </c>
      <c r="D14" s="21"/>
      <c r="E14" s="4"/>
    </row>
    <row r="15" spans="2:6" x14ac:dyDescent="0.25">
      <c r="C15" s="3"/>
      <c r="D15" s="4"/>
      <c r="E15" s="4"/>
      <c r="F15" t="s">
        <v>13</v>
      </c>
    </row>
    <row r="16" spans="2:6" x14ac:dyDescent="0.25">
      <c r="C16" s="3"/>
      <c r="D16" s="4"/>
      <c r="E16" s="4"/>
      <c r="F16" s="27"/>
    </row>
    <row r="17" spans="3:6" ht="18.75" x14ac:dyDescent="0.25">
      <c r="C17" s="5" t="s">
        <v>14</v>
      </c>
      <c r="D17" s="4"/>
      <c r="E17" s="4"/>
      <c r="F17" s="24"/>
    </row>
    <row r="18" spans="3:6" x14ac:dyDescent="0.25">
      <c r="C18" s="3" t="s">
        <v>15</v>
      </c>
      <c r="D18" s="1" t="s">
        <v>14</v>
      </c>
      <c r="E18" s="4"/>
      <c r="F18" s="24"/>
    </row>
    <row r="19" spans="3:6" x14ac:dyDescent="0.25">
      <c r="C19" s="3" t="s">
        <v>16</v>
      </c>
      <c r="D19" s="26"/>
      <c r="E19" s="4"/>
      <c r="F19" s="24"/>
    </row>
    <row r="20" spans="3:6" x14ac:dyDescent="0.25">
      <c r="C20" s="3" t="s">
        <v>17</v>
      </c>
      <c r="D20" s="26"/>
      <c r="E20" s="4"/>
      <c r="F20" s="24"/>
    </row>
    <row r="21" spans="3:6" x14ac:dyDescent="0.25">
      <c r="C21" s="3" t="s">
        <v>18</v>
      </c>
      <c r="D21" s="26"/>
      <c r="E21" s="4"/>
    </row>
    <row r="22" spans="3:6" x14ac:dyDescent="0.25">
      <c r="C22" s="3" t="s">
        <v>19</v>
      </c>
      <c r="D22" s="26"/>
      <c r="E22" s="4"/>
      <c r="F22" t="s">
        <v>20</v>
      </c>
    </row>
    <row r="23" spans="3:6" x14ac:dyDescent="0.25">
      <c r="C23" s="3" t="s">
        <v>21</v>
      </c>
      <c r="D23" s="26"/>
      <c r="E23" s="4"/>
      <c r="F23" s="24" t="s">
        <v>148</v>
      </c>
    </row>
    <row r="24" spans="3:6" x14ac:dyDescent="0.25">
      <c r="C24" s="3" t="s">
        <v>22</v>
      </c>
      <c r="D24" s="1">
        <f>SUM(D19:D23)</f>
        <v>0</v>
      </c>
      <c r="E24" s="4"/>
      <c r="F24" s="24"/>
    </row>
    <row r="25" spans="3:6" x14ac:dyDescent="0.25">
      <c r="F25" s="24"/>
    </row>
    <row r="26" spans="3:6" x14ac:dyDescent="0.25">
      <c r="F26" s="24"/>
    </row>
    <row r="27" spans="3:6" ht="18.75" x14ac:dyDescent="0.25">
      <c r="C27" s="5" t="s">
        <v>23</v>
      </c>
      <c r="D27" s="12" t="s">
        <v>24</v>
      </c>
      <c r="F27" s="24"/>
    </row>
    <row r="28" spans="3:6" x14ac:dyDescent="0.25">
      <c r="C28" s="3" t="s">
        <v>25</v>
      </c>
      <c r="D28" s="3" t="s">
        <v>26</v>
      </c>
      <c r="E28" s="3"/>
      <c r="F28" s="24"/>
    </row>
    <row r="29" spans="3:6" x14ac:dyDescent="0.25">
      <c r="C29" s="3" t="s">
        <v>27</v>
      </c>
      <c r="D29" s="21"/>
      <c r="E29" s="4"/>
      <c r="F29" s="24"/>
    </row>
    <row r="30" spans="3:6" x14ac:dyDescent="0.25">
      <c r="C30" s="3" t="s">
        <v>28</v>
      </c>
      <c r="D30" s="21"/>
      <c r="E30" s="4"/>
      <c r="F30" s="24"/>
    </row>
    <row r="31" spans="3:6" x14ac:dyDescent="0.25">
      <c r="C31" s="3" t="s">
        <v>29</v>
      </c>
      <c r="D31" s="21"/>
      <c r="E31" s="4"/>
      <c r="F31" s="24"/>
    </row>
    <row r="32" spans="3:6" x14ac:dyDescent="0.25">
      <c r="C32" s="3" t="s">
        <v>30</v>
      </c>
      <c r="D32" s="21"/>
      <c r="E32" s="4"/>
      <c r="F32" s="24"/>
    </row>
    <row r="33" spans="3:8" x14ac:dyDescent="0.25">
      <c r="C33" s="3" t="s">
        <v>31</v>
      </c>
      <c r="D33" s="21"/>
      <c r="E33" s="4"/>
      <c r="F33" s="24"/>
    </row>
    <row r="36" spans="3:8" ht="18.75" x14ac:dyDescent="0.25">
      <c r="C36" s="5" t="s">
        <v>32</v>
      </c>
    </row>
    <row r="37" spans="3:8" x14ac:dyDescent="0.25">
      <c r="C37" s="3" t="s">
        <v>33</v>
      </c>
      <c r="D37" s="3" t="s">
        <v>34</v>
      </c>
      <c r="E37" s="3" t="s">
        <v>35</v>
      </c>
      <c r="F37" s="3" t="s">
        <v>36</v>
      </c>
      <c r="G37" s="3" t="s">
        <v>37</v>
      </c>
      <c r="H37" s="3" t="s">
        <v>38</v>
      </c>
    </row>
    <row r="38" spans="3:8" x14ac:dyDescent="0.25">
      <c r="C38" s="3" t="s">
        <v>39</v>
      </c>
      <c r="D38" s="21"/>
      <c r="E38" s="21"/>
      <c r="F38" s="21"/>
      <c r="G38" s="23"/>
      <c r="H38" s="21"/>
    </row>
    <row r="39" spans="3:8" x14ac:dyDescent="0.25">
      <c r="C39" s="3" t="s">
        <v>43</v>
      </c>
      <c r="D39" s="21"/>
      <c r="E39" s="21"/>
      <c r="F39" s="21"/>
      <c r="G39" s="23"/>
      <c r="H39" s="21"/>
    </row>
    <row r="40" spans="3:8" x14ac:dyDescent="0.25">
      <c r="C40" s="3"/>
    </row>
    <row r="41" spans="3:8" ht="18" customHeight="1" x14ac:dyDescent="0.25"/>
    <row r="42" spans="3:8" ht="40.5" customHeight="1" x14ac:dyDescent="0.25">
      <c r="C42" s="5" t="s">
        <v>46</v>
      </c>
      <c r="D42" s="12"/>
    </row>
    <row r="43" spans="3:8" x14ac:dyDescent="0.25">
      <c r="C43" s="1" t="s">
        <v>33</v>
      </c>
      <c r="D43" s="1" t="s">
        <v>25</v>
      </c>
      <c r="E43" s="1" t="s">
        <v>47</v>
      </c>
      <c r="F43" s="1" t="s">
        <v>48</v>
      </c>
    </row>
    <row r="44" spans="3:8" x14ac:dyDescent="0.25">
      <c r="C44" s="25" t="s">
        <v>39</v>
      </c>
      <c r="D44" s="24" t="s">
        <v>27</v>
      </c>
      <c r="E44" s="24" t="s">
        <v>118</v>
      </c>
      <c r="F44" s="24" t="s">
        <v>155</v>
      </c>
    </row>
    <row r="45" spans="3:8" x14ac:dyDescent="0.25">
      <c r="C45" s="25" t="s">
        <v>39</v>
      </c>
      <c r="D45" s="24" t="s">
        <v>27</v>
      </c>
      <c r="E45" s="24" t="s">
        <v>156</v>
      </c>
      <c r="F45" s="24" t="s">
        <v>157</v>
      </c>
    </row>
    <row r="46" spans="3:8" x14ac:dyDescent="0.25">
      <c r="C46" s="25" t="s">
        <v>39</v>
      </c>
      <c r="D46" s="24" t="s">
        <v>27</v>
      </c>
      <c r="E46" s="24" t="s">
        <v>156</v>
      </c>
      <c r="F46" s="24" t="s">
        <v>158</v>
      </c>
    </row>
    <row r="47" spans="3:8" x14ac:dyDescent="0.25">
      <c r="C47" s="25" t="s">
        <v>39</v>
      </c>
      <c r="D47" s="24" t="s">
        <v>27</v>
      </c>
      <c r="E47" s="24" t="s">
        <v>54</v>
      </c>
      <c r="F47" s="24" t="s">
        <v>159</v>
      </c>
    </row>
    <row r="48" spans="3:8" x14ac:dyDescent="0.25">
      <c r="C48" s="25" t="s">
        <v>39</v>
      </c>
      <c r="D48" s="24"/>
      <c r="E48" s="24"/>
      <c r="F48" s="24"/>
    </row>
    <row r="49" spans="3:6" x14ac:dyDescent="0.25">
      <c r="C49" s="25" t="s">
        <v>39</v>
      </c>
      <c r="D49" s="24"/>
      <c r="E49" s="24"/>
      <c r="F49" s="24"/>
    </row>
    <row r="50" spans="3:6" x14ac:dyDescent="0.25">
      <c r="C50" s="25" t="s">
        <v>39</v>
      </c>
      <c r="D50" s="24"/>
      <c r="E50" s="24"/>
      <c r="F50" s="24"/>
    </row>
    <row r="51" spans="3:6" x14ac:dyDescent="0.25">
      <c r="C51" s="25" t="s">
        <v>39</v>
      </c>
      <c r="D51" s="24"/>
      <c r="E51" s="24"/>
      <c r="F51" s="24"/>
    </row>
    <row r="52" spans="3:6" x14ac:dyDescent="0.25">
      <c r="C52" s="25" t="s">
        <v>39</v>
      </c>
      <c r="D52" s="24"/>
      <c r="E52" s="24"/>
      <c r="F52" s="24"/>
    </row>
    <row r="53" spans="3:6" x14ac:dyDescent="0.25">
      <c r="C53" s="25" t="s">
        <v>39</v>
      </c>
      <c r="D53" s="24"/>
      <c r="E53" s="24"/>
      <c r="F53" s="24"/>
    </row>
    <row r="54" spans="3:6" x14ac:dyDescent="0.25">
      <c r="C54" s="25" t="s">
        <v>39</v>
      </c>
      <c r="D54" s="24"/>
      <c r="E54" s="24"/>
      <c r="F54" s="24"/>
    </row>
    <row r="55" spans="3:6" x14ac:dyDescent="0.25">
      <c r="C55" s="25" t="s">
        <v>39</v>
      </c>
      <c r="D55" s="24"/>
      <c r="E55" s="24"/>
      <c r="F55" s="24"/>
    </row>
    <row r="56" spans="3:6" ht="14.25" customHeight="1" x14ac:dyDescent="0.25">
      <c r="C56" s="25" t="s">
        <v>39</v>
      </c>
      <c r="D56" s="24"/>
      <c r="E56" s="24"/>
      <c r="F56" s="24"/>
    </row>
    <row r="57" spans="3:6" ht="14.25" customHeight="1" x14ac:dyDescent="0.25">
      <c r="C57" s="25" t="s">
        <v>39</v>
      </c>
      <c r="D57" s="24"/>
      <c r="E57" s="24"/>
      <c r="F57" s="24"/>
    </row>
    <row r="58" spans="3:6" ht="14.25" customHeight="1" x14ac:dyDescent="0.25">
      <c r="C58" s="25" t="s">
        <v>39</v>
      </c>
      <c r="D58" s="24"/>
      <c r="E58" s="24"/>
      <c r="F58" s="24"/>
    </row>
    <row r="59" spans="3:6" ht="14.25" customHeight="1" x14ac:dyDescent="0.25">
      <c r="C59" s="25" t="s">
        <v>39</v>
      </c>
      <c r="D59" s="24"/>
      <c r="E59" s="24"/>
      <c r="F59" s="24"/>
    </row>
    <row r="60" spans="3:6" ht="14.25" customHeight="1" x14ac:dyDescent="0.25">
      <c r="C60" s="25" t="s">
        <v>39</v>
      </c>
      <c r="D60" s="24"/>
      <c r="E60" s="24"/>
      <c r="F60" s="24"/>
    </row>
    <row r="61" spans="3:6" x14ac:dyDescent="0.25">
      <c r="C61" s="25" t="s">
        <v>39</v>
      </c>
      <c r="D61" s="24"/>
      <c r="E61" s="24"/>
      <c r="F61" s="24"/>
    </row>
    <row r="62" spans="3:6" x14ac:dyDescent="0.25">
      <c r="C62" s="25" t="s">
        <v>39</v>
      </c>
      <c r="D62" s="24"/>
      <c r="E62" s="24"/>
      <c r="F62" s="24"/>
    </row>
    <row r="63" spans="3:6" x14ac:dyDescent="0.25">
      <c r="C63" s="25" t="s">
        <v>39</v>
      </c>
      <c r="D63" s="24"/>
      <c r="E63" s="24"/>
      <c r="F63" s="24"/>
    </row>
    <row r="64" spans="3:6" x14ac:dyDescent="0.25">
      <c r="C64" s="25" t="s">
        <v>39</v>
      </c>
      <c r="D64" s="24"/>
      <c r="E64" s="24"/>
      <c r="F64" s="24"/>
    </row>
    <row r="65" spans="3:6" x14ac:dyDescent="0.25">
      <c r="C65" s="25" t="s">
        <v>39</v>
      </c>
      <c r="D65" s="24"/>
      <c r="E65" s="24"/>
      <c r="F65" s="24"/>
    </row>
    <row r="66" spans="3:6" x14ac:dyDescent="0.25">
      <c r="C66" s="25" t="s">
        <v>39</v>
      </c>
      <c r="D66" s="24"/>
      <c r="E66" s="24"/>
      <c r="F66" s="24"/>
    </row>
    <row r="67" spans="3:6" x14ac:dyDescent="0.25">
      <c r="C67" s="25" t="s">
        <v>39</v>
      </c>
      <c r="D67" s="24"/>
      <c r="E67" s="24"/>
      <c r="F67" s="24"/>
    </row>
    <row r="68" spans="3:6" x14ac:dyDescent="0.25">
      <c r="C68" s="25" t="s">
        <v>39</v>
      </c>
      <c r="D68" s="24"/>
      <c r="E68" s="24"/>
      <c r="F68" s="24"/>
    </row>
    <row r="69" spans="3:6" x14ac:dyDescent="0.25">
      <c r="C69" s="25" t="s">
        <v>39</v>
      </c>
      <c r="D69" s="24"/>
      <c r="E69" s="24"/>
      <c r="F69" s="24"/>
    </row>
    <row r="70" spans="3:6" x14ac:dyDescent="0.25">
      <c r="C70" s="25" t="s">
        <v>39</v>
      </c>
      <c r="D70" s="24"/>
      <c r="E70" s="24"/>
      <c r="F70" s="24"/>
    </row>
    <row r="71" spans="3:6" x14ac:dyDescent="0.25">
      <c r="C71" s="25" t="s">
        <v>39</v>
      </c>
      <c r="D71" s="24"/>
      <c r="E71" s="24"/>
      <c r="F71" s="24"/>
    </row>
    <row r="72" spans="3:6" x14ac:dyDescent="0.25">
      <c r="C72" s="25" t="s">
        <v>39</v>
      </c>
      <c r="D72" s="24"/>
      <c r="E72" s="24"/>
      <c r="F72" s="24"/>
    </row>
    <row r="73" spans="3:6" x14ac:dyDescent="0.25">
      <c r="C73" s="25" t="s">
        <v>39</v>
      </c>
      <c r="D73" s="24"/>
      <c r="E73" s="24"/>
      <c r="F73" s="24"/>
    </row>
    <row r="74" spans="3:6" x14ac:dyDescent="0.25">
      <c r="C74" s="25" t="s">
        <v>39</v>
      </c>
      <c r="D74" s="24"/>
      <c r="E74" s="24"/>
      <c r="F74" s="24"/>
    </row>
    <row r="75" spans="3:6" x14ac:dyDescent="0.25">
      <c r="C75" s="25" t="s">
        <v>39</v>
      </c>
      <c r="D75" s="24"/>
      <c r="E75" s="24"/>
      <c r="F75" s="24"/>
    </row>
    <row r="76" spans="3:6" x14ac:dyDescent="0.25">
      <c r="C76" s="25" t="s">
        <v>39</v>
      </c>
      <c r="D76" s="24"/>
      <c r="E76" s="24"/>
      <c r="F76" s="24"/>
    </row>
    <row r="77" spans="3:6" x14ac:dyDescent="0.25">
      <c r="C77" s="25" t="s">
        <v>39</v>
      </c>
      <c r="D77" s="24"/>
      <c r="E77" s="24"/>
      <c r="F77" s="24"/>
    </row>
    <row r="78" spans="3:6" x14ac:dyDescent="0.25">
      <c r="C78" s="25" t="s">
        <v>39</v>
      </c>
      <c r="D78" s="24"/>
      <c r="E78" s="24"/>
      <c r="F78" s="24"/>
    </row>
    <row r="79" spans="3:6" x14ac:dyDescent="0.25">
      <c r="C79" s="25" t="s">
        <v>39</v>
      </c>
      <c r="D79" s="24"/>
      <c r="E79" s="24"/>
      <c r="F79" s="24"/>
    </row>
    <row r="80" spans="3:6" x14ac:dyDescent="0.25">
      <c r="C80" s="25" t="s">
        <v>39</v>
      </c>
      <c r="D80" s="24"/>
      <c r="E80" s="24"/>
      <c r="F80" s="24"/>
    </row>
    <row r="81" spans="3:6" x14ac:dyDescent="0.25">
      <c r="C81" s="25" t="s">
        <v>39</v>
      </c>
      <c r="D81" s="24"/>
      <c r="E81" s="24"/>
      <c r="F81" s="24"/>
    </row>
    <row r="82" spans="3:6" x14ac:dyDescent="0.25">
      <c r="C82" s="25" t="s">
        <v>39</v>
      </c>
      <c r="D82" s="24"/>
      <c r="E82" s="24"/>
      <c r="F82" s="24"/>
    </row>
    <row r="83" spans="3:6" x14ac:dyDescent="0.25">
      <c r="C83" s="25" t="s">
        <v>39</v>
      </c>
      <c r="D83" s="24"/>
      <c r="E83" s="24"/>
      <c r="F83" s="24"/>
    </row>
    <row r="84" spans="3:6" x14ac:dyDescent="0.25">
      <c r="C84" s="25" t="s">
        <v>39</v>
      </c>
      <c r="D84" s="24"/>
      <c r="E84" s="24"/>
      <c r="F84" s="24"/>
    </row>
    <row r="85" spans="3:6" x14ac:dyDescent="0.25">
      <c r="C85" s="25" t="s">
        <v>39</v>
      </c>
      <c r="D85" s="24"/>
      <c r="E85" s="24"/>
      <c r="F85" s="24"/>
    </row>
    <row r="86" spans="3:6" x14ac:dyDescent="0.25">
      <c r="C86" s="25" t="s">
        <v>39</v>
      </c>
      <c r="D86" s="24"/>
      <c r="E86" s="24"/>
      <c r="F86" s="24"/>
    </row>
    <row r="87" spans="3:6" x14ac:dyDescent="0.25">
      <c r="C87" s="25" t="s">
        <v>39</v>
      </c>
      <c r="D87" s="24"/>
      <c r="E87" s="24"/>
      <c r="F87" s="24"/>
    </row>
    <row r="88" spans="3:6" x14ac:dyDescent="0.25">
      <c r="C88" s="25" t="s">
        <v>39</v>
      </c>
      <c r="D88" s="24"/>
      <c r="E88" s="24"/>
      <c r="F88" s="24"/>
    </row>
    <row r="89" spans="3:6" x14ac:dyDescent="0.25">
      <c r="C89" s="25" t="s">
        <v>43</v>
      </c>
      <c r="D89" s="24"/>
      <c r="E89" s="24"/>
      <c r="F89" s="24"/>
    </row>
    <row r="90" spans="3:6" x14ac:dyDescent="0.25">
      <c r="C90" s="25" t="s">
        <v>43</v>
      </c>
      <c r="D90" s="24"/>
      <c r="E90" s="24"/>
      <c r="F90" s="24"/>
    </row>
    <row r="91" spans="3:6" x14ac:dyDescent="0.25">
      <c r="C91" s="25" t="s">
        <v>43</v>
      </c>
      <c r="D91" s="24"/>
      <c r="E91" s="24"/>
      <c r="F91" s="24"/>
    </row>
    <row r="92" spans="3:6" x14ac:dyDescent="0.25">
      <c r="C92" s="25" t="s">
        <v>43</v>
      </c>
      <c r="D92" s="24"/>
      <c r="E92" s="24"/>
      <c r="F92" s="24"/>
    </row>
    <row r="93" spans="3:6" x14ac:dyDescent="0.25">
      <c r="C93" s="25" t="s">
        <v>43</v>
      </c>
      <c r="D93" s="24"/>
      <c r="E93" s="24"/>
      <c r="F93" s="24"/>
    </row>
    <row r="94" spans="3:6" x14ac:dyDescent="0.25">
      <c r="C94" s="25" t="s">
        <v>43</v>
      </c>
      <c r="D94" s="24"/>
      <c r="E94" s="24"/>
      <c r="F94" s="24"/>
    </row>
    <row r="95" spans="3:6" x14ac:dyDescent="0.25">
      <c r="C95" s="25" t="s">
        <v>43</v>
      </c>
      <c r="D95" s="24"/>
      <c r="E95" s="24"/>
      <c r="F95" s="24"/>
    </row>
    <row r="96" spans="3:6" x14ac:dyDescent="0.25">
      <c r="C96" s="25" t="s">
        <v>43</v>
      </c>
      <c r="D96" s="24"/>
      <c r="E96" s="24"/>
      <c r="F96" s="24"/>
    </row>
    <row r="97" spans="2:6" x14ac:dyDescent="0.25">
      <c r="C97" s="25" t="s">
        <v>43</v>
      </c>
      <c r="D97" s="24"/>
      <c r="E97" s="24"/>
      <c r="F97" s="24"/>
    </row>
    <row r="98" spans="2:6" x14ac:dyDescent="0.25">
      <c r="C98" s="25" t="s">
        <v>43</v>
      </c>
      <c r="D98" s="24"/>
      <c r="E98" s="24"/>
      <c r="F98" s="24"/>
    </row>
    <row r="99" spans="2:6" x14ac:dyDescent="0.25">
      <c r="C99" s="25" t="s">
        <v>43</v>
      </c>
      <c r="D99" s="24"/>
      <c r="E99" s="24"/>
      <c r="F99" s="24"/>
    </row>
    <row r="100" spans="2:6" x14ac:dyDescent="0.25">
      <c r="C100" s="25" t="s">
        <v>43</v>
      </c>
      <c r="D100" s="24"/>
      <c r="E100" s="24"/>
      <c r="F100" s="24"/>
    </row>
    <row r="101" spans="2:6" x14ac:dyDescent="0.25">
      <c r="C101" s="25" t="s">
        <v>43</v>
      </c>
      <c r="D101" s="24"/>
      <c r="E101" s="24"/>
      <c r="F101" s="24"/>
    </row>
    <row r="102" spans="2:6" x14ac:dyDescent="0.25">
      <c r="C102" s="25" t="s">
        <v>43</v>
      </c>
      <c r="D102" s="24"/>
      <c r="E102" s="24"/>
      <c r="F102" s="24"/>
    </row>
    <row r="103" spans="2:6" x14ac:dyDescent="0.25">
      <c r="C103" s="25" t="s">
        <v>43</v>
      </c>
      <c r="D103" s="24"/>
      <c r="E103" s="24"/>
      <c r="F103" s="24"/>
    </row>
    <row r="104" spans="2:6" x14ac:dyDescent="0.25">
      <c r="C104" s="25" t="s">
        <v>43</v>
      </c>
      <c r="D104" s="24"/>
      <c r="E104" s="24"/>
      <c r="F104" s="24"/>
    </row>
    <row r="105" spans="2:6" x14ac:dyDescent="0.25">
      <c r="C105" s="25" t="s">
        <v>43</v>
      </c>
      <c r="D105" s="24"/>
      <c r="E105" s="24"/>
      <c r="F105" s="24"/>
    </row>
    <row r="107" spans="2:6" ht="18.75" x14ac:dyDescent="0.25">
      <c r="C107" s="5" t="s">
        <v>58</v>
      </c>
    </row>
    <row r="108" spans="2:6" x14ac:dyDescent="0.25">
      <c r="B108" t="s">
        <v>59</v>
      </c>
      <c r="C108" s="1" t="s">
        <v>60</v>
      </c>
      <c r="D108" s="1" t="s">
        <v>61</v>
      </c>
      <c r="E108" s="1" t="s">
        <v>62</v>
      </c>
      <c r="F108" s="1" t="s">
        <v>63</v>
      </c>
    </row>
    <row r="109" spans="2:6" x14ac:dyDescent="0.25">
      <c r="B109" s="7">
        <v>1</v>
      </c>
      <c r="C109" s="1">
        <v>1</v>
      </c>
      <c r="D109" s="21"/>
      <c r="E109" s="21"/>
      <c r="F109" s="21"/>
    </row>
    <row r="110" spans="2:6" x14ac:dyDescent="0.25">
      <c r="B110" s="7">
        <v>1</v>
      </c>
      <c r="C110" s="1">
        <v>2</v>
      </c>
      <c r="D110" s="21"/>
      <c r="E110" s="21"/>
      <c r="F110" s="21"/>
    </row>
    <row r="111" spans="2:6" x14ac:dyDescent="0.25">
      <c r="B111" s="7">
        <v>1</v>
      </c>
      <c r="C111" s="1">
        <v>3</v>
      </c>
      <c r="D111" s="21"/>
      <c r="E111" s="21"/>
      <c r="F111" s="21"/>
    </row>
    <row r="112" spans="2:6" x14ac:dyDescent="0.25">
      <c r="B112" s="7">
        <v>1</v>
      </c>
      <c r="C112" s="1">
        <v>4</v>
      </c>
      <c r="D112" s="21"/>
      <c r="E112" s="21"/>
      <c r="F112" s="21"/>
    </row>
    <row r="113" spans="2:6" x14ac:dyDescent="0.25">
      <c r="B113" s="7">
        <v>1</v>
      </c>
      <c r="C113" s="1">
        <v>5</v>
      </c>
      <c r="D113" s="21"/>
      <c r="E113" s="21"/>
      <c r="F113" s="21"/>
    </row>
    <row r="114" spans="2:6" x14ac:dyDescent="0.25">
      <c r="B114" s="7">
        <v>1</v>
      </c>
      <c r="C114" s="1">
        <v>6</v>
      </c>
      <c r="D114" s="21"/>
      <c r="E114" s="21"/>
      <c r="F114" s="21"/>
    </row>
    <row r="115" spans="2:6" x14ac:dyDescent="0.25">
      <c r="B115" s="7">
        <v>1</v>
      </c>
      <c r="C115" s="1">
        <v>7</v>
      </c>
      <c r="D115" s="21"/>
      <c r="E115" s="21"/>
      <c r="F115" s="21"/>
    </row>
    <row r="116" spans="2:6" x14ac:dyDescent="0.25">
      <c r="B116" s="7">
        <v>1</v>
      </c>
      <c r="C116" s="1">
        <v>8</v>
      </c>
      <c r="D116" s="21"/>
      <c r="E116" s="21"/>
      <c r="F116" s="21"/>
    </row>
    <row r="117" spans="2:6" x14ac:dyDescent="0.25">
      <c r="B117" s="7">
        <v>1</v>
      </c>
      <c r="C117" s="1">
        <v>9</v>
      </c>
      <c r="D117" s="21"/>
      <c r="E117" s="21"/>
      <c r="F117" s="21"/>
    </row>
    <row r="118" spans="2:6" x14ac:dyDescent="0.25">
      <c r="B118" s="7">
        <v>1</v>
      </c>
      <c r="C118" s="1">
        <v>10</v>
      </c>
      <c r="D118" s="21"/>
      <c r="E118" s="21"/>
      <c r="F118" s="21"/>
    </row>
    <row r="119" spans="2:6" x14ac:dyDescent="0.25">
      <c r="B119" s="7">
        <v>1</v>
      </c>
      <c r="C119" s="1">
        <v>11</v>
      </c>
      <c r="D119" s="21"/>
      <c r="E119" s="21"/>
      <c r="F119" s="21"/>
    </row>
    <row r="120" spans="2:6" x14ac:dyDescent="0.25">
      <c r="B120" s="7">
        <v>1</v>
      </c>
      <c r="C120" s="1">
        <v>12</v>
      </c>
      <c r="D120" s="21"/>
      <c r="E120" s="21"/>
      <c r="F120" s="21"/>
    </row>
  </sheetData>
  <sheetProtection sheet="1" objects="1" scenarios="1" selectLockedCells="1" sort="0" autoFilter="0" pivotTables="0"/>
  <dataValidations count="4">
    <dataValidation type="list" allowBlank="1" showInputMessage="1" showErrorMessage="1" sqref="F44:F105" xr:uid="{B5DA787C-69D7-4AEC-A192-7D7B15767502}">
      <formula1>INDIRECT(VLOOKUP($E44, SkillNameMap, 2, FALSE))</formula1>
    </dataValidation>
    <dataValidation type="whole" showInputMessage="1" showErrorMessage="1" error="This is not a realistic number of contact hours please reduce" sqref="D20:D23" xr:uid="{088E0275-8A79-45DA-9BB0-DFC2CB5B1F68}">
      <formula1>0</formula1>
      <formula2>80</formula2>
    </dataValidation>
    <dataValidation type="whole" showInputMessage="1" showErrorMessage="1" error="This is not a realistic number of contact hours please change" sqref="D19" xr:uid="{208F3E67-FCC5-4D24-9AB9-A9B23B078D4C}">
      <formula1>0</formula1>
      <formula2>80</formula2>
    </dataValidation>
    <dataValidation type="list" allowBlank="1" showInputMessage="1" showErrorMessage="1" sqref="E38:E39" xr:uid="{DF6F1470-C240-4145-8967-6BE6372A94D1}">
      <formula1>INDIRECT("LISTAssess[Assessment Specific]")</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F590632-B7AC-4867-BC22-1E98EBA3511E}">
          <x14:formula1>
            <xm:f>LISTS!$E$7:$E$11</xm:f>
          </x14:formula1>
          <xm:sqref>D44:D105</xm:sqref>
        </x14:dataValidation>
        <x14:dataValidation type="list" allowBlank="1" showInputMessage="1" showErrorMessage="1" xr:uid="{A7E0E6F2-B856-4D5F-9906-2391C976A427}">
          <x14:formula1>
            <xm:f>LISTS!$J$7:$J$16</xm:f>
          </x14:formula1>
          <xm:sqref>E44:E105</xm:sqref>
        </x14:dataValidation>
        <x14:dataValidation type="list" allowBlank="1" showInputMessage="1" showErrorMessage="1" xr:uid="{946FD63B-CA66-4602-8957-02F2C30D76C0}">
          <x14:formula1>
            <xm:f>LISTS!$G$7:$G$11</xm:f>
          </x14:formula1>
          <xm:sqref>D38:D40</xm:sqref>
        </x14:dataValidation>
        <x14:dataValidation type="list" allowBlank="1" showInputMessage="1" showErrorMessage="1" xr:uid="{482D1D00-6773-4B24-BFDA-BDA1FADC21E3}">
          <x14:formula1>
            <xm:f>LISTS!$C$26:$C$37</xm:f>
          </x14:formula1>
          <xm:sqref>D14</xm:sqref>
        </x14:dataValidation>
        <x14:dataValidation type="list" allowBlank="1" showInputMessage="1" showErrorMessage="1" xr:uid="{C96B3BCB-8F57-4D1E-AB5F-690CB6CC2520}">
          <x14:formula1>
            <xm:f>LISTS!$C$17:$C$22</xm:f>
          </x14:formula1>
          <xm:sqref>D13</xm:sqref>
        </x14:dataValidation>
        <x14:dataValidation type="list" allowBlank="1" showInputMessage="1" showErrorMessage="1" xr:uid="{65BD786F-B63F-43DF-88C4-0A80377F77C4}">
          <x14:formula1>
            <xm:f>LISTS!$C$7:$C$9</xm:f>
          </x14:formula1>
          <xm:sqref>D10</xm:sqref>
        </x14:dataValidation>
        <x14:dataValidation type="list" allowBlank="1" showInputMessage="1" showErrorMessage="1" xr:uid="{372ED5DD-94FE-4AA5-8B8E-08ECD834A69E}">
          <x14:formula1>
            <xm:f>LISTS!$C$11:$C$15</xm:f>
          </x14:formula1>
          <xm:sqref>D11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8"/>
  <dimension ref="B2:H84"/>
  <sheetViews>
    <sheetView showGridLines="0" zoomScale="85" zoomScaleNormal="85" workbookViewId="0">
      <selection activeCell="D9" sqref="D9"/>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6202SPS</v>
      </c>
      <c r="D2" s="20" t="str">
        <f>D8</f>
        <v>Learning in PE and Sport Contexts 3 (TBC)</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208</v>
      </c>
      <c r="E7" s="4"/>
      <c r="F7" s="24"/>
    </row>
    <row r="8" spans="2:6" x14ac:dyDescent="0.25">
      <c r="B8" s="2"/>
      <c r="C8" s="3" t="s">
        <v>5</v>
      </c>
      <c r="D8" s="21" t="s">
        <v>344</v>
      </c>
      <c r="E8" s="4"/>
      <c r="F8" s="24"/>
    </row>
    <row r="9" spans="2:6" x14ac:dyDescent="0.25">
      <c r="C9" s="3" t="s">
        <v>6</v>
      </c>
      <c r="D9" s="21">
        <v>20</v>
      </c>
      <c r="E9" s="4"/>
    </row>
    <row r="10" spans="2:6" x14ac:dyDescent="0.25">
      <c r="C10" s="3" t="s">
        <v>7</v>
      </c>
      <c r="D10" s="21">
        <v>1</v>
      </c>
      <c r="E10" s="4"/>
      <c r="F10" t="s">
        <v>8</v>
      </c>
    </row>
    <row r="11" spans="2:6" x14ac:dyDescent="0.25">
      <c r="C11" s="3" t="s">
        <v>9</v>
      </c>
      <c r="D11" s="21">
        <v>6</v>
      </c>
      <c r="E11" s="4"/>
      <c r="F11" s="24"/>
    </row>
    <row r="12" spans="2:6" x14ac:dyDescent="0.25">
      <c r="C12" s="3" t="s">
        <v>10</v>
      </c>
      <c r="D12" s="21" t="s">
        <v>209</v>
      </c>
      <c r="E12" s="4"/>
      <c r="F12" s="24"/>
    </row>
    <row r="13" spans="2:6" x14ac:dyDescent="0.25">
      <c r="C13" s="3" t="s">
        <v>11</v>
      </c>
      <c r="D13" s="21" t="s">
        <v>146</v>
      </c>
      <c r="E13" s="4"/>
      <c r="F13" s="24"/>
    </row>
    <row r="14" spans="2:6" x14ac:dyDescent="0.25">
      <c r="C14" s="3" t="s">
        <v>12</v>
      </c>
      <c r="D14" s="21" t="s">
        <v>86</v>
      </c>
      <c r="E14" s="4"/>
    </row>
    <row r="15" spans="2:6" x14ac:dyDescent="0.25">
      <c r="C15" s="3"/>
      <c r="D15" s="4"/>
      <c r="E15" s="4"/>
      <c r="F15" t="s">
        <v>13</v>
      </c>
    </row>
    <row r="16" spans="2:6" x14ac:dyDescent="0.25">
      <c r="C16" s="3"/>
      <c r="D16" s="4"/>
      <c r="E16" s="4"/>
      <c r="F16" s="24"/>
    </row>
    <row r="17" spans="3:6" ht="18.75" x14ac:dyDescent="0.25">
      <c r="C17" s="5" t="s">
        <v>14</v>
      </c>
      <c r="D17" s="4"/>
      <c r="E17" s="4"/>
      <c r="F17" s="24"/>
    </row>
    <row r="18" spans="3:6" x14ac:dyDescent="0.25">
      <c r="C18" s="3" t="s">
        <v>15</v>
      </c>
      <c r="D18" s="1" t="s">
        <v>14</v>
      </c>
      <c r="E18" s="4"/>
      <c r="F18" s="24"/>
    </row>
    <row r="19" spans="3:6" x14ac:dyDescent="0.25">
      <c r="C19" s="3" t="s">
        <v>16</v>
      </c>
      <c r="D19" s="22"/>
      <c r="E19" s="4"/>
      <c r="F19" s="24"/>
    </row>
    <row r="20" spans="3:6" x14ac:dyDescent="0.25">
      <c r="C20" s="3" t="s">
        <v>17</v>
      </c>
      <c r="D20" s="22"/>
      <c r="E20" s="4"/>
      <c r="F20" s="24"/>
    </row>
    <row r="21" spans="3:6" x14ac:dyDescent="0.25">
      <c r="C21" s="3" t="s">
        <v>18</v>
      </c>
      <c r="D21" s="22"/>
      <c r="E21" s="4"/>
    </row>
    <row r="22" spans="3:6" x14ac:dyDescent="0.25">
      <c r="C22" s="3" t="s">
        <v>19</v>
      </c>
      <c r="D22" s="22"/>
      <c r="E22" s="4"/>
      <c r="F22" t="s">
        <v>20</v>
      </c>
    </row>
    <row r="23" spans="3:6" x14ac:dyDescent="0.25">
      <c r="C23" s="3" t="s">
        <v>21</v>
      </c>
      <c r="D23" s="22"/>
      <c r="E23" s="4"/>
      <c r="F23" s="24"/>
    </row>
    <row r="24" spans="3:6" x14ac:dyDescent="0.25">
      <c r="C24" s="3" t="s">
        <v>22</v>
      </c>
      <c r="D24" s="1">
        <f>SUM(D19:D23)</f>
        <v>0</v>
      </c>
      <c r="E24" s="4"/>
      <c r="F24" s="24"/>
    </row>
    <row r="25" spans="3:6" x14ac:dyDescent="0.25">
      <c r="F25" s="24"/>
    </row>
    <row r="26" spans="3:6" x14ac:dyDescent="0.25">
      <c r="F26" s="24"/>
    </row>
    <row r="27" spans="3:6" ht="18.75" x14ac:dyDescent="0.25">
      <c r="C27" s="5" t="s">
        <v>23</v>
      </c>
      <c r="D27" s="12" t="s">
        <v>24</v>
      </c>
      <c r="F27" s="24"/>
    </row>
    <row r="28" spans="3:6" x14ac:dyDescent="0.25">
      <c r="C28" s="3" t="s">
        <v>25</v>
      </c>
      <c r="D28" s="3" t="s">
        <v>26</v>
      </c>
      <c r="E28" s="3"/>
      <c r="F28" s="24"/>
    </row>
    <row r="29" spans="3:6" x14ac:dyDescent="0.25">
      <c r="C29" s="3" t="s">
        <v>27</v>
      </c>
      <c r="D29" s="21"/>
      <c r="E29" s="4"/>
      <c r="F29" s="24"/>
    </row>
    <row r="30" spans="3:6" x14ac:dyDescent="0.25">
      <c r="C30" s="3" t="s">
        <v>28</v>
      </c>
      <c r="D30" s="21"/>
      <c r="E30" s="4"/>
      <c r="F30" s="24"/>
    </row>
    <row r="31" spans="3:6" x14ac:dyDescent="0.25">
      <c r="C31" s="3" t="s">
        <v>29</v>
      </c>
      <c r="D31" s="21"/>
      <c r="E31" s="4"/>
      <c r="F31" s="24"/>
    </row>
    <row r="32" spans="3:6" x14ac:dyDescent="0.25">
      <c r="C32" s="3" t="s">
        <v>30</v>
      </c>
      <c r="D32" s="21"/>
      <c r="E32" s="4"/>
      <c r="F32" s="24"/>
    </row>
    <row r="33" spans="3:8" x14ac:dyDescent="0.25">
      <c r="C33" s="3" t="s">
        <v>31</v>
      </c>
      <c r="D33" s="21"/>
      <c r="E33" s="4"/>
      <c r="F33" s="24"/>
    </row>
    <row r="36" spans="3:8" ht="18.75" x14ac:dyDescent="0.25">
      <c r="C36" s="5" t="s">
        <v>32</v>
      </c>
    </row>
    <row r="37" spans="3:8" x14ac:dyDescent="0.25">
      <c r="C37" s="3" t="s">
        <v>33</v>
      </c>
      <c r="D37" s="3" t="s">
        <v>34</v>
      </c>
      <c r="E37" s="3" t="s">
        <v>35</v>
      </c>
      <c r="F37" s="3" t="s">
        <v>36</v>
      </c>
      <c r="G37" s="3" t="s">
        <v>37</v>
      </c>
      <c r="H37" s="3" t="s">
        <v>38</v>
      </c>
    </row>
    <row r="38" spans="3:8" x14ac:dyDescent="0.25">
      <c r="C38" s="3" t="s">
        <v>39</v>
      </c>
      <c r="D38" s="21" t="s">
        <v>40</v>
      </c>
      <c r="E38" s="21" t="s">
        <v>41</v>
      </c>
      <c r="F38" s="21" t="s">
        <v>42</v>
      </c>
      <c r="G38" s="23">
        <v>0.5</v>
      </c>
      <c r="H38" s="21">
        <v>6</v>
      </c>
    </row>
    <row r="39" spans="3:8" x14ac:dyDescent="0.25">
      <c r="C39" s="3" t="s">
        <v>43</v>
      </c>
      <c r="D39" s="21"/>
      <c r="E39" s="21"/>
      <c r="F39" s="21"/>
      <c r="G39" s="23">
        <v>0.5</v>
      </c>
      <c r="H39" s="21">
        <v>12</v>
      </c>
    </row>
    <row r="40" spans="3:8" x14ac:dyDescent="0.25">
      <c r="C40" s="3" t="s">
        <v>44</v>
      </c>
      <c r="D40" s="24"/>
      <c r="E40" s="24"/>
      <c r="F40" s="24"/>
      <c r="G40" s="24"/>
      <c r="H40" s="24"/>
    </row>
    <row r="41" spans="3:8" x14ac:dyDescent="0.25">
      <c r="C41" s="3" t="s">
        <v>45</v>
      </c>
      <c r="D41" s="24"/>
      <c r="E41" s="24"/>
      <c r="F41" s="24"/>
      <c r="G41" s="24"/>
      <c r="H41" s="24"/>
    </row>
    <row r="42" spans="3:8" x14ac:dyDescent="0.25">
      <c r="C42" s="3"/>
    </row>
    <row r="44" spans="3:8" ht="18.75" x14ac:dyDescent="0.25">
      <c r="C44" s="5" t="s">
        <v>46</v>
      </c>
      <c r="D44" s="12"/>
    </row>
    <row r="45" spans="3:8" x14ac:dyDescent="0.25">
      <c r="C45" s="1" t="s">
        <v>33</v>
      </c>
      <c r="D45" s="1" t="s">
        <v>25</v>
      </c>
      <c r="E45" s="1" t="s">
        <v>47</v>
      </c>
      <c r="F45" s="1" t="s">
        <v>48</v>
      </c>
    </row>
    <row r="46" spans="3:8" x14ac:dyDescent="0.25">
      <c r="C46" s="25" t="s">
        <v>39</v>
      </c>
      <c r="D46" s="24" t="s">
        <v>27</v>
      </c>
      <c r="E46" s="24" t="s">
        <v>49</v>
      </c>
      <c r="F46" s="24" t="s">
        <v>50</v>
      </c>
    </row>
    <row r="47" spans="3:8" x14ac:dyDescent="0.25">
      <c r="C47" s="25" t="s">
        <v>39</v>
      </c>
      <c r="D47" s="24" t="s">
        <v>27</v>
      </c>
      <c r="E47" s="24" t="s">
        <v>49</v>
      </c>
      <c r="F47" s="24" t="s">
        <v>51</v>
      </c>
    </row>
    <row r="48" spans="3:8" x14ac:dyDescent="0.25">
      <c r="C48" s="25" t="s">
        <v>39</v>
      </c>
      <c r="D48" s="24" t="s">
        <v>27</v>
      </c>
      <c r="E48" s="24" t="s">
        <v>52</v>
      </c>
      <c r="F48" s="24" t="s">
        <v>53</v>
      </c>
    </row>
    <row r="49" spans="2:6" x14ac:dyDescent="0.25">
      <c r="C49" s="25" t="s">
        <v>43</v>
      </c>
      <c r="D49" s="24" t="s">
        <v>28</v>
      </c>
      <c r="E49" s="24" t="s">
        <v>54</v>
      </c>
      <c r="F49" s="24" t="s">
        <v>55</v>
      </c>
    </row>
    <row r="50" spans="2:6" x14ac:dyDescent="0.25">
      <c r="C50" s="25" t="s">
        <v>43</v>
      </c>
      <c r="D50" s="24" t="s">
        <v>28</v>
      </c>
      <c r="E50" s="24" t="s">
        <v>56</v>
      </c>
      <c r="F50" s="24" t="s">
        <v>57</v>
      </c>
    </row>
    <row r="51" spans="2:6" x14ac:dyDescent="0.25">
      <c r="C51" s="25" t="s">
        <v>43</v>
      </c>
      <c r="D51" s="24"/>
      <c r="E51" s="24"/>
      <c r="F51" s="24"/>
    </row>
    <row r="52" spans="2:6" x14ac:dyDescent="0.25">
      <c r="C52" s="25" t="s">
        <v>44</v>
      </c>
      <c r="D52" s="24"/>
      <c r="E52" s="24"/>
      <c r="F52" s="24"/>
    </row>
    <row r="53" spans="2:6" x14ac:dyDescent="0.25">
      <c r="C53" s="25" t="s">
        <v>44</v>
      </c>
      <c r="D53" s="24"/>
      <c r="E53" s="24"/>
      <c r="F53" s="24"/>
    </row>
    <row r="54" spans="2:6" x14ac:dyDescent="0.25">
      <c r="C54" s="25" t="s">
        <v>44</v>
      </c>
      <c r="D54" s="24"/>
      <c r="E54" s="24"/>
      <c r="F54" s="24"/>
    </row>
    <row r="55" spans="2:6" x14ac:dyDescent="0.25">
      <c r="C55" s="25" t="s">
        <v>45</v>
      </c>
      <c r="D55" s="24"/>
      <c r="E55" s="24"/>
      <c r="F55" s="24"/>
    </row>
    <row r="56" spans="2:6" x14ac:dyDescent="0.25">
      <c r="C56" s="25" t="s">
        <v>45</v>
      </c>
      <c r="D56" s="24"/>
      <c r="E56" s="24"/>
      <c r="F56" s="24"/>
    </row>
    <row r="59" spans="2:6" ht="18.75" x14ac:dyDescent="0.25">
      <c r="C59" s="5" t="s">
        <v>58</v>
      </c>
    </row>
    <row r="60" spans="2:6" x14ac:dyDescent="0.25">
      <c r="B60" t="s">
        <v>59</v>
      </c>
      <c r="C60" s="1" t="s">
        <v>60</v>
      </c>
      <c r="D60" s="1" t="s">
        <v>61</v>
      </c>
      <c r="E60" s="1" t="s">
        <v>62</v>
      </c>
      <c r="F60" s="1" t="s">
        <v>63</v>
      </c>
    </row>
    <row r="61" spans="2:6" x14ac:dyDescent="0.25">
      <c r="B61" s="7">
        <v>1</v>
      </c>
      <c r="C61" s="1">
        <v>1</v>
      </c>
      <c r="D61" s="21" t="s">
        <v>64</v>
      </c>
      <c r="E61" s="21"/>
      <c r="F61" s="21"/>
    </row>
    <row r="62" spans="2:6" x14ac:dyDescent="0.25">
      <c r="B62" s="7">
        <v>1</v>
      </c>
      <c r="C62" s="1">
        <v>2</v>
      </c>
      <c r="D62" s="21" t="s">
        <v>65</v>
      </c>
      <c r="E62" s="21" t="s">
        <v>66</v>
      </c>
      <c r="F62" s="21" t="s">
        <v>17</v>
      </c>
    </row>
    <row r="63" spans="2:6" x14ac:dyDescent="0.25">
      <c r="B63" s="7">
        <v>1</v>
      </c>
      <c r="C63" s="1">
        <v>3</v>
      </c>
      <c r="D63" s="21" t="s">
        <v>67</v>
      </c>
      <c r="E63" s="21"/>
      <c r="F63" s="21"/>
    </row>
    <row r="64" spans="2:6" x14ac:dyDescent="0.25">
      <c r="B64" s="7">
        <v>1</v>
      </c>
      <c r="C64" s="1">
        <v>4</v>
      </c>
      <c r="D64" s="21" t="s">
        <v>68</v>
      </c>
      <c r="E64" s="21" t="s">
        <v>69</v>
      </c>
      <c r="F64" s="21" t="s">
        <v>17</v>
      </c>
    </row>
    <row r="65" spans="2:6" x14ac:dyDescent="0.25">
      <c r="B65" s="7">
        <v>1</v>
      </c>
      <c r="C65" s="1">
        <v>5</v>
      </c>
      <c r="D65" s="21" t="s">
        <v>70</v>
      </c>
      <c r="E65" s="21"/>
      <c r="F65" s="21"/>
    </row>
    <row r="66" spans="2:6" x14ac:dyDescent="0.25">
      <c r="B66" s="7">
        <v>1</v>
      </c>
      <c r="C66" s="1">
        <v>6</v>
      </c>
      <c r="D66" s="21" t="s">
        <v>71</v>
      </c>
      <c r="E66" s="21"/>
      <c r="F66" s="21" t="s">
        <v>17</v>
      </c>
    </row>
    <row r="67" spans="2:6" x14ac:dyDescent="0.25">
      <c r="B67" s="7">
        <v>1</v>
      </c>
      <c r="C67" s="1">
        <v>7</v>
      </c>
      <c r="D67" s="21" t="s">
        <v>72</v>
      </c>
      <c r="E67" s="21"/>
      <c r="F67" s="21"/>
    </row>
    <row r="68" spans="2:6" x14ac:dyDescent="0.25">
      <c r="B68" s="7">
        <v>1</v>
      </c>
      <c r="C68" s="1">
        <v>8</v>
      </c>
      <c r="D68" s="21" t="s">
        <v>73</v>
      </c>
      <c r="E68" s="21"/>
      <c r="F68" s="21" t="s">
        <v>17</v>
      </c>
    </row>
    <row r="69" spans="2:6" x14ac:dyDescent="0.25">
      <c r="B69" s="7">
        <v>1</v>
      </c>
      <c r="C69" s="1">
        <v>9</v>
      </c>
      <c r="D69" s="21" t="s">
        <v>74</v>
      </c>
      <c r="E69" s="21"/>
      <c r="F69" s="21"/>
    </row>
    <row r="70" spans="2:6" x14ac:dyDescent="0.25">
      <c r="B70" s="7">
        <v>1</v>
      </c>
      <c r="C70" s="1">
        <v>10</v>
      </c>
      <c r="D70" s="21" t="s">
        <v>75</v>
      </c>
      <c r="E70" s="21" t="s">
        <v>76</v>
      </c>
      <c r="F70" s="21" t="s">
        <v>17</v>
      </c>
    </row>
    <row r="71" spans="2:6" x14ac:dyDescent="0.25">
      <c r="B71" s="7">
        <v>1</v>
      </c>
      <c r="C71" s="1">
        <v>11</v>
      </c>
      <c r="D71" s="21" t="s">
        <v>77</v>
      </c>
      <c r="E71" s="21"/>
      <c r="F71" s="21"/>
    </row>
    <row r="72" spans="2:6" x14ac:dyDescent="0.25">
      <c r="B72" s="7">
        <v>1</v>
      </c>
      <c r="C72" s="1">
        <v>12</v>
      </c>
      <c r="D72" s="21" t="s">
        <v>78</v>
      </c>
      <c r="E72" s="21"/>
      <c r="F72" s="21" t="s">
        <v>17</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E46:E56</xm:sqref>
        </x14:dataValidation>
        <x14:dataValidation type="list" allowBlank="1" showInputMessage="1" showErrorMessage="1" xr:uid="{13524674-6569-4444-A927-B70E751D7616}">
          <x14:formula1>
            <xm:f>LISTS!$E$7:$E$11</xm:f>
          </x14:formula1>
          <xm:sqref>D46:D56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9"/>
  <dimension ref="B2:H84"/>
  <sheetViews>
    <sheetView showGridLines="0" zoomScale="85" zoomScaleNormal="85" workbookViewId="0">
      <selection activeCell="F16" sqref="F16"/>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6203SPS</v>
      </c>
      <c r="D2" s="20" t="str">
        <f>D8</f>
        <v>Professional Practicel in PE 3</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210</v>
      </c>
      <c r="E7" s="4"/>
      <c r="F7" s="24"/>
    </row>
    <row r="8" spans="2:6" ht="180" x14ac:dyDescent="0.25">
      <c r="B8" s="2"/>
      <c r="C8" s="3" t="s">
        <v>5</v>
      </c>
      <c r="D8" s="21" t="s">
        <v>211</v>
      </c>
      <c r="E8" s="4"/>
      <c r="F8" s="32" t="s">
        <v>212</v>
      </c>
    </row>
    <row r="9" spans="2:6" x14ac:dyDescent="0.25">
      <c r="C9" s="3" t="s">
        <v>6</v>
      </c>
      <c r="D9" s="21">
        <v>30</v>
      </c>
      <c r="E9" s="4"/>
    </row>
    <row r="10" spans="2:6" x14ac:dyDescent="0.25">
      <c r="C10" s="3" t="s">
        <v>7</v>
      </c>
      <c r="D10" s="21" t="s">
        <v>213</v>
      </c>
      <c r="E10" s="4"/>
      <c r="F10" t="s">
        <v>8</v>
      </c>
    </row>
    <row r="11" spans="2:6" x14ac:dyDescent="0.25">
      <c r="C11" s="3" t="s">
        <v>9</v>
      </c>
      <c r="D11" s="21">
        <v>6</v>
      </c>
      <c r="E11" s="4"/>
      <c r="F11" s="24" t="s">
        <v>214</v>
      </c>
    </row>
    <row r="12" spans="2:6" x14ac:dyDescent="0.25">
      <c r="C12" s="3" t="s">
        <v>10</v>
      </c>
      <c r="D12" s="21" t="s">
        <v>83</v>
      </c>
      <c r="E12" s="4"/>
      <c r="F12" s="24" t="s">
        <v>215</v>
      </c>
    </row>
    <row r="13" spans="2:6" x14ac:dyDescent="0.25">
      <c r="C13" s="3" t="s">
        <v>11</v>
      </c>
      <c r="D13" s="21" t="s">
        <v>85</v>
      </c>
      <c r="E13" s="4"/>
      <c r="F13" s="24"/>
    </row>
    <row r="14" spans="2:6" x14ac:dyDescent="0.25">
      <c r="C14" s="3" t="s">
        <v>12</v>
      </c>
      <c r="D14" s="21" t="s">
        <v>86</v>
      </c>
      <c r="E14" s="4"/>
    </row>
    <row r="15" spans="2:6" x14ac:dyDescent="0.25">
      <c r="C15" s="3"/>
      <c r="D15" s="4"/>
      <c r="E15" s="4"/>
      <c r="F15" t="s">
        <v>13</v>
      </c>
    </row>
    <row r="16" spans="2:6" ht="15.75" x14ac:dyDescent="0.25">
      <c r="C16" s="3"/>
      <c r="D16" s="4"/>
      <c r="E16" s="4"/>
      <c r="F16" s="37" t="s">
        <v>216</v>
      </c>
    </row>
    <row r="17" spans="3:6" ht="18.75" x14ac:dyDescent="0.25">
      <c r="C17" s="5" t="s">
        <v>14</v>
      </c>
      <c r="D17" s="4"/>
      <c r="E17" s="4"/>
      <c r="F17" s="24"/>
    </row>
    <row r="18" spans="3:6" x14ac:dyDescent="0.25">
      <c r="C18" s="3" t="s">
        <v>15</v>
      </c>
      <c r="D18" s="1" t="s">
        <v>14</v>
      </c>
      <c r="E18" s="4"/>
      <c r="F18" s="24"/>
    </row>
    <row r="19" spans="3:6" x14ac:dyDescent="0.25">
      <c r="C19" s="3" t="s">
        <v>16</v>
      </c>
      <c r="D19" s="22">
        <v>20</v>
      </c>
      <c r="E19" s="4"/>
      <c r="F19" s="24"/>
    </row>
    <row r="20" spans="3:6" x14ac:dyDescent="0.25">
      <c r="C20" s="3" t="s">
        <v>17</v>
      </c>
      <c r="D20" s="22"/>
      <c r="E20" s="4"/>
      <c r="F20" s="24"/>
    </row>
    <row r="21" spans="3:6" x14ac:dyDescent="0.25">
      <c r="C21" s="3" t="s">
        <v>18</v>
      </c>
      <c r="D21" s="22"/>
      <c r="E21" s="4"/>
    </row>
    <row r="22" spans="3:6" x14ac:dyDescent="0.25">
      <c r="C22" s="3" t="s">
        <v>19</v>
      </c>
      <c r="D22" s="22">
        <v>20</v>
      </c>
      <c r="E22" s="4"/>
      <c r="F22" t="s">
        <v>20</v>
      </c>
    </row>
    <row r="23" spans="3:6" x14ac:dyDescent="0.25">
      <c r="C23" s="3" t="s">
        <v>21</v>
      </c>
      <c r="D23" s="22"/>
      <c r="E23" s="4"/>
      <c r="F23" s="24" t="s">
        <v>217</v>
      </c>
    </row>
    <row r="24" spans="3:6" x14ac:dyDescent="0.25">
      <c r="C24" s="3" t="s">
        <v>22</v>
      </c>
      <c r="D24" s="1">
        <f>SUM(D19:D23)</f>
        <v>40</v>
      </c>
      <c r="E24" s="4"/>
      <c r="F24" s="24"/>
    </row>
    <row r="25" spans="3:6" x14ac:dyDescent="0.25">
      <c r="F25" s="24"/>
    </row>
    <row r="26" spans="3:6" x14ac:dyDescent="0.25">
      <c r="F26" s="24"/>
    </row>
    <row r="27" spans="3:6" ht="18.75" x14ac:dyDescent="0.25">
      <c r="C27" s="5" t="s">
        <v>23</v>
      </c>
      <c r="D27" s="12" t="s">
        <v>24</v>
      </c>
      <c r="F27" s="24"/>
    </row>
    <row r="28" spans="3:6" x14ac:dyDescent="0.25">
      <c r="C28" s="3" t="s">
        <v>25</v>
      </c>
      <c r="D28" s="3" t="s">
        <v>26</v>
      </c>
      <c r="E28" s="3"/>
      <c r="F28" s="24"/>
    </row>
    <row r="29" spans="3:6" ht="45" x14ac:dyDescent="0.25">
      <c r="C29" s="3" t="s">
        <v>27</v>
      </c>
      <c r="D29" s="31" t="s">
        <v>218</v>
      </c>
      <c r="E29" s="4"/>
      <c r="F29" s="24"/>
    </row>
    <row r="30" spans="3:6" ht="30" x14ac:dyDescent="0.25">
      <c r="C30" s="3" t="s">
        <v>28</v>
      </c>
      <c r="D30" s="31" t="s">
        <v>219</v>
      </c>
      <c r="E30" s="4"/>
      <c r="F30" s="24"/>
    </row>
    <row r="31" spans="3:6" ht="60" x14ac:dyDescent="0.25">
      <c r="C31" s="3" t="s">
        <v>29</v>
      </c>
      <c r="D31" s="32" t="s">
        <v>220</v>
      </c>
      <c r="E31" s="4"/>
      <c r="F31" s="24"/>
    </row>
    <row r="32" spans="3:6" x14ac:dyDescent="0.25">
      <c r="C32" s="3" t="s">
        <v>30</v>
      </c>
      <c r="D32" s="21"/>
      <c r="E32" s="4"/>
      <c r="F32" s="24"/>
    </row>
    <row r="33" spans="3:8" x14ac:dyDescent="0.25">
      <c r="C33" s="3" t="s">
        <v>31</v>
      </c>
      <c r="D33" s="21"/>
      <c r="E33" s="4"/>
      <c r="F33" s="24"/>
    </row>
    <row r="36" spans="3:8" ht="18.75" x14ac:dyDescent="0.25">
      <c r="C36" s="5" t="s">
        <v>32</v>
      </c>
    </row>
    <row r="37" spans="3:8" x14ac:dyDescent="0.25">
      <c r="C37" s="3" t="s">
        <v>33</v>
      </c>
      <c r="D37" s="3" t="s">
        <v>34</v>
      </c>
      <c r="E37" s="3" t="s">
        <v>35</v>
      </c>
      <c r="F37" s="3" t="s">
        <v>36</v>
      </c>
      <c r="G37" s="3" t="s">
        <v>37</v>
      </c>
      <c r="H37" s="3" t="s">
        <v>38</v>
      </c>
    </row>
    <row r="38" spans="3:8" x14ac:dyDescent="0.25">
      <c r="C38" s="3" t="s">
        <v>39</v>
      </c>
      <c r="D38" s="21" t="s">
        <v>94</v>
      </c>
      <c r="E38" s="21"/>
      <c r="F38" s="21" t="s">
        <v>221</v>
      </c>
      <c r="G38" s="23">
        <v>0.5</v>
      </c>
      <c r="H38" s="21">
        <v>12</v>
      </c>
    </row>
    <row r="39" spans="3:8" x14ac:dyDescent="0.25">
      <c r="C39" s="3" t="s">
        <v>43</v>
      </c>
      <c r="D39" s="21" t="s">
        <v>40</v>
      </c>
      <c r="E39" s="21"/>
      <c r="F39" s="21" t="s">
        <v>222</v>
      </c>
      <c r="G39" s="23">
        <v>0.5</v>
      </c>
      <c r="H39" s="21">
        <v>32</v>
      </c>
    </row>
    <row r="40" spans="3:8" x14ac:dyDescent="0.25">
      <c r="C40" s="3" t="s">
        <v>44</v>
      </c>
      <c r="D40" s="24"/>
      <c r="E40" s="24"/>
      <c r="F40" s="24"/>
      <c r="G40" s="24"/>
      <c r="H40" s="24"/>
    </row>
    <row r="41" spans="3:8" x14ac:dyDescent="0.25">
      <c r="C41" s="3" t="s">
        <v>45</v>
      </c>
      <c r="D41" s="24"/>
      <c r="E41" s="24"/>
      <c r="F41" s="24"/>
      <c r="G41" s="24"/>
      <c r="H41" s="24"/>
    </row>
    <row r="42" spans="3:8" x14ac:dyDescent="0.25">
      <c r="C42" s="3"/>
    </row>
    <row r="44" spans="3:8" ht="18.75" x14ac:dyDescent="0.25">
      <c r="C44" s="5" t="s">
        <v>46</v>
      </c>
      <c r="D44" s="12"/>
    </row>
    <row r="45" spans="3:8" x14ac:dyDescent="0.25">
      <c r="C45" s="1" t="s">
        <v>33</v>
      </c>
      <c r="D45" s="1" t="s">
        <v>25</v>
      </c>
      <c r="E45" s="1" t="s">
        <v>47</v>
      </c>
      <c r="F45" s="1" t="s">
        <v>48</v>
      </c>
    </row>
    <row r="46" spans="3:8" x14ac:dyDescent="0.25">
      <c r="C46" s="25" t="s">
        <v>39</v>
      </c>
      <c r="D46" s="24" t="s">
        <v>27</v>
      </c>
      <c r="E46" s="24" t="s">
        <v>49</v>
      </c>
      <c r="F46" s="24" t="s">
        <v>50</v>
      </c>
    </row>
    <row r="47" spans="3:8" x14ac:dyDescent="0.25">
      <c r="C47" s="25" t="s">
        <v>39</v>
      </c>
      <c r="D47" s="24" t="s">
        <v>27</v>
      </c>
      <c r="E47" s="24" t="s">
        <v>49</v>
      </c>
      <c r="F47" s="24" t="s">
        <v>51</v>
      </c>
    </row>
    <row r="48" spans="3:8" x14ac:dyDescent="0.25">
      <c r="C48" s="25" t="s">
        <v>39</v>
      </c>
      <c r="D48" s="24" t="s">
        <v>27</v>
      </c>
      <c r="E48" s="24" t="s">
        <v>52</v>
      </c>
      <c r="F48" s="24" t="s">
        <v>53</v>
      </c>
    </row>
    <row r="49" spans="2:6" x14ac:dyDescent="0.25">
      <c r="C49" s="25" t="s">
        <v>43</v>
      </c>
      <c r="D49" s="24" t="s">
        <v>28</v>
      </c>
      <c r="E49" s="24" t="s">
        <v>54</v>
      </c>
      <c r="F49" s="24" t="s">
        <v>55</v>
      </c>
    </row>
    <row r="50" spans="2:6" x14ac:dyDescent="0.25">
      <c r="C50" s="25" t="s">
        <v>43</v>
      </c>
      <c r="D50" s="24" t="s">
        <v>28</v>
      </c>
      <c r="E50" s="24" t="s">
        <v>56</v>
      </c>
      <c r="F50" s="24" t="s">
        <v>57</v>
      </c>
    </row>
    <row r="51" spans="2:6" x14ac:dyDescent="0.25">
      <c r="C51" s="25" t="s">
        <v>43</v>
      </c>
      <c r="D51" s="24"/>
      <c r="E51" s="24"/>
      <c r="F51" s="24"/>
    </row>
    <row r="52" spans="2:6" x14ac:dyDescent="0.25">
      <c r="C52" s="25" t="s">
        <v>44</v>
      </c>
      <c r="D52" s="24"/>
      <c r="E52" s="24"/>
      <c r="F52" s="24"/>
    </row>
    <row r="53" spans="2:6" x14ac:dyDescent="0.25">
      <c r="C53" s="25" t="s">
        <v>44</v>
      </c>
      <c r="D53" s="24"/>
      <c r="E53" s="24"/>
      <c r="F53" s="24"/>
    </row>
    <row r="54" spans="2:6" x14ac:dyDescent="0.25">
      <c r="C54" s="25" t="s">
        <v>44</v>
      </c>
      <c r="D54" s="24"/>
      <c r="E54" s="24"/>
      <c r="F54" s="24"/>
    </row>
    <row r="55" spans="2:6" x14ac:dyDescent="0.25">
      <c r="C55" s="25" t="s">
        <v>45</v>
      </c>
      <c r="D55" s="24"/>
      <c r="E55" s="24"/>
      <c r="F55" s="24"/>
    </row>
    <row r="56" spans="2:6" x14ac:dyDescent="0.25">
      <c r="C56" s="25" t="s">
        <v>45</v>
      </c>
      <c r="D56" s="24"/>
      <c r="E56" s="24"/>
      <c r="F56" s="24"/>
    </row>
    <row r="59" spans="2:6" ht="18.75" x14ac:dyDescent="0.25">
      <c r="C59" s="5" t="s">
        <v>58</v>
      </c>
    </row>
    <row r="60" spans="2:6" x14ac:dyDescent="0.25">
      <c r="B60" t="s">
        <v>59</v>
      </c>
      <c r="C60" s="1" t="s">
        <v>60</v>
      </c>
      <c r="D60" s="1" t="s">
        <v>61</v>
      </c>
      <c r="E60" s="1" t="s">
        <v>62</v>
      </c>
      <c r="F60" s="1" t="s">
        <v>63</v>
      </c>
    </row>
    <row r="61" spans="2:6" ht="30" x14ac:dyDescent="0.25">
      <c r="B61" s="7">
        <v>1</v>
      </c>
      <c r="C61" s="1">
        <v>1</v>
      </c>
      <c r="D61" s="31" t="s">
        <v>223</v>
      </c>
      <c r="E61" s="21"/>
      <c r="F61" s="21" t="s">
        <v>224</v>
      </c>
    </row>
    <row r="62" spans="2:6" x14ac:dyDescent="0.25">
      <c r="B62" s="7">
        <v>1</v>
      </c>
      <c r="C62" s="1">
        <v>2</v>
      </c>
      <c r="D62" s="30" t="s">
        <v>225</v>
      </c>
      <c r="E62" s="21"/>
      <c r="F62" s="21" t="s">
        <v>224</v>
      </c>
    </row>
    <row r="63" spans="2:6" x14ac:dyDescent="0.25">
      <c r="B63" s="7">
        <v>1</v>
      </c>
      <c r="C63" s="1">
        <v>3</v>
      </c>
      <c r="D63" s="30" t="s">
        <v>226</v>
      </c>
      <c r="E63" s="21"/>
      <c r="F63" s="21" t="s">
        <v>224</v>
      </c>
    </row>
    <row r="64" spans="2:6" x14ac:dyDescent="0.25">
      <c r="B64" s="7">
        <v>1</v>
      </c>
      <c r="C64" s="1">
        <v>4</v>
      </c>
      <c r="D64" s="30" t="s">
        <v>226</v>
      </c>
      <c r="E64" s="21"/>
      <c r="F64" s="21" t="s">
        <v>224</v>
      </c>
    </row>
    <row r="65" spans="2:6" x14ac:dyDescent="0.25">
      <c r="B65" s="7">
        <v>1</v>
      </c>
      <c r="C65" s="1">
        <v>5</v>
      </c>
      <c r="D65" s="30" t="s">
        <v>227</v>
      </c>
      <c r="E65" s="21"/>
      <c r="F65" s="21" t="s">
        <v>224</v>
      </c>
    </row>
    <row r="66" spans="2:6" x14ac:dyDescent="0.25">
      <c r="B66" s="7">
        <v>1</v>
      </c>
      <c r="C66" s="1">
        <v>6</v>
      </c>
      <c r="D66" s="30" t="s">
        <v>228</v>
      </c>
      <c r="E66" s="21"/>
      <c r="F66" s="21" t="s">
        <v>224</v>
      </c>
    </row>
    <row r="67" spans="2:6" x14ac:dyDescent="0.25">
      <c r="B67" s="7">
        <v>1</v>
      </c>
      <c r="C67" s="1">
        <v>7</v>
      </c>
      <c r="D67" s="21"/>
      <c r="E67" s="21"/>
      <c r="F67" s="21"/>
    </row>
    <row r="68" spans="2:6" x14ac:dyDescent="0.25">
      <c r="B68" s="7">
        <v>1</v>
      </c>
      <c r="C68" s="1">
        <v>8</v>
      </c>
      <c r="D68" s="30" t="s">
        <v>229</v>
      </c>
      <c r="E68" s="21"/>
      <c r="F68" s="21" t="s">
        <v>224</v>
      </c>
    </row>
    <row r="69" spans="2:6" x14ac:dyDescent="0.25">
      <c r="B69" s="7">
        <v>1</v>
      </c>
      <c r="C69" s="1">
        <v>9</v>
      </c>
      <c r="D69" s="30" t="s">
        <v>230</v>
      </c>
      <c r="E69" s="21"/>
      <c r="F69" s="21" t="s">
        <v>224</v>
      </c>
    </row>
    <row r="70" spans="2:6" x14ac:dyDescent="0.25">
      <c r="B70" s="7">
        <v>1</v>
      </c>
      <c r="C70" s="1">
        <v>10</v>
      </c>
      <c r="D70" s="30" t="s">
        <v>231</v>
      </c>
      <c r="E70" s="21"/>
      <c r="F70" s="21" t="s">
        <v>224</v>
      </c>
    </row>
    <row r="71" spans="2:6" x14ac:dyDescent="0.25">
      <c r="B71" s="7">
        <v>1</v>
      </c>
      <c r="C71" s="1">
        <v>11</v>
      </c>
      <c r="D71" s="21" t="s">
        <v>231</v>
      </c>
      <c r="E71" s="21"/>
      <c r="F71" s="21" t="s">
        <v>224</v>
      </c>
    </row>
    <row r="72" spans="2:6" x14ac:dyDescent="0.25">
      <c r="B72" s="7">
        <v>1</v>
      </c>
      <c r="C72" s="1">
        <v>12</v>
      </c>
      <c r="D72" s="21" t="s">
        <v>231</v>
      </c>
      <c r="E72" s="21"/>
      <c r="F72" s="21" t="s">
        <v>114</v>
      </c>
    </row>
    <row r="73" spans="2:6" ht="30" x14ac:dyDescent="0.25">
      <c r="B73" s="7">
        <v>2</v>
      </c>
      <c r="C73" s="1">
        <v>1</v>
      </c>
      <c r="D73" s="34" t="s">
        <v>232</v>
      </c>
      <c r="E73" s="21"/>
      <c r="F73" s="21" t="s">
        <v>224</v>
      </c>
    </row>
    <row r="74" spans="2:6" ht="30" x14ac:dyDescent="0.25">
      <c r="B74" s="7">
        <v>2</v>
      </c>
      <c r="C74" s="1">
        <v>2</v>
      </c>
      <c r="D74" s="34" t="s">
        <v>233</v>
      </c>
      <c r="E74" s="21"/>
      <c r="F74" s="21" t="s">
        <v>224</v>
      </c>
    </row>
    <row r="75" spans="2:6" x14ac:dyDescent="0.25">
      <c r="B75" s="7">
        <v>2</v>
      </c>
      <c r="C75" s="1">
        <v>3</v>
      </c>
      <c r="D75" s="21" t="s">
        <v>234</v>
      </c>
      <c r="E75" s="21"/>
      <c r="F75" s="21" t="s">
        <v>235</v>
      </c>
    </row>
    <row r="76" spans="2:6" x14ac:dyDescent="0.25">
      <c r="B76" s="7">
        <v>2</v>
      </c>
      <c r="C76" s="1">
        <v>4</v>
      </c>
      <c r="D76" s="21" t="s">
        <v>234</v>
      </c>
      <c r="E76" s="21"/>
      <c r="F76" s="21" t="s">
        <v>235</v>
      </c>
    </row>
    <row r="77" spans="2:6" x14ac:dyDescent="0.25">
      <c r="B77" s="7">
        <v>2</v>
      </c>
      <c r="C77" s="1">
        <v>5</v>
      </c>
      <c r="D77" s="21" t="s">
        <v>234</v>
      </c>
      <c r="E77" s="21"/>
      <c r="F77" s="21" t="s">
        <v>235</v>
      </c>
    </row>
    <row r="78" spans="2:6" x14ac:dyDescent="0.25">
      <c r="B78" s="7">
        <v>2</v>
      </c>
      <c r="C78" s="1">
        <v>6</v>
      </c>
      <c r="D78" s="21" t="s">
        <v>234</v>
      </c>
      <c r="E78" s="21"/>
      <c r="F78" s="21" t="s">
        <v>235</v>
      </c>
    </row>
    <row r="79" spans="2:6" x14ac:dyDescent="0.25">
      <c r="B79" s="7">
        <v>2</v>
      </c>
      <c r="C79" s="1">
        <v>7</v>
      </c>
      <c r="D79" s="21" t="s">
        <v>234</v>
      </c>
      <c r="E79" s="21"/>
      <c r="F79" s="21" t="s">
        <v>235</v>
      </c>
    </row>
    <row r="80" spans="2:6" x14ac:dyDescent="0.25">
      <c r="B80" s="7">
        <v>2</v>
      </c>
      <c r="C80" s="1">
        <v>8</v>
      </c>
      <c r="D80" s="21" t="s">
        <v>234</v>
      </c>
      <c r="E80" s="21"/>
      <c r="F80" s="21" t="s">
        <v>235</v>
      </c>
    </row>
    <row r="81" spans="2:6" x14ac:dyDescent="0.25">
      <c r="B81" s="7">
        <v>2</v>
      </c>
      <c r="C81" s="1">
        <v>9</v>
      </c>
      <c r="D81" s="21" t="s">
        <v>234</v>
      </c>
      <c r="E81" s="21"/>
      <c r="F81" s="21" t="s">
        <v>235</v>
      </c>
    </row>
    <row r="82" spans="2:6" ht="30" x14ac:dyDescent="0.25">
      <c r="B82" s="7">
        <v>2</v>
      </c>
      <c r="C82" s="1">
        <v>10</v>
      </c>
      <c r="D82" s="31" t="s">
        <v>236</v>
      </c>
      <c r="E82" s="21"/>
      <c r="F82" s="21" t="s">
        <v>224</v>
      </c>
    </row>
    <row r="83" spans="2:6" x14ac:dyDescent="0.25">
      <c r="B83" s="7">
        <v>2</v>
      </c>
      <c r="C83" s="1">
        <v>11</v>
      </c>
      <c r="D83" s="30" t="s">
        <v>237</v>
      </c>
      <c r="E83" s="21"/>
      <c r="F83" s="21" t="s">
        <v>224</v>
      </c>
    </row>
    <row r="84" spans="2:6" ht="30" x14ac:dyDescent="0.25">
      <c r="B84" s="7">
        <v>2</v>
      </c>
      <c r="C84" s="1">
        <v>12</v>
      </c>
      <c r="D84" s="31" t="s">
        <v>238</v>
      </c>
      <c r="E84" s="21"/>
      <c r="F84" s="21" t="s">
        <v>224</v>
      </c>
    </row>
  </sheetData>
  <sheetProtection sheet="1" objects="1" scenarios="1"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5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D46:D56</xm:sqref>
        </x14:dataValidation>
        <x14:dataValidation type="list" allowBlank="1" showInputMessage="1" showErrorMessage="1" xr:uid="{BE7A30BD-1760-4896-BACE-8BCA87088F96}">
          <x14:formula1>
            <xm:f>LISTS!$J$7:$J$16</xm:f>
          </x14:formula1>
          <xm:sqref>E46:E56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0"/>
  <dimension ref="B2:H98"/>
  <sheetViews>
    <sheetView showGridLines="0" zoomScale="85" zoomScaleNormal="85" workbookViewId="0">
      <selection activeCell="D7" sqref="D7"/>
    </sheetView>
  </sheetViews>
  <sheetFormatPr defaultRowHeight="15" x14ac:dyDescent="0.25"/>
  <cols>
    <col min="3" max="3" width="25.5703125" customWidth="1"/>
    <col min="4" max="4" width="48.140625" customWidth="1"/>
    <col min="5" max="6" width="60.42578125" customWidth="1"/>
    <col min="7" max="7" width="11.28515625" customWidth="1"/>
    <col min="8" max="8" width="12.140625" customWidth="1"/>
    <col min="9" max="9" width="14.7109375" customWidth="1"/>
  </cols>
  <sheetData>
    <row r="2" spans="2:6" ht="26.25" x14ac:dyDescent="0.4">
      <c r="C2" s="20" t="str">
        <f>D7</f>
        <v>6096SPS</v>
      </c>
      <c r="D2" s="20" t="str">
        <f>D8</f>
        <v>Secondary PE Teacher Education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35" x14ac:dyDescent="0.25">
      <c r="B7" s="2"/>
      <c r="C7" s="3" t="s">
        <v>4</v>
      </c>
      <c r="D7" s="21" t="s">
        <v>239</v>
      </c>
      <c r="E7" s="4"/>
      <c r="F7" s="27" t="s">
        <v>240</v>
      </c>
    </row>
    <row r="8" spans="2:6" x14ac:dyDescent="0.25">
      <c r="B8" s="2"/>
      <c r="C8" s="3" t="s">
        <v>5</v>
      </c>
      <c r="D8" s="21" t="s">
        <v>241</v>
      </c>
      <c r="E8" s="4"/>
      <c r="F8" s="24"/>
    </row>
    <row r="9" spans="2:6" x14ac:dyDescent="0.25">
      <c r="C9" s="3" t="s">
        <v>6</v>
      </c>
      <c r="D9" s="21">
        <v>20</v>
      </c>
      <c r="E9" s="4"/>
    </row>
    <row r="10" spans="2:6" x14ac:dyDescent="0.25">
      <c r="C10" s="3" t="s">
        <v>7</v>
      </c>
      <c r="D10" s="21">
        <v>1</v>
      </c>
      <c r="E10" s="4"/>
      <c r="F10" t="s">
        <v>8</v>
      </c>
    </row>
    <row r="11" spans="2:6" ht="150" x14ac:dyDescent="0.25">
      <c r="C11" s="3" t="s">
        <v>9</v>
      </c>
      <c r="D11" s="21">
        <v>6</v>
      </c>
      <c r="E11" s="4"/>
      <c r="F11" s="27" t="s">
        <v>242</v>
      </c>
    </row>
    <row r="12" spans="2:6" x14ac:dyDescent="0.25">
      <c r="C12" s="3" t="s">
        <v>10</v>
      </c>
      <c r="D12" s="21" t="s">
        <v>145</v>
      </c>
      <c r="E12" s="4"/>
      <c r="F12" s="24"/>
    </row>
    <row r="13" spans="2:6" x14ac:dyDescent="0.25">
      <c r="C13" s="3" t="s">
        <v>11</v>
      </c>
      <c r="D13" s="21" t="s">
        <v>243</v>
      </c>
      <c r="E13" s="4"/>
      <c r="F13" s="24"/>
    </row>
    <row r="14" spans="2:6" x14ac:dyDescent="0.25">
      <c r="C14" s="3" t="s">
        <v>12</v>
      </c>
      <c r="D14" s="21" t="s">
        <v>244</v>
      </c>
      <c r="E14" s="4"/>
    </row>
    <row r="15" spans="2:6" x14ac:dyDescent="0.25">
      <c r="C15" s="3"/>
      <c r="D15" s="4"/>
      <c r="E15" s="4"/>
      <c r="F15" t="s">
        <v>13</v>
      </c>
    </row>
    <row r="16" spans="2:6" ht="124.5" customHeight="1" x14ac:dyDescent="0.25">
      <c r="C16" s="3"/>
      <c r="D16" s="4"/>
      <c r="E16" s="4"/>
      <c r="F16" s="27" t="s">
        <v>245</v>
      </c>
    </row>
    <row r="17" spans="3:6" ht="18.75" x14ac:dyDescent="0.25">
      <c r="C17" s="5" t="s">
        <v>14</v>
      </c>
      <c r="D17" s="4"/>
      <c r="E17" s="4"/>
      <c r="F17" s="24"/>
    </row>
    <row r="18" spans="3:6" x14ac:dyDescent="0.25">
      <c r="C18" s="3" t="s">
        <v>15</v>
      </c>
      <c r="D18" s="1" t="s">
        <v>14</v>
      </c>
      <c r="E18" s="4"/>
      <c r="F18" s="24"/>
    </row>
    <row r="19" spans="3:6" x14ac:dyDescent="0.25">
      <c r="C19" s="3" t="s">
        <v>16</v>
      </c>
      <c r="D19" s="22">
        <v>9</v>
      </c>
      <c r="E19" s="4"/>
      <c r="F19" s="24"/>
    </row>
    <row r="20" spans="3:6" x14ac:dyDescent="0.25">
      <c r="C20" s="3" t="s">
        <v>17</v>
      </c>
      <c r="D20" s="22">
        <v>3</v>
      </c>
      <c r="E20" s="4"/>
      <c r="F20" s="24"/>
    </row>
    <row r="21" spans="3:6" x14ac:dyDescent="0.25">
      <c r="C21" s="3" t="s">
        <v>18</v>
      </c>
      <c r="D21" s="22">
        <v>16</v>
      </c>
      <c r="E21" s="4"/>
    </row>
    <row r="22" spans="3:6" x14ac:dyDescent="0.25">
      <c r="C22" s="3" t="s">
        <v>19</v>
      </c>
      <c r="D22" s="22">
        <v>6</v>
      </c>
      <c r="E22" s="4"/>
      <c r="F22" t="s">
        <v>20</v>
      </c>
    </row>
    <row r="23" spans="3:6" x14ac:dyDescent="0.25">
      <c r="C23" s="3" t="s">
        <v>21</v>
      </c>
      <c r="D23" s="22">
        <v>6</v>
      </c>
      <c r="E23" s="4"/>
      <c r="F23" s="24" t="s">
        <v>246</v>
      </c>
    </row>
    <row r="24" spans="3:6" x14ac:dyDescent="0.25">
      <c r="C24" s="3" t="s">
        <v>22</v>
      </c>
      <c r="D24" s="1">
        <f>SUM(D19:D23)</f>
        <v>40</v>
      </c>
      <c r="E24" s="4"/>
      <c r="F24" s="24"/>
    </row>
    <row r="25" spans="3:6" x14ac:dyDescent="0.25">
      <c r="F25" s="24"/>
    </row>
    <row r="26" spans="3:6" x14ac:dyDescent="0.25">
      <c r="F26" s="24"/>
    </row>
    <row r="27" spans="3:6" ht="18.75" x14ac:dyDescent="0.25">
      <c r="C27" s="5" t="s">
        <v>23</v>
      </c>
      <c r="D27" s="12" t="s">
        <v>24</v>
      </c>
      <c r="F27" s="24"/>
    </row>
    <row r="28" spans="3:6" x14ac:dyDescent="0.25">
      <c r="C28" s="3" t="s">
        <v>25</v>
      </c>
      <c r="D28" s="3" t="s">
        <v>26</v>
      </c>
      <c r="E28" s="3"/>
      <c r="F28" s="24"/>
    </row>
    <row r="29" spans="3:6" ht="60" x14ac:dyDescent="0.3">
      <c r="C29" s="3" t="s">
        <v>27</v>
      </c>
      <c r="D29" s="21" t="s">
        <v>247</v>
      </c>
      <c r="E29" s="4"/>
      <c r="F29" s="35"/>
    </row>
    <row r="30" spans="3:6" ht="45" x14ac:dyDescent="0.3">
      <c r="C30" s="3" t="s">
        <v>28</v>
      </c>
      <c r="D30" s="21" t="s">
        <v>248</v>
      </c>
      <c r="E30" s="4"/>
      <c r="F30" s="35"/>
    </row>
    <row r="31" spans="3:6" ht="45" x14ac:dyDescent="0.25">
      <c r="C31" s="3" t="s">
        <v>29</v>
      </c>
      <c r="D31" s="21" t="s">
        <v>249</v>
      </c>
      <c r="E31" s="4"/>
      <c r="F31" s="24"/>
    </row>
    <row r="32" spans="3:6" x14ac:dyDescent="0.25">
      <c r="C32" s="3" t="s">
        <v>30</v>
      </c>
      <c r="D32" s="21"/>
      <c r="E32" s="4"/>
      <c r="F32" s="24"/>
    </row>
    <row r="33" spans="3:8" x14ac:dyDescent="0.25">
      <c r="C33" s="3" t="s">
        <v>31</v>
      </c>
      <c r="D33" s="21"/>
      <c r="E33" s="4"/>
      <c r="F33" s="24"/>
    </row>
    <row r="36" spans="3:8" ht="18.75" x14ac:dyDescent="0.25">
      <c r="C36" s="5" t="s">
        <v>32</v>
      </c>
    </row>
    <row r="37" spans="3:8" x14ac:dyDescent="0.25">
      <c r="C37" s="3" t="s">
        <v>33</v>
      </c>
      <c r="D37" s="3" t="s">
        <v>34</v>
      </c>
      <c r="E37" s="3" t="s">
        <v>35</v>
      </c>
      <c r="F37" s="3" t="s">
        <v>36</v>
      </c>
      <c r="G37" s="3" t="s">
        <v>37</v>
      </c>
      <c r="H37" s="3" t="s">
        <v>38</v>
      </c>
    </row>
    <row r="38" spans="3:8" x14ac:dyDescent="0.25">
      <c r="C38" s="3" t="s">
        <v>39</v>
      </c>
      <c r="D38" s="21" t="s">
        <v>40</v>
      </c>
      <c r="E38" s="21" t="s">
        <v>41</v>
      </c>
      <c r="F38" s="21" t="s">
        <v>250</v>
      </c>
      <c r="G38" s="23">
        <v>0.5</v>
      </c>
      <c r="H38" s="21">
        <v>12</v>
      </c>
    </row>
    <row r="39" spans="3:8" ht="30" x14ac:dyDescent="0.25">
      <c r="C39" s="3" t="s">
        <v>43</v>
      </c>
      <c r="D39" s="21" t="s">
        <v>117</v>
      </c>
      <c r="E39" s="21" t="s">
        <v>117</v>
      </c>
      <c r="F39" s="21" t="s">
        <v>251</v>
      </c>
      <c r="G39" s="23">
        <v>0.5</v>
      </c>
      <c r="H39" s="21">
        <v>16</v>
      </c>
    </row>
    <row r="40" spans="3:8" x14ac:dyDescent="0.25">
      <c r="C40" s="3"/>
    </row>
    <row r="42" spans="3:8" ht="37.5" x14ac:dyDescent="0.25">
      <c r="C42" s="5" t="s">
        <v>46</v>
      </c>
      <c r="D42" s="12"/>
    </row>
    <row r="43" spans="3:8" x14ac:dyDescent="0.25">
      <c r="C43" s="1" t="s">
        <v>33</v>
      </c>
      <c r="D43" s="1" t="s">
        <v>25</v>
      </c>
      <c r="E43" s="1" t="s">
        <v>47</v>
      </c>
      <c r="F43" s="1" t="s">
        <v>48</v>
      </c>
    </row>
    <row r="44" spans="3:8" x14ac:dyDescent="0.25">
      <c r="C44" s="25" t="s">
        <v>39</v>
      </c>
      <c r="D44" s="24" t="s">
        <v>27</v>
      </c>
      <c r="E44" s="24" t="s">
        <v>118</v>
      </c>
      <c r="F44" s="24" t="s">
        <v>120</v>
      </c>
    </row>
    <row r="45" spans="3:8" x14ac:dyDescent="0.25">
      <c r="C45" s="25" t="s">
        <v>39</v>
      </c>
      <c r="D45" s="24" t="s">
        <v>27</v>
      </c>
      <c r="E45" s="24" t="s">
        <v>118</v>
      </c>
      <c r="F45" s="24" t="s">
        <v>155</v>
      </c>
    </row>
    <row r="46" spans="3:8" x14ac:dyDescent="0.25">
      <c r="C46" s="25" t="s">
        <v>39</v>
      </c>
      <c r="D46" s="24" t="s">
        <v>28</v>
      </c>
      <c r="E46" s="24" t="s">
        <v>52</v>
      </c>
      <c r="F46" s="24" t="s">
        <v>53</v>
      </c>
    </row>
    <row r="47" spans="3:8" x14ac:dyDescent="0.25">
      <c r="C47" s="25" t="s">
        <v>39</v>
      </c>
      <c r="D47" s="24" t="s">
        <v>28</v>
      </c>
      <c r="E47" s="24" t="s">
        <v>52</v>
      </c>
      <c r="F47" s="24" t="s">
        <v>171</v>
      </c>
    </row>
    <row r="48" spans="3:8" x14ac:dyDescent="0.25">
      <c r="C48" s="25" t="s">
        <v>39</v>
      </c>
      <c r="D48" s="24" t="s">
        <v>28</v>
      </c>
      <c r="E48" s="24" t="s">
        <v>52</v>
      </c>
      <c r="F48" s="24" t="s">
        <v>172</v>
      </c>
    </row>
    <row r="49" spans="3:6" x14ac:dyDescent="0.25">
      <c r="C49" s="25" t="s">
        <v>39</v>
      </c>
      <c r="D49" s="24" t="s">
        <v>28</v>
      </c>
      <c r="E49" s="24" t="s">
        <v>52</v>
      </c>
      <c r="F49" s="24" t="s">
        <v>174</v>
      </c>
    </row>
    <row r="50" spans="3:6" x14ac:dyDescent="0.25">
      <c r="C50" s="25" t="s">
        <v>39</v>
      </c>
      <c r="D50" s="24" t="s">
        <v>28</v>
      </c>
      <c r="E50" s="24" t="s">
        <v>52</v>
      </c>
      <c r="F50" s="24" t="s">
        <v>53</v>
      </c>
    </row>
    <row r="51" spans="3:6" x14ac:dyDescent="0.25">
      <c r="C51" s="25" t="s">
        <v>39</v>
      </c>
      <c r="D51" s="24" t="s">
        <v>28</v>
      </c>
      <c r="E51" s="24" t="s">
        <v>52</v>
      </c>
      <c r="F51" s="24" t="s">
        <v>171</v>
      </c>
    </row>
    <row r="52" spans="3:6" x14ac:dyDescent="0.25">
      <c r="C52" s="25" t="s">
        <v>39</v>
      </c>
      <c r="D52" s="24" t="s">
        <v>28</v>
      </c>
      <c r="E52" s="24" t="s">
        <v>52</v>
      </c>
      <c r="F52" s="24" t="s">
        <v>172</v>
      </c>
    </row>
    <row r="53" spans="3:6" x14ac:dyDescent="0.25">
      <c r="C53" s="25" t="s">
        <v>39</v>
      </c>
      <c r="D53" s="24" t="s">
        <v>28</v>
      </c>
      <c r="E53" s="24" t="s">
        <v>52</v>
      </c>
      <c r="F53" s="24" t="s">
        <v>173</v>
      </c>
    </row>
    <row r="54" spans="3:6" x14ac:dyDescent="0.25">
      <c r="C54" s="25" t="s">
        <v>39</v>
      </c>
      <c r="D54" s="24" t="s">
        <v>28</v>
      </c>
      <c r="E54" s="24" t="s">
        <v>52</v>
      </c>
      <c r="F54" s="24" t="s">
        <v>174</v>
      </c>
    </row>
    <row r="55" spans="3:6" x14ac:dyDescent="0.25">
      <c r="C55" s="25" t="s">
        <v>39</v>
      </c>
      <c r="D55" s="24" t="s">
        <v>28</v>
      </c>
      <c r="E55" s="24" t="s">
        <v>54</v>
      </c>
      <c r="F55" s="24" t="s">
        <v>55</v>
      </c>
    </row>
    <row r="56" spans="3:6" x14ac:dyDescent="0.25">
      <c r="C56" s="25" t="s">
        <v>39</v>
      </c>
      <c r="D56" s="24" t="s">
        <v>28</v>
      </c>
      <c r="E56" s="24" t="s">
        <v>54</v>
      </c>
      <c r="F56" s="24" t="s">
        <v>175</v>
      </c>
    </row>
    <row r="57" spans="3:6" x14ac:dyDescent="0.25">
      <c r="C57" s="25" t="s">
        <v>39</v>
      </c>
      <c r="D57" s="24" t="s">
        <v>28</v>
      </c>
      <c r="E57" s="24" t="s">
        <v>54</v>
      </c>
      <c r="F57" s="24" t="s">
        <v>159</v>
      </c>
    </row>
    <row r="58" spans="3:6" x14ac:dyDescent="0.25">
      <c r="C58" s="25" t="s">
        <v>39</v>
      </c>
      <c r="D58" s="24" t="s">
        <v>28</v>
      </c>
      <c r="E58" s="24" t="s">
        <v>176</v>
      </c>
      <c r="F58" s="24" t="s">
        <v>177</v>
      </c>
    </row>
    <row r="59" spans="3:6" x14ac:dyDescent="0.25">
      <c r="C59" s="25" t="s">
        <v>39</v>
      </c>
      <c r="D59" s="24" t="s">
        <v>28</v>
      </c>
      <c r="E59" s="24" t="s">
        <v>176</v>
      </c>
      <c r="F59" s="24" t="s">
        <v>178</v>
      </c>
    </row>
    <row r="60" spans="3:6" x14ac:dyDescent="0.25">
      <c r="C60" s="25" t="s">
        <v>39</v>
      </c>
      <c r="D60" s="24" t="s">
        <v>28</v>
      </c>
      <c r="E60" s="24" t="s">
        <v>176</v>
      </c>
      <c r="F60" s="24" t="s">
        <v>179</v>
      </c>
    </row>
    <row r="61" spans="3:6" x14ac:dyDescent="0.25">
      <c r="C61" s="25" t="s">
        <v>39</v>
      </c>
      <c r="D61" s="24" t="s">
        <v>28</v>
      </c>
      <c r="E61" s="24" t="s">
        <v>176</v>
      </c>
      <c r="F61" s="24" t="s">
        <v>180</v>
      </c>
    </row>
    <row r="62" spans="3:6" x14ac:dyDescent="0.25">
      <c r="C62" s="25" t="s">
        <v>39</v>
      </c>
      <c r="D62" s="24" t="s">
        <v>28</v>
      </c>
      <c r="E62" s="24" t="s">
        <v>176</v>
      </c>
      <c r="F62" s="24" t="s">
        <v>181</v>
      </c>
    </row>
    <row r="63" spans="3:6" x14ac:dyDescent="0.25">
      <c r="C63" s="25" t="s">
        <v>39</v>
      </c>
      <c r="D63" s="24" t="s">
        <v>28</v>
      </c>
      <c r="E63" s="24" t="s">
        <v>176</v>
      </c>
      <c r="F63" s="24" t="s">
        <v>182</v>
      </c>
    </row>
    <row r="64" spans="3:6" x14ac:dyDescent="0.25">
      <c r="C64" s="25" t="s">
        <v>39</v>
      </c>
      <c r="D64" s="24" t="s">
        <v>28</v>
      </c>
      <c r="E64" s="24" t="s">
        <v>176</v>
      </c>
      <c r="F64" s="24" t="s">
        <v>183</v>
      </c>
    </row>
    <row r="65" spans="3:6" x14ac:dyDescent="0.25">
      <c r="C65" s="25" t="s">
        <v>39</v>
      </c>
      <c r="D65" s="24" t="s">
        <v>28</v>
      </c>
      <c r="E65" s="24" t="s">
        <v>162</v>
      </c>
      <c r="F65" s="24" t="s">
        <v>184</v>
      </c>
    </row>
    <row r="66" spans="3:6" x14ac:dyDescent="0.25">
      <c r="C66" s="25" t="s">
        <v>39</v>
      </c>
      <c r="D66" s="24" t="s">
        <v>28</v>
      </c>
      <c r="E66" s="24" t="s">
        <v>162</v>
      </c>
      <c r="F66" s="24" t="s">
        <v>164</v>
      </c>
    </row>
    <row r="67" spans="3:6" x14ac:dyDescent="0.25">
      <c r="C67" s="25" t="s">
        <v>39</v>
      </c>
      <c r="D67" s="24" t="s">
        <v>28</v>
      </c>
      <c r="E67" s="24" t="s">
        <v>165</v>
      </c>
      <c r="F67" s="24" t="s">
        <v>166</v>
      </c>
    </row>
    <row r="68" spans="3:6" x14ac:dyDescent="0.25">
      <c r="C68" s="25" t="s">
        <v>39</v>
      </c>
      <c r="D68" s="24" t="s">
        <v>28</v>
      </c>
      <c r="E68" s="24" t="s">
        <v>165</v>
      </c>
      <c r="F68" s="24" t="s">
        <v>167</v>
      </c>
    </row>
    <row r="69" spans="3:6" x14ac:dyDescent="0.25">
      <c r="C69" s="25" t="s">
        <v>39</v>
      </c>
      <c r="D69" s="24" t="s">
        <v>28</v>
      </c>
      <c r="E69" s="24" t="s">
        <v>165</v>
      </c>
      <c r="F69" s="24" t="s">
        <v>168</v>
      </c>
    </row>
    <row r="70" spans="3:6" x14ac:dyDescent="0.25">
      <c r="C70" s="25" t="s">
        <v>39</v>
      </c>
      <c r="D70" s="24" t="s">
        <v>28</v>
      </c>
      <c r="E70" s="24" t="s">
        <v>165</v>
      </c>
      <c r="F70" s="24" t="s">
        <v>169</v>
      </c>
    </row>
    <row r="71" spans="3:6" x14ac:dyDescent="0.25">
      <c r="C71" s="25" t="s">
        <v>39</v>
      </c>
      <c r="D71" s="24" t="s">
        <v>28</v>
      </c>
      <c r="E71" s="24" t="s">
        <v>165</v>
      </c>
      <c r="F71" s="24" t="s">
        <v>170</v>
      </c>
    </row>
    <row r="72" spans="3:6" x14ac:dyDescent="0.25">
      <c r="C72" s="25" t="s">
        <v>39</v>
      </c>
      <c r="D72" s="24" t="s">
        <v>28</v>
      </c>
      <c r="E72" s="24" t="s">
        <v>160</v>
      </c>
      <c r="F72" s="24" t="s">
        <v>185</v>
      </c>
    </row>
    <row r="73" spans="3:6" x14ac:dyDescent="0.25">
      <c r="C73" s="25" t="s">
        <v>39</v>
      </c>
      <c r="D73" s="24" t="s">
        <v>28</v>
      </c>
      <c r="E73" s="24" t="s">
        <v>160</v>
      </c>
      <c r="F73" s="24" t="s">
        <v>186</v>
      </c>
    </row>
    <row r="74" spans="3:6" x14ac:dyDescent="0.25">
      <c r="C74" s="25" t="s">
        <v>39</v>
      </c>
      <c r="D74" s="24" t="s">
        <v>28</v>
      </c>
      <c r="E74" s="24" t="s">
        <v>160</v>
      </c>
      <c r="F74" s="24" t="s">
        <v>161</v>
      </c>
    </row>
    <row r="75" spans="3:6" x14ac:dyDescent="0.25">
      <c r="C75" s="25" t="s">
        <v>43</v>
      </c>
      <c r="D75" s="24" t="s">
        <v>27</v>
      </c>
      <c r="E75" s="24" t="s">
        <v>118</v>
      </c>
      <c r="F75" s="24" t="s">
        <v>120</v>
      </c>
    </row>
    <row r="76" spans="3:6" x14ac:dyDescent="0.25">
      <c r="C76" s="25" t="s">
        <v>43</v>
      </c>
      <c r="D76" s="24" t="s">
        <v>27</v>
      </c>
      <c r="E76" s="24" t="s">
        <v>118</v>
      </c>
      <c r="F76" s="24" t="s">
        <v>187</v>
      </c>
    </row>
    <row r="77" spans="3:6" x14ac:dyDescent="0.25">
      <c r="C77" s="25" t="s">
        <v>43</v>
      </c>
      <c r="D77" s="24" t="s">
        <v>27</v>
      </c>
      <c r="E77" s="24" t="s">
        <v>118</v>
      </c>
      <c r="F77" s="24" t="s">
        <v>119</v>
      </c>
    </row>
    <row r="78" spans="3:6" x14ac:dyDescent="0.25">
      <c r="C78" s="25" t="s">
        <v>43</v>
      </c>
      <c r="D78" s="24" t="s">
        <v>27</v>
      </c>
      <c r="E78" s="24" t="s">
        <v>118</v>
      </c>
      <c r="F78" s="24" t="s">
        <v>155</v>
      </c>
    </row>
    <row r="79" spans="3:6" x14ac:dyDescent="0.25">
      <c r="C79" s="25" t="s">
        <v>43</v>
      </c>
      <c r="D79" s="24" t="s">
        <v>29</v>
      </c>
      <c r="E79" s="24" t="s">
        <v>160</v>
      </c>
      <c r="F79" s="24" t="s">
        <v>185</v>
      </c>
    </row>
    <row r="80" spans="3:6" x14ac:dyDescent="0.25">
      <c r="C80" s="25" t="s">
        <v>43</v>
      </c>
      <c r="D80" s="24" t="s">
        <v>29</v>
      </c>
      <c r="E80" s="24" t="s">
        <v>160</v>
      </c>
      <c r="F80" s="24" t="s">
        <v>161</v>
      </c>
    </row>
    <row r="81" spans="2:6" x14ac:dyDescent="0.25">
      <c r="C81" s="25" t="s">
        <v>43</v>
      </c>
      <c r="D81" s="24" t="s">
        <v>29</v>
      </c>
      <c r="E81" s="24" t="s">
        <v>162</v>
      </c>
      <c r="F81" s="24" t="s">
        <v>252</v>
      </c>
    </row>
    <row r="82" spans="2:6" x14ac:dyDescent="0.25">
      <c r="C82" s="25" t="s">
        <v>43</v>
      </c>
      <c r="D82" s="24" t="s">
        <v>29</v>
      </c>
      <c r="E82" s="24" t="s">
        <v>162</v>
      </c>
      <c r="F82" s="24" t="s">
        <v>163</v>
      </c>
    </row>
    <row r="83" spans="2:6" x14ac:dyDescent="0.25">
      <c r="C83" s="25" t="s">
        <v>43</v>
      </c>
      <c r="D83" s="24" t="s">
        <v>29</v>
      </c>
      <c r="E83" s="24" t="s">
        <v>162</v>
      </c>
      <c r="F83" s="24" t="s">
        <v>253</v>
      </c>
    </row>
    <row r="85" spans="2:6" ht="18.75" x14ac:dyDescent="0.25">
      <c r="C85" s="5" t="s">
        <v>58</v>
      </c>
    </row>
    <row r="86" spans="2:6" x14ac:dyDescent="0.25">
      <c r="B86" t="s">
        <v>59</v>
      </c>
      <c r="C86" s="1" t="s">
        <v>60</v>
      </c>
      <c r="D86" s="1" t="s">
        <v>61</v>
      </c>
      <c r="E86" s="1" t="s">
        <v>62</v>
      </c>
      <c r="F86" s="1" t="s">
        <v>63</v>
      </c>
    </row>
    <row r="87" spans="2:6" ht="30" x14ac:dyDescent="0.25">
      <c r="B87" s="7">
        <v>1</v>
      </c>
      <c r="C87" s="1">
        <v>1</v>
      </c>
      <c r="D87" s="21" t="s">
        <v>254</v>
      </c>
      <c r="E87" s="21" t="s">
        <v>255</v>
      </c>
      <c r="F87" s="21" t="s">
        <v>191</v>
      </c>
    </row>
    <row r="88" spans="2:6" ht="30" x14ac:dyDescent="0.25">
      <c r="B88" s="7">
        <v>1</v>
      </c>
      <c r="C88" s="1">
        <v>2</v>
      </c>
      <c r="D88" s="21" t="s">
        <v>256</v>
      </c>
      <c r="E88" s="21" t="s">
        <v>257</v>
      </c>
      <c r="F88" s="21" t="s">
        <v>191</v>
      </c>
    </row>
    <row r="89" spans="2:6" ht="30" x14ac:dyDescent="0.25">
      <c r="B89" s="7">
        <v>1</v>
      </c>
      <c r="C89" s="1">
        <v>3</v>
      </c>
      <c r="D89" s="21" t="s">
        <v>258</v>
      </c>
      <c r="E89" s="21" t="s">
        <v>259</v>
      </c>
      <c r="F89" s="21" t="s">
        <v>191</v>
      </c>
    </row>
    <row r="90" spans="2:6" ht="30" x14ac:dyDescent="0.25">
      <c r="B90" s="7">
        <v>1</v>
      </c>
      <c r="C90" s="1">
        <v>4</v>
      </c>
      <c r="D90" s="21" t="s">
        <v>260</v>
      </c>
      <c r="E90" s="21" t="s">
        <v>261</v>
      </c>
      <c r="F90" s="21" t="s">
        <v>191</v>
      </c>
    </row>
    <row r="91" spans="2:6" x14ac:dyDescent="0.25">
      <c r="B91" s="7">
        <v>1</v>
      </c>
      <c r="C91" s="1">
        <v>5</v>
      </c>
      <c r="D91" s="21" t="s">
        <v>262</v>
      </c>
      <c r="E91" s="21" t="s">
        <v>263</v>
      </c>
      <c r="F91" s="21" t="s">
        <v>191</v>
      </c>
    </row>
    <row r="92" spans="2:6" ht="30" x14ac:dyDescent="0.25">
      <c r="B92" s="7">
        <v>1</v>
      </c>
      <c r="C92" s="1">
        <v>6</v>
      </c>
      <c r="D92" s="21" t="s">
        <v>264</v>
      </c>
      <c r="E92" s="28" t="s">
        <v>265</v>
      </c>
      <c r="F92" s="21" t="s">
        <v>191</v>
      </c>
    </row>
    <row r="93" spans="2:6" x14ac:dyDescent="0.25">
      <c r="B93" s="7">
        <v>1</v>
      </c>
      <c r="C93" s="1">
        <v>7</v>
      </c>
      <c r="D93" s="21" t="s">
        <v>266</v>
      </c>
      <c r="E93" s="21"/>
      <c r="F93" s="21" t="s">
        <v>18</v>
      </c>
    </row>
    <row r="94" spans="2:6" x14ac:dyDescent="0.25">
      <c r="B94" s="7">
        <v>1</v>
      </c>
      <c r="C94" s="1">
        <v>8</v>
      </c>
      <c r="D94" s="21" t="s">
        <v>266</v>
      </c>
      <c r="E94" s="21"/>
      <c r="F94" s="21" t="s">
        <v>18</v>
      </c>
    </row>
    <row r="95" spans="2:6" ht="30" x14ac:dyDescent="0.25">
      <c r="B95" s="7">
        <v>1</v>
      </c>
      <c r="C95" s="1">
        <v>9</v>
      </c>
      <c r="D95" s="21" t="s">
        <v>267</v>
      </c>
      <c r="E95" s="29" t="s">
        <v>268</v>
      </c>
      <c r="F95" s="21" t="s">
        <v>19</v>
      </c>
    </row>
    <row r="96" spans="2:6" ht="30" x14ac:dyDescent="0.25">
      <c r="B96" s="7">
        <v>1</v>
      </c>
      <c r="C96" s="1">
        <v>10</v>
      </c>
      <c r="D96" s="21" t="s">
        <v>269</v>
      </c>
      <c r="E96" s="21" t="s">
        <v>270</v>
      </c>
      <c r="F96" s="21" t="s">
        <v>19</v>
      </c>
    </row>
    <row r="97" spans="2:6" x14ac:dyDescent="0.25">
      <c r="B97" s="7">
        <v>1</v>
      </c>
      <c r="C97" s="1">
        <v>11</v>
      </c>
      <c r="D97" s="21" t="s">
        <v>271</v>
      </c>
      <c r="E97" s="21"/>
      <c r="F97" s="21" t="s">
        <v>17</v>
      </c>
    </row>
    <row r="98" spans="2:6" x14ac:dyDescent="0.25">
      <c r="B98" s="7">
        <v>1</v>
      </c>
      <c r="C98" s="1">
        <v>12</v>
      </c>
      <c r="D98" s="21"/>
      <c r="E98" s="21"/>
      <c r="F98"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39" xr:uid="{B9D0113D-C789-41AE-B9C8-690F6C7A67B0}">
      <formula1>INDIRECT("LISTAssess[Assessment Specific]")</formula1>
    </dataValidation>
    <dataValidation type="list" allowBlank="1" showInputMessage="1" showErrorMessage="1" sqref="F44:F83" xr:uid="{3D662EF6-94E1-4350-B3D5-9F339CA0FD80}">
      <formula1>INDIRECT(VLOOKUP($E44,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LISTS!$G$7:$G$12</xm:f>
          </x14:formula1>
          <xm:sqref>D38:D40</xm:sqref>
        </x14:dataValidation>
        <x14:dataValidation type="list" allowBlank="1" showInputMessage="1" showErrorMessage="1" xr:uid="{DD24076C-D431-4B83-8FB6-3800945C7C90}">
          <x14:formula1>
            <xm:f>LISTS!$E$7:$E$11</xm:f>
          </x14:formula1>
          <xm:sqref>D44:D83</xm:sqref>
        </x14:dataValidation>
        <x14:dataValidation type="list" allowBlank="1" showInputMessage="1" showErrorMessage="1" xr:uid="{C1ACB768-367A-4765-AEE3-B6D50718CC09}">
          <x14:formula1>
            <xm:f>LISTS!$J$7:$J$16</xm:f>
          </x14:formula1>
          <xm:sqref>E44:E83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1"/>
  <dimension ref="C4:T102"/>
  <sheetViews>
    <sheetView workbookViewId="0">
      <selection activeCell="G13" sqref="G13"/>
    </sheetView>
  </sheetViews>
  <sheetFormatPr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274</v>
      </c>
      <c r="E4" t="s">
        <v>275</v>
      </c>
      <c r="G4" t="s">
        <v>275</v>
      </c>
      <c r="J4" t="s">
        <v>276</v>
      </c>
    </row>
    <row r="7" spans="3:10" ht="15.75" customHeight="1" x14ac:dyDescent="0.25">
      <c r="C7" s="7">
        <v>1</v>
      </c>
      <c r="E7" t="s">
        <v>27</v>
      </c>
      <c r="G7" t="s">
        <v>94</v>
      </c>
      <c r="J7" t="s">
        <v>49</v>
      </c>
    </row>
    <row r="8" spans="3:10" x14ac:dyDescent="0.25">
      <c r="C8" s="7">
        <v>2</v>
      </c>
      <c r="E8" t="s">
        <v>28</v>
      </c>
      <c r="G8" t="s">
        <v>272</v>
      </c>
      <c r="J8" t="s">
        <v>56</v>
      </c>
    </row>
    <row r="9" spans="3:10" x14ac:dyDescent="0.25">
      <c r="C9" s="7" t="s">
        <v>213</v>
      </c>
      <c r="E9" t="s">
        <v>29</v>
      </c>
      <c r="G9" t="s">
        <v>40</v>
      </c>
      <c r="J9" t="s">
        <v>52</v>
      </c>
    </row>
    <row r="10" spans="3:10" x14ac:dyDescent="0.25">
      <c r="E10" t="s">
        <v>30</v>
      </c>
      <c r="G10" t="s">
        <v>18</v>
      </c>
      <c r="J10" t="s">
        <v>118</v>
      </c>
    </row>
    <row r="11" spans="3:10" x14ac:dyDescent="0.25">
      <c r="C11" s="7">
        <v>3</v>
      </c>
      <c r="E11" t="s">
        <v>31</v>
      </c>
      <c r="G11" t="s">
        <v>152</v>
      </c>
      <c r="J11" t="s">
        <v>156</v>
      </c>
    </row>
    <row r="12" spans="3:10" x14ac:dyDescent="0.25">
      <c r="C12" s="7">
        <v>4</v>
      </c>
      <c r="G12" t="s">
        <v>117</v>
      </c>
      <c r="J12" t="s">
        <v>54</v>
      </c>
    </row>
    <row r="13" spans="3:10" x14ac:dyDescent="0.25">
      <c r="C13" s="7">
        <v>5</v>
      </c>
      <c r="J13" t="s">
        <v>160</v>
      </c>
    </row>
    <row r="14" spans="3:10" x14ac:dyDescent="0.25">
      <c r="C14" s="7">
        <v>6</v>
      </c>
      <c r="G14" t="s">
        <v>35</v>
      </c>
      <c r="J14" t="s">
        <v>176</v>
      </c>
    </row>
    <row r="15" spans="3:10" x14ac:dyDescent="0.25">
      <c r="C15" s="7">
        <v>7</v>
      </c>
      <c r="G15" t="s">
        <v>277</v>
      </c>
      <c r="J15" t="s">
        <v>162</v>
      </c>
    </row>
    <row r="16" spans="3:10" x14ac:dyDescent="0.25">
      <c r="G16" t="s">
        <v>278</v>
      </c>
      <c r="J16" t="s">
        <v>165</v>
      </c>
    </row>
    <row r="17" spans="3:20" x14ac:dyDescent="0.25">
      <c r="C17" t="s">
        <v>85</v>
      </c>
      <c r="G17" t="s">
        <v>279</v>
      </c>
    </row>
    <row r="18" spans="3:20" x14ac:dyDescent="0.25">
      <c r="C18" t="s">
        <v>115</v>
      </c>
      <c r="G18" t="s">
        <v>117</v>
      </c>
    </row>
    <row r="19" spans="3:20" x14ac:dyDescent="0.25">
      <c r="C19" t="s">
        <v>280</v>
      </c>
      <c r="G19" t="s">
        <v>41</v>
      </c>
      <c r="J19" t="s">
        <v>281</v>
      </c>
      <c r="K19" t="s">
        <v>282</v>
      </c>
    </row>
    <row r="20" spans="3:20" x14ac:dyDescent="0.25">
      <c r="C20" t="s">
        <v>283</v>
      </c>
      <c r="G20" t="s">
        <v>131</v>
      </c>
      <c r="J20" t="s">
        <v>49</v>
      </c>
      <c r="K20" t="s">
        <v>284</v>
      </c>
      <c r="O20" s="9" t="s">
        <v>285</v>
      </c>
      <c r="S20" s="14" t="s">
        <v>286</v>
      </c>
      <c r="T20" s="15" t="s">
        <v>287</v>
      </c>
    </row>
    <row r="21" spans="3:20" x14ac:dyDescent="0.25">
      <c r="C21" t="s">
        <v>243</v>
      </c>
      <c r="G21" t="s">
        <v>288</v>
      </c>
      <c r="J21" t="s">
        <v>49</v>
      </c>
      <c r="K21" t="s">
        <v>51</v>
      </c>
      <c r="O21" t="str" cm="1">
        <f t="array" ref="O21:O26">_xlfn._xlws.FILTER(LISTS_Table[Skill],LISTS_Table[Category]="Scientific Knowledge")</f>
        <v>Critical thinking</v>
      </c>
      <c r="S21" s="16" t="s">
        <v>49</v>
      </c>
      <c r="T21" s="17" t="s">
        <v>289</v>
      </c>
    </row>
    <row r="22" spans="3:20" x14ac:dyDescent="0.25">
      <c r="C22" t="s">
        <v>146</v>
      </c>
      <c r="G22" t="s">
        <v>290</v>
      </c>
      <c r="J22" t="s">
        <v>49</v>
      </c>
      <c r="K22" t="s">
        <v>50</v>
      </c>
      <c r="O22" t="str">
        <v>Scientific literacy</v>
      </c>
      <c r="S22" s="18" t="s">
        <v>56</v>
      </c>
      <c r="T22" s="19" t="s">
        <v>291</v>
      </c>
    </row>
    <row r="23" spans="3:20" x14ac:dyDescent="0.25">
      <c r="G23" t="s">
        <v>292</v>
      </c>
      <c r="J23" t="s">
        <v>49</v>
      </c>
      <c r="K23" t="s">
        <v>293</v>
      </c>
      <c r="O23" t="str">
        <v>Information retrieval</v>
      </c>
      <c r="S23" s="16" t="s">
        <v>52</v>
      </c>
      <c r="T23" s="17" t="s">
        <v>294</v>
      </c>
    </row>
    <row r="24" spans="3:20" x14ac:dyDescent="0.25">
      <c r="G24" t="s">
        <v>295</v>
      </c>
      <c r="J24" t="s">
        <v>49</v>
      </c>
      <c r="K24" t="s">
        <v>296</v>
      </c>
      <c r="O24" t="str">
        <v>Knowledge synthesis</v>
      </c>
      <c r="S24" s="18" t="s">
        <v>118</v>
      </c>
      <c r="T24" s="19" t="s">
        <v>297</v>
      </c>
    </row>
    <row r="25" spans="3:20" x14ac:dyDescent="0.25">
      <c r="G25" t="s">
        <v>95</v>
      </c>
      <c r="J25" t="s">
        <v>49</v>
      </c>
      <c r="K25" t="s">
        <v>298</v>
      </c>
      <c r="O25" t="str">
        <v>Domian-specfic analytical skills</v>
      </c>
      <c r="S25" s="16" t="s">
        <v>156</v>
      </c>
      <c r="T25" s="17" t="s">
        <v>299</v>
      </c>
    </row>
    <row r="26" spans="3:20" x14ac:dyDescent="0.25">
      <c r="C26" t="s">
        <v>300</v>
      </c>
      <c r="G26" t="s">
        <v>301</v>
      </c>
      <c r="J26" t="s">
        <v>56</v>
      </c>
      <c r="K26" t="s">
        <v>302</v>
      </c>
      <c r="O26" t="str">
        <v>Evidence evaluation</v>
      </c>
      <c r="S26" s="18" t="s">
        <v>54</v>
      </c>
      <c r="T26" s="19" t="s">
        <v>54</v>
      </c>
    </row>
    <row r="27" spans="3:20" x14ac:dyDescent="0.25">
      <c r="C27" t="s">
        <v>86</v>
      </c>
      <c r="G27" t="s">
        <v>303</v>
      </c>
      <c r="J27" t="s">
        <v>56</v>
      </c>
      <c r="K27" t="s">
        <v>304</v>
      </c>
      <c r="S27" s="16" t="s">
        <v>160</v>
      </c>
      <c r="T27" s="17" t="s">
        <v>305</v>
      </c>
    </row>
    <row r="28" spans="3:20" x14ac:dyDescent="0.25">
      <c r="C28" t="s">
        <v>306</v>
      </c>
      <c r="G28" t="s">
        <v>273</v>
      </c>
      <c r="J28" t="s">
        <v>56</v>
      </c>
      <c r="K28" t="s">
        <v>77</v>
      </c>
      <c r="O28" s="6" t="s">
        <v>307</v>
      </c>
      <c r="S28" s="18" t="s">
        <v>176</v>
      </c>
      <c r="T28" s="19" t="s">
        <v>308</v>
      </c>
    </row>
    <row r="29" spans="3:20" x14ac:dyDescent="0.25">
      <c r="C29" t="s">
        <v>309</v>
      </c>
      <c r="J29" t="s">
        <v>56</v>
      </c>
      <c r="K29" t="s">
        <v>310</v>
      </c>
      <c r="O29" t="str" cm="1">
        <f t="array" ref="O29:O34">_xlfn._xlws.FILTER(LISTS_Table[Skill],LISTS_Table[Category]="Technical Skills")</f>
        <v>Laboratory/clinical techniques</v>
      </c>
      <c r="S29" s="16" t="s">
        <v>162</v>
      </c>
      <c r="T29" s="17" t="s">
        <v>311</v>
      </c>
    </row>
    <row r="30" spans="3:20" x14ac:dyDescent="0.25">
      <c r="C30" t="s">
        <v>312</v>
      </c>
      <c r="J30" t="s">
        <v>56</v>
      </c>
      <c r="K30" t="s">
        <v>57</v>
      </c>
      <c r="O30" t="str">
        <v>Data collection</v>
      </c>
      <c r="S30" s="13" t="s">
        <v>165</v>
      </c>
      <c r="T30" s="11" t="s">
        <v>313</v>
      </c>
    </row>
    <row r="31" spans="3:20" x14ac:dyDescent="0.25">
      <c r="C31" t="s">
        <v>314</v>
      </c>
      <c r="J31" t="s">
        <v>56</v>
      </c>
      <c r="K31" t="s">
        <v>315</v>
      </c>
      <c r="O31" t="str">
        <v>Data analysis</v>
      </c>
    </row>
    <row r="32" spans="3:20" x14ac:dyDescent="0.25">
      <c r="C32" t="s">
        <v>116</v>
      </c>
      <c r="J32" t="s">
        <v>52</v>
      </c>
      <c r="K32" t="s">
        <v>53</v>
      </c>
      <c r="O32" t="str">
        <v>Digital literacy</v>
      </c>
    </row>
    <row r="33" spans="3:15" x14ac:dyDescent="0.25">
      <c r="C33" t="s">
        <v>316</v>
      </c>
      <c r="J33" t="s">
        <v>52</v>
      </c>
      <c r="K33" t="s">
        <v>317</v>
      </c>
      <c r="O33" t="str">
        <v>Equipment and technology utilisation</v>
      </c>
    </row>
    <row r="34" spans="3:15" x14ac:dyDescent="0.25">
      <c r="C34" t="s">
        <v>244</v>
      </c>
      <c r="J34" t="s">
        <v>52</v>
      </c>
      <c r="K34" t="s">
        <v>171</v>
      </c>
      <c r="O34" t="str">
        <v>Technical proficiency</v>
      </c>
    </row>
    <row r="35" spans="3:15" x14ac:dyDescent="0.25">
      <c r="C35" t="s">
        <v>318</v>
      </c>
      <c r="J35" t="s">
        <v>52</v>
      </c>
      <c r="K35" t="s">
        <v>172</v>
      </c>
    </row>
    <row r="36" spans="3:15" x14ac:dyDescent="0.25">
      <c r="C36" t="s">
        <v>319</v>
      </c>
      <c r="J36" t="s">
        <v>52</v>
      </c>
      <c r="K36" t="s">
        <v>173</v>
      </c>
      <c r="O36" s="9" t="s">
        <v>320</v>
      </c>
    </row>
    <row r="37" spans="3:15" x14ac:dyDescent="0.25">
      <c r="C37" t="s">
        <v>321</v>
      </c>
      <c r="J37" t="s">
        <v>52</v>
      </c>
      <c r="K37" t="s">
        <v>174</v>
      </c>
      <c r="O37" t="str" cm="1">
        <f t="array" ref="O37:O42">_xlfn._xlws.FILTER(LISTS_Table[Skill],LISTS_Table[Category]="Application of Knowledge and skills")</f>
        <v>Decision-making</v>
      </c>
    </row>
    <row r="38" spans="3:15" x14ac:dyDescent="0.25">
      <c r="J38" t="s">
        <v>118</v>
      </c>
      <c r="K38" t="s">
        <v>322</v>
      </c>
      <c r="O38" t="str">
        <v>Translational practice</v>
      </c>
    </row>
    <row r="39" spans="3:15" x14ac:dyDescent="0.25">
      <c r="J39" t="s">
        <v>118</v>
      </c>
      <c r="K39" t="s">
        <v>120</v>
      </c>
      <c r="O39" t="str">
        <v>Contextual application</v>
      </c>
    </row>
    <row r="40" spans="3:15" x14ac:dyDescent="0.25">
      <c r="J40" t="s">
        <v>118</v>
      </c>
      <c r="K40" t="s">
        <v>187</v>
      </c>
      <c r="O40" t="str">
        <v>Professional judgement</v>
      </c>
    </row>
    <row r="41" spans="3:15" x14ac:dyDescent="0.25">
      <c r="J41" t="s">
        <v>118</v>
      </c>
      <c r="K41" t="s">
        <v>119</v>
      </c>
      <c r="O41" t="str">
        <v>Adaptability</v>
      </c>
    </row>
    <row r="42" spans="3:15" x14ac:dyDescent="0.25">
      <c r="J42" t="s">
        <v>118</v>
      </c>
      <c r="K42" t="s">
        <v>155</v>
      </c>
      <c r="O42" t="str">
        <v>Risk assessment</v>
      </c>
    </row>
    <row r="43" spans="3:15" x14ac:dyDescent="0.25">
      <c r="J43" t="s">
        <v>118</v>
      </c>
      <c r="K43" t="s">
        <v>323</v>
      </c>
    </row>
    <row r="44" spans="3:15" x14ac:dyDescent="0.25">
      <c r="J44" t="s">
        <v>156</v>
      </c>
      <c r="K44" t="s">
        <v>188</v>
      </c>
      <c r="O44" s="8" t="s">
        <v>118</v>
      </c>
    </row>
    <row r="45" spans="3:15" x14ac:dyDescent="0.25">
      <c r="J45" t="s">
        <v>156</v>
      </c>
      <c r="K45" t="s">
        <v>157</v>
      </c>
      <c r="O45" t="str" cm="1">
        <f t="array" ref="O45:O50">_xlfn._xlws.FILTER(LISTS_Table[Skill],LISTS_Table[Category]="Understanding and use of research")</f>
        <v>Reserch literacy</v>
      </c>
    </row>
    <row r="46" spans="3:15" x14ac:dyDescent="0.25">
      <c r="J46" t="s">
        <v>156</v>
      </c>
      <c r="K46" t="s">
        <v>158</v>
      </c>
      <c r="O46" t="str">
        <v>Literature searching</v>
      </c>
    </row>
    <row r="47" spans="3:15" x14ac:dyDescent="0.25">
      <c r="J47" t="s">
        <v>156</v>
      </c>
      <c r="K47" t="s">
        <v>324</v>
      </c>
      <c r="O47" t="str">
        <v>Critical appraisal</v>
      </c>
    </row>
    <row r="48" spans="3:15" x14ac:dyDescent="0.25">
      <c r="J48" t="s">
        <v>156</v>
      </c>
      <c r="K48" t="s">
        <v>325</v>
      </c>
      <c r="O48" t="str">
        <v>Data interpretation</v>
      </c>
    </row>
    <row r="49" spans="10:15" x14ac:dyDescent="0.25">
      <c r="J49" t="s">
        <v>156</v>
      </c>
      <c r="K49" t="s">
        <v>326</v>
      </c>
      <c r="O49" t="str">
        <v>Evidne-based practice</v>
      </c>
    </row>
    <row r="50" spans="10:15" x14ac:dyDescent="0.25">
      <c r="J50" t="s">
        <v>156</v>
      </c>
      <c r="K50" t="s">
        <v>327</v>
      </c>
      <c r="O50" t="str">
        <v>Research communication</v>
      </c>
    </row>
    <row r="51" spans="10:15" x14ac:dyDescent="0.25">
      <c r="J51" t="s">
        <v>54</v>
      </c>
      <c r="K51" t="s">
        <v>328</v>
      </c>
    </row>
    <row r="52" spans="10:15" x14ac:dyDescent="0.25">
      <c r="J52" t="s">
        <v>54</v>
      </c>
      <c r="K52" t="s">
        <v>55</v>
      </c>
      <c r="O52" s="8" t="s">
        <v>156</v>
      </c>
    </row>
    <row r="53" spans="10:15" x14ac:dyDescent="0.25">
      <c r="J53" t="s">
        <v>54</v>
      </c>
      <c r="K53" t="s">
        <v>175</v>
      </c>
      <c r="O53" t="str" cm="1">
        <f t="array" ref="O53:O59">_xlfn._xlws.FILTER(LISTS_Table[Skill],LISTS_Table[Category]="Self-evaluation and professional development")</f>
        <v>Reflective practice</v>
      </c>
    </row>
    <row r="54" spans="10:15" x14ac:dyDescent="0.25">
      <c r="J54" t="s">
        <v>54</v>
      </c>
      <c r="K54" t="s">
        <v>121</v>
      </c>
      <c r="O54" t="str">
        <v>Self-awareness</v>
      </c>
    </row>
    <row r="55" spans="10:15" x14ac:dyDescent="0.25">
      <c r="J55" t="s">
        <v>54</v>
      </c>
      <c r="K55" t="s">
        <v>159</v>
      </c>
      <c r="O55" t="str">
        <v>Lifelong learning</v>
      </c>
    </row>
    <row r="56" spans="10:15" x14ac:dyDescent="0.25">
      <c r="J56" t="s">
        <v>54</v>
      </c>
      <c r="K56" t="s">
        <v>329</v>
      </c>
      <c r="O56" t="str">
        <v>Personal development planning</v>
      </c>
    </row>
    <row r="57" spans="10:15" x14ac:dyDescent="0.25">
      <c r="J57" t="s">
        <v>160</v>
      </c>
      <c r="K57" t="s">
        <v>330</v>
      </c>
      <c r="O57" t="str">
        <v>Resilience</v>
      </c>
    </row>
    <row r="58" spans="10:15" x14ac:dyDescent="0.25">
      <c r="J58" t="s">
        <v>160</v>
      </c>
      <c r="K58" t="s">
        <v>185</v>
      </c>
      <c r="O58" t="str">
        <v>Initiative</v>
      </c>
    </row>
    <row r="59" spans="10:15" x14ac:dyDescent="0.25">
      <c r="J59" t="s">
        <v>160</v>
      </c>
      <c r="K59" t="s">
        <v>186</v>
      </c>
      <c r="O59" t="str">
        <v>Accountability</v>
      </c>
    </row>
    <row r="60" spans="10:15" x14ac:dyDescent="0.25">
      <c r="J60" t="s">
        <v>160</v>
      </c>
      <c r="K60" t="s">
        <v>161</v>
      </c>
    </row>
    <row r="61" spans="10:15" x14ac:dyDescent="0.25">
      <c r="J61" t="s">
        <v>160</v>
      </c>
      <c r="K61" t="s">
        <v>331</v>
      </c>
      <c r="O61" s="10" t="s">
        <v>54</v>
      </c>
    </row>
    <row r="62" spans="10:15" x14ac:dyDescent="0.25">
      <c r="J62" t="s">
        <v>160</v>
      </c>
      <c r="K62" t="s">
        <v>332</v>
      </c>
      <c r="O62" t="str" cm="1">
        <f t="array" ref="O62:O67">_xlfn._xlws.FILTER(LISTS_Table[Skill],LISTS_Table[Category]="Communication")</f>
        <v>Written communication</v>
      </c>
    </row>
    <row r="63" spans="10:15" x14ac:dyDescent="0.25">
      <c r="J63" t="s">
        <v>176</v>
      </c>
      <c r="K63" t="s">
        <v>177</v>
      </c>
      <c r="O63" t="str">
        <v>Oral presentation</v>
      </c>
    </row>
    <row r="64" spans="10:15" x14ac:dyDescent="0.25">
      <c r="J64" t="s">
        <v>176</v>
      </c>
      <c r="K64" t="s">
        <v>333</v>
      </c>
      <c r="O64" t="str">
        <v>Active listening</v>
      </c>
    </row>
    <row r="65" spans="10:15" x14ac:dyDescent="0.25">
      <c r="J65" t="s">
        <v>176</v>
      </c>
      <c r="K65" t="s">
        <v>178</v>
      </c>
      <c r="O65" t="str">
        <v>Scientific writing</v>
      </c>
    </row>
    <row r="66" spans="10:15" x14ac:dyDescent="0.25">
      <c r="J66" t="s">
        <v>176</v>
      </c>
      <c r="K66" t="s">
        <v>179</v>
      </c>
      <c r="O66" t="str">
        <v>Interpesronal communication</v>
      </c>
    </row>
    <row r="67" spans="10:15" x14ac:dyDescent="0.25">
      <c r="J67" t="s">
        <v>176</v>
      </c>
      <c r="K67" t="s">
        <v>334</v>
      </c>
      <c r="O67" t="str">
        <v>Digital communication</v>
      </c>
    </row>
    <row r="68" spans="10:15" x14ac:dyDescent="0.25">
      <c r="J68" t="s">
        <v>176</v>
      </c>
      <c r="K68" t="s">
        <v>180</v>
      </c>
    </row>
    <row r="69" spans="10:15" x14ac:dyDescent="0.25">
      <c r="J69" t="s">
        <v>176</v>
      </c>
      <c r="K69" t="s">
        <v>181</v>
      </c>
      <c r="O69" s="10" t="s">
        <v>160</v>
      </c>
    </row>
    <row r="70" spans="10:15" x14ac:dyDescent="0.25">
      <c r="J70" t="s">
        <v>176</v>
      </c>
      <c r="K70" t="s">
        <v>182</v>
      </c>
      <c r="O70" t="str" cm="1">
        <f t="array" ref="O70:O75">_xlfn._xlws.FILTER(LISTS_Table[Skill],LISTS_Table[Category]="Problem solving and impact")</f>
        <v>Analytical thinking</v>
      </c>
    </row>
    <row r="71" spans="10:15" x14ac:dyDescent="0.25">
      <c r="J71" t="s">
        <v>176</v>
      </c>
      <c r="K71" t="s">
        <v>183</v>
      </c>
      <c r="O71" t="str">
        <v>problem identification</v>
      </c>
    </row>
    <row r="72" spans="10:15" x14ac:dyDescent="0.25">
      <c r="J72" t="s">
        <v>162</v>
      </c>
      <c r="K72" t="s">
        <v>252</v>
      </c>
      <c r="O72" t="str">
        <v>Creative thinking</v>
      </c>
    </row>
    <row r="73" spans="10:15" x14ac:dyDescent="0.25">
      <c r="J73" t="s">
        <v>162</v>
      </c>
      <c r="K73" t="s">
        <v>163</v>
      </c>
      <c r="O73" t="str">
        <v>Evidence-based decision making</v>
      </c>
    </row>
    <row r="74" spans="10:15" x14ac:dyDescent="0.25">
      <c r="J74" t="s">
        <v>162</v>
      </c>
      <c r="K74" t="s">
        <v>253</v>
      </c>
      <c r="O74" t="str">
        <v>Innovation</v>
      </c>
    </row>
    <row r="75" spans="10:15" x14ac:dyDescent="0.25">
      <c r="J75" t="s">
        <v>162</v>
      </c>
      <c r="K75" t="s">
        <v>184</v>
      </c>
      <c r="O75" t="str">
        <v>Evaluation of outcomes</v>
      </c>
    </row>
    <row r="76" spans="10:15" x14ac:dyDescent="0.25">
      <c r="J76" t="s">
        <v>162</v>
      </c>
      <c r="K76" t="s">
        <v>164</v>
      </c>
    </row>
    <row r="77" spans="10:15" x14ac:dyDescent="0.25">
      <c r="J77" t="s">
        <v>165</v>
      </c>
      <c r="K77" t="s">
        <v>166</v>
      </c>
      <c r="O77" s="10" t="s">
        <v>176</v>
      </c>
    </row>
    <row r="78" spans="10:15" x14ac:dyDescent="0.25">
      <c r="J78" t="s">
        <v>165</v>
      </c>
      <c r="K78" t="s">
        <v>335</v>
      </c>
      <c r="O78" t="str" cm="1">
        <f t="array" ref="O78:O86">_xlfn._xlws.FILTER(LISTS_Table[Skill],LISTS_Table[Category]="Management of self and others")</f>
        <v>Leadership</v>
      </c>
    </row>
    <row r="79" spans="10:15" x14ac:dyDescent="0.25">
      <c r="J79" t="s">
        <v>165</v>
      </c>
      <c r="K79" t="s">
        <v>167</v>
      </c>
      <c r="O79" t="str">
        <v>Coaching and mentoring</v>
      </c>
    </row>
    <row r="80" spans="10:15" x14ac:dyDescent="0.25">
      <c r="J80" t="s">
        <v>165</v>
      </c>
      <c r="K80" t="s">
        <v>168</v>
      </c>
      <c r="O80" t="str">
        <v>Time management</v>
      </c>
    </row>
    <row r="81" spans="10:15" x14ac:dyDescent="0.25">
      <c r="J81" t="s">
        <v>165</v>
      </c>
      <c r="K81" t="s">
        <v>169</v>
      </c>
      <c r="O81" t="str">
        <v>Organisation</v>
      </c>
    </row>
    <row r="82" spans="10:15" x14ac:dyDescent="0.25">
      <c r="J82" t="s">
        <v>165</v>
      </c>
      <c r="K82" t="s">
        <v>336</v>
      </c>
      <c r="O82" t="str">
        <v>Delegation</v>
      </c>
    </row>
    <row r="83" spans="10:15" x14ac:dyDescent="0.25">
      <c r="J83" t="s">
        <v>165</v>
      </c>
      <c r="K83" t="s">
        <v>170</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162</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337</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heet="1" objects="1" scenarios="1"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Props1.xml><?xml version="1.0" encoding="utf-8"?>
<ds:datastoreItem xmlns:ds="http://schemas.openxmlformats.org/officeDocument/2006/customXml" ds:itemID="{30CD9834-CD7B-470E-AB49-7E3A258B0400}">
  <ds:schemaRefs>
    <ds:schemaRef ds:uri="http://schemas.microsoft.com/sharepoint/v3/contenttype/forms"/>
  </ds:schemaRefs>
</ds:datastoreItem>
</file>

<file path=customXml/itemProps2.xml><?xml version="1.0" encoding="utf-8"?>
<ds:datastoreItem xmlns:ds="http://schemas.openxmlformats.org/officeDocument/2006/customXml" ds:itemID="{2C69AF36-9A71-44A9-91D8-06EACC9A43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031572F-D994-4D1C-BA99-CBE0E51EA663}">
  <ds:schemaRefs>
    <ds:schemaRef ds:uri="http://schemas.microsoft.com/office/2006/documentManagement/types"/>
    <ds:schemaRef ds:uri="http://purl.org/dc/elements/1.1/"/>
    <ds:schemaRef ds:uri="http://schemas.microsoft.com/office/2006/metadata/properties"/>
    <ds:schemaRef ds:uri="http://schemas.openxmlformats.org/package/2006/metadata/core-properties"/>
    <ds:schemaRef ds:uri="http://schemas.microsoft.com/office/infopath/2007/PartnerControls"/>
    <ds:schemaRef ds:uri="http://purl.org/dc/terms/"/>
    <ds:schemaRef ds:uri="http://www.w3.org/XML/1998/namespace"/>
    <ds:schemaRef ds:uri="e2acc87f-978a-4c56-9887-574fe2c7e53e"/>
    <ds:schemaRef ds:uri="f1436123-e04c-43f8-b7d8-6e3401685a6a"/>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4201SPS</vt:lpstr>
      <vt:lpstr>4202SPS</vt:lpstr>
      <vt:lpstr>5201SPS</vt:lpstr>
      <vt:lpstr>5202SPS</vt:lpstr>
      <vt:lpstr>5203SPS</vt:lpstr>
      <vt:lpstr>5204SPS</vt:lpstr>
      <vt:lpstr>6202SPS</vt:lpstr>
      <vt:lpstr>6203SPS</vt:lpstr>
      <vt:lpstr>6096SPS</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2026-08-24T10:54:38Z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