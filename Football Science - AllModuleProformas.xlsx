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queryTables/queryTable1.xml" ContentType="application/vnd.openxmlformats-officedocument.spreadsheetml.queryTable+xml"/>
  <Override PartName="/xl/tables/table81.xml" ContentType="application/vnd.openxmlformats-officedocument.spreadsheetml.table+xml"/>
  <Override PartName="/xl/tables/table8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Football Science/Module Documents/"/>
    </mc:Choice>
  </mc:AlternateContent>
  <xr:revisionPtr revIDLastSave="1825" documentId="8_{20AD63D6-7E4E-4EFA-BE5C-A6DF2DDE1EA8}" xr6:coauthVersionLast="47" xr6:coauthVersionMax="47" xr10:uidLastSave="{25F6D7B0-15CE-40D6-88E7-6A062008DB2D}"/>
  <bookViews>
    <workbookView xWindow="465" yWindow="510" windowWidth="23355" windowHeight="20235" firstSheet="3" activeTab="8" xr2:uid="{8D7B9789-0724-4FF2-A9AF-E462B2920CAC}"/>
  </bookViews>
  <sheets>
    <sheet name="4301SPS" sheetId="76" r:id="rId1"/>
    <sheet name="4303SPS" sheetId="68" r:id="rId2"/>
    <sheet name="5301SPS" sheetId="75" r:id="rId3"/>
    <sheet name="5302SPS" sheetId="77" r:id="rId4"/>
    <sheet name="6301SPS" sheetId="79" r:id="rId5"/>
    <sheet name="6302SPS" sheetId="81" r:id="rId6"/>
    <sheet name="6303SPS" sheetId="80" r:id="rId7"/>
    <sheet name="6304SPS" sheetId="78" r:id="rId8"/>
    <sheet name="Query1" sheetId="83" r:id="rId9"/>
    <sheet name="Sheet1" sheetId="82" r:id="rId10"/>
    <sheet name="LISTS" sheetId="4" state="hidden" r:id="rId11"/>
  </sheets>
  <definedNames>
    <definedName name="ApplicationofKnowledge">_xlfn.ANCHORARRAY(LISTS!$O$37)</definedName>
    <definedName name="Communication">_xlfn.ANCHORARRAY(LISTS!$O$62)</definedName>
    <definedName name="DeliveryEnvironment">_xlfn.ANCHORARRAY(LISTS!$O$89)</definedName>
    <definedName name="ExternalData_1" localSheetId="8" hidden="1">Query1!$A$1:$N$29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1" l="1"/>
  <c r="D2" i="81"/>
  <c r="C2" i="81"/>
  <c r="D24" i="80"/>
  <c r="D2" i="80"/>
  <c r="C2" i="80"/>
  <c r="D24" i="79"/>
  <c r="D2" i="79"/>
  <c r="C2" i="79"/>
  <c r="D24" i="78"/>
  <c r="D24" i="77"/>
  <c r="D2" i="77"/>
  <c r="C2" i="77"/>
  <c r="D24" i="76"/>
  <c r="D2" i="76"/>
  <c r="C2" i="76"/>
  <c r="D24" i="75"/>
  <c r="D2" i="75"/>
  <c r="C2" i="75"/>
  <c r="D24" i="68"/>
  <c r="D2" i="68"/>
  <c r="C2" i="68"/>
  <c r="O96" i="4" a="1"/>
  <c r="O96" i="4" s="1"/>
  <c r="O89" i="4" a="1"/>
  <c r="O89" i="4" s="1"/>
  <c r="O78" i="4" a="1"/>
  <c r="O78" i="4" s="1"/>
  <c r="O70" i="4" a="1"/>
  <c r="O70" i="4" s="1"/>
  <c r="O62" i="4" a="1"/>
  <c r="O62" i="4" s="1"/>
  <c r="O53" i="4" a="1"/>
  <c r="O53" i="4" s="1"/>
  <c r="O45" i="4" a="1"/>
  <c r="O45" i="4" s="1"/>
  <c r="O37" i="4" a="1"/>
  <c r="O37" i="4" s="1"/>
  <c r="O29" i="4" a="1"/>
  <c r="O29" i="4" s="1"/>
  <c r="O21" i="4" a="1"/>
  <c r="O21"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tc={A7245DC9-381A-4C82-B2DF-4EE31599BA4E}</author>
  </authors>
  <commentList>
    <comment ref="D22" authorId="0" shapeId="0" xr:uid="{A7245DC9-381A-4C82-B2DF-4EE31599BA4E}">
      <text>
        <t>[Threaded comment]
Your version of Excel allows you to read this threaded comment; however, any edits to it will get removed if the file is opened in a newer version of Excel. Learn more: https://go.microsoft.com/fwlink/?linkid=870924
Comment:
    Guesstimate for Industry Event and Field Trip to Finch Farm.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tc={BDB03220-0AF7-2B47-B355-ACAB853FDAB5}</author>
  </authors>
  <commentList>
    <comment ref="D38" authorId="0" shapeId="0" xr:uid="{BDB03220-0AF7-2B47-B355-ACAB853FDAB5}">
      <text>
        <t>[Threaded comment]
Your version of Excel allows you to read this threaded comment; however, any edits to it will get removed if the file is opened in a newer version of Excel. Learn more: https://go.microsoft.com/fwlink/?linkid=870924
Comment:
    For review: i) keep assessment types (AS1 - exam instead of report to counter AI?); ii) keep assessment specifics (AS1); iii) keep weighting 50:50?
@Robinson, Mark @Lake, Mark</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CFD8C2A-E700-46EE-9545-EF21F9715816}" keepAlive="1" name="Query - FS_AllAssess" description="Connection to the 'FS_AllAssess' query in the workbook." type="5" refreshedVersion="8" background="1" saveData="1">
    <dbPr connection="Provider=Microsoft.Mashup.OleDb.1;Data Source=$Workbook$;Location=FS_AllAssess;Extended Properties=&quot;&quot;" command="SELECT * FROM [FS_AllAsses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<sst xmlns="http://schemas.openxmlformats.org/spreadsheetml/2006/main" count="1448" uniqueCount="438">
  <si>
    <t>Module Information</t>
  </si>
  <si>
    <t>Module Data</t>
  </si>
  <si>
    <t>Details</t>
  </si>
  <si>
    <t>Aims</t>
  </si>
  <si>
    <t>Module Code</t>
  </si>
  <si>
    <t>This module aims to develop the student's knowledge and understanding of the football industry (inclusive of governing and professional bodies) and the multifaceted roles in football science. Furthermore, students will identify and start to develop some of the personal and professional competencies required by football scientists</t>
  </si>
  <si>
    <t>Module Title</t>
  </si>
  <si>
    <t>Professional Practice in Football Science</t>
  </si>
  <si>
    <t>Credits</t>
  </si>
  <si>
    <t>Semester</t>
  </si>
  <si>
    <t>Outline Syllabus</t>
  </si>
  <si>
    <t>Level</t>
  </si>
  <si>
    <t>Introduction to relevant football systems (e.g., EPPP), sectors (e.g., coaching and player development) and types (e.g., elite and professional).</t>
  </si>
  <si>
    <t>Module Leader</t>
  </si>
  <si>
    <t>Dr Francesca Champ</t>
  </si>
  <si>
    <t>Introduction to football science disciplines in line with the EPPP and CASES</t>
  </si>
  <si>
    <t>Module Type</t>
  </si>
  <si>
    <t>Core module</t>
  </si>
  <si>
    <t>Consideration of the personal qualities and professional characteristics required to work in the football industry</t>
  </si>
  <si>
    <t>Programme(s)</t>
  </si>
  <si>
    <t>Football Science</t>
  </si>
  <si>
    <t>Module Overview</t>
  </si>
  <si>
    <t>This module aims to provide an insight into the football landscape and the multifacteted role of a football scientist. Students should start to identify and consider the development of relevant personal and professional competencies.</t>
  </si>
  <si>
    <t>Contact Hours</t>
  </si>
  <si>
    <t>Component</t>
  </si>
  <si>
    <t>Lecture</t>
  </si>
  <si>
    <t>Seminar</t>
  </si>
  <si>
    <t>Practical</t>
  </si>
  <si>
    <t>Workshop</t>
  </si>
  <si>
    <t>Additional Information/Notes</t>
  </si>
  <si>
    <t>Online</t>
  </si>
  <si>
    <t xml:space="preserve">BUES mapped </t>
  </si>
  <si>
    <t>Total</t>
  </si>
  <si>
    <t>Learning Outcomes</t>
  </si>
  <si>
    <t>After completing the module the student should be able to:</t>
  </si>
  <si>
    <t>LO Number</t>
  </si>
  <si>
    <t>LO Description</t>
  </si>
  <si>
    <t>LO1</t>
  </si>
  <si>
    <t>Understand and be able to describe the football landscape. For example, students should be able to identify the 'types' of football and 'sectors' that they may work within</t>
  </si>
  <si>
    <t>LO2</t>
  </si>
  <si>
    <t>Students should be able to identify personal characteristics and professional competencies associated with the role of a football scientist</t>
  </si>
  <si>
    <t>LO3</t>
  </si>
  <si>
    <t>LO4</t>
  </si>
  <si>
    <t>LO5</t>
  </si>
  <si>
    <t>Assessment</t>
  </si>
  <si>
    <t>Assessment No</t>
  </si>
  <si>
    <t>Assessment Type</t>
  </si>
  <si>
    <t>Assessment Specific</t>
  </si>
  <si>
    <t>Assessment Description</t>
  </si>
  <si>
    <t>Weighting</t>
  </si>
  <si>
    <t>Due Week</t>
  </si>
  <si>
    <t>A1</t>
  </si>
  <si>
    <t>Presentation</t>
  </si>
  <si>
    <t>Individual Presentation</t>
  </si>
  <si>
    <t>Students will be required to deliver a 5-minute presentation covering; (1) role of a football scientist, (2) personal and professional competencies associated with this role, (3) current skillset and development plan</t>
  </si>
  <si>
    <t>A2</t>
  </si>
  <si>
    <t>Portfolio</t>
  </si>
  <si>
    <t>Viva</t>
  </si>
  <si>
    <t>Students will engage in a 'world cafe' style viva discussion about 2 current topics in football science. Upon the completion of the viva, students will submit a 1 page reflective account considering their personal growth and development during the module</t>
  </si>
  <si>
    <t>Week 8 &amp; Assessment Period January</t>
  </si>
  <si>
    <t>A3</t>
  </si>
  <si>
    <t>A4</t>
  </si>
  <si>
    <t>Assessment Mapping</t>
  </si>
  <si>
    <t>Graduate Skills Category</t>
  </si>
  <si>
    <t>Graduate Skill</t>
  </si>
  <si>
    <t>Communication</t>
  </si>
  <si>
    <t>Oral presentation</t>
  </si>
  <si>
    <t>Digital communication</t>
  </si>
  <si>
    <t>Interpesronal communication</t>
  </si>
  <si>
    <t>Understanding the delivery environment</t>
  </si>
  <si>
    <t>Professional awareness</t>
  </si>
  <si>
    <t>Self-evaluation and professional development</t>
  </si>
  <si>
    <t>Personal development planning</t>
  </si>
  <si>
    <t>Reflective practice</t>
  </si>
  <si>
    <t>Application of knowledge and skills</t>
  </si>
  <si>
    <t>Contextual application</t>
  </si>
  <si>
    <t>Resilience</t>
  </si>
  <si>
    <t>Weekly Content</t>
  </si>
  <si>
    <t xml:space="preserve">Semester </t>
  </si>
  <si>
    <t>Week Number</t>
  </si>
  <si>
    <t>Weekly Content 1</t>
  </si>
  <si>
    <t>Weekly Content 2</t>
  </si>
  <si>
    <t>Weekly Content 3</t>
  </si>
  <si>
    <t>Positioning yourself on the pathway to a career in Football Science</t>
  </si>
  <si>
    <t>Understanding the landscape of Football Science</t>
  </si>
  <si>
    <t xml:space="preserve">Current topics in Football Science </t>
  </si>
  <si>
    <t>Introduction to S&amp;C in Football</t>
  </si>
  <si>
    <t>Managing and presenting data in Football</t>
  </si>
  <si>
    <t>The importance of nutrition in football</t>
  </si>
  <si>
    <t>Self-directed study</t>
  </si>
  <si>
    <t>Self-evaluation and professional development through reflective practice</t>
  </si>
  <si>
    <t>Coaching in Football Science</t>
  </si>
  <si>
    <t xml:space="preserve">Health in Football Science </t>
  </si>
  <si>
    <t xml:space="preserve">Assessment support </t>
  </si>
  <si>
    <t>Assessment Presentations</t>
  </si>
  <si>
    <t>4303SPS</t>
  </si>
  <si>
    <t>To develop students' understanding of how talent is conceptualised, predicted and identified in football, and to equip them to observe, profile and report on players using systematic and defensible methods across live and video-based contexts.</t>
  </si>
  <si>
    <t>Talent Identification, Development and Selection</t>
  </si>
  <si>
    <t>To develop students' understanding of the multidisciplinary determinants of long-term player development, and to equip them to design evidence-informed, individualised support within the regulatory, organisational and ethical realities of the English football academy system.</t>
  </si>
  <si>
    <t>Conceptualising talent</t>
  </si>
  <si>
    <t>Andrew Triggs</t>
  </si>
  <si>
    <t>Predictors of talent</t>
  </si>
  <si>
    <t>Observation strategies in talent identification
Challenges in talent identification
Long term player development</t>
  </si>
  <si>
    <t>Football academies are the bridge between grassroots and the professional game. Their job is to recognise future playing potential in young players, and then to build it, providing the coaching, resources and support that develop the required qualities a future first-team footballer needs.
Financial regulation and the pressure to produce homegrown players have raised the stakes considerably. Academies are now expected to supply the first team, generate transfer revenue, or both, and they are continually trying to sharpen how they identify, develop and select the players in their care. 
This module takes you inside that problem. You will explore what helps to predict who might make it as a professional, why so many decisions go wrong, and what the research tells us about developing players once they are through the academy door.</t>
  </si>
  <si>
    <t>Identify the multidisciplinary factors that influence a young player's potential and progression.</t>
  </si>
  <si>
    <t>Describe the key concepts, models and processes that underpin talent identification, development and selection in football.</t>
  </si>
  <si>
    <t>Explain the challenges, ethical considerations and organisational constraints associated with identifying, developing and selecting players within academy environments.</t>
  </si>
  <si>
    <t>Apply systematic observation methods and evidence-based principles to evaluate individual player performance and development needs.</t>
  </si>
  <si>
    <t>Group Presentation</t>
  </si>
  <si>
    <t>Group presentation with question and answer</t>
  </si>
  <si>
    <t>Report</t>
  </si>
  <si>
    <t>Essay</t>
  </si>
  <si>
    <t>Written report and individual development plan</t>
  </si>
  <si>
    <t>Scientific knowledge</t>
  </si>
  <si>
    <t>Information retrieval</t>
  </si>
  <si>
    <t>Scientific literacy</t>
  </si>
  <si>
    <t>Understanding and use of research</t>
  </si>
  <si>
    <t>Research communication</t>
  </si>
  <si>
    <t>Professional judgement</t>
  </si>
  <si>
    <t>Evidne-based practice</t>
  </si>
  <si>
    <t xml:space="preserve">Module introduction: what do we mean by 'talent'? </t>
  </si>
  <si>
    <t xml:space="preserve">The notion of talent: structured debate on nature, nurture and lay theories </t>
  </si>
  <si>
    <t>How do we identify talent? Systems, scouts and identification models</t>
  </si>
  <si>
    <t>Assignment 1 feedforward: The brief, the reporting template, and academic skills development</t>
  </si>
  <si>
    <t>The predictors of talent: What the evidence supports, and what it doesn't</t>
  </si>
  <si>
    <t>Observation skills workshop: Using the scout report template, live vs. video, reliability</t>
  </si>
  <si>
    <t xml:space="preserve">Live match observation </t>
  </si>
  <si>
    <t>Live match observation</t>
  </si>
  <si>
    <t>Practical applications in talent identification environments (Guest Speaker)</t>
  </si>
  <si>
    <t>Observation debrief: Comparing notes, inter-observer agreement</t>
  </si>
  <si>
    <t xml:space="preserve">Challenges in talent identification: Relative age, maturation and birthplace effects </t>
  </si>
  <si>
    <t>Challenges in talent identification: Bias, heuristics and scout decision-making - case workshop</t>
  </si>
  <si>
    <t>Directed study week</t>
  </si>
  <si>
    <t>The EPPP &amp; The Women's Professional Game: Structure, philosophy and the regulatory reality of academy football</t>
  </si>
  <si>
    <t xml:space="preserve">The talent development environment: what makes a good one, and how would you know? </t>
  </si>
  <si>
    <t>Managing a talent development programme (Guest Speaker)</t>
  </si>
  <si>
    <t>Talent development in the Foundation Phase (Guest Speaker)</t>
  </si>
  <si>
    <t>Developing the player 1: Physical development</t>
  </si>
  <si>
    <t>Developing the player 2: Perceptual-cognitive development</t>
  </si>
  <si>
    <t>Developing the player 3: Technical development</t>
  </si>
  <si>
    <t>Developing the player 4: Psychosocial development</t>
  </si>
  <si>
    <t>The future of talent identification and development</t>
  </si>
  <si>
    <t>Individual learning plan workshop and Assignment 2 support</t>
  </si>
  <si>
    <t>5301SPS</t>
  </si>
  <si>
    <t xml:space="preserve">To develop students' understanding of the interdisciplinary nature of football science practice and its application within contemporary football environments. </t>
  </si>
  <si>
    <t>Professional Practice in Football Science 2</t>
  </si>
  <si>
    <t>To develop the professional knowledge, skills, and behaviours required to support performance, health, welfare, and participation in football, while enhancing readiness for employment within the sport sector.</t>
  </si>
  <si>
    <t>Interdisciplinary football science practice</t>
  </si>
  <si>
    <t>Dr Ed Hope</t>
  </si>
  <si>
    <t>Applied experiences and authentic industry engagement</t>
  </si>
  <si>
    <t>Professional development and employability</t>
  </si>
  <si>
    <t>This module explores contemporary professional practice in football science through an interdisciplinary examination of performance, health, welfare, and participation. Through lectures, workshops, practical activities, and industry engagement, students will develop an understanding of how football science disciplines work together to support players across a range of football environments. The module also promotes employability through reflective practice, career planning, and the development of professional skills required for careers in football and the wider sport industry.</t>
  </si>
  <si>
    <t>BUES mapped</t>
  </si>
  <si>
    <t>Analyse the contribution of football science disciplines and apply interdisciplinary approaches to address performance, participation, health, and welfare challenges in authentic football settings.</t>
  </si>
  <si>
    <t>Recognise the ethical, welfare, and professional responsibilities associated with football science practice.</t>
  </si>
  <si>
    <t>Evaluate their professional development and employability skills through reflective practice, career planning, and preparation for employment within football science and related industries.</t>
  </si>
  <si>
    <t>Case Study</t>
  </si>
  <si>
    <t>Student chooses one case study and provides an inter-disciplinary report as to how to support the individual</t>
  </si>
  <si>
    <t>Reflection</t>
  </si>
  <si>
    <t xml:space="preserve">3 component parts:
- Individual mock interviews (10-mins) tailored to chosen job 
- Students to develop 1-page CV for the role and submit
- Students to critically reflect on their performance within the interview, current skill set, and outline next steps in their professional practice (1000 words max) </t>
  </si>
  <si>
    <t>Week 12 for CV and Interview;                                                                                                                                                                                                                                                                                                  January assessment period for reflective component</t>
  </si>
  <si>
    <t>Problem solving and impact</t>
  </si>
  <si>
    <t>Evidence-based decision making</t>
  </si>
  <si>
    <t>Stakeholder awareness</t>
  </si>
  <si>
    <t>Interdisciplinary Approach to Football Science</t>
  </si>
  <si>
    <t>Load Management and Performance Monitoring</t>
  </si>
  <si>
    <t>Nutrition for Performance</t>
  </si>
  <si>
    <t>Football for Health</t>
  </si>
  <si>
    <t>Disability Football</t>
  </si>
  <si>
    <t>Player Care in Football</t>
  </si>
  <si>
    <t>Reading Week</t>
  </si>
  <si>
    <t>Industry Event</t>
  </si>
  <si>
    <t>Application Ready?</t>
  </si>
  <si>
    <t>Field Trip: Everton's Training Ground - Finch Farm</t>
  </si>
  <si>
    <t>Working as an Ethical Practitioner in Football Science</t>
  </si>
  <si>
    <t>Reflective Practice as a Practitioner</t>
  </si>
  <si>
    <t>Assessment Individual Interviews</t>
  </si>
  <si>
    <t>Group presentation on biomechanical principles in weightlifting</t>
  </si>
  <si>
    <t>Domian-specfic analytical skills</t>
  </si>
  <si>
    <t>Decision-making</t>
  </si>
  <si>
    <t>Technical skills</t>
  </si>
  <si>
    <t>Equipment and technology utilisation</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</si>
  <si>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</si>
  <si>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</si>
  <si>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</si>
  <si>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</si>
  <si>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</si>
  <si>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</si>
  <si>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</si>
  <si>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</si>
  <si>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</si>
  <si>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</si>
  <si>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</si>
  <si>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</si>
  <si>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</si>
  <si>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Data analysis</t>
  </si>
  <si>
    <t>Revision / assessment preparation</t>
  </si>
  <si>
    <t>Applied Practice in Football Science</t>
  </si>
  <si>
    <t>The aims of this module are to:</t>
  </si>
  <si>
    <t>Provide students with the opportunity to gain extensive, hands-on experiential learning within a football environment (e.g., professional club, academy, grassroots, or community football trust).</t>
  </si>
  <si>
    <t>Facilitate the critical application of interdisciplinary football science principles to real-world performance or health outcomes.</t>
  </si>
  <si>
    <t>YL</t>
  </si>
  <si>
    <t>Foster advanced critical reflection on personal and professional development, accelerating students' readiness for employment in the football industry.</t>
  </si>
  <si>
    <t>Promote an understanding of safe, ethical, and inclusive practice, heavily emphasising Equity, Diversity, and Inclusion (EDI) and culturally responsive practices within modern football contexts.</t>
  </si>
  <si>
    <t>Ian Beattie</t>
  </si>
  <si>
    <t>Prof Practice Strand</t>
  </si>
  <si>
    <r>
      <t xml:space="preserve">The </t>
    </r>
    <r>
      <rPr>
        <b/>
        <sz val="11"/>
        <color rgb="FF000000"/>
        <rFont val="Aptos Narrow"/>
        <scheme val="minor"/>
      </rPr>
      <t>Applied Practice in Football Science</t>
    </r>
    <r>
      <rPr>
        <sz val="11"/>
        <color rgb="FF000000"/>
        <rFont val="Aptos Narrow"/>
        <scheme val="minor"/>
      </rPr>
      <t xml:space="preserve"> module is the capstone applied learning experience for Level 6 students on the BSc (Hons) Football Science degree. Designed to transition you from an academic student to an industry-ready practitioner, this module places you directly into the fast-paced, dynamic environment of modern football—whether within elite professional academies, first-team environments, grassroots initiatives, performance analysis departments, or community trusts.</t>
    </r>
  </si>
  <si>
    <r>
      <t xml:space="preserve">At this stage in your degree, knowing </t>
    </r>
    <r>
      <rPr>
        <i/>
        <sz val="11"/>
        <color rgb="FF000000"/>
        <rFont val="Aptos Narrow"/>
        <scheme val="minor"/>
      </rPr>
      <t>what</t>
    </r>
    <r>
      <rPr>
        <sz val="11"/>
        <color rgb="FF000000"/>
        <rFont val="Aptos Narrow"/>
        <scheme val="minor"/>
      </rPr>
      <t xml:space="preserve"> the science says is only half the battle; knowing </t>
    </r>
    <r>
      <rPr>
        <i/>
        <sz val="11"/>
        <color rgb="FF000000"/>
        <rFont val="Aptos Narrow"/>
        <scheme val="minor"/>
      </rPr>
      <t>how</t>
    </r>
    <r>
      <rPr>
        <sz val="11"/>
        <color rgb="FF000000"/>
        <rFont val="Aptos Narrow"/>
        <scheme val="minor"/>
      </rPr>
      <t xml:space="preserve"> to apply it in the real world is what sets elite practitioners apart. This module challenges you to put theory into practice, translating complex concepts into practical, actionable insights across the footballing landscape.</t>
    </r>
  </si>
  <si>
    <t>Column1</t>
  </si>
  <si>
    <t>Critically evaluate and apply interdisciplinary theoretical concepts of football science to practical scenarios within a real-world football placement environment or project scenario.</t>
  </si>
  <si>
    <t>Critically reflect upon personal and professional development, utilising established reflective frameworks to evaluate strengths, weaknesses, and future employability needs.</t>
  </si>
  <si>
    <t>Work independently and collaboratively within a Multidisciplinary Team (MDT), demonstrating effective communication to various stakeholders.</t>
  </si>
  <si>
    <t>Demonstrate a critical understanding of ethical guidelines, safeguarding, and the impact of systemic issues (e.g., race, gender, socio-economic status) on equity and inclusion within football science practice.</t>
  </si>
  <si>
    <t>Individual reflective report</t>
  </si>
  <si>
    <t>Individual reflective presentation</t>
  </si>
  <si>
    <t>Critical thinking</t>
  </si>
  <si>
    <t>6301SPS</t>
  </si>
  <si>
    <t>To develop students' understanding of the role of technology and data in football performance.</t>
  </si>
  <si>
    <t>Football Performance and Technology</t>
  </si>
  <si>
    <t>To develop students' practical skills in the collection, analysis, and interpretation of football performance data.
To develop students' ability to critically evaluate technologies that support evidence-informed decision-making in football.</t>
  </si>
  <si>
    <t>Football performance technologies</t>
  </si>
  <si>
    <t>Sigrid Olthof</t>
  </si>
  <si>
    <t>Lab and field-based performance assessment</t>
  </si>
  <si>
    <t>Player monitoring and workload management
Football performance data and analytics
Critical evaluation of technology in football practice</t>
  </si>
  <si>
    <t>This module develops students' understanding of the role of technology in the assessment and monitoring of football performance. Through a combination of lectures, lab and field-based practicals, and data workshops, students will develop practical skills in the operation of football performance technologies and the collection, analysis and interpretation of performance data. Students will critically evaluate the application of technology within football, with particular emphasis on physical performance testing and player monitoring to support evidence-informed practice.</t>
  </si>
  <si>
    <t>Critically evaluate the use of technology in football to assess and monitor football performance</t>
  </si>
  <si>
    <t>Apply football performance technologies competently within laboratory and field-based environments</t>
  </si>
  <si>
    <t>Analyse, interpret, and communicate football performance data to support evidence-informed practice</t>
  </si>
  <si>
    <t>Exam</t>
  </si>
  <si>
    <t>Data Analysis</t>
  </si>
  <si>
    <t>Performance testing and technology</t>
  </si>
  <si>
    <t>Training Load</t>
  </si>
  <si>
    <t>Data collection</t>
  </si>
  <si>
    <t>Written communication</t>
  </si>
  <si>
    <t>Module introduction</t>
  </si>
  <si>
    <t>Introduction to data analysis (workshop)</t>
  </si>
  <si>
    <t>Speed and agility</t>
  </si>
  <si>
    <t>Speed and agility (Practical - lab)</t>
  </si>
  <si>
    <t>Speed and agility (Practical - Sports Hall)</t>
  </si>
  <si>
    <t>Jumping</t>
  </si>
  <si>
    <t>Jumping (Practical - lab)</t>
  </si>
  <si>
    <t>Injuries and rehabilitation testing</t>
  </si>
  <si>
    <t>Injuries and rehabilitation testing (Practical - lab)</t>
  </si>
  <si>
    <t>Injuries</t>
  </si>
  <si>
    <t>Data collection assessment 1</t>
  </si>
  <si>
    <t>Building data analysis skills (workshop)</t>
  </si>
  <si>
    <t>Injuries and Analytics</t>
  </si>
  <si>
    <t>Assessment 1</t>
  </si>
  <si>
    <t>Introduction to player monitoring</t>
  </si>
  <si>
    <t>Data analysis for monitoring (workshop)</t>
  </si>
  <si>
    <t>Data collection assessment 2 (practical - GPS)</t>
  </si>
  <si>
    <t>Match performance</t>
  </si>
  <si>
    <t>Data collection assessment 2 (practical - LPS)</t>
  </si>
  <si>
    <t>Training load</t>
  </si>
  <si>
    <t>Data visualisation (workshop)</t>
  </si>
  <si>
    <t>Biomechanical load monitoring</t>
  </si>
  <si>
    <t>Recap and support</t>
  </si>
  <si>
    <t>Assessment 2</t>
  </si>
  <si>
    <t>To develop students’ knowledge, understanding and ability to critically evaluate key psychological concepts that influence development and performance in and through football related contexts. </t>
  </si>
  <si>
    <t>Applied Psychology of Football</t>
  </si>
  <si>
    <t>To develop students’ critical understanding of the application of these principles in football settings. </t>
  </si>
  <si>
    <t>Career transitions and critical moments in football</t>
  </si>
  <si>
    <t>Dr Martin Littlewood</t>
  </si>
  <si>
    <t>Understanding the talent development pathway in football</t>
  </si>
  <si>
    <t>Identity in football players and support staff</t>
  </si>
  <si>
    <t>To critically analyse the psychological and cultural challenges that elite players experience within youth and senior football environments. </t>
  </si>
  <si>
    <t>To critically discuss the role of the applied sports psychologist in supporting players, teams and organisations with the various challenges in a development and performance context.</t>
  </si>
  <si>
    <t>To critically discuss applied practice philosophy within the context of the sports psychologist. </t>
  </si>
  <si>
    <t xml:space="preserve">Individual presentation of infographic </t>
  </si>
  <si>
    <t>Psychological Development Programme</t>
  </si>
  <si>
    <t>Applied sports psychology philosophy of practice</t>
  </si>
  <si>
    <t>Career Transitions and Critical moments in football</t>
  </si>
  <si>
    <t>Identity Development in Football</t>
  </si>
  <si>
    <t>Delivering counselling psychology in football</t>
  </si>
  <si>
    <t>Delivering organisational psychology in football</t>
  </si>
  <si>
    <t>Psycho-social considerations in talent development</t>
  </si>
  <si>
    <t>DSW</t>
  </si>
  <si>
    <t>Panel Discussion</t>
  </si>
  <si>
    <t>Sports Psychology in Academy settings</t>
  </si>
  <si>
    <t>Sports Psychology in 1st Team settings</t>
  </si>
  <si>
    <t>Mental Health in football</t>
  </si>
  <si>
    <t>To develop students' ability to critically examine physiological responses to football-specific exercise, build theoretical knowledge of the factors underpinning effective training programme design in football, and critically evaluate the associated research evidence.</t>
  </si>
  <si>
    <t>Kevin Enright</t>
  </si>
  <si>
    <t>Approaches to applied practice
Lab and field-based measurement of physical function in football
Aerobic &amp; Anaerobic training (adaptations and prescription)
Principles of training / periodisation
Strength training in football
Concurrent training
Microcycle scheduling, contextual constraints, applied scenarios</t>
  </si>
  <si>
    <t>The aim of this module is to develop your knowledge, understanding and ability to critically evaluate key psychological concepts that influence development and performance in and through football-related contexts. It will also develop your critical understanding of the application of these principles in football settings.</t>
  </si>
  <si>
    <t>Critically analyse the metabolic responses to football-specific exercise, and evaluate how these responses inform HIIT training design and execution.</t>
  </si>
  <si>
    <t>Critically evaluate the implementation of evidence-based training across the football microcycle, and orally defend programming decisions in response to applied scenarios.</t>
  </si>
  <si>
    <t>Students will work in groups to produce a practical video based training resource for coaches. The group will then present how their resource integrates within a training microcycle, explaining the rationale for its design and timing around other weekly training activities. Finally, each group will defend their decisions through a viva-style question-and-answer session, demonstrating their understanding of the underpinning scientific principles and practical application.</t>
  </si>
  <si>
    <t>Analytical thinking</t>
  </si>
  <si>
    <t>Management of self and others</t>
  </si>
  <si>
    <t>Delegation</t>
  </si>
  <si>
    <t>Interval Training 1</t>
  </si>
  <si>
    <t>Lab Practical</t>
  </si>
  <si>
    <t>Interval Traing 2</t>
  </si>
  <si>
    <t>Adaptations to interval training</t>
  </si>
  <si>
    <t>Directed Study</t>
  </si>
  <si>
    <t>Strength Training</t>
  </si>
  <si>
    <t xml:space="preserve">Concurrent Training </t>
  </si>
  <si>
    <t>Micro cycle perioisation</t>
  </si>
  <si>
    <t>Guest Speaker</t>
  </si>
  <si>
    <t>Presentations</t>
  </si>
  <si>
    <t>Table 1</t>
  </si>
  <si>
    <t>Table 3</t>
  </si>
  <si>
    <t>Table 5</t>
  </si>
  <si>
    <t>Lab Report</t>
  </si>
  <si>
    <t>Professional relationships and behaviours</t>
  </si>
  <si>
    <t>Dissertation</t>
  </si>
  <si>
    <t>Research Strand</t>
  </si>
  <si>
    <t>Research Project</t>
  </si>
  <si>
    <t>Category</t>
  </si>
  <si>
    <t>Skill</t>
  </si>
  <si>
    <t>Placement</t>
  </si>
  <si>
    <t>Scientific Knowledge</t>
  </si>
  <si>
    <t>Category text shown to user</t>
  </si>
  <si>
    <t>Defined Name</t>
  </si>
  <si>
    <t>Option module</t>
  </si>
  <si>
    <t>ScientificKnowledge</t>
  </si>
  <si>
    <t>TechnicalSkills</t>
  </si>
  <si>
    <t>Video</t>
  </si>
  <si>
    <t>Knowledge synthesis</t>
  </si>
  <si>
    <t>ApplicationofKnowledge</t>
  </si>
  <si>
    <t>Infographic</t>
  </si>
  <si>
    <t>UnderstandingResearch</t>
  </si>
  <si>
    <t>Evidence evaluation</t>
  </si>
  <si>
    <t>SelfEvaluation</t>
  </si>
  <si>
    <t>Journal</t>
  </si>
  <si>
    <t>Laboratory/clinical techniques</t>
  </si>
  <si>
    <t>Physical Education</t>
  </si>
  <si>
    <t>MCQ Online Test</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</si>
  <si>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</si>
  <si>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</si>
  <si>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</si>
  <si>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</si>
  <si>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</si>
  <si>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</si>
  <si>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</si>
  <si>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</si>
  <si>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</si>
  <si>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</si>
  <si>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</si>
  <si>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</si>
  <si>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</si>
  <si>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</si>
  <si>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Translational practice</t>
  </si>
  <si>
    <t>SES, SC, PE</t>
  </si>
  <si>
    <t>SES and SN</t>
  </si>
  <si>
    <t>SC and PE</t>
  </si>
  <si>
    <t>Adaptability</t>
  </si>
  <si>
    <t>Application of Knowledge &amp; Skills</t>
  </si>
  <si>
    <t>Other combination</t>
  </si>
  <si>
    <t>Risk assessment</t>
  </si>
  <si>
    <t>Reserch literacy</t>
  </si>
  <si>
    <t>Literature searching</t>
  </si>
  <si>
    <t>Critical appraisal</t>
  </si>
  <si>
    <t>Data interpretation</t>
  </si>
  <si>
    <t>Self-awareness</t>
  </si>
  <si>
    <t>Lifelong learning</t>
  </si>
  <si>
    <t>Initiative</t>
  </si>
  <si>
    <t>Accountability</t>
  </si>
  <si>
    <t>Active listening</t>
  </si>
  <si>
    <t>Scientific writing</t>
  </si>
  <si>
    <t>problem identification</t>
  </si>
  <si>
    <t>Creative thinking</t>
  </si>
  <si>
    <t>Innovation</t>
  </si>
  <si>
    <t>Evaluation of outcomes</t>
  </si>
  <si>
    <t>Leadership</t>
  </si>
  <si>
    <t>Coaching and mentoring</t>
  </si>
  <si>
    <t>Time management</t>
  </si>
  <si>
    <t>Organisation</t>
  </si>
  <si>
    <t>Conflict resolution</t>
  </si>
  <si>
    <t>Empathy</t>
  </si>
  <si>
    <t>Multi-tasking</t>
  </si>
  <si>
    <t>Resource management</t>
  </si>
  <si>
    <t>Organisational awareness</t>
  </si>
  <si>
    <t>Policy interpretation</t>
  </si>
  <si>
    <t>Service delivery</t>
  </si>
  <si>
    <t>Teamwork</t>
  </si>
  <si>
    <t>Collaboration/multi-disciplinary working</t>
  </si>
  <si>
    <t>Ethical practice</t>
  </si>
  <si>
    <t>Professionalism</t>
  </si>
  <si>
    <t>Cultural awareness and competence</t>
  </si>
  <si>
    <t>Integrity</t>
  </si>
  <si>
    <t>Respect</t>
  </si>
  <si>
    <t>Professional relationships &amp; behaviours</t>
  </si>
  <si>
    <t>4301SPS</t>
  </si>
  <si>
    <t>5302SPS</t>
  </si>
  <si>
    <t>Football tactics and match analysis</t>
  </si>
  <si>
    <t>6302SPS</t>
  </si>
  <si>
    <t>Physical Performance in Football</t>
  </si>
  <si>
    <t>6304SPS</t>
  </si>
  <si>
    <t>Programme</t>
  </si>
  <si>
    <t>Name</t>
  </si>
  <si>
    <t>Extension</t>
  </si>
  <si>
    <t>Date accessed</t>
  </si>
  <si>
    <t>Date modified</t>
  </si>
  <si>
    <t>Date created</t>
  </si>
  <si>
    <t>Folder Path</t>
  </si>
  <si>
    <t>TableName</t>
  </si>
  <si>
    <t>FS</t>
  </si>
  <si>
    <t>Football Science - AllModuleProformas.xlsx</t>
  </si>
  <si>
    <t>.xlsx</t>
  </si>
  <si>
    <t>https://ljmu.sharepoint.com/teams/SPSRe-validation2026Team/Shared Documents/Football Science/Module Documents/</t>
  </si>
  <si>
    <t>4301SPS_Assess</t>
  </si>
  <si>
    <t>4303SPS_Assess</t>
  </si>
  <si>
    <t>5301SPS_Assess</t>
  </si>
  <si>
    <t>5302SPS_Assess</t>
  </si>
  <si>
    <t>6301SPS_Assess</t>
  </si>
  <si>
    <t>6302SPS_Assess</t>
  </si>
  <si>
    <t>6303SPS_Assess</t>
  </si>
  <si>
    <t>6304SPS_Assess</t>
  </si>
  <si>
    <t>Sport and Exercise Science - AllModuleProformas.xlsx</t>
  </si>
  <si>
    <t>https://ljmu.sharepoint.com/teams/SPSRe-validation2026Team/Shared Documents/Sport and Exercise Science/Module Documents/</t>
  </si>
  <si>
    <t>4092SPS_Assess</t>
  </si>
  <si>
    <t>Lab Report Portfolio: Lab Report 1 Submission + Peer Review Activity + Reflection + Lab Report 2 Submission</t>
  </si>
  <si>
    <t xml:space="preserve">In person Online MCQ Exam </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</si>
  <si>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</si>
  <si>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</si>
  <si>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</si>
  <si>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</si>
  <si>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</si>
  <si>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</si>
  <si>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</si>
  <si>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</si>
  <si>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</si>
  <si>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</si>
  <si>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5103SPS_Assess</t>
  </si>
  <si>
    <t xml:space="preserve">Porfoiolo of biomechanical analysis reports to a 'Performance Director', linked to taught labs </t>
  </si>
  <si>
    <t xml:space="preserve">Exam testing knowledge of taught conetent and assessing depth of knowlegde and seeking justifications and critique of portfolio </t>
  </si>
  <si>
    <t>6091SPS_Assess</t>
  </si>
  <si>
    <t xml:space="preserve">Students are required to submit a thesis that describes and reports the major project that they conducted using the scientific method, e.g., Introduction, Methods, Results and Discussion. </t>
  </si>
  <si>
    <t xml:space="preserve">Students are required to manage their own project throughout the year and produce, present and defend their major project </t>
  </si>
  <si>
    <t>Sport Psychology - AllModuleProformas.xlsx</t>
  </si>
  <si>
    <t>https://ljmu.sharepoint.com/teams/SPSRe-validation2026Team/Shared Documents/Sport Psychology/Module Documents/</t>
  </si>
  <si>
    <t>4093SPS_Assess</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</si>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</sst>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Arial"/>
      <family val="2"/>
      <charset val="1"/>
    </font>
    <font>
      <sz val="12"/>
      <color theme="1"/>
      <name val="Arial"/>
      <family val="2"/>
      <charset val="1"/>
    </font>
    <font>
      <sz val="11"/>
      <color rgb="FF242424"/>
      <name val="Aptos Narrow"/>
      <charset val="1"/>
    </font>
    <font>
      <sz val="11"/>
      <color theme="1"/>
      <name val="Aptos"/>
      <family val="2"/>
      <charset val="1"/>
    </font>
    <font>
      <b/>
      <sz val="11"/>
      <color theme="1"/>
      <name val="Aptos"/>
      <family val="2"/>
      <charset val="1"/>
    </font>
    <font>
      <sz val="12"/>
      <color theme="1"/>
      <name val="Aptos"/>
      <family val="2"/>
      <charset val="1"/>
    </font>
    <font>
      <sz val="12"/>
      <color theme="1"/>
      <name val="Aptos Narrow"/>
      <scheme val="minor"/>
    </font>
    <font>
      <sz val="12"/>
      <color rgb="FF000000"/>
      <name val="Aptos"/>
      <charset val="1"/>
    </font>
    <font>
      <sz val="11"/>
      <color theme="1"/>
      <name val="Aptos Narrow"/>
      <scheme val="minor"/>
    </font>
    <font>
      <sz val="12"/>
      <color rgb="FF333333"/>
      <name val="Aptos Narrow"/>
      <scheme val="minor"/>
    </font>
    <font>
      <sz val="12"/>
      <color rgb="FF000000"/>
      <name val="Aptos Narrow"/>
      <scheme val="minor"/>
    </font>
    <font>
      <sz val="11"/>
      <color rgb="FF000000"/>
      <name val="Aptos Narrow"/>
      <scheme val="minor"/>
    </font>
    <font>
      <i/>
      <sz val="11"/>
      <color rgb="FF000000"/>
      <name val="Aptos Narrow"/>
      <scheme val="minor"/>
    </font>
    <font>
      <b/>
      <sz val="20"/>
      <color theme="1"/>
      <name val="Aptos Narrow"/>
      <scheme val="minor"/>
    </font>
    <font>
      <b/>
      <sz val="11"/>
      <color theme="1"/>
      <name val="Aptos Narrow"/>
      <scheme val="minor"/>
    </font>
    <font>
      <b/>
      <sz val="14"/>
      <color theme="1"/>
      <name val="Aptos Narrow"/>
      <scheme val="minor"/>
    </font>
    <font>
      <b/>
      <sz val="12"/>
      <color rgb="FF000000"/>
      <name val="Aptos Narrow"/>
      <scheme val="minor"/>
    </font>
    <font>
      <b/>
      <sz val="11"/>
      <color rgb="FF000000"/>
      <name val="Aptos Narrow"/>
      <scheme val="minor"/>
    </font>
    <font>
      <sz val="11"/>
      <color rgb="FF011A42"/>
      <name val="Aptos Narrow"/>
      <scheme val="minor"/>
    </font>
    <font>
      <i/>
      <sz val="12"/>
      <color theme="1"/>
      <name val="Aptos Narrow"/>
      <scheme val="minor"/>
    </font>
    <font>
      <b/>
      <sz val="11"/>
      <color rgb="FF011A42"/>
      <name val="Aptos Narrow"/>
      <scheme val="minor"/>
    </font>
  </fonts>
  <fills count="9">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indexed="64"/>
      </patternFill>
    </fill>
    <fill>
      <patternFill patternType="solid">
        <fgColor rgb="FFFFFFFF"/>
        <bgColor indexed="64"/>
      </patternFill>
    </fill>
    <fill>
      <patternFill patternType="solid">
        <fgColor theme="8" tint="0.79998168889431442"/>
        <bgColor indexed="6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s>
  <cellStyleXfs count="1">
    <xf numFmtId="0" fontId="0" fillId="0" borderId="0"/>
  </cellStyleXfs>
  <cellXfs count="7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7" fillId="0" borderId="0" xfId="0" applyFont="1" applyAlignment="1" applyProtection="1">
      <alignment wrapText="1"/>
      <protection locked="0"/>
    </xf>
    <xf numFmtId="0" fontId="8" fillId="0" borderId="0" xfId="0" applyFont="1" applyProtection="1">
      <protection locked="0"/>
    </xf>
    <xf numFmtId="0" fontId="8" fillId="0" borderId="0" xfId="0" applyFont="1" applyAlignment="1" applyProtection="1">
      <alignment wrapText="1"/>
      <protection locked="0"/>
    </xf>
    <xf numFmtId="0" fontId="0" fillId="0" borderId="0" xfId="0" applyAlignment="1" applyProtection="1">
      <alignment wrapText="1"/>
      <protection locked="0"/>
    </xf>
    <xf numFmtId="0" fontId="9" fillId="0" borderId="0" xfId="0" applyFont="1" applyProtection="1">
      <protection locked="0"/>
    </xf>
    <xf numFmtId="0" fontId="10" fillId="0" borderId="0" xfId="0" applyFont="1" applyProtection="1">
      <protection locked="0"/>
    </xf>
    <xf numFmtId="0" fontId="11" fillId="0" borderId="0" xfId="0" applyFont="1" applyProtection="1">
      <protection locked="0"/>
    </xf>
    <xf numFmtId="0" fontId="13" fillId="0" borderId="0" xfId="0" applyFont="1" applyProtection="1">
      <protection locked="0"/>
    </xf>
    <xf numFmtId="0" fontId="12" fillId="0" borderId="0" xfId="0" applyFont="1" applyProtection="1">
      <protection locked="0"/>
    </xf>
    <xf numFmtId="0" fontId="14" fillId="0" borderId="0" xfId="0" applyFont="1" applyProtection="1">
      <protection locked="0"/>
    </xf>
    <xf numFmtId="0" fontId="15" fillId="0" borderId="0" xfId="0" applyFont="1" applyProtection="1">
      <protection locked="0"/>
    </xf>
    <xf numFmtId="0" fontId="15" fillId="0" borderId="0" xfId="0" applyFont="1" applyAlignment="1" applyProtection="1">
      <alignment horizontal="left" vertical="center" wrapText="1"/>
      <protection locked="0"/>
    </xf>
    <xf numFmtId="0" fontId="16" fillId="7" borderId="0" xfId="0" applyFont="1" applyFill="1"/>
    <xf numFmtId="0" fontId="17" fillId="0" borderId="0" xfId="0" applyFont="1"/>
    <xf numFmtId="0" fontId="18" fillId="0" borderId="0" xfId="0" applyFont="1"/>
    <xf numFmtId="0" fontId="15" fillId="0" borderId="0" xfId="0" applyFont="1"/>
    <xf numFmtId="0" fontId="15" fillId="4" borderId="0" xfId="0" applyFont="1" applyFill="1"/>
    <xf numFmtId="0" fontId="20" fillId="4" borderId="0" xfId="0" applyFont="1" applyFill="1"/>
    <xf numFmtId="0" fontId="21" fillId="0" borderId="0" xfId="0" applyFont="1" applyAlignment="1">
      <alignment horizontal="center" vertical="center" wrapText="1"/>
    </xf>
    <xf numFmtId="0" fontId="15" fillId="0" borderId="0" xfId="0" applyFont="1" applyAlignment="1">
      <alignment vertical="center" wrapText="1"/>
    </xf>
    <xf numFmtId="0" fontId="22" fillId="0" borderId="0" xfId="0" applyFont="1" applyAlignment="1">
      <alignment vertical="center" wrapText="1"/>
    </xf>
    <xf numFmtId="0" fontId="21" fillId="0" borderId="0" xfId="0" applyFont="1" applyAlignment="1">
      <alignment horizontal="left" vertical="center" wrapText="1"/>
    </xf>
    <xf numFmtId="0" fontId="15" fillId="0" borderId="0" xfId="0" applyFont="1" applyAlignment="1">
      <alignment horizontal="left" vertical="center" wrapText="1"/>
    </xf>
    <xf numFmtId="0" fontId="23" fillId="0" borderId="0" xfId="0" applyFont="1"/>
    <xf numFmtId="0" fontId="18" fillId="0" borderId="0" xfId="0" applyFont="1" applyProtection="1">
      <protection locked="0"/>
    </xf>
    <xf numFmtId="0" fontId="25" fillId="8" borderId="0" xfId="0" applyFont="1" applyFill="1" applyAlignment="1">
      <alignment wrapText="1"/>
    </xf>
    <xf numFmtId="0" fontId="15" fillId="0" borderId="0" xfId="0" applyFont="1" applyAlignment="1" applyProtection="1">
      <alignment horizontal="center" vertical="center" wrapText="1"/>
      <protection locked="0"/>
    </xf>
    <xf numFmtId="0" fontId="26" fillId="0" borderId="0" xfId="0" applyFont="1"/>
    <xf numFmtId="0" fontId="13" fillId="0" borderId="0" xfId="0" applyFont="1"/>
    <xf numFmtId="0" fontId="15" fillId="6" borderId="0" xfId="0" applyFont="1" applyFill="1" applyAlignment="1">
      <alignment horizontal="left" vertical="center" wrapText="1"/>
    </xf>
    <xf numFmtId="0" fontId="15" fillId="6" borderId="0" xfId="0" applyFont="1" applyFill="1" applyProtection="1">
      <protection locked="0"/>
    </xf>
    <xf numFmtId="0" fontId="15" fillId="6" borderId="0" xfId="0" applyFont="1" applyFill="1"/>
    <xf numFmtId="0" fontId="15" fillId="5" borderId="0" xfId="0" applyFont="1" applyFill="1" applyProtection="1">
      <protection locked="0"/>
    </xf>
    <xf numFmtId="0" fontId="27" fillId="0" borderId="0" xfId="0" applyFont="1" applyAlignment="1">
      <alignment wrapText="1"/>
    </xf>
    <xf numFmtId="0" fontId="25" fillId="0" borderId="0" xfId="0" applyFont="1" applyAlignment="1">
      <alignment wrapText="1"/>
    </xf>
    <xf numFmtId="9" fontId="15" fillId="0" borderId="0" xfId="0" applyNumberFormat="1" applyFont="1" applyAlignment="1" applyProtection="1">
      <alignment horizontal="left" vertical="center" wrapText="1"/>
      <protection locked="0"/>
    </xf>
    <xf numFmtId="0" fontId="21" fillId="0" borderId="0" xfId="0" applyFont="1" applyProtection="1">
      <protection locked="0"/>
    </xf>
    <xf numFmtId="0" fontId="15" fillId="0" borderId="0" xfId="0" applyFont="1" applyAlignment="1">
      <alignment horizontal="center"/>
    </xf>
    <xf numFmtId="0" fontId="0" fillId="0" borderId="0" xfId="0" applyAlignment="1" applyProtection="1">
      <alignment wrapText="1" readingOrder="1"/>
      <protection locked="0"/>
    </xf>
    <xf numFmtId="0" fontId="0" fillId="0" borderId="0" xfId="0" applyAlignment="1" applyProtection="1">
      <alignment horizontal="center"/>
      <protection locked="0"/>
    </xf>
    <xf numFmtId="0" fontId="0" fillId="0" borderId="0" xfId="0" applyAlignment="1" applyProtection="1">
      <alignment horizontal="center" vertical="center"/>
      <protection locked="0"/>
    </xf>
    <xf numFmtId="0" fontId="1" fillId="0" borderId="0" xfId="0" applyFont="1" applyAlignment="1" applyProtection="1">
      <alignment horizontal="center"/>
      <protection locked="0"/>
    </xf>
    <xf numFmtId="0" fontId="1" fillId="0" borderId="0" xfId="0" applyFont="1" applyAlignment="1" applyProtection="1">
      <alignment horizontal="left" vertical="center" wrapText="1"/>
      <protection locked="0"/>
    </xf>
    <xf numFmtId="22" fontId="0" fillId="0" borderId="0" xfId="0" applyNumberFormat="1"/>
  </cellXfs>
  <cellStyles count="1">
    <cellStyle name="Normal" xfId="0" builtinId="0"/>
  </cellStyles>
  <dxfs count="280">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dxf>
    <dxf>
      <font>
        <name val="Aptos Narrow"/>
        <scheme val="minor"/>
      </font>
    </dxf>
    <dxf>
      <font>
        <name val="Aptos Narrow"/>
        <scheme val="minor"/>
      </font>
    </dxf>
    <dxf>
      <font>
        <name val="Aptos Narrow"/>
        <scheme val="minor"/>
      </font>
    </dxf>
    <dxf>
      <font>
        <color rgb="FF000000"/>
        <name val="Aptos Narrow"/>
        <scheme val="minor"/>
      </font>
      <fill>
        <patternFill patternType="none"/>
      </fill>
    </dxf>
    <dxf>
      <font>
        <color rgb="FF000000"/>
        <name val="Aptos Narrow"/>
        <scheme val="minor"/>
      </font>
      <fill>
        <patternFill patternType="none"/>
      </fill>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b/>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center" vertical="center" textRotation="0" wrapText="1" indent="0" justifyLastLine="0" shrinkToFit="0" readingOrder="0"/>
    </dxf>
    <dxf>
      <font>
        <name val="Aptos Narrow"/>
        <scheme val="minor"/>
      </font>
      <alignment horizontal="center" vertical="bottom" textRotation="0" wrapText="0" indent="0" justifyLastLine="0" shrinkToFit="0" readingOrder="0"/>
    </dxf>
    <dxf>
      <font>
        <name val="Aptos Narrow"/>
        <scheme val="minor"/>
      </font>
    </dxf>
    <dxf>
      <font>
        <name val="Aptos Narrow"/>
        <scheme val="minor"/>
      </font>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name val="Aptos Narrow"/>
        <scheme val="minor"/>
      </font>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scheme val="minor"/>
      </font>
      <alignment horizontal="left" vertical="center" textRotation="0" wrapText="1" indent="0" justifyLastLine="0" shrinkToFit="0" readingOrder="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font>
        <name val="Aptos Narrow"/>
        <scheme val="minor"/>
      </font>
    </dxf>
    <dxf>
      <font>
        <name val="Aptos Narrow"/>
        <scheme val="minor"/>
      </font>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Lake, Mark" id="{26CAB64E-5892-214E-9F45-F20B0B3136BA}" userId="SPSMLAKE@ljmu.ac.uk" providerId="PeoplePicker"/>
  <person displayName="Robinson, Mark" id="{C5431128-65D9-3247-9C65-762E6878DEB0}" userId="SPSMROBI@ljmu.ac.uk" providerId="PeoplePicker"/>
  <person displayName="Olthof, Sigrid" id="{1FB70237-4933-EA4C-BE41-2A58EC89DA19}" userId="S::SPSSOLTH@ljmu.ac.uk::06464399-b4f4-429a-a4c0-8261fbca90fe" providerId="AD"/>
  <person displayName="Hope, Edward" id="{F2D151A0-82A2-4ABE-B7B0-CF7967121786}" userId="S::spsehope@ljmu.ac.uk::2fa563ac-a690-4beb-8a48-bc94f5b724d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E97FFEE-1596-40D7-BCFD-13DD407C5369}" autoFormatId="16" applyNumberFormats="0" applyBorderFormats="0" applyFontFormats="0" applyPatternFormats="0" applyAlignmentFormats="0" applyWidthHeightFormats="0">
  <queryTableRefresh nextId="15">
    <queryTableFields count="14">
      <queryTableField id="1" name="Programme" tableColumnId="1"/>
      <queryTableField id="2" name="Name" tableColumnId="2"/>
      <queryTableField id="3" name="Extension" tableColumnId="3"/>
      <queryTableField id="4" name="Date accessed" tableColumnId="4"/>
      <queryTableField id="5" name="Date modified" tableColumnId="5"/>
      <queryTableField id="6" name="Date created" tableColumnId="6"/>
      <queryTableField id="7" name="Folder Path" tableColumnId="7"/>
      <queryTableField id="8" name="TableName" tableColumnId="8"/>
      <queryTableField id="9" name="Assessment No" tableColumnId="9"/>
      <queryTableField id="10" name="Assessment Type" tableColumnId="10"/>
      <queryTableField id="11" name="Assessment Specific" tableColumnId="11"/>
      <queryTableField id="12" name="Assessment Description" tableColumnId="12"/>
      <queryTableField id="13" name="Weighting" tableColumnId="13"/>
      <queryTableField id="14" name="Due Week" tableColumnId="14"/>
    </queryTableFields>
  </queryTableRefresh>
</queryTable>
</file>

<file path=xl/tables/_rels/table8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4301SPS_Meta" displayName="_4301SPS_Meta" ref="C6:D14" totalsRowShown="0">
  <autoFilter ref="C6:D14" xr:uid="{CD75D2A7-14B1-4ABD-B64D-6E875F9BC652}">
    <filterColumn colId="0" hiddenButton="1"/>
    <filterColumn colId="1" hiddenButton="1"/>
  </autoFilter>
  <tableColumns count="2">
    <tableColumn id="1" xr3:uid="{644E4444-F68A-4E74-BD5D-8748CD05A7D2}" name="Module Data" dataDxfId="273"/>
    <tableColumn id="2" xr3:uid="{AF6CCCE6-633B-4669-B570-EB4F893B50C4}" name="Details" dataDxfId="27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4301SPS_LO" displayName="_4301SPS_LO" ref="C28:D33" totalsRowShown="0" headerRowDxfId="271">
  <autoFilter ref="C28:D33" xr:uid="{22316987-6BEB-4FAF-9619-BF9BE9909CFA}">
    <filterColumn colId="0" hiddenButton="1"/>
    <filterColumn colId="1" hiddenButton="1"/>
  </autoFilter>
  <tableColumns count="2">
    <tableColumn id="1" xr3:uid="{589112ED-5C99-4CD7-912A-F216AEC245F3}" name="LO Number" dataDxfId="270"/>
    <tableColumn id="2" xr3:uid="{D42319CA-BEAF-49C8-8EC7-B45F24386E7A}" name="LO Description" dataDxfId="2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4301SPS_Assess" displayName="_4301SPS_Assess" ref="C37:H41" totalsRowShown="0" headerRowDxfId="26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67"/>
    <tableColumn id="2" xr3:uid="{0C168E40-BC62-40F7-8494-D9D585BBF5DD}" name="Assessment Type" dataDxfId="266"/>
    <tableColumn id="7" xr3:uid="{03042C7C-BE5A-4EDB-B18A-F162688CAFDA}" name="Assessment Specific" dataDxfId="265"/>
    <tableColumn id="3" xr3:uid="{B536E57C-91CB-491F-8850-5E1F4FFB6EC2}" name="Assessment Description" dataDxfId="264"/>
    <tableColumn id="4" xr3:uid="{CFEF4DCA-7026-4AB8-9930-965F672B21EC}" name="Weighting" dataDxfId="263"/>
    <tableColumn id="5" xr3:uid="{268A91DF-58B1-43BF-A340-0E1D33705BAA}" name="Due Week" dataDxfId="262"/>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4301SPS_Weekly" displayName="_4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61"/>
    <tableColumn id="2" xr3:uid="{916AD303-2708-4E40-8E0C-DE9D347BA8EA}" name="Week Number" dataDxfId="260"/>
    <tableColumn id="3" xr3:uid="{66580F8A-FF82-4503-9EBF-1B44DD45F9F5}" name="Weekly Content 1" dataDxfId="259"/>
    <tableColumn id="4" xr3:uid="{5E6D35EA-634F-45B1-8A96-068CB99E3BA7}" name="Weekly Content 2" dataDxfId="258"/>
    <tableColumn id="5" xr3:uid="{25F8B45E-A68A-40F6-AADD-D3228D0F228B}" name="Weekly Content 3" dataDxfId="257"/>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4301SPS_Hours" displayName="_4301SPS_Hours" ref="C18:D24" totalsRowShown="0">
  <autoFilter ref="C18:D24" xr:uid="{B71A3569-AA65-4A4E-98A2-885F5C38B46D}">
    <filterColumn colId="0" hiddenButton="1"/>
    <filterColumn colId="1" hiddenButton="1"/>
  </autoFilter>
  <tableColumns count="2">
    <tableColumn id="1" xr3:uid="{E6DA5AB3-0374-477C-BB37-91CD5B04A8A7}" name="Component" dataDxfId="256"/>
    <tableColumn id="2" xr3:uid="{25171EA2-F360-4480-9A69-30F0637E5E19}" name="Contact Hours" dataDxfId="25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4301SPS_Mapping" displayName="_4301SPS_Mapping" ref="C45:F56" totalsRowShown="0" headerRowDxfId="254" dataDxfId="253">
  <autoFilter ref="C45:F5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52"/>
    <tableColumn id="2" xr3:uid="{220CCF7F-D01D-41B9-83FA-AB3772B56C47}" name="LO Number" dataDxfId="251"/>
    <tableColumn id="3" xr3:uid="{35876AFA-8C5D-4EB6-A40B-8013521A5A47}" name="Graduate Skills Category" dataDxfId="250"/>
    <tableColumn id="4" xr3:uid="{8CC8B0ED-B11D-43C6-AB11-C69764FE383C}" name="Graduate Skill" dataDxfId="249"/>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4301SPS_Aims" displayName="_4301SPS_Aims" ref="F6:F8" totalsRowShown="0" dataDxfId="248">
  <autoFilter ref="F6:F8" xr:uid="{9552138F-2332-4BC4-A585-0E13162881A5}"/>
  <tableColumns count="1">
    <tableColumn id="1" xr3:uid="{17C9A3A3-D0C1-421C-8D52-32617D054C2E}" name="Aims" dataDxfId="247"/>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4301SPS_Syllabus" displayName="_4301SPS_Syllabus" ref="F10:F13" totalsRowShown="0" dataDxfId="246">
  <autoFilter ref="F10:F13" xr:uid="{94F18F67-3F10-4F6E-A953-4FE3399B07F2}"/>
  <tableColumns count="1">
    <tableColumn id="1" xr3:uid="{D7FF23A0-D568-4D96-9868-A6319DCE887A}" name="Outline Syllabus" dataDxfId="245"/>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4301SPS_Overview" displayName="_4301SPS_Overview" ref="F15:F20" totalsRowShown="0" dataDxfId="244">
  <autoFilter ref="F15:F20" xr:uid="{1B2BCD7B-6C15-4B1C-86BC-48FF83D8F225}"/>
  <tableColumns count="1">
    <tableColumn id="1" xr3:uid="{E558D902-00D8-4FEB-8431-38F38D3FD8C5}" name="Module Overview" dataDxfId="243"/>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4301SPS_Notes" displayName="_4301SPS_Notes" ref="F22:F33" totalsRowShown="0" dataDxfId="242">
  <autoFilter ref="F22:F33" xr:uid="{D5968C0A-6D7E-4221-87EE-78A85A4039B3}"/>
  <tableColumns count="1">
    <tableColumn id="1" xr3:uid="{C6EF2F48-EFDC-40BF-8A10-F2C80BC78705}" name="Additional Information/Notes" dataDxfId="241"/>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4303SPS_Meta" displayName="_4303SPS_Meta" ref="C6:D14" totalsRowShown="0">
  <autoFilter ref="C6:D14" xr:uid="{CD75D2A7-14B1-4ABD-B64D-6E875F9BC652}">
    <filterColumn colId="0" hiddenButton="1"/>
    <filterColumn colId="1" hiddenButton="1"/>
  </autoFilter>
  <tableColumns count="2">
    <tableColumn id="1" xr3:uid="{ACF32678-77E3-4DB8-8FD6-8F313C0082A9}" name="Module Data" dataDxfId="240"/>
    <tableColumn id="2" xr3:uid="{DD1FE0F1-BC22-47E6-B097-D50D8388821E}" name="Details" dataDxfId="239"/>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4303SPS_LO" displayName="_4303SPS_LO" ref="C28:D33" totalsRowShown="0" headerRowDxfId="238">
  <autoFilter ref="C28:D33" xr:uid="{22316987-6BEB-4FAF-9619-BF9BE9909CFA}">
    <filterColumn colId="0" hiddenButton="1"/>
    <filterColumn colId="1" hiddenButton="1"/>
  </autoFilter>
  <tableColumns count="2">
    <tableColumn id="1" xr3:uid="{6CB2DC80-959E-4050-BA4D-48CD62403E05}" name="LO Number" dataDxfId="237"/>
    <tableColumn id="2" xr3:uid="{85688B06-9831-461B-B933-1E407D860BB8}" name="LO Description" dataDxfId="23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4303SPS_Assess" displayName="_4303SPS_Assess" ref="C37:H41" totalsRowShown="0" headerRowDxfId="23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234"/>
    <tableColumn id="2" xr3:uid="{F4594AC5-B575-460A-8B6B-2EF3FCBAB24A}" name="Assessment Type" dataDxfId="233"/>
    <tableColumn id="7" xr3:uid="{AAABE4DC-4613-4F22-97E3-44DC05E3C8C2}" name="Assessment Specific" dataDxfId="232"/>
    <tableColumn id="3" xr3:uid="{C3DF3668-A1BF-4CA9-A035-72DE23145404}" name="Assessment Description" dataDxfId="231"/>
    <tableColumn id="4" xr3:uid="{3D9A7936-2757-4200-8A20-0CA5D42BA49F}" name="Weighting" dataDxfId="230"/>
    <tableColumn id="5" xr3:uid="{8EF3572C-5F74-4584-B936-B47EF6784AC5}" name="Due Week" dataDxfId="229"/>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4303SPS_Weekly" displayName="_43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228"/>
    <tableColumn id="2" xr3:uid="{FBC07EB1-2635-4DBE-A175-763442B26942}" name="Week Number" dataDxfId="227"/>
    <tableColumn id="3" xr3:uid="{D5767446-3CE7-477F-86AC-430EDC126EA2}" name="Weekly Content 1" dataDxfId="226"/>
    <tableColumn id="4" xr3:uid="{9EAF880D-82C8-4C10-BC2E-5F1E7B2ED0C1}" name="Weekly Content 2" dataDxfId="225"/>
    <tableColumn id="5" xr3:uid="{322143D7-C33E-4E77-9B9F-4AFE42EC2AA6}" name="Weekly Content 3" dataDxfId="224"/>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4303SPS_Hours" displayName="_4303SPS_Hours" ref="C18:D24" totalsRowShown="0">
  <autoFilter ref="C18:D24" xr:uid="{B71A3569-AA65-4A4E-98A2-885F5C38B46D}">
    <filterColumn colId="0" hiddenButton="1"/>
    <filterColumn colId="1" hiddenButton="1"/>
  </autoFilter>
  <tableColumns count="2">
    <tableColumn id="1" xr3:uid="{CF6425D2-EB8D-46CC-B2D7-B49E8963FCEB}" name="Component" dataDxfId="223"/>
    <tableColumn id="2" xr3:uid="{BD9901A8-2A59-4CEC-ADF1-EDBA06D8EC9A}" name="Contact Hours" dataDxfId="222"/>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4303SPS_Mapping" displayName="_4303SPS_Mapping" ref="C45:F56" totalsRowShown="0" headerRowDxfId="221" dataDxfId="220">
  <autoFilter ref="C45:F5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219"/>
    <tableColumn id="2" xr3:uid="{7A675E84-DDDC-4998-99E6-205908A58F57}" name="LO Number" dataDxfId="218"/>
    <tableColumn id="3" xr3:uid="{66CA6E22-8945-41E1-BB50-73156CC69517}" name="Graduate Skills Category" dataDxfId="217"/>
    <tableColumn id="4" xr3:uid="{325393C6-2FBF-4ABB-8CB2-DF104C6AB43E}" name="Graduate Skill" dataDxfId="216"/>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4303SPS_Aims" displayName="_4303SPS_Aims" ref="F6:F8" totalsRowShown="0" dataDxfId="215">
  <autoFilter ref="F6:F8" xr:uid="{9552138F-2332-4BC4-A585-0E13162881A5}"/>
  <tableColumns count="1">
    <tableColumn id="1" xr3:uid="{67F975D0-E9AC-4452-A379-A1359EC2808C}" name="Aims" dataDxfId="214"/>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4303SPS_Syllabus" displayName="_4303SPS_Syllabus" ref="F10:F13" totalsRowShown="0" dataDxfId="213">
  <autoFilter ref="F10:F13" xr:uid="{94F18F67-3F10-4F6E-A953-4FE3399B07F2}"/>
  <tableColumns count="1">
    <tableColumn id="1" xr3:uid="{BFF28868-E7E3-4275-B13E-588F6503F19C}" name="Outline Syllabus" dataDxfId="212"/>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4303SPS_Overview" displayName="_4303SPS_Overview" ref="F15:F20" totalsRowShown="0" dataDxfId="211">
  <autoFilter ref="F15:F20" xr:uid="{1B2BCD7B-6C15-4B1C-86BC-48FF83D8F225}"/>
  <tableColumns count="1">
    <tableColumn id="1" xr3:uid="{AD6B21BA-8875-45A9-8932-F4F0FB08A980}" name="Module Overview" dataDxfId="210"/>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4303SPS_Notes" displayName="_4303SPS_Notes" ref="F22:F33" totalsRowShown="0" dataDxfId="209">
  <autoFilter ref="F22:F33" xr:uid="{D5968C0A-6D7E-4221-87EE-78A85A4039B3}"/>
  <tableColumns count="1">
    <tableColumn id="1" xr3:uid="{91D0B8DA-30D1-4338-88D9-5A2355C1DF22}" name="Additional Information/Notes" dataDxfId="208"/>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301SPS_Meta" displayName="_5301SPS_Meta" ref="C6:D14" totalsRowShown="0">
  <autoFilter ref="C6:D14" xr:uid="{CD75D2A7-14B1-4ABD-B64D-6E875F9BC652}">
    <filterColumn colId="0" hiddenButton="1"/>
    <filterColumn colId="1" hiddenButton="1"/>
  </autoFilter>
  <tableColumns count="2">
    <tableColumn id="1" xr3:uid="{7B568BCE-928C-447D-BD05-0832B97C0D72}" name="Module Data" dataDxfId="207"/>
    <tableColumn id="2" xr3:uid="{706D7CC6-0EB1-4219-8291-567821A0A5B8}" name="Details" dataDxfId="206"/>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301SPS_LO" displayName="_5301SPS_LO" ref="C28:D33" totalsRowShown="0" headerRowDxfId="205">
  <autoFilter ref="C28:D33" xr:uid="{22316987-6BEB-4FAF-9619-BF9BE9909CFA}">
    <filterColumn colId="0" hiddenButton="1"/>
    <filterColumn colId="1" hiddenButton="1"/>
  </autoFilter>
  <tableColumns count="2">
    <tableColumn id="1" xr3:uid="{C19B4674-B83E-4A42-A7E5-5468C8752F20}" name="LO Number" dataDxfId="204"/>
    <tableColumn id="2" xr3:uid="{78F135DA-0213-417E-88FD-2F76325B6D58}" name="LO Description" dataDxfId="20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301SPS_Assess" displayName="_5301SPS_Assess" ref="C37:H41" totalsRowShown="0" headerRowDxfId="20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201"/>
    <tableColumn id="2" xr3:uid="{43E55016-0B24-4AE6-8341-2CF6FE45EFE0}" name="Assessment Type" dataDxfId="200"/>
    <tableColumn id="7" xr3:uid="{74FB69C4-57FE-4D4F-92C7-425CCB32340D}" name="Assessment Specific" dataDxfId="199"/>
    <tableColumn id="3" xr3:uid="{F392CA10-65BB-49CE-8FEA-065DB3B1250A}" name="Assessment Description" dataDxfId="198"/>
    <tableColumn id="4" xr3:uid="{63105FFB-71CB-4889-BE3D-BA168F2B1D15}" name="Weighting" dataDxfId="197"/>
    <tableColumn id="5" xr3:uid="{942301B1-78DA-47AC-B487-4A82010FBC22}" name="Due Week" dataDxfId="196"/>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301SPS_Weekly" displayName="_5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95"/>
    <tableColumn id="2" xr3:uid="{D37085D6-4B13-4E18-BF1D-72E1D211C5E2}" name="Week Number" dataDxfId="194"/>
    <tableColumn id="3" xr3:uid="{E63B3791-EF8C-42D0-9D20-9E40C6780395}" name="Weekly Content 1" dataDxfId="193"/>
    <tableColumn id="4" xr3:uid="{B1BA8E95-AF48-472D-8022-4FFD3C39E6FD}" name="Weekly Content 2" dataDxfId="192"/>
    <tableColumn id="5" xr3:uid="{77ED77D2-DF2D-4913-862F-82B54D142645}" name="Weekly Content 3" dataDxfId="191"/>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301SPS_Hours" displayName="_5301SPS_Hours" ref="C18:D24" totalsRowShown="0">
  <autoFilter ref="C18:D24" xr:uid="{B71A3569-AA65-4A4E-98A2-885F5C38B46D}">
    <filterColumn colId="0" hiddenButton="1"/>
    <filterColumn colId="1" hiddenButton="1"/>
  </autoFilter>
  <tableColumns count="2">
    <tableColumn id="1" xr3:uid="{A4027C00-55EA-4E91-A17F-FC7D936AA12D}" name="Component" dataDxfId="190"/>
    <tableColumn id="2" xr3:uid="{2B461470-C937-400F-A861-E1EF437460FC}" name="Contact Hours" dataDxfId="18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301SPS_Mapping" displayName="_5301SPS_Mapping" ref="C45:F56" totalsRowShown="0" headerRowDxfId="188" dataDxfId="187">
  <autoFilter ref="C45:F5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86"/>
    <tableColumn id="2" xr3:uid="{01ED9B44-AD4B-499E-8D3C-3B9247E57323}" name="LO Number" dataDxfId="185"/>
    <tableColumn id="3" xr3:uid="{D52384A9-63E3-4ABE-86FB-4619A06E02AF}" name="Graduate Skills Category" dataDxfId="184"/>
    <tableColumn id="4" xr3:uid="{B45DCF04-04F9-4B36-A81D-CEBACC18D2E8}" name="Graduate Skill" dataDxfId="183"/>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301SPS_Aims" displayName="_5301SPS_Aims" ref="F6:F8" totalsRowShown="0" dataDxfId="182">
  <autoFilter ref="F6:F8" xr:uid="{9552138F-2332-4BC4-A585-0E13162881A5}"/>
  <tableColumns count="1">
    <tableColumn id="1" xr3:uid="{00C11AD8-5667-494A-85B4-23C210D1B918}" name="Aims" dataDxfId="181"/>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301SPS_Syllabus" displayName="_5301SPS_Syllabus" ref="F10:F13" totalsRowShown="0" dataDxfId="180">
  <autoFilter ref="F10:F13" xr:uid="{94F18F67-3F10-4F6E-A953-4FE3399B07F2}"/>
  <tableColumns count="1">
    <tableColumn id="1" xr3:uid="{8917F32D-2D78-4B3C-93BA-03E82057EA4B}" name="Outline Syllabus" dataDxfId="179"/>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301SPS_Overview" displayName="_5301SPS_Overview" ref="F15:F20" totalsRowShown="0" dataDxfId="178">
  <autoFilter ref="F15:F20" xr:uid="{1B2BCD7B-6C15-4B1C-86BC-48FF83D8F225}"/>
  <tableColumns count="1">
    <tableColumn id="1" xr3:uid="{B53F9EDB-3125-4C5C-A219-EFA16F274EFC}" name="Module Overview" dataDxfId="177"/>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301SPS_Notes" displayName="_5301SPS_Notes" ref="F22:F33" totalsRowShown="0" dataDxfId="176">
  <autoFilter ref="F22:F33" xr:uid="{D5968C0A-6D7E-4221-87EE-78A85A4039B3}"/>
  <tableColumns count="1">
    <tableColumn id="1" xr3:uid="{2E1C0BC3-8EFB-4AA5-A23B-DEAB35C7DEA7}" name="Additional Information/Notes" dataDxfId="175"/>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5302SPS_Meta" displayName="_5302SPS_Meta" ref="C6:D14" totalsRowShown="0">
  <autoFilter ref="C6:D14" xr:uid="{CD75D2A7-14B1-4ABD-B64D-6E875F9BC652}">
    <filterColumn colId="0" hiddenButton="1"/>
    <filterColumn colId="1" hiddenButton="1"/>
  </autoFilter>
  <tableColumns count="2">
    <tableColumn id="1" xr3:uid="{5D38FCD1-7A3F-4025-AC69-E6A90C68A79E}" name="Module Data" dataDxfId="174"/>
    <tableColumn id="2" xr3:uid="{ACE861FD-0C1D-4D19-A0A8-AC83427FA81A}" name="Details" dataDxfId="173"/>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5302SPS_LO" displayName="_5302SPS_LO" ref="C28:D33" totalsRowShown="0" headerRowDxfId="172">
  <autoFilter ref="C28:D33" xr:uid="{22316987-6BEB-4FAF-9619-BF9BE9909CFA}">
    <filterColumn colId="0" hiddenButton="1"/>
    <filterColumn colId="1" hiddenButton="1"/>
  </autoFilter>
  <tableColumns count="2">
    <tableColumn id="1" xr3:uid="{92FDE3DF-EAC0-4CA6-A5B4-E15BAAC4A01D}" name="LO Number" dataDxfId="171"/>
    <tableColumn id="2" xr3:uid="{A384CFCB-55B0-46B7-AF9A-FAAC6022096A}" name="LO Description" dataDxfId="170"/>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5302SPS_Assess" displayName="_5302SPS_Assess" ref="C37:H41" totalsRowShown="0" headerRowDxfId="16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168"/>
    <tableColumn id="2" xr3:uid="{390EF809-FA62-405F-B84C-B2AD571CEBAA}" name="Assessment Type" dataDxfId="167"/>
    <tableColumn id="7" xr3:uid="{2B1618E6-AA98-4A15-AE0C-79993F1BAFB7}" name="Assessment Specific" dataDxfId="166"/>
    <tableColumn id="3" xr3:uid="{138C3352-0967-40A6-A5BE-4B32DEC01ACB}" name="Assessment Description" dataDxfId="165"/>
    <tableColumn id="4" xr3:uid="{F4B4B6BF-3460-42E3-849C-1BBE242E83C3}" name="Weighting" dataDxfId="164"/>
    <tableColumn id="5" xr3:uid="{E52307F9-F56A-42FC-9A76-6A630F2C5B71}" name="Due Week" dataDxfId="163"/>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5302SPS_Weekly" displayName="_53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162"/>
    <tableColumn id="2" xr3:uid="{1B7B234D-0DD9-4913-9C62-18CC4E0FD5D6}" name="Week Number" dataDxfId="161"/>
    <tableColumn id="3" xr3:uid="{FDA6287D-7D09-41DC-96F1-E9BCD4B11D2E}" name="Weekly Content 1" dataDxfId="160"/>
    <tableColumn id="4" xr3:uid="{C104D628-2E09-432B-BC7A-B7E29838D1BD}" name="Weekly Content 2" dataDxfId="159"/>
    <tableColumn id="5" xr3:uid="{6CD950CC-83A5-4FD3-93FC-B284F6F6350E}" name="Weekly Content 3" dataDxfId="158"/>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5302SPS_Hours" displayName="_5302SPS_Hours" ref="C18:D24" totalsRowShown="0">
  <autoFilter ref="C18:D24" xr:uid="{B71A3569-AA65-4A4E-98A2-885F5C38B46D}">
    <filterColumn colId="0" hiddenButton="1"/>
    <filterColumn colId="1" hiddenButton="1"/>
  </autoFilter>
  <tableColumns count="2">
    <tableColumn id="1" xr3:uid="{27F817B7-6395-4976-9120-60D5C9775BA5}" name="Component" dataDxfId="157"/>
    <tableColumn id="2" xr3:uid="{D9B68E50-AFDD-4B94-80F2-BAB157C2FF40}" name="Contact Hours" dataDxfId="156"/>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5302SPS_Mapping" displayName="_5302SPS_Mapping" ref="C45:F56" totalsRowShown="0" headerRowDxfId="155" dataDxfId="154">
  <autoFilter ref="C45:F5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153"/>
    <tableColumn id="2" xr3:uid="{CF29F699-8C1A-4AC4-A563-FCBB128AC8F3}" name="LO Number" dataDxfId="152"/>
    <tableColumn id="3" xr3:uid="{B1082C18-E8C1-42F9-B74D-584EBA4A0A39}" name="Graduate Skills Category" dataDxfId="151"/>
    <tableColumn id="4" xr3:uid="{BD6D6488-ABFD-45B6-B06F-748690280986}" name="Graduate Skill" dataDxfId="150"/>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5302SPS_Aims" displayName="_5302SPS_Aims" ref="F6:F8" totalsRowShown="0" dataDxfId="149">
  <autoFilter ref="F6:F8" xr:uid="{9552138F-2332-4BC4-A585-0E13162881A5}"/>
  <tableColumns count="1">
    <tableColumn id="1" xr3:uid="{E2B338AF-53C9-469A-B45D-DF4BE4CCBDD0}" name="Aims" dataDxfId="148"/>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5302SPS_Syllabus" displayName="_5302SPS_Syllabus" ref="F10:F13" totalsRowShown="0" dataDxfId="147">
  <autoFilter ref="F10:F13" xr:uid="{94F18F67-3F10-4F6E-A953-4FE3399B07F2}"/>
  <tableColumns count="1">
    <tableColumn id="1" xr3:uid="{0B585185-EFA9-44AB-A953-91DF09E1C8F4}" name="Outline Syllabus" dataDxfId="146"/>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5302SPS_Overview" displayName="_5302SPS_Overview" ref="F15:F20" totalsRowShown="0" dataDxfId="145">
  <autoFilter ref="F15:F20" xr:uid="{1B2BCD7B-6C15-4B1C-86BC-48FF83D8F225}"/>
  <tableColumns count="1">
    <tableColumn id="1" xr3:uid="{8DA5C005-FC9F-4CBE-A281-B2B92A53526A}" name="Module Overview" dataDxfId="144"/>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5302SPS_Notes" displayName="_5302SPS_Notes" ref="F22:F33" totalsRowShown="0" dataDxfId="143">
  <autoFilter ref="F22:F33" xr:uid="{D5968C0A-6D7E-4221-87EE-78A85A4039B3}"/>
  <tableColumns count="1">
    <tableColumn id="1" xr3:uid="{D67854B5-D179-408B-A477-7F6E3033D84B}" name="Additional Information/Notes" dataDxfId="142"/>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6301SPS_Meta" displayName="_6301SPS_Meta" ref="C6:D14" totalsRowShown="0">
  <autoFilter ref="C6:D14" xr:uid="{CD75D2A7-14B1-4ABD-B64D-6E875F9BC652}">
    <filterColumn colId="0" hiddenButton="1"/>
    <filterColumn colId="1" hiddenButton="1"/>
  </autoFilter>
  <tableColumns count="2">
    <tableColumn id="1" xr3:uid="{7833E623-ED87-40CE-93D2-B78B6A7D7E94}" name="Module Data" dataDxfId="141"/>
    <tableColumn id="2" xr3:uid="{0659839B-A1DA-4204-9267-1A4CC295A6EF}" name="Details" dataDxfId="140"/>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6301SPS_LO" displayName="_6301SPS_LO" ref="C28:D33" totalsRowShown="0" headerRowDxfId="139">
  <autoFilter ref="C28:D33" xr:uid="{22316987-6BEB-4FAF-9619-BF9BE9909CFA}">
    <filterColumn colId="0" hiddenButton="1"/>
    <filterColumn colId="1" hiddenButton="1"/>
  </autoFilter>
  <tableColumns count="2">
    <tableColumn id="1" xr3:uid="{FEDC5FCD-23F6-4532-A565-C979DFEE6452}" name="LO Number" dataDxfId="138"/>
    <tableColumn id="2" xr3:uid="{1F64A8B9-B360-490C-BD12-64A29F9CF82F}" name="LO Description" dataDxfId="137"/>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6301SPS_Assess" displayName="_6301SPS_Assess" ref="C37:H41" totalsRowShown="0" headerRowDxfId="13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135"/>
    <tableColumn id="2" xr3:uid="{0FE47FA8-B999-4405-B49D-E106E82A7509}" name="Assessment Type" dataDxfId="134"/>
    <tableColumn id="7" xr3:uid="{61D6D411-EDDD-4962-A754-A4B5EEB96263}" name="Assessment Specific" dataDxfId="133"/>
    <tableColumn id="3" xr3:uid="{1A288D47-FFDF-4BA0-94F1-9B647BE04DCC}" name="Assessment Description" dataDxfId="132"/>
    <tableColumn id="4" xr3:uid="{ED08857B-A938-490D-9B30-962DE64252AB}" name="Weighting" dataDxfId="131"/>
    <tableColumn id="5" xr3:uid="{581E13F4-4545-426B-8995-08E09758F5CB}" name="Due Week" dataDxfId="130"/>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6301SPS_Weekly" displayName="_6301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29"/>
    <tableColumn id="2" xr3:uid="{BED16F5A-D8C5-4300-A763-C0065F48E598}" name="Week Number" dataDxfId="128"/>
    <tableColumn id="3" xr3:uid="{1C3278D5-9F89-43C0-84A5-ACE6AE3BF8C8}" name="Weekly Content 1" dataDxfId="127"/>
    <tableColumn id="4" xr3:uid="{8ADEF497-35DC-4945-B42C-DCA4C8DB67C9}" name="Weekly Content 2" dataDxfId="126"/>
    <tableColumn id="5" xr3:uid="{E6B69E39-A78E-4994-8E8F-40C76F0002A1}" name="Weekly Content 3" dataDxfId="125"/>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6301SPS_Hours" displayName="_6301SPS_Hours" ref="C18:D24" totalsRowShown="0">
  <autoFilter ref="C18:D24" xr:uid="{B71A3569-AA65-4A4E-98A2-885F5C38B46D}">
    <filterColumn colId="0" hiddenButton="1"/>
    <filterColumn colId="1" hiddenButton="1"/>
  </autoFilter>
  <tableColumns count="2">
    <tableColumn id="1" xr3:uid="{2FFE33E1-E3D8-499A-B70C-70494FCFC11F}" name="Component" dataDxfId="124"/>
    <tableColumn id="2" xr3:uid="{D8D74B7C-DED1-4107-9D9B-A69709137AF1}" name="Contact Hours" dataDxfId="123"/>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6301SPS_Mapping" displayName="_6301SPS_Mapping" ref="C45:F56" totalsRowShown="0" headerRowDxfId="122" dataDxfId="121">
  <autoFilter ref="C45:F5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20"/>
    <tableColumn id="2" xr3:uid="{3DE98FE2-3138-46D6-BD99-F2FB47042775}" name="LO Number" dataDxfId="119"/>
    <tableColumn id="3" xr3:uid="{810A03D8-C153-4962-9C3C-D761D27C4A3F}" name="Graduate Skills Category" dataDxfId="118"/>
    <tableColumn id="4" xr3:uid="{C3B0D1F6-1274-4ED1-9705-01F40BB1E2F2}" name="Graduate Skill" dataDxfId="117"/>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6301SPS_Aims" displayName="_6301SPS_Aims" ref="F6:F8" totalsRowShown="0" dataDxfId="116">
  <autoFilter ref="F6:F8" xr:uid="{9552138F-2332-4BC4-A585-0E13162881A5}"/>
  <tableColumns count="1">
    <tableColumn id="1" xr3:uid="{C445F0C7-61B3-46CB-A56F-67D79AE54D5C}" name="Aims" dataDxfId="115"/>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6301SPS_Syllabus" displayName="_6301SPS_Syllabus" ref="F10:F13" totalsRowShown="0" dataDxfId="114">
  <autoFilter ref="F10:F13" xr:uid="{94F18F67-3F10-4F6E-A953-4FE3399B07F2}"/>
  <tableColumns count="1">
    <tableColumn id="1" xr3:uid="{CAABEA9D-6FBF-459A-AD97-585A17318A01}" name="Outline Syllabus" dataDxfId="113"/>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6301SPS_Overview" displayName="_6301SPS_Overview" ref="F15:F20" totalsRowShown="0" dataDxfId="112">
  <autoFilter ref="F15:F20" xr:uid="{1B2BCD7B-6C15-4B1C-86BC-48FF83D8F225}"/>
  <tableColumns count="1">
    <tableColumn id="1" xr3:uid="{A14625FC-0807-41B3-BEF3-09E7E979EFED}" name="Module Overview" dataDxfId="111"/>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6301SPS_Notes" displayName="_6301SPS_Notes" ref="F22:F33" totalsRowShown="0" dataDxfId="110">
  <autoFilter ref="F22:F33" xr:uid="{D5968C0A-6D7E-4221-87EE-78A85A4039B3}"/>
  <tableColumns count="1">
    <tableColumn id="1" xr3:uid="{0F69CA79-BA33-4E25-8FA9-233F7FC95036}" name="Additional Information/Notes" dataDxfId="109"/>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6302SPS_Meta" displayName="_6302SPS_Meta" ref="C6:D14" totalsRowShown="0">
  <autoFilter ref="C6:D14" xr:uid="{CD75D2A7-14B1-4ABD-B64D-6E875F9BC652}">
    <filterColumn colId="0" hiddenButton="1"/>
    <filterColumn colId="1" hiddenButton="1"/>
  </autoFilter>
  <tableColumns count="2">
    <tableColumn id="1" xr3:uid="{4312B193-D095-44A4-B0FA-8864AE0BCBEF}" name="Module Data" dataDxfId="108"/>
    <tableColumn id="2" xr3:uid="{4F08D2F7-88F2-4061-857B-CBAD6623F570}" name="Details" dataDxfId="107"/>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6302SPS_LO" displayName="_6302SPS_LO" ref="C28:D33" totalsRowShown="0" headerRowDxfId="106">
  <autoFilter ref="C28:D33" xr:uid="{22316987-6BEB-4FAF-9619-BF9BE9909CFA}">
    <filterColumn colId="0" hiddenButton="1"/>
    <filterColumn colId="1" hiddenButton="1"/>
  </autoFilter>
  <tableColumns count="2">
    <tableColumn id="1" xr3:uid="{87282965-A2DA-4B4E-8D06-98090F28BEEF}" name="LO Number" dataDxfId="105"/>
    <tableColumn id="2" xr3:uid="{5860F21B-133F-4A88-A61B-07CF39BC7E21}" name="LO Description" dataDxfId="104"/>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6302SPS_Assess" displayName="_6302SPS_Assess" ref="C37:H41" totalsRowShown="0" headerRowDxfId="10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102"/>
    <tableColumn id="2" xr3:uid="{02E86080-DD71-4108-821B-E566F188DEA2}" name="Assessment Type" dataDxfId="101"/>
    <tableColumn id="7" xr3:uid="{47CA01EB-2FAC-4F47-BB5B-4ACF9B64B490}" name="Assessment Specific" dataDxfId="100"/>
    <tableColumn id="3" xr3:uid="{FBD48AF8-7B7F-4162-9266-C7CCFD60F0E7}" name="Assessment Description" dataDxfId="99"/>
    <tableColumn id="4" xr3:uid="{B1C6A884-1B35-475C-8890-451E2B62B45B}" name="Weighting" dataDxfId="98"/>
    <tableColumn id="5" xr3:uid="{52275FFC-C744-424D-9DA8-F4384F058801}" name="Due Week" dataDxfId="97"/>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6302SPS_Weekly" displayName="_6302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96"/>
    <tableColumn id="2" xr3:uid="{F2C231FA-6829-4DDE-AADC-3E8FA43A1138}" name="Week Number" dataDxfId="95"/>
    <tableColumn id="3" xr3:uid="{BF2905C5-0007-47A2-850C-6A3A59009B1B}" name="Weekly Content 1" dataDxfId="94"/>
    <tableColumn id="4" xr3:uid="{87E349A9-C7DB-4B62-AE2D-73DF6FE87FF2}" name="Weekly Content 2" dataDxfId="93"/>
    <tableColumn id="5" xr3:uid="{9335E186-D4FA-4BC9-96F6-48CA2E66C8B8}" name="Weekly Content 3" dataDxfId="92"/>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6302SPS_Hours" displayName="_6302SPS_Hours" ref="C18:D24" totalsRowShown="0">
  <autoFilter ref="C18:D24" xr:uid="{B71A3569-AA65-4A4E-98A2-885F5C38B46D}">
    <filterColumn colId="0" hiddenButton="1"/>
    <filterColumn colId="1" hiddenButton="1"/>
  </autoFilter>
  <tableColumns count="2">
    <tableColumn id="1" xr3:uid="{9CDDC04F-6E44-4B1D-B2F7-BCFB91288FF8}" name="Component" dataDxfId="91"/>
    <tableColumn id="2" xr3:uid="{0A78BA71-0A43-4908-AD5D-EAD433A8F0CB}" name="Contact Hours" dataDxfId="90"/>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6302SPS_Mapping" displayName="_6302SPS_Mapping" ref="C45:F56" totalsRowShown="0" headerRowDxfId="89" dataDxfId="88">
  <autoFilter ref="C45:F5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87"/>
    <tableColumn id="2" xr3:uid="{38F835BE-5EB1-4FFA-8259-BEB6E39C8FA1}" name="LO Number" dataDxfId="86"/>
    <tableColumn id="3" xr3:uid="{C6B979A3-0E5A-464F-B5CD-CBA3047E98BE}" name="Graduate Skills Category" dataDxfId="85"/>
    <tableColumn id="4" xr3:uid="{2D7AD4B8-14A9-4533-A3C6-5E7125BAACC7}" name="Graduate Skill" dataDxfId="84"/>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6302SPS_Aims" displayName="_6302SPS_Aims" ref="F6:F8" totalsRowShown="0" dataDxfId="83">
  <autoFilter ref="F6:F8" xr:uid="{9552138F-2332-4BC4-A585-0E13162881A5}"/>
  <tableColumns count="1">
    <tableColumn id="1" xr3:uid="{9E1F2909-CE11-40D2-90E4-0F2548AB10B2}" name="Aims" dataDxfId="82"/>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6302SPS_Syllabus" displayName="_6302SPS_Syllabus" ref="F10:F13" totalsRowShown="0" dataDxfId="81">
  <autoFilter ref="F10:F13" xr:uid="{94F18F67-3F10-4F6E-A953-4FE3399B07F2}"/>
  <tableColumns count="1">
    <tableColumn id="1" xr3:uid="{454BC257-77E7-4C9C-B231-D65E8EE20325}" name="Outline Syllabus" dataDxfId="80"/>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6302SPS_Overview" displayName="_6302SPS_Overview" ref="F15:F20" totalsRowShown="0" dataDxfId="79">
  <autoFilter ref="F15:F20" xr:uid="{1B2BCD7B-6C15-4B1C-86BC-48FF83D8F225}"/>
  <tableColumns count="1">
    <tableColumn id="1" xr3:uid="{D37E1C0D-C9AF-4C78-BCFF-8B2CE993F50A}" name="Module Overview" dataDxfId="78"/>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6302SPS_Notes" displayName="_6302SPS_Notes" ref="F22:F33" totalsRowShown="0" dataDxfId="77">
  <autoFilter ref="F22:F33" xr:uid="{D5968C0A-6D7E-4221-87EE-78A85A4039B3}"/>
  <tableColumns count="1">
    <tableColumn id="1" xr3:uid="{E8342C1A-2B62-4E1C-B80B-B12917066000}" name="Additional Information/Notes" dataDxfId="76"/>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303SPS_Meta" displayName="_6303SPS_Meta" ref="C6:D14" totalsRowShown="0">
  <autoFilter ref="C6:D14" xr:uid="{CD75D2A7-14B1-4ABD-B64D-6E875F9BC652}">
    <filterColumn colId="0" hiddenButton="1"/>
    <filterColumn colId="1" hiddenButton="1"/>
  </autoFilter>
  <tableColumns count="2">
    <tableColumn id="1" xr3:uid="{DC5E8FB2-F1EF-4C76-ADAD-8DF1D4236058}" name="Module Data" dataDxfId="75"/>
    <tableColumn id="2" xr3:uid="{3CEC4644-C90E-484A-BB04-BC7E2522484B}" name="Details" dataDxfId="74"/>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303SPS_LO" displayName="_6303SPS_LO" ref="C28:D33" totalsRowShown="0" headerRowDxfId="73">
  <autoFilter ref="C28:D33" xr:uid="{22316987-6BEB-4FAF-9619-BF9BE9909CFA}">
    <filterColumn colId="0" hiddenButton="1"/>
    <filterColumn colId="1" hiddenButton="1"/>
  </autoFilter>
  <tableColumns count="2">
    <tableColumn id="1" xr3:uid="{96E1C0A4-F310-4104-877A-16C95A9DF8F8}" name="LO Number" dataDxfId="72"/>
    <tableColumn id="2" xr3:uid="{5193B932-1BB4-4665-BB60-1094CB27D2FB}" name="LO Description" dataDxfId="71"/>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303SPS_Assess" displayName="_6303SPS_Assess" ref="C37:H41" totalsRowShown="0" headerRowDxfId="7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69"/>
    <tableColumn id="2" xr3:uid="{F6CC8F23-24C9-49E1-A7E1-F0C42C5E4062}" name="Assessment Type" dataDxfId="68"/>
    <tableColumn id="7" xr3:uid="{23445359-B102-481A-9626-644EC1147971}" name="Assessment Specific" dataDxfId="67"/>
    <tableColumn id="3" xr3:uid="{09F68760-DB1D-47DA-9C3B-991E85819122}" name="Assessment Description" dataDxfId="66"/>
    <tableColumn id="4" xr3:uid="{9C4EFAF0-0549-4906-AB40-C8046612A4D0}" name="Weighting" dataDxfId="65"/>
    <tableColumn id="5" xr3:uid="{6867F2EF-8B96-4C7F-A3F0-4AD115D6B611}" name="Due Week" dataDxfId="64"/>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303SPS_Weekly" displayName="_6303SPS_Weekly" ref="B60:F84" totalsRowShown="0">
  <autoFilter ref="B60:F8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63"/>
    <tableColumn id="2" xr3:uid="{3DC0D0B8-ED93-4FAA-ACD1-6A257B8D7D8B}" name="Week Number" dataDxfId="62"/>
    <tableColumn id="3" xr3:uid="{396A1CD9-0EA8-4576-AC19-41A37C40C78C}" name="Weekly Content 1" dataDxfId="61"/>
    <tableColumn id="4" xr3:uid="{27E6FFD2-4BB2-4380-B643-929F8059E10C}" name="Weekly Content 2" dataDxfId="60"/>
    <tableColumn id="5" xr3:uid="{5D410880-EC3B-476E-B727-61773B3F1720}" name="Weekly Content 3" dataDxfId="59"/>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303SPS_Hours" displayName="_6303SPS_Hours" ref="C18:D24" totalsRowShown="0">
  <autoFilter ref="C18:D24" xr:uid="{B71A3569-AA65-4A4E-98A2-885F5C38B46D}">
    <filterColumn colId="0" hiddenButton="1"/>
    <filterColumn colId="1" hiddenButton="1"/>
  </autoFilter>
  <tableColumns count="2">
    <tableColumn id="1" xr3:uid="{50ADF208-83C1-48D5-9F5C-65E697F266B7}" name="Component" dataDxfId="58"/>
    <tableColumn id="2" xr3:uid="{1EADC3A3-1557-4323-A40A-C84AEA0F188A}" name="Contact Hours" dataDxfId="57"/>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303SPS_Mapping" displayName="_6303SPS_Mapping" ref="C45:F56" totalsRowShown="0" headerRowDxfId="56" dataDxfId="55">
  <autoFilter ref="C45:F5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54"/>
    <tableColumn id="2" xr3:uid="{162D175A-F572-46B3-8399-9FF334864C28}" name="LO Number" dataDxfId="53"/>
    <tableColumn id="3" xr3:uid="{4B8F87D6-8076-4256-870F-FFB0D542729A}" name="Graduate Skills Category" dataDxfId="52"/>
    <tableColumn id="4" xr3:uid="{3DB5254F-E5B1-45EA-B3FC-772579673F08}" name="Graduate Skill" dataDxfId="51"/>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303SPS_Aims" displayName="_6303SPS_Aims" ref="F6:F8" totalsRowShown="0" dataDxfId="50">
  <autoFilter ref="F6:F8" xr:uid="{9552138F-2332-4BC4-A585-0E13162881A5}"/>
  <tableColumns count="1">
    <tableColumn id="1" xr3:uid="{D5911F00-3A12-4884-94FA-2461F2E6A773}" name="Aims" dataDxfId="49"/>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303SPS_Syllabus" displayName="_6303SPS_Syllabus" ref="F10:F13" totalsRowShown="0" dataDxfId="48">
  <autoFilter ref="F10:F13" xr:uid="{94F18F67-3F10-4F6E-A953-4FE3399B07F2}"/>
  <tableColumns count="1">
    <tableColumn id="1" xr3:uid="{1984609B-7A7C-44AA-A114-5466EF451351}" name="Outline Syllabus" dataDxfId="47"/>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303SPS_Overview" displayName="_6303SPS_Overview" ref="F15:F20" totalsRowShown="0" dataDxfId="46">
  <autoFilter ref="F15:F20" xr:uid="{1B2BCD7B-6C15-4B1C-86BC-48FF83D8F225}"/>
  <tableColumns count="1">
    <tableColumn id="1" xr3:uid="{19A46962-3EFC-4EE2-ACCE-5363E30EDC4F}" name="Module Overview" dataDxfId="45"/>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303SPS_Notes" displayName="_6303SPS_Notes" ref="F22:F33" totalsRowShown="0" dataDxfId="44">
  <autoFilter ref="F22:F33" xr:uid="{D5968C0A-6D7E-4221-87EE-78A85A4039B3}"/>
  <tableColumns count="1">
    <tableColumn id="1" xr3:uid="{EEDA3204-13C4-4B95-A550-B650C09B689D}" name="Additional Information/Notes" dataDxfId="43"/>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304SPS_Meta" displayName="_6304SPS_Meta" ref="C6:D14" totalsRowShown="0" headerRowDxfId="42" dataDxfId="41">
  <autoFilter ref="C6:D14" xr:uid="{CD75D2A7-14B1-4ABD-B64D-6E875F9BC652}">
    <filterColumn colId="0" hiddenButton="1"/>
    <filterColumn colId="1" hiddenButton="1"/>
  </autoFilter>
  <tableColumns count="2">
    <tableColumn id="1" xr3:uid="{294825A0-B000-4273-A73D-4BDF1B0EEF00}" name="Module Data" dataDxfId="40"/>
    <tableColumn id="2" xr3:uid="{BFFFACD7-D0A7-40F6-BF15-469686406C3F}" name="Details" dataDxfId="39"/>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304SPS_LO" displayName="_6304SPS_LO" ref="C28:D33" totalsRowShown="0" headerRowDxfId="38" dataDxfId="37">
  <autoFilter ref="C28:D33" xr:uid="{22316987-6BEB-4FAF-9619-BF9BE9909CFA}">
    <filterColumn colId="0" hiddenButton="1"/>
    <filterColumn colId="1" hiddenButton="1"/>
  </autoFilter>
  <tableColumns count="2">
    <tableColumn id="1" xr3:uid="{EB0958A2-9E66-44D9-A8DF-610B48FE0AC6}" name="LO Number" dataDxfId="36"/>
    <tableColumn id="2" xr3:uid="{0F368925-4523-471B-A68D-184E05AABCF7}" name="LO Description" dataDxfId="35"/>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304SPS_Assess" displayName="_6304SPS_Assess" ref="C35:H37" totalsRowShown="0" headerRowDxfId="34" dataDxfId="33">
  <autoFilter ref="C35:H37"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32"/>
    <tableColumn id="2" xr3:uid="{1FA5C130-1C0E-45D6-8735-EA79A0166F2D}" name="Assessment Type" dataDxfId="31"/>
    <tableColumn id="7" xr3:uid="{34024CC2-5A32-45FD-95BD-978953E7F41B}" name="Assessment Specific" dataDxfId="30"/>
    <tableColumn id="3" xr3:uid="{5DA2B338-CCFE-4568-ACFD-CC8F0B883170}" name="Assessment Description" dataDxfId="29"/>
    <tableColumn id="4" xr3:uid="{597ADF95-B9B9-411B-8079-7F615E89550C}" name="Weighting" dataDxfId="28"/>
    <tableColumn id="5" xr3:uid="{A0D1FD19-8DF8-4595-ADE8-675937B4A7F4}" name="Due Week" dataDxfId="27"/>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304SPS_Weekly" displayName="_6304SPS_Weekly" ref="B49:F73" totalsRowShown="0" headerRowDxfId="26" dataDxfId="25">
  <autoFilter ref="B49:F73"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4"/>
    <tableColumn id="2" xr3:uid="{633971FF-9E7F-4A44-865E-D409908313D1}" name="Week Number" dataDxfId="23"/>
    <tableColumn id="3" xr3:uid="{77413702-BFB9-4DEA-BF99-C2A188E22509}" name="Weekly Content 1" dataDxfId="22"/>
    <tableColumn id="4" xr3:uid="{DD1B7D42-32B3-4CC2-9308-AD66B052F8DB}" name="Weekly Content 2" dataDxfId="21"/>
    <tableColumn id="5" xr3:uid="{504E9A1A-C43C-49D3-BB42-E4DD5A49EFCE}" name="Weekly Content 3" dataDxfId="20"/>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304SPS_Hours" displayName="_6304SPS_Hours" ref="C18:D24" totalsRowShown="0" headerRowDxfId="19" dataDxfId="18">
  <autoFilter ref="C18:D24" xr:uid="{B71A3569-AA65-4A4E-98A2-885F5C38B46D}">
    <filterColumn colId="0" hiddenButton="1"/>
    <filterColumn colId="1" hiddenButton="1"/>
  </autoFilter>
  <tableColumns count="2">
    <tableColumn id="1" xr3:uid="{5D165BDB-09FC-4AAA-91DB-E67A247DFF72}" name="Component" dataDxfId="17"/>
    <tableColumn id="2" xr3:uid="{E28A3B10-E692-47D9-A3AD-18128B6A4794}" name="Contact Hours" dataDxfId="16"/>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304SPS_Mapping" displayName="_6304SPS_Mapping" ref="C41:F46" totalsRowShown="0" headerRowDxfId="15" dataDxfId="14">
  <autoFilter ref="C41:F4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13"/>
    <tableColumn id="2" xr3:uid="{A7D6827C-7020-4950-BD3E-00625169C68E}" name="LO Number" dataDxfId="12"/>
    <tableColumn id="3" xr3:uid="{1F68EB03-6C47-4955-9791-229A42D1A45A}" name="Graduate Skills Category" dataDxfId="11"/>
    <tableColumn id="4" xr3:uid="{1FD832D4-8E97-4B72-9B09-606CF407E6C7}" name="Graduate Skill" dataDxfId="10"/>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304SPS_Aims" displayName="_6304SPS_Aims" ref="F6:F11" totalsRowShown="0" headerRowDxfId="9" dataDxfId="8">
  <autoFilter ref="F6:F11" xr:uid="{9552138F-2332-4BC4-A585-0E13162881A5}"/>
  <tableColumns count="1">
    <tableColumn id="1" xr3:uid="{2EE5D059-BB6B-4406-AF24-CB56C5C24856}" name="Aims" dataDxfId="7"/>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304SPS_Overview" displayName="_6304SPS_Overview" ref="F15:F20" totalsRowShown="0" headerRowDxfId="6" dataDxfId="5">
  <autoFilter ref="F15:F20" xr:uid="{1B2BCD7B-6C15-4B1C-86BC-48FF83D8F225}"/>
  <tableColumns count="1">
    <tableColumn id="1" xr3:uid="{C16E0E90-DC44-4185-AB55-C39332B32B2D}" name="Module Overview" dataDxfId="4"/>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304SPS_Notes" displayName="_6304SPS_Notes" ref="F22:G28" totalsRowShown="0" headerRowDxfId="3" dataDxfId="2">
  <autoFilter ref="F22:G28" xr:uid="{D5968C0A-6D7E-4221-87EE-78A85A4039B3}"/>
  <tableColumns count="2">
    <tableColumn id="1" xr3:uid="{719B4DA9-E67A-4094-A58E-921C645096BE}" name="Additional Information/Notes" dataDxfId="1"/>
    <tableColumn id="2" xr3:uid="{5987DB22-4216-4B38-873C-9F893FC3A61C}" name="Column1" dataDxfId="0"/>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5AB3C5-14CB-4B6D-9A33-196EE8174E87}" name="FS_AllAssess" displayName="FS_AllAssess" ref="A1:N29" tableType="queryTable" totalsRowShown="0">
  <autoFilter ref="A1:N29" xr:uid="{D65AB3C5-14CB-4B6D-9A33-196EE8174E87}"/>
  <tableColumns count="14">
    <tableColumn id="1" xr3:uid="{CD55DAC8-BF01-43CE-9CAB-8C8B94A43B3F}" uniqueName="1" name="Programme" queryTableFieldId="1"/>
    <tableColumn id="2" xr3:uid="{9CEDA067-1C1F-403F-A4E7-7F4F383E4209}" uniqueName="2" name="Name" queryTableFieldId="2" dataDxfId="279"/>
    <tableColumn id="3" xr3:uid="{40392470-6E9C-41EB-BDA9-DB0FFAF2A33B}" uniqueName="3" name="Extension" queryTableFieldId="3" dataDxfId="278"/>
    <tableColumn id="4" xr3:uid="{957FCA98-7BD3-47E4-A620-137257EE3B66}" uniqueName="4" name="Date accessed" queryTableFieldId="4" dataDxfId="277"/>
    <tableColumn id="5" xr3:uid="{DF4BF7AA-519F-4F87-AE61-0761C03AFD3A}" uniqueName="5" name="Date modified" queryTableFieldId="5" dataDxfId="276"/>
    <tableColumn id="6" xr3:uid="{CB12ECF0-4241-4CDF-A1C6-BE673EC9B05D}" uniqueName="6" name="Date created" queryTableFieldId="6" dataDxfId="275"/>
    <tableColumn id="7" xr3:uid="{19E65D42-2FDD-41A5-A1C2-4FD6E3B613FB}" uniqueName="7" name="Folder Path" queryTableFieldId="7" dataDxfId="274"/>
    <tableColumn id="8" xr3:uid="{593B2769-6204-4464-8A37-F35870CD3929}" uniqueName="8" name="TableName" queryTableFieldId="8"/>
    <tableColumn id="9" xr3:uid="{38564D6E-1B5D-4154-B09F-AC9A067F3DFD}" uniqueName="9" name="Assessment No" queryTableFieldId="9"/>
    <tableColumn id="10" xr3:uid="{ACEADBAB-BA22-4EC7-AB2B-06DB16E7B702}" uniqueName="10" name="Assessment Type" queryTableFieldId="10"/>
    <tableColumn id="11" xr3:uid="{29EA3B5B-33CD-4E9B-AD33-3E9F4F82815F}" uniqueName="11" name="Assessment Specific" queryTableFieldId="11"/>
    <tableColumn id="12" xr3:uid="{DF39D9EF-C01C-4F57-B3F0-6118A8B11A34}" uniqueName="12" name="Assessment Description" queryTableFieldId="12"/>
    <tableColumn id="13" xr3:uid="{FE54BC4C-58F8-44EC-B111-FF304A04C9DD}" uniqueName="13" name="Weighting" queryTableFieldId="13"/>
    <tableColumn id="14" xr3:uid="{69B91AF8-9BB2-47C6-96AA-DC0811A7968A}" uniqueName="14" name="Due Week" queryTableFieldId="14"/>
  </tableColumns>
  <tableStyleInfo name="TableStyleMedium7"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22" dT="2026-07-28T13:42:41.65" personId="{F2D151A0-82A2-4ABE-B7B0-CF7967121786}" id="{A7245DC9-381A-4C82-B2DF-4EE31599BA4E}">
    <text>Guesstimate for Industry Event and Field Trip to Finch Farm.</text>
  </threadedComment>
</ThreadedComments>
</file>

<file path=xl/threadedComments/threadedComment2.xml><?xml version="1.0" encoding="utf-8"?>
<ThreadedComments xmlns="http://schemas.microsoft.com/office/spreadsheetml/2018/threadedcomments" xmlns:x="http://schemas.openxmlformats.org/spreadsheetml/2006/main">
  <threadedComment ref="D38" dT="2026-07-21T16:11:42.14" personId="{1FB70237-4933-EA4C-BE41-2A58EC89DA19}" id="{BDB03220-0AF7-2B47-B355-ACAB853FDAB5}">
    <text>For review: i) keep assessment types (AS1 - exam instead of report to counter AI?); ii) keep assessment specifics (AS1); iii) keep weighting 50:50?
@Robinson, Mark @Lake, Mark</text>
    <mentions>
      <mention mentionpersonId="{C5431128-65D9-3247-9C65-762E6878DEB0}" mentionId="{5C773A5F-1254-C547-947B-0497DD829477}" startIndex="148" length="15"/>
      <mention mentionpersonId="{26CAB64E-5892-214E-9F45-F20B0B3136BA}" mentionId="{BF2EC040-7A00-9C4A-9055-88C661E6CAA8}" startIndex="164" length="11"/>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comments" Target="../comments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6.xml"/><Relationship Id="rId13" Type="http://schemas.openxmlformats.org/officeDocument/2006/relationships/comments" Target="../comments2.xml"/><Relationship Id="rId3" Type="http://schemas.openxmlformats.org/officeDocument/2006/relationships/table" Target="../tables/table41.xml"/><Relationship Id="rId7" Type="http://schemas.openxmlformats.org/officeDocument/2006/relationships/table" Target="../tables/table45.xml"/><Relationship Id="rId12" Type="http://schemas.openxmlformats.org/officeDocument/2006/relationships/table" Target="../tables/table50.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6" Type="http://schemas.openxmlformats.org/officeDocument/2006/relationships/table" Target="../tables/table44.xml"/><Relationship Id="rId11" Type="http://schemas.openxmlformats.org/officeDocument/2006/relationships/table" Target="../tables/table49.xml"/><Relationship Id="rId5" Type="http://schemas.openxmlformats.org/officeDocument/2006/relationships/table" Target="../tables/table43.xml"/><Relationship Id="rId10" Type="http://schemas.openxmlformats.org/officeDocument/2006/relationships/table" Target="../tables/table48.xml"/><Relationship Id="rId4" Type="http://schemas.openxmlformats.org/officeDocument/2006/relationships/table" Target="../tables/table42.xml"/><Relationship Id="rId9" Type="http://schemas.openxmlformats.org/officeDocument/2006/relationships/table" Target="../tables/table47.xml"/><Relationship Id="rId1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82.xml"/><Relationship Id="rId1" Type="http://schemas.openxmlformats.org/officeDocument/2006/relationships/table" Target="../tables/table8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
  <dimension ref="B2:H84"/>
  <sheetViews>
    <sheetView showGridLines="0" zoomScale="70" zoomScaleNormal="70" workbookViewId="0">
      <selection activeCell="D8" sqref="D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4301SPS</v>
      </c>
      <c r="D2" s="20" t="str">
        <f>D8</f>
        <v>Professional Practice in Football Science</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384</v>
      </c>
      <c r="E7" s="4"/>
      <c r="F7" s="24" t="s">
        <v>5</v>
      </c>
    </row>
    <row r="8" spans="2:6" x14ac:dyDescent="0.25">
      <c r="B8" s="2"/>
      <c r="C8" s="3" t="s">
        <v>6</v>
      </c>
      <c r="D8" s="21" t="s">
        <v>7</v>
      </c>
      <c r="E8" s="4"/>
      <c r="F8" s="24"/>
    </row>
    <row r="9" spans="2:6" x14ac:dyDescent="0.25">
      <c r="C9" s="3" t="s">
        <v>8</v>
      </c>
      <c r="D9" s="21">
        <v>20</v>
      </c>
      <c r="E9" s="4"/>
    </row>
    <row r="10" spans="2:6" x14ac:dyDescent="0.25">
      <c r="C10" s="3" t="s">
        <v>9</v>
      </c>
      <c r="D10" s="21">
        <v>1</v>
      </c>
      <c r="E10" s="4"/>
      <c r="F10" t="s">
        <v>10</v>
      </c>
    </row>
    <row r="11" spans="2:6" x14ac:dyDescent="0.25">
      <c r="C11" s="3" t="s">
        <v>11</v>
      </c>
      <c r="D11" s="21">
        <v>4</v>
      </c>
      <c r="E11" s="4"/>
      <c r="F11" s="24" t="s">
        <v>12</v>
      </c>
    </row>
    <row r="12" spans="2:6" x14ac:dyDescent="0.25">
      <c r="C12" s="3" t="s">
        <v>13</v>
      </c>
      <c r="D12" s="21" t="s">
        <v>14</v>
      </c>
      <c r="E12" s="4"/>
      <c r="F12" s="24" t="s">
        <v>15</v>
      </c>
    </row>
    <row r="13" spans="2:6" x14ac:dyDescent="0.25">
      <c r="C13" s="3" t="s">
        <v>16</v>
      </c>
      <c r="D13" s="21" t="s">
        <v>17</v>
      </c>
      <c r="E13" s="4"/>
      <c r="F13" s="24" t="s">
        <v>18</v>
      </c>
    </row>
    <row r="14" spans="2:6" x14ac:dyDescent="0.25">
      <c r="C14" s="3" t="s">
        <v>19</v>
      </c>
      <c r="D14" s="21" t="s">
        <v>20</v>
      </c>
      <c r="E14" s="4"/>
    </row>
    <row r="15" spans="2:6" x14ac:dyDescent="0.25">
      <c r="C15" s="3"/>
      <c r="D15" s="4"/>
      <c r="E15" s="4"/>
      <c r="F15" t="s">
        <v>21</v>
      </c>
    </row>
    <row r="16" spans="2:6" x14ac:dyDescent="0.25">
      <c r="C16" s="3"/>
      <c r="D16" s="4"/>
      <c r="E16" s="4"/>
      <c r="F16" s="24" t="s">
        <v>22</v>
      </c>
    </row>
    <row r="17" spans="3:6" ht="18.75" x14ac:dyDescent="0.25">
      <c r="C17" s="5" t="s">
        <v>23</v>
      </c>
      <c r="D17" s="4"/>
      <c r="E17" s="4"/>
      <c r="F17" s="24"/>
    </row>
    <row r="18" spans="3:6" x14ac:dyDescent="0.25">
      <c r="C18" s="3" t="s">
        <v>24</v>
      </c>
      <c r="D18" s="1" t="s">
        <v>23</v>
      </c>
      <c r="E18" s="4"/>
      <c r="F18" s="24"/>
    </row>
    <row r="19" spans="3:6" x14ac:dyDescent="0.25">
      <c r="C19" s="3" t="s">
        <v>25</v>
      </c>
      <c r="D19" s="22">
        <v>24</v>
      </c>
      <c r="E19" s="4"/>
      <c r="F19" s="24"/>
    </row>
    <row r="20" spans="3:6" x14ac:dyDescent="0.25">
      <c r="C20" s="3" t="s">
        <v>26</v>
      </c>
      <c r="D20" s="22">
        <v>10</v>
      </c>
      <c r="E20" s="4"/>
      <c r="F20" s="24"/>
    </row>
    <row r="21" spans="3:6" x14ac:dyDescent="0.25">
      <c r="C21" s="3" t="s">
        <v>27</v>
      </c>
      <c r="D21" s="22">
        <v>9</v>
      </c>
      <c r="E21" s="4"/>
    </row>
    <row r="22" spans="3:6" x14ac:dyDescent="0.25">
      <c r="C22" s="3" t="s">
        <v>28</v>
      </c>
      <c r="D22" s="22">
        <v>6</v>
      </c>
      <c r="E22" s="4"/>
      <c r="F22" t="s">
        <v>29</v>
      </c>
    </row>
    <row r="23" spans="3:6" x14ac:dyDescent="0.25">
      <c r="C23" s="3" t="s">
        <v>30</v>
      </c>
      <c r="D23" s="22">
        <v>0</v>
      </c>
      <c r="E23" s="4"/>
      <c r="F23" s="24" t="s">
        <v>31</v>
      </c>
    </row>
    <row r="24" spans="3:6" x14ac:dyDescent="0.25">
      <c r="C24" s="3" t="s">
        <v>32</v>
      </c>
      <c r="D24" s="1">
        <f>SUM(D19:D23)</f>
        <v>49</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60" x14ac:dyDescent="0.25">
      <c r="C29" s="3" t="s">
        <v>37</v>
      </c>
      <c r="D29" s="21" t="s">
        <v>38</v>
      </c>
      <c r="E29" s="4"/>
      <c r="F29" s="24"/>
    </row>
    <row r="30" spans="3:6" ht="45" x14ac:dyDescent="0.25">
      <c r="C30" s="3" t="s">
        <v>39</v>
      </c>
      <c r="D30" s="21" t="s">
        <v>40</v>
      </c>
      <c r="E30" s="4"/>
      <c r="F30" s="24"/>
    </row>
    <row r="31" spans="3:6" x14ac:dyDescent="0.25">
      <c r="C31" s="3" t="s">
        <v>41</v>
      </c>
      <c r="D31" s="21"/>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ht="60" x14ac:dyDescent="0.25">
      <c r="C38" s="3" t="s">
        <v>51</v>
      </c>
      <c r="D38" s="21" t="s">
        <v>52</v>
      </c>
      <c r="E38" s="21" t="s">
        <v>53</v>
      </c>
      <c r="F38" s="21" t="s">
        <v>54</v>
      </c>
      <c r="G38" s="23">
        <v>0.5</v>
      </c>
      <c r="H38" s="21">
        <v>12</v>
      </c>
    </row>
    <row r="39" spans="3:8" ht="60" x14ac:dyDescent="0.25">
      <c r="C39" s="3" t="s">
        <v>55</v>
      </c>
      <c r="D39" s="21" t="s">
        <v>56</v>
      </c>
      <c r="E39" s="21" t="s">
        <v>57</v>
      </c>
      <c r="F39" s="21" t="s">
        <v>58</v>
      </c>
      <c r="G39" s="23">
        <v>0.5</v>
      </c>
      <c r="H39" s="21" t="s">
        <v>59</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65</v>
      </c>
      <c r="F46" s="24" t="s">
        <v>66</v>
      </c>
    </row>
    <row r="47" spans="3:8" x14ac:dyDescent="0.25">
      <c r="C47" s="25" t="s">
        <v>51</v>
      </c>
      <c r="D47" s="24" t="s">
        <v>37</v>
      </c>
      <c r="E47" s="24" t="s">
        <v>65</v>
      </c>
      <c r="F47" s="24" t="s">
        <v>67</v>
      </c>
    </row>
    <row r="48" spans="3:8" x14ac:dyDescent="0.25">
      <c r="C48" s="25" t="s">
        <v>51</v>
      </c>
      <c r="D48" s="24" t="s">
        <v>37</v>
      </c>
      <c r="E48" s="24" t="s">
        <v>65</v>
      </c>
      <c r="F48" s="24" t="s">
        <v>68</v>
      </c>
    </row>
    <row r="49" spans="2:6" x14ac:dyDescent="0.25">
      <c r="C49" s="25" t="s">
        <v>51</v>
      </c>
      <c r="D49" s="24" t="s">
        <v>37</v>
      </c>
      <c r="E49" s="24" t="s">
        <v>69</v>
      </c>
      <c r="F49" s="24" t="s">
        <v>70</v>
      </c>
    </row>
    <row r="50" spans="2:6" x14ac:dyDescent="0.25">
      <c r="C50" s="25" t="s">
        <v>51</v>
      </c>
      <c r="D50" s="24" t="s">
        <v>37</v>
      </c>
      <c r="E50" s="24" t="s">
        <v>71</v>
      </c>
      <c r="F50" s="24" t="s">
        <v>72</v>
      </c>
    </row>
    <row r="51" spans="2:6" x14ac:dyDescent="0.25">
      <c r="C51" s="25" t="s">
        <v>55</v>
      </c>
      <c r="D51" s="24" t="s">
        <v>39</v>
      </c>
      <c r="E51" s="24" t="s">
        <v>71</v>
      </c>
      <c r="F51" s="24" t="s">
        <v>73</v>
      </c>
    </row>
    <row r="52" spans="2:6" x14ac:dyDescent="0.25">
      <c r="C52" s="25" t="s">
        <v>55</v>
      </c>
      <c r="D52" s="24" t="s">
        <v>39</v>
      </c>
      <c r="E52" s="24" t="s">
        <v>74</v>
      </c>
      <c r="F52" s="24" t="s">
        <v>75</v>
      </c>
    </row>
    <row r="53" spans="2:6" x14ac:dyDescent="0.25">
      <c r="C53" s="25" t="s">
        <v>55</v>
      </c>
      <c r="D53" s="24" t="s">
        <v>39</v>
      </c>
      <c r="E53" s="24" t="s">
        <v>71</v>
      </c>
      <c r="F53" s="24" t="s">
        <v>76</v>
      </c>
    </row>
    <row r="54" spans="2:6" x14ac:dyDescent="0.25">
      <c r="C54" s="25" t="s">
        <v>55</v>
      </c>
      <c r="D54" s="24"/>
      <c r="E54" s="24"/>
      <c r="F54" s="24"/>
    </row>
    <row r="55" spans="2:6" x14ac:dyDescent="0.25">
      <c r="C55" s="25" t="s">
        <v>55</v>
      </c>
      <c r="D55" s="24"/>
      <c r="E55" s="24"/>
      <c r="F55" s="24"/>
    </row>
    <row r="56" spans="2:6" x14ac:dyDescent="0.25">
      <c r="C56" s="25" t="s">
        <v>55</v>
      </c>
      <c r="D56" s="24"/>
      <c r="E56" s="24"/>
      <c r="F56" s="24"/>
    </row>
    <row r="59" spans="2:6" ht="18.75" x14ac:dyDescent="0.25">
      <c r="C59" s="5" t="s">
        <v>77</v>
      </c>
    </row>
    <row r="60" spans="2:6" x14ac:dyDescent="0.25">
      <c r="B60" t="s">
        <v>78</v>
      </c>
      <c r="C60" s="1" t="s">
        <v>79</v>
      </c>
      <c r="D60" s="1" t="s">
        <v>80</v>
      </c>
      <c r="E60" s="1" t="s">
        <v>81</v>
      </c>
      <c r="F60" s="1" t="s">
        <v>82</v>
      </c>
    </row>
    <row r="61" spans="2:6" ht="30" x14ac:dyDescent="0.25">
      <c r="B61" s="7">
        <v>1</v>
      </c>
      <c r="C61" s="1">
        <v>1</v>
      </c>
      <c r="D61" s="21" t="s">
        <v>83</v>
      </c>
      <c r="E61" s="21" t="s">
        <v>26</v>
      </c>
      <c r="F61" s="21"/>
    </row>
    <row r="62" spans="2:6" x14ac:dyDescent="0.25">
      <c r="B62" s="7">
        <v>1</v>
      </c>
      <c r="C62" s="1">
        <v>2</v>
      </c>
      <c r="D62" s="21" t="s">
        <v>84</v>
      </c>
      <c r="E62" s="21" t="s">
        <v>26</v>
      </c>
      <c r="F62" s="21"/>
    </row>
    <row r="63" spans="2:6" x14ac:dyDescent="0.25">
      <c r="B63" s="7">
        <v>1</v>
      </c>
      <c r="C63" s="1">
        <v>3</v>
      </c>
      <c r="D63" s="21" t="s">
        <v>85</v>
      </c>
      <c r="E63" s="21" t="s">
        <v>26</v>
      </c>
      <c r="F63" s="21"/>
    </row>
    <row r="64" spans="2:6" x14ac:dyDescent="0.25">
      <c r="B64" s="7">
        <v>1</v>
      </c>
      <c r="C64" s="1">
        <v>4</v>
      </c>
      <c r="D64" s="21" t="s">
        <v>86</v>
      </c>
      <c r="E64" s="21" t="s">
        <v>27</v>
      </c>
      <c r="F64" s="21"/>
    </row>
    <row r="65" spans="2:6" x14ac:dyDescent="0.25">
      <c r="B65" s="7">
        <v>1</v>
      </c>
      <c r="C65" s="1">
        <v>5</v>
      </c>
      <c r="D65" s="21" t="s">
        <v>87</v>
      </c>
      <c r="E65" s="21" t="s">
        <v>28</v>
      </c>
      <c r="F65" s="21"/>
    </row>
    <row r="66" spans="2:6" x14ac:dyDescent="0.25">
      <c r="B66" s="7">
        <v>1</v>
      </c>
      <c r="C66" s="1">
        <v>6</v>
      </c>
      <c r="D66" s="21" t="s">
        <v>88</v>
      </c>
      <c r="E66" s="21" t="s">
        <v>28</v>
      </c>
      <c r="F66" s="21"/>
    </row>
    <row r="67" spans="2:6" x14ac:dyDescent="0.25">
      <c r="B67" s="7">
        <v>1</v>
      </c>
      <c r="C67" s="1">
        <v>7</v>
      </c>
      <c r="D67" s="21" t="s">
        <v>89</v>
      </c>
      <c r="E67" s="21"/>
      <c r="F67" s="21"/>
    </row>
    <row r="68" spans="2:6" ht="30" x14ac:dyDescent="0.25">
      <c r="B68" s="7">
        <v>1</v>
      </c>
      <c r="C68" s="1">
        <v>8</v>
      </c>
      <c r="D68" s="21" t="s">
        <v>90</v>
      </c>
      <c r="E68" s="21" t="s">
        <v>26</v>
      </c>
      <c r="F68" s="21"/>
    </row>
    <row r="69" spans="2:6" x14ac:dyDescent="0.25">
      <c r="B69" s="7">
        <v>1</v>
      </c>
      <c r="C69" s="1">
        <v>9</v>
      </c>
      <c r="D69" s="21" t="s">
        <v>91</v>
      </c>
      <c r="E69" s="21" t="s">
        <v>27</v>
      </c>
      <c r="F69" s="21" t="s">
        <v>28</v>
      </c>
    </row>
    <row r="70" spans="2:6" x14ac:dyDescent="0.25">
      <c r="B70" s="7">
        <v>1</v>
      </c>
      <c r="C70" s="1">
        <v>10</v>
      </c>
      <c r="D70" s="21" t="s">
        <v>92</v>
      </c>
      <c r="E70" s="21" t="s">
        <v>27</v>
      </c>
      <c r="F70" s="21"/>
    </row>
    <row r="71" spans="2:6" x14ac:dyDescent="0.25">
      <c r="B71" s="7">
        <v>1</v>
      </c>
      <c r="C71" s="1">
        <v>11</v>
      </c>
      <c r="D71" s="21" t="s">
        <v>93</v>
      </c>
      <c r="E71" s="21" t="s">
        <v>26</v>
      </c>
      <c r="F71" s="21"/>
    </row>
    <row r="72" spans="2:6" x14ac:dyDescent="0.25">
      <c r="B72" s="7">
        <v>1</v>
      </c>
      <c r="C72" s="1">
        <v>12</v>
      </c>
      <c r="D72" s="21" t="s">
        <v>94</v>
      </c>
      <c r="E72" s="21"/>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5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D46:D56</xm:sqref>
        </x14:dataValidation>
        <x14:dataValidation type="list" allowBlank="1" showInputMessage="1" showErrorMessage="1" xr:uid="{C1ACB768-367A-4765-AEE3-B6D50718CC09}">
          <x14:formula1>
            <xm:f>LISTS!$J$7:$J$16</xm:f>
          </x14:formula1>
          <xm:sqref>E46:E56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2"/>
  <dimension ref="B2:H84"/>
  <sheetViews>
    <sheetView showGridLines="0" zoomScale="85" zoomScaleNormal="85" workbookViewId="0">
      <selection activeCell="D81" sqref="D8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4303SPS</v>
      </c>
      <c r="D2" s="20" t="str">
        <f>D8</f>
        <v>Talent Identification, Development and Selection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95</v>
      </c>
      <c r="E7" s="4"/>
      <c r="F7" s="29" t="s">
        <v>96</v>
      </c>
    </row>
    <row r="8" spans="2:6" ht="75" x14ac:dyDescent="0.25">
      <c r="B8" s="2"/>
      <c r="C8" s="3" t="s">
        <v>6</v>
      </c>
      <c r="D8" s="21" t="s">
        <v>97</v>
      </c>
      <c r="E8" s="4"/>
      <c r="F8" s="29" t="s">
        <v>98</v>
      </c>
    </row>
    <row r="9" spans="2:6" x14ac:dyDescent="0.25">
      <c r="C9" s="3" t="s">
        <v>8</v>
      </c>
      <c r="D9" s="21">
        <v>20</v>
      </c>
      <c r="E9" s="4"/>
    </row>
    <row r="10" spans="2:6" x14ac:dyDescent="0.25">
      <c r="C10" s="3" t="s">
        <v>9</v>
      </c>
      <c r="D10" s="21">
        <v>2</v>
      </c>
      <c r="E10" s="4"/>
      <c r="F10" t="s">
        <v>10</v>
      </c>
    </row>
    <row r="11" spans="2:6" x14ac:dyDescent="0.25">
      <c r="C11" s="3" t="s">
        <v>11</v>
      </c>
      <c r="D11" s="21">
        <v>4</v>
      </c>
      <c r="E11" s="4"/>
      <c r="F11" s="24" t="s">
        <v>99</v>
      </c>
    </row>
    <row r="12" spans="2:6" x14ac:dyDescent="0.25">
      <c r="C12" s="3" t="s">
        <v>13</v>
      </c>
      <c r="D12" s="21" t="s">
        <v>100</v>
      </c>
      <c r="E12" s="4"/>
      <c r="F12" s="24" t="s">
        <v>101</v>
      </c>
    </row>
    <row r="13" spans="2:6" ht="45" x14ac:dyDescent="0.25">
      <c r="C13" s="3" t="s">
        <v>16</v>
      </c>
      <c r="D13" s="21" t="s">
        <v>17</v>
      </c>
      <c r="E13" s="4"/>
      <c r="F13" s="29" t="s">
        <v>102</v>
      </c>
    </row>
    <row r="14" spans="2:6" x14ac:dyDescent="0.25">
      <c r="C14" s="3" t="s">
        <v>19</v>
      </c>
      <c r="D14" s="21" t="s">
        <v>20</v>
      </c>
      <c r="E14" s="4"/>
    </row>
    <row r="15" spans="2:6" x14ac:dyDescent="0.25">
      <c r="C15" s="3"/>
      <c r="D15" s="4"/>
      <c r="E15" s="4"/>
      <c r="F15" t="s">
        <v>21</v>
      </c>
    </row>
    <row r="16" spans="2:6" ht="240" x14ac:dyDescent="0.25">
      <c r="C16" s="3"/>
      <c r="D16" s="4"/>
      <c r="E16" s="4"/>
      <c r="F16" s="64" t="s">
        <v>103</v>
      </c>
    </row>
    <row r="17" spans="3:6" ht="18.75" x14ac:dyDescent="0.25">
      <c r="C17" s="5" t="s">
        <v>23</v>
      </c>
      <c r="D17" s="4"/>
      <c r="E17" s="4"/>
      <c r="F17" s="64"/>
    </row>
    <row r="18" spans="3:6" x14ac:dyDescent="0.25">
      <c r="C18" s="3" t="s">
        <v>24</v>
      </c>
      <c r="D18" s="1" t="s">
        <v>23</v>
      </c>
      <c r="E18" s="4"/>
      <c r="F18" s="64"/>
    </row>
    <row r="19" spans="3:6" x14ac:dyDescent="0.25">
      <c r="C19" s="3" t="s">
        <v>25</v>
      </c>
      <c r="D19" s="22">
        <v>22</v>
      </c>
      <c r="E19" s="4"/>
      <c r="F19" s="24"/>
    </row>
    <row r="20" spans="3:6" x14ac:dyDescent="0.25">
      <c r="C20" s="3" t="s">
        <v>26</v>
      </c>
      <c r="D20" s="22">
        <v>14</v>
      </c>
      <c r="E20" s="4"/>
      <c r="F20" s="24"/>
    </row>
    <row r="21" spans="3:6" x14ac:dyDescent="0.25">
      <c r="C21" s="3" t="s">
        <v>27</v>
      </c>
      <c r="D21" s="22">
        <v>4</v>
      </c>
      <c r="E21" s="4"/>
    </row>
    <row r="22" spans="3:6" x14ac:dyDescent="0.25">
      <c r="C22" s="3" t="s">
        <v>28</v>
      </c>
      <c r="D22" s="22">
        <v>8</v>
      </c>
      <c r="E22" s="4"/>
      <c r="F22" t="s">
        <v>29</v>
      </c>
    </row>
    <row r="23" spans="3:6" x14ac:dyDescent="0.25">
      <c r="C23" s="3" t="s">
        <v>30</v>
      </c>
      <c r="D23" s="22">
        <v>0</v>
      </c>
      <c r="E23" s="4"/>
      <c r="F23" s="24"/>
    </row>
    <row r="24" spans="3:6" x14ac:dyDescent="0.25">
      <c r="C24" s="3" t="s">
        <v>32</v>
      </c>
      <c r="D24" s="1">
        <f>SUM(D19:D23)</f>
        <v>48</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30" x14ac:dyDescent="0.25">
      <c r="C29" s="3" t="s">
        <v>37</v>
      </c>
      <c r="D29" s="29" t="s">
        <v>104</v>
      </c>
      <c r="E29" s="4"/>
      <c r="F29" s="24"/>
    </row>
    <row r="30" spans="3:6" ht="45" x14ac:dyDescent="0.25">
      <c r="C30" s="3" t="s">
        <v>39</v>
      </c>
      <c r="D30" s="29" t="s">
        <v>105</v>
      </c>
      <c r="E30" s="4"/>
      <c r="F30" s="24"/>
    </row>
    <row r="31" spans="3:6" ht="60" x14ac:dyDescent="0.25">
      <c r="C31" s="3" t="s">
        <v>41</v>
      </c>
      <c r="D31" s="29" t="s">
        <v>106</v>
      </c>
      <c r="E31" s="4"/>
      <c r="F31" s="24"/>
    </row>
    <row r="32" spans="3:6" ht="45" x14ac:dyDescent="0.25">
      <c r="C32" s="3" t="s">
        <v>42</v>
      </c>
      <c r="D32" s="29" t="s">
        <v>107</v>
      </c>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x14ac:dyDescent="0.25">
      <c r="C38" s="3" t="s">
        <v>51</v>
      </c>
      <c r="D38" s="21" t="s">
        <v>52</v>
      </c>
      <c r="E38" s="21" t="s">
        <v>108</v>
      </c>
      <c r="F38" s="21" t="s">
        <v>109</v>
      </c>
      <c r="G38" s="23">
        <v>0.4</v>
      </c>
      <c r="H38" s="21">
        <v>7</v>
      </c>
    </row>
    <row r="39" spans="3:8" x14ac:dyDescent="0.25">
      <c r="C39" s="3" t="s">
        <v>55</v>
      </c>
      <c r="D39" s="21" t="s">
        <v>110</v>
      </c>
      <c r="E39" s="21" t="s">
        <v>111</v>
      </c>
      <c r="F39" s="21" t="s">
        <v>112</v>
      </c>
      <c r="G39" s="23">
        <v>0.6</v>
      </c>
      <c r="H39" s="21">
        <v>12</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67" t="s">
        <v>51</v>
      </c>
      <c r="D46" s="66" t="s">
        <v>37</v>
      </c>
      <c r="E46" s="65" t="s">
        <v>113</v>
      </c>
      <c r="F46" s="65" t="s">
        <v>114</v>
      </c>
    </row>
    <row r="47" spans="3:8" x14ac:dyDescent="0.25">
      <c r="C47" s="67" t="s">
        <v>51</v>
      </c>
      <c r="D47" s="66" t="s">
        <v>39</v>
      </c>
      <c r="E47" s="65" t="s">
        <v>113</v>
      </c>
      <c r="F47" s="65" t="s">
        <v>115</v>
      </c>
    </row>
    <row r="48" spans="3:8" x14ac:dyDescent="0.25">
      <c r="C48" s="67" t="s">
        <v>51</v>
      </c>
      <c r="D48" s="66" t="s">
        <v>41</v>
      </c>
      <c r="E48" s="65" t="s">
        <v>116</v>
      </c>
      <c r="F48" s="65" t="s">
        <v>117</v>
      </c>
    </row>
    <row r="49" spans="2:6" x14ac:dyDescent="0.25">
      <c r="C49" s="67" t="s">
        <v>51</v>
      </c>
      <c r="D49" s="66" t="s">
        <v>42</v>
      </c>
      <c r="E49" s="65" t="s">
        <v>74</v>
      </c>
      <c r="F49" s="65" t="s">
        <v>75</v>
      </c>
    </row>
    <row r="50" spans="2:6" x14ac:dyDescent="0.25">
      <c r="C50" s="67" t="s">
        <v>51</v>
      </c>
      <c r="D50" s="66" t="s">
        <v>42</v>
      </c>
      <c r="E50" s="65" t="s">
        <v>74</v>
      </c>
      <c r="F50" s="65" t="s">
        <v>118</v>
      </c>
    </row>
    <row r="51" spans="2:6" x14ac:dyDescent="0.25">
      <c r="C51" s="67" t="s">
        <v>55</v>
      </c>
      <c r="D51" s="66" t="s">
        <v>37</v>
      </c>
      <c r="E51" s="65" t="s">
        <v>113</v>
      </c>
      <c r="F51" s="65" t="s">
        <v>115</v>
      </c>
    </row>
    <row r="52" spans="2:6" x14ac:dyDescent="0.25">
      <c r="C52" s="67" t="s">
        <v>55</v>
      </c>
      <c r="D52" s="66" t="s">
        <v>39</v>
      </c>
      <c r="E52" s="65" t="s">
        <v>116</v>
      </c>
      <c r="F52" s="65" t="s">
        <v>117</v>
      </c>
    </row>
    <row r="53" spans="2:6" x14ac:dyDescent="0.25">
      <c r="C53" s="67" t="s">
        <v>55</v>
      </c>
      <c r="D53" s="66" t="s">
        <v>41</v>
      </c>
      <c r="E53" s="65" t="s">
        <v>74</v>
      </c>
      <c r="F53" s="65" t="s">
        <v>75</v>
      </c>
    </row>
    <row r="54" spans="2:6" x14ac:dyDescent="0.25">
      <c r="C54" s="67" t="s">
        <v>55</v>
      </c>
      <c r="D54" s="66" t="s">
        <v>42</v>
      </c>
      <c r="E54" s="65" t="s">
        <v>116</v>
      </c>
      <c r="F54" s="65" t="s">
        <v>119</v>
      </c>
    </row>
    <row r="55" spans="2:6" x14ac:dyDescent="0.25">
      <c r="C55" s="25"/>
      <c r="D55" s="24"/>
      <c r="E55" s="24"/>
      <c r="F55" s="24"/>
    </row>
    <row r="56" spans="2:6" x14ac:dyDescent="0.25">
      <c r="C56" s="25"/>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120</v>
      </c>
      <c r="E73" s="21" t="s">
        <v>121</v>
      </c>
      <c r="F73" s="21"/>
    </row>
    <row r="74" spans="2:6" ht="30" x14ac:dyDescent="0.25">
      <c r="B74" s="7">
        <v>2</v>
      </c>
      <c r="C74" s="1">
        <v>2</v>
      </c>
      <c r="D74" s="21" t="s">
        <v>122</v>
      </c>
      <c r="E74" s="21" t="s">
        <v>123</v>
      </c>
      <c r="F74" s="21"/>
    </row>
    <row r="75" spans="2:6" ht="30" x14ac:dyDescent="0.25">
      <c r="B75" s="7">
        <v>2</v>
      </c>
      <c r="C75" s="1">
        <v>3</v>
      </c>
      <c r="D75" s="21" t="s">
        <v>124</v>
      </c>
      <c r="E75" s="21" t="s">
        <v>125</v>
      </c>
      <c r="F75" s="21"/>
    </row>
    <row r="76" spans="2:6" x14ac:dyDescent="0.25">
      <c r="B76" s="7">
        <v>2</v>
      </c>
      <c r="C76" s="1">
        <v>4</v>
      </c>
      <c r="D76" s="21" t="s">
        <v>126</v>
      </c>
      <c r="E76" s="21" t="s">
        <v>127</v>
      </c>
      <c r="F76" s="21"/>
    </row>
    <row r="77" spans="2:6" ht="30" x14ac:dyDescent="0.25">
      <c r="B77" s="7">
        <v>2</v>
      </c>
      <c r="C77" s="1">
        <v>5</v>
      </c>
      <c r="D77" s="21" t="s">
        <v>128</v>
      </c>
      <c r="E77" s="21" t="s">
        <v>129</v>
      </c>
      <c r="F77" s="21"/>
    </row>
    <row r="78" spans="2:6" ht="30" x14ac:dyDescent="0.25">
      <c r="B78" s="7">
        <v>2</v>
      </c>
      <c r="C78" s="1">
        <v>6</v>
      </c>
      <c r="D78" s="21" t="s">
        <v>130</v>
      </c>
      <c r="E78" s="21" t="s">
        <v>131</v>
      </c>
      <c r="F78" s="21"/>
    </row>
    <row r="79" spans="2:6" x14ac:dyDescent="0.25">
      <c r="B79" s="7">
        <v>2</v>
      </c>
      <c r="C79" s="1">
        <v>7</v>
      </c>
      <c r="D79" s="68" t="s">
        <v>132</v>
      </c>
      <c r="E79" s="68" t="s">
        <v>132</v>
      </c>
      <c r="F79" s="21"/>
    </row>
    <row r="80" spans="2:6" ht="45" x14ac:dyDescent="0.25">
      <c r="B80" s="7">
        <v>2</v>
      </c>
      <c r="C80" s="1">
        <v>8</v>
      </c>
      <c r="D80" s="21" t="s">
        <v>133</v>
      </c>
      <c r="E80" s="21" t="s">
        <v>134</v>
      </c>
      <c r="F80" s="21"/>
    </row>
    <row r="81" spans="2:6" ht="30" x14ac:dyDescent="0.25">
      <c r="B81" s="7">
        <v>2</v>
      </c>
      <c r="C81" s="1">
        <v>9</v>
      </c>
      <c r="D81" s="21" t="s">
        <v>135</v>
      </c>
      <c r="E81" s="21" t="s">
        <v>136</v>
      </c>
      <c r="F81" s="21"/>
    </row>
    <row r="82" spans="2:6" x14ac:dyDescent="0.25">
      <c r="B82" s="7">
        <v>2</v>
      </c>
      <c r="C82" s="1">
        <v>10</v>
      </c>
      <c r="D82" s="21" t="s">
        <v>137</v>
      </c>
      <c r="E82" s="21" t="s">
        <v>138</v>
      </c>
      <c r="F82" s="21"/>
    </row>
    <row r="83" spans="2:6" x14ac:dyDescent="0.25">
      <c r="B83" s="7">
        <v>2</v>
      </c>
      <c r="C83" s="1">
        <v>11</v>
      </c>
      <c r="D83" s="21" t="s">
        <v>139</v>
      </c>
      <c r="E83" s="21" t="s">
        <v>140</v>
      </c>
      <c r="F83" s="21"/>
    </row>
    <row r="84" spans="2:6" x14ac:dyDescent="0.25">
      <c r="B84" s="7">
        <v>2</v>
      </c>
      <c r="C84" s="1">
        <v>12</v>
      </c>
      <c r="D84" s="21" t="s">
        <v>141</v>
      </c>
      <c r="E84" s="21" t="s">
        <v>142</v>
      </c>
      <c r="F84" s="21"/>
    </row>
  </sheetData>
  <sheetProtection sheet="1" objects="1" scenarios="1" selectLockedCells="1" sort="0" autoFilter="0" pivotTables="0"/>
  <dataValidations count="3">
    <dataValidation type="list" allowBlank="1" showInputMessage="1" showErrorMessage="1" sqref="E38:E41" xr:uid="{0DB2D524-94AD-40F2-A499-A222D2B8D15F}">
      <formula1>INDIRECT("LISTAssess[Assessment Specific]")</formula1>
    </dataValidation>
    <dataValidation type="list" allowBlank="1" showInputMessage="1" showErrorMessage="1" sqref="F46:F56" xr:uid="{C50ABEDB-8163-4FC5-B679-6468E42D1DD9}">
      <formula1>INDIRECT(VLOOKUP($E46, SkillNameMap, 2, FALSE))</formula1>
    </dataValidation>
    <dataValidation type="whole" showInputMessage="1" showErrorMessage="1" error="This is not a realistic number of contact hours please reduce" sqref="D21:D23 D19" xr:uid="{EABA9475-595C-4986-ACB3-2B03E9611389}">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D46:D56</xm:sqref>
        </x14:dataValidation>
        <x14:dataValidation type="list" allowBlank="1" showInputMessage="1" showErrorMessage="1" xr:uid="{C4F92686-9322-4C4E-8993-76138DE80E0B}">
          <x14:formula1>
            <xm:f>LISTS!$J$7:$J$16</xm:f>
          </x14:formula1>
          <xm:sqref>E46:E56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3"/>
  <dimension ref="B2:H84"/>
  <sheetViews>
    <sheetView showGridLines="0" zoomScale="85" zoomScaleNormal="85" workbookViewId="0">
      <selection activeCell="E67" sqref="E6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35.85546875" customWidth="1"/>
    <col min="9" max="9" width="14.7109375" customWidth="1"/>
  </cols>
  <sheetData>
    <row r="2" spans="2:6" ht="26.25" x14ac:dyDescent="0.4">
      <c r="C2" s="20" t="str">
        <f>D7</f>
        <v>5301SPS</v>
      </c>
      <c r="D2" s="20" t="str">
        <f>D8</f>
        <v>Professional Practice in Football Science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143</v>
      </c>
      <c r="E7" s="4"/>
      <c r="F7" s="34" t="s">
        <v>144</v>
      </c>
    </row>
    <row r="8" spans="2:6" ht="15.75" x14ac:dyDescent="0.25">
      <c r="B8" s="2"/>
      <c r="C8" s="3" t="s">
        <v>6</v>
      </c>
      <c r="D8" s="21" t="s">
        <v>145</v>
      </c>
      <c r="E8" s="4"/>
      <c r="F8" s="35" t="s">
        <v>146</v>
      </c>
    </row>
    <row r="9" spans="2:6" x14ac:dyDescent="0.25">
      <c r="C9" s="3" t="s">
        <v>8</v>
      </c>
      <c r="D9" s="21">
        <v>20</v>
      </c>
      <c r="E9" s="4"/>
    </row>
    <row r="10" spans="2:6" x14ac:dyDescent="0.25">
      <c r="C10" s="3" t="s">
        <v>9</v>
      </c>
      <c r="D10" s="21">
        <v>1</v>
      </c>
      <c r="E10" s="4"/>
      <c r="F10" t="s">
        <v>10</v>
      </c>
    </row>
    <row r="11" spans="2:6" ht="15.75" x14ac:dyDescent="0.25">
      <c r="C11" s="3" t="s">
        <v>11</v>
      </c>
      <c r="D11" s="21">
        <v>5</v>
      </c>
      <c r="E11" s="4"/>
      <c r="F11" s="33" t="s">
        <v>147</v>
      </c>
    </row>
    <row r="12" spans="2:6" ht="15.75" x14ac:dyDescent="0.25">
      <c r="C12" s="3" t="s">
        <v>13</v>
      </c>
      <c r="D12" s="21" t="s">
        <v>148</v>
      </c>
      <c r="E12" s="4"/>
      <c r="F12" s="33" t="s">
        <v>149</v>
      </c>
    </row>
    <row r="13" spans="2:6" ht="15.75" x14ac:dyDescent="0.25">
      <c r="C13" s="3" t="s">
        <v>16</v>
      </c>
      <c r="D13" s="21" t="s">
        <v>17</v>
      </c>
      <c r="E13" s="4"/>
      <c r="F13" s="33" t="s">
        <v>150</v>
      </c>
    </row>
    <row r="14" spans="2:6" x14ac:dyDescent="0.25">
      <c r="C14" s="3" t="s">
        <v>19</v>
      </c>
      <c r="D14" s="21" t="s">
        <v>20</v>
      </c>
      <c r="E14" s="4"/>
    </row>
    <row r="15" spans="2:6" x14ac:dyDescent="0.25">
      <c r="C15" s="3"/>
      <c r="D15" s="4"/>
      <c r="E15" s="4"/>
      <c r="F15" t="s">
        <v>21</v>
      </c>
    </row>
    <row r="16" spans="2:6" x14ac:dyDescent="0.25">
      <c r="C16" s="3"/>
      <c r="D16" s="4"/>
      <c r="E16" s="4"/>
      <c r="F16" s="31" t="s">
        <v>151</v>
      </c>
    </row>
    <row r="17" spans="3:6" ht="18.75" x14ac:dyDescent="0.25">
      <c r="C17" s="5" t="s">
        <v>23</v>
      </c>
      <c r="D17" s="4"/>
      <c r="E17" s="4"/>
      <c r="F17" s="24"/>
    </row>
    <row r="18" spans="3:6" x14ac:dyDescent="0.25">
      <c r="C18" s="3" t="s">
        <v>24</v>
      </c>
      <c r="D18" s="1" t="s">
        <v>23</v>
      </c>
      <c r="E18" s="4"/>
      <c r="F18" s="24"/>
    </row>
    <row r="19" spans="3:6" x14ac:dyDescent="0.25">
      <c r="C19" s="3" t="s">
        <v>25</v>
      </c>
      <c r="D19" s="22">
        <v>18</v>
      </c>
      <c r="E19" s="4"/>
      <c r="F19" s="24"/>
    </row>
    <row r="20" spans="3:6" x14ac:dyDescent="0.25">
      <c r="C20" s="3" t="s">
        <v>26</v>
      </c>
      <c r="D20" s="22">
        <v>14</v>
      </c>
      <c r="E20" s="4"/>
      <c r="F20" s="24"/>
    </row>
    <row r="21" spans="3:6" x14ac:dyDescent="0.25">
      <c r="C21" s="3" t="s">
        <v>27</v>
      </c>
      <c r="D21" s="22">
        <v>6</v>
      </c>
      <c r="E21" s="4"/>
    </row>
    <row r="22" spans="3:6" x14ac:dyDescent="0.25">
      <c r="C22" s="3" t="s">
        <v>28</v>
      </c>
      <c r="D22" s="22">
        <v>10</v>
      </c>
      <c r="E22" s="4"/>
      <c r="F22" t="s">
        <v>29</v>
      </c>
    </row>
    <row r="23" spans="3:6" x14ac:dyDescent="0.25">
      <c r="C23" s="3" t="s">
        <v>30</v>
      </c>
      <c r="D23" s="22"/>
      <c r="E23" s="4"/>
      <c r="F23" s="30" t="s">
        <v>152</v>
      </c>
    </row>
    <row r="24" spans="3:6" x14ac:dyDescent="0.25">
      <c r="C24" s="3" t="s">
        <v>32</v>
      </c>
      <c r="D24" s="1">
        <f>SUM(D19:D23)</f>
        <v>48</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15.75" x14ac:dyDescent="0.25">
      <c r="C29" s="3" t="s">
        <v>37</v>
      </c>
      <c r="D29" s="33" t="s">
        <v>153</v>
      </c>
      <c r="E29" s="4"/>
      <c r="F29" s="24"/>
    </row>
    <row r="30" spans="3:6" ht="15.75" x14ac:dyDescent="0.25">
      <c r="C30" s="3" t="s">
        <v>39</v>
      </c>
      <c r="D30" s="33" t="s">
        <v>154</v>
      </c>
      <c r="E30" s="4"/>
      <c r="F30" s="24"/>
    </row>
    <row r="31" spans="3:6" ht="15.75" x14ac:dyDescent="0.25">
      <c r="C31" s="3" t="s">
        <v>41</v>
      </c>
      <c r="D31" s="33" t="s">
        <v>155</v>
      </c>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ht="30" x14ac:dyDescent="0.25">
      <c r="C38" s="3" t="s">
        <v>51</v>
      </c>
      <c r="D38" s="21" t="s">
        <v>110</v>
      </c>
      <c r="E38" s="21" t="s">
        <v>156</v>
      </c>
      <c r="F38" s="21" t="s">
        <v>157</v>
      </c>
      <c r="G38" s="23">
        <v>0.5</v>
      </c>
      <c r="H38" s="21">
        <v>10</v>
      </c>
    </row>
    <row r="39" spans="3:8" ht="90" x14ac:dyDescent="0.25">
      <c r="C39" s="3" t="s">
        <v>55</v>
      </c>
      <c r="D39" s="21" t="s">
        <v>52</v>
      </c>
      <c r="E39" s="21" t="s">
        <v>158</v>
      </c>
      <c r="F39" s="21" t="s">
        <v>159</v>
      </c>
      <c r="G39" s="23">
        <v>0.5</v>
      </c>
      <c r="H39" s="21" t="s">
        <v>160</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74</v>
      </c>
      <c r="F46" s="24" t="s">
        <v>118</v>
      </c>
    </row>
    <row r="47" spans="3:8" x14ac:dyDescent="0.25">
      <c r="C47" s="25" t="s">
        <v>51</v>
      </c>
      <c r="D47" s="24" t="s">
        <v>37</v>
      </c>
      <c r="E47" s="24" t="s">
        <v>161</v>
      </c>
      <c r="F47" s="24" t="s">
        <v>162</v>
      </c>
    </row>
    <row r="48" spans="3:8" x14ac:dyDescent="0.25">
      <c r="C48" s="25" t="s">
        <v>51</v>
      </c>
      <c r="D48" s="24" t="s">
        <v>37</v>
      </c>
      <c r="E48" s="24" t="s">
        <v>116</v>
      </c>
      <c r="F48" s="24" t="s">
        <v>119</v>
      </c>
    </row>
    <row r="49" spans="2:6" x14ac:dyDescent="0.25">
      <c r="C49" s="25" t="s">
        <v>51</v>
      </c>
      <c r="D49" s="24" t="s">
        <v>39</v>
      </c>
      <c r="E49" s="24" t="s">
        <v>69</v>
      </c>
      <c r="F49" s="24" t="s">
        <v>163</v>
      </c>
    </row>
    <row r="50" spans="2:6" x14ac:dyDescent="0.25">
      <c r="C50" s="25" t="s">
        <v>55</v>
      </c>
      <c r="D50" s="24" t="s">
        <v>37</v>
      </c>
      <c r="E50" s="24" t="s">
        <v>113</v>
      </c>
      <c r="F50" s="24" t="s">
        <v>114</v>
      </c>
    </row>
    <row r="51" spans="2:6" x14ac:dyDescent="0.25">
      <c r="C51" s="25" t="s">
        <v>55</v>
      </c>
      <c r="D51" s="24" t="s">
        <v>39</v>
      </c>
      <c r="E51" s="24" t="s">
        <v>69</v>
      </c>
      <c r="F51" s="24" t="s">
        <v>70</v>
      </c>
    </row>
    <row r="52" spans="2:6" x14ac:dyDescent="0.25">
      <c r="C52" s="25" t="s">
        <v>55</v>
      </c>
      <c r="D52" s="24" t="s">
        <v>39</v>
      </c>
      <c r="E52" s="24" t="s">
        <v>65</v>
      </c>
      <c r="F52" s="24" t="s">
        <v>68</v>
      </c>
    </row>
    <row r="53" spans="2:6" x14ac:dyDescent="0.25">
      <c r="C53" s="25" t="s">
        <v>55</v>
      </c>
      <c r="D53" s="24" t="s">
        <v>41</v>
      </c>
      <c r="E53" s="24" t="s">
        <v>71</v>
      </c>
      <c r="F53" s="24" t="s">
        <v>73</v>
      </c>
    </row>
    <row r="54" spans="2:6" x14ac:dyDescent="0.25">
      <c r="C54" s="25"/>
      <c r="D54" s="24"/>
      <c r="E54" s="24"/>
      <c r="F54" s="24"/>
    </row>
    <row r="55" spans="2:6" x14ac:dyDescent="0.25">
      <c r="C55" s="25"/>
      <c r="D55" s="24"/>
      <c r="E55" s="24"/>
      <c r="F55" s="24"/>
    </row>
    <row r="56" spans="2:6" x14ac:dyDescent="0.25">
      <c r="C56" s="25"/>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36" t="s">
        <v>164</v>
      </c>
      <c r="E61" s="32"/>
      <c r="F61" s="32"/>
    </row>
    <row r="62" spans="2:6" x14ac:dyDescent="0.25">
      <c r="B62" s="7">
        <v>1</v>
      </c>
      <c r="C62" s="1">
        <v>2</v>
      </c>
      <c r="D62" s="36" t="s">
        <v>165</v>
      </c>
      <c r="E62" s="32"/>
      <c r="F62" s="32"/>
    </row>
    <row r="63" spans="2:6" x14ac:dyDescent="0.25">
      <c r="B63" s="7">
        <v>1</v>
      </c>
      <c r="C63" s="1">
        <v>3</v>
      </c>
      <c r="D63" s="36" t="s">
        <v>166</v>
      </c>
      <c r="E63" s="21"/>
      <c r="F63" s="21"/>
    </row>
    <row r="64" spans="2:6" x14ac:dyDescent="0.25">
      <c r="B64" s="7">
        <v>1</v>
      </c>
      <c r="C64" s="1">
        <v>4</v>
      </c>
      <c r="D64" s="36" t="s">
        <v>167</v>
      </c>
      <c r="E64" s="21"/>
      <c r="F64" s="21"/>
    </row>
    <row r="65" spans="2:6" x14ac:dyDescent="0.25">
      <c r="B65" s="7">
        <v>1</v>
      </c>
      <c r="C65" s="1">
        <v>5</v>
      </c>
      <c r="D65" s="36" t="s">
        <v>168</v>
      </c>
      <c r="E65" s="21"/>
      <c r="F65" s="21"/>
    </row>
    <row r="66" spans="2:6" x14ac:dyDescent="0.25">
      <c r="B66" s="7">
        <v>1</v>
      </c>
      <c r="C66" s="1">
        <v>6</v>
      </c>
      <c r="D66" s="36" t="s">
        <v>169</v>
      </c>
      <c r="E66" s="21"/>
      <c r="F66" s="21"/>
    </row>
    <row r="67" spans="2:6" x14ac:dyDescent="0.25">
      <c r="B67" s="7">
        <v>1</v>
      </c>
      <c r="C67" s="1">
        <v>7</v>
      </c>
      <c r="D67" s="37" t="s">
        <v>170</v>
      </c>
      <c r="E67" s="21"/>
      <c r="F67" s="21"/>
    </row>
    <row r="68" spans="2:6" x14ac:dyDescent="0.25">
      <c r="B68" s="7">
        <v>1</v>
      </c>
      <c r="C68" s="1">
        <v>8</v>
      </c>
      <c r="D68" s="37" t="s">
        <v>171</v>
      </c>
      <c r="E68" s="21"/>
      <c r="F68" s="21"/>
    </row>
    <row r="69" spans="2:6" x14ac:dyDescent="0.25">
      <c r="B69" s="7">
        <v>1</v>
      </c>
      <c r="C69" s="1">
        <v>9</v>
      </c>
      <c r="D69" s="37" t="s">
        <v>172</v>
      </c>
      <c r="E69" s="21"/>
      <c r="F69" s="21"/>
    </row>
    <row r="70" spans="2:6" x14ac:dyDescent="0.25">
      <c r="B70" s="7">
        <v>1</v>
      </c>
      <c r="C70" s="1">
        <v>10</v>
      </c>
      <c r="D70" s="36" t="s">
        <v>173</v>
      </c>
      <c r="E70" s="21"/>
      <c r="F70" s="21"/>
    </row>
    <row r="71" spans="2:6" x14ac:dyDescent="0.25">
      <c r="B71" s="7">
        <v>1</v>
      </c>
      <c r="C71" s="1">
        <v>11</v>
      </c>
      <c r="D71" s="36" t="s">
        <v>174</v>
      </c>
      <c r="E71" s="21"/>
      <c r="F71" s="21"/>
    </row>
    <row r="72" spans="2:6" x14ac:dyDescent="0.25">
      <c r="B72" s="7">
        <v>1</v>
      </c>
      <c r="C72" s="1">
        <v>12</v>
      </c>
      <c r="D72" s="36" t="s">
        <v>175</v>
      </c>
      <c r="E72" s="21" t="s">
        <v>176</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E46:E56</xm:sqref>
        </x14:dataValidation>
        <x14:dataValidation type="list" allowBlank="1" showInputMessage="1" showErrorMessage="1" xr:uid="{009B3F76-CBC5-41A8-84DE-D4AD00A25980}">
          <x14:formula1>
            <xm:f>LISTS!$E$7:$E$11</xm:f>
          </x14:formula1>
          <xm:sqref>D46:D56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4"/>
  <dimension ref="B2:H84"/>
  <sheetViews>
    <sheetView showGridLines="0" topLeftCell="B1"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5302SPS</v>
      </c>
      <c r="D2" s="20" t="str">
        <f>D8</f>
        <v>Football tactics and match analysis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385</v>
      </c>
      <c r="E7" s="4"/>
      <c r="F7" s="24"/>
    </row>
    <row r="8" spans="2:6" x14ac:dyDescent="0.25">
      <c r="B8" s="2"/>
      <c r="C8" s="3" t="s">
        <v>6</v>
      </c>
      <c r="D8" s="21" t="s">
        <v>386</v>
      </c>
      <c r="E8" s="4"/>
      <c r="F8" s="24"/>
    </row>
    <row r="9" spans="2:6" x14ac:dyDescent="0.25">
      <c r="C9" s="3" t="s">
        <v>8</v>
      </c>
      <c r="D9" s="21"/>
      <c r="E9" s="4"/>
    </row>
    <row r="10" spans="2:6" x14ac:dyDescent="0.25">
      <c r="C10" s="3" t="s">
        <v>9</v>
      </c>
      <c r="D10" s="21"/>
      <c r="E10" s="4"/>
      <c r="F10" t="s">
        <v>10</v>
      </c>
    </row>
    <row r="11" spans="2:6" x14ac:dyDescent="0.25">
      <c r="C11" s="3" t="s">
        <v>11</v>
      </c>
      <c r="D11" s="21"/>
      <c r="E11" s="4"/>
      <c r="F11" s="24"/>
    </row>
    <row r="12" spans="2:6" x14ac:dyDescent="0.25">
      <c r="C12" s="3" t="s">
        <v>13</v>
      </c>
      <c r="D12" s="21"/>
      <c r="E12" s="4"/>
      <c r="F12" s="24"/>
    </row>
    <row r="13" spans="2:6" x14ac:dyDescent="0.25">
      <c r="C13" s="3" t="s">
        <v>16</v>
      </c>
      <c r="D13" s="21"/>
      <c r="E13" s="4"/>
      <c r="F13" s="24"/>
    </row>
    <row r="14" spans="2:6" x14ac:dyDescent="0.25">
      <c r="C14" s="3" t="s">
        <v>19</v>
      </c>
      <c r="D14" s="21"/>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c r="E19" s="4"/>
      <c r="F19" s="24"/>
    </row>
    <row r="20" spans="3:6" x14ac:dyDescent="0.25">
      <c r="C20" s="3" t="s">
        <v>26</v>
      </c>
      <c r="D20" s="22"/>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0</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x14ac:dyDescent="0.25">
      <c r="C29" s="3" t="s">
        <v>37</v>
      </c>
      <c r="D29" s="21"/>
      <c r="E29" s="4"/>
      <c r="F29" s="24"/>
    </row>
    <row r="30" spans="3:6" x14ac:dyDescent="0.25">
      <c r="C30" s="3" t="s">
        <v>39</v>
      </c>
      <c r="D30" s="21"/>
      <c r="E30" s="4"/>
      <c r="F30" s="24"/>
    </row>
    <row r="31" spans="3:6" x14ac:dyDescent="0.25">
      <c r="C31" s="3" t="s">
        <v>41</v>
      </c>
      <c r="D31" s="21"/>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x14ac:dyDescent="0.25">
      <c r="C38" s="3" t="s">
        <v>51</v>
      </c>
      <c r="D38" s="21" t="s">
        <v>52</v>
      </c>
      <c r="E38" s="21" t="s">
        <v>108</v>
      </c>
      <c r="F38" s="21" t="s">
        <v>177</v>
      </c>
      <c r="G38" s="23">
        <v>0.5</v>
      </c>
      <c r="H38" s="21">
        <v>6</v>
      </c>
    </row>
    <row r="39" spans="3:8" x14ac:dyDescent="0.25">
      <c r="C39" s="3" t="s">
        <v>55</v>
      </c>
      <c r="D39" s="21"/>
      <c r="E39" s="21"/>
      <c r="F39" s="21"/>
      <c r="G39" s="23">
        <v>0.5</v>
      </c>
      <c r="H39" s="21">
        <v>12</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113</v>
      </c>
      <c r="F46" s="24" t="s">
        <v>178</v>
      </c>
    </row>
    <row r="47" spans="3:8" x14ac:dyDescent="0.25">
      <c r="C47" s="25" t="s">
        <v>51</v>
      </c>
      <c r="D47" s="24" t="s">
        <v>37</v>
      </c>
      <c r="E47" s="24" t="s">
        <v>113</v>
      </c>
      <c r="F47" s="24" t="s">
        <v>115</v>
      </c>
    </row>
    <row r="48" spans="3:8" x14ac:dyDescent="0.25">
      <c r="C48" s="25" t="s">
        <v>51</v>
      </c>
      <c r="D48" s="24" t="s">
        <v>37</v>
      </c>
      <c r="E48" s="24" t="s">
        <v>74</v>
      </c>
      <c r="F48" s="24" t="s">
        <v>179</v>
      </c>
    </row>
    <row r="49" spans="2:6" x14ac:dyDescent="0.25">
      <c r="C49" s="25" t="s">
        <v>55</v>
      </c>
      <c r="D49" s="24" t="s">
        <v>39</v>
      </c>
      <c r="E49" s="24" t="s">
        <v>65</v>
      </c>
      <c r="F49" s="24" t="s">
        <v>66</v>
      </c>
    </row>
    <row r="50" spans="2:6" x14ac:dyDescent="0.25">
      <c r="C50" s="25" t="s">
        <v>55</v>
      </c>
      <c r="D50" s="24" t="s">
        <v>39</v>
      </c>
      <c r="E50" s="24" t="s">
        <v>180</v>
      </c>
      <c r="F50" s="24" t="s">
        <v>181</v>
      </c>
    </row>
    <row r="51" spans="2:6" x14ac:dyDescent="0.25">
      <c r="C51" s="25" t="s">
        <v>55</v>
      </c>
      <c r="D51" s="24"/>
      <c r="E51" s="24"/>
      <c r="F51" s="24"/>
    </row>
    <row r="52" spans="2:6" x14ac:dyDescent="0.25">
      <c r="C52" s="25" t="s">
        <v>60</v>
      </c>
      <c r="D52" s="24"/>
      <c r="E52" s="24"/>
      <c r="F52" s="24"/>
    </row>
    <row r="53" spans="2:6" x14ac:dyDescent="0.25">
      <c r="C53" s="25" t="s">
        <v>60</v>
      </c>
      <c r="D53" s="24"/>
      <c r="E53" s="24"/>
      <c r="F53" s="24"/>
    </row>
    <row r="54" spans="2:6" x14ac:dyDescent="0.25">
      <c r="C54" s="25" t="s">
        <v>60</v>
      </c>
      <c r="D54" s="24"/>
      <c r="E54" s="24"/>
      <c r="F54" s="24"/>
    </row>
    <row r="55" spans="2:6" x14ac:dyDescent="0.25">
      <c r="C55" s="25" t="s">
        <v>61</v>
      </c>
      <c r="D55" s="24"/>
      <c r="E55" s="24"/>
      <c r="F55" s="24"/>
    </row>
    <row r="56" spans="2:6" x14ac:dyDescent="0.25">
      <c r="C56" s="25" t="s">
        <v>61</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182</v>
      </c>
      <c r="E61" s="21"/>
      <c r="F61" s="21"/>
    </row>
    <row r="62" spans="2:6" x14ac:dyDescent="0.25">
      <c r="B62" s="7">
        <v>1</v>
      </c>
      <c r="C62" s="1">
        <v>2</v>
      </c>
      <c r="D62" s="21" t="s">
        <v>183</v>
      </c>
      <c r="E62" s="21" t="s">
        <v>184</v>
      </c>
      <c r="F62" s="21" t="s">
        <v>26</v>
      </c>
    </row>
    <row r="63" spans="2:6" x14ac:dyDescent="0.25">
      <c r="B63" s="7">
        <v>1</v>
      </c>
      <c r="C63" s="1">
        <v>3</v>
      </c>
      <c r="D63" s="21" t="s">
        <v>185</v>
      </c>
      <c r="E63" s="21"/>
      <c r="F63" s="21"/>
    </row>
    <row r="64" spans="2:6" x14ac:dyDescent="0.25">
      <c r="B64" s="7">
        <v>1</v>
      </c>
      <c r="C64" s="1">
        <v>4</v>
      </c>
      <c r="D64" s="21" t="s">
        <v>186</v>
      </c>
      <c r="E64" s="21" t="s">
        <v>187</v>
      </c>
      <c r="F64" s="21" t="s">
        <v>26</v>
      </c>
    </row>
    <row r="65" spans="2:6" x14ac:dyDescent="0.25">
      <c r="B65" s="7">
        <v>1</v>
      </c>
      <c r="C65" s="1">
        <v>5</v>
      </c>
      <c r="D65" s="21" t="s">
        <v>188</v>
      </c>
      <c r="E65" s="21"/>
      <c r="F65" s="21"/>
    </row>
    <row r="66" spans="2:6" x14ac:dyDescent="0.25">
      <c r="B66" s="7">
        <v>1</v>
      </c>
      <c r="C66" s="1">
        <v>6</v>
      </c>
      <c r="D66" s="21" t="s">
        <v>189</v>
      </c>
      <c r="E66" s="21"/>
      <c r="F66" s="21" t="s">
        <v>26</v>
      </c>
    </row>
    <row r="67" spans="2:6" x14ac:dyDescent="0.25">
      <c r="B67" s="7">
        <v>1</v>
      </c>
      <c r="C67" s="1">
        <v>7</v>
      </c>
      <c r="D67" s="21" t="s">
        <v>190</v>
      </c>
      <c r="E67" s="21"/>
      <c r="F67" s="21"/>
    </row>
    <row r="68" spans="2:6" x14ac:dyDescent="0.25">
      <c r="B68" s="7">
        <v>1</v>
      </c>
      <c r="C68" s="1">
        <v>8</v>
      </c>
      <c r="D68" s="21" t="s">
        <v>191</v>
      </c>
      <c r="E68" s="21"/>
      <c r="F68" s="21" t="s">
        <v>26</v>
      </c>
    </row>
    <row r="69" spans="2:6" x14ac:dyDescent="0.25">
      <c r="B69" s="7">
        <v>1</v>
      </c>
      <c r="C69" s="1">
        <v>9</v>
      </c>
      <c r="D69" s="21" t="s">
        <v>192</v>
      </c>
      <c r="E69" s="21"/>
      <c r="F69" s="21"/>
    </row>
    <row r="70" spans="2:6" x14ac:dyDescent="0.25">
      <c r="B70" s="7">
        <v>1</v>
      </c>
      <c r="C70" s="1">
        <v>10</v>
      </c>
      <c r="D70" s="21" t="s">
        <v>193</v>
      </c>
      <c r="E70" s="21" t="s">
        <v>194</v>
      </c>
      <c r="F70" s="21" t="s">
        <v>26</v>
      </c>
    </row>
    <row r="71" spans="2:6" x14ac:dyDescent="0.25">
      <c r="B71" s="7">
        <v>1</v>
      </c>
      <c r="C71" s="1">
        <v>11</v>
      </c>
      <c r="D71" s="21" t="s">
        <v>195</v>
      </c>
      <c r="E71" s="21"/>
      <c r="F71" s="21"/>
    </row>
    <row r="72" spans="2:6" x14ac:dyDescent="0.25">
      <c r="B72" s="7">
        <v>1</v>
      </c>
      <c r="C72" s="1">
        <v>12</v>
      </c>
      <c r="D72" s="21" t="s">
        <v>196</v>
      </c>
      <c r="E72" s="21"/>
      <c r="F72" s="21" t="s">
        <v>26</v>
      </c>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E46:E56</xm:sqref>
        </x14:dataValidation>
        <x14:dataValidation type="list" allowBlank="1" showInputMessage="1" showErrorMessage="1" xr:uid="{13524674-6569-4444-A927-B70E751D7616}">
          <x14:formula1>
            <xm:f>LISTS!$E$7:$E$11</xm:f>
          </x14:formula1>
          <xm:sqref>D46:D56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5"/>
  <dimension ref="B2:H84"/>
  <sheetViews>
    <sheetView showGridLines="0" zoomScale="70" zoomScaleNormal="70" workbookViewId="0">
      <selection activeCell="F16" sqref="F16"/>
    </sheetView>
  </sheetViews>
  <sheetFormatPr defaultColWidth="8.85546875" defaultRowHeight="15" x14ac:dyDescent="0.25"/>
  <cols>
    <col min="3" max="3" width="33.425781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6301SPS</v>
      </c>
      <c r="D2" s="20" t="str">
        <f>D8</f>
        <v>Football Performance and Technology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216</v>
      </c>
      <c r="E7" s="4"/>
      <c r="F7" s="29" t="s">
        <v>217</v>
      </c>
    </row>
    <row r="8" spans="2:6" ht="60" x14ac:dyDescent="0.25">
      <c r="B8" s="2"/>
      <c r="C8" s="3" t="s">
        <v>6</v>
      </c>
      <c r="D8" s="21" t="s">
        <v>218</v>
      </c>
      <c r="E8" s="4"/>
      <c r="F8" s="29" t="s">
        <v>219</v>
      </c>
    </row>
    <row r="9" spans="2:6" x14ac:dyDescent="0.25">
      <c r="C9" s="3" t="s">
        <v>8</v>
      </c>
      <c r="D9" s="21">
        <v>20</v>
      </c>
      <c r="E9" s="4"/>
    </row>
    <row r="10" spans="2:6" x14ac:dyDescent="0.25">
      <c r="C10" s="3" t="s">
        <v>9</v>
      </c>
      <c r="D10" s="21">
        <v>1</v>
      </c>
      <c r="E10" s="4"/>
      <c r="F10" t="s">
        <v>10</v>
      </c>
    </row>
    <row r="11" spans="2:6" x14ac:dyDescent="0.25">
      <c r="C11" s="3" t="s">
        <v>11</v>
      </c>
      <c r="D11" s="21">
        <v>6</v>
      </c>
      <c r="E11" s="4"/>
      <c r="F11" s="24" t="s">
        <v>220</v>
      </c>
    </row>
    <row r="12" spans="2:6" x14ac:dyDescent="0.25">
      <c r="C12" s="3" t="s">
        <v>13</v>
      </c>
      <c r="D12" s="21" t="s">
        <v>221</v>
      </c>
      <c r="E12" s="4"/>
      <c r="F12" s="24" t="s">
        <v>222</v>
      </c>
    </row>
    <row r="13" spans="2:6" ht="45" x14ac:dyDescent="0.25">
      <c r="C13" s="3" t="s">
        <v>16</v>
      </c>
      <c r="D13" s="21" t="s">
        <v>17</v>
      </c>
      <c r="E13" s="4"/>
      <c r="F13" s="29" t="s">
        <v>223</v>
      </c>
    </row>
    <row r="14" spans="2:6" x14ac:dyDescent="0.25">
      <c r="C14" s="3" t="s">
        <v>19</v>
      </c>
      <c r="D14" s="21" t="s">
        <v>20</v>
      </c>
      <c r="E14" s="4"/>
    </row>
    <row r="15" spans="2:6" x14ac:dyDescent="0.25">
      <c r="C15" s="3"/>
      <c r="D15" s="4"/>
      <c r="E15" s="4"/>
      <c r="F15" t="s">
        <v>21</v>
      </c>
    </row>
    <row r="16" spans="2:6" ht="135" x14ac:dyDescent="0.25">
      <c r="C16" s="3"/>
      <c r="D16" s="4"/>
      <c r="E16" s="4"/>
      <c r="F16" s="29" t="s">
        <v>224</v>
      </c>
    </row>
    <row r="17" spans="3:6" ht="18.75" x14ac:dyDescent="0.25">
      <c r="C17" s="5" t="s">
        <v>23</v>
      </c>
      <c r="D17" s="4"/>
      <c r="E17" s="4"/>
      <c r="F17" s="24"/>
    </row>
    <row r="18" spans="3:6" x14ac:dyDescent="0.25">
      <c r="C18" s="3" t="s">
        <v>24</v>
      </c>
      <c r="D18" s="1" t="s">
        <v>23</v>
      </c>
      <c r="E18" s="4"/>
      <c r="F18" s="24"/>
    </row>
    <row r="19" spans="3:6" x14ac:dyDescent="0.25">
      <c r="C19" s="3" t="s">
        <v>25</v>
      </c>
      <c r="D19" s="22">
        <v>22</v>
      </c>
      <c r="E19" s="4"/>
      <c r="F19" s="24"/>
    </row>
    <row r="20" spans="3:6" x14ac:dyDescent="0.25">
      <c r="C20" s="3" t="s">
        <v>26</v>
      </c>
      <c r="D20" s="22"/>
      <c r="E20" s="4"/>
      <c r="F20" s="24"/>
    </row>
    <row r="21" spans="3:6" x14ac:dyDescent="0.25">
      <c r="C21" s="3" t="s">
        <v>27</v>
      </c>
      <c r="D21" s="22">
        <v>16</v>
      </c>
      <c r="E21" s="4"/>
    </row>
    <row r="22" spans="3:6" x14ac:dyDescent="0.25">
      <c r="C22" s="3" t="s">
        <v>28</v>
      </c>
      <c r="D22" s="22">
        <v>8</v>
      </c>
      <c r="E22" s="4"/>
      <c r="F22" t="s">
        <v>29</v>
      </c>
    </row>
    <row r="23" spans="3:6" x14ac:dyDescent="0.25">
      <c r="C23" s="3" t="s">
        <v>30</v>
      </c>
      <c r="D23" s="22"/>
      <c r="E23" s="4"/>
      <c r="F23" s="24" t="s">
        <v>152</v>
      </c>
    </row>
    <row r="24" spans="3:6" x14ac:dyDescent="0.25">
      <c r="C24" s="3" t="s">
        <v>32</v>
      </c>
      <c r="D24" s="1">
        <f>SUM(D19:D23)</f>
        <v>46</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30" x14ac:dyDescent="0.25">
      <c r="C29" s="3" t="s">
        <v>37</v>
      </c>
      <c r="D29" s="21" t="s">
        <v>225</v>
      </c>
      <c r="E29" s="4"/>
      <c r="F29" s="24"/>
    </row>
    <row r="30" spans="3:6" ht="30" x14ac:dyDescent="0.25">
      <c r="C30" s="3" t="s">
        <v>39</v>
      </c>
      <c r="D30" s="21" t="s">
        <v>226</v>
      </c>
      <c r="E30" s="4"/>
      <c r="F30" s="24"/>
    </row>
    <row r="31" spans="3:6" ht="45" x14ac:dyDescent="0.25">
      <c r="C31" s="3" t="s">
        <v>41</v>
      </c>
      <c r="D31" s="21" t="s">
        <v>227</v>
      </c>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x14ac:dyDescent="0.25">
      <c r="C38" s="3" t="s">
        <v>51</v>
      </c>
      <c r="D38" s="21" t="s">
        <v>228</v>
      </c>
      <c r="E38" s="21" t="s">
        <v>229</v>
      </c>
      <c r="F38" s="21" t="s">
        <v>230</v>
      </c>
      <c r="G38" s="23">
        <v>0.5</v>
      </c>
      <c r="H38" s="21">
        <v>7</v>
      </c>
    </row>
    <row r="39" spans="3:8" x14ac:dyDescent="0.25">
      <c r="C39" s="3" t="s">
        <v>55</v>
      </c>
      <c r="D39" s="21" t="s">
        <v>52</v>
      </c>
      <c r="E39" s="21" t="s">
        <v>53</v>
      </c>
      <c r="F39" s="21" t="s">
        <v>231</v>
      </c>
      <c r="G39" s="23">
        <v>0.5</v>
      </c>
      <c r="H39" s="21">
        <v>12</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113</v>
      </c>
      <c r="F46" s="24" t="s">
        <v>115</v>
      </c>
    </row>
    <row r="47" spans="3:8" x14ac:dyDescent="0.25">
      <c r="C47" s="25" t="s">
        <v>51</v>
      </c>
      <c r="D47" s="24" t="s">
        <v>37</v>
      </c>
      <c r="E47" s="24" t="s">
        <v>113</v>
      </c>
      <c r="F47" s="24" t="s">
        <v>215</v>
      </c>
    </row>
    <row r="48" spans="3:8" x14ac:dyDescent="0.25">
      <c r="C48" s="25" t="s">
        <v>51</v>
      </c>
      <c r="D48" s="24" t="s">
        <v>37</v>
      </c>
      <c r="E48" s="24" t="s">
        <v>180</v>
      </c>
      <c r="F48" s="24" t="s">
        <v>232</v>
      </c>
    </row>
    <row r="49" spans="2:6" x14ac:dyDescent="0.25">
      <c r="C49" s="25" t="s">
        <v>51</v>
      </c>
      <c r="D49" s="24" t="s">
        <v>41</v>
      </c>
      <c r="E49" s="24" t="s">
        <v>180</v>
      </c>
      <c r="F49" s="24" t="s">
        <v>195</v>
      </c>
    </row>
    <row r="50" spans="2:6" x14ac:dyDescent="0.25">
      <c r="C50" s="25" t="s">
        <v>51</v>
      </c>
      <c r="D50" s="24" t="s">
        <v>41</v>
      </c>
      <c r="E50" s="24" t="s">
        <v>180</v>
      </c>
      <c r="F50" s="24" t="s">
        <v>181</v>
      </c>
    </row>
    <row r="51" spans="2:6" x14ac:dyDescent="0.25">
      <c r="C51" s="25" t="s">
        <v>51</v>
      </c>
      <c r="D51" s="24" t="s">
        <v>41</v>
      </c>
      <c r="E51" s="24" t="s">
        <v>65</v>
      </c>
      <c r="F51" s="24" t="s">
        <v>233</v>
      </c>
    </row>
    <row r="52" spans="2:6" x14ac:dyDescent="0.25">
      <c r="C52" s="25" t="s">
        <v>55</v>
      </c>
      <c r="D52" s="24" t="s">
        <v>39</v>
      </c>
      <c r="E52" s="24" t="s">
        <v>180</v>
      </c>
      <c r="F52" s="24" t="s">
        <v>195</v>
      </c>
    </row>
    <row r="53" spans="2:6" x14ac:dyDescent="0.25">
      <c r="C53" s="25" t="s">
        <v>55</v>
      </c>
      <c r="D53" s="24" t="s">
        <v>41</v>
      </c>
      <c r="E53" s="24" t="s">
        <v>65</v>
      </c>
      <c r="F53" s="24" t="s">
        <v>66</v>
      </c>
    </row>
    <row r="54" spans="2:6" x14ac:dyDescent="0.25">
      <c r="C54" s="25" t="s">
        <v>60</v>
      </c>
      <c r="D54" s="24" t="s">
        <v>39</v>
      </c>
      <c r="E54" s="24" t="s">
        <v>113</v>
      </c>
      <c r="F54" s="24" t="s">
        <v>178</v>
      </c>
    </row>
    <row r="55" spans="2:6" x14ac:dyDescent="0.25">
      <c r="C55" s="25" t="s">
        <v>61</v>
      </c>
      <c r="D55" s="24"/>
      <c r="E55" s="24"/>
      <c r="F55" s="24"/>
    </row>
    <row r="56" spans="2:6" x14ac:dyDescent="0.25">
      <c r="C56" s="25" t="s">
        <v>61</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234</v>
      </c>
      <c r="E61" s="21" t="s">
        <v>235</v>
      </c>
      <c r="F61" s="21"/>
    </row>
    <row r="62" spans="2:6" x14ac:dyDescent="0.25">
      <c r="B62" s="7">
        <v>1</v>
      </c>
      <c r="C62" s="1">
        <v>2</v>
      </c>
      <c r="D62" s="21" t="s">
        <v>236</v>
      </c>
      <c r="E62" s="21" t="s">
        <v>237</v>
      </c>
      <c r="F62" s="21" t="s">
        <v>238</v>
      </c>
    </row>
    <row r="63" spans="2:6" x14ac:dyDescent="0.25">
      <c r="B63" s="7">
        <v>1</v>
      </c>
      <c r="C63" s="1">
        <v>3</v>
      </c>
      <c r="D63" s="21" t="s">
        <v>239</v>
      </c>
      <c r="E63" t="s">
        <v>240</v>
      </c>
      <c r="F63" s="21"/>
    </row>
    <row r="64" spans="2:6" x14ac:dyDescent="0.25">
      <c r="B64" s="7">
        <v>1</v>
      </c>
      <c r="C64" s="1">
        <v>4</v>
      </c>
      <c r="D64" s="21" t="s">
        <v>241</v>
      </c>
      <c r="E64" s="21" t="s">
        <v>242</v>
      </c>
      <c r="F64" s="21"/>
    </row>
    <row r="65" spans="2:6" x14ac:dyDescent="0.25">
      <c r="B65" s="7">
        <v>1</v>
      </c>
      <c r="C65" s="1">
        <v>5</v>
      </c>
      <c r="D65" s="21" t="s">
        <v>243</v>
      </c>
      <c r="E65" s="21" t="s">
        <v>244</v>
      </c>
      <c r="F65" s="21" t="s">
        <v>245</v>
      </c>
    </row>
    <row r="66" spans="2:6" x14ac:dyDescent="0.25">
      <c r="B66" s="7">
        <v>1</v>
      </c>
      <c r="C66" s="1">
        <v>6</v>
      </c>
      <c r="D66" s="21" t="s">
        <v>246</v>
      </c>
      <c r="E66" s="21"/>
      <c r="F66" s="21"/>
    </row>
    <row r="67" spans="2:6" x14ac:dyDescent="0.25">
      <c r="B67" s="7">
        <v>1</v>
      </c>
      <c r="C67" s="1">
        <v>7</v>
      </c>
      <c r="D67" s="21" t="s">
        <v>247</v>
      </c>
      <c r="E67" s="21"/>
      <c r="F67" s="21"/>
    </row>
    <row r="68" spans="2:6" x14ac:dyDescent="0.25">
      <c r="B68" s="7">
        <v>1</v>
      </c>
      <c r="C68" s="1">
        <v>8</v>
      </c>
      <c r="D68" s="21" t="s">
        <v>248</v>
      </c>
      <c r="E68" s="21" t="s">
        <v>249</v>
      </c>
      <c r="F68" s="21" t="s">
        <v>250</v>
      </c>
    </row>
    <row r="69" spans="2:6" x14ac:dyDescent="0.25">
      <c r="B69" s="7">
        <v>1</v>
      </c>
      <c r="C69" s="1">
        <v>9</v>
      </c>
      <c r="D69" s="21" t="s">
        <v>251</v>
      </c>
      <c r="E69" s="21" t="s">
        <v>252</v>
      </c>
      <c r="F69" s="21"/>
    </row>
    <row r="70" spans="2:6" x14ac:dyDescent="0.25">
      <c r="B70" s="7">
        <v>1</v>
      </c>
      <c r="C70" s="1">
        <v>10</v>
      </c>
      <c r="D70" s="21" t="s">
        <v>253</v>
      </c>
      <c r="E70" s="21" t="s">
        <v>252</v>
      </c>
      <c r="F70" s="21" t="s">
        <v>254</v>
      </c>
    </row>
    <row r="71" spans="2:6" x14ac:dyDescent="0.25">
      <c r="B71" s="7">
        <v>1</v>
      </c>
      <c r="C71" s="1">
        <v>11</v>
      </c>
      <c r="D71" s="21" t="s">
        <v>255</v>
      </c>
      <c r="E71" s="21"/>
      <c r="F71" s="21"/>
    </row>
    <row r="72" spans="2:6" x14ac:dyDescent="0.25">
      <c r="B72" s="7">
        <v>1</v>
      </c>
      <c r="C72" s="1">
        <v>12</v>
      </c>
      <c r="D72" s="21" t="s">
        <v>256</v>
      </c>
      <c r="E72" s="21" t="s">
        <v>257</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list" allowBlank="1" showInputMessage="1" showErrorMessage="1" sqref="F46:F5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E46:E56</xm:sqref>
        </x14:dataValidation>
        <x14:dataValidation type="list" allowBlank="1" showInputMessage="1" showErrorMessage="1" xr:uid="{4A234C3A-C5D8-4DCE-A391-988FDC67A9B9}">
          <x14:formula1>
            <xm:f>LISTS!$E$7:$E$11</xm:f>
          </x14:formula1>
          <xm:sqref>D46:D56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6"/>
  <dimension ref="B2:H84"/>
  <sheetViews>
    <sheetView showGridLines="0" zoomScale="85" zoomScaleNormal="85" workbookViewId="0">
      <selection activeCell="D9" sqref="D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6302SPS</v>
      </c>
      <c r="D2" s="20" t="str">
        <f>D8</f>
        <v>Physical Performance in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387</v>
      </c>
      <c r="E7" s="4"/>
      <c r="F7" s="24"/>
    </row>
    <row r="8" spans="2:6" ht="60" x14ac:dyDescent="0.25">
      <c r="B8" s="2"/>
      <c r="C8" s="3" t="s">
        <v>6</v>
      </c>
      <c r="D8" s="21" t="s">
        <v>388</v>
      </c>
      <c r="E8" s="4"/>
      <c r="F8" s="29" t="s">
        <v>281</v>
      </c>
    </row>
    <row r="9" spans="2:6" x14ac:dyDescent="0.25">
      <c r="C9" s="3" t="s">
        <v>8</v>
      </c>
      <c r="D9" s="21">
        <v>20</v>
      </c>
      <c r="E9" s="4"/>
    </row>
    <row r="10" spans="2:6" x14ac:dyDescent="0.25">
      <c r="C10" s="3" t="s">
        <v>9</v>
      </c>
      <c r="D10" s="21">
        <v>2</v>
      </c>
      <c r="E10" s="4"/>
      <c r="F10" t="s">
        <v>10</v>
      </c>
    </row>
    <row r="11" spans="2:6" x14ac:dyDescent="0.25">
      <c r="C11" s="3" t="s">
        <v>11</v>
      </c>
      <c r="D11" s="21">
        <v>6</v>
      </c>
      <c r="E11" s="4"/>
      <c r="F11" s="24"/>
    </row>
    <row r="12" spans="2:6" ht="105" x14ac:dyDescent="0.25">
      <c r="C12" s="3" t="s">
        <v>13</v>
      </c>
      <c r="D12" s="21" t="s">
        <v>282</v>
      </c>
      <c r="E12" s="4"/>
      <c r="F12" s="29" t="s">
        <v>283</v>
      </c>
    </row>
    <row r="13" spans="2:6" x14ac:dyDescent="0.25">
      <c r="C13" s="3" t="s">
        <v>16</v>
      </c>
      <c r="D13" s="21" t="s">
        <v>17</v>
      </c>
      <c r="E13" s="4"/>
      <c r="F13" s="24"/>
    </row>
    <row r="14" spans="2:6" x14ac:dyDescent="0.25">
      <c r="C14" s="3" t="s">
        <v>19</v>
      </c>
      <c r="D14" s="21" t="s">
        <v>20</v>
      </c>
      <c r="E14" s="4"/>
    </row>
    <row r="15" spans="2:6" x14ac:dyDescent="0.25">
      <c r="C15" s="3"/>
      <c r="D15" s="4"/>
      <c r="E15" s="4"/>
      <c r="F15" t="s">
        <v>21</v>
      </c>
    </row>
    <row r="16" spans="2:6" x14ac:dyDescent="0.25">
      <c r="C16" s="3"/>
      <c r="D16" s="4"/>
      <c r="E16" s="4"/>
      <c r="F16" s="24"/>
    </row>
    <row r="17" spans="3:6" ht="75" x14ac:dyDescent="0.25">
      <c r="C17" s="5" t="s">
        <v>23</v>
      </c>
      <c r="D17" s="4"/>
      <c r="E17" s="4"/>
      <c r="F17" s="29" t="s">
        <v>284</v>
      </c>
    </row>
    <row r="18" spans="3:6" x14ac:dyDescent="0.25">
      <c r="C18" s="3" t="s">
        <v>24</v>
      </c>
      <c r="D18" s="1" t="s">
        <v>23</v>
      </c>
      <c r="E18" s="4"/>
      <c r="F18" s="24"/>
    </row>
    <row r="19" spans="3:6" x14ac:dyDescent="0.25">
      <c r="C19" s="3" t="s">
        <v>25</v>
      </c>
      <c r="D19" s="22">
        <v>8</v>
      </c>
      <c r="E19" s="4"/>
      <c r="F19" s="24"/>
    </row>
    <row r="20" spans="3:6" x14ac:dyDescent="0.25">
      <c r="C20" s="3" t="s">
        <v>26</v>
      </c>
      <c r="D20" s="22"/>
      <c r="E20" s="4"/>
      <c r="F20" s="24"/>
    </row>
    <row r="21" spans="3:6" x14ac:dyDescent="0.25">
      <c r="C21" s="3" t="s">
        <v>27</v>
      </c>
      <c r="D21" s="22">
        <v>12</v>
      </c>
      <c r="E21" s="4"/>
    </row>
    <row r="22" spans="3:6" x14ac:dyDescent="0.25">
      <c r="C22" s="3" t="s">
        <v>28</v>
      </c>
      <c r="D22" s="22">
        <v>20</v>
      </c>
      <c r="E22" s="4"/>
      <c r="F22" t="s">
        <v>29</v>
      </c>
    </row>
    <row r="23" spans="3:6" x14ac:dyDescent="0.25">
      <c r="C23" s="3" t="s">
        <v>30</v>
      </c>
      <c r="D23" s="22"/>
      <c r="E23" s="4"/>
      <c r="F23" s="24"/>
    </row>
    <row r="24" spans="3:6" x14ac:dyDescent="0.25">
      <c r="C24" s="3" t="s">
        <v>32</v>
      </c>
      <c r="D24" s="1">
        <f>SUM(D19:D23)</f>
        <v>40</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5" x14ac:dyDescent="0.25">
      <c r="C29" s="3" t="s">
        <v>37</v>
      </c>
      <c r="D29" s="21" t="s">
        <v>285</v>
      </c>
      <c r="E29" s="4"/>
      <c r="F29" s="24"/>
    </row>
    <row r="30" spans="3:6" ht="60" x14ac:dyDescent="0.25">
      <c r="C30" s="3" t="s">
        <v>39</v>
      </c>
      <c r="D30" s="21" t="s">
        <v>286</v>
      </c>
      <c r="E30" s="4"/>
      <c r="F30" s="24"/>
    </row>
    <row r="31" spans="3:6" x14ac:dyDescent="0.25">
      <c r="C31" s="3" t="s">
        <v>41</v>
      </c>
      <c r="D31" s="21"/>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ht="120" x14ac:dyDescent="0.25">
      <c r="C38" s="3" t="s">
        <v>51</v>
      </c>
      <c r="D38" s="21" t="s">
        <v>56</v>
      </c>
      <c r="E38" s="21" t="s">
        <v>108</v>
      </c>
      <c r="F38" s="21" t="s">
        <v>287</v>
      </c>
      <c r="G38" s="23">
        <v>1</v>
      </c>
      <c r="H38" s="21">
        <v>12</v>
      </c>
    </row>
    <row r="39" spans="3:8" x14ac:dyDescent="0.25">
      <c r="C39" s="3" t="s">
        <v>55</v>
      </c>
      <c r="D39" s="21"/>
      <c r="E39" s="21"/>
      <c r="F39" s="21"/>
      <c r="G39" s="23"/>
      <c r="H39" s="21"/>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113</v>
      </c>
      <c r="F46" s="24" t="s">
        <v>115</v>
      </c>
    </row>
    <row r="47" spans="3:8" x14ac:dyDescent="0.25">
      <c r="C47" s="25" t="s">
        <v>51</v>
      </c>
      <c r="D47" s="24" t="s">
        <v>37</v>
      </c>
      <c r="E47" s="24" t="s">
        <v>180</v>
      </c>
      <c r="F47" s="24" t="s">
        <v>181</v>
      </c>
    </row>
    <row r="48" spans="3:8" x14ac:dyDescent="0.25">
      <c r="C48" s="25" t="s">
        <v>51</v>
      </c>
      <c r="D48" s="24" t="s">
        <v>37</v>
      </c>
      <c r="E48" s="24" t="s">
        <v>74</v>
      </c>
      <c r="F48" s="24" t="s">
        <v>179</v>
      </c>
    </row>
    <row r="49" spans="2:6" x14ac:dyDescent="0.25">
      <c r="C49" s="25" t="s">
        <v>51</v>
      </c>
      <c r="D49" s="24" t="s">
        <v>39</v>
      </c>
      <c r="E49" s="24" t="s">
        <v>65</v>
      </c>
      <c r="F49" s="24" t="s">
        <v>66</v>
      </c>
    </row>
    <row r="50" spans="2:6" x14ac:dyDescent="0.25">
      <c r="C50" s="25" t="s">
        <v>51</v>
      </c>
      <c r="D50" s="24" t="s">
        <v>39</v>
      </c>
      <c r="E50" s="24" t="s">
        <v>161</v>
      </c>
      <c r="F50" s="24" t="s">
        <v>288</v>
      </c>
    </row>
    <row r="51" spans="2:6" x14ac:dyDescent="0.25">
      <c r="C51" s="25" t="s">
        <v>51</v>
      </c>
      <c r="D51" s="24" t="s">
        <v>39</v>
      </c>
      <c r="E51" s="24" t="s">
        <v>289</v>
      </c>
      <c r="F51" s="24" t="s">
        <v>290</v>
      </c>
    </row>
    <row r="52" spans="2:6" x14ac:dyDescent="0.25">
      <c r="C52" s="25"/>
      <c r="D52" s="24"/>
      <c r="E52" s="24"/>
      <c r="F52" s="24"/>
    </row>
    <row r="53" spans="2:6" x14ac:dyDescent="0.25">
      <c r="C53" s="25"/>
      <c r="D53" s="24"/>
      <c r="E53" s="24"/>
      <c r="F53" s="24"/>
    </row>
    <row r="54" spans="2:6" x14ac:dyDescent="0.25">
      <c r="C54" s="25"/>
      <c r="D54" s="24"/>
      <c r="E54" s="24"/>
      <c r="F54" s="24"/>
    </row>
    <row r="55" spans="2:6" x14ac:dyDescent="0.25">
      <c r="C55" s="25"/>
      <c r="D55" s="24"/>
      <c r="E55" s="24"/>
      <c r="F55" s="24"/>
    </row>
    <row r="56" spans="2:6" x14ac:dyDescent="0.25">
      <c r="C56" s="25"/>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c r="E61" s="21"/>
      <c r="F61" s="21"/>
    </row>
    <row r="62" spans="2:6" x14ac:dyDescent="0.25">
      <c r="B62" s="7">
        <v>1</v>
      </c>
      <c r="C62" s="1">
        <v>2</v>
      </c>
      <c r="D62" s="21"/>
      <c r="E62" s="21"/>
      <c r="F62" s="21"/>
    </row>
    <row r="63" spans="2:6" x14ac:dyDescent="0.25">
      <c r="B63" s="7">
        <v>1</v>
      </c>
      <c r="C63" s="1">
        <v>3</v>
      </c>
      <c r="D63" s="21"/>
      <c r="E63" s="21"/>
      <c r="F63" s="21"/>
    </row>
    <row r="64" spans="2:6" x14ac:dyDescent="0.25">
      <c r="B64" s="7">
        <v>1</v>
      </c>
      <c r="C64" s="1">
        <v>4</v>
      </c>
      <c r="D64" s="21"/>
      <c r="E64" s="21"/>
      <c r="F64" s="21"/>
    </row>
    <row r="65" spans="2:6" x14ac:dyDescent="0.25">
      <c r="B65" s="7">
        <v>1</v>
      </c>
      <c r="C65" s="1">
        <v>5</v>
      </c>
      <c r="D65" s="21"/>
      <c r="E65" s="21"/>
      <c r="F65" s="21"/>
    </row>
    <row r="66" spans="2:6" x14ac:dyDescent="0.25">
      <c r="B66" s="7">
        <v>1</v>
      </c>
      <c r="C66" s="1">
        <v>6</v>
      </c>
      <c r="D66" s="21"/>
      <c r="E66" s="21"/>
      <c r="F66" s="21"/>
    </row>
    <row r="67" spans="2:6" x14ac:dyDescent="0.25">
      <c r="B67" s="7">
        <v>1</v>
      </c>
      <c r="C67" s="1">
        <v>7</v>
      </c>
      <c r="D67" s="21"/>
      <c r="E67" s="21"/>
      <c r="F67" s="21"/>
    </row>
    <row r="68" spans="2:6" x14ac:dyDescent="0.25">
      <c r="B68" s="7">
        <v>1</v>
      </c>
      <c r="C68" s="1">
        <v>8</v>
      </c>
      <c r="D68" s="21"/>
      <c r="E68" s="21"/>
      <c r="F68" s="21"/>
    </row>
    <row r="69" spans="2:6" x14ac:dyDescent="0.25">
      <c r="B69" s="7">
        <v>1</v>
      </c>
      <c r="C69" s="1">
        <v>9</v>
      </c>
      <c r="D69" s="21"/>
      <c r="E69" s="21"/>
      <c r="F69" s="21"/>
    </row>
    <row r="70" spans="2:6" x14ac:dyDescent="0.25">
      <c r="B70" s="7">
        <v>1</v>
      </c>
      <c r="C70" s="1">
        <v>10</v>
      </c>
      <c r="D70" s="21"/>
      <c r="E70" s="21"/>
      <c r="F70" s="21"/>
    </row>
    <row r="71" spans="2:6" x14ac:dyDescent="0.25">
      <c r="B71" s="7">
        <v>1</v>
      </c>
      <c r="C71" s="1">
        <v>11</v>
      </c>
      <c r="D71" s="21"/>
      <c r="E71" s="21"/>
      <c r="F71" s="21"/>
    </row>
    <row r="72" spans="2:6" x14ac:dyDescent="0.25">
      <c r="B72" s="7">
        <v>1</v>
      </c>
      <c r="C72" s="1">
        <v>12</v>
      </c>
      <c r="D72" s="21"/>
      <c r="E72" s="21"/>
      <c r="F72" s="21"/>
    </row>
    <row r="73" spans="2:6" x14ac:dyDescent="0.25">
      <c r="B73" s="7">
        <v>2</v>
      </c>
      <c r="C73" s="1">
        <v>1</v>
      </c>
      <c r="D73" s="21" t="s">
        <v>291</v>
      </c>
      <c r="E73" s="21"/>
      <c r="F73" s="21"/>
    </row>
    <row r="74" spans="2:6" x14ac:dyDescent="0.25">
      <c r="B74" s="7">
        <v>2</v>
      </c>
      <c r="C74" s="1">
        <v>2</v>
      </c>
      <c r="D74" s="21" t="s">
        <v>292</v>
      </c>
      <c r="E74" s="21"/>
      <c r="F74" s="21"/>
    </row>
    <row r="75" spans="2:6" x14ac:dyDescent="0.25">
      <c r="B75" s="7">
        <v>2</v>
      </c>
      <c r="C75" s="1">
        <v>3</v>
      </c>
      <c r="D75" s="21" t="s">
        <v>292</v>
      </c>
      <c r="E75" s="21"/>
      <c r="F75" s="21"/>
    </row>
    <row r="76" spans="2:6" x14ac:dyDescent="0.25">
      <c r="B76" s="7">
        <v>2</v>
      </c>
      <c r="C76" s="1">
        <v>4</v>
      </c>
      <c r="D76" s="21" t="s">
        <v>292</v>
      </c>
      <c r="E76" s="21"/>
      <c r="F76" s="21"/>
    </row>
    <row r="77" spans="2:6" x14ac:dyDescent="0.25">
      <c r="B77" s="7">
        <v>2</v>
      </c>
      <c r="C77" s="1">
        <v>5</v>
      </c>
      <c r="D77" s="21" t="s">
        <v>293</v>
      </c>
      <c r="E77" s="21"/>
      <c r="F77" s="21"/>
    </row>
    <row r="78" spans="2:6" x14ac:dyDescent="0.25">
      <c r="B78" s="7">
        <v>2</v>
      </c>
      <c r="C78" s="1">
        <v>6</v>
      </c>
      <c r="D78" s="21" t="s">
        <v>294</v>
      </c>
      <c r="E78" s="21"/>
      <c r="F78" s="21"/>
    </row>
    <row r="79" spans="2:6" x14ac:dyDescent="0.25">
      <c r="B79" s="7">
        <v>2</v>
      </c>
      <c r="C79" s="1">
        <v>7</v>
      </c>
      <c r="D79" s="21" t="s">
        <v>295</v>
      </c>
      <c r="E79" s="21"/>
      <c r="F79" s="21"/>
    </row>
    <row r="80" spans="2:6" x14ac:dyDescent="0.25">
      <c r="B80" s="7">
        <v>2</v>
      </c>
      <c r="C80" s="1">
        <v>8</v>
      </c>
      <c r="D80" s="21" t="s">
        <v>296</v>
      </c>
      <c r="E80" s="21"/>
      <c r="F80" s="21"/>
    </row>
    <row r="81" spans="2:6" x14ac:dyDescent="0.25">
      <c r="B81" s="7">
        <v>2</v>
      </c>
      <c r="C81" s="1">
        <v>9</v>
      </c>
      <c r="D81" s="21" t="s">
        <v>297</v>
      </c>
      <c r="E81" s="21"/>
      <c r="F81" s="21"/>
    </row>
    <row r="82" spans="2:6" x14ac:dyDescent="0.25">
      <c r="B82" s="7">
        <v>2</v>
      </c>
      <c r="C82" s="1">
        <v>10</v>
      </c>
      <c r="D82" s="21" t="s">
        <v>298</v>
      </c>
      <c r="E82" s="21"/>
      <c r="F82" s="21"/>
    </row>
    <row r="83" spans="2:6" x14ac:dyDescent="0.25">
      <c r="B83" s="7">
        <v>2</v>
      </c>
      <c r="C83" s="1">
        <v>11</v>
      </c>
      <c r="D83" s="21" t="s">
        <v>299</v>
      </c>
      <c r="E83" s="21"/>
      <c r="F83" s="21"/>
    </row>
    <row r="84" spans="2:6" x14ac:dyDescent="0.25">
      <c r="B84" s="7">
        <v>2</v>
      </c>
      <c r="C84" s="1">
        <v>12</v>
      </c>
      <c r="D84" s="21" t="s">
        <v>300</v>
      </c>
      <c r="E84" s="21"/>
      <c r="F84" s="21"/>
    </row>
  </sheetData>
  <sheetProtection sheet="1" objects="1" scenarios="1" selectLockedCells="1" sort="0" autoFilter="0" pivotTables="0"/>
  <dataValidations count="4">
    <dataValidation type="list" allowBlank="1" showInputMessage="1" showErrorMessage="1" sqref="F46:F5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E46:E56</xm:sqref>
        </x14:dataValidation>
        <x14:dataValidation type="list" allowBlank="1" showInputMessage="1" showErrorMessage="1" xr:uid="{A4EF2000-8BB6-4BFE-B91D-91E943534494}">
          <x14:formula1>
            <xm:f>LISTS!$E$7:$E$11</xm:f>
          </x14:formula1>
          <xm:sqref>D46:D56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7"/>
  <dimension ref="B2:H84"/>
  <sheetViews>
    <sheetView showGridLines="0" zoomScale="110" zoomScaleNormal="110" workbookViewId="0">
      <selection activeCell="F7" sqref="F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f>D7</f>
        <v>6303</v>
      </c>
      <c r="D2" s="20" t="str">
        <f>D8</f>
        <v>Applied Psychology of Football</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75" x14ac:dyDescent="0.25">
      <c r="B7" s="2"/>
      <c r="C7" s="3" t="s">
        <v>4</v>
      </c>
      <c r="D7" s="21">
        <v>6303</v>
      </c>
      <c r="E7" s="4"/>
      <c r="F7" s="28" t="s">
        <v>258</v>
      </c>
    </row>
    <row r="8" spans="2:6" ht="30.75" x14ac:dyDescent="0.25">
      <c r="B8" s="2"/>
      <c r="C8" s="3" t="s">
        <v>6</v>
      </c>
      <c r="D8" s="21" t="s">
        <v>259</v>
      </c>
      <c r="E8" s="4"/>
      <c r="F8" s="28" t="s">
        <v>260</v>
      </c>
    </row>
    <row r="9" spans="2:6" x14ac:dyDescent="0.25">
      <c r="C9" s="3" t="s">
        <v>8</v>
      </c>
      <c r="D9" s="21">
        <v>20</v>
      </c>
      <c r="E9" s="4"/>
    </row>
    <row r="10" spans="2:6" x14ac:dyDescent="0.25">
      <c r="C10" s="3" t="s">
        <v>9</v>
      </c>
      <c r="D10" s="21">
        <v>1</v>
      </c>
      <c r="E10" s="4"/>
      <c r="F10" t="s">
        <v>10</v>
      </c>
    </row>
    <row r="11" spans="2:6" ht="15.75" x14ac:dyDescent="0.25">
      <c r="C11" s="3" t="s">
        <v>11</v>
      </c>
      <c r="D11" s="21">
        <v>6</v>
      </c>
      <c r="E11" s="4"/>
      <c r="F11" s="27" t="s">
        <v>261</v>
      </c>
    </row>
    <row r="12" spans="2:6" ht="15.75" x14ac:dyDescent="0.25">
      <c r="C12" s="3" t="s">
        <v>13</v>
      </c>
      <c r="D12" s="21" t="s">
        <v>262</v>
      </c>
      <c r="E12" s="4"/>
      <c r="F12" s="27" t="s">
        <v>263</v>
      </c>
    </row>
    <row r="13" spans="2:6" ht="15.75" x14ac:dyDescent="0.25">
      <c r="C13" s="3" t="s">
        <v>16</v>
      </c>
      <c r="D13" s="21" t="s">
        <v>17</v>
      </c>
      <c r="E13" s="4"/>
      <c r="F13" s="27" t="s">
        <v>264</v>
      </c>
    </row>
    <row r="14" spans="2:6" x14ac:dyDescent="0.25">
      <c r="C14" s="3" t="s">
        <v>19</v>
      </c>
      <c r="D14" s="21" t="s">
        <v>20</v>
      </c>
      <c r="E14" s="4"/>
    </row>
    <row r="15" spans="2:6" x14ac:dyDescent="0.25">
      <c r="C15" s="3"/>
      <c r="D15" s="4"/>
      <c r="E15" s="4"/>
      <c r="F15" t="s">
        <v>21</v>
      </c>
    </row>
    <row r="16" spans="2:6" x14ac:dyDescent="0.25">
      <c r="C16" s="3"/>
      <c r="D16" s="4"/>
      <c r="E16" s="4"/>
      <c r="F16" s="24"/>
    </row>
    <row r="17" spans="3:6" ht="18.75" x14ac:dyDescent="0.25">
      <c r="C17" s="5" t="s">
        <v>23</v>
      </c>
      <c r="D17" s="4"/>
      <c r="E17" s="4"/>
      <c r="F17" s="24"/>
    </row>
    <row r="18" spans="3:6" x14ac:dyDescent="0.25">
      <c r="C18" s="3" t="s">
        <v>24</v>
      </c>
      <c r="D18" s="1" t="s">
        <v>23</v>
      </c>
      <c r="E18" s="4"/>
      <c r="F18" s="24"/>
    </row>
    <row r="19" spans="3:6" x14ac:dyDescent="0.25">
      <c r="C19" s="3" t="s">
        <v>25</v>
      </c>
      <c r="D19" s="22">
        <v>22</v>
      </c>
      <c r="E19" s="4"/>
      <c r="F19" s="24"/>
    </row>
    <row r="20" spans="3:6" x14ac:dyDescent="0.25">
      <c r="C20" s="3" t="s">
        <v>26</v>
      </c>
      <c r="D20" s="22">
        <v>18</v>
      </c>
      <c r="E20" s="4"/>
      <c r="F20" s="24"/>
    </row>
    <row r="21" spans="3:6" x14ac:dyDescent="0.25">
      <c r="C21" s="3" t="s">
        <v>27</v>
      </c>
      <c r="D21" s="22"/>
      <c r="E21" s="4"/>
    </row>
    <row r="22" spans="3:6" x14ac:dyDescent="0.25">
      <c r="C22" s="3" t="s">
        <v>28</v>
      </c>
      <c r="D22" s="22"/>
      <c r="E22" s="4"/>
      <c r="F22" t="s">
        <v>29</v>
      </c>
    </row>
    <row r="23" spans="3:6" x14ac:dyDescent="0.25">
      <c r="C23" s="3" t="s">
        <v>30</v>
      </c>
      <c r="D23" s="22"/>
      <c r="E23" s="4"/>
      <c r="F23" s="24"/>
    </row>
    <row r="24" spans="3:6" x14ac:dyDescent="0.25">
      <c r="C24" s="3" t="s">
        <v>32</v>
      </c>
      <c r="D24" s="1">
        <f>SUM(D19:D23)</f>
        <v>40</v>
      </c>
      <c r="E24" s="4"/>
      <c r="F24" s="24"/>
    </row>
    <row r="25" spans="3:6" x14ac:dyDescent="0.25">
      <c r="F25" s="24"/>
    </row>
    <row r="26" spans="3:6" x14ac:dyDescent="0.25">
      <c r="F26" s="24"/>
    </row>
    <row r="27" spans="3:6" ht="18.75" x14ac:dyDescent="0.25">
      <c r="C27" s="5" t="s">
        <v>33</v>
      </c>
      <c r="D27" s="12" t="s">
        <v>34</v>
      </c>
      <c r="F27" s="24"/>
    </row>
    <row r="28" spans="3:6" x14ac:dyDescent="0.25">
      <c r="C28" s="3" t="s">
        <v>35</v>
      </c>
      <c r="D28" s="3" t="s">
        <v>36</v>
      </c>
      <c r="E28" s="3"/>
      <c r="F28" s="24"/>
    </row>
    <row r="29" spans="3:6" ht="43.5" x14ac:dyDescent="0.25">
      <c r="C29" s="3" t="s">
        <v>37</v>
      </c>
      <c r="D29" s="26" t="s">
        <v>265</v>
      </c>
      <c r="E29" s="4"/>
      <c r="F29" s="24"/>
    </row>
    <row r="30" spans="3:6" ht="57.75" x14ac:dyDescent="0.25">
      <c r="C30" s="3" t="s">
        <v>39</v>
      </c>
      <c r="D30" s="26" t="s">
        <v>266</v>
      </c>
      <c r="E30" s="4"/>
      <c r="F30" s="24"/>
    </row>
    <row r="31" spans="3:6" ht="29.25" x14ac:dyDescent="0.25">
      <c r="C31" s="3" t="s">
        <v>41</v>
      </c>
      <c r="D31" s="26" t="s">
        <v>267</v>
      </c>
      <c r="E31" s="4"/>
      <c r="F31" s="24"/>
    </row>
    <row r="32" spans="3:6" x14ac:dyDescent="0.25">
      <c r="C32" s="3" t="s">
        <v>42</v>
      </c>
      <c r="D32" s="21"/>
      <c r="E32" s="4"/>
      <c r="F32" s="24"/>
    </row>
    <row r="33" spans="3:8" x14ac:dyDescent="0.25">
      <c r="C33" s="3" t="s">
        <v>43</v>
      </c>
      <c r="D33" s="21"/>
      <c r="E33" s="4"/>
      <c r="F33" s="24"/>
    </row>
    <row r="36" spans="3:8" ht="18.75" x14ac:dyDescent="0.25">
      <c r="C36" s="5" t="s">
        <v>44</v>
      </c>
    </row>
    <row r="37" spans="3:8" x14ac:dyDescent="0.25">
      <c r="C37" s="3" t="s">
        <v>45</v>
      </c>
      <c r="D37" s="3" t="s">
        <v>46</v>
      </c>
      <c r="E37" s="3" t="s">
        <v>47</v>
      </c>
      <c r="F37" s="3" t="s">
        <v>48</v>
      </c>
      <c r="G37" s="3" t="s">
        <v>49</v>
      </c>
      <c r="H37" s="3" t="s">
        <v>50</v>
      </c>
    </row>
    <row r="38" spans="3:8" x14ac:dyDescent="0.25">
      <c r="C38" s="3" t="s">
        <v>51</v>
      </c>
      <c r="D38" s="21" t="s">
        <v>52</v>
      </c>
      <c r="E38" s="21" t="s">
        <v>53</v>
      </c>
      <c r="F38" s="21" t="s">
        <v>268</v>
      </c>
      <c r="G38" s="23">
        <v>0.3</v>
      </c>
      <c r="H38" s="21">
        <v>6</v>
      </c>
    </row>
    <row r="39" spans="3:8" x14ac:dyDescent="0.25">
      <c r="C39" s="3" t="s">
        <v>55</v>
      </c>
      <c r="D39" s="21" t="s">
        <v>110</v>
      </c>
      <c r="E39" s="21" t="s">
        <v>156</v>
      </c>
      <c r="F39" s="21" t="s">
        <v>269</v>
      </c>
      <c r="G39" s="23">
        <v>0.7</v>
      </c>
      <c r="H39" s="21">
        <v>12</v>
      </c>
    </row>
    <row r="40" spans="3:8" x14ac:dyDescent="0.25">
      <c r="C40" s="3" t="s">
        <v>60</v>
      </c>
      <c r="D40" s="24"/>
      <c r="E40" s="24"/>
      <c r="F40" s="24"/>
      <c r="G40" s="24"/>
      <c r="H40" s="24"/>
    </row>
    <row r="41" spans="3:8" x14ac:dyDescent="0.25">
      <c r="C41" s="3" t="s">
        <v>61</v>
      </c>
      <c r="D41" s="24"/>
      <c r="E41" s="24"/>
      <c r="F41" s="24"/>
      <c r="G41" s="24"/>
      <c r="H41" s="24"/>
    </row>
    <row r="42" spans="3:8" x14ac:dyDescent="0.25">
      <c r="C42" s="3"/>
    </row>
    <row r="44" spans="3:8" ht="18.75" x14ac:dyDescent="0.25">
      <c r="C44" s="5" t="s">
        <v>62</v>
      </c>
      <c r="D44" s="12"/>
    </row>
    <row r="45" spans="3:8" x14ac:dyDescent="0.25">
      <c r="C45" s="1" t="s">
        <v>45</v>
      </c>
      <c r="D45" s="1" t="s">
        <v>35</v>
      </c>
      <c r="E45" s="1" t="s">
        <v>63</v>
      </c>
      <c r="F45" s="1" t="s">
        <v>64</v>
      </c>
    </row>
    <row r="46" spans="3:8" x14ac:dyDescent="0.25">
      <c r="C46" s="25" t="s">
        <v>51</v>
      </c>
      <c r="D46" s="24" t="s">
        <v>37</v>
      </c>
      <c r="E46" s="24" t="s">
        <v>113</v>
      </c>
      <c r="F46" s="24" t="s">
        <v>114</v>
      </c>
    </row>
    <row r="47" spans="3:8" x14ac:dyDescent="0.25">
      <c r="C47" s="25" t="s">
        <v>51</v>
      </c>
      <c r="D47" s="24" t="s">
        <v>37</v>
      </c>
      <c r="E47" s="24" t="s">
        <v>113</v>
      </c>
      <c r="F47" s="24" t="s">
        <v>115</v>
      </c>
    </row>
    <row r="48" spans="3:8" x14ac:dyDescent="0.25">
      <c r="C48" s="25" t="s">
        <v>51</v>
      </c>
      <c r="D48" s="24" t="s">
        <v>37</v>
      </c>
      <c r="E48" s="24" t="s">
        <v>74</v>
      </c>
      <c r="F48" s="24" t="s">
        <v>179</v>
      </c>
    </row>
    <row r="49" spans="2:6" x14ac:dyDescent="0.25">
      <c r="C49" s="25" t="s">
        <v>55</v>
      </c>
      <c r="D49" s="24" t="s">
        <v>39</v>
      </c>
      <c r="E49" s="24" t="s">
        <v>65</v>
      </c>
      <c r="F49" s="24" t="s">
        <v>66</v>
      </c>
    </row>
    <row r="50" spans="2:6" x14ac:dyDescent="0.25">
      <c r="C50" s="25" t="s">
        <v>55</v>
      </c>
      <c r="D50" s="24" t="s">
        <v>39</v>
      </c>
      <c r="E50" s="24" t="s">
        <v>180</v>
      </c>
      <c r="F50" s="24" t="s">
        <v>181</v>
      </c>
    </row>
    <row r="51" spans="2:6" x14ac:dyDescent="0.25">
      <c r="C51" s="25" t="s">
        <v>55</v>
      </c>
      <c r="D51" s="24"/>
      <c r="E51" s="24"/>
      <c r="F51" s="24"/>
    </row>
    <row r="52" spans="2:6" x14ac:dyDescent="0.25">
      <c r="C52" s="25" t="s">
        <v>60</v>
      </c>
      <c r="D52" s="24"/>
      <c r="E52" s="24"/>
      <c r="F52" s="24"/>
    </row>
    <row r="53" spans="2:6" x14ac:dyDescent="0.25">
      <c r="C53" s="25" t="s">
        <v>60</v>
      </c>
      <c r="D53" s="24"/>
      <c r="E53" s="24"/>
      <c r="F53" s="24"/>
    </row>
    <row r="54" spans="2:6" x14ac:dyDescent="0.25">
      <c r="C54" s="25" t="s">
        <v>60</v>
      </c>
      <c r="D54" s="24"/>
      <c r="E54" s="24"/>
      <c r="F54" s="24"/>
    </row>
    <row r="55" spans="2:6" x14ac:dyDescent="0.25">
      <c r="C55" s="25" t="s">
        <v>61</v>
      </c>
      <c r="D55" s="24"/>
      <c r="E55" s="24"/>
      <c r="F55" s="24"/>
    </row>
    <row r="56" spans="2:6" x14ac:dyDescent="0.25">
      <c r="C56" s="25" t="s">
        <v>61</v>
      </c>
      <c r="D56" s="24"/>
      <c r="E56" s="24"/>
      <c r="F56" s="24"/>
    </row>
    <row r="59" spans="2:6" ht="18.75" x14ac:dyDescent="0.25">
      <c r="C59" s="5" t="s">
        <v>77</v>
      </c>
    </row>
    <row r="60" spans="2:6" x14ac:dyDescent="0.25">
      <c r="B60" t="s">
        <v>78</v>
      </c>
      <c r="C60" s="1" t="s">
        <v>79</v>
      </c>
      <c r="D60" s="1" t="s">
        <v>80</v>
      </c>
      <c r="E60" s="1" t="s">
        <v>81</v>
      </c>
      <c r="F60" s="1" t="s">
        <v>82</v>
      </c>
    </row>
    <row r="61" spans="2:6" x14ac:dyDescent="0.25">
      <c r="B61" s="7">
        <v>1</v>
      </c>
      <c r="C61" s="1">
        <v>1</v>
      </c>
      <c r="D61" s="21" t="s">
        <v>270</v>
      </c>
      <c r="E61" s="21" t="s">
        <v>26</v>
      </c>
      <c r="F61" s="21"/>
    </row>
    <row r="62" spans="2:6" x14ac:dyDescent="0.25">
      <c r="B62" s="7">
        <v>1</v>
      </c>
      <c r="C62" s="1">
        <v>2</v>
      </c>
      <c r="D62" s="21" t="s">
        <v>271</v>
      </c>
      <c r="E62" s="21" t="s">
        <v>26</v>
      </c>
      <c r="F62" s="21"/>
    </row>
    <row r="63" spans="2:6" x14ac:dyDescent="0.25">
      <c r="B63" s="7">
        <v>1</v>
      </c>
      <c r="C63" s="1">
        <v>3</v>
      </c>
      <c r="D63" s="21" t="s">
        <v>272</v>
      </c>
      <c r="E63" s="21" t="s">
        <v>26</v>
      </c>
      <c r="F63" s="21"/>
    </row>
    <row r="64" spans="2:6" x14ac:dyDescent="0.25">
      <c r="B64" s="7">
        <v>1</v>
      </c>
      <c r="C64" s="1">
        <v>4</v>
      </c>
      <c r="D64" s="21" t="s">
        <v>273</v>
      </c>
      <c r="E64" s="21" t="s">
        <v>26</v>
      </c>
      <c r="F64" s="21"/>
    </row>
    <row r="65" spans="2:6" x14ac:dyDescent="0.25">
      <c r="B65" s="7">
        <v>1</v>
      </c>
      <c r="C65" s="1">
        <v>5</v>
      </c>
      <c r="D65" s="21" t="s">
        <v>274</v>
      </c>
      <c r="E65" s="21" t="s">
        <v>26</v>
      </c>
      <c r="F65" s="21"/>
    </row>
    <row r="66" spans="2:6" x14ac:dyDescent="0.25">
      <c r="B66" s="7">
        <v>1</v>
      </c>
      <c r="C66" s="1">
        <v>6</v>
      </c>
      <c r="D66" s="21" t="s">
        <v>275</v>
      </c>
      <c r="E66" s="21" t="s">
        <v>26</v>
      </c>
      <c r="F66" s="21"/>
    </row>
    <row r="67" spans="2:6" x14ac:dyDescent="0.25">
      <c r="B67" s="7">
        <v>1</v>
      </c>
      <c r="C67" s="1">
        <v>7</v>
      </c>
      <c r="D67" s="21" t="s">
        <v>276</v>
      </c>
      <c r="E67" s="21" t="s">
        <v>276</v>
      </c>
      <c r="F67" s="21"/>
    </row>
    <row r="68" spans="2:6" x14ac:dyDescent="0.25">
      <c r="B68" s="7">
        <v>1</v>
      </c>
      <c r="C68" s="1">
        <v>8</v>
      </c>
      <c r="D68" s="21" t="s">
        <v>277</v>
      </c>
      <c r="E68" s="21"/>
      <c r="F68" s="21"/>
    </row>
    <row r="69" spans="2:6" x14ac:dyDescent="0.25">
      <c r="B69" s="7">
        <v>1</v>
      </c>
      <c r="C69" s="1">
        <v>9</v>
      </c>
      <c r="D69" s="21" t="s">
        <v>278</v>
      </c>
      <c r="E69" s="21" t="s">
        <v>26</v>
      </c>
      <c r="F69" s="21"/>
    </row>
    <row r="70" spans="2:6" x14ac:dyDescent="0.25">
      <c r="B70" s="7">
        <v>1</v>
      </c>
      <c r="C70" s="1">
        <v>10</v>
      </c>
      <c r="D70" s="21" t="s">
        <v>279</v>
      </c>
      <c r="E70" s="21" t="s">
        <v>26</v>
      </c>
      <c r="F70" s="21"/>
    </row>
    <row r="71" spans="2:6" x14ac:dyDescent="0.25">
      <c r="B71" s="7">
        <v>1</v>
      </c>
      <c r="C71" s="1">
        <v>11</v>
      </c>
      <c r="D71" s="21" t="s">
        <v>280</v>
      </c>
      <c r="E71" s="21" t="s">
        <v>26</v>
      </c>
      <c r="F71" s="21"/>
    </row>
    <row r="72" spans="2:6" x14ac:dyDescent="0.25">
      <c r="B72" s="7">
        <v>1</v>
      </c>
      <c r="C72" s="1">
        <v>12</v>
      </c>
      <c r="D72" s="21" t="s">
        <v>44</v>
      </c>
      <c r="E72" s="21" t="s">
        <v>44</v>
      </c>
      <c r="F72" s="21"/>
    </row>
    <row r="73" spans="2:6" x14ac:dyDescent="0.25">
      <c r="B73" s="7">
        <v>2</v>
      </c>
      <c r="C73" s="1">
        <v>1</v>
      </c>
      <c r="D73" s="21"/>
      <c r="E73" s="21"/>
      <c r="F73" s="21"/>
    </row>
    <row r="74" spans="2:6" x14ac:dyDescent="0.25">
      <c r="B74" s="7">
        <v>2</v>
      </c>
      <c r="C74" s="1">
        <v>2</v>
      </c>
      <c r="D74" s="21"/>
      <c r="E74" s="21"/>
      <c r="F74" s="21"/>
    </row>
    <row r="75" spans="2:6" x14ac:dyDescent="0.25">
      <c r="B75" s="7">
        <v>2</v>
      </c>
      <c r="C75" s="1">
        <v>3</v>
      </c>
      <c r="D75" s="21"/>
      <c r="E75" s="21"/>
      <c r="F75" s="21"/>
    </row>
    <row r="76" spans="2:6" x14ac:dyDescent="0.25">
      <c r="B76" s="7">
        <v>2</v>
      </c>
      <c r="C76" s="1">
        <v>4</v>
      </c>
      <c r="D76" s="21"/>
      <c r="E76" s="21"/>
      <c r="F76" s="21"/>
    </row>
    <row r="77" spans="2:6" x14ac:dyDescent="0.25">
      <c r="B77" s="7">
        <v>2</v>
      </c>
      <c r="C77" s="1">
        <v>5</v>
      </c>
      <c r="D77" s="21"/>
      <c r="E77" s="21"/>
      <c r="F77" s="21"/>
    </row>
    <row r="78" spans="2:6" x14ac:dyDescent="0.25">
      <c r="B78" s="7">
        <v>2</v>
      </c>
      <c r="C78" s="1">
        <v>6</v>
      </c>
      <c r="D78" s="21"/>
      <c r="E78" s="21"/>
      <c r="F78" s="21"/>
    </row>
    <row r="79" spans="2:6" x14ac:dyDescent="0.25">
      <c r="B79" s="7">
        <v>2</v>
      </c>
      <c r="C79" s="1">
        <v>7</v>
      </c>
      <c r="D79" s="21"/>
      <c r="E79" s="21"/>
      <c r="F79" s="21"/>
    </row>
    <row r="80" spans="2:6" x14ac:dyDescent="0.25">
      <c r="B80" s="7">
        <v>2</v>
      </c>
      <c r="C80" s="1">
        <v>8</v>
      </c>
      <c r="D80" s="21"/>
      <c r="E80" s="21"/>
      <c r="F80" s="21"/>
    </row>
    <row r="81" spans="2:6" x14ac:dyDescent="0.25">
      <c r="B81" s="7">
        <v>2</v>
      </c>
      <c r="C81" s="1">
        <v>9</v>
      </c>
      <c r="D81" s="21"/>
      <c r="E81" s="21"/>
      <c r="F81" s="21"/>
    </row>
    <row r="82" spans="2:6" x14ac:dyDescent="0.25">
      <c r="B82" s="7">
        <v>2</v>
      </c>
      <c r="C82" s="1">
        <v>10</v>
      </c>
      <c r="D82" s="21"/>
      <c r="E82" s="21"/>
      <c r="F82" s="21"/>
    </row>
    <row r="83" spans="2:6" x14ac:dyDescent="0.25">
      <c r="B83" s="7">
        <v>2</v>
      </c>
      <c r="C83" s="1">
        <v>11</v>
      </c>
      <c r="D83" s="21"/>
      <c r="E83" s="21"/>
      <c r="F83" s="21"/>
    </row>
    <row r="84" spans="2:6" x14ac:dyDescent="0.25">
      <c r="B84" s="7">
        <v>2</v>
      </c>
      <c r="C84" s="1">
        <v>12</v>
      </c>
      <c r="D84" s="21"/>
      <c r="E84" s="21"/>
      <c r="F84" s="21"/>
    </row>
  </sheetData>
  <sheetProtection sheet="1" objects="1" scenarios="1"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5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D46:D56</xm:sqref>
        </x14:dataValidation>
        <x14:dataValidation type="list" allowBlank="1" showInputMessage="1" showErrorMessage="1" xr:uid="{BE7A30BD-1760-4896-BACE-8BCA87088F96}">
          <x14:formula1>
            <xm:f>LISTS!$J$7:$J$16</xm:f>
          </x14:formula1>
          <xm:sqref>E46:E56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8"/>
  <dimension ref="B2:H73"/>
  <sheetViews>
    <sheetView showGridLines="0" zoomScale="85" zoomScaleNormal="85" workbookViewId="0">
      <selection activeCell="C2" sqref="C2"/>
    </sheetView>
  </sheetViews>
  <sheetFormatPr defaultColWidth="8.85546875" defaultRowHeight="15" x14ac:dyDescent="0.25"/>
  <cols>
    <col min="1" max="2" width="8.85546875" style="41"/>
    <col min="3" max="3" width="33.28515625" style="41" customWidth="1"/>
    <col min="4" max="4" width="58.42578125" style="41" customWidth="1"/>
    <col min="5" max="5" width="20.42578125" style="41" customWidth="1"/>
    <col min="6" max="6" width="63.140625" style="41" customWidth="1"/>
    <col min="7" max="7" width="12.42578125" style="41" customWidth="1"/>
    <col min="8" max="8" width="15.42578125" style="41" customWidth="1"/>
    <col min="9" max="9" width="14.7109375" style="41" customWidth="1"/>
    <col min="10" max="16384" width="8.85546875" style="41"/>
  </cols>
  <sheetData>
    <row r="2" spans="2:6" ht="26.25" x14ac:dyDescent="0.4">
      <c r="C2" s="42"/>
      <c r="D2" s="43" t="s">
        <v>197</v>
      </c>
      <c r="E2" s="42"/>
    </row>
    <row r="3" spans="2:6" x14ac:dyDescent="0.25">
      <c r="B3" s="44"/>
      <c r="C3" s="44"/>
    </row>
    <row r="4" spans="2:6" x14ac:dyDescent="0.25">
      <c r="B4" s="45"/>
      <c r="C4" s="45"/>
    </row>
    <row r="5" spans="2:6" ht="18.75" x14ac:dyDescent="0.25">
      <c r="B5" s="45"/>
      <c r="C5" s="46" t="s">
        <v>0</v>
      </c>
    </row>
    <row r="6" spans="2:6" x14ac:dyDescent="0.25">
      <c r="B6" s="45"/>
      <c r="C6" s="47" t="s">
        <v>1</v>
      </c>
      <c r="D6" s="48" t="s">
        <v>2</v>
      </c>
      <c r="E6" s="48"/>
      <c r="F6" s="41" t="s">
        <v>3</v>
      </c>
    </row>
    <row r="7" spans="2:6" ht="15.75" x14ac:dyDescent="0.25">
      <c r="B7" s="45"/>
      <c r="C7" s="47" t="s">
        <v>4</v>
      </c>
      <c r="D7" s="21" t="s">
        <v>389</v>
      </c>
      <c r="E7" s="48"/>
      <c r="F7" s="49" t="s">
        <v>198</v>
      </c>
    </row>
    <row r="8" spans="2:6" ht="15.75" x14ac:dyDescent="0.25">
      <c r="B8" s="45"/>
      <c r="C8" s="47" t="s">
        <v>6</v>
      </c>
      <c r="D8" s="37" t="s">
        <v>197</v>
      </c>
      <c r="E8" s="48"/>
      <c r="F8" s="38" t="s">
        <v>199</v>
      </c>
    </row>
    <row r="9" spans="2:6" ht="15.75" x14ac:dyDescent="0.25">
      <c r="C9" s="47" t="s">
        <v>8</v>
      </c>
      <c r="D9" s="37">
        <v>20</v>
      </c>
      <c r="E9" s="48"/>
      <c r="F9" s="39" t="s">
        <v>200</v>
      </c>
    </row>
    <row r="10" spans="2:6" ht="15.75" x14ac:dyDescent="0.25">
      <c r="C10" s="47" t="s">
        <v>9</v>
      </c>
      <c r="D10" s="37" t="s">
        <v>201</v>
      </c>
      <c r="E10" s="48"/>
      <c r="F10" s="39" t="s">
        <v>202</v>
      </c>
    </row>
    <row r="11" spans="2:6" ht="15.75" x14ac:dyDescent="0.25">
      <c r="C11" s="47" t="s">
        <v>11</v>
      </c>
      <c r="D11" s="37">
        <v>6</v>
      </c>
      <c r="E11" s="48"/>
      <c r="F11" s="39" t="s">
        <v>203</v>
      </c>
    </row>
    <row r="12" spans="2:6" x14ac:dyDescent="0.25">
      <c r="C12" s="47" t="s">
        <v>13</v>
      </c>
      <c r="D12" s="37" t="s">
        <v>204</v>
      </c>
      <c r="E12" s="48"/>
      <c r="F12" s="50"/>
    </row>
    <row r="13" spans="2:6" x14ac:dyDescent="0.25">
      <c r="C13" s="47" t="s">
        <v>16</v>
      </c>
      <c r="D13" s="37" t="s">
        <v>205</v>
      </c>
      <c r="E13" s="48"/>
      <c r="F13" s="50"/>
    </row>
    <row r="14" spans="2:6" x14ac:dyDescent="0.25">
      <c r="C14" s="47" t="s">
        <v>19</v>
      </c>
      <c r="D14" s="37" t="s">
        <v>20</v>
      </c>
      <c r="E14" s="48"/>
    </row>
    <row r="15" spans="2:6" x14ac:dyDescent="0.25">
      <c r="C15" s="47"/>
      <c r="D15" s="48"/>
      <c r="E15" s="48"/>
      <c r="F15" s="41" t="s">
        <v>21</v>
      </c>
    </row>
    <row r="16" spans="2:6" x14ac:dyDescent="0.25">
      <c r="C16" s="47"/>
      <c r="D16" s="48"/>
      <c r="E16" s="48"/>
      <c r="F16" s="40" t="s">
        <v>206</v>
      </c>
    </row>
    <row r="17" spans="3:8" ht="18.75" x14ac:dyDescent="0.25">
      <c r="C17" s="46" t="s">
        <v>23</v>
      </c>
      <c r="D17" s="48"/>
      <c r="E17" s="48"/>
      <c r="F17" s="40" t="s">
        <v>207</v>
      </c>
    </row>
    <row r="18" spans="3:8" x14ac:dyDescent="0.25">
      <c r="C18" s="47" t="s">
        <v>24</v>
      </c>
      <c r="D18" s="44" t="s">
        <v>23</v>
      </c>
      <c r="E18" s="48"/>
      <c r="F18" s="51"/>
    </row>
    <row r="19" spans="3:8" x14ac:dyDescent="0.25">
      <c r="C19" s="47" t="s">
        <v>25</v>
      </c>
      <c r="D19" s="52">
        <v>10</v>
      </c>
      <c r="E19" s="48"/>
    </row>
    <row r="20" spans="3:8" x14ac:dyDescent="0.25">
      <c r="C20" s="47" t="s">
        <v>26</v>
      </c>
      <c r="D20" s="52">
        <v>10</v>
      </c>
      <c r="E20" s="48"/>
      <c r="F20" s="51"/>
    </row>
    <row r="21" spans="3:8" x14ac:dyDescent="0.25">
      <c r="C21" s="47" t="s">
        <v>27</v>
      </c>
      <c r="D21" s="52"/>
      <c r="E21" s="48"/>
    </row>
    <row r="22" spans="3:8" x14ac:dyDescent="0.25">
      <c r="C22" s="47" t="s">
        <v>28</v>
      </c>
      <c r="D22" s="52"/>
      <c r="E22" s="48"/>
      <c r="F22" s="41" t="s">
        <v>29</v>
      </c>
      <c r="G22" s="41" t="s">
        <v>208</v>
      </c>
    </row>
    <row r="23" spans="3:8" x14ac:dyDescent="0.25">
      <c r="C23" s="47" t="s">
        <v>30</v>
      </c>
      <c r="D23" s="52"/>
      <c r="E23" s="48"/>
      <c r="F23" s="36"/>
      <c r="G23" s="36"/>
    </row>
    <row r="24" spans="3:8" x14ac:dyDescent="0.25">
      <c r="C24" s="47" t="s">
        <v>32</v>
      </c>
      <c r="D24" s="44">
        <f>SUM(D19:D23)</f>
        <v>20</v>
      </c>
      <c r="E24" s="48"/>
      <c r="F24" s="36"/>
      <c r="G24" s="36"/>
    </row>
    <row r="25" spans="3:8" x14ac:dyDescent="0.25">
      <c r="F25" s="36"/>
      <c r="G25" s="36"/>
    </row>
    <row r="26" spans="3:8" x14ac:dyDescent="0.25">
      <c r="F26" s="36"/>
      <c r="G26" s="36"/>
    </row>
    <row r="27" spans="3:8" ht="18.75" x14ac:dyDescent="0.25">
      <c r="C27" s="46" t="s">
        <v>33</v>
      </c>
      <c r="D27" s="53" t="s">
        <v>34</v>
      </c>
      <c r="F27" s="36"/>
      <c r="G27" s="36"/>
    </row>
    <row r="28" spans="3:8" x14ac:dyDescent="0.25">
      <c r="C28" s="47" t="s">
        <v>35</v>
      </c>
      <c r="D28" s="47" t="s">
        <v>36</v>
      </c>
      <c r="E28" s="47"/>
      <c r="F28" s="36"/>
      <c r="G28" s="36"/>
    </row>
    <row r="29" spans="3:8" ht="15.75" x14ac:dyDescent="0.25">
      <c r="C29" s="47" t="s">
        <v>37</v>
      </c>
      <c r="D29" s="54" t="s">
        <v>209</v>
      </c>
      <c r="E29" s="55"/>
      <c r="F29" s="56"/>
      <c r="G29" s="57"/>
      <c r="H29" s="57"/>
    </row>
    <row r="30" spans="3:8" ht="15.75" x14ac:dyDescent="0.25">
      <c r="C30" s="47" t="s">
        <v>39</v>
      </c>
      <c r="D30" s="54" t="s">
        <v>210</v>
      </c>
      <c r="E30" s="48"/>
      <c r="F30" s="58"/>
    </row>
    <row r="31" spans="3:8" ht="15.75" x14ac:dyDescent="0.25">
      <c r="C31" s="47" t="s">
        <v>41</v>
      </c>
      <c r="D31" s="54" t="s">
        <v>211</v>
      </c>
      <c r="E31" s="55"/>
      <c r="F31" s="56"/>
      <c r="G31" s="57"/>
      <c r="H31" s="57"/>
    </row>
    <row r="32" spans="3:8" ht="15.75" x14ac:dyDescent="0.25">
      <c r="C32" s="47" t="s">
        <v>42</v>
      </c>
      <c r="D32" s="54" t="s">
        <v>212</v>
      </c>
      <c r="E32" s="48"/>
      <c r="F32" s="58"/>
    </row>
    <row r="33" spans="3:8" x14ac:dyDescent="0.25">
      <c r="C33" s="47"/>
      <c r="D33" s="59"/>
    </row>
    <row r="34" spans="3:8" ht="18.75" x14ac:dyDescent="0.25">
      <c r="C34" s="46" t="s">
        <v>44</v>
      </c>
      <c r="D34" s="60"/>
    </row>
    <row r="35" spans="3:8" x14ac:dyDescent="0.25">
      <c r="C35" s="47" t="s">
        <v>45</v>
      </c>
      <c r="D35" s="47" t="s">
        <v>46</v>
      </c>
      <c r="E35" s="47" t="s">
        <v>47</v>
      </c>
      <c r="F35" s="47" t="s">
        <v>48</v>
      </c>
      <c r="G35" s="47" t="s">
        <v>49</v>
      </c>
      <c r="H35" s="47" t="s">
        <v>50</v>
      </c>
    </row>
    <row r="36" spans="3:8" x14ac:dyDescent="0.25">
      <c r="C36" s="47" t="s">
        <v>51</v>
      </c>
      <c r="D36" s="37" t="s">
        <v>110</v>
      </c>
      <c r="E36" s="37"/>
      <c r="F36" s="37" t="s">
        <v>213</v>
      </c>
      <c r="G36" s="61">
        <v>0.5</v>
      </c>
      <c r="H36" s="37"/>
    </row>
    <row r="37" spans="3:8" ht="30" x14ac:dyDescent="0.25">
      <c r="C37" s="47" t="s">
        <v>55</v>
      </c>
      <c r="D37" s="37" t="s">
        <v>52</v>
      </c>
      <c r="E37" s="37" t="s">
        <v>53</v>
      </c>
      <c r="F37" s="37" t="s">
        <v>214</v>
      </c>
      <c r="G37" s="61">
        <v>0.5</v>
      </c>
      <c r="H37" s="37"/>
    </row>
    <row r="38" spans="3:8" x14ac:dyDescent="0.25">
      <c r="C38" s="47"/>
      <c r="D38" s="36"/>
      <c r="E38" s="36"/>
      <c r="F38" s="36"/>
      <c r="G38" s="36"/>
      <c r="H38" s="36"/>
    </row>
    <row r="40" spans="3:8" ht="18.75" x14ac:dyDescent="0.25">
      <c r="C40" s="46" t="s">
        <v>62</v>
      </c>
      <c r="D40" s="53"/>
    </row>
    <row r="41" spans="3:8" ht="30" x14ac:dyDescent="0.25">
      <c r="C41" s="44" t="s">
        <v>45</v>
      </c>
      <c r="D41" s="44" t="s">
        <v>35</v>
      </c>
      <c r="E41" s="44" t="s">
        <v>63</v>
      </c>
      <c r="F41" s="44" t="s">
        <v>64</v>
      </c>
    </row>
    <row r="42" spans="3:8" x14ac:dyDescent="0.25">
      <c r="C42" s="62" t="s">
        <v>51</v>
      </c>
      <c r="D42" s="36" t="s">
        <v>37</v>
      </c>
      <c r="E42" s="36" t="s">
        <v>113</v>
      </c>
      <c r="F42" s="36" t="s">
        <v>215</v>
      </c>
    </row>
    <row r="43" spans="3:8" x14ac:dyDescent="0.25">
      <c r="C43" s="62" t="s">
        <v>51</v>
      </c>
      <c r="D43" s="36" t="s">
        <v>41</v>
      </c>
      <c r="E43" s="36" t="s">
        <v>71</v>
      </c>
      <c r="F43" s="36" t="s">
        <v>73</v>
      </c>
    </row>
    <row r="44" spans="3:8" x14ac:dyDescent="0.25">
      <c r="C44" s="62" t="s">
        <v>51</v>
      </c>
      <c r="D44" s="36" t="s">
        <v>42</v>
      </c>
      <c r="E44" s="36" t="s">
        <v>74</v>
      </c>
      <c r="F44" s="36" t="s">
        <v>75</v>
      </c>
    </row>
    <row r="45" spans="3:8" x14ac:dyDescent="0.25">
      <c r="C45" s="62" t="s">
        <v>55</v>
      </c>
      <c r="D45" s="36" t="s">
        <v>37</v>
      </c>
      <c r="E45" s="36" t="s">
        <v>161</v>
      </c>
      <c r="F45" s="36" t="s">
        <v>162</v>
      </c>
    </row>
    <row r="46" spans="3:8" x14ac:dyDescent="0.25">
      <c r="C46" s="62" t="s">
        <v>55</v>
      </c>
      <c r="D46" s="36" t="s">
        <v>39</v>
      </c>
      <c r="E46" s="36" t="s">
        <v>65</v>
      </c>
      <c r="F46" s="36" t="s">
        <v>66</v>
      </c>
    </row>
    <row r="48" spans="3:8" ht="18.75" x14ac:dyDescent="0.25">
      <c r="C48" s="46" t="s">
        <v>77</v>
      </c>
    </row>
    <row r="49" spans="2:6" x14ac:dyDescent="0.25">
      <c r="B49" s="41" t="s">
        <v>78</v>
      </c>
      <c r="C49" s="44" t="s">
        <v>79</v>
      </c>
      <c r="D49" s="44" t="s">
        <v>80</v>
      </c>
      <c r="E49" s="44" t="s">
        <v>81</v>
      </c>
      <c r="F49" s="44" t="s">
        <v>82</v>
      </c>
    </row>
    <row r="50" spans="2:6" x14ac:dyDescent="0.25">
      <c r="B50" s="63">
        <v>1</v>
      </c>
      <c r="C50" s="44">
        <v>1</v>
      </c>
      <c r="D50" s="37"/>
      <c r="E50" s="37"/>
      <c r="F50" s="37"/>
    </row>
    <row r="51" spans="2:6" x14ac:dyDescent="0.25">
      <c r="B51" s="63">
        <v>1</v>
      </c>
      <c r="C51" s="44">
        <v>2</v>
      </c>
      <c r="D51" s="37"/>
      <c r="E51" s="37"/>
      <c r="F51" s="37"/>
    </row>
    <row r="52" spans="2:6" x14ac:dyDescent="0.25">
      <c r="B52" s="63">
        <v>1</v>
      </c>
      <c r="C52" s="44">
        <v>3</v>
      </c>
      <c r="D52" s="37"/>
      <c r="E52" s="37"/>
      <c r="F52" s="37"/>
    </row>
    <row r="53" spans="2:6" x14ac:dyDescent="0.25">
      <c r="B53" s="63">
        <v>1</v>
      </c>
      <c r="C53" s="44">
        <v>4</v>
      </c>
      <c r="D53" s="37"/>
      <c r="E53" s="37"/>
      <c r="F53" s="37"/>
    </row>
    <row r="54" spans="2:6" x14ac:dyDescent="0.25">
      <c r="B54" s="63">
        <v>1</v>
      </c>
      <c r="C54" s="44">
        <v>5</v>
      </c>
      <c r="D54" s="37"/>
      <c r="E54" s="37"/>
      <c r="F54" s="37"/>
    </row>
    <row r="55" spans="2:6" x14ac:dyDescent="0.25">
      <c r="B55" s="63">
        <v>1</v>
      </c>
      <c r="C55" s="44">
        <v>6</v>
      </c>
      <c r="D55" s="37"/>
      <c r="E55" s="37"/>
      <c r="F55" s="37"/>
    </row>
    <row r="56" spans="2:6" x14ac:dyDescent="0.25">
      <c r="B56" s="63">
        <v>1</v>
      </c>
      <c r="C56" s="44">
        <v>7</v>
      </c>
      <c r="D56" s="37"/>
      <c r="E56" s="37"/>
      <c r="F56" s="37"/>
    </row>
    <row r="57" spans="2:6" x14ac:dyDescent="0.25">
      <c r="B57" s="63">
        <v>1</v>
      </c>
      <c r="C57" s="44">
        <v>8</v>
      </c>
      <c r="D57" s="37"/>
      <c r="E57" s="37"/>
      <c r="F57" s="37"/>
    </row>
    <row r="58" spans="2:6" x14ac:dyDescent="0.25">
      <c r="B58" s="63">
        <v>1</v>
      </c>
      <c r="C58" s="44">
        <v>9</v>
      </c>
      <c r="D58" s="37"/>
      <c r="E58" s="37"/>
      <c r="F58" s="37"/>
    </row>
    <row r="59" spans="2:6" x14ac:dyDescent="0.25">
      <c r="B59" s="63">
        <v>1</v>
      </c>
      <c r="C59" s="44">
        <v>10</v>
      </c>
      <c r="D59" s="37"/>
      <c r="E59" s="37"/>
      <c r="F59" s="37"/>
    </row>
    <row r="60" spans="2:6" x14ac:dyDescent="0.25">
      <c r="B60" s="63">
        <v>1</v>
      </c>
      <c r="C60" s="44">
        <v>11</v>
      </c>
      <c r="D60" s="37"/>
      <c r="E60" s="37"/>
      <c r="F60" s="37"/>
    </row>
    <row r="61" spans="2:6" x14ac:dyDescent="0.25">
      <c r="B61" s="63">
        <v>1</v>
      </c>
      <c r="C61" s="44">
        <v>12</v>
      </c>
      <c r="D61" s="37"/>
      <c r="E61" s="37"/>
      <c r="F61" s="37"/>
    </row>
    <row r="62" spans="2:6" x14ac:dyDescent="0.25">
      <c r="B62" s="63">
        <v>2</v>
      </c>
      <c r="C62" s="44">
        <v>1</v>
      </c>
      <c r="D62" s="37"/>
      <c r="E62" s="37"/>
      <c r="F62" s="37"/>
    </row>
    <row r="63" spans="2:6" x14ac:dyDescent="0.25">
      <c r="B63" s="63">
        <v>2</v>
      </c>
      <c r="C63" s="44">
        <v>2</v>
      </c>
      <c r="D63" s="37"/>
      <c r="E63" s="37"/>
      <c r="F63" s="37"/>
    </row>
    <row r="64" spans="2:6" x14ac:dyDescent="0.25">
      <c r="B64" s="63">
        <v>2</v>
      </c>
      <c r="C64" s="44">
        <v>3</v>
      </c>
      <c r="D64" s="37"/>
      <c r="E64" s="37"/>
      <c r="F64" s="37"/>
    </row>
    <row r="65" spans="2:6" x14ac:dyDescent="0.25">
      <c r="B65" s="63">
        <v>2</v>
      </c>
      <c r="C65" s="44">
        <v>4</v>
      </c>
      <c r="D65" s="37"/>
      <c r="E65" s="37"/>
      <c r="F65" s="37"/>
    </row>
    <row r="66" spans="2:6" x14ac:dyDescent="0.25">
      <c r="B66" s="63">
        <v>2</v>
      </c>
      <c r="C66" s="44">
        <v>5</v>
      </c>
      <c r="D66" s="37"/>
      <c r="E66" s="37"/>
      <c r="F66" s="37"/>
    </row>
    <row r="67" spans="2:6" x14ac:dyDescent="0.25">
      <c r="B67" s="63">
        <v>2</v>
      </c>
      <c r="C67" s="44">
        <v>6</v>
      </c>
      <c r="D67" s="37"/>
      <c r="E67" s="37"/>
      <c r="F67" s="37"/>
    </row>
    <row r="68" spans="2:6" x14ac:dyDescent="0.25">
      <c r="B68" s="63">
        <v>2</v>
      </c>
      <c r="C68" s="44">
        <v>7</v>
      </c>
      <c r="D68" s="37"/>
      <c r="E68" s="37"/>
      <c r="F68" s="37"/>
    </row>
    <row r="69" spans="2:6" x14ac:dyDescent="0.25">
      <c r="B69" s="63">
        <v>2</v>
      </c>
      <c r="C69" s="44">
        <v>8</v>
      </c>
      <c r="D69" s="37"/>
      <c r="E69" s="37"/>
      <c r="F69" s="37"/>
    </row>
    <row r="70" spans="2:6" x14ac:dyDescent="0.25">
      <c r="B70" s="63">
        <v>2</v>
      </c>
      <c r="C70" s="44">
        <v>9</v>
      </c>
      <c r="D70" s="37"/>
      <c r="E70" s="37"/>
      <c r="F70" s="37"/>
    </row>
    <row r="71" spans="2:6" x14ac:dyDescent="0.25">
      <c r="B71" s="63">
        <v>2</v>
      </c>
      <c r="C71" s="44">
        <v>10</v>
      </c>
      <c r="D71" s="37"/>
      <c r="E71" s="37"/>
      <c r="F71" s="37"/>
    </row>
    <row r="72" spans="2:6" x14ac:dyDescent="0.25">
      <c r="B72" s="63">
        <v>2</v>
      </c>
      <c r="C72" s="44">
        <v>11</v>
      </c>
      <c r="D72" s="37"/>
      <c r="E72" s="37"/>
      <c r="F72" s="37"/>
    </row>
    <row r="73" spans="2:6" x14ac:dyDescent="0.25">
      <c r="B73" s="63">
        <v>2</v>
      </c>
      <c r="C73" s="44">
        <v>12</v>
      </c>
      <c r="D73" s="37"/>
      <c r="E73" s="37"/>
      <c r="F73" s="37"/>
    </row>
  </sheetData>
  <sheetProtection sheet="1" objects="1" scenario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6:E37" xr:uid="{DFA2EEE3-AB9D-4F7C-8E30-3C3C00872C8A}">
      <formula1>INDIRECT("LISTAssess[Assessment Specific]")</formula1>
    </dataValidation>
    <dataValidation type="list" allowBlank="1" showInputMessage="1" showErrorMessage="1" sqref="F42:F46" xr:uid="{BD0B3AD5-4A05-466E-9EAF-E466604786A1}">
      <formula1>INDIRECT(VLOOKUP($E42, SkillNameMap, 2, FALSE))</formula1>
    </dataValidation>
  </dataValidations>
  <pageMargins left="0.7" right="0.7" top="0.75" bottom="0.75" header="0.3" footer="0.3"/>
  <pageSetup paperSize="9" orientation="portrait" horizontalDpi="4294967293" verticalDpi="0" r:id="rId1"/>
  <tableParts count="9">
    <tablePart r:id="rId2"/>
    <tablePart r:id="rId3"/>
    <tablePart r:id="rId4"/>
    <tablePart r:id="rId5"/>
    <tablePart r:id="rId6"/>
    <tablePart r:id="rId7"/>
    <tablePart r:id="rId8"/>
    <tablePart r:id="rId9"/>
    <tablePart r:id="rId10"/>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1AB77DFB-5427-40D4-BAEB-24C786FA7A86}">
          <x14:formula1>
            <xm:f>LISTS!$E$7:$E$11</xm:f>
          </x14:formula1>
          <xm:sqref>D42:D46</xm:sqref>
        </x14:dataValidation>
        <x14:dataValidation type="list" allowBlank="1" showInputMessage="1" showErrorMessage="1" xr:uid="{EB948922-0A22-4BD6-8094-4C6953146F85}">
          <x14:formula1>
            <xm:f>LISTS!$J$7:$J$16</xm:f>
          </x14:formula1>
          <xm:sqref>E42:E46</xm:sqref>
        </x14:dataValidation>
        <x14:dataValidation type="list" allowBlank="1" showInputMessage="1" showErrorMessage="1" xr:uid="{20095D0C-07FE-4EE7-BFEC-317D253839B4}">
          <x14:formula1>
            <xm:f>LISTS!$G$7:$G$11</xm:f>
          </x14:formula1>
          <xm:sqref>D36:D37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E4640-53EE-495F-B2DD-6A7F9E57B5E0}">
  <dimension ref="A1:N29"/>
  <sheetViews>
    <sheetView tabSelected="1" workbookViewId="0">
      <selection activeCell="D48" sqref="D48"/>
    </sheetView>
  </sheetViews>
  <sheetFormatPr defaultRowHeight="15" x14ac:dyDescent="0.25"/>
  <cols>
    <col min="1" max="1" width="13.5703125" bestFit="1" customWidth="1"/>
    <col min="2" max="2" width="49" bestFit="1" customWidth="1"/>
    <col min="3" max="3" width="12.28515625" bestFit="1" customWidth="1"/>
    <col min="4" max="4" width="16.5703125" bestFit="1" customWidth="1"/>
    <col min="5" max="5" width="16.28515625" bestFit="1" customWidth="1"/>
    <col min="6" max="6" width="15.5703125" bestFit="1" customWidth="1"/>
    <col min="7" max="7" width="81.140625" bestFit="1" customWidth="1"/>
    <col min="8" max="8" width="15.28515625" bestFit="1" customWidth="1"/>
    <col min="9" max="9" width="17.42578125" bestFit="1" customWidth="1"/>
    <col min="10" max="10" width="19.140625" bestFit="1" customWidth="1"/>
    <col min="11" max="11" width="22.28515625" bestFit="1" customWidth="1"/>
    <col min="12" max="12" width="81.140625" bestFit="1" customWidth="1"/>
    <col min="13" max="13" width="12.42578125" bestFit="1" customWidth="1"/>
    <col min="14" max="14" width="81.140625" bestFit="1" customWidth="1"/>
  </cols>
  <sheetData>
    <row r="1" spans="1:14" x14ac:dyDescent="0.25">
      <c r="A1" t="s">
        <v>390</v>
      </c>
      <c r="B1" t="s">
        <v>391</v>
      </c>
      <c r="C1" t="s">
        <v>392</v>
      </c>
      <c r="D1" t="s">
        <v>393</v>
      </c>
      <c r="E1" t="s">
        <v>394</v>
      </c>
      <c r="F1" t="s">
        <v>395</v>
      </c>
      <c r="G1" t="s">
        <v>396</v>
      </c>
      <c r="H1" t="s">
        <v>397</v>
      </c>
      <c r="I1" t="s">
        <v>45</v>
      </c>
      <c r="J1" t="s">
        <v>46</v>
      </c>
      <c r="K1" t="s">
        <v>47</v>
      </c>
      <c r="L1" t="s">
        <v>48</v>
      </c>
      <c r="M1" t="s">
        <v>49</v>
      </c>
      <c r="N1" t="s">
        <v>50</v>
      </c>
    </row>
    <row r="2" spans="1:14" x14ac:dyDescent="0.25">
      <c r="A2" t="s">
        <v>398</v>
      </c>
      <c r="B2" t="s">
        <v>399</v>
      </c>
      <c r="C2" t="s">
        <v>400</v>
      </c>
      <c r="D2" s="69"/>
      <c r="E2" s="69">
        <v>46258.70616898148</v>
      </c>
      <c r="F2" s="69">
        <v>46206.418333333335</v>
      </c>
      <c r="G2" t="s">
        <v>401</v>
      </c>
      <c r="H2" t="s">
        <v>402</v>
      </c>
      <c r="I2" t="s">
        <v>51</v>
      </c>
      <c r="J2" t="s">
        <v>52</v>
      </c>
      <c r="K2" t="s">
        <v>53</v>
      </c>
      <c r="L2" t="s">
        <v>54</v>
      </c>
      <c r="M2">
        <v>0.5</v>
      </c>
      <c r="N2">
        <v>12</v>
      </c>
    </row>
    <row r="3" spans="1:14" x14ac:dyDescent="0.25">
      <c r="A3" t="s">
        <v>398</v>
      </c>
      <c r="B3" t="s">
        <v>399</v>
      </c>
      <c r="C3" t="s">
        <v>400</v>
      </c>
      <c r="D3" s="69"/>
      <c r="E3" s="69">
        <v>46258.70616898148</v>
      </c>
      <c r="F3" s="69">
        <v>46206.418333333335</v>
      </c>
      <c r="G3" t="s">
        <v>401</v>
      </c>
      <c r="H3" t="s">
        <v>402</v>
      </c>
      <c r="I3" t="s">
        <v>55</v>
      </c>
      <c r="J3" t="s">
        <v>56</v>
      </c>
      <c r="K3" t="s">
        <v>57</v>
      </c>
      <c r="L3" t="s">
        <v>58</v>
      </c>
      <c r="M3">
        <v>0.5</v>
      </c>
      <c r="N3" t="s">
        <v>59</v>
      </c>
    </row>
    <row r="4" spans="1:14" x14ac:dyDescent="0.25">
      <c r="A4" t="s">
        <v>398</v>
      </c>
      <c r="B4" t="s">
        <v>399</v>
      </c>
      <c r="C4" t="s">
        <v>400</v>
      </c>
      <c r="D4" s="69"/>
      <c r="E4" s="69">
        <v>46258.70616898148</v>
      </c>
      <c r="F4" s="69">
        <v>46206.418333333335</v>
      </c>
      <c r="G4" t="s">
        <v>401</v>
      </c>
      <c r="H4" t="s">
        <v>403</v>
      </c>
      <c r="I4" t="s">
        <v>51</v>
      </c>
      <c r="J4" t="s">
        <v>52</v>
      </c>
      <c r="K4" t="s">
        <v>108</v>
      </c>
      <c r="L4" t="s">
        <v>109</v>
      </c>
      <c r="M4">
        <v>0.4</v>
      </c>
      <c r="N4">
        <v>7</v>
      </c>
    </row>
    <row r="5" spans="1:14" x14ac:dyDescent="0.25">
      <c r="A5" t="s">
        <v>398</v>
      </c>
      <c r="B5" t="s">
        <v>399</v>
      </c>
      <c r="C5" t="s">
        <v>400</v>
      </c>
      <c r="D5" s="69"/>
      <c r="E5" s="69">
        <v>46258.70616898148</v>
      </c>
      <c r="F5" s="69">
        <v>46206.418333333335</v>
      </c>
      <c r="G5" t="s">
        <v>401</v>
      </c>
      <c r="H5" t="s">
        <v>403</v>
      </c>
      <c r="I5" t="s">
        <v>55</v>
      </c>
      <c r="J5" t="s">
        <v>110</v>
      </c>
      <c r="K5" t="s">
        <v>111</v>
      </c>
      <c r="L5" t="s">
        <v>112</v>
      </c>
      <c r="M5">
        <v>0.6</v>
      </c>
      <c r="N5">
        <v>12</v>
      </c>
    </row>
    <row r="6" spans="1:14" x14ac:dyDescent="0.25">
      <c r="A6" t="s">
        <v>398</v>
      </c>
      <c r="B6" t="s">
        <v>399</v>
      </c>
      <c r="C6" t="s">
        <v>400</v>
      </c>
      <c r="D6" s="69"/>
      <c r="E6" s="69">
        <v>46258.70616898148</v>
      </c>
      <c r="F6" s="69">
        <v>46206.418333333335</v>
      </c>
      <c r="G6" t="s">
        <v>401</v>
      </c>
      <c r="H6" t="s">
        <v>404</v>
      </c>
      <c r="I6" t="s">
        <v>51</v>
      </c>
      <c r="J6" t="s">
        <v>110</v>
      </c>
      <c r="K6" t="s">
        <v>156</v>
      </c>
      <c r="L6" t="s">
        <v>157</v>
      </c>
      <c r="M6">
        <v>0.5</v>
      </c>
      <c r="N6">
        <v>10</v>
      </c>
    </row>
    <row r="7" spans="1:14" x14ac:dyDescent="0.25">
      <c r="A7" t="s">
        <v>398</v>
      </c>
      <c r="B7" t="s">
        <v>399</v>
      </c>
      <c r="C7" t="s">
        <v>400</v>
      </c>
      <c r="D7" s="69"/>
      <c r="E7" s="69">
        <v>46258.70616898148</v>
      </c>
      <c r="F7" s="69">
        <v>46206.418333333335</v>
      </c>
      <c r="G7" t="s">
        <v>401</v>
      </c>
      <c r="H7" t="s">
        <v>404</v>
      </c>
      <c r="I7" t="s">
        <v>55</v>
      </c>
      <c r="J7" t="s">
        <v>52</v>
      </c>
      <c r="K7" t="s">
        <v>158</v>
      </c>
      <c r="L7" t="s">
        <v>159</v>
      </c>
      <c r="M7">
        <v>0.5</v>
      </c>
      <c r="N7" t="s">
        <v>160</v>
      </c>
    </row>
    <row r="8" spans="1:14" x14ac:dyDescent="0.25">
      <c r="A8" t="s">
        <v>398</v>
      </c>
      <c r="B8" t="s">
        <v>399</v>
      </c>
      <c r="C8" t="s">
        <v>400</v>
      </c>
      <c r="D8" s="69"/>
      <c r="E8" s="69">
        <v>46258.70616898148</v>
      </c>
      <c r="F8" s="69">
        <v>46206.418333333335</v>
      </c>
      <c r="G8" t="s">
        <v>401</v>
      </c>
      <c r="H8" t="s">
        <v>405</v>
      </c>
      <c r="I8" t="s">
        <v>51</v>
      </c>
      <c r="J8" t="s">
        <v>52</v>
      </c>
      <c r="K8" t="s">
        <v>108</v>
      </c>
      <c r="L8" t="s">
        <v>177</v>
      </c>
      <c r="M8">
        <v>0.5</v>
      </c>
      <c r="N8">
        <v>6</v>
      </c>
    </row>
    <row r="9" spans="1:14" x14ac:dyDescent="0.25">
      <c r="A9" t="s">
        <v>398</v>
      </c>
      <c r="B9" t="s">
        <v>399</v>
      </c>
      <c r="C9" t="s">
        <v>400</v>
      </c>
      <c r="D9" s="69"/>
      <c r="E9" s="69">
        <v>46258.70616898148</v>
      </c>
      <c r="F9" s="69">
        <v>46206.418333333335</v>
      </c>
      <c r="G9" t="s">
        <v>401</v>
      </c>
      <c r="H9" t="s">
        <v>406</v>
      </c>
      <c r="I9" t="s">
        <v>51</v>
      </c>
      <c r="J9" t="s">
        <v>228</v>
      </c>
      <c r="K9" t="s">
        <v>229</v>
      </c>
      <c r="L9" t="s">
        <v>230</v>
      </c>
      <c r="M9">
        <v>0.5</v>
      </c>
      <c r="N9">
        <v>7</v>
      </c>
    </row>
    <row r="10" spans="1:14" x14ac:dyDescent="0.25">
      <c r="A10" t="s">
        <v>398</v>
      </c>
      <c r="B10" t="s">
        <v>399</v>
      </c>
      <c r="C10" t="s">
        <v>400</v>
      </c>
      <c r="D10" s="69"/>
      <c r="E10" s="69">
        <v>46258.70616898148</v>
      </c>
      <c r="F10" s="69">
        <v>46206.418333333335</v>
      </c>
      <c r="G10" t="s">
        <v>401</v>
      </c>
      <c r="H10" t="s">
        <v>406</v>
      </c>
      <c r="I10" t="s">
        <v>55</v>
      </c>
      <c r="J10" t="s">
        <v>52</v>
      </c>
      <c r="K10" t="s">
        <v>53</v>
      </c>
      <c r="L10" t="s">
        <v>231</v>
      </c>
      <c r="M10">
        <v>0.5</v>
      </c>
      <c r="N10">
        <v>12</v>
      </c>
    </row>
    <row r="11" spans="1:14" x14ac:dyDescent="0.25">
      <c r="A11" t="s">
        <v>398</v>
      </c>
      <c r="B11" t="s">
        <v>399</v>
      </c>
      <c r="C11" t="s">
        <v>400</v>
      </c>
      <c r="D11" s="69"/>
      <c r="E11" s="69">
        <v>46258.70616898148</v>
      </c>
      <c r="F11" s="69">
        <v>46206.418333333335</v>
      </c>
      <c r="G11" t="s">
        <v>401</v>
      </c>
      <c r="H11" t="s">
        <v>407</v>
      </c>
      <c r="I11" t="s">
        <v>51</v>
      </c>
      <c r="J11" t="s">
        <v>56</v>
      </c>
      <c r="K11" t="s">
        <v>108</v>
      </c>
      <c r="L11" t="s">
        <v>287</v>
      </c>
      <c r="M11">
        <v>1</v>
      </c>
      <c r="N11">
        <v>12</v>
      </c>
    </row>
    <row r="12" spans="1:14" x14ac:dyDescent="0.25">
      <c r="A12" t="s">
        <v>398</v>
      </c>
      <c r="B12" t="s">
        <v>399</v>
      </c>
      <c r="C12" t="s">
        <v>400</v>
      </c>
      <c r="D12" s="69"/>
      <c r="E12" s="69">
        <v>46258.70616898148</v>
      </c>
      <c r="F12" s="69">
        <v>46206.418333333335</v>
      </c>
      <c r="G12" t="s">
        <v>401</v>
      </c>
      <c r="H12" t="s">
        <v>408</v>
      </c>
      <c r="I12" t="s">
        <v>51</v>
      </c>
      <c r="J12" t="s">
        <v>52</v>
      </c>
      <c r="K12" t="s">
        <v>53</v>
      </c>
      <c r="L12" t="s">
        <v>268</v>
      </c>
      <c r="M12">
        <v>0.3</v>
      </c>
      <c r="N12">
        <v>6</v>
      </c>
    </row>
    <row r="13" spans="1:14" x14ac:dyDescent="0.25">
      <c r="A13" t="s">
        <v>398</v>
      </c>
      <c r="B13" t="s">
        <v>399</v>
      </c>
      <c r="C13" t="s">
        <v>400</v>
      </c>
      <c r="D13" s="69"/>
      <c r="E13" s="69">
        <v>46258.70616898148</v>
      </c>
      <c r="F13" s="69">
        <v>46206.418333333335</v>
      </c>
      <c r="G13" t="s">
        <v>401</v>
      </c>
      <c r="H13" t="s">
        <v>408</v>
      </c>
      <c r="I13" t="s">
        <v>55</v>
      </c>
      <c r="J13" t="s">
        <v>110</v>
      </c>
      <c r="K13" t="s">
        <v>156</v>
      </c>
      <c r="L13" t="s">
        <v>269</v>
      </c>
      <c r="M13">
        <v>0.7</v>
      </c>
      <c r="N13">
        <v>12</v>
      </c>
    </row>
    <row r="14" spans="1:14" x14ac:dyDescent="0.25">
      <c r="A14" t="s">
        <v>398</v>
      </c>
      <c r="B14" t="s">
        <v>399</v>
      </c>
      <c r="C14" t="s">
        <v>400</v>
      </c>
      <c r="D14" s="69"/>
      <c r="E14" s="69">
        <v>46258.70616898148</v>
      </c>
      <c r="F14" s="69">
        <v>46206.418333333335</v>
      </c>
      <c r="G14" t="s">
        <v>401</v>
      </c>
      <c r="H14" t="s">
        <v>409</v>
      </c>
      <c r="I14" t="s">
        <v>51</v>
      </c>
      <c r="J14" t="s">
        <v>110</v>
      </c>
      <c r="L14" t="s">
        <v>213</v>
      </c>
      <c r="M14">
        <v>0.5</v>
      </c>
    </row>
    <row r="15" spans="1:14" x14ac:dyDescent="0.25">
      <c r="A15" t="s">
        <v>398</v>
      </c>
      <c r="B15" t="s">
        <v>399</v>
      </c>
      <c r="C15" t="s">
        <v>400</v>
      </c>
      <c r="D15" s="69"/>
      <c r="E15" s="69">
        <v>46258.70616898148</v>
      </c>
      <c r="F15" s="69">
        <v>46206.418333333335</v>
      </c>
      <c r="G15" t="s">
        <v>401</v>
      </c>
      <c r="H15" t="s">
        <v>409</v>
      </c>
      <c r="I15" t="s">
        <v>55</v>
      </c>
      <c r="J15" t="s">
        <v>52</v>
      </c>
      <c r="K15" t="s">
        <v>53</v>
      </c>
      <c r="L15" t="s">
        <v>214</v>
      </c>
      <c r="M15">
        <v>0.5</v>
      </c>
    </row>
    <row r="16" spans="1:14" x14ac:dyDescent="0.25">
      <c r="A16" t="s">
        <v>398</v>
      </c>
      <c r="B16" t="s">
        <v>410</v>
      </c>
      <c r="C16" t="s">
        <v>400</v>
      </c>
      <c r="D16" s="69"/>
      <c r="E16" s="69">
        <v>46258.532002314816</v>
      </c>
      <c r="F16" s="69">
        <v>46206.421469907407</v>
      </c>
      <c r="G16" t="s">
        <v>411</v>
      </c>
      <c r="H16" t="s">
        <v>412</v>
      </c>
      <c r="I16" t="s">
        <v>51</v>
      </c>
      <c r="J16" t="s">
        <v>56</v>
      </c>
      <c r="K16" t="s">
        <v>304</v>
      </c>
      <c r="L16" t="s">
        <v>413</v>
      </c>
      <c r="M16">
        <v>0.5</v>
      </c>
      <c r="N16">
        <v>6</v>
      </c>
    </row>
    <row r="17" spans="1:14" x14ac:dyDescent="0.25">
      <c r="A17" t="s">
        <v>398</v>
      </c>
      <c r="B17" t="s">
        <v>410</v>
      </c>
      <c r="C17" t="s">
        <v>400</v>
      </c>
      <c r="D17" s="69"/>
      <c r="E17" s="69">
        <v>46258.532002314816</v>
      </c>
      <c r="F17" s="69">
        <v>46206.421469907407</v>
      </c>
      <c r="G17" t="s">
        <v>411</v>
      </c>
      <c r="H17" t="s">
        <v>412</v>
      </c>
      <c r="I17" t="s">
        <v>55</v>
      </c>
      <c r="J17" t="s">
        <v>228</v>
      </c>
      <c r="K17" t="s">
        <v>331</v>
      </c>
      <c r="L17" t="s">
        <v>414</v>
      </c>
      <c r="M17">
        <v>0.5</v>
      </c>
      <c r="N17">
        <v>12</v>
      </c>
    </row>
    <row r="18" spans="1:14" x14ac:dyDescent="0.25">
      <c r="A18" t="s">
        <v>398</v>
      </c>
      <c r="B18" t="s">
        <v>410</v>
      </c>
      <c r="C18" t="s">
        <v>400</v>
      </c>
      <c r="D18" s="69"/>
      <c r="E18" s="69">
        <v>46258.532002314816</v>
      </c>
      <c r="F18" s="69">
        <v>46206.421469907407</v>
      </c>
      <c r="G18" t="s">
        <v>411</v>
      </c>
      <c r="H18" t="s">
        <v>415</v>
      </c>
      <c r="I18" t="s">
        <v>51</v>
      </c>
      <c r="J18" t="s">
        <v>228</v>
      </c>
      <c r="K18" t="s">
        <v>328</v>
      </c>
      <c r="L18" t="s">
        <v>416</v>
      </c>
      <c r="M18">
        <v>0.35</v>
      </c>
      <c r="N18">
        <v>6</v>
      </c>
    </row>
    <row r="19" spans="1:14" x14ac:dyDescent="0.25">
      <c r="A19" t="s">
        <v>398</v>
      </c>
      <c r="B19" t="s">
        <v>410</v>
      </c>
      <c r="C19" t="s">
        <v>400</v>
      </c>
      <c r="D19" s="69"/>
      <c r="E19" s="69">
        <v>46258.532002314816</v>
      </c>
      <c r="F19" s="69">
        <v>46206.421469907407</v>
      </c>
      <c r="G19" t="s">
        <v>411</v>
      </c>
      <c r="H19" t="s">
        <v>415</v>
      </c>
      <c r="I19" t="s">
        <v>55</v>
      </c>
      <c r="J19" t="s">
        <v>52</v>
      </c>
      <c r="K19" t="s">
        <v>318</v>
      </c>
      <c r="L19" t="s">
        <v>417</v>
      </c>
      <c r="M19">
        <v>0.65</v>
      </c>
      <c r="N19">
        <v>13</v>
      </c>
    </row>
    <row r="20" spans="1:14" x14ac:dyDescent="0.25">
      <c r="A20" t="s">
        <v>398</v>
      </c>
      <c r="B20" t="s">
        <v>410</v>
      </c>
      <c r="C20" t="s">
        <v>400</v>
      </c>
      <c r="D20" s="69"/>
      <c r="E20" s="69">
        <v>46258.532002314816</v>
      </c>
      <c r="F20" s="69">
        <v>46206.421469907407</v>
      </c>
      <c r="G20" t="s">
        <v>411</v>
      </c>
      <c r="H20" t="s">
        <v>418</v>
      </c>
      <c r="I20" t="s">
        <v>51</v>
      </c>
      <c r="J20" t="s">
        <v>52</v>
      </c>
      <c r="K20" t="s">
        <v>108</v>
      </c>
      <c r="L20" t="s">
        <v>419</v>
      </c>
      <c r="M20">
        <v>0.5</v>
      </c>
      <c r="N20">
        <v>6</v>
      </c>
    </row>
    <row r="21" spans="1:14" x14ac:dyDescent="0.25">
      <c r="A21" t="s">
        <v>398</v>
      </c>
      <c r="B21" t="s">
        <v>410</v>
      </c>
      <c r="C21" t="s">
        <v>400</v>
      </c>
      <c r="D21" s="69"/>
      <c r="E21" s="69">
        <v>46258.532002314816</v>
      </c>
      <c r="F21" s="69">
        <v>46206.421469907407</v>
      </c>
      <c r="G21" t="s">
        <v>411</v>
      </c>
      <c r="H21" t="s">
        <v>418</v>
      </c>
      <c r="I21" t="s">
        <v>55</v>
      </c>
      <c r="J21" t="s">
        <v>110</v>
      </c>
      <c r="K21" t="s">
        <v>111</v>
      </c>
      <c r="L21" t="s">
        <v>420</v>
      </c>
      <c r="M21">
        <v>0.5</v>
      </c>
      <c r="N21">
        <v>12</v>
      </c>
    </row>
    <row r="22" spans="1:14" x14ac:dyDescent="0.25">
      <c r="A22" t="s">
        <v>398</v>
      </c>
      <c r="B22" t="s">
        <v>410</v>
      </c>
      <c r="C22" t="s">
        <v>400</v>
      </c>
      <c r="D22" s="69"/>
      <c r="E22" s="69">
        <v>46258.532002314816</v>
      </c>
      <c r="F22" s="69">
        <v>46206.421469907407</v>
      </c>
      <c r="G22" t="s">
        <v>411</v>
      </c>
      <c r="H22" t="s">
        <v>421</v>
      </c>
      <c r="I22" t="s">
        <v>51</v>
      </c>
      <c r="J22" t="s">
        <v>110</v>
      </c>
      <c r="K22" t="s">
        <v>304</v>
      </c>
      <c r="L22" t="s">
        <v>422</v>
      </c>
      <c r="M22">
        <v>0.5</v>
      </c>
      <c r="N22">
        <v>8</v>
      </c>
    </row>
    <row r="23" spans="1:14" x14ac:dyDescent="0.25">
      <c r="A23" t="s">
        <v>398</v>
      </c>
      <c r="B23" t="s">
        <v>410</v>
      </c>
      <c r="C23" t="s">
        <v>400</v>
      </c>
      <c r="D23" s="69"/>
      <c r="E23" s="69">
        <v>46258.532002314816</v>
      </c>
      <c r="F23" s="69">
        <v>46206.421469907407</v>
      </c>
      <c r="G23" t="s">
        <v>411</v>
      </c>
      <c r="H23" t="s">
        <v>421</v>
      </c>
      <c r="I23" t="s">
        <v>55</v>
      </c>
      <c r="J23" t="s">
        <v>52</v>
      </c>
      <c r="K23" t="s">
        <v>108</v>
      </c>
      <c r="L23" t="s">
        <v>423</v>
      </c>
      <c r="M23">
        <v>0.5</v>
      </c>
      <c r="N23" t="s">
        <v>424</v>
      </c>
    </row>
    <row r="24" spans="1:14" x14ac:dyDescent="0.25">
      <c r="A24" t="s">
        <v>398</v>
      </c>
      <c r="B24" t="s">
        <v>410</v>
      </c>
      <c r="C24" t="s">
        <v>400</v>
      </c>
      <c r="D24" s="69"/>
      <c r="E24" s="69">
        <v>46258.532002314816</v>
      </c>
      <c r="F24" s="69">
        <v>46206.421469907407</v>
      </c>
      <c r="G24" t="s">
        <v>411</v>
      </c>
      <c r="H24" t="s">
        <v>425</v>
      </c>
      <c r="I24" t="s">
        <v>51</v>
      </c>
      <c r="J24" t="s">
        <v>56</v>
      </c>
      <c r="K24" t="s">
        <v>304</v>
      </c>
      <c r="L24" t="s">
        <v>426</v>
      </c>
      <c r="M24">
        <v>0.5</v>
      </c>
      <c r="N24">
        <v>9</v>
      </c>
    </row>
    <row r="25" spans="1:14" x14ac:dyDescent="0.25">
      <c r="A25" t="s">
        <v>398</v>
      </c>
      <c r="B25" t="s">
        <v>410</v>
      </c>
      <c r="C25" t="s">
        <v>400</v>
      </c>
      <c r="D25" s="69"/>
      <c r="E25" s="69">
        <v>46258.532002314816</v>
      </c>
      <c r="F25" s="69">
        <v>46206.421469907407</v>
      </c>
      <c r="G25" t="s">
        <v>411</v>
      </c>
      <c r="H25" t="s">
        <v>425</v>
      </c>
      <c r="I25" t="s">
        <v>55</v>
      </c>
      <c r="J25" t="s">
        <v>228</v>
      </c>
      <c r="K25" t="s">
        <v>331</v>
      </c>
      <c r="L25" t="s">
        <v>427</v>
      </c>
      <c r="M25">
        <v>0.5</v>
      </c>
      <c r="N25">
        <v>12</v>
      </c>
    </row>
    <row r="26" spans="1:14" x14ac:dyDescent="0.25">
      <c r="A26" t="s">
        <v>398</v>
      </c>
      <c r="B26" t="s">
        <v>410</v>
      </c>
      <c r="C26" t="s">
        <v>400</v>
      </c>
      <c r="D26" s="69"/>
      <c r="E26" s="69">
        <v>46258.532002314816</v>
      </c>
      <c r="F26" s="69">
        <v>46206.421469907407</v>
      </c>
      <c r="G26" t="s">
        <v>411</v>
      </c>
      <c r="H26" t="s">
        <v>428</v>
      </c>
      <c r="I26" t="s">
        <v>51</v>
      </c>
      <c r="J26" t="s">
        <v>110</v>
      </c>
      <c r="K26" t="s">
        <v>306</v>
      </c>
      <c r="L26" t="s">
        <v>429</v>
      </c>
      <c r="M26">
        <v>0.6</v>
      </c>
      <c r="N26">
        <v>28</v>
      </c>
    </row>
    <row r="27" spans="1:14" x14ac:dyDescent="0.25">
      <c r="A27" t="s">
        <v>398</v>
      </c>
      <c r="B27" t="s">
        <v>410</v>
      </c>
      <c r="C27" t="s">
        <v>400</v>
      </c>
      <c r="D27" s="69"/>
      <c r="E27" s="69">
        <v>46258.532002314816</v>
      </c>
      <c r="F27" s="69">
        <v>46206.421469907407</v>
      </c>
      <c r="G27" t="s">
        <v>411</v>
      </c>
      <c r="H27" t="s">
        <v>428</v>
      </c>
      <c r="I27" t="s">
        <v>55</v>
      </c>
      <c r="J27" t="s">
        <v>52</v>
      </c>
      <c r="K27" t="s">
        <v>53</v>
      </c>
      <c r="L27" t="s">
        <v>430</v>
      </c>
      <c r="M27">
        <v>0.4</v>
      </c>
      <c r="N27">
        <v>28</v>
      </c>
    </row>
    <row r="28" spans="1:14" x14ac:dyDescent="0.25">
      <c r="A28" t="s">
        <v>398</v>
      </c>
      <c r="B28" t="s">
        <v>431</v>
      </c>
      <c r="C28" t="s">
        <v>400</v>
      </c>
      <c r="D28" s="69"/>
      <c r="E28" s="69">
        <v>46258.665937500002</v>
      </c>
      <c r="F28" s="69">
        <v>46206.423784722225</v>
      </c>
      <c r="G28" t="s">
        <v>432</v>
      </c>
      <c r="H28" t="s">
        <v>433</v>
      </c>
      <c r="I28" t="s">
        <v>51</v>
      </c>
      <c r="J28" t="s">
        <v>228</v>
      </c>
      <c r="K28" t="s">
        <v>331</v>
      </c>
      <c r="L28" t="s">
        <v>434</v>
      </c>
      <c r="M28">
        <v>0.5</v>
      </c>
      <c r="N28" t="s">
        <v>435</v>
      </c>
    </row>
    <row r="29" spans="1:14" x14ac:dyDescent="0.25">
      <c r="A29" t="s">
        <v>398</v>
      </c>
      <c r="B29" t="s">
        <v>431</v>
      </c>
      <c r="C29" t="s">
        <v>400</v>
      </c>
      <c r="D29" s="69"/>
      <c r="E29" s="69">
        <v>46258.665937500002</v>
      </c>
      <c r="F29" s="69">
        <v>46206.423784722225</v>
      </c>
      <c r="G29" t="s">
        <v>432</v>
      </c>
      <c r="H29" t="s">
        <v>433</v>
      </c>
      <c r="I29" t="s">
        <v>55</v>
      </c>
      <c r="J29" t="s">
        <v>228</v>
      </c>
      <c r="K29" t="s">
        <v>331</v>
      </c>
      <c r="L29" t="s">
        <v>436</v>
      </c>
      <c r="M29">
        <v>0.5</v>
      </c>
      <c r="N29" t="s">
        <v>437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47D85-800B-4162-9FEF-D3A5F5FCFE6C}">
  <dimension ref="A1"/>
  <sheetViews>
    <sheetView workbookViewId="0"/>
  </sheetViews>
  <sheetFormatPr defaultRowHeight="15" x14ac:dyDescent="0.2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9"/>
  <dimension ref="C4:T102"/>
  <sheetViews>
    <sheetView topLeftCell="A84" workbookViewId="0">
      <selection activeCell="C37" sqref="C37"/>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301</v>
      </c>
      <c r="E4" t="s">
        <v>302</v>
      </c>
      <c r="G4" t="s">
        <v>302</v>
      </c>
      <c r="J4" t="s">
        <v>303</v>
      </c>
    </row>
    <row r="7" spans="3:10" ht="15.75" customHeight="1" x14ac:dyDescent="0.25">
      <c r="C7" s="7">
        <v>1</v>
      </c>
      <c r="E7" t="s">
        <v>37</v>
      </c>
      <c r="G7" t="s">
        <v>110</v>
      </c>
      <c r="J7" t="s">
        <v>113</v>
      </c>
    </row>
    <row r="8" spans="3:10" x14ac:dyDescent="0.25">
      <c r="C8" s="7">
        <v>2</v>
      </c>
      <c r="E8" t="s">
        <v>39</v>
      </c>
      <c r="G8" t="s">
        <v>228</v>
      </c>
      <c r="J8" t="s">
        <v>180</v>
      </c>
    </row>
    <row r="9" spans="3:10" x14ac:dyDescent="0.25">
      <c r="C9" s="7" t="s">
        <v>201</v>
      </c>
      <c r="E9" t="s">
        <v>41</v>
      </c>
      <c r="G9" t="s">
        <v>52</v>
      </c>
      <c r="J9" t="s">
        <v>74</v>
      </c>
    </row>
    <row r="10" spans="3:10" x14ac:dyDescent="0.25">
      <c r="E10" t="s">
        <v>42</v>
      </c>
      <c r="G10" t="s">
        <v>27</v>
      </c>
      <c r="J10" t="s">
        <v>116</v>
      </c>
    </row>
    <row r="11" spans="3:10" x14ac:dyDescent="0.25">
      <c r="C11" s="7">
        <v>3</v>
      </c>
      <c r="E11" t="s">
        <v>43</v>
      </c>
      <c r="G11" t="s">
        <v>56</v>
      </c>
      <c r="J11" t="s">
        <v>71</v>
      </c>
    </row>
    <row r="12" spans="3:10" x14ac:dyDescent="0.25">
      <c r="C12" s="7">
        <v>4</v>
      </c>
      <c r="J12" t="s">
        <v>65</v>
      </c>
    </row>
    <row r="13" spans="3:10" x14ac:dyDescent="0.25">
      <c r="C13" s="7">
        <v>5</v>
      </c>
      <c r="J13" t="s">
        <v>161</v>
      </c>
    </row>
    <row r="14" spans="3:10" x14ac:dyDescent="0.25">
      <c r="C14" s="7">
        <v>6</v>
      </c>
      <c r="G14" t="s">
        <v>47</v>
      </c>
      <c r="J14" t="s">
        <v>289</v>
      </c>
    </row>
    <row r="15" spans="3:10" x14ac:dyDescent="0.25">
      <c r="C15" s="7">
        <v>7</v>
      </c>
      <c r="G15" t="s">
        <v>304</v>
      </c>
      <c r="J15" t="s">
        <v>69</v>
      </c>
    </row>
    <row r="16" spans="3:10" x14ac:dyDescent="0.25">
      <c r="G16" t="s">
        <v>57</v>
      </c>
      <c r="J16" t="s">
        <v>305</v>
      </c>
    </row>
    <row r="17" spans="3:20" x14ac:dyDescent="0.25">
      <c r="C17" t="s">
        <v>205</v>
      </c>
      <c r="G17" t="s">
        <v>306</v>
      </c>
    </row>
    <row r="18" spans="3:20" x14ac:dyDescent="0.25">
      <c r="C18" t="s">
        <v>307</v>
      </c>
      <c r="G18" t="s">
        <v>111</v>
      </c>
    </row>
    <row r="19" spans="3:20" x14ac:dyDescent="0.25">
      <c r="C19" t="s">
        <v>308</v>
      </c>
      <c r="G19" t="s">
        <v>108</v>
      </c>
      <c r="J19" t="s">
        <v>309</v>
      </c>
      <c r="K19" t="s">
        <v>310</v>
      </c>
    </row>
    <row r="20" spans="3:20" x14ac:dyDescent="0.25">
      <c r="C20" t="s">
        <v>311</v>
      </c>
      <c r="G20" t="s">
        <v>53</v>
      </c>
      <c r="J20" t="s">
        <v>113</v>
      </c>
      <c r="K20" t="s">
        <v>215</v>
      </c>
      <c r="O20" s="9" t="s">
        <v>312</v>
      </c>
      <c r="S20" s="14" t="s">
        <v>313</v>
      </c>
      <c r="T20" s="15" t="s">
        <v>314</v>
      </c>
    </row>
    <row r="21" spans="3:20" x14ac:dyDescent="0.25">
      <c r="C21" t="s">
        <v>315</v>
      </c>
      <c r="G21" t="s">
        <v>156</v>
      </c>
      <c r="J21" t="s">
        <v>113</v>
      </c>
      <c r="K21" t="s">
        <v>115</v>
      </c>
      <c r="O21" t="str" cm="1">
        <f t="array" ref="O21:O26">_xlfn._xlws.FILTER(LISTS_Table[Skill],LISTS_Table[Category]="Scientific Knowledge")</f>
        <v>Critical thinking</v>
      </c>
      <c r="S21" s="16" t="s">
        <v>113</v>
      </c>
      <c r="T21" s="17" t="s">
        <v>316</v>
      </c>
    </row>
    <row r="22" spans="3:20" x14ac:dyDescent="0.25">
      <c r="C22" t="s">
        <v>17</v>
      </c>
      <c r="G22" t="s">
        <v>229</v>
      </c>
      <c r="J22" t="s">
        <v>113</v>
      </c>
      <c r="K22" t="s">
        <v>114</v>
      </c>
      <c r="O22" t="str">
        <v>Scientific literacy</v>
      </c>
      <c r="S22" s="18" t="s">
        <v>180</v>
      </c>
      <c r="T22" s="19" t="s">
        <v>317</v>
      </c>
    </row>
    <row r="23" spans="3:20" x14ac:dyDescent="0.25">
      <c r="G23" t="s">
        <v>318</v>
      </c>
      <c r="J23" t="s">
        <v>113</v>
      </c>
      <c r="K23" t="s">
        <v>319</v>
      </c>
      <c r="O23" t="str">
        <v>Information retrieval</v>
      </c>
      <c r="S23" s="16" t="s">
        <v>74</v>
      </c>
      <c r="T23" s="17" t="s">
        <v>320</v>
      </c>
    </row>
    <row r="24" spans="3:20" x14ac:dyDescent="0.25">
      <c r="G24" t="s">
        <v>321</v>
      </c>
      <c r="J24" t="s">
        <v>113</v>
      </c>
      <c r="K24" t="s">
        <v>178</v>
      </c>
      <c r="O24" t="str">
        <v>Knowledge synthesis</v>
      </c>
      <c r="S24" s="18" t="s">
        <v>116</v>
      </c>
      <c r="T24" s="19" t="s">
        <v>322</v>
      </c>
    </row>
    <row r="25" spans="3:20" x14ac:dyDescent="0.25">
      <c r="G25" t="s">
        <v>158</v>
      </c>
      <c r="J25" t="s">
        <v>113</v>
      </c>
      <c r="K25" t="s">
        <v>323</v>
      </c>
      <c r="O25" t="str">
        <v>Domian-specfic analytical skills</v>
      </c>
      <c r="S25" s="16" t="s">
        <v>71</v>
      </c>
      <c r="T25" s="17" t="s">
        <v>324</v>
      </c>
    </row>
    <row r="26" spans="3:20" x14ac:dyDescent="0.25">
      <c r="C26" t="s">
        <v>20</v>
      </c>
      <c r="G26" t="s">
        <v>325</v>
      </c>
      <c r="J26" t="s">
        <v>180</v>
      </c>
      <c r="K26" t="s">
        <v>326</v>
      </c>
      <c r="O26" t="str">
        <v>Evidence evaluation</v>
      </c>
      <c r="S26" s="18" t="s">
        <v>65</v>
      </c>
      <c r="T26" s="19" t="s">
        <v>65</v>
      </c>
    </row>
    <row r="27" spans="3:20" x14ac:dyDescent="0.25">
      <c r="C27" t="s">
        <v>327</v>
      </c>
      <c r="G27" t="s">
        <v>328</v>
      </c>
      <c r="J27" t="s">
        <v>180</v>
      </c>
      <c r="K27" t="s">
        <v>232</v>
      </c>
      <c r="S27" s="16" t="s">
        <v>161</v>
      </c>
      <c r="T27" s="17" t="s">
        <v>329</v>
      </c>
    </row>
    <row r="28" spans="3:20" x14ac:dyDescent="0.25">
      <c r="C28" t="s">
        <v>330</v>
      </c>
      <c r="G28" t="s">
        <v>331</v>
      </c>
      <c r="J28" t="s">
        <v>180</v>
      </c>
      <c r="K28" t="s">
        <v>195</v>
      </c>
      <c r="O28" s="6" t="s">
        <v>332</v>
      </c>
      <c r="S28" s="18" t="s">
        <v>289</v>
      </c>
      <c r="T28" s="19" t="s">
        <v>333</v>
      </c>
    </row>
    <row r="29" spans="3:20" x14ac:dyDescent="0.25">
      <c r="C29" t="s">
        <v>334</v>
      </c>
      <c r="J29" t="s">
        <v>180</v>
      </c>
      <c r="K29" t="s">
        <v>335</v>
      </c>
      <c r="O29" t="str" cm="1">
        <f t="array" ref="O29:O34">_xlfn._xlws.FILTER(LISTS_Table[Skill],LISTS_Table[Category]="Technical Skills")</f>
        <v>Laboratory/clinical techniques</v>
      </c>
      <c r="S29" s="16" t="s">
        <v>69</v>
      </c>
      <c r="T29" s="17" t="s">
        <v>336</v>
      </c>
    </row>
    <row r="30" spans="3:20" x14ac:dyDescent="0.25">
      <c r="C30" t="s">
        <v>337</v>
      </c>
      <c r="J30" t="s">
        <v>180</v>
      </c>
      <c r="K30" t="s">
        <v>181</v>
      </c>
      <c r="O30" t="str">
        <v>Data collection</v>
      </c>
      <c r="S30" s="13" t="s">
        <v>305</v>
      </c>
      <c r="T30" s="11" t="s">
        <v>338</v>
      </c>
    </row>
    <row r="31" spans="3:20" x14ac:dyDescent="0.25">
      <c r="C31" t="s">
        <v>339</v>
      </c>
      <c r="J31" t="s">
        <v>180</v>
      </c>
      <c r="K31" t="s">
        <v>340</v>
      </c>
      <c r="O31" t="str">
        <v>Data analysis</v>
      </c>
    </row>
    <row r="32" spans="3:20" x14ac:dyDescent="0.25">
      <c r="C32" t="s">
        <v>341</v>
      </c>
      <c r="J32" t="s">
        <v>74</v>
      </c>
      <c r="K32" t="s">
        <v>179</v>
      </c>
      <c r="O32" t="str">
        <v>Digital literacy</v>
      </c>
    </row>
    <row r="33" spans="3:15" x14ac:dyDescent="0.25">
      <c r="C33" t="s">
        <v>342</v>
      </c>
      <c r="J33" t="s">
        <v>74</v>
      </c>
      <c r="K33" t="s">
        <v>343</v>
      </c>
      <c r="O33" t="str">
        <v>Equipment and technology utilisation</v>
      </c>
    </row>
    <row r="34" spans="3:15" x14ac:dyDescent="0.25">
      <c r="C34" t="s">
        <v>344</v>
      </c>
      <c r="J34" t="s">
        <v>74</v>
      </c>
      <c r="K34" t="s">
        <v>75</v>
      </c>
      <c r="O34" t="str">
        <v>Technical proficiency</v>
      </c>
    </row>
    <row r="35" spans="3:15" x14ac:dyDescent="0.25">
      <c r="C35" t="s">
        <v>345</v>
      </c>
      <c r="J35" t="s">
        <v>74</v>
      </c>
      <c r="K35" t="s">
        <v>118</v>
      </c>
    </row>
    <row r="36" spans="3:15" x14ac:dyDescent="0.25">
      <c r="C36" t="s">
        <v>346</v>
      </c>
      <c r="J36" t="s">
        <v>74</v>
      </c>
      <c r="K36" t="s">
        <v>347</v>
      </c>
      <c r="O36" s="9" t="s">
        <v>348</v>
      </c>
    </row>
    <row r="37" spans="3:15" x14ac:dyDescent="0.25">
      <c r="C37" t="s">
        <v>349</v>
      </c>
      <c r="J37" t="s">
        <v>74</v>
      </c>
      <c r="K37" t="s">
        <v>350</v>
      </c>
      <c r="O37" t="str" cm="1">
        <f t="array" ref="O37:O42">_xlfn._xlws.FILTER(LISTS_Table[Skill],LISTS_Table[Category]="Application of Knowledge and skills")</f>
        <v>Decision-making</v>
      </c>
    </row>
    <row r="38" spans="3:15" x14ac:dyDescent="0.25">
      <c r="J38" t="s">
        <v>116</v>
      </c>
      <c r="K38" t="s">
        <v>351</v>
      </c>
      <c r="O38" t="str">
        <v>Translational practice</v>
      </c>
    </row>
    <row r="39" spans="3:15" x14ac:dyDescent="0.25">
      <c r="J39" t="s">
        <v>116</v>
      </c>
      <c r="K39" t="s">
        <v>352</v>
      </c>
      <c r="O39" t="str">
        <v>Contextual application</v>
      </c>
    </row>
    <row r="40" spans="3:15" x14ac:dyDescent="0.25">
      <c r="J40" t="s">
        <v>116</v>
      </c>
      <c r="K40" t="s">
        <v>353</v>
      </c>
      <c r="O40" t="str">
        <v>Professional judgement</v>
      </c>
    </row>
    <row r="41" spans="3:15" x14ac:dyDescent="0.25">
      <c r="J41" t="s">
        <v>116</v>
      </c>
      <c r="K41" t="s">
        <v>354</v>
      </c>
      <c r="O41" t="str">
        <v>Adaptability</v>
      </c>
    </row>
    <row r="42" spans="3:15" x14ac:dyDescent="0.25">
      <c r="J42" t="s">
        <v>116</v>
      </c>
      <c r="K42" t="s">
        <v>119</v>
      </c>
      <c r="O42" t="str">
        <v>Risk assessment</v>
      </c>
    </row>
    <row r="43" spans="3:15" x14ac:dyDescent="0.25">
      <c r="J43" t="s">
        <v>116</v>
      </c>
      <c r="K43" t="s">
        <v>117</v>
      </c>
    </row>
    <row r="44" spans="3:15" x14ac:dyDescent="0.25">
      <c r="J44" t="s">
        <v>71</v>
      </c>
      <c r="K44" t="s">
        <v>73</v>
      </c>
      <c r="O44" s="8" t="s">
        <v>116</v>
      </c>
    </row>
    <row r="45" spans="3:15" x14ac:dyDescent="0.25">
      <c r="J45" t="s">
        <v>71</v>
      </c>
      <c r="K45" t="s">
        <v>355</v>
      </c>
      <c r="O45" t="str" cm="1">
        <f t="array" ref="O45:O50">_xlfn._xlws.FILTER(LISTS_Table[Skill],LISTS_Table[Category]="Understanding and use of research")</f>
        <v>Reserch literacy</v>
      </c>
    </row>
    <row r="46" spans="3:15" x14ac:dyDescent="0.25">
      <c r="J46" t="s">
        <v>71</v>
      </c>
      <c r="K46" t="s">
        <v>356</v>
      </c>
      <c r="O46" t="str">
        <v>Literature searching</v>
      </c>
    </row>
    <row r="47" spans="3:15" x14ac:dyDescent="0.25">
      <c r="J47" t="s">
        <v>71</v>
      </c>
      <c r="K47" t="s">
        <v>72</v>
      </c>
      <c r="O47" t="str">
        <v>Critical appraisal</v>
      </c>
    </row>
    <row r="48" spans="3:15" x14ac:dyDescent="0.25">
      <c r="J48" t="s">
        <v>71</v>
      </c>
      <c r="K48" t="s">
        <v>76</v>
      </c>
      <c r="O48" t="str">
        <v>Data interpretation</v>
      </c>
    </row>
    <row r="49" spans="10:15" x14ac:dyDescent="0.25">
      <c r="J49" t="s">
        <v>71</v>
      </c>
      <c r="K49" t="s">
        <v>357</v>
      </c>
      <c r="O49" t="str">
        <v>Evidne-based practice</v>
      </c>
    </row>
    <row r="50" spans="10:15" x14ac:dyDescent="0.25">
      <c r="J50" t="s">
        <v>71</v>
      </c>
      <c r="K50" t="s">
        <v>358</v>
      </c>
      <c r="O50" t="str">
        <v>Research communication</v>
      </c>
    </row>
    <row r="51" spans="10:15" x14ac:dyDescent="0.25">
      <c r="J51" t="s">
        <v>65</v>
      </c>
      <c r="K51" t="s">
        <v>233</v>
      </c>
    </row>
    <row r="52" spans="10:15" x14ac:dyDescent="0.25">
      <c r="J52" t="s">
        <v>65</v>
      </c>
      <c r="K52" t="s">
        <v>66</v>
      </c>
      <c r="O52" s="8" t="s">
        <v>71</v>
      </c>
    </row>
    <row r="53" spans="10:15" x14ac:dyDescent="0.25">
      <c r="J53" t="s">
        <v>65</v>
      </c>
      <c r="K53" t="s">
        <v>359</v>
      </c>
      <c r="O53" t="str" cm="1">
        <f t="array" ref="O53:O59">_xlfn._xlws.FILTER(LISTS_Table[Skill],LISTS_Table[Category]="Self-evaluation and professional development")</f>
        <v>Reflective practice</v>
      </c>
    </row>
    <row r="54" spans="10:15" x14ac:dyDescent="0.25">
      <c r="J54" t="s">
        <v>65</v>
      </c>
      <c r="K54" t="s">
        <v>360</v>
      </c>
      <c r="O54" t="str">
        <v>Self-awareness</v>
      </c>
    </row>
    <row r="55" spans="10:15" x14ac:dyDescent="0.25">
      <c r="J55" t="s">
        <v>65</v>
      </c>
      <c r="K55" t="s">
        <v>68</v>
      </c>
      <c r="O55" t="str">
        <v>Lifelong learning</v>
      </c>
    </row>
    <row r="56" spans="10:15" x14ac:dyDescent="0.25">
      <c r="J56" t="s">
        <v>65</v>
      </c>
      <c r="K56" t="s">
        <v>67</v>
      </c>
      <c r="O56" t="str">
        <v>Personal development planning</v>
      </c>
    </row>
    <row r="57" spans="10:15" x14ac:dyDescent="0.25">
      <c r="J57" t="s">
        <v>161</v>
      </c>
      <c r="K57" t="s">
        <v>288</v>
      </c>
      <c r="O57" t="str">
        <v>Resilience</v>
      </c>
    </row>
    <row r="58" spans="10:15" x14ac:dyDescent="0.25">
      <c r="J58" t="s">
        <v>161</v>
      </c>
      <c r="K58" t="s">
        <v>361</v>
      </c>
      <c r="O58" t="str">
        <v>Initiative</v>
      </c>
    </row>
    <row r="59" spans="10:15" x14ac:dyDescent="0.25">
      <c r="J59" t="s">
        <v>161</v>
      </c>
      <c r="K59" t="s">
        <v>362</v>
      </c>
      <c r="O59" t="str">
        <v>Accountability</v>
      </c>
    </row>
    <row r="60" spans="10:15" x14ac:dyDescent="0.25">
      <c r="J60" t="s">
        <v>161</v>
      </c>
      <c r="K60" t="s">
        <v>162</v>
      </c>
    </row>
    <row r="61" spans="10:15" x14ac:dyDescent="0.25">
      <c r="J61" t="s">
        <v>161</v>
      </c>
      <c r="K61" t="s">
        <v>363</v>
      </c>
      <c r="O61" s="10" t="s">
        <v>65</v>
      </c>
    </row>
    <row r="62" spans="10:15" x14ac:dyDescent="0.25">
      <c r="J62" t="s">
        <v>161</v>
      </c>
      <c r="K62" t="s">
        <v>364</v>
      </c>
      <c r="O62" t="str" cm="1">
        <f t="array" ref="O62:O67">_xlfn._xlws.FILTER(LISTS_Table[Skill],LISTS_Table[Category]="Communication")</f>
        <v>Written communication</v>
      </c>
    </row>
    <row r="63" spans="10:15" x14ac:dyDescent="0.25">
      <c r="J63" t="s">
        <v>289</v>
      </c>
      <c r="K63" t="s">
        <v>365</v>
      </c>
      <c r="O63" t="str">
        <v>Oral presentation</v>
      </c>
    </row>
    <row r="64" spans="10:15" x14ac:dyDescent="0.25">
      <c r="J64" t="s">
        <v>289</v>
      </c>
      <c r="K64" t="s">
        <v>366</v>
      </c>
      <c r="O64" t="str">
        <v>Active listening</v>
      </c>
    </row>
    <row r="65" spans="10:15" x14ac:dyDescent="0.25">
      <c r="J65" t="s">
        <v>289</v>
      </c>
      <c r="K65" t="s">
        <v>367</v>
      </c>
      <c r="O65" t="str">
        <v>Scientific writing</v>
      </c>
    </row>
    <row r="66" spans="10:15" x14ac:dyDescent="0.25">
      <c r="J66" t="s">
        <v>289</v>
      </c>
      <c r="K66" t="s">
        <v>368</v>
      </c>
      <c r="O66" t="str">
        <v>Interpesronal communication</v>
      </c>
    </row>
    <row r="67" spans="10:15" x14ac:dyDescent="0.25">
      <c r="J67" t="s">
        <v>289</v>
      </c>
      <c r="K67" t="s">
        <v>290</v>
      </c>
      <c r="O67" t="str">
        <v>Digital communication</v>
      </c>
    </row>
    <row r="68" spans="10:15" x14ac:dyDescent="0.25">
      <c r="J68" t="s">
        <v>289</v>
      </c>
      <c r="K68" t="s">
        <v>369</v>
      </c>
    </row>
    <row r="69" spans="10:15" x14ac:dyDescent="0.25">
      <c r="J69" t="s">
        <v>289</v>
      </c>
      <c r="K69" t="s">
        <v>370</v>
      </c>
      <c r="O69" s="10" t="s">
        <v>161</v>
      </c>
    </row>
    <row r="70" spans="10:15" x14ac:dyDescent="0.25">
      <c r="J70" t="s">
        <v>289</v>
      </c>
      <c r="K70" t="s">
        <v>371</v>
      </c>
      <c r="O70" t="str" cm="1">
        <f t="array" ref="O70:O75">_xlfn._xlws.FILTER(LISTS_Table[Skill],LISTS_Table[Category]="Problem solving and impact")</f>
        <v>Analytical thinking</v>
      </c>
    </row>
    <row r="71" spans="10:15" x14ac:dyDescent="0.25">
      <c r="J71" t="s">
        <v>289</v>
      </c>
      <c r="K71" t="s">
        <v>372</v>
      </c>
      <c r="O71" t="str">
        <v>problem identification</v>
      </c>
    </row>
    <row r="72" spans="10:15" x14ac:dyDescent="0.25">
      <c r="J72" t="s">
        <v>69</v>
      </c>
      <c r="K72" t="s">
        <v>373</v>
      </c>
      <c r="O72" t="str">
        <v>Creative thinking</v>
      </c>
    </row>
    <row r="73" spans="10:15" x14ac:dyDescent="0.25">
      <c r="J73" t="s">
        <v>69</v>
      </c>
      <c r="K73" t="s">
        <v>374</v>
      </c>
      <c r="O73" t="str">
        <v>Evidence-based decision making</v>
      </c>
    </row>
    <row r="74" spans="10:15" x14ac:dyDescent="0.25">
      <c r="J74" t="s">
        <v>69</v>
      </c>
      <c r="K74" t="s">
        <v>163</v>
      </c>
      <c r="O74" t="str">
        <v>Innovation</v>
      </c>
    </row>
    <row r="75" spans="10:15" x14ac:dyDescent="0.25">
      <c r="J75" t="s">
        <v>69</v>
      </c>
      <c r="K75" t="s">
        <v>375</v>
      </c>
      <c r="O75" t="str">
        <v>Evaluation of outcomes</v>
      </c>
    </row>
    <row r="76" spans="10:15" x14ac:dyDescent="0.25">
      <c r="J76" t="s">
        <v>69</v>
      </c>
      <c r="K76" t="s">
        <v>70</v>
      </c>
    </row>
    <row r="77" spans="10:15" x14ac:dyDescent="0.25">
      <c r="J77" t="s">
        <v>305</v>
      </c>
      <c r="K77" t="s">
        <v>376</v>
      </c>
      <c r="O77" s="10" t="s">
        <v>289</v>
      </c>
    </row>
    <row r="78" spans="10:15" x14ac:dyDescent="0.25">
      <c r="J78" t="s">
        <v>305</v>
      </c>
      <c r="K78" t="s">
        <v>377</v>
      </c>
      <c r="O78" t="str" cm="1">
        <f t="array" ref="O78:O86">_xlfn._xlws.FILTER(LISTS_Table[Skill],LISTS_Table[Category]="Management of self and others")</f>
        <v>Leadership</v>
      </c>
    </row>
    <row r="79" spans="10:15" x14ac:dyDescent="0.25">
      <c r="J79" t="s">
        <v>305</v>
      </c>
      <c r="K79" t="s">
        <v>378</v>
      </c>
      <c r="O79" t="str">
        <v>Coaching and mentoring</v>
      </c>
    </row>
    <row r="80" spans="10:15" x14ac:dyDescent="0.25">
      <c r="J80" t="s">
        <v>305</v>
      </c>
      <c r="K80" t="s">
        <v>379</v>
      </c>
      <c r="O80" t="str">
        <v>Time management</v>
      </c>
    </row>
    <row r="81" spans="10:15" x14ac:dyDescent="0.25">
      <c r="J81" t="s">
        <v>305</v>
      </c>
      <c r="K81" t="s">
        <v>380</v>
      </c>
      <c r="O81" t="str">
        <v>Organisation</v>
      </c>
    </row>
    <row r="82" spans="10:15" x14ac:dyDescent="0.25">
      <c r="J82" t="s">
        <v>305</v>
      </c>
      <c r="K82" t="s">
        <v>381</v>
      </c>
      <c r="O82" t="str">
        <v>Delegation</v>
      </c>
    </row>
    <row r="83" spans="10:15" x14ac:dyDescent="0.25">
      <c r="J83" t="s">
        <v>305</v>
      </c>
      <c r="K83" t="s">
        <v>382</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69</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383</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heet="1" objects="1" scenarios="1"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E21B3B12-F99F-4BFE-BFC4-23108E84B2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25E3FBB-E0CF-490F-B84A-5BC4BF9BE0A6}">
  <ds:schemaRefs>
    <ds:schemaRef ds:uri="http://schemas.microsoft.com/sharepoint/v3/contenttype/forms"/>
  </ds:schemaRefs>
</ds:datastoreItem>
</file>

<file path=customXml/itemProps3.xml><?xml version="1.0" encoding="utf-8"?>
<ds:datastoreItem xmlns:ds="http://schemas.openxmlformats.org/officeDocument/2006/customXml" ds:itemID="{ADF99893-84B7-4DB0-BCCB-1BE3FDF1FFB8}">
  <ds:schemaRefs>
    <ds:schemaRef ds:uri="http://purl.org/dc/elements/1.1/"/>
    <ds:schemaRef ds:uri="http://schemas.microsoft.com/office/2006/documentManagement/types"/>
    <ds:schemaRef ds:uri="http://schemas.microsoft.com/office/2006/metadata/properties"/>
    <ds:schemaRef ds:uri="http://schemas.microsoft.com/office/infopath/2007/PartnerControls"/>
    <ds:schemaRef ds:uri="http://purl.org/dc/terms/"/>
    <ds:schemaRef ds:uri="e2acc87f-978a-4c56-9887-574fe2c7e53e"/>
    <ds:schemaRef ds:uri="f1436123-e04c-43f8-b7d8-6e3401685a6a"/>
    <ds:schemaRef ds:uri="http://www.w3.org/XML/1998/namespace"/>
    <ds:schemaRef ds:uri="http://purl.org/dc/dcmitype/"/>
    <ds:schemaRef ds:uri="http://schemas.openxmlformats.org/package/2006/metadata/core-properties"/>
  </ds:schemaRefs>
</ds:datastoreItem>
</file>

<file path=customXml/itemProps4.xml><?xml version="1.0" encoding="utf-8"?>
<ds:datastoreItem xmlns:ds="http://schemas.openxmlformats.org/officeDocument/2006/customXml" ds:itemID="{DE07CC03-DA91-4DAD-B5EC-0B7B94373B2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4301SPS</vt:lpstr>
      <vt:lpstr>4303SPS</vt:lpstr>
      <vt:lpstr>5301SPS</vt:lpstr>
      <vt:lpstr>5302SPS</vt:lpstr>
      <vt:lpstr>6301SPS</vt:lpstr>
      <vt:lpstr>6302SPS</vt:lpstr>
      <vt:lpstr>6303SPS</vt:lpstr>
      <vt:lpstr>6304SPS</vt:lpstr>
      <vt:lpstr>Query1</vt:lpstr>
      <vt:lpstr>Sheet1</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2026-08-24T16:12:15Z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