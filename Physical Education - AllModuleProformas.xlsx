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queryTables/queryTable1.xml" ContentType="application/vnd.openxmlformats-officedocument.spreadsheetml.queryTable+xml"/>
  <Override PartName="/xl/tables/table82.xml" ContentType="application/vnd.openxmlformats-officedocument.spreadsheetml.table+xml"/>
  <Override PartName="/xl/queryTables/queryTable2.xml" ContentType="application/vnd.openxmlformats-officedocument.spreadsheetml.queryTable+xml"/>
  <Override PartName="/xl/tables/table83.xml" ContentType="application/vnd.openxmlformats-officedocument.spreadsheetml.table+xml"/>
  <Override PartName="/xl/queryTables/queryTable3.xml" ContentType="application/vnd.openxmlformats-officedocument.spreadsheetml.queryTable+xml"/>
  <Override PartName="/xl/tables/table84.xml" ContentType="application/vnd.openxmlformats-officedocument.spreadsheetml.table+xml"/>
  <Override PartName="/xl/queryTables/queryTable4.xml" ContentType="application/vnd.openxmlformats-officedocument.spreadsheetml.queryTable+xml"/>
  <Override PartName="/xl/tables/table85.xml" ContentType="application/vnd.openxmlformats-officedocument.spreadsheetml.table+xml"/>
  <Override PartName="/xl/queryTables/queryTable5.xml" ContentType="application/vnd.openxmlformats-officedocument.spreadsheetml.queryTable+xml"/>
  <Override PartName="/xl/tables/table86.xml" ContentType="application/vnd.openxmlformats-officedocument.spreadsheetml.table+xml"/>
  <Override PartName="/xl/queryTables/queryTable6.xml" ContentType="application/vnd.openxmlformats-officedocument.spreadsheetml.queryTable+xml"/>
  <Override PartName="/xl/tables/table87.xml" ContentType="application/vnd.openxmlformats-officedocument.spreadsheetml.table+xml"/>
  <Override PartName="/xl/queryTables/queryTable7.xml" ContentType="application/vnd.openxmlformats-officedocument.spreadsheetml.queryTable+xml"/>
  <Override PartName="/xl/tables/table88.xml" ContentType="application/vnd.openxmlformats-officedocument.spreadsheetml.table+xml"/>
  <Override PartName="/xl/queryTables/queryTable8.xml" ContentType="application/vnd.openxmlformats-officedocument.spreadsheetml.queryTable+xml"/>
  <Override PartName="/xl/tables/table89.xml" ContentType="application/vnd.openxmlformats-officedocument.spreadsheetml.table+xml"/>
  <Override PartName="/xl/queryTables/queryTable9.xml" ContentType="application/vnd.openxmlformats-officedocument.spreadsheetml.queryTable+xml"/>
  <Override PartName="/xl/tables/table90.xml" ContentType="application/vnd.openxmlformats-officedocument.spreadsheetml.table+xml"/>
  <Override PartName="/xl/tables/table9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ljmu.sharepoint.com/teams/SPSRe-validation2026Team/Shared Documents/Physical Education/Module Documents/"/>
    </mc:Choice>
  </mc:AlternateContent>
  <xr:revisionPtr revIDLastSave="3132" documentId="8_{20AD63D6-7E4E-4EFA-BE5C-A6DF2DDE1EA8}" xr6:coauthVersionLast="47" xr6:coauthVersionMax="47" xr10:uidLastSave="{CA0047AC-DBAB-41B3-9132-3C946162F9E5}"/>
  <bookViews>
    <workbookView xWindow="-23670" yWindow="0" windowWidth="21630" windowHeight="15585" firstSheet="6" activeTab="6" xr2:uid="{8D7B9789-0724-4FF2-A9AF-E462B2920CAC}"/>
  </bookViews>
  <sheets>
    <sheet name="4201SPS" sheetId="78" r:id="rId1"/>
    <sheet name="5201SPS" sheetId="79" r:id="rId2"/>
    <sheet name="5203SPS" sheetId="75" r:id="rId3"/>
    <sheet name="5204SPS" sheetId="88" r:id="rId4"/>
    <sheet name="6201SPS" sheetId="110" r:id="rId5"/>
    <sheet name="6202SPS" sheetId="77" r:id="rId6"/>
    <sheet name="6203SPS" sheetId="80" r:id="rId7"/>
    <sheet name="6096SPS" sheetId="76" r:id="rId8"/>
    <sheet name="PE_SkillsCoverage" sheetId="119" r:id="rId9"/>
    <sheet name="PE_Module_Overview" sheetId="118" r:id="rId10"/>
    <sheet name="PE_Hours_Wide" sheetId="117" r:id="rId11"/>
    <sheet name="PE_Meta_Wide" sheetId="116" r:id="rId12"/>
    <sheet name="PE_Mapping" sheetId="115" r:id="rId13"/>
    <sheet name="PE_Hours" sheetId="114" r:id="rId14"/>
    <sheet name="PE_Assess" sheetId="113" r:id="rId15"/>
    <sheet name="PE_LO" sheetId="112" r:id="rId16"/>
    <sheet name="PE_Meta" sheetId="111" r:id="rId17"/>
    <sheet name="LISTS" sheetId="4" r:id="rId18"/>
  </sheets>
  <definedNames>
    <definedName name="ApplicationofKnowledge">_xlfn.ANCHORARRAY(LISTS!$O$37)</definedName>
    <definedName name="Communication">_xlfn.ANCHORARRAY(LISTS!$O$62)</definedName>
    <definedName name="DeliveryEnvironment">_xlfn.ANCHORARRAY(LISTS!$O$89)</definedName>
    <definedName name="ExternalData_1" localSheetId="16" hidden="1">PE_Meta!$A$1:$I$185</definedName>
    <definedName name="ExternalData_2" localSheetId="15" hidden="1">PE_LO!$A$1:$I$113</definedName>
    <definedName name="ExternalData_3" localSheetId="14" hidden="1">PE_Assess!$A$1:$M$38</definedName>
    <definedName name="ExternalData_4" localSheetId="13" hidden="1">PE_Hours!$A$1:$I$139</definedName>
    <definedName name="ExternalData_5" localSheetId="12" hidden="1">PE_Mapping!$A$1:$K$384</definedName>
    <definedName name="ExternalData_6" localSheetId="11" hidden="1">PE_Meta_Wide!$A$1:$O$24</definedName>
    <definedName name="ExternalData_7" localSheetId="10" hidden="1">PE_Hours_Wide!$A$1:$N$24</definedName>
    <definedName name="ExternalData_8" localSheetId="9" hidden="1">PE_Module_Overview!$A$1:$I$24</definedName>
    <definedName name="ExternalData_9" localSheetId="8" hidden="1">PE_SkillsCoverage!$A$1:$E$65</definedName>
    <definedName name="MgmtSelf">_xlfn.ANCHORARRAY(LISTS!$O$78)</definedName>
    <definedName name="ProblemSolving">_xlfn.ANCHORARRAY(LISTS!$O$70)</definedName>
    <definedName name="ProfRelationships">_xlfn.ANCHORARRAY(LISTS!$O$96)</definedName>
    <definedName name="ScientificKnowledge">_xlfn.ANCHORARRAY(LISTS!$O$21)</definedName>
    <definedName name="SelfEvaluation">_xlfn.ANCHORARRAY(LISTS!$O$53)</definedName>
    <definedName name="SkillNameMap">LISTS!$S$20:$T$30</definedName>
    <definedName name="TechnicalSkills">_xlfn.ANCHORARRAY(LISTS!$O$29)</definedName>
    <definedName name="UnderstandingResearch">_xlfn.ANCHORARRAY(LISTS!$O$45)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80" l="1"/>
  <c r="D24" i="110"/>
  <c r="D24" i="88"/>
  <c r="D2" i="88"/>
  <c r="C2" i="88"/>
  <c r="D2" i="76"/>
  <c r="D24" i="80"/>
  <c r="C2" i="80"/>
  <c r="D24" i="79"/>
  <c r="D2" i="79"/>
  <c r="C2" i="79"/>
  <c r="D24" i="78"/>
  <c r="D2" i="78"/>
  <c r="C2" i="78"/>
  <c r="D24" i="77"/>
  <c r="C2" i="77"/>
  <c r="D24" i="76"/>
  <c r="C2" i="76"/>
  <c r="D24" i="75"/>
  <c r="D2" i="75"/>
  <c r="C2" i="75"/>
  <c r="O96" i="4" a="1"/>
  <c r="O89" i="4" a="1"/>
  <c r="O78" i="4" a="1"/>
  <c r="O70" i="4" a="1"/>
  <c r="O62" i="4" a="1"/>
  <c r="O53" i="4" a="1"/>
  <c r="O45" i="4" a="1"/>
  <c r="O37" i="4" a="1"/>
  <c r="O29" i="4" a="1"/>
  <c r="O21" i="4" a="1"/>
  <c r="O96" i="4"/>
  <c r="O89" i="4"/>
  <c r="O78" i="4"/>
  <c r="O70" i="4"/>
  <c r="O62" i="4"/>
  <c r="O53" i="4"/>
  <c r="O45" i="4"/>
  <c r="O37" i="4"/>
  <c r="O29" i="4"/>
  <c r="O2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9AD059-19A9-4696-B684-FD115241919C}" keepAlive="1" name="Query - fnItemTable" description="Connection to the 'fnItemTable' query in the workbook." type="5" refreshedVersion="0" background="1">
    <dbPr connection="Provider=Microsoft.Mashup.OleDb.1;Data Source=$Workbook$;Location=fnItemTable;Extended Properties=&quot;&quot;" command="SELECT * FROM [fnItemTable]"/>
  </connection>
  <connection id="2" xr16:uid="{F7EF0A6D-ACCC-432A-B89B-03598D4E1F96}" keepAlive="1" name="Query - fnItemTable(1)" description="Connection to the 'fnItemTable' query in the workbook." type="5" refreshedVersion="0" background="1">
    <dbPr connection="Provider=Microsoft.Mashup.OleDb.1;Data Source=$Workbook$;Location=fnItemTable;Extended Properties=&quot;&quot;" command="SELECT * FROM [fnItemTable]"/>
  </connection>
  <connection id="3" xr16:uid="{D54CE25D-8D7B-4E99-97A7-100BD4F84EA3}" keepAlive="1" name="Query - fnModuleOverview" description="Connection to the 'fnModuleOverview' query in the workbook." type="5" refreshedVersion="0" background="1">
    <dbPr connection="Provider=Microsoft.Mashup.OleDb.1;Data Source=$Workbook$;Location=fnModuleOverview;Extended Properties=&quot;&quot;" command="SELECT * FROM [fnModuleOverview]"/>
  </connection>
  <connection id="4" xr16:uid="{5189C194-AABB-47BD-88C8-4C6547AA4E49}" keepAlive="1" name="Query - fnParseTableName" description="Connection to the 'fnParseTableName' query in the workbook." type="5" refreshedVersion="0" background="1">
    <dbPr connection="Provider=Microsoft.Mashup.OleDb.1;Data Source=$Workbook$;Location=fnParseTableName;Extended Properties=&quot;&quot;" command="SELECT * FROM [fnParseTableName]"/>
  </connection>
  <connection id="5" xr16:uid="{0F9AB115-CEE3-4A25-9C6C-584205266BD5}" keepAlive="1" name="Query - fnParseTableName(1)" description="Connection to the 'fnParseTableName' query in the workbook." type="5" refreshedVersion="0" background="1">
    <dbPr connection="Provider=Microsoft.Mashup.OleDb.1;Data Source=$Workbook$;Location=fnParseTableName;Extended Properties=&quot;&quot;" command="SELECT * FROM [fnParseTableName]"/>
  </connection>
  <connection id="6" xr16:uid="{979942CD-1EA8-4930-8EEA-A1DE2CD1B34F}" keepAlive="1" name="Query - fnPivotKeyValue" description="Connection to the 'fnPivotKeyValue' query in the workbook." type="5" refreshedVersion="0" background="1">
    <dbPr connection="Provider=Microsoft.Mashup.OleDb.1;Data Source=$Workbook$;Location=fnPivotKeyValue;Extended Properties=&quot;&quot;" command="SELECT * FROM [fnPivotKeyValue]"/>
  </connection>
  <connection id="7" xr16:uid="{6EDC49C4-F60D-48D7-B4C4-BE51AE46C6E1}" keepAlive="1" name="Query - fnSkillsCoverage" description="Connection to the 'fnSkillsCoverage' query in the workbook." type="5" refreshedVersion="0" background="1">
    <dbPr connection="Provider=Microsoft.Mashup.OleDb.1;Data Source=$Workbook$;Location=fnSkillsCoverage;Extended Properties=&quot;&quot;" command="SELECT * FROM [fnSkillsCoverage]"/>
  </connection>
  <connection id="8" xr16:uid="{AEDD71F7-B71A-4A20-9B1A-8DFF22BFA9E3}" keepAlive="1" name="Query - GetRegisterFileContent" description="Connection to the 'GetRegisterFileContent' query in the workbook." type="5" refreshedVersion="0" background="1">
    <dbPr connection="Provider=Microsoft.Mashup.OleDb.1;Data Source=$Workbook$;Location=GetRegisterFileContent;Extended Properties=&quot;&quot;" command="SELECT * FROM [GetRegisterFileContent]"/>
  </connection>
  <connection id="9" xr16:uid="{60AAE111-BD05-4845-A506-CF38C2E63DD3}" keepAlive="1" name="Query - GetRegisterFileContent(1)" description="Connection to the 'GetRegisterFileContent' query in the workbook." type="5" refreshedVersion="0" background="1">
    <dbPr connection="Provider=Microsoft.Mashup.OleDb.1;Data Source=$Workbook$;Location=GetRegisterFileContent;Extended Properties=&quot;&quot;" command="SELECT * FROM [GetRegisterFileContent]"/>
  </connection>
  <connection id="10" xr16:uid="{F6ADA72A-D777-4CED-B330-054273A241B3}" keepAlive="1" name="Query - GetWorkbookFiles" description="Connection to the 'GetWorkbookFiles' query in the workbook." type="5" refreshedVersion="0" background="1">
    <dbPr connection="Provider=Microsoft.Mashup.OleDb.1;Data Source=$Workbook$;Location=GetWorkbookFiles;Extended Properties=&quot;&quot;" command="SELECT * FROM [GetWorkbookFiles]"/>
  </connection>
  <connection id="11" xr16:uid="{4415296C-ED85-49B5-A14C-91D26CA33049}" keepAlive="1" name="Query - GetWorkbookFiles(1)" description="Connection to the 'GetWorkbookFiles' query in the workbook." type="5" refreshedVersion="0" background="1">
    <dbPr connection="Provider=Microsoft.Mashup.OleDb.1;Data Source=$Workbook$;Location=GetWorkbookFiles;Extended Properties=&quot;&quot;" command="SELECT * FROM [GetWorkbookFiles]"/>
  </connection>
  <connection id="12" xr16:uid="{88ED7270-F4FB-4758-A8E4-A22A7DF4E56C}" keepAlive="1" name="Query - GraduateSkillsCatalogue" description="Connection to the 'GraduateSkillsCatalogue' query in the workbook." type="5" refreshedVersion="0" background="1">
    <dbPr connection="Provider=Microsoft.Mashup.OleDb.1;Data Source=$Workbook$;Location=GraduateSkillsCatalogue;Extended Properties=&quot;&quot;" command="SELECT * FROM [GraduateSkillsCatalogue]"/>
  </connection>
  <connection id="13" xr16:uid="{4285CE1F-477B-4BD0-8310-1D9EC39B78C9}" keepAlive="1" name="Query - ModuleRegister" description="Connection to the 'ModuleRegister' query in the workbook." type="5" refreshedVersion="0" background="1">
    <dbPr connection="Provider=Microsoft.Mashup.OleDb.1;Data Source=$Workbook$;Location=ModuleRegister;Extended Properties=&quot;&quot;" command="SELECT * FROM [ModuleRegister]"/>
  </connection>
  <connection id="14" xr16:uid="{96456CA6-1403-4A6E-8869-5DD61D36202A}" keepAlive="1" name="Query - ModuleRegister(1)" description="Connection to the 'ModuleRegister' query in the workbook." type="5" refreshedVersion="0" background="1">
    <dbPr connection="Provider=Microsoft.Mashup.OleDb.1;Data Source=$Workbook$;Location=ModuleRegister;Extended Properties=&quot;&quot;" command="SELECT * FROM [ModuleRegister]"/>
  </connection>
  <connection id="15" xr16:uid="{B5C2DE43-E9DC-431B-A54D-DF66DBF4553C}" keepAlive="1" name="Query - PE_Assess" description="Connection to the 'PE_Assess' query in the workbook." type="5" refreshedVersion="8" background="1" saveData="1">
    <dbPr connection="Provider=Microsoft.Mashup.OleDb.1;Data Source=$Workbook$;Location=PE_Assess;Extended Properties=&quot;&quot;" command="SELECT * FROM [PE_Assess]"/>
  </connection>
  <connection id="16" xr16:uid="{72D9F627-1198-435E-AF64-12573A592383}" keepAlive="1" name="Query - PE_Hours" description="Connection to the 'PE_Hours' query in the workbook." type="5" refreshedVersion="8" background="1" saveData="1">
    <dbPr connection="Provider=Microsoft.Mashup.OleDb.1;Data Source=$Workbook$;Location=PE_Hours;Extended Properties=&quot;&quot;" command="SELECT * FROM [PE_Hours]"/>
  </connection>
  <connection id="17" xr16:uid="{36FDEDF6-1108-430B-BC7E-54407B4D508B}" keepAlive="1" name="Query - PE_Hours(1)" description="Connection to the 'PE_Hours' query in the workbook." type="5" refreshedVersion="8" background="1" saveData="1">
    <dbPr connection="Provider=Microsoft.Mashup.OleDb.1;Data Source=$Workbook$;Location=PE_Hours;Extended Properties=&quot;&quot;" command="SELECT * FROM [PE_Hours]"/>
  </connection>
  <connection id="18" xr16:uid="{8D935BBB-3393-4DDF-BD2A-5EE0E82EE180}" keepAlive="1" name="Query - PE_Hours_Wide" description="Connection to the 'PE_Hours_Wide' query in the workbook." type="5" refreshedVersion="8" background="1" saveData="1">
    <dbPr connection="Provider=Microsoft.Mashup.OleDb.1;Data Source=$Workbook$;Location=PE_Hours_Wide;Extended Properties=&quot;&quot;" command="SELECT * FROM [PE_Hours_Wide]"/>
  </connection>
  <connection id="19" xr16:uid="{715627D6-1AE3-4C98-A0B7-2E3B3FF3A1EE}" keepAlive="1" name="Query - PE_LO" description="Connection to the 'PE_LO' query in the workbook." type="5" refreshedVersion="8" background="1" saveData="1">
    <dbPr connection="Provider=Microsoft.Mashup.OleDb.1;Data Source=$Workbook$;Location=PE_LO;Extended Properties=&quot;&quot;" command="SELECT * FROM [PE_LO]"/>
  </connection>
  <connection id="20" xr16:uid="{B0DEBF6C-E4D3-448B-83DE-854446FCF56E}" keepAlive="1" name="Query - PE_Mapping" description="Connection to the 'PE_Mapping' query in the workbook." type="5" refreshedVersion="8" background="1" saveData="1">
    <dbPr connection="Provider=Microsoft.Mashup.OleDb.1;Data Source=$Workbook$;Location=PE_Mapping;Extended Properties=&quot;&quot;" command="SELECT * FROM [PE_Mapping]"/>
  </connection>
  <connection id="21" xr16:uid="{A5DA4433-2F5C-4E3A-B352-8533156A8C71}" keepAlive="1" name="Query - PE_Mapping(1)" description="Connection to the 'PE_Mapping' query in the workbook." type="5" refreshedVersion="8" background="1" saveData="1">
    <dbPr connection="Provider=Microsoft.Mashup.OleDb.1;Data Source=$Workbook$;Location=PE_Mapping;Extended Properties=&quot;&quot;" command="SELECT * FROM [PE_Mapping]"/>
  </connection>
  <connection id="22" xr16:uid="{420F8BF1-6BD2-4894-A2D0-24019E0889A2}" keepAlive="1" name="Query - PE_Meta" description="Connection to the 'PE_Meta' query in the workbook." type="5" refreshedVersion="8" background="1" saveData="1">
    <dbPr connection="Provider=Microsoft.Mashup.OleDb.1;Data Source=$Workbook$;Location=PE_Meta;Extended Properties=&quot;&quot;" command="SELECT * FROM [PE_Meta]"/>
  </connection>
  <connection id="23" xr16:uid="{EF481F8E-C1A7-4360-931E-260F0054E11C}" keepAlive="1" name="Query - PE_Meta(1)" description="Connection to the 'PE_Meta' query in the workbook." type="5" refreshedVersion="8" background="1" saveData="1">
    <dbPr connection="Provider=Microsoft.Mashup.OleDb.1;Data Source=$Workbook$;Location=PE_Meta;Extended Properties=&quot;&quot;" command="SELECT * FROM [PE_Meta]"/>
  </connection>
  <connection id="24" xr16:uid="{31512A7D-FD06-42F3-A3A9-E8B5E414F18E}" keepAlive="1" name="Query - PE_Meta_Wide" description="Connection to the 'PE_Meta_Wide' query in the workbook." type="5" refreshedVersion="8" background="1" saveData="1">
    <dbPr connection="Provider=Microsoft.Mashup.OleDb.1;Data Source=$Workbook$;Location=PE_Meta_Wide;Extended Properties=&quot;&quot;" command="SELECT * FROM [PE_Meta_Wide]"/>
  </connection>
  <connection id="25" xr16:uid="{1FE4028E-86F4-42FF-AB6B-B5F7C56308A4}" keepAlive="1" name="Query - PE_Module_Overview" description="Connection to the 'PE_Module_Overview' query in the workbook." type="5" refreshedVersion="8" background="1" saveData="1">
    <dbPr connection="Provider=Microsoft.Mashup.OleDb.1;Data Source=$Workbook$;Location=PE_Module_Overview;Extended Properties=&quot;&quot;" command="SELECT * FROM [PE_Module_Overview]"/>
  </connection>
  <connection id="26" xr16:uid="{724DFE70-C6AB-40C1-83D0-D2A1DB5677B6}" keepAlive="1" name="Query - PE_SkillsCoverage" description="Connection to the 'PE_SkillsCoverage' query in the workbook." type="5" refreshedVersion="8" background="1" saveData="1">
    <dbPr connection="Provider=Microsoft.Mashup.OleDb.1;Data Source=$Workbook$;Location=PE_SkillsCoverage;Extended Properties=&quot;&quot;" command="SELECT * FROM [PE_SkillsCoverage]"/>
  </connection>
  <connection id="27" xr16:uid="{B2D5060D-B059-4283-8724-772DFE871FF8}" keepAlive="1" name="Query - RegisterBlocks" description="Connection to the 'RegisterBlocks' query in the workbook." type="5" refreshedVersion="0" background="1" saveData="1">
    <dbPr connection="Provider=Microsoft.Mashup.OleDb.1;Data Source=$Workbook$;Location=RegisterBlocks;Extended Properties=&quot;&quot;" command="SELECT * FROM [RegisterBlocks]"/>
  </connection>
  <connection id="28" xr16:uid="{31CCA45D-ABF0-453A-96C7-ABE9E4C6761C}" keepAlive="1" name="Query - RegisterBlocks(1)" description="Connection to the 'RegisterBlocks' query in the workbook." type="5" refreshedVersion="0" background="1">
    <dbPr connection="Provider=Microsoft.Mashup.OleDb.1;Data Source=$Workbook$;Location=RegisterBlocks;Extended Properties=&quot;&quot;" command="SELECT * FROM [RegisterBlocks]"/>
  </connection>
  <connection id="29" xr16:uid="{AFFCE4D6-0861-4AE2-B779-1AD319840322}" keepAlive="1" name="Query - RelevantItems" description="Connection to the 'RelevantItems' query in the workbook." type="5" refreshedVersion="0" background="1" saveData="1">
    <dbPr connection="Provider=Microsoft.Mashup.OleDb.1;Data Source=$Workbook$;Location=RelevantItems;Extended Properties=&quot;&quot;" command="SELECT * FROM [RelevantItems]"/>
  </connection>
  <connection id="30" xr16:uid="{06EA4318-8A3C-41F9-9738-071D6358F596}" keepAlive="1" name="Query - RelevantItems(1)" description="Connection to the 'RelevantItems' query in the workbook." type="5" refreshedVersion="0" background="1">
    <dbPr connection="Provider=Microsoft.Mashup.OleDb.1;Data Source=$Workbook$;Location=RelevantItems;Extended Properties=&quot;&quot;" command="SELECT * FROM [RelevantItems]"/>
  </connection>
  <connection id="31" xr16:uid="{A3BDCD4C-9B43-45E3-92F8-FCEADB21C920}" keepAlive="1" name="Query - SharePointSiteRoot" description="Connection to the 'SharePointSiteRoot' query in the workbook." type="5" refreshedVersion="0" background="1">
    <dbPr connection="Provider=Microsoft.Mashup.OleDb.1;Data Source=$Workbook$;Location=SharePointSiteRoot;Extended Properties=&quot;&quot;" command="SELECT * FROM [SharePointSiteRoot]"/>
  </connection>
  <connection id="32" xr16:uid="{9636375A-604F-435C-9E18-581980A5AC4E}" keepAlive="1" name="Query - SharePointSiteRoot(1)" description="Connection to the 'SharePointSiteRoot' query in the workbook." type="5" refreshedVersion="0" background="1">
    <dbPr connection="Provider=Microsoft.Mashup.OleDb.1;Data Source=$Workbook$;Location=SharePointSiteRoot;Extended Properties=&quot;&quot;" command="SELECT * FROM [SharePointSiteRoot]"/>
  </connection>
  <connection id="33" xr16:uid="{673E4C4D-78EF-4B9B-926F-BE9858CD1D9E}" keepAlive="1" name="Query - SourceTables" description="Connection to the 'SourceTables' query in the workbook." type="5" refreshedVersion="0" background="1">
    <dbPr connection="Provider=Microsoft.Mashup.OleDb.1;Data Source=$Workbook$;Location=SourceTables;Extended Properties=&quot;&quot;" command="SELECT * FROM [SourceTables]"/>
  </connection>
  <connection id="34" xr16:uid="{09E8068B-6CC7-4EB5-A48D-53EFEF8F2F48}" keepAlive="1" name="Query - SourceTables(1)" description="Connection to the 'SourceTables' query in the workbook." type="5" refreshedVersion="0" background="1">
    <dbPr connection="Provider=Microsoft.Mashup.OleDb.1;Data Source=$Workbook$;Location=SourceTables;Extended Properties=&quot;&quot;" command="SELECT * FROM [SourceTables]"/>
  </connection>
  <connection id="35" xr16:uid="{7D1ED245-AA61-4A5D-8DD9-D064915EBE04}" keepAlive="1" name="Query - SourceTablesParsed" description="Connection to the 'SourceTablesParsed' query in the workbook." type="5" refreshedVersion="0" background="1">
    <dbPr connection="Provider=Microsoft.Mashup.OleDb.1;Data Source=$Workbook$;Location=SourceTablesParsed;Extended Properties=&quot;&quot;" command="SELECT * FROM [SourceTablesParsed]"/>
  </connection>
  <connection id="36" xr16:uid="{58FD0278-FDA1-4AC8-A384-DDD64F25E9B7}" keepAlive="1" name="Query - SourceTablesParsed(1)" description="Connection to the 'SourceTablesParsed' query in the workbook." type="5" refreshedVersion="0" background="1">
    <dbPr connection="Provider=Microsoft.Mashup.OleDb.1;Data Source=$Workbook$;Location=SourceTablesParsed;Extended Properties=&quot;&quot;" command="SELECT * FROM [SourceTablesPars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<sst xmlns="http://schemas.openxmlformats.org/spreadsheetml/2006/main" count="10150" uniqueCount="735">
  <si>
    <t>Module Information</t>
  </si>
  <si>
    <t>Module Data</t>
  </si>
  <si>
    <t>Details</t>
  </si>
  <si>
    <t>Aims</t>
  </si>
  <si>
    <t>Module Code</t>
  </si>
  <si>
    <t>4201SPS</t>
  </si>
  <si>
    <t>Module Title</t>
  </si>
  <si>
    <t xml:space="preserve">Professional Practice in Physical Education </t>
  </si>
  <si>
    <t xml:space="preserve">This module aims to develop students' understanding of the learning experiences that influence professional development within physical education (PE). </t>
  </si>
  <si>
    <t>Credits</t>
  </si>
  <si>
    <t>Semester</t>
  </si>
  <si>
    <t>Outline Syllabus</t>
  </si>
  <si>
    <t>Level</t>
  </si>
  <si>
    <t>Theme 1: Introduction to OST</t>
  </si>
  <si>
    <t>Module Leader</t>
  </si>
  <si>
    <t>Ceri Magill</t>
  </si>
  <si>
    <t xml:space="preserve">Theme 2: Planning for Teaching </t>
  </si>
  <si>
    <t>Module Type</t>
  </si>
  <si>
    <t>Prof Practice Strand</t>
  </si>
  <si>
    <t xml:space="preserve">Theme 1: Introduction to Occupational Socialisation Theory (OST)
•	Introduction to occupational socialisation theory within PE 
•	Prior experiences of PE/Sport, and their influence on perceptions of teaching and learning 
•	The influence of role models, teachers, coaches, family, and peers on professional identity development 
•	The influence of professional learning communities, peer learning, and collaborative professional practice 
•	Identification of personal and professional areas for development 
•	Skills audit, SWOT analysis, target setting, and employability skills 
Theme 2: Planning for Teaching
Knowledge and understanding of the PE National Curriculum 
•	Key Stage 1
•	Key Stage 2
Planning for teaching and learning in the primary school setting 
•	Lesson planning
•	Meaningful PE
•	Inclusive practice
•	Classroom management
•	Health and safety
Reflection and evaluation of lesson planning and practical delivery 
•	Workshop activities, and collaborative reflection 
•	Review of personal and professional development, subject knowledge audit 
•	Action planning, target setting, and future career aspirations
</t>
  </si>
  <si>
    <t>Programme(s)</t>
  </si>
  <si>
    <t>Physical Education</t>
  </si>
  <si>
    <t>Module Overview</t>
  </si>
  <si>
    <t>Students will explore the role of occupational socialisation, particularly during the acculturation phase of teacher development, and consider how previous experiences of PE, role models, and professional learning communities may influence their approaches to teaching. Through a combination of theoretical input and practical experiences, students will reflect upon their own experiences as PE learners. Opportunities within the module to plan, deliver, evaluate and reflect upon PE sessions with primary school-aged children, will encourage students to consider how these experiences influence their developing approaches to teaching and learning in PE.  This module consists of a face-to-face learning approach whereby students are expected to attend in-person timetabled lectures, workshops, and practical sessions. These sessions will enable students to develop their knowledge and understanding of the key themes explored within the module and provide opportunities to plan and deliver practical activities to primary school-aged pupils.</t>
  </si>
  <si>
    <t>Contact Hours</t>
  </si>
  <si>
    <t>Students are also encouraged to utilise the available directed learning and independent study time, alongside the resources made available through the virtual learning environment (i.e. Canvas). Students should complete the required and recommended reading to broaden their knowledge and understanding and enhance their ability to apply module content to discussions within sessions, engage with their peers, and inform their assessments.</t>
  </si>
  <si>
    <t>Component</t>
  </si>
  <si>
    <t>There will be a number of opportunities for students to plan, deliver, and evaluate practical activities with primary school-aged pupils, alongside receiving formative feedback from peers and tutors. Students will also engage in discussions and reflective activities related to occupational socialisation theory and its influence on professional development within PE. These activities are designed to encourage discussion, reflection, and the sharing of different perspectives, while supporting students' understanding of module content and preparation for the assessment (Report).</t>
  </si>
  <si>
    <t>Lecture</t>
  </si>
  <si>
    <t xml:space="preserve">                                                                                                                                                                                                                                                                                                                                                                            The resport is split into two parts. Part 1 : Discuss you PE learning journey prior to HE. Part 2: Evalute  your personal and professional development as a result of lesson planning and delivery of practical sessions to primary school pupils. The report includes evidence of lesson plans, lesson evaluations, risk assessment and subject knowledge audit. Students are observed delivering the practical to primary school children and provided with feedback for their report. Students develop a subject knowledge audit during the module that is submitted as part of the report. The subject knowledge audit is a document that is updated through L4, 5 and 6. The subject knowledge audit forms the professional practice mapping document for students.</t>
  </si>
  <si>
    <t>Seminar</t>
  </si>
  <si>
    <t>All students on this module will participate in a range of additional qualifications including the LTA Tennis Primary Teachers Award, Safeguarding Award and Kinball L1 Award. Students also complete the LJMU Future Focus task as part of this module. During the module there are a series of formative tasks to support student learning. For example, lesson plan drafts where students will receive feedback on lesson plans prior to delivery to primary school children. During the module students have dedicated PLG time. There are 5 hours allocated to PLG during the module and these provide an opportunity for students to meet with PLG tutors and peers to discuss a range of topics including assignment support, wellbeing and university life.  At the end of the module students and PLG tutors participate in a celebration quiz event.</t>
  </si>
  <si>
    <t>Practical</t>
  </si>
  <si>
    <t>Workshop</t>
  </si>
  <si>
    <t>Additional Information/Notes</t>
  </si>
  <si>
    <t>Online</t>
  </si>
  <si>
    <t xml:space="preserve">CIMSPA Mapped </t>
  </si>
  <si>
    <t>Total</t>
  </si>
  <si>
    <t> </t>
  </si>
  <si>
    <t>Learning Outcomes</t>
  </si>
  <si>
    <t>After completing the module the student should be able to:</t>
  </si>
  <si>
    <t>LO Number</t>
  </si>
  <si>
    <t>LO Description</t>
  </si>
  <si>
    <t>LO1</t>
  </si>
  <si>
    <t xml:space="preserve">Identify the key contextual experiences that influence occupational socialisation during the acculturation phase of PE teacher socialisation </t>
  </si>
  <si>
    <t>LO2</t>
  </si>
  <si>
    <t>Recognise personal and professional strengths and areas for development relevant to professional practice within PE</t>
  </si>
  <si>
    <t>LO3</t>
  </si>
  <si>
    <t>Plan, deliver and evaluate a range of high quality practical activities for primary school aged pupils</t>
  </si>
  <si>
    <t>LO4</t>
  </si>
  <si>
    <t>LO5</t>
  </si>
  <si>
    <t>Assessment</t>
  </si>
  <si>
    <t>Assessment No</t>
  </si>
  <si>
    <t>Assessment Type</t>
  </si>
  <si>
    <t>Assessment Specific</t>
  </si>
  <si>
    <t>Assessment Description</t>
  </si>
  <si>
    <t>Weighting</t>
  </si>
  <si>
    <t>Due Week</t>
  </si>
  <si>
    <t>A1</t>
  </si>
  <si>
    <t>Report</t>
  </si>
  <si>
    <t>Reflection</t>
  </si>
  <si>
    <t xml:space="preserve">Synoptic Assessment: Report split into 2 parts (Reflection and practical delivery evaluation) Part A: Reflection on PE journey prior to HE. Part B:  Reflection on primary delivery and to include lesson plan, evaluation, formative feedabck from tutors,  risk assessment and subject knowledge audit) </t>
  </si>
  <si>
    <t>A2</t>
  </si>
  <si>
    <t>A3</t>
  </si>
  <si>
    <t>A4</t>
  </si>
  <si>
    <t>Assessment Mapping</t>
  </si>
  <si>
    <t>Graduate Skills Category</t>
  </si>
  <si>
    <t>Graduate Skill</t>
  </si>
  <si>
    <t>Scientific knowledge</t>
  </si>
  <si>
    <t>Scientific literacy</t>
  </si>
  <si>
    <t>Professional relationships and behaviours</t>
  </si>
  <si>
    <t>Cultural awareness and competence</t>
  </si>
  <si>
    <t>Self-evaluation and professional development</t>
  </si>
  <si>
    <t>Personal development planning</t>
  </si>
  <si>
    <t>Application of knowledge and skills</t>
  </si>
  <si>
    <t>Contextual application</t>
  </si>
  <si>
    <t>Professional judgement</t>
  </si>
  <si>
    <t>Weekly Content</t>
  </si>
  <si>
    <t xml:space="preserve">Semester </t>
  </si>
  <si>
    <t>Week Number</t>
  </si>
  <si>
    <t>Weekly Content 1</t>
  </si>
  <si>
    <t>Weekly Content 2</t>
  </si>
  <si>
    <t>Weekly Content 3</t>
  </si>
  <si>
    <t xml:space="preserve">Intro to module </t>
  </si>
  <si>
    <t>LTA Primary Teacher Award</t>
  </si>
  <si>
    <t xml:space="preserve">Lecture / Practical </t>
  </si>
  <si>
    <t>Occupational socialisation intro. Focus - PE learning journey. Where am I at now and why?</t>
  </si>
  <si>
    <t>Creating an effective practical learning environment (Feedback from Peers and Tutors)</t>
  </si>
  <si>
    <t xml:space="preserve">Intro to the PE National Curriculum and creating a positive learning environment lesson </t>
  </si>
  <si>
    <t>National Curriculum Learning: Setting objectives and learning outcomes</t>
  </si>
  <si>
    <t>Safeguarding in teaching/coaching award</t>
  </si>
  <si>
    <t xml:space="preserve">National Curriculum PE: Learning areas </t>
  </si>
  <si>
    <t>Planning for PE curriculum delivery (Key Stages 1 – 2) (Feedback from Peers and Tutors) Formative task submission lesson plan</t>
  </si>
  <si>
    <t>Lecture/Workshop</t>
  </si>
  <si>
    <t xml:space="preserve">Primary Delivery </t>
  </si>
  <si>
    <t>Practical delivery to primary school children (Formative written Feedback from Tutors)</t>
  </si>
  <si>
    <t>Practical/Workshop</t>
  </si>
  <si>
    <t xml:space="preserve">Occupational socialisation. Role model influences </t>
  </si>
  <si>
    <t xml:space="preserve">Delivery Evaluation / reflection </t>
  </si>
  <si>
    <t>Occupational socialisation: Teacher skill development</t>
  </si>
  <si>
    <t>Skills audit and report planning</t>
  </si>
  <si>
    <t xml:space="preserve">Occupational socialisation: Lesson delivery and evaluation </t>
  </si>
  <si>
    <t>Professional development review</t>
  </si>
  <si>
    <t xml:space="preserve">Workshop </t>
  </si>
  <si>
    <t>5201SPS</t>
  </si>
  <si>
    <t>Professional Practice in PE 2</t>
  </si>
  <si>
    <t xml:space="preserve">This module aims to develop students’ understanding of the personal and professional skills required for teaching and learning within physical education (PE). </t>
  </si>
  <si>
    <t xml:space="preserve">Theme 1: Occupational socialisation and the professionalisation phase of teacher socialisation in PE </t>
  </si>
  <si>
    <t>Theme 2: Knowledge and understanding of the PE National Curriulum through WBL and OAA (Key stages 1 - 4)</t>
  </si>
  <si>
    <t>Theme 1:
•	OST - Professionalisation phase of the PE teacher socialisation 
•	Teacher efficacy and its influence/contribution towards professional development in PE 
Theme 2:
Knowledge and understanding of the PE National Curriculum (Key stages 1 - 4)
Planning to teach outdoor adventurous activities in schools
•	Lesson planning, teaching, and learning approaches, inclusive practice, classroom management, practical subject knowledge and development, health and safety, adaptations to practice
•	OAA away day
•	Primary school practical delivery (OAA) 
•	WBL Placement (10 days school experience placement)
•	Skills audit review (Including careers team support/services)                                                                                                                                                                                  Building on the development of subject knowledge and understanding of occupational socialisation at L4, students will explore the professionalisation phase of occupational socialisation (OCT) through relevant theoretical and practical experiences. These experiences include a 10 work based learning placement, engagement in outdoor adventurous activities (OAA) and an OAA field trip, providing opportunities for students to reflect upon their personal and professional development. The module will also introduce the concept of PE teaching efficacy and support students in understanding, evaluating, and developing their efficacy through placement experiences, practical activites and reflective learning.</t>
  </si>
  <si>
    <t xml:space="preserve">                                                                                                                                                                                                                                                                                                                                                                                                                                                                                                                This module consists of a face-to-face learning approach whereby students are expected to attend in-person timetabled lectures, and practical sessions which will enable them to develop their knowledge and understanding of the key themes being explored within the module. Building upon Level 4 learning, students will continue to explore occupational socialisation and its influence on professional development within PE. Through a combination of a 10-day work-based learning placement and participation in a range of OAA activities, students will contextualise their learning experiences, develop subject knowledge and practical skills, and further enhance their PE teaching efficacy. Students are also encouraged to utilise the available directed learning/private study time and resources made available via the virtual learning environment (i.e. Canvas). Students should also complete the required and recommended reading to widen their knowledge, understanding, and ability to apply module material to discussions within sessions, with their peers, and to inform the assessment. There are a number of opportunities for students to formatively assess their knowledge with peers throughout the module. These activities are designed to expose students to a diverse range of perspectives in relation to the module content and inform the presentation assessment. Opportunities to work with primary/secondary school-aged pupils will enable students to apply their learning in practice and reflect upon their experiences to support their ongoing professional development and PE teaching efficacy.</t>
  </si>
  <si>
    <t xml:space="preserve">During the module students will complete the LTA Secondary Teacher Award, LJMU Outoor Tutor Award and complete a WBL task booklet. The WBL task completed is expected to be completed during the 10 day placement and forms evidence to support the content of their individual assessment. The WBL booklet is submitted as evidence for the assessment (presentation) and embedded into the assessment criteria. The assessment also required for students to reflect on professional module experiences that have helped to improve practical subject knowledge ie Outdoor Tutor Award. In addition, there are a series of formative tasks presented to students throughout the module to support the assessment content. These include opportunities to gain feedback on lesson plans for school placements and reflection on OAA tasks. </t>
  </si>
  <si>
    <t xml:space="preserve">Students will also update their subject knowledge audit during the module. The subject knowldge audit will support students personal and professional reflection required for the individual assessment. Students gain support with the audit throughout the module and are requied to use the audit to identify strengths and weaknesses to address during their WBL placement. During the module students are allocated 5 hours contact time with PLG tutors. They will meet with PLG tutors and peers during designated weeks of the module to discuss assessment and learning support, wellbeing and university life. At the end of the module students and PLG tutors participate in a celebration quiz event. </t>
  </si>
  <si>
    <t>Critically reflect upon the professionalisation phase of occupational socialisation theory within PE and its influence on professional development.</t>
  </si>
  <si>
    <t>Analyse the progression and development of personal and professional skills, including PE teaching efficacy, through work-based learning experiences</t>
  </si>
  <si>
    <t>Evaluate the contribution of work-based learning and outdoor and adventurous activities (OAA) experiences to the development of subject knowledge and professional practice within PE</t>
  </si>
  <si>
    <t>Presentation</t>
  </si>
  <si>
    <t>Individual Presentation</t>
  </si>
  <si>
    <t>Synoptic Assessment. Personal and professional reflection . This is an individual presentation 20mins. Students are required to reflect on module and WBL learning experiences and crtitically discuss how they have influenced their personal and professional development, including teacher efficacy .  Students are required to submit their WBL booklet and subject knowledge audit as part of the assessment criteria.</t>
  </si>
  <si>
    <t>Information retrieval</t>
  </si>
  <si>
    <t>Self-awareness</t>
  </si>
  <si>
    <t>Technical skills</t>
  </si>
  <si>
    <t>Equipment and technology utilisation</t>
  </si>
  <si>
    <t>Problem solving and impact</t>
  </si>
  <si>
    <t>Innovation</t>
  </si>
  <si>
    <t>Introduction to the module and preparation for work-based learning placement (WBL)</t>
  </si>
  <si>
    <t>Understanding the professionalisation phase of occupational socialisation theory (OST)</t>
  </si>
  <si>
    <t>Professionalisation and its influence on the development of PE teaching efficacy</t>
  </si>
  <si>
    <t>Planning to Teach OAA (Peer and Tutor Review Formative)</t>
  </si>
  <si>
    <t xml:space="preserve">OAA Field Trip </t>
  </si>
  <si>
    <t>Practical OAA delivery to school aged pupils (Formative Task Submission: Lesson plan)</t>
  </si>
  <si>
    <t>Evaluating the influence of professional practice on PE teaching efficacy</t>
  </si>
  <si>
    <t>Review of placement &amp; Assessment Prep</t>
  </si>
  <si>
    <t>5203SPS</t>
  </si>
  <si>
    <t>This module aims to provide students with the knowledge and understanding of the National Curriculum for PE (NCPE) and the strategies and skills required to plan and deliver inclusive PE within a primary setting, therefore providing an opportunity to create, develop and apply their personal teacher identity.</t>
  </si>
  <si>
    <t>Primary PE teacher Education</t>
  </si>
  <si>
    <t>The National Curriculum for PE key stage 1 and 2: (alignment of learning aims – objectives – outcomes – content; Curriculum design – short- and long-term planning). Teaching and learning strategies: (Behaviour management; Learning styles; Assessment for, of, as learning). Inclusion: (Catering for abilities; Catering for seen disabilities). Communication styles, The School Games Values, role of the PE teacher: (Learner experiences; Principles of practice; Teaching and learning; Planning delivery; Quality improvements; Organisational policies procedure, legislation and regulation).</t>
  </si>
  <si>
    <t>Kelly Massey</t>
  </si>
  <si>
    <t>Core module</t>
  </si>
  <si>
    <t>This module aims to provide you with the knowledge and understanding of the National Curriculum for PE (NCPE) and the strategies and skills required to plan and deliver inclusive PE within a primary setting, therefore providing an opportunity to create, develop and apply your personal teacher identity.</t>
  </si>
  <si>
    <r>
      <rPr>
        <b/>
        <sz val="11"/>
        <color rgb="FF000000"/>
        <rFont val="Aptos Narrow"/>
        <family val="2"/>
      </rPr>
      <t>CIMPSA</t>
    </r>
    <r>
      <rPr>
        <sz val="11"/>
        <color rgb="FF000000"/>
        <rFont val="Aptos Narrow"/>
        <family val="2"/>
      </rPr>
      <t xml:space="preserve"> mapped to the standard of Tutor, Working in a School Environment, and Working with Children</t>
    </r>
  </si>
  <si>
    <r>
      <rPr>
        <b/>
        <sz val="11"/>
        <color rgb="FF000000"/>
        <rFont val="Aptos Narrow"/>
      </rPr>
      <t>EDI/Inclusive curriculum:</t>
    </r>
    <r>
      <rPr>
        <sz val="11"/>
        <color rgb="FF000000"/>
        <rFont val="Aptos Narrow"/>
      </rPr>
      <t xml:space="preserve"> Diversifying the curriculum: Within LO1 it states “teaching and learning strategies for an inclusive primary Physical Education setting” here to focus will be on supporting pupils of various abilities, disabilities, and additional learning needs.  
Representation of role models: In relation to LO1 it is intended to include practical sessions with external organisations and experts along with the creation of asynchronous resources from practitioners and experts in adaptive actives and sports. 
Active learning: Interactive workshops and practical activities with the “role models” will facilitate active learning experiences that will stimulate engagement in EDI issues and content?  </t>
    </r>
  </si>
  <si>
    <r>
      <rPr>
        <b/>
        <sz val="11"/>
        <color rgb="FF000000"/>
        <rFont val="Aptos Narrow"/>
      </rPr>
      <t xml:space="preserve">AI: </t>
    </r>
    <r>
      <rPr>
        <sz val="11"/>
        <color rgb="FF000000"/>
        <rFont val="Aptos Narrow"/>
      </rPr>
      <t>Students will be required to create, use, and submit teaching resources developed through AI within their group portfolio</t>
    </r>
  </si>
  <si>
    <r>
      <rPr>
        <b/>
        <sz val="11"/>
        <color rgb="FF000000"/>
        <rFont val="Aptos Narrow"/>
        <scheme val="minor"/>
      </rPr>
      <t>Group assessment:</t>
    </r>
    <r>
      <rPr>
        <sz val="11"/>
        <color rgb="FF000000"/>
        <rFont val="Aptos Narrow"/>
        <scheme val="minor"/>
      </rPr>
      <t xml:space="preserve"> All group members will receive the same mark unless the buddycheck presents disproportionate workload and contribution between group members. Mark may be adjusted by +/-10%</t>
    </r>
  </si>
  <si>
    <t>Assessment Specifics below - The cells will not let me input information</t>
  </si>
  <si>
    <t>Develop informed teaching and learning strategies for an inclusive primary Physical Education setting</t>
  </si>
  <si>
    <t>Apply a range of teaching and learning strategies to deliver inclusive Physical Education</t>
  </si>
  <si>
    <t>Evaluate Physical Education curriculum planning and delivery within a primary setting</t>
  </si>
  <si>
    <t>Portfolio</t>
  </si>
  <si>
    <t>Group portfolio containing lesson plans, evidence of deliveries and peer lesson evaluations</t>
  </si>
  <si>
    <t>Individual portfolio containing a yearlong curriculum plan and academic justification of planning</t>
  </si>
  <si>
    <t>Understanding and use of research</t>
  </si>
  <si>
    <t>Evidence-based practice</t>
  </si>
  <si>
    <t>Lifelong learning</t>
  </si>
  <si>
    <t>Communication</t>
  </si>
  <si>
    <t>Interpersonal communication</t>
  </si>
  <si>
    <t>Evidence-based decision making</t>
  </si>
  <si>
    <t>Understanding the delivery environment</t>
  </si>
  <si>
    <t>Policy interpretation</t>
  </si>
  <si>
    <t>Professional awareness</t>
  </si>
  <si>
    <t>Teamwork</t>
  </si>
  <si>
    <t>Ethical practice</t>
  </si>
  <si>
    <t>Professionalism</t>
  </si>
  <si>
    <t>Respect</t>
  </si>
  <si>
    <t>Decision-making</t>
  </si>
  <si>
    <t>Adaptability</t>
  </si>
  <si>
    <t>Risk assessment</t>
  </si>
  <si>
    <t>Oral presentation</t>
  </si>
  <si>
    <t>Active listening</t>
  </si>
  <si>
    <t>Management of self and others</t>
  </si>
  <si>
    <t>Leadership</t>
  </si>
  <si>
    <t>Time management</t>
  </si>
  <si>
    <t>Organisation</t>
  </si>
  <si>
    <t>Conflict resolution</t>
  </si>
  <si>
    <t>Empathy</t>
  </si>
  <si>
    <t>Multi-tasking</t>
  </si>
  <si>
    <t>Resource management</t>
  </si>
  <si>
    <t>Service delivery</t>
  </si>
  <si>
    <t>problem identification</t>
  </si>
  <si>
    <t>Creative thinking</t>
  </si>
  <si>
    <t>Literature searching</t>
  </si>
  <si>
    <t>Critical appraisal</t>
  </si>
  <si>
    <t>Reflective practice</t>
  </si>
  <si>
    <t>Introduction to the module and lesson planning</t>
  </si>
  <si>
    <t>Using the NCPE to create a coherent  aim, objective, outcome, and warm up</t>
  </si>
  <si>
    <t>Lecture and practical</t>
  </si>
  <si>
    <t>Creative PE</t>
  </si>
  <si>
    <t>Divergent movement and creative games</t>
  </si>
  <si>
    <t>Student Delivery 1</t>
  </si>
  <si>
    <t>Adaptive practice and SEND inclusion</t>
  </si>
  <si>
    <t>Seen disabilities examples, considerations, support strategies</t>
  </si>
  <si>
    <t>Assessment strategies and SEND inclusion</t>
  </si>
  <si>
    <t>Assessing learning outcomes what, how, why, when creating resources using AI. Develop a teacher toolbox</t>
  </si>
  <si>
    <t>Curriculum design and SEND inclusion</t>
  </si>
  <si>
    <t>Recap NCPE, children's progression, Ofsted Pillars, planning critique</t>
  </si>
  <si>
    <t>Student Delivery 2</t>
  </si>
  <si>
    <t>School games and cultural diversity</t>
  </si>
  <si>
    <t>School Games structure and values, critique and how to create diversity in the NCPE and why</t>
  </si>
  <si>
    <t>Creating positive learning environments and cultural diversity</t>
  </si>
  <si>
    <t>Types of communication and behaviour strategies, when, where, how, and why, communication critique and develop a teacher toolbox</t>
  </si>
  <si>
    <t>Student Delivery 3</t>
  </si>
  <si>
    <t>Portfolio preparation and support</t>
  </si>
  <si>
    <t>5204SPS</t>
  </si>
  <si>
    <t>This module aims to develop an understanding of the historical and socio-political influences on the development of physical education by considering how societal, political and philosophical changes have impacted on Physical Education curriculum, pedagogy, practice and assessment.</t>
  </si>
  <si>
    <t>Physical Education in Action 1</t>
  </si>
  <si>
    <t>Reflecting on experiences of Physical Education: Historical context; parents, grandparents, teachers etc. Historical developments in education and Physical Education: 100 years of PE; NCPE since 1987; the effects of curriculum planning, content, teaching and assessment, what are the factors that inform the design of the NCPE and policy makers. Investigation of the importance of PE: Definitions of PE, Sport and physical activity; does the NCPE provide a curriculum for diverse populations; theoretical analysis using a range of sociological perspectives to inform critical discussion. Investigation of how PE supports inclusivity for marginalised groups: Inclusion; pedagogical approaches, assessment that promote equality; the influence of teachers, location and funding. Changes in Physical Education that have impacted on pedagogy and practice: Funding, initiatives, NGB’s, government departments and ITT; guest speaker and President of IMM past students association to discuss the role of the PE from an historical context. What is the philosophy of PE going to look like in the future: Critical discussion exploring the extent to which policy, provision and practice promotes equality, diversity and inclusion; the factors that affect this in the future. Impact of PE on the development of young people: Personal, social, cognitive and physical skills that support lifelong involvement in physical activity. How schools develop their philosophy for PE: Examination PE e.g. GCSE, BTEC, Cambridge Nationals, A' level PE. Initiatives in PE: Local and national initiatives in PE.</t>
  </si>
  <si>
    <t>Emma Ball</t>
  </si>
  <si>
    <t>This module develops students understanding of the historical and socio-political influences on the development of physical education by considering how societal, political and philosophical changes have impacted on Physical Education curriculum, pedagogy, practice and assessment.</t>
  </si>
  <si>
    <t>CIMPSA mapped.</t>
  </si>
  <si>
    <t>K5.1.1; K5.1.2; KC1.2 </t>
  </si>
  <si>
    <t>KC1.3; KC2.1; K5.1.1; K5.1.2 </t>
  </si>
  <si>
    <t>KC1.2; K5.1.2, KC5.1.3 </t>
  </si>
  <si>
    <r>
      <rPr>
        <b/>
        <sz val="11"/>
        <color theme="1"/>
        <rFont val="Aptos Narrow"/>
        <family val="2"/>
        <scheme val="minor"/>
      </rPr>
      <t>Embedded Academic Literacies and Research-Informed Learning:</t>
    </r>
    <r>
      <rPr>
        <sz val="11"/>
        <color theme="1"/>
        <rFont val="Aptos Narrow"/>
        <family val="2"/>
        <scheme val="minor"/>
      </rPr>
      <t xml:space="preserve"> The module incorporates a programme of structured academic writing workshops delivered throughout the semester to support the progressive development of academic literacy, critical analysis, and scholarly communication. Through scaffolded learning activities and formative feedback opportunities, students are supported in developing the knowledge and skills required for independent inquiry and academic writing. The module also serves as a foundation for subsequent independent research, with many students developing research proposals informed by module themes and content. This approach reflects good practice in supporting student success, engagement, and the development of research-informed learning.</t>
    </r>
  </si>
  <si>
    <r>
      <rPr>
        <b/>
        <sz val="11"/>
        <color theme="1"/>
        <rFont val="Aptos Narrow"/>
        <family val="2"/>
        <scheme val="minor"/>
      </rPr>
      <t>Authentic Assessment and Graduate Skill Development</t>
    </r>
    <r>
      <rPr>
        <sz val="11"/>
        <color theme="1"/>
        <rFont val="Aptos Narrow"/>
        <family val="2"/>
        <scheme val="minor"/>
      </rPr>
      <t>: Assessment is designed to provide an authentic learning experience by mirroring the dissemination formats commonly utilised within academicconferences and professional communities. Students are required to produce a research-informed poster and undertake a verbal defence, enabling them to communicate complex ideas effectively, respond to critical questioning, and demonstrate subject knowledge. The assessment strategy supports the development of transferable skills, including oral communication, critical reflection, professional presentation, and evidence-based argumentation, thereby enhancing graduate preparedness.</t>
    </r>
  </si>
  <si>
    <t>Evaluate how key historical, societal, political developments have impacted on Physical Education (curriculum planning, content, pedagogy and assessment).</t>
  </si>
  <si>
    <r>
      <rPr>
        <b/>
        <sz val="11"/>
        <color theme="1"/>
        <rFont val="Aptos Narrow"/>
        <family val="2"/>
        <scheme val="minor"/>
      </rPr>
      <t>Contemporary Issues, Inclusion and Sustainable Developmen</t>
    </r>
    <r>
      <rPr>
        <sz val="11"/>
        <color theme="1"/>
        <rFont val="Aptos Narrow"/>
        <family val="2"/>
        <scheme val="minor"/>
      </rPr>
      <t xml:space="preserve">t: The module encourages critical engagement with the role and value of Physical Education within contemporary compulsory education. Drawing upon real-world examples from diverse social, cultural, and demographic contexts, students critically examine issues relating to inclusion, equity, representation, and participation. Particular consideration is given to the contribution of Physical Education to wider societal priorities, including health and wellbeing, social justice, and the United Nations Sustainable Development Goals. This enables students to develop an informed understanding of Physical Education as a vehicle for educational, social, and sustainable development outcomes. </t>
    </r>
  </si>
  <si>
    <t>Analyse how different perspectives, philosophies, politics and changes in society, have impacted on the development of Physical Education.</t>
  </si>
  <si>
    <t xml:space="preserve">Reflect on and analyse the structures and agencies that contribute to the development of opportunities for young people and identify implications for the future development of PE. </t>
  </si>
  <si>
    <t>Poster Presentation</t>
  </si>
  <si>
    <t>Investigation of the importance of PE: Definitions of PE, Sport and physical activity; does the NCPE provide a curriculum for diverse populations.</t>
  </si>
  <si>
    <t>Introduction and overview of the module</t>
  </si>
  <si>
    <t>Reflecting on experiences – trends in PE and the impact of PE on young people (personal, social, physical and lifelong PA).</t>
  </si>
  <si>
    <t>Reflecting on experiences of PE</t>
  </si>
  <si>
    <t xml:space="preserve">100 years of PE, NC from 1987 Critical exploration of the 2000 curriculum – how this informs planning, delivery and assessment </t>
  </si>
  <si>
    <t>Historical development of PE 1</t>
  </si>
  <si>
    <t>Critical exploration of the 2008  curriculum – how this informs planning, delivery, and assessment</t>
  </si>
  <si>
    <t>Historical development of PE 2</t>
  </si>
  <si>
    <t>Critical exploration of the 2015 curriculum – how this informs planning, delivery, and assessment</t>
  </si>
  <si>
    <t>Historical development of PE 3</t>
  </si>
  <si>
    <t>Assessment in PE (core provision, GCSE, BTEC, Core, Cambridge Nationals and A’level PE)</t>
  </si>
  <si>
    <t>How schools develop their philosophy of PE</t>
  </si>
  <si>
    <t>The influence of government (Ofsted), organisations and associations; Initiatives in primary and secondary, PE and sport premium, NGB’s, 5 hour offer, SSP, PESSYP.</t>
  </si>
  <si>
    <t xml:space="preserve">Changes in PE that impact on pedagogy and practice </t>
  </si>
  <si>
    <t>Preparation to teach: Primary and secondary ITT (planning, preparation and delivery); Staff CPD</t>
  </si>
  <si>
    <t xml:space="preserve">Preparation to teach and teacher CPD </t>
  </si>
  <si>
    <t>Critical discussion exploring the extent to which policy, provision and practice  promotes equality, diversity and inclusion; the factors that affect this in the future.</t>
  </si>
  <si>
    <t>Future philosophies of PE</t>
  </si>
  <si>
    <t>Assessment support/Peer review of poster</t>
  </si>
  <si>
    <t>Preparation for assessment and formative feedback</t>
  </si>
  <si>
    <t>Assessment Poster</t>
  </si>
  <si>
    <t>6201SPS</t>
  </si>
  <si>
    <t>PE in Action 2</t>
  </si>
  <si>
    <t>This module aims to develop a deeper understanding of the role physical education plays in the promotion of physical literacy and lifelong physical activity, health and wellbeing of young people. Students will also critically reflect on the challenges, choices and constraints that young people experience within the complexity of the primary and secondary educational environment and wider society using a range of contextual, theoretical and philosophical perspectives. This module is a progression from the level 5 module 5204SPS Education in Physical Education 1.</t>
  </si>
  <si>
    <t>Physical activity /physical literacy levels of Young People in Physical Education;  policy/provision and practice; future recommendations for the promotion of physical activity/physical literacy in physical education; Defining physical education, sport and physical activity: (critical exploration of the associated benefits within a primary and secondary context; discussion on the range of perspectives used to define terms; participation rates amongst diverse populations; UNCRC and UNESCO). Critical socio-political exploration of the National Curriculum of physical education: (critical analysis of the governments influences of the curriculum; aims and inclusive practice and assessment processes that promote equity). Contextual exploration of critical incidents in relation to policy, provision and practice: within a primary or secondary context (peer critical reflection of self-perceptions and those of pupils, staff and the literature using a theoretical conceptual framework). Exploring philosophical conceptualisations of physical activity in physical education: physical literacy (critical discussion of the various conceptualisations of physical literacy; does PA differ for marginalised groups; mixed-sex and single-sex delivery of the curriculum and out of school PA and school sport). The economic, social and cultural barriers to participation in physical activity and school sport: (the impact on marginalised groups and exemplification from CI analysis; the historical context of PE). Physical education in the future: initiatives and associated pedagogies: (the development of policy, provision and practice in PE; the impact of pedagogical approaches and models-based practice on the delivery of PE and agencies which support the promotion of PE, PA and sport for young people; the professional attributes that promote EDI in the PE curriculum).</t>
  </si>
  <si>
    <t>This module builds on the knowledge and understanding developed in Level 5 module 5204SPS Education in Physical Education 1, enabling students to explore more critically the role of physical education in promoting physical literacy, lifelong physical activity, health and wellbeing among young people. Students will examine the challenges, choices and constraints experienced by young people within the complex primary and secondary educational environment and wider society, drawing on a range of contextual, theoretical and philosophical perspectives to critically evaluate contemporary issues and their implications for physical education practice.</t>
  </si>
  <si>
    <t>Structured academic writing workshops are embedded within the module and delivered on a fortnightly basis to support scaffolded learning, formative feedback, and the progressive development of academic literacy. This approach facilitates student engagement with Master's-level study and supports the development of critical writing, analysis, and scholarly communication skills. The initiative has been recognised as an example of effective pedagogic practice and contributes positively to the student learning experience.</t>
  </si>
  <si>
    <t>The module integrates the applied use of Brookfield's Four Lenses as a conceptual framework to support critical incident analysis and reflective practice. Through engagement with multiple perspectives, students develop the criticality, self-awareness, and reflexive capabilities expected of postgraduate learners, while also strengthening professional competencies relevant to Initial Teacher Training and broader graduate employment outcomes.</t>
  </si>
  <si>
    <t>The portfolio assessment adopts an authentic assessment design that reflects the structure, conventions, and academic expectations of the Major Independent Project. This provides students with an opportunity to develop advanced skills in the synthesis of theory, policy, research evidence, and practice-based experiences through the critical analysis of context-specific critical incidents. The assessment supports progression towards independent scholarly inquiry and sustained academic writing.</t>
  </si>
  <si>
    <t>AI literacy is embedded within the curriculum through an enquiry-based assessment task that requires students to critically evaluate potential future developments within the National Curriculum for Physical Education (NCPE). Drawing upon historical and contemporary policy, provision, and practice, students are encouraged to engage with emerging technologies, evaluate competing perspectives, and formulate evidence-informed arguments regarding the future direction of the sector. This supports the development of critical digital capabilities and responsible engagement with AI-enhanced educational environments.</t>
  </si>
  <si>
    <t>Critically examine the processes and structures in physical education that contribute to the physical, social and psychological development of young people.</t>
  </si>
  <si>
    <t>Reflect on and critically analyse policy, provision and practice of physical education and the impact this has on young people.</t>
  </si>
  <si>
    <t>Critically examine the role of physical education in promoting physical literacy, lifelong physical activity and health and wellbeing for young people.</t>
  </si>
  <si>
    <t>Portfolio and supporting appendix</t>
  </si>
  <si>
    <t>Translational practice</t>
  </si>
  <si>
    <t xml:space="preserve">Exploring definitions of PE, PA and Sport and how they are applied to primary/secondary NCPE. Social, physical and psychological benefits of PE. How policy, provision and practice are socio-politically constructed (critical exploration of the NCPE). </t>
  </si>
  <si>
    <t xml:space="preserve">Exploration of personal philosophies of PE and exemplification of portfolios </t>
  </si>
  <si>
    <t>Contextualised observation: critical incident analysis (Brookfields four lenses).</t>
  </si>
  <si>
    <t xml:space="preserve">Observation schedule and formulation of key lines of enquiry. Exemplification of portfolio assessment </t>
  </si>
  <si>
    <t>Critical exploration of the structures in primary and secondary education that promote physical activity in young people (policy). Statutory and non-statutory guidelines. Physical literacy and physical activity recommendations.</t>
  </si>
  <si>
    <t xml:space="preserve">Consider the tensions that exist in primary and secondary education that affect physical activity levels for young people as a result of policy. </t>
  </si>
  <si>
    <t>Critical exploration of the provision and delivery of PE in primary and secondary education and the influence on physical activity levels.</t>
  </si>
  <si>
    <t>Consider the differences in provision and how they influence the development of physical literacy, physical activity, health and well-being.</t>
  </si>
  <si>
    <t>Critical exploration of the practice and delivery of PE in primary and secondary education and the influence on physical activity levels. Examining the concept of Physical literacy and Pedagogical approaches (health-based PE; Cooperative learning; TGFU and sport education) and teaching styles.</t>
  </si>
  <si>
    <t xml:space="preserve">Critically consider the value of model-based practices in the promotion of life long physical activity.  </t>
  </si>
  <si>
    <t>Exploration of the concept of Physical Literacy (differing conceptualisations)</t>
  </si>
  <si>
    <t>Critically consider the value of Physical literacy in promoting life-long PA</t>
  </si>
  <si>
    <t xml:space="preserve">Exploring future directions of PE. </t>
  </si>
  <si>
    <t xml:space="preserve">The philosophical underpinning of physical literacy and the promotion of physical activity, health and wellbeing. Exploration and consideration of assessment practices in PE. </t>
  </si>
  <si>
    <t>Evaluation of observation findings as they relate policy, provision and practice in primary and secondary settings.</t>
  </si>
  <si>
    <t xml:space="preserve">Exploration of teachers, pupils your own the literature perspectives in relation to policy, provision and practice. </t>
  </si>
  <si>
    <t xml:space="preserve">Writing Workshop – peer review of portfolio assessment </t>
  </si>
  <si>
    <t>Construction of CI’s and appendix</t>
  </si>
  <si>
    <t>Peer assessment using assessment criteria</t>
  </si>
  <si>
    <t>Learning theory and practice 3</t>
  </si>
  <si>
    <t>6202SPS</t>
  </si>
  <si>
    <t>This module aims to develop students' practical teaching competence through the planning, delivery, and critical evaluation of physical education lessons. Students will design and deliver authentic teaching episodes, applying pedagogical knowledge, subject-specific content, and effective instructional strategies within practical settings. Through structured reflection, underpinned by Kolb's Experiential Learning Cycle, students will critically analyse their teaching decisions, evaluate their impact on learner engagement and outcomes, and identify strategies for professional improvement. The module fosters reflective practitioners who are able to integrate theory with practice, enhance their teaching effectiveness, and support the learning and development of diverse learners in physical education contexts. </t>
  </si>
  <si>
    <r>
      <rPr>
        <b/>
        <sz val="12"/>
        <color rgb="FF000000"/>
        <rFont val="Arial"/>
        <family val="2"/>
      </rPr>
      <t xml:space="preserve">Physical Literacy: </t>
    </r>
    <r>
      <rPr>
        <sz val="12"/>
        <color rgb="FF000000"/>
        <rFont val="Arial"/>
        <family val="2"/>
      </rPr>
      <t>Development of knowledge and understanding of physical literacy principles. Students will explore strategies for designing inclusive, developmentally appropriate learning experiences that enhance pupils' physical literacy across a range of practical activities.</t>
    </r>
  </si>
  <si>
    <t>Colin Lewis</t>
  </si>
  <si>
    <r>
      <rPr>
        <b/>
        <sz val="12"/>
        <color rgb="FF000000"/>
        <rFont val="Arial"/>
      </rPr>
      <t xml:space="preserve">Models-Based Practice: </t>
    </r>
    <r>
      <rPr>
        <sz val="12"/>
        <color rgb="FF000000"/>
        <rFont val="Arial"/>
      </rPr>
      <t>Application of models-based practice to support effective teaching and learning in physical education. Students will explore and apply appropriate pedagogical models (e.g., NLP and Gamification) to plan, deliver and evaluate practical teaching episodes aligned with intended learning outcomes. </t>
    </r>
  </si>
  <si>
    <r>
      <rPr>
        <b/>
        <sz val="12"/>
        <color rgb="FF000000"/>
        <rFont val="Arial"/>
        <family val="2"/>
      </rPr>
      <t xml:space="preserve">Reflective Models: </t>
    </r>
    <r>
      <rPr>
        <sz val="12"/>
        <color rgb="FF000000"/>
        <rFont val="Arial"/>
        <family val="2"/>
      </rPr>
      <t>Development of reflective practice through the application of Kolb's Experiential Learning Cycle. Students will critically evaluate their planning, teaching delivery and learner outcomes to identify strengths, areas for development and evidence-informed strategies for enhancing future teaching practice.</t>
    </r>
  </si>
  <si>
    <r>
      <rPr>
        <b/>
        <sz val="12"/>
        <color rgb="FF000000"/>
        <rFont val="Arial"/>
      </rPr>
      <t xml:space="preserve">Practical Activities (Multi-sports – Targeting Primary or Secondary School Aged Children): </t>
    </r>
    <r>
      <rPr>
        <sz val="12"/>
        <color rgb="FF000000"/>
        <rFont val="Arial"/>
      </rPr>
      <t>Planning, delivery and evaluation of practical teaching episodes across a range of individual and team activities appropriate for either primary or secondary school settings. Students will develop lesson planning, organisation, communication, behaviour management, differentiation, assessment for learning and feedback skills while teaching peers acting as school-aged learners.</t>
    </r>
  </si>
  <si>
    <t>Column1</t>
  </si>
  <si>
    <r>
      <rPr>
        <b/>
        <sz val="11"/>
        <color rgb="FF000000"/>
        <rFont val="Aptos Narrow"/>
      </rPr>
      <t>EDI/inclusive curriculum: Diversifying Curriculum:</t>
    </r>
    <r>
      <rPr>
        <sz val="11"/>
        <color rgb="FF000000"/>
        <rFont val="Aptos Narrow"/>
      </rPr>
      <t xml:space="preserve"> Within LO2 it states “Reflect on and critically analyse models-based practices to demonstrate how these can impact students in a Physical Education setting " - Here the students will have to consider SEND and inclusive / adaptive practices. </t>
    </r>
    <r>
      <rPr>
        <b/>
        <sz val="11"/>
        <color rgb="FF000000"/>
        <rFont val="Aptos Narrow"/>
      </rPr>
      <t>Discussing Perspectives:</t>
    </r>
    <r>
      <rPr>
        <sz val="11"/>
        <color rgb="FF000000"/>
        <rFont val="Aptos Narrow"/>
      </rPr>
      <t xml:space="preserve"> There will be various opportunities during the teaching weeks in where workshop like activities will be taking place for students to formulate discussions in reference to underrepresented groups, in addition to being able to reflect upon their own teaching practice (again considering underrepresented groups). </t>
    </r>
    <r>
      <rPr>
        <b/>
        <sz val="11"/>
        <color rgb="FF000000"/>
        <rFont val="Aptos Narrow"/>
      </rPr>
      <t xml:space="preserve">Representation of Role Models: </t>
    </r>
    <r>
      <rPr>
        <sz val="11"/>
        <color rgb="FF000000"/>
        <rFont val="Aptos Narrow"/>
      </rPr>
      <t xml:space="preserve">For example, during Week 2, we will draw on the experiences of role models from diverse backgrounds to support the teaching of critical social justice theory </t>
    </r>
  </si>
  <si>
    <r>
      <rPr>
        <b/>
        <sz val="11"/>
        <color rgb="FF000000"/>
        <rFont val="Aptos Narrow"/>
        <scheme val="minor"/>
      </rPr>
      <t>Ind. assessment:</t>
    </r>
    <r>
      <rPr>
        <sz val="11"/>
        <color rgb="FF000000"/>
        <rFont val="Aptos Narrow"/>
        <scheme val="minor"/>
      </rPr>
      <t xml:space="preserve"> No need for buddycheck or mark adjustments as this is an individual assessment </t>
    </r>
  </si>
  <si>
    <r>
      <rPr>
        <b/>
        <sz val="11"/>
        <color rgb="FF000000"/>
        <rFont val="Aptos Narrow"/>
        <scheme val="minor"/>
      </rPr>
      <t xml:space="preserve">AI: </t>
    </r>
    <r>
      <rPr>
        <sz val="11"/>
        <color rgb="FF000000"/>
        <rFont val="Aptos Narrow"/>
        <scheme val="minor"/>
      </rPr>
      <t>Development of teaching resources using AI. However, these are not a requirment to be formally represented within assessments.</t>
    </r>
  </si>
  <si>
    <t>Critically examine reflective practice through the application of Kolb's Experiential Learning Theory </t>
  </si>
  <si>
    <t>Reflect on and critically analyse models-based practices to demonstrate how these can impact students in a Physical Education setting  </t>
  </si>
  <si>
    <t>Apply established learning theories to design solutions to pedagogical cases </t>
  </si>
  <si>
    <t>Invidual Presentation</t>
  </si>
  <si>
    <t>Knowledge synthesis</t>
  </si>
  <si>
    <t>Critical thinking</t>
  </si>
  <si>
    <t>Module Introduction and Kolb Learning Theory</t>
  </si>
  <si>
    <t>Kolb Learning Theory and Pedagogical Practice in PE </t>
  </si>
  <si>
    <t>NLP </t>
  </si>
  <si>
    <t>Gamification </t>
  </si>
  <si>
    <t>Student-led Practical Activity - NLP and Gamification</t>
  </si>
  <si>
    <t>Delivery Preparation - Session Planning</t>
  </si>
  <si>
    <t>Directed Study Week</t>
  </si>
  <si>
    <t>Formative Task Submission - First 3 Components of the Presentation Assessment Criteria</t>
  </si>
  <si>
    <t>Practical Delivery</t>
  </si>
  <si>
    <t>Analysis of Findings </t>
  </si>
  <si>
    <t>Write-up of Findings and Presentation Support</t>
  </si>
  <si>
    <t>Revision / Assessment</t>
  </si>
  <si>
    <t>6203SPS</t>
  </si>
  <si>
    <t>Professional Practice in PE 3</t>
  </si>
  <si>
    <t xml:space="preserve">Students will have the opportunity to plan and deliver a school or community-based project within a school or community setting. </t>
  </si>
  <si>
    <t>YL</t>
  </si>
  <si>
    <t xml:space="preserve">Theme 1: Project planning, management and delivery </t>
  </si>
  <si>
    <t xml:space="preserve">Theme 2: Occupational socialisation and professional identity </t>
  </si>
  <si>
    <t xml:space="preserve"> Theme 1 - Project planning, management and delivery
•	Project rationale
•	Planning, leadership, management
•	Communication, and enterprise 
•	Risk assessment,
•	Delivery and evaluation
Theme 2 - Occupational socialisation and professional identity 
•	Professional Identity and development 
•	Professionalisation and intro to organisational phase of OST
•	Reflective practice
•	Subject knowledge skills audit 
 In preparation for the project, students will critically review the leadership, management, and enterprise skills required for successful delivery, while building upon their understanding of the professionalisation phase of occupational socialisation (OCT). The project will also provide insight into the organisational phase of OST through engagement with professional community contexts. On completion of the project, students will ctitically review their personal and professional development and evaluate how these experiences have influenced the development of their professional identity.</t>
  </si>
  <si>
    <r>
      <rPr>
        <sz val="11"/>
        <color rgb="FF000000"/>
        <rFont val="Aptos Narrow"/>
      </rPr>
      <t xml:space="preserve">                                                                                                                                                                                                                                                                                                                                                                                                                                                                                                                                                                                                             This module combines lectures, workshops, independent study, and work-based learning experiences. Students are expected to attend timetabled sessions</t>
    </r>
    <r>
      <rPr>
        <sz val="12"/>
        <color rgb="FF000000"/>
        <rFont val="Aptos Narrow"/>
      </rPr>
      <t xml:space="preserve"> to develop their knowledge and understanding of the key concepts explored within the module. Students will undertake a work-based placement to plan, deliver, and evaluate a project within a school or community setting, providing opportunities to apply leadership, management, and enterprise skills in practice while reflecting on their personal and professional development. Students are encouraged to utilise the available directed learning and private study time, alongside resources made available via the virtual learning platform. Completion of the required and recommended reading will support students' understanding of occupational socialisation, professional identity, reflective practice, and project delivery, while enhancing their ability to apply module content to discussions, practical experiences, and assessment tasks. There are a number of opportunities for students to discuss and share their experiences with peers during the module. These activities are designed to expose students to a diverse range of perspectives, and support critical reflection on professional practice. Students are encouraged to use the Buddycheck facility to monitor, evaluate, and reflect upon individual and group contributions throughout the project. Scheduled tutor meetings will provide additional support through project supervision, feedback, and discussion of project progress. Students will update their subject knowledge audit throughout the module and this will be used to identify personal devlopment and progression (Report and presentation assessments).</t>
    </r>
  </si>
  <si>
    <t>Students are required to update their subject knowledge audit to support their personal and professional development throughout the module. The audit is a continuation from L4 and L5 professional practice modules. This will support students ability to reflect on their personal and professional development which is essential to the assessment item  number 2 (Presentation).During the module students will also complete a project handbook that is submitted with assessment item 2 and embedded in the assessment critera. During the module students will complete a series of formative tasks that will enable them to gain feedback on their work.  Additionally, students (working in groups)  will pitch for a project of their choice and projects will be allocated based on the strengths and skills of the group. Feedback will be provided to all groups. Where possible, external panel members will be present at the panel in addition to module staff. External panel members will include school teachers, community workers etc.</t>
  </si>
  <si>
    <t>While the assessment items are both group work, the Canvas Buddy Check system will be in place and used to support and allocate individual marks/ contributions to the assessments. As a module team we feel it is essential that students experience working as a group and manage both the report (prep for project) and presentation (evaluation of the project) as group. This will prepapre them for various work environments where collaboration is important.  Using the Canvas Buddy Check system can allow for different marks to be allocated to each student within the group. This system will be used rigourously.</t>
  </si>
  <si>
    <t xml:space="preserve">CIMPSA Mapped </t>
  </si>
  <si>
    <t>Apply leadership, management and enterprise principles to plan and deliver a physical education project, within a school or community environment.</t>
  </si>
  <si>
    <t>Critically evaluate a physical education related project within a school or community environment.</t>
  </si>
  <si>
    <t>Critically reflect on personal and professional practice drawing upon OST to evaluate how project experiences have contributed to the development of professional identity</t>
  </si>
  <si>
    <t>Group Report. The report requires an outline of students proposed project and plan. The report will be supported with theoretical content to support students knowledge and undertanding of leadership and enterprise principles within a PE/community context.</t>
  </si>
  <si>
    <t>Group Presentation . The 20min presentation enables students to critically reflect on the learning process, learning outcomes and success of the project. This assessment also provides opportunity for students to reflect on both their personal and professional development, using OCT,  as well as  group progression and identity. Students are required to submit their project handbook and this is embedded within the assessment criteria.</t>
  </si>
  <si>
    <t>Introduction to the module, project groups and project opportunities</t>
  </si>
  <si>
    <t xml:space="preserve">Lecture/Workshop </t>
  </si>
  <si>
    <t>Planning for projects.  Tuckman’s Model</t>
  </si>
  <si>
    <t>Role and responsibilities in group projects</t>
  </si>
  <si>
    <t>Project code of conduct and group management</t>
  </si>
  <si>
    <t>Project proposal presentations (Formative task submission project proposal)</t>
  </si>
  <si>
    <t>Project proposal feedback and confirmation of projects</t>
  </si>
  <si>
    <t>Project provider visits. What makes a successful project</t>
  </si>
  <si>
    <t>Project &amp; assessment planning</t>
  </si>
  <si>
    <r>
      <rPr>
        <sz val="11"/>
        <color rgb="FF000000"/>
        <rFont val="Aptos Narrow"/>
        <family val="2"/>
        <scheme val="minor"/>
      </rPr>
      <t>Expl</t>
    </r>
    <r>
      <rPr>
        <sz val="11"/>
        <color rgb="FF000000"/>
        <rFont val="Aptos Narrow"/>
        <family val="2"/>
      </rPr>
      <t>oring the professionalisation phase of OST: Experiences, values and identity formation</t>
    </r>
  </si>
  <si>
    <t>Using OST as framework for reflection and professional learning</t>
  </si>
  <si>
    <t xml:space="preserve">Project Delivery </t>
  </si>
  <si>
    <t xml:space="preserve">Off site </t>
  </si>
  <si>
    <t>Transitioning into the organisational phase: navigating professional contexts and cultures</t>
  </si>
  <si>
    <t xml:space="preserve"> Transitioning into the organisational phase: professional identity (Formative Task Submission Subject Knowledge Audit)</t>
  </si>
  <si>
    <t>Reflecting on project experiences and future professional practice</t>
  </si>
  <si>
    <t>6096SPS</t>
  </si>
  <si>
    <t>This option module aims to provide students with the knowledge and understanding of the current practices of Physical Education and school sport within the 14-16 National Curriculum. Students will also develop a critical understanding of examinations and awards within Physical Education for 14–16-year-olds. The module will enable students to plan and deliver within a 14-16 years setting thereby providing a contextual opportunity to develop personal teaching, learning and assessment approaches in Physical Education.</t>
  </si>
  <si>
    <t>Secondary PE Teacher Education</t>
  </si>
  <si>
    <t>Secondary school Physical Education: The National Curriculum for PE (NCPE) key stage 3 and 4; Examination and Awards within PE. Curriculum design: Higher level planning; Assessment within secondary Physical Education. Differentiation: Catering for abilities; Catering for unseen disabilities. The role of the PE teacher: Learner experiences; Principles of practice; Teaching and learning; Planning delivery; Quality improvements; Organisational policies procedure, legislation and regulation. Secondary school experience within KS4 core Physical Education and examinations and/or awards.</t>
  </si>
  <si>
    <t>Option module</t>
  </si>
  <si>
    <t>SES, SC, PE</t>
  </si>
  <si>
    <t>This module will provide you with the knowledge and understanding of the current practices of Physical Education and school sport within the 14-16 National Curriculum. During the course you will also develop a critical understanding of examinations and awards within Physical Education for 14–16-year-olds. The module will enable you to plan and deliver within a 14-16 years setting thereby providing a contextual opportunity to develop personal teaching, learning and assessment approaches in Physical Education.</t>
  </si>
  <si>
    <r>
      <rPr>
        <sz val="11"/>
        <color rgb="FF000000"/>
        <rFont val="Aptos Narrow"/>
        <scheme val="minor"/>
      </rPr>
      <t xml:space="preserve">Make sure this doesn't say it is </t>
    </r>
    <r>
      <rPr>
        <b/>
        <sz val="11"/>
        <color rgb="FF000000"/>
        <rFont val="Aptos Narrow"/>
        <scheme val="minor"/>
      </rPr>
      <t>CIMSPA</t>
    </r>
    <r>
      <rPr>
        <sz val="11"/>
        <color rgb="FF000000"/>
        <rFont val="Aptos Narrow"/>
        <scheme val="minor"/>
      </rPr>
      <t xml:space="preserve"> mapped as it is an option module</t>
    </r>
  </si>
  <si>
    <r>
      <rPr>
        <b/>
        <sz val="11"/>
        <color rgb="FF000000"/>
        <rFont val="Aptos Narrow"/>
      </rPr>
      <t xml:space="preserve">EDI/inclusive curriculum: </t>
    </r>
    <r>
      <rPr>
        <sz val="11"/>
        <color rgb="FF000000"/>
        <rFont val="Aptos Narrow"/>
      </rPr>
      <t xml:space="preserve">Diversifying the curriculum: Within LO1 it states “Explore a range of teaching and learning strategies for delivering inclusive Physical Education” here to focus will be on supporting pupils of various abilities, disabilities, and additional learning needs.  
Representation of role models: In relation to LO1 it is intended to include practical sessions with external organisations and experts along with the creation of asynchronous resources from practitioners and experts in adaptive actives and sports. 
Active learning: Interactive workshops and practical activities with the “role models” will facilitate active learning experiences that will stimulate engagement in EDI issues and content? </t>
    </r>
  </si>
  <si>
    <r>
      <rPr>
        <b/>
        <sz val="11"/>
        <color rgb="FF000000"/>
        <rFont val="Aptos Narrow"/>
        <scheme val="minor"/>
      </rPr>
      <t xml:space="preserve">AI: </t>
    </r>
    <r>
      <rPr>
        <sz val="11"/>
        <color rgb="FF000000"/>
        <rFont val="Aptos Narrow"/>
        <scheme val="minor"/>
      </rPr>
      <t>Development of teaching resources using AI is a recap of previous PE students learning and to bring the non-PE cohort up to the same level. It is not a requirment to be formally represented within assessments.</t>
    </r>
  </si>
  <si>
    <t>Critically analyse the structure, content, and delivery of the secondary Physical Education curriculum and the role of the PE teacher in facilitating effective learning</t>
  </si>
  <si>
    <t>Apply and evaluate pedagogical teaching and learning strategies within a secondary Physical Education setting</t>
  </si>
  <si>
    <t>Critically evaluate the provision and processes that underpin Physical Education for learners within the 14-16 curriculum</t>
  </si>
  <si>
    <t>Group Presentation</t>
  </si>
  <si>
    <t>Group lesson plan and delivery of lesson</t>
  </si>
  <si>
    <t>Essay</t>
  </si>
  <si>
    <t>Individual essay critically evaluating a current trend in secondary PE</t>
  </si>
  <si>
    <t>Data interpretation</t>
  </si>
  <si>
    <t>Organisational awareness</t>
  </si>
  <si>
    <t>Stakeholder awareness</t>
  </si>
  <si>
    <t>Introduction to module and secondary NCPE, Example core PE lessons</t>
  </si>
  <si>
    <t>Introduce module site, support, dictionary, overview of NCPE, developing coherency in lessons.</t>
  </si>
  <si>
    <t>Planning for progression, Example BTEC lessons</t>
  </si>
  <si>
    <t>Recap lesson coherency, Using NC and specifications, Ofsted requirements, Assessment measures</t>
  </si>
  <si>
    <t>Examinations and awards, Example GCSE lessons</t>
  </si>
  <si>
    <t>Offers and uptake, trends, specifications - practitioners perspective</t>
  </si>
  <si>
    <t>Inclusion, Example of adaptations and resources in PE lessons</t>
  </si>
  <si>
    <t xml:space="preserve">Unseen disabilities, seen disabilities, examples, considerations, strategies, </t>
  </si>
  <si>
    <t>The role of the PE teacher, Delivery practice</t>
  </si>
  <si>
    <t xml:space="preserve">Risk assessment, assessment, </t>
  </si>
  <si>
    <t>Content summary and assessment 1  feedforward, Delivery practice</t>
  </si>
  <si>
    <t>Recap on content relevant to assessment 1, 2, and ITT. Creating resources via AI to enhance lessons.</t>
  </si>
  <si>
    <t>Student delivery</t>
  </si>
  <si>
    <t>Assessment 1 support and Assessment 2 feedforward</t>
  </si>
  <si>
    <t>Self/Peer evaluation of assessment 1. Recap on content relevant to assessment 2.</t>
  </si>
  <si>
    <t>Assessment 2 support</t>
  </si>
  <si>
    <t>Self/Peer evaluation of assessment 2. Goal setting, Writing workshop</t>
  </si>
  <si>
    <t>Booked seminars</t>
  </si>
  <si>
    <t>Category</t>
  </si>
  <si>
    <t>Skill</t>
  </si>
  <si>
    <t>Modules Covering</t>
  </si>
  <si>
    <t>Module Count</t>
  </si>
  <si>
    <t>Covered</t>
  </si>
  <si>
    <t>Evidence evaluation</t>
  </si>
  <si>
    <t>Physiological adaptations to exercise; Psychosocial Principles of Sport and Exercise; Sport and Performance Psychology</t>
  </si>
  <si>
    <t>Laboratory/clinical techniques</t>
  </si>
  <si>
    <t>Data collection</t>
  </si>
  <si>
    <t>Exercise Phys L4; Human Movement; Major Project</t>
  </si>
  <si>
    <t>Data analysis</t>
  </si>
  <si>
    <t>Physiological adaptations to exercise; Performance Analysis in Sport</t>
  </si>
  <si>
    <t>Digital literacy</t>
  </si>
  <si>
    <t>Technical proficiency</t>
  </si>
  <si>
    <t>Major Project; Behaviour Change</t>
  </si>
  <si>
    <t>Primary PE teacher Education; Physical Education in Action 1; PE in Action 2; Secondary PE Teacher Education</t>
  </si>
  <si>
    <t>Primary PE teacher Education; Secondary PE Teacher Education</t>
  </si>
  <si>
    <t>Primary PE teacher Education; Secondary PE Teacher Education; Strength and Conditioning</t>
  </si>
  <si>
    <t>Primary PE teacher Education; Secondary PE Teacher Education; Major Project</t>
  </si>
  <si>
    <t>Primary PE teacher Education; PE in Action 2; Secondary PE Teacher Education; Research Methods 2</t>
  </si>
  <si>
    <t>Secondary PE Teacher Education; Research Methods 1; Exercise Phys L4; Research Methods 2; Physiological adaptations to exercise; Major Project; Strength and Conditioning; Performance Analysis in Sport; Learning Theory and Practice 2</t>
  </si>
  <si>
    <t>Primary PE teacher Education; Secondary PE Teacher Education; Physiological adaptations to exercise</t>
  </si>
  <si>
    <t>Research communication</t>
  </si>
  <si>
    <t>Primary PE teacher Education; Secondary PE Teacher Education; Human Movement</t>
  </si>
  <si>
    <t>Primary PE teacher Education; Secondary PE Teacher Education; Human Movement; Physiological adaptations to exercise; Major Project; Performance Analysis in Sport</t>
  </si>
  <si>
    <t>Resilience</t>
  </si>
  <si>
    <t>Initiative</t>
  </si>
  <si>
    <t>Accountability</t>
  </si>
  <si>
    <t>Written communication</t>
  </si>
  <si>
    <t>Exercise Phys L4</t>
  </si>
  <si>
    <t>Primary PE teacher Education; Secondary PE Teacher Education; Psychosocial Principles of Sport and Exercise; Sport and Performance Psychology</t>
  </si>
  <si>
    <t>Scientific writing</t>
  </si>
  <si>
    <t>Research Methods 2; Physiological adaptations to exercise; Major Project; Working in High Performance Sport</t>
  </si>
  <si>
    <t>Digital communication</t>
  </si>
  <si>
    <t>Human Movement</t>
  </si>
  <si>
    <t>Analytical thinking</t>
  </si>
  <si>
    <t>Evaluation of outcomes</t>
  </si>
  <si>
    <t>Human Movement; Performance Analysis in Sport</t>
  </si>
  <si>
    <t>Coaching and mentoring</t>
  </si>
  <si>
    <t>Behaviour Change</t>
  </si>
  <si>
    <t>Delegation</t>
  </si>
  <si>
    <t>Collaboration/multi-disciplinary working</t>
  </si>
  <si>
    <t>Primary PE teacher Education; Secondary PE Teacher Education; Behaviour Change</t>
  </si>
  <si>
    <t>Integrity</t>
  </si>
  <si>
    <t>Domain-specific analytical skills</t>
  </si>
  <si>
    <t>Strength and Conditioning; Behaviour Change; Performance Analysis in Sport</t>
  </si>
  <si>
    <t>Research literacy</t>
  </si>
  <si>
    <t>Primary PE teacher Education; PE in Action 2; Secondary PE Teacher Education; Working in High Performance Sport</t>
  </si>
  <si>
    <t>Primary PE teacher Education; Physical Education in Action 1; Secondary PE Teacher Education; Behaviour Change</t>
  </si>
  <si>
    <t>ModuleCode</t>
  </si>
  <si>
    <t>ModuleTitle</t>
  </si>
  <si>
    <t>Total Contact Hours</t>
  </si>
  <si>
    <t>Hours per Credit</t>
  </si>
  <si>
    <t>Professional Practice in Physical Education</t>
  </si>
  <si>
    <t>Learning Theory and Practice 3</t>
  </si>
  <si>
    <t>Professional Practicel in PE 3</t>
  </si>
  <si>
    <t>4202SPS</t>
  </si>
  <si>
    <t>Learning Theory and Practice 1</t>
  </si>
  <si>
    <t>Alexandra Consterdine</t>
  </si>
  <si>
    <t>6097SPS</t>
  </si>
  <si>
    <t>Working in High Performance Sport</t>
  </si>
  <si>
    <t>Dr Nic Robinson</t>
  </si>
  <si>
    <t>5094SPS</t>
  </si>
  <si>
    <t>Sport PE and society</t>
  </si>
  <si>
    <t>5202SPS</t>
  </si>
  <si>
    <t>Learning Theory and Practice 2</t>
  </si>
  <si>
    <t>Colum Cronin</t>
  </si>
  <si>
    <t>4093SPS</t>
  </si>
  <si>
    <t>Psychosocial Principles of Sport and Exercise</t>
  </si>
  <si>
    <t>Kathryn Curran</t>
  </si>
  <si>
    <t>5093SPS</t>
  </si>
  <si>
    <t>Sport and Performance Psychology</t>
  </si>
  <si>
    <t>James Roberts</t>
  </si>
  <si>
    <t>4091SPS</t>
  </si>
  <si>
    <t>Research Methods 1</t>
  </si>
  <si>
    <t>Theodoors Bampouras</t>
  </si>
  <si>
    <t>Research Strand</t>
  </si>
  <si>
    <t>4092SPS</t>
  </si>
  <si>
    <t>4094SPS</t>
  </si>
  <si>
    <t>Katie Fitton Davies</t>
  </si>
  <si>
    <t>5091SPS</t>
  </si>
  <si>
    <t>Research Methods 2</t>
  </si>
  <si>
    <t>Jonathan Foulkes</t>
  </si>
  <si>
    <t>5092SPS</t>
  </si>
  <si>
    <t>Physiological adaptations to exercise</t>
  </si>
  <si>
    <t>Pascale Kippelen</t>
  </si>
  <si>
    <t>6091SPS</t>
  </si>
  <si>
    <t>Major Project</t>
  </si>
  <si>
    <t>Dave Low</t>
  </si>
  <si>
    <t>Research Project</t>
  </si>
  <si>
    <t>6093SPS</t>
  </si>
  <si>
    <t>Strength and Conditioning</t>
  </si>
  <si>
    <t>Chelsea Oxendale</t>
  </si>
  <si>
    <t>6094SPS</t>
  </si>
  <si>
    <t>Lawrence Foweather</t>
  </si>
  <si>
    <t>6095SPS</t>
  </si>
  <si>
    <t>Performance Analysis in Sport</t>
  </si>
  <si>
    <t>Dr Ed Hope</t>
  </si>
  <si>
    <t>SourceWorkbook</t>
  </si>
  <si>
    <t>TableName</t>
  </si>
  <si>
    <t>ItemSuffix</t>
  </si>
  <si>
    <t>Programme</t>
  </si>
  <si>
    <t>ProgCode</t>
  </si>
  <si>
    <t>Physical Education - AllModuleProformas.xlsx</t>
  </si>
  <si>
    <t>4201SPS_Hours</t>
  </si>
  <si>
    <t>Hours</t>
  </si>
  <si>
    <t>PE</t>
  </si>
  <si>
    <t>5201SPS_Hours</t>
  </si>
  <si>
    <t>5203SPS_Hours</t>
  </si>
  <si>
    <t>5204SPS_Hours</t>
  </si>
  <si>
    <t>6096SPS_Hours</t>
  </si>
  <si>
    <t>6202SPS_Hours</t>
  </si>
  <si>
    <t>6203SPS_Hours</t>
  </si>
  <si>
    <t>_6201SPS_Hours</t>
  </si>
  <si>
    <t>Sport Coaching - AllModuleProformas.xlsx</t>
  </si>
  <si>
    <t>4202SPS_Hours</t>
  </si>
  <si>
    <t>6097SPS_Hours</t>
  </si>
  <si>
    <t>_5094SPS_Hours</t>
  </si>
  <si>
    <t>_5202SPS_Hours</t>
  </si>
  <si>
    <t>Sport Psychology - AllModuleProformas.xlsx</t>
  </si>
  <si>
    <t>4093SPS_Hours</t>
  </si>
  <si>
    <t>5093SPS_Hours</t>
  </si>
  <si>
    <t>Sport and Exercise Science - AllModuleProformas.xlsx</t>
  </si>
  <si>
    <t>4091SPS_Hours</t>
  </si>
  <si>
    <t>4092SPS_Hours</t>
  </si>
  <si>
    <t>4094SPS_Hours</t>
  </si>
  <si>
    <t>5091SPS_Hours</t>
  </si>
  <si>
    <t>5092SPS_Hours</t>
  </si>
  <si>
    <t>6091SPS_Hours</t>
  </si>
  <si>
    <t>6093SPS_Hours</t>
  </si>
  <si>
    <t>6094SPS_Hours</t>
  </si>
  <si>
    <t>6095SPS_Hours</t>
  </si>
  <si>
    <t>4201SPS_Meta</t>
  </si>
  <si>
    <t>Meta</t>
  </si>
  <si>
    <t>5201SPS_Meta</t>
  </si>
  <si>
    <t>5203SPS_Meta</t>
  </si>
  <si>
    <t>5204SPS_Meta</t>
  </si>
  <si>
    <t>6096SPS_Meta</t>
  </si>
  <si>
    <t>6202SPS_Meta</t>
  </si>
  <si>
    <t>6203SPS_Meta</t>
  </si>
  <si>
    <t>_6201SPS_Meta</t>
  </si>
  <si>
    <t>4202SPS_Meta</t>
  </si>
  <si>
    <t>SC and PE</t>
  </si>
  <si>
    <t>6097SPS_Meta</t>
  </si>
  <si>
    <t>All Programmes</t>
  </si>
  <si>
    <t>_5094SPS_Meta</t>
  </si>
  <si>
    <t>Sport , Physical Education and Society</t>
  </si>
  <si>
    <t>_5202SPS_Meta</t>
  </si>
  <si>
    <t>4093SPS_Meta</t>
  </si>
  <si>
    <t>Other combination</t>
  </si>
  <si>
    <t>5093SPS_Meta</t>
  </si>
  <si>
    <t>4091SPS_Meta</t>
  </si>
  <si>
    <t>4092SPS_Meta</t>
  </si>
  <si>
    <t>4094SPS_Meta</t>
  </si>
  <si>
    <t>5091SPS_Meta</t>
  </si>
  <si>
    <t>5092SPS_Meta</t>
  </si>
  <si>
    <t>6091SPS_Meta</t>
  </si>
  <si>
    <t>6093SPS_Meta</t>
  </si>
  <si>
    <t>6094SPS_Meta</t>
  </si>
  <si>
    <t>6095SPS_Meta</t>
  </si>
  <si>
    <t>4201SPS_Mapping</t>
  </si>
  <si>
    <t>Mapping</t>
  </si>
  <si>
    <t>5201SPS_Mapping</t>
  </si>
  <si>
    <t>5203SPS_Mapping</t>
  </si>
  <si>
    <t>5204SPS_Mapping</t>
  </si>
  <si>
    <t>_6201SPS_Mapping</t>
  </si>
  <si>
    <t>6202SPS_Mapping</t>
  </si>
  <si>
    <t>6203SPS_Mapping</t>
  </si>
  <si>
    <t>6096SPS_Mapping</t>
  </si>
  <si>
    <t>4091SPS_Mapping</t>
  </si>
  <si>
    <t>4092SPS_Mapping</t>
  </si>
  <si>
    <t>4094SPS_Mapping</t>
  </si>
  <si>
    <t>5091SPS_Mapping</t>
  </si>
  <si>
    <t>5092SPS_Mapping</t>
  </si>
  <si>
    <t>6091SPS_Mapping</t>
  </si>
  <si>
    <t>6093SPS_Mapping</t>
  </si>
  <si>
    <t>6094SPS_Mapping</t>
  </si>
  <si>
    <t>6095SPS_Mapping</t>
  </si>
  <si>
    <t>4202SPS_Mapping</t>
  </si>
  <si>
    <t>_5202SPS_Mapping</t>
  </si>
  <si>
    <t>_5094SPS_Mapping</t>
  </si>
  <si>
    <t>6097SPS_Mapping</t>
  </si>
  <si>
    <t>4093SPS_Mapping</t>
  </si>
  <si>
    <t>5093SPS_Mapping</t>
  </si>
  <si>
    <t>4201SPS_Assess</t>
  </si>
  <si>
    <t>Assess</t>
  </si>
  <si>
    <t>5201SPS_Assess</t>
  </si>
  <si>
    <t>5203SPS_Assess</t>
  </si>
  <si>
    <t>5204SPS_Assess</t>
  </si>
  <si>
    <t>_6201SPS_Assess</t>
  </si>
  <si>
    <t>6202SPS_Assess</t>
  </si>
  <si>
    <t>6203SPS_Assess</t>
  </si>
  <si>
    <t>6096SPS_Assess</t>
  </si>
  <si>
    <t>4091SPS_Assess</t>
  </si>
  <si>
    <t>Exam</t>
  </si>
  <si>
    <t>Assessment period</t>
  </si>
  <si>
    <t>4092SPS_Assess</t>
  </si>
  <si>
    <t>Lab Report</t>
  </si>
  <si>
    <t>Lab Report Portfolio: Lab Report 1 Submission + Peer Review Activity + Reflection + Lab Report 2 Submission</t>
  </si>
  <si>
    <t>In Person Exam</t>
  </si>
  <si>
    <t>4094SPS_Assess</t>
  </si>
  <si>
    <t>MCQ Online Test</t>
  </si>
  <si>
    <t>Online exam where students choose 3 out of 6 possible videos of movement to deconstruct a joint of their choice through MCQ and open text responses</t>
  </si>
  <si>
    <t>Video</t>
  </si>
  <si>
    <t>Using biomechanical and skill acquisition theories, students will work in groups and pick a skill to progress through the stages of learning and create a short video to document this progression and how they have applied the theories gained through the module. It will also include an individual reflective piece on how their knowledge has developed over the module and how it might impact on work in sport, exercise and health.</t>
  </si>
  <si>
    <t>5091SPS_Assess</t>
  </si>
  <si>
    <t>5092SPS_Assess</t>
  </si>
  <si>
    <t>Pro/con debate: working in groups, students will research, prepare, and participate in a structured debate on a controversial topic related to sport and exercise physiology</t>
  </si>
  <si>
    <t>Assessment week</t>
  </si>
  <si>
    <t>6091SPS_Assess</t>
  </si>
  <si>
    <t>Dissertation</t>
  </si>
  <si>
    <t xml:space="preserve">Students are required to manage their own project throughout the year and produce, present and defend their major project </t>
  </si>
  <si>
    <t>6093SPS_Assess</t>
  </si>
  <si>
    <t>Viva</t>
  </si>
  <si>
    <t>6094SPS_Assess</t>
  </si>
  <si>
    <t>Design a theory-based behaviour change intervention (10 minute narrated presentation)</t>
  </si>
  <si>
    <t xml:space="preserve">Practical Simulation and Reflection: Students complete a 12-15 minute behaviour change consultation with an adult client seeking support. Following the practical, students submit a critical reflection (≈750–1,000 words) on their consultation. </t>
  </si>
  <si>
    <t>6095SPS_Assess</t>
  </si>
  <si>
    <t>Data Analysis</t>
  </si>
  <si>
    <t>Part A includes 3 different components: a code window file (from Sportscode), a CSV file, and a report.                                                                                                                                                Part B includes 2 different components: a video playlist, and a Tableau dashboard file.</t>
  </si>
  <si>
    <t>Group Presentation analysing performance of a team or athlete (15 minutes + 5 minutes questions).</t>
  </si>
  <si>
    <t>Week 17</t>
  </si>
  <si>
    <t>4202SPS_Assess</t>
  </si>
  <si>
    <t>Lesson plan, essay, teaching task, and session observations</t>
  </si>
  <si>
    <t>_5202SPS_Assess</t>
  </si>
  <si>
    <t xml:space="preserve">Produce a portfolio that evaluates the effectiveness of a pedagogical practice. The portfolio should include:  
1) An introduction to a pedagogical practice (e.g., TGFU) 
2) A theoretical framework to guide the evaluation (e.g., social constructivism)  
3) A method of analysing the effectiveness of the model (e.g., field notes).  
4) Findings that evaluate the pedagogical model.  </t>
  </si>
  <si>
    <t>6097SPS_Assess</t>
  </si>
  <si>
    <t>Group podcast (15 minutes). "Inside the Performance Environment". Groups act as the senior interdisciplinary team of a named high-performance organisation, such as an NGB World Class Programme, a Category 1 academy or a performance institute. They record a podcast on a real performance problem. Examples:
An athlete stalling at the transition from pathway to podium.
A squad with a rising burnout risk.
A cut in UK Sport funding.
Each student takes a senior role, such as Performance Director, Head of Sport Science, Academy Manager or Lead Coach. They explain how their role sees the problem and what it contributes. Together, the group then agrees an interdisciplinary performance solution. This keeps the collaborative, problem-based format students rate highly. It also brings in the new content: organisational structures, roles and competencies, leadership, communication and conflict, and welfare or ethical limits on the solution.</t>
  </si>
  <si>
    <t>Annual performance plan . Write an evidence-based annual plan for an athlete or team in that setting. Cover periodisation, monitoring and evaluation, and interdisciplinary justification. Add a short section on how the plan would be led and managed: who owns each part, how the team works together and communicates with stakeholders, and any welfare, safeguarding or anti-doping considerations.</t>
  </si>
  <si>
    <t>4093SPS_Assess</t>
  </si>
  <si>
    <t xml:space="preserve">60 minute and 50 question MCT to cover material delivered during weeks 1-6 of the module. </t>
  </si>
  <si>
    <t>Week 8</t>
  </si>
  <si>
    <t>60 minute and 50 question MCT to cover material delivered during weeks 8-12 of the module. </t>
  </si>
  <si>
    <t>January Assessment Weeks</t>
  </si>
  <si>
    <t>5093SPS_Assess</t>
  </si>
  <si>
    <t>13-14</t>
  </si>
  <si>
    <t>4201SPS_LO</t>
  </si>
  <si>
    <t>LO</t>
  </si>
  <si>
    <t>5201SPS_LO</t>
  </si>
  <si>
    <t>5203SPS_LO</t>
  </si>
  <si>
    <t>5204SPS_LO</t>
  </si>
  <si>
    <t>_6201SPS_LO</t>
  </si>
  <si>
    <t>6202SPS_LO</t>
  </si>
  <si>
    <t>6203SPS_LO</t>
  </si>
  <si>
    <t>6096SPS_LO</t>
  </si>
  <si>
    <t>4091SPS_LO</t>
  </si>
  <si>
    <t>Identify characteristics of different research designs</t>
  </si>
  <si>
    <t>Apply, interpret and report quantitative and qualitative techniques</t>
  </si>
  <si>
    <t>4092SPS_LO</t>
  </si>
  <si>
    <t>Describe the basic structure and function of key physiological systems and metabolic processes.</t>
  </si>
  <si>
    <t>Describe and explain how key physiological systems and metabolic processes respond to acute exercise.</t>
  </si>
  <si>
    <t>Collect, present and interpret physiological data using appropriate scientific methods and conventions.</t>
  </si>
  <si>
    <t>4094SPS_LO</t>
  </si>
  <si>
    <t>Describe human anatomical structure and function and apply these concepts to sport, exercise and health</t>
  </si>
  <si>
    <t>Apply concepts and techniques of biomechanics to sport, exercise, and health</t>
  </si>
  <si>
    <t>Apply concepts and techniques of skill acquisition to sport, exercise, and health</t>
  </si>
  <si>
    <t>5091SPS_LO</t>
  </si>
  <si>
    <t>Deploy accurately established techniques of analysis and enquiry within a discipline</t>
  </si>
  <si>
    <t>Manage their own learning, and to make use of scholarly reviews and primary sources (for example, refereed research articles and/or original materials appropriate to the discipline).</t>
  </si>
  <si>
    <t>5092SPS_LO</t>
  </si>
  <si>
    <t>Analyse and critically evaluate the physiological effects of sport and exercise interventions in diverse populations.</t>
  </si>
  <si>
    <t>Critically assess the impact of environmental factors, nutritional interventions, and disease states on physiological responses and adaptations to exercise training,</t>
  </si>
  <si>
    <t>6091SPS_LO</t>
  </si>
  <si>
    <t>Apply skills and competencies to conduct research in an area relevant to their programme of study</t>
  </si>
  <si>
    <t>Critically appraise the research in a written format as specified by the major project guidelines</t>
  </si>
  <si>
    <t>Present and defend the progress and summary of the project and its findings in a scientific manner</t>
  </si>
  <si>
    <t>6093SPS_LO</t>
  </si>
  <si>
    <t>Complete an athlete needs analysis and analyse the data against norms found within academic literature</t>
  </si>
  <si>
    <t>Design an athlete training programme in consideration of the athlete needs analysis and scientific determinants of performance.</t>
  </si>
  <si>
    <t>Design safe and effective coaching sessions to athletes</t>
  </si>
  <si>
    <t>6094SPS_LO</t>
  </si>
  <si>
    <t>Design a theory-based behaviour change intervention</t>
  </si>
  <si>
    <t>Conduct a behaviour change consultation</t>
  </si>
  <si>
    <t>Critically evaluate and reflect upon personal and professional skills to support behaviour change</t>
  </si>
  <si>
    <t>6095SPS_LO</t>
  </si>
  <si>
    <t xml:space="preserve">
Analyse and evaluate the application of performance analysis in sport.</t>
  </si>
  <si>
    <t xml:space="preserve">
Demonstrate and apply techniques used to collect, analyse, interpret, and feedback performance analysis data.</t>
  </si>
  <si>
    <t>4202SPS_LO</t>
  </si>
  <si>
    <t>Demonstrate sound knowledge of learning theory</t>
  </si>
  <si>
    <t>Safely use pedagogical practices  </t>
  </si>
  <si>
    <t>Evaluate learning in a sport, PE or physical activity setting</t>
  </si>
  <si>
    <t>_5202SPS_LO</t>
  </si>
  <si>
    <t>Apply relevant learning theories to analyse pedagogical practice</t>
  </si>
  <si>
    <t xml:space="preserve">Apply established pedagogical models to practical teaching/coaching scenarios  </t>
  </si>
  <si>
    <t>Critically evaluate the appropriateness of pedagogical strategies  </t>
  </si>
  <si>
    <t>_5094SPS_LO</t>
  </si>
  <si>
    <t>6097SPS_LO</t>
  </si>
  <si>
    <t xml:space="preserve">Critically evaluate the structures, governance and leadership models of high-performance sport organisations in the UK (e.g. UK Sport, NGBs, professional academies, performance institutes). </t>
  </si>
  <si>
    <t xml:space="preserve">Synthesise interdisciplinary sport science and coaching knowledge (physiology, psychology, biomechanics, performance analysis) to design and justify a holistic performance support strategy for an elite athlete or team. </t>
  </si>
  <si>
    <t xml:space="preserve">Evaluate the evidence base underpinning performance planning, talent development and periodisation within real-world high-performance environments. </t>
  </si>
  <si>
    <t>4093SPS_LO</t>
  </si>
  <si>
    <t>5093SPS_LO</t>
  </si>
  <si>
    <t>Evaluate individual and environmental psychological principles associated with sport performance.</t>
  </si>
  <si>
    <t>Evaluate the identification and development of perceptual-cognitive expertise within sport.</t>
  </si>
  <si>
    <t>Table 1</t>
  </si>
  <si>
    <t>Table 3</t>
  </si>
  <si>
    <t>Table 5</t>
  </si>
  <si>
    <t>Placement</t>
  </si>
  <si>
    <t>Scientific Knowledge</t>
  </si>
  <si>
    <t>Category text shown to user</t>
  </si>
  <si>
    <t>Defined Name</t>
  </si>
  <si>
    <t>Case Study</t>
  </si>
  <si>
    <t>ScientificKnowledge</t>
  </si>
  <si>
    <t>TechnicalSkills</t>
  </si>
  <si>
    <t>ApplicationofKnowledge</t>
  </si>
  <si>
    <t>Infographic</t>
  </si>
  <si>
    <t>UnderstandingResearch</t>
  </si>
  <si>
    <t>SelfEvaluation</t>
  </si>
  <si>
    <t>Football Science</t>
  </si>
  <si>
    <t>Journal</t>
  </si>
  <si>
    <t>ProblemSolving</t>
  </si>
  <si>
    <t>Sport and Exercise Science</t>
  </si>
  <si>
    <t>Technical Skills</t>
  </si>
  <si>
    <t>MgmtSelf</t>
  </si>
  <si>
    <t>Sport Coaching</t>
  </si>
  <si>
    <t>DeliveryEnvironment</t>
  </si>
  <si>
    <t>Sport Nutrition</t>
  </si>
  <si>
    <t>ProfRelationships</t>
  </si>
  <si>
    <t>Sport Psychology</t>
  </si>
  <si>
    <t>SES and FS</t>
  </si>
  <si>
    <t>SES and SN</t>
  </si>
  <si>
    <t>Application of Knowledge &amp; Skills</t>
  </si>
  <si>
    <t>Professional relationships &amp; behaviours</t>
  </si>
  <si>
    <t>Online - synchronous</t>
  </si>
  <si>
    <t>Online test with multiple-choice, fill in the gap or true/false questions. The test is not invigilated but taken within a specific time-window. The questions are based around the content of the first 4 weeks. Practice questions will be available on Canvas. [NB: The restriction of not being able to take the test on site, and thus invigilate it, is imposed by the University]</t>
  </si>
  <si>
    <t>Online exam, in-person and on campus, invigilated. Multiple-choice, fill in the gap or true/false questions. The questions are based around the remaining content (after 4 weeks) of the module. Practice questions will be available on Canvas.</t>
  </si>
  <si>
    <t>1 hour Online MCQ Exam</t>
  </si>
  <si>
    <t>17-18</t>
  </si>
  <si>
    <t>Portfolio (2500 words)Group presentation demonstrating their analysis of a mixed-methods data set i.e. both qualitative and quantitative data. Assessment Criteria will include an individual mark to help differentiate grades between students alongside Peer Review i.e. Buddycheck.</t>
  </si>
  <si>
    <t>Research Proposal outlining the design and methodology of a feasible study the student could undertake at L6 i.e. Dissertation Major Project</t>
  </si>
  <si>
    <t>Assessment Period</t>
  </si>
  <si>
    <t>Using an experimental dataset provided and an AI-generated draft report, students will produce a scientific laboratory report that analyses and evaluates the physiological effects of exercise training in a specific population group</t>
  </si>
  <si>
    <t>Students are required to submit a thesis that describes and reports the major project that they conducted using the scientific method, e.g., Introduction, Methods, Results and Discussion. This could be in the format of an Empirical type project or a Systeamtic Review type project. AI use will be allowed and will be assessed.</t>
  </si>
  <si>
    <t>Students will produce and deliver an individual 10 minute pre-recorded needs analysis presentation</t>
  </si>
  <si>
    <t>Students will produce an individual 4 week training programme and take part in an individual 10 minute oral viva defence to answer questions about their training programme.</t>
  </si>
  <si>
    <t>Video presentation</t>
  </si>
  <si>
    <t xml:space="preserve">Group presentation (5 in 5 mins academeic + AI-generated lay audiance video)  </t>
  </si>
  <si>
    <t>In-class short and multi-choice answer questions</t>
  </si>
  <si>
    <t>Describe and analyse aspects of current research, or equivalent advanced scholarship, in the discipline</t>
  </si>
  <si>
    <t xml:space="preserve">Recognise the importance of psychology, sociology and psychosocial principles in sport and exercise. </t>
  </si>
  <si>
    <t>Recall how psychological factors influence behaviour, performance and participation in sport and exercise</t>
  </si>
  <si>
    <t>Recall how social, cultural, and structural factors influence participation, behaviour and experiences in sport and exercise.</t>
  </si>
  <si>
    <t>Fundamentals of Exercise Physiology</t>
  </si>
  <si>
    <t xml:space="preserve">Gemma Miller </t>
  </si>
  <si>
    <t>Learning Theory and Practice 3; Exercise Phys L4; Physiological adaptations to exercise; Major Project; Strength and Conditioning; Behaviour Change; Sport and Performance Psychology</t>
  </si>
  <si>
    <t>Professional Practice in Physical Education; Professional Practice in PE 2; Research Methods 1; Exercise Phys L4; Research Methods 2; Physiological adaptations to exercise; Major Project; Strength and Conditioning</t>
  </si>
  <si>
    <t>Professional Practice in PE 2; Research Methods 1; Human Movement; Research Methods 2; Strength and Conditioning; Learning Theory and Practice 2; Psychosocial Principles of Sport and Exercise; Sport and Performance Psychology</t>
  </si>
  <si>
    <t>Learning Theory and Practice 3; Human Movement; Major Project; Sport and Performance Psychology</t>
  </si>
  <si>
    <t>Professional Practice in Physical Education; Primary PE teacher Education; Physical Education in Action 1; PE in Action 2; Professional Practicel in PE 3; Secondary PE Teacher Education; Research Methods 1; Human Movement; Strength and Conditioning; Behaviour Change; Learning Theory and Practice 1; Learning Theory and Practice 2; Working in High Performance Sport; Sport and Performance Psychology</t>
  </si>
  <si>
    <t>Professional Practice in Physical Education; Professional Practice in PE 2; Primary PE teacher Education; Professional Practicel in PE 3; Secondary PE Teacher Education; Exercise Phys L4; Major Project; Learning Theory and Practice 1; Psychosocial Principles of Sport and Exercise</t>
  </si>
  <si>
    <t>Professional Practice in PE 2; Primary PE teacher Education; Behaviour Change</t>
  </si>
  <si>
    <t>Professional Practice in PE 2; Research Methods 1; Research Methods 2; Performance Analysis in Sport</t>
  </si>
  <si>
    <t>Professional Practice in PE 2; Sport and Performance Psychology</t>
  </si>
  <si>
    <t>Primary PE teacher Education; Learning Theory and Practice 3; Secondary PE Teacher Education; Research Methods 2; Strength and Conditioning; Performance Analysis in Sport; Learning Theory and Practice 1</t>
  </si>
  <si>
    <t>PE in Action 2; Sport and Performance Psychology</t>
  </si>
  <si>
    <t>Primary PE teacher Education; Secondary PE Teacher Education; Strength and Conditioning; Working in High Performance Sport; Psychosocial Principles of Sport and Exercise; Sport and Performance Psychology</t>
  </si>
  <si>
    <t>Primary PE teacher Education; Secondary PE Teacher Education; Sport and Performance Psychology</t>
  </si>
  <si>
    <t>Primary PE teacher Education; PE in Action 2; Secondary PE Teacher Education; Physiological adaptations to exercise; Learning Theory and Practice 1; Sport and Performance Psychology</t>
  </si>
  <si>
    <t>Primary PE teacher Education; Secondary PE Teacher Education; Research Methods 2; Physiological adaptations to exercise; Major Project; Strength and Conditioning; Behaviour Change; Performance Analysis in Sport; Learning Theory and Practice 1; Working in High Performance Sport</t>
  </si>
  <si>
    <t>Primary PE teacher Education; Professional Practicel in PE 3; Research Methods 1; Exercise Phys L4; Behaviour Change</t>
  </si>
  <si>
    <t>Human Movement; Sport and Performance Psychology</t>
  </si>
  <si>
    <t>Professional Practice in Physical Education; Primary PE teacher Education; Secondary PE Teacher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</si>
</sst>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20"/>
      <color theme="1"/>
      <name val="Aptos Narrow"/>
      <family val="2"/>
      <scheme val="minor"/>
    </font>
    <font>
      <b/>
      <sz val="11"/>
      <color theme="0"/>
      <name val="Aptos Narrow"/>
      <family val="2"/>
      <scheme val="minor"/>
    </font>
    <font>
      <i/>
      <sz val="12"/>
      <color theme="1"/>
      <name val="Aptos Narrow"/>
      <family val="2"/>
    </font>
    <font>
      <sz val="11"/>
      <color rgb="FF000000"/>
      <name val="Aptos Narrow"/>
      <family val="2"/>
    </font>
    <font>
      <sz val="11"/>
      <color rgb="FF242424"/>
      <name val="Aptos Narrow"/>
      <family val="2"/>
    </font>
    <font>
      <sz val="11"/>
      <color theme="1"/>
      <name val="Aptos Narrow"/>
      <family val="2"/>
      <scheme val="minor"/>
    </font>
    <font>
      <sz val="11"/>
      <color rgb="FF000000"/>
      <name val="Aptos Narrow"/>
      <family val="2"/>
      <scheme val="minor"/>
    </font>
    <font>
      <sz val="13.5"/>
      <color rgb="FF000000"/>
      <name val="Aptos Narrow"/>
      <family val="2"/>
      <scheme val="minor"/>
    </font>
    <font>
      <sz val="11"/>
      <color theme="1"/>
      <name val="Arial"/>
      <family val="2"/>
    </font>
    <font>
      <sz val="11"/>
      <color rgb="FF000000"/>
      <name val="Arial"/>
      <family val="2"/>
    </font>
    <font>
      <sz val="12"/>
      <color theme="1"/>
      <name val="Arial"/>
      <family val="2"/>
    </font>
    <font>
      <b/>
      <sz val="11"/>
      <color theme="1"/>
      <name val="Arial"/>
      <family val="2"/>
    </font>
    <font>
      <sz val="12"/>
      <color theme="1"/>
      <name val="Aptos Narrow"/>
      <family val="2"/>
      <scheme val="minor"/>
    </font>
    <font>
      <sz val="11"/>
      <name val="Calibri"/>
      <family val="2"/>
    </font>
    <font>
      <sz val="11"/>
      <color rgb="FF011A42"/>
      <name val="Aptos Narrow"/>
      <family val="2"/>
      <scheme val="minor"/>
    </font>
    <font>
      <sz val="10"/>
      <color rgb="FF1F3864"/>
      <name val="Aptos Narrow"/>
      <family val="2"/>
      <scheme val="minor"/>
    </font>
    <font>
      <sz val="10"/>
      <color theme="1"/>
      <name val="Aptos Narrow"/>
      <family val="2"/>
      <scheme val="minor"/>
    </font>
    <font>
      <sz val="10"/>
      <color rgb="FF011A42"/>
      <name val="Aptos Narrow"/>
      <family val="2"/>
      <scheme val="minor"/>
    </font>
    <font>
      <sz val="12"/>
      <color rgb="FF000000"/>
      <name val="Arial"/>
      <family val="2"/>
    </font>
    <font>
      <sz val="12"/>
      <name val="Arial"/>
      <family val="2"/>
    </font>
    <font>
      <b/>
      <sz val="12"/>
      <name val="Arial"/>
      <family val="2"/>
    </font>
    <font>
      <b/>
      <sz val="12"/>
      <color rgb="FF000000"/>
      <name val="Arial"/>
      <family val="2"/>
    </font>
    <font>
      <sz val="11"/>
      <name val="Aptos Narrow"/>
      <family val="2"/>
      <scheme val="minor"/>
    </font>
    <font>
      <b/>
      <sz val="11"/>
      <color rgb="FF000000"/>
      <name val="Aptos Narrow"/>
    </font>
    <font>
      <sz val="11"/>
      <color rgb="FF000000"/>
      <name val="Aptos Narrow"/>
    </font>
    <font>
      <b/>
      <sz val="11"/>
      <color rgb="FF000000"/>
      <name val="Aptos Narrow"/>
      <scheme val="minor"/>
    </font>
    <font>
      <sz val="11"/>
      <color rgb="FF000000"/>
      <name val="Aptos Narrow"/>
      <scheme val="minor"/>
    </font>
    <font>
      <sz val="11"/>
      <color rgb="FF000000"/>
      <name val="Aptos Narrow"/>
      <family val="2"/>
      <charset val="1"/>
    </font>
    <font>
      <sz val="12"/>
      <name val="Arial"/>
      <charset val="1"/>
    </font>
    <font>
      <u/>
      <sz val="12"/>
      <name val="Arial"/>
      <charset val="1"/>
    </font>
    <font>
      <sz val="12"/>
      <color rgb="FF000000"/>
      <name val="Arial"/>
      <charset val="1"/>
    </font>
    <font>
      <sz val="12"/>
      <color rgb="FF000000"/>
      <name val="Aptos Narrow"/>
    </font>
    <font>
      <b/>
      <sz val="11"/>
      <color rgb="FF000000"/>
      <name val="Aptos Narrow"/>
      <family val="2"/>
    </font>
    <font>
      <b/>
      <sz val="12"/>
      <color rgb="FF000000"/>
      <name val="Arial"/>
    </font>
    <font>
      <sz val="12"/>
      <color rgb="FF000000"/>
      <name val="Arial"/>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8" tint="0.79998168889431442"/>
        <bgColor theme="8" tint="0.79998168889431442"/>
      </patternFill>
    </fill>
  </fills>
  <borders count="11">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s>
  <cellStyleXfs count="1">
    <xf numFmtId="0" fontId="0" fillId="0" borderId="0"/>
  </cellStyleXfs>
  <cellXfs count="87">
    <xf numFmtId="0" fontId="0" fillId="0" borderId="0" xfId="0"/>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9" fontId="0" fillId="0" borderId="0" xfId="0" applyNumberFormat="1" applyAlignment="1" applyProtection="1">
      <alignment horizontal="left" vertical="center" wrapText="1"/>
      <protection locked="0"/>
    </xf>
    <xf numFmtId="0" fontId="0" fillId="0" borderId="0" xfId="0" applyProtection="1">
      <protection locked="0"/>
    </xf>
    <xf numFmtId="0" fontId="1" fillId="0" borderId="0" xfId="0" applyFont="1" applyProtection="1">
      <protection locked="0"/>
    </xf>
    <xf numFmtId="164" fontId="0" fillId="0" borderId="0" xfId="0" applyNumberFormat="1" applyAlignment="1" applyProtection="1">
      <alignment horizontal="center" vertical="center" wrapText="1"/>
      <protection locked="0"/>
    </xf>
    <xf numFmtId="0" fontId="0" fillId="0" borderId="0" xfId="0" applyAlignment="1" applyProtection="1">
      <alignment wrapText="1"/>
      <protection locked="0"/>
    </xf>
    <xf numFmtId="0" fontId="7" fillId="0" borderId="0" xfId="0" applyFont="1" applyAlignment="1" applyProtection="1">
      <alignment wrapText="1"/>
      <protection locked="0"/>
    </xf>
    <xf numFmtId="0" fontId="8" fillId="0" borderId="0" xfId="0" applyFont="1" applyAlignment="1" applyProtection="1">
      <alignment wrapText="1"/>
      <protection locked="0"/>
    </xf>
    <xf numFmtId="0" fontId="9" fillId="0" borderId="0" xfId="0" applyFont="1" applyProtection="1">
      <protection locked="0"/>
    </xf>
    <xf numFmtId="0" fontId="9" fillId="0" borderId="0" xfId="0" applyFont="1" applyAlignment="1" applyProtection="1">
      <alignment wrapText="1"/>
      <protection locked="0"/>
    </xf>
    <xf numFmtId="0" fontId="10" fillId="0" borderId="0" xfId="0" applyFont="1" applyAlignment="1" applyProtection="1">
      <alignment wrapText="1"/>
      <protection locked="0"/>
    </xf>
    <xf numFmtId="0" fontId="0" fillId="0" borderId="0" xfId="0" applyAlignment="1" applyProtection="1">
      <alignment horizontal="left" vertical="center"/>
      <protection locked="0"/>
    </xf>
    <xf numFmtId="0" fontId="11" fillId="0" borderId="0" xfId="0" applyFont="1" applyAlignment="1" applyProtection="1">
      <alignment wrapText="1"/>
      <protection locked="0"/>
    </xf>
    <xf numFmtId="0" fontId="10" fillId="0" borderId="0" xfId="0" applyFont="1" applyProtection="1">
      <protection locked="0"/>
    </xf>
    <xf numFmtId="0" fontId="16" fillId="0" borderId="0" xfId="0" applyFont="1" applyAlignment="1" applyProtection="1">
      <alignment horizontal="left" vertical="center"/>
      <protection locked="0"/>
    </xf>
    <xf numFmtId="0" fontId="16" fillId="0" borderId="0" xfId="0" applyFont="1" applyAlignment="1" applyProtection="1">
      <alignment horizontal="left" vertical="center" wrapText="1"/>
      <protection locked="0"/>
    </xf>
    <xf numFmtId="0" fontId="9" fillId="0" borderId="0" xfId="0" applyFont="1" applyAlignment="1" applyProtection="1">
      <alignment horizontal="left" vertical="center" wrapText="1"/>
      <protection locked="0"/>
    </xf>
    <xf numFmtId="0" fontId="4" fillId="4" borderId="0" xfId="0" applyFont="1" applyFill="1"/>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6" fillId="0" borderId="0" xfId="0" applyFont="1"/>
    <xf numFmtId="0" fontId="1" fillId="0" borderId="0" xfId="0" applyFont="1"/>
    <xf numFmtId="0" fontId="0" fillId="0" borderId="0" xfId="0" applyAlignment="1">
      <alignment horizontal="center"/>
    </xf>
    <xf numFmtId="0" fontId="1" fillId="0" borderId="0" xfId="0" applyFont="1" applyAlignment="1" applyProtection="1">
      <alignment horizontal="left" vertical="center" wrapText="1"/>
      <protection locked="0"/>
    </xf>
    <xf numFmtId="0" fontId="0" fillId="0" borderId="0" xfId="0" applyAlignment="1" applyProtection="1">
      <alignment horizontal="center"/>
      <protection locked="0"/>
    </xf>
    <xf numFmtId="0" fontId="1" fillId="0" borderId="0" xfId="0" applyFont="1" applyAlignment="1" applyProtection="1">
      <alignment horizontal="center" vertical="center" wrapText="1"/>
      <protection locked="0"/>
    </xf>
    <xf numFmtId="0" fontId="12" fillId="0" borderId="0" xfId="0" applyFont="1" applyAlignment="1" applyProtection="1">
      <alignment wrapText="1"/>
      <protection locked="0"/>
    </xf>
    <xf numFmtId="0" fontId="13" fillId="0" borderId="0" xfId="0" applyFont="1" applyAlignment="1" applyProtection="1">
      <alignment wrapText="1"/>
      <protection locked="0"/>
    </xf>
    <xf numFmtId="0" fontId="16" fillId="0" borderId="0" xfId="0" applyFont="1" applyAlignment="1" applyProtection="1">
      <alignment wrapText="1"/>
      <protection locked="0"/>
    </xf>
    <xf numFmtId="0" fontId="16" fillId="0" borderId="0" xfId="0" applyFont="1" applyAlignment="1" applyProtection="1">
      <alignment vertical="center"/>
      <protection locked="0"/>
    </xf>
    <xf numFmtId="0" fontId="16" fillId="0" borderId="6" xfId="0" applyFont="1" applyBorder="1" applyAlignment="1" applyProtection="1">
      <alignment vertical="center" wrapText="1"/>
      <protection locked="0"/>
    </xf>
    <xf numFmtId="0" fontId="16" fillId="0" borderId="0" xfId="0" applyFont="1" applyAlignment="1" applyProtection="1">
      <alignment vertical="center" wrapText="1"/>
      <protection locked="0"/>
    </xf>
    <xf numFmtId="0" fontId="16" fillId="0" borderId="0" xfId="0" applyFont="1" applyAlignment="1" applyProtection="1">
      <alignment vertical="top" wrapText="1"/>
      <protection locked="0"/>
    </xf>
    <xf numFmtId="0" fontId="14" fillId="0" borderId="0" xfId="0" applyFont="1" applyAlignment="1" applyProtection="1">
      <alignment wrapText="1"/>
      <protection locked="0"/>
    </xf>
    <xf numFmtId="0" fontId="15" fillId="0" borderId="0" xfId="0" applyFont="1" applyProtection="1">
      <protection locked="0"/>
    </xf>
    <xf numFmtId="0" fontId="17" fillId="0" borderId="0" xfId="0" applyFont="1" applyProtection="1">
      <protection locked="0"/>
    </xf>
    <xf numFmtId="0" fontId="21" fillId="0" borderId="0" xfId="0" applyFont="1" applyAlignment="1" applyProtection="1">
      <alignment wrapText="1"/>
      <protection locked="0"/>
    </xf>
    <xf numFmtId="0" fontId="21" fillId="0" borderId="0" xfId="0" applyFont="1" applyAlignment="1" applyProtection="1">
      <alignment horizontal="left" vertical="center" wrapText="1"/>
      <protection locked="0"/>
    </xf>
    <xf numFmtId="0" fontId="20" fillId="0" borderId="0" xfId="0" applyFont="1" applyAlignment="1" applyProtection="1">
      <alignment vertical="center" wrapText="1"/>
      <protection locked="0"/>
    </xf>
    <xf numFmtId="0" fontId="20" fillId="0" borderId="0" xfId="0" applyFont="1" applyAlignment="1" applyProtection="1">
      <alignment wrapText="1"/>
      <protection locked="0"/>
    </xf>
    <xf numFmtId="0" fontId="20" fillId="0" borderId="0" xfId="0" applyFont="1" applyProtection="1">
      <protection locked="0"/>
    </xf>
    <xf numFmtId="0" fontId="20" fillId="0" borderId="0" xfId="0" applyFont="1" applyAlignment="1" applyProtection="1">
      <alignment vertical="center"/>
      <protection locked="0"/>
    </xf>
    <xf numFmtId="0" fontId="20" fillId="0" borderId="5" xfId="0" applyFont="1" applyBorder="1" applyAlignment="1" applyProtection="1">
      <alignment vertical="center" wrapText="1"/>
      <protection locked="0"/>
    </xf>
    <xf numFmtId="0" fontId="18" fillId="0" borderId="0" xfId="0" applyFont="1" applyAlignment="1" applyProtection="1">
      <alignment horizontal="justify" vertical="center"/>
      <protection locked="0"/>
    </xf>
    <xf numFmtId="0" fontId="19" fillId="0" borderId="0" xfId="0" applyFont="1" applyAlignment="1" applyProtection="1">
      <alignment horizontal="left" vertical="center" wrapText="1" indent="1"/>
      <protection locked="0"/>
    </xf>
    <xf numFmtId="0" fontId="24" fillId="0" borderId="0" xfId="0" applyFont="1" applyAlignment="1">
      <alignment wrapText="1"/>
    </xf>
    <xf numFmtId="0" fontId="26" fillId="0" borderId="0" xfId="0" applyFont="1" applyAlignment="1" applyProtection="1">
      <alignment wrapText="1" readingOrder="1"/>
      <protection locked="0"/>
    </xf>
    <xf numFmtId="0" fontId="22" fillId="0" borderId="0" xfId="0" applyFont="1" applyAlignment="1" applyProtection="1">
      <alignment wrapText="1"/>
      <protection locked="0"/>
    </xf>
    <xf numFmtId="0" fontId="25" fillId="0" borderId="0" xfId="0" applyFont="1" applyAlignment="1" applyProtection="1">
      <alignment wrapText="1"/>
      <protection locked="0"/>
    </xf>
    <xf numFmtId="0" fontId="25" fillId="0" borderId="0" xfId="0" applyFont="1" applyProtection="1">
      <protection locked="0"/>
    </xf>
    <xf numFmtId="0" fontId="24" fillId="0" borderId="0" xfId="0" applyFont="1" applyAlignment="1" applyProtection="1">
      <alignment wrapText="1"/>
      <protection locked="0"/>
    </xf>
    <xf numFmtId="0" fontId="23" fillId="0" borderId="0" xfId="0" applyFont="1" applyAlignment="1" applyProtection="1">
      <alignment wrapText="1"/>
      <protection locked="0"/>
    </xf>
    <xf numFmtId="0" fontId="1" fillId="2" borderId="1" xfId="0" applyFont="1" applyFill="1" applyBorder="1"/>
    <xf numFmtId="0" fontId="5" fillId="3" borderId="3" xfId="0" applyFont="1" applyFill="1" applyBorder="1"/>
    <xf numFmtId="0" fontId="5" fillId="3" borderId="4" xfId="0" applyFont="1" applyFill="1" applyBorder="1"/>
    <xf numFmtId="0" fontId="0" fillId="2" borderId="3" xfId="0" applyFill="1" applyBorder="1"/>
    <xf numFmtId="0" fontId="0" fillId="2" borderId="4" xfId="0" applyFill="1" applyBorder="1"/>
    <xf numFmtId="0" fontId="0" fillId="0" borderId="3" xfId="0" applyBorder="1"/>
    <xf numFmtId="0" fontId="0" fillId="0" borderId="4" xfId="0" applyBorder="1"/>
    <xf numFmtId="0" fontId="0" fillId="0" borderId="1" xfId="0" applyBorder="1"/>
    <xf numFmtId="0" fontId="0" fillId="0" borderId="2" xfId="0" applyBorder="1"/>
    <xf numFmtId="0" fontId="0" fillId="2" borderId="1" xfId="0" applyFill="1" applyBorder="1"/>
    <xf numFmtId="0" fontId="1" fillId="0" borderId="1" xfId="0" applyFont="1" applyBorder="1"/>
    <xf numFmtId="0" fontId="17" fillId="0" borderId="7" xfId="0" applyFont="1" applyBorder="1" applyAlignment="1" applyProtection="1">
      <alignment wrapText="1" readingOrder="1"/>
      <protection locked="0"/>
    </xf>
    <xf numFmtId="0" fontId="17" fillId="0" borderId="8" xfId="0" applyFont="1" applyBorder="1" applyAlignment="1" applyProtection="1">
      <alignment wrapText="1" readingOrder="1"/>
      <protection locked="0"/>
    </xf>
    <xf numFmtId="0" fontId="17" fillId="0" borderId="9" xfId="0" applyFont="1" applyBorder="1" applyAlignment="1" applyProtection="1">
      <alignment wrapText="1" readingOrder="1"/>
      <protection locked="0"/>
    </xf>
    <xf numFmtId="0" fontId="28" fillId="0" borderId="0" xfId="0" applyFont="1" applyAlignment="1" applyProtection="1">
      <alignment wrapText="1"/>
      <protection locked="0"/>
    </xf>
    <xf numFmtId="0" fontId="30" fillId="0" borderId="0" xfId="0" applyFont="1" applyAlignment="1" applyProtection="1">
      <alignment wrapText="1"/>
      <protection locked="0"/>
    </xf>
    <xf numFmtId="0" fontId="30" fillId="0" borderId="0" xfId="0" applyFont="1" applyProtection="1">
      <protection locked="0"/>
    </xf>
    <xf numFmtId="0" fontId="10" fillId="5" borderId="10" xfId="0" applyFont="1" applyFill="1" applyBorder="1" applyAlignment="1" applyProtection="1">
      <alignment wrapText="1"/>
      <protection locked="0"/>
    </xf>
    <xf numFmtId="0" fontId="31" fillId="0" borderId="0" xfId="0" applyFont="1" applyAlignment="1" applyProtection="1">
      <alignment wrapText="1"/>
      <protection locked="0"/>
    </xf>
    <xf numFmtId="0" fontId="33" fillId="0" borderId="0" xfId="0" applyFont="1" applyAlignment="1" applyProtection="1">
      <alignment wrapText="1"/>
      <protection locked="0"/>
    </xf>
    <xf numFmtId="0" fontId="32" fillId="0" borderId="0" xfId="0" applyFont="1" applyAlignment="1" applyProtection="1">
      <alignment wrapText="1"/>
      <protection locked="0"/>
    </xf>
    <xf numFmtId="0" fontId="34" fillId="0" borderId="0" xfId="0" applyFont="1" applyAlignment="1" applyProtection="1">
      <alignment wrapText="1"/>
      <protection locked="0"/>
    </xf>
    <xf numFmtId="0" fontId="0" fillId="0" borderId="0" xfId="0" applyAlignment="1">
      <alignment wrapText="1"/>
    </xf>
    <xf numFmtId="0" fontId="35" fillId="0" borderId="0" xfId="0" applyFont="1" applyAlignment="1" applyProtection="1">
      <alignment wrapText="1"/>
      <protection locked="0"/>
    </xf>
    <xf numFmtId="0" fontId="0" fillId="0" borderId="0" xfId="0" applyAlignment="1" applyProtection="1">
      <alignment horizontal="justify" vertical="center"/>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37" fillId="0" borderId="0" xfId="0" applyFont="1" applyAlignment="1" applyProtection="1">
      <alignment wrapText="1"/>
      <protection locked="0"/>
    </xf>
    <xf numFmtId="0" fontId="38" fillId="0" borderId="0" xfId="0" applyFont="1" applyAlignment="1" applyProtection="1">
      <alignment wrapText="1"/>
      <protection locked="0"/>
    </xf>
    <xf numFmtId="0" fontId="0" fillId="0" borderId="0" xfId="0" applyNumberFormat="1"/>
  </cellXfs>
  <cellStyles count="1">
    <cellStyle name="Normal" xfId="0" builtinId="0"/>
  </cellStyles>
  <dxfs count="383">
    <dxf>
      <numFmt numFmtId="0" formatCode="General"/>
    </dxf>
    <dxf>
      <numFmt numFmtId="0" formatCode="General"/>
    </dxf>
    <dxf>
      <protection locked="1" hidden="0"/>
    </dxf>
    <dxf>
      <protection locked="1" hidden="0"/>
    </dxf>
    <dxf>
      <protection locked="1" hidden="0"/>
    </dxf>
    <dxf>
      <protection locked="1" hidden="0"/>
    </dxf>
    <dxf>
      <protection locked="1" hidden="0"/>
    </dxf>
    <dxf>
      <protection locked="1" hidden="0"/>
    </dxf>
    <dxf>
      <protection locked="1" hidden="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font>
        <b val="0"/>
        <i val="0"/>
        <strike val="0"/>
        <outline val="0"/>
        <shadow val="0"/>
        <u val="none"/>
        <vertAlign val="baseline"/>
        <sz val="12"/>
        <color theme="1"/>
        <name val="Aptos Narrow"/>
        <family val="2"/>
        <scheme val="minor"/>
      </font>
      <alignment horizontal="left" vertical="center" textRotation="0" wrapText="0" indent="0" justifyLastLine="0" shrinkToFit="0" readingOrder="0"/>
      <protection locked="0" hidden="0"/>
    </dxf>
    <dxf>
      <font>
        <b val="0"/>
        <i val="0"/>
        <strike val="0"/>
        <outline val="0"/>
        <shadow val="0"/>
        <u val="none"/>
        <vertAlign val="baseline"/>
        <sz val="12"/>
        <color theme="1"/>
        <name val="Aptos Narrow"/>
        <family val="2"/>
        <scheme val="minor"/>
      </font>
      <alignment horizontal="left" vertical="center" textRotation="0" wrapText="0"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26" xr16:uid="{44FC2C8F-FB0C-433B-A6C5-A45631722360}" autoFormatId="16" applyNumberFormats="0" applyBorderFormats="0" applyFontFormats="0" applyPatternFormats="0" applyAlignmentFormats="0" applyWidthHeightFormats="0">
  <queryTableRefresh nextId="6">
    <queryTableFields count="5">
      <queryTableField id="1" name="Category" tableColumnId="1"/>
      <queryTableField id="2" name="Skill" tableColumnId="2"/>
      <queryTableField id="3" name="Modules Covering" tableColumnId="3"/>
      <queryTableField id="4" name="Module Count" tableColumnId="4"/>
      <queryTableField id="5" name="Covere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25" xr16:uid="{BBCF2AE6-7936-46FB-ADFE-21B96EF40031}" autoFormatId="16" applyNumberFormats="0" applyBorderFormats="0" applyFontFormats="0" applyPatternFormats="0" applyAlignmentFormats="0" applyWidthHeightFormats="0">
  <queryTableRefresh nextId="10">
    <queryTableFields count="9">
      <queryTableField id="1" name="ModuleCode" tableColumnId="1"/>
      <queryTableField id="2" name="ModuleTitle" tableColumnId="2"/>
      <queryTableField id="3" name="Level" tableColumnId="3"/>
      <queryTableField id="4" name="Semester" tableColumnId="4"/>
      <queryTableField id="5" name="Credits" tableColumnId="5"/>
      <queryTableField id="6" name="Module Leader" tableColumnId="6"/>
      <queryTableField id="7" name="Module Type" tableColumnId="7"/>
      <queryTableField id="8" name="Total Contact Hours" tableColumnId="8"/>
      <queryTableField id="9" name="Hours per Credit"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18" xr16:uid="{EF33D667-515C-47AC-A2A9-6A95FF3879F4}" autoFormatId="16" applyNumberFormats="0" applyBorderFormats="0" applyFontFormats="0" applyPatternFormats="0" applyAlignmentFormats="0" applyWidthHeightFormats="0">
  <queryTableRefresh nextId="15">
    <queryTableFields count="14">
      <queryTableField id="1" name="SourceWorkbook" tableColumnId="1"/>
      <queryTableField id="2" name="TableName" tableColumnId="2"/>
      <queryTableField id="3" name="ModuleCode" tableColumnId="3"/>
      <queryTableField id="4" name="ItemSuffix" tableColumnId="4"/>
      <queryTableField id="5" name="Programme" tableColumnId="5"/>
      <queryTableField id="6" name="ProgCode" tableColumnId="6"/>
      <queryTableField id="7" name="ModuleTitle" tableColumnId="7"/>
      <queryTableField id="8" name="Lecture" tableColumnId="8"/>
      <queryTableField id="9" name="Seminar" tableColumnId="9"/>
      <queryTableField id="10" name="Practical" tableColumnId="10"/>
      <queryTableField id="11" name="Workshop" tableColumnId="11"/>
      <queryTableField id="12" name="Online" tableColumnId="12"/>
      <queryTableField id="13" name="Total" tableColumnId="13"/>
      <queryTableField id="14" name="Online - synchronous"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24" xr16:uid="{94B523D6-14B0-4F08-9AC9-4B552AF99C3D}" autoFormatId="16" applyNumberFormats="0" applyBorderFormats="0" applyFontFormats="0" applyPatternFormats="0" applyAlignmentFormats="0" applyWidthHeightFormats="0">
  <queryTableRefresh nextId="16">
    <queryTableFields count="15">
      <queryTableField id="1" name="SourceWorkbook" tableColumnId="1"/>
      <queryTableField id="2" name="TableName" tableColumnId="2"/>
      <queryTableField id="3" name="ModuleCode" tableColumnId="3"/>
      <queryTableField id="4" name="ItemSuffix" tableColumnId="4"/>
      <queryTableField id="5" name="Programme" tableColumnId="5"/>
      <queryTableField id="6" name="ProgCode" tableColumnId="6"/>
      <queryTableField id="7" name="ModuleTitle" tableColumnId="7"/>
      <queryTableField id="8" name="Module Code" tableColumnId="8"/>
      <queryTableField id="9" name="Module Title" tableColumnId="9"/>
      <queryTableField id="10" name="Credits" tableColumnId="10"/>
      <queryTableField id="11" name="Semester" tableColumnId="11"/>
      <queryTableField id="12" name="Level" tableColumnId="12"/>
      <queryTableField id="13" name="Module Leader" tableColumnId="13"/>
      <queryTableField id="14" name="Module Type" tableColumnId="14"/>
      <queryTableField id="15" name="Programme(s)"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21" xr16:uid="{0B30A20D-3984-4995-A41D-044D749FA015}" autoFormatId="16" applyNumberFormats="0" applyBorderFormats="0" applyFontFormats="0" applyPatternFormats="0" applyAlignmentFormats="0" applyWidthHeightFormats="0">
  <queryTableRefresh nextId="12">
    <queryTableFields count="11">
      <queryTableField id="1" name="SourceWorkbook" tableColumnId="1"/>
      <queryTableField id="2" name="TableName" tableColumnId="2"/>
      <queryTableField id="3" name="Assessment No" tableColumnId="3"/>
      <queryTableField id="4" name="LO Number" tableColumnId="4"/>
      <queryTableField id="5" name="Graduate Skills Category" tableColumnId="5"/>
      <queryTableField id="6" name="Graduate Skill" tableColumnId="6"/>
      <queryTableField id="7" name="ModuleCode" tableColumnId="7"/>
      <queryTableField id="8" name="ItemSuffix" tableColumnId="8"/>
      <queryTableField id="9" name="Programme" tableColumnId="9"/>
      <queryTableField id="10" name="ProgCode" tableColumnId="10"/>
      <queryTableField id="11" name="ModuleTitle"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7" xr16:uid="{A8DF76D7-F80F-49FC-AD4D-808F54A45470}"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Component" tableColumnId="3"/>
      <queryTableField id="4" name="Contact Hour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5" xr16:uid="{CDCC1CAF-2A62-4478-8CBA-EF3626DF967B}" autoFormatId="16" applyNumberFormats="0" applyBorderFormats="0" applyFontFormats="0" applyPatternFormats="0" applyAlignmentFormats="0" applyWidthHeightFormats="0">
  <queryTableRefresh nextId="14">
    <queryTableFields count="13">
      <queryTableField id="1" name="SourceWorkbook" tableColumnId="1"/>
      <queryTableField id="2" name="TableName" tableColumnId="2"/>
      <queryTableField id="3" name="Assessment No" tableColumnId="3"/>
      <queryTableField id="4" name="Assessment Type" tableColumnId="4"/>
      <queryTableField id="5" name="Assessment Specific" tableColumnId="5"/>
      <queryTableField id="6" name="Assessment Description" tableColumnId="6"/>
      <queryTableField id="7" name="Weighting" tableColumnId="7"/>
      <queryTableField id="8" name="Due Week" tableColumnId="8"/>
      <queryTableField id="9" name="ModuleCode" tableColumnId="9"/>
      <queryTableField id="10" name="ItemSuffix" tableColumnId="10"/>
      <queryTableField id="11" name="Programme" tableColumnId="11"/>
      <queryTableField id="12" name="ProgCode" tableColumnId="12"/>
      <queryTableField id="13" name="ModuleTitle"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9" xr16:uid="{DD6DA097-80B5-44DE-932B-2D6AE2C775A2}"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LO Number" tableColumnId="3"/>
      <queryTableField id="4" name="LO Description"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23" xr16:uid="{8269AC87-2208-48A0-8AD0-00F6B685029A}"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Module Data" tableColumnId="3"/>
      <queryTableField id="4" name="Detail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tables/_rels/table8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8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3D9C059-9C0F-4D85-8B52-4BE4E2F3A820}" name="4201SPS_Meta" displayName="_4201SPS_Meta" ref="C6:D14" totalsRowShown="0" headerRowDxfId="337" dataDxfId="336">
  <autoFilter ref="C6:D14" xr:uid="{CD75D2A7-14B1-4ABD-B64D-6E875F9BC652}">
    <filterColumn colId="0" hiddenButton="1"/>
    <filterColumn colId="1" hiddenButton="1"/>
  </autoFilter>
  <tableColumns count="2">
    <tableColumn id="1" xr3:uid="{294825A0-B000-4273-A73D-4BDF1B0EEF00}" name="Module Data" dataDxfId="335"/>
    <tableColumn id="2" xr3:uid="{BFFFACD7-D0A7-40F6-BF15-469686406C3F}" name="Details" dataDxfId="33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D0C48BE-F6F8-4E15-8EEF-3079EE79AB53}" name="4201SPS_LO" displayName="_4201SPS_LO" ref="C28:D33" totalsRowShown="0" headerRowDxfId="333" dataDxfId="332">
  <autoFilter ref="C28:D33" xr:uid="{22316987-6BEB-4FAF-9619-BF9BE9909CFA}">
    <filterColumn colId="0" hiddenButton="1"/>
    <filterColumn colId="1" hiddenButton="1"/>
  </autoFilter>
  <tableColumns count="2">
    <tableColumn id="1" xr3:uid="{EB0958A2-9E66-44D9-A8DF-610B48FE0AC6}" name="LO Number" dataDxfId="331"/>
    <tableColumn id="2" xr3:uid="{0F368925-4523-471B-A68D-184E05AABCF7}" name="LO Description" dataDxfId="3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BE7F226-F525-4AEE-9051-8E8C19804E49}" name="4201SPS_Assess" displayName="_4201SPS_Assess" ref="C37:H41" totalsRowShown="0" headerRowDxfId="329" dataDxfId="32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1623195A-EACB-49C4-931F-4FDDF41A020A}" name="Assessment No" dataDxfId="327"/>
    <tableColumn id="2" xr3:uid="{1FA5C130-1C0E-45D6-8735-EA79A0166F2D}" name="Assessment Type" dataDxfId="326"/>
    <tableColumn id="7" xr3:uid="{34024CC2-5A32-45FD-95BD-978953E7F41B}" name="Assessment Specific" dataDxfId="325"/>
    <tableColumn id="3" xr3:uid="{5DA2B338-CCFE-4568-ACFD-CC8F0B883170}" name="Assessment Description" dataDxfId="324"/>
    <tableColumn id="4" xr3:uid="{597ADF95-B9B9-411B-8079-7F615E89550C}" name="Weighting" dataDxfId="323"/>
    <tableColumn id="5" xr3:uid="{A0D1FD19-8DF8-4595-ADE8-675937B4A7F4}" name="Due Week" dataDxfId="32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7F94D071-7B51-4AEF-B4B4-033ED66B10D3}" name="4201SPS_Weekly" displayName="_4201SPS_Weekly" ref="B70:F94" totalsRowShown="0" headerRowDxfId="321" dataDxfId="32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57BA6DA9-286D-48FA-A29C-33DB01958BBC}" name="Semester " dataDxfId="319"/>
    <tableColumn id="2" xr3:uid="{633971FF-9E7F-4A44-865E-D409908313D1}" name="Week Number" dataDxfId="318"/>
    <tableColumn id="3" xr3:uid="{77413702-BFB9-4DEA-BF99-C2A188E22509}" name="Weekly Content 1" dataDxfId="317"/>
    <tableColumn id="4" xr3:uid="{DD1B7D42-32B3-4CC2-9308-AD66B052F8DB}" name="Weekly Content 2" dataDxfId="316"/>
    <tableColumn id="5" xr3:uid="{504E9A1A-C43C-49D3-BB42-E4DD5A49EFCE}" name="Weekly Content 3" dataDxfId="31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1658A09-6752-4A08-B64F-A2B57CA717E6}" name="4201SPS_Hours" displayName="_4201SPS_Hours" ref="C18:D24" totalsRowShown="0" headerRowDxfId="314" dataDxfId="313">
  <autoFilter ref="C18:D24" xr:uid="{B71A3569-AA65-4A4E-98A2-885F5C38B46D}">
    <filterColumn colId="0" hiddenButton="1"/>
    <filterColumn colId="1" hiddenButton="1"/>
  </autoFilter>
  <tableColumns count="2">
    <tableColumn id="1" xr3:uid="{5D165BDB-09FC-4AAA-91DB-E67A247DFF72}" name="Component" dataDxfId="312"/>
    <tableColumn id="2" xr3:uid="{E28A3B10-E692-47D9-A3AD-18128B6A4794}" name="Contact Hours" dataDxfId="3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74EC906-9B9F-48BF-8818-9671FFE04486}" name="4201SPS_Mapping" displayName="_4201SPS_Mapping" ref="C45:F66" totalsRowShown="0" headerRowDxfId="310" dataDxfId="309">
  <autoFilter ref="C45:F66" xr:uid="{E0A841BB-B6D5-4048-B5F2-18CF9F502EBA}">
    <filterColumn colId="0" hiddenButton="1"/>
    <filterColumn colId="1" hiddenButton="1"/>
    <filterColumn colId="2" hiddenButton="1"/>
    <filterColumn colId="3" hiddenButton="1"/>
  </autoFilter>
  <tableColumns count="4">
    <tableColumn id="1" xr3:uid="{BF66E6C2-D388-4188-90AD-9408AE3ED7DA}" name="Assessment No" dataDxfId="308"/>
    <tableColumn id="2" xr3:uid="{A7D6827C-7020-4950-BD3E-00625169C68E}" name="LO Number" dataDxfId="307"/>
    <tableColumn id="3" xr3:uid="{1F68EB03-6C47-4955-9791-229A42D1A45A}" name="Graduate Skills Category" dataDxfId="306"/>
    <tableColumn id="4" xr3:uid="{1FD832D4-8E97-4B72-9B09-606CF407E6C7}" name="Graduate Skill" dataDxfId="305"/>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9817139-EB2F-4EEA-A5A5-14E06D17B2BD}" name="4201SPS_Aims" displayName="_4201SPS_Aims" ref="F6:F8" totalsRowShown="0" headerRowDxfId="304" dataDxfId="303">
  <autoFilter ref="F6:F8" xr:uid="{9552138F-2332-4BC4-A585-0E13162881A5}"/>
  <tableColumns count="1">
    <tableColumn id="1" xr3:uid="{2EE5D059-BB6B-4406-AF24-CB56C5C24856}" name="Aims" dataDxfId="302"/>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32FF468F-C8D3-4B79-9797-F22B3B7B3D03}" name="4201SPS_Syllabus" displayName="_4201SPS_Syllabus" ref="F10:F13" totalsRowShown="0" headerRowDxfId="301" dataDxfId="300">
  <autoFilter ref="F10:F13" xr:uid="{94F18F67-3F10-4F6E-A953-4FE3399B07F2}"/>
  <tableColumns count="1">
    <tableColumn id="1" xr3:uid="{CF8ACDF4-0E48-466C-AF99-EC810B28E6AF}" name="Outline Syllabus" dataDxfId="299"/>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8871805-3392-4A3F-AFF8-B6F3E2CBA152}" name="4201SPS_Overview" displayName="_4201SPS_Overview" ref="F15:F20" totalsRowShown="0" headerRowDxfId="298" dataDxfId="297">
  <autoFilter ref="F15:F20" xr:uid="{1B2BCD7B-6C15-4B1C-86BC-48FF83D8F225}"/>
  <tableColumns count="1">
    <tableColumn id="1" xr3:uid="{C16E0E90-DC44-4185-AB55-C39332B32B2D}" name="Module Overview" dataDxfId="296"/>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641172B8-C240-400A-88D4-1BDB4D30A1C9}" name="4201SPS_Notes" displayName="_4201SPS_Notes" ref="F22:F33" totalsRowShown="0" headerRowDxfId="295" dataDxfId="294">
  <autoFilter ref="F22:F33" xr:uid="{D5968C0A-6D7E-4221-87EE-78A85A4039B3}"/>
  <tableColumns count="1">
    <tableColumn id="1" xr3:uid="{719B4DA9-E67A-4094-A58E-921C645096BE}" name="Additional Information/Notes" dataDxfId="293"/>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C86E48D9-F82B-402B-A44C-BC8F8F7303D0}" name="5201SPS_Meta" displayName="_5201SPS_Meta" ref="C6:D14" totalsRowShown="0" headerRowDxfId="292" dataDxfId="291">
  <autoFilter ref="C6:D14" xr:uid="{CD75D2A7-14B1-4ABD-B64D-6E875F9BC652}">
    <filterColumn colId="0" hiddenButton="1"/>
    <filterColumn colId="1" hiddenButton="1"/>
  </autoFilter>
  <tableColumns count="2">
    <tableColumn id="1" xr3:uid="{7833E623-ED87-40CE-93D2-B78B6A7D7E94}" name="Module Data" dataDxfId="290"/>
    <tableColumn id="2" xr3:uid="{0659839B-A1DA-4204-9267-1A4CC295A6EF}" name="Details" dataDxfId="289"/>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32A9936-076B-4BC2-B13B-069BFBBB1804}" name="5201SPS_LO" displayName="_5201SPS_LO" ref="C28:D33" totalsRowShown="0" headerRowDxfId="288" dataDxfId="287">
  <autoFilter ref="C28:D33" xr:uid="{22316987-6BEB-4FAF-9619-BF9BE9909CFA}">
    <filterColumn colId="0" hiddenButton="1"/>
    <filterColumn colId="1" hiddenButton="1"/>
  </autoFilter>
  <tableColumns count="2">
    <tableColumn id="1" xr3:uid="{FEDC5FCD-23F6-4532-A565-C979DFEE6452}" name="LO Number" dataDxfId="286"/>
    <tableColumn id="2" xr3:uid="{1F64A8B9-B360-490C-BD12-64A29F9CF82F}" name="LO Description" dataDxfId="28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A199E17E-33E1-438A-8DFD-E5E7B9D9B6AD}" name="5201SPS_Assess" displayName="_5201SPS_Assess" ref="C37:H41" totalsRowShown="0" headerRowDxfId="284" dataDxfId="28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257FCD3-320E-4A09-882E-104641C1FD58}" name="Assessment No" dataDxfId="282"/>
    <tableColumn id="2" xr3:uid="{0FE47FA8-B999-4405-B49D-E106E82A7509}" name="Assessment Type" dataDxfId="281"/>
    <tableColumn id="7" xr3:uid="{61D6D411-EDDD-4962-A754-A4B5EEB96263}" name="Assessment Specific" dataDxfId="280"/>
    <tableColumn id="3" xr3:uid="{1A288D47-FFDF-4BA0-94F1-9B647BE04DCC}" name="Assessment Description" dataDxfId="279"/>
    <tableColumn id="4" xr3:uid="{ED08857B-A938-490D-9B30-962DE64252AB}" name="Weighting" dataDxfId="278"/>
    <tableColumn id="5" xr3:uid="{581E13F4-4545-426B-8995-08E09758F5CB}" name="Due Week" dataDxfId="277"/>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BF4AD49-2241-4DE3-B6F1-0E1C2F3DE17D}" name="5201SPS_Weekly" displayName="_5201SPS_Weekly" ref="B70:F94" totalsRowShown="0" headerRowDxfId="276" dataDxfId="27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1DA16D2-1087-49A1-9BB0-8496A2968E4A}" name="Semester " dataDxfId="274"/>
    <tableColumn id="2" xr3:uid="{BED16F5A-D8C5-4300-A763-C0065F48E598}" name="Week Number" dataDxfId="273"/>
    <tableColumn id="3" xr3:uid="{1C3278D5-9F89-43C0-84A5-ACE6AE3BF8C8}" name="Weekly Content 1" dataDxfId="272"/>
    <tableColumn id="4" xr3:uid="{8ADEF497-35DC-4945-B42C-DCA4C8DB67C9}" name="Weekly Content 2" dataDxfId="271"/>
    <tableColumn id="5" xr3:uid="{E6B69E39-A78E-4994-8E8F-40C76F0002A1}" name="Weekly Content 3" dataDxfId="270"/>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E7FD2E5-9819-4DDA-9192-9962A61B1C4E}" name="5201SPS_Hours" displayName="_5201SPS_Hours" ref="C18:D24" totalsRowShown="0" headerRowDxfId="269" dataDxfId="268">
  <autoFilter ref="C18:D24" xr:uid="{B71A3569-AA65-4A4E-98A2-885F5C38B46D}">
    <filterColumn colId="0" hiddenButton="1"/>
    <filterColumn colId="1" hiddenButton="1"/>
  </autoFilter>
  <tableColumns count="2">
    <tableColumn id="1" xr3:uid="{2FFE33E1-E3D8-499A-B70C-70494FCFC11F}" name="Component" dataDxfId="267"/>
    <tableColumn id="2" xr3:uid="{D8D74B7C-DED1-4107-9D9B-A69709137AF1}" name="Contact Hours" dataDxfId="26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568775CE-CA9A-402A-A796-7C84FDD56B4E}" name="5201SPS_Mapping" displayName="_5201SPS_Mapping" ref="C45:F66" totalsRowShown="0" headerRowDxfId="265" dataDxfId="264">
  <autoFilter ref="C45:F66" xr:uid="{E0A841BB-B6D5-4048-B5F2-18CF9F502EBA}">
    <filterColumn colId="0" hiddenButton="1"/>
    <filterColumn colId="1" hiddenButton="1"/>
    <filterColumn colId="2" hiddenButton="1"/>
    <filterColumn colId="3" hiddenButton="1"/>
  </autoFilter>
  <tableColumns count="4">
    <tableColumn id="1" xr3:uid="{1EFBBED1-A4EE-4381-813E-E578917BA7ED}" name="Assessment No" dataDxfId="263"/>
    <tableColumn id="2" xr3:uid="{3DE98FE2-3138-46D6-BD99-F2FB47042775}" name="LO Number" dataDxfId="262"/>
    <tableColumn id="3" xr3:uid="{810A03D8-C153-4962-9C3C-D761D27C4A3F}" name="Graduate Skills Category" dataDxfId="261"/>
    <tableColumn id="4" xr3:uid="{C3B0D1F6-1274-4ED1-9705-01F40BB1E2F2}" name="Graduate Skill" dataDxfId="260"/>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F6D575A-6B50-40E0-9195-2B0B7EBAA31D}" name="5201SPS_Aims" displayName="_5201SPS_Aims" ref="F6:F8" totalsRowShown="0" headerRowDxfId="259" dataDxfId="258">
  <autoFilter ref="F6:F8" xr:uid="{9552138F-2332-4BC4-A585-0E13162881A5}"/>
  <tableColumns count="1">
    <tableColumn id="1" xr3:uid="{C445F0C7-61B3-46CB-A56F-67D79AE54D5C}" name="Aims" dataDxfId="257"/>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4737D9A0-1182-4F4B-8A02-69208479CE71}" name="5201SPS_Syllabus" displayName="_5201SPS_Syllabus" ref="F10:F13" totalsRowShown="0" headerRowDxfId="256" dataDxfId="255">
  <autoFilter ref="F10:F13" xr:uid="{94F18F67-3F10-4F6E-A953-4FE3399B07F2}"/>
  <tableColumns count="1">
    <tableColumn id="1" xr3:uid="{CAABEA9D-6FBF-459A-AD97-585A17318A01}" name="Outline Syllabus" dataDxfId="254"/>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235D63BF-CDCE-4B35-AC53-8391B5EC5408}" name="5201SPS_Overview" displayName="_5201SPS_Overview" ref="F15:F20" totalsRowShown="0" headerRowDxfId="253" dataDxfId="252">
  <autoFilter ref="F15:F20" xr:uid="{1B2BCD7B-6C15-4B1C-86BC-48FF83D8F225}"/>
  <tableColumns count="1">
    <tableColumn id="1" xr3:uid="{A14625FC-0807-41B3-BEF3-09E7E979EFED}" name="Module Overview" dataDxfId="251"/>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9E4EB89-A002-43BB-BD42-A6CBE09A1C1C}" name="5201SPS_Notes" displayName="_5201SPS_Notes" ref="F22:F33" totalsRowShown="0" headerRowDxfId="250" dataDxfId="249">
  <autoFilter ref="F22:F33" xr:uid="{D5968C0A-6D7E-4221-87EE-78A85A4039B3}"/>
  <tableColumns count="1">
    <tableColumn id="1" xr3:uid="{0F69CA79-BA33-4E25-8FA9-233F7FC95036}" name="Additional Information/Notes" dataDxfId="248"/>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F8365005-B598-4738-B9AF-07D1E238BC9C}" name="5203SPS_Meta" displayName="_5203SPS_Meta" ref="C6:D14" totalsRowShown="0" headerRowDxfId="247" dataDxfId="246">
  <autoFilter ref="C6:D14" xr:uid="{CD75D2A7-14B1-4ABD-B64D-6E875F9BC652}">
    <filterColumn colId="0" hiddenButton="1"/>
    <filterColumn colId="1" hiddenButton="1"/>
  </autoFilter>
  <tableColumns count="2">
    <tableColumn id="1" xr3:uid="{7B568BCE-928C-447D-BD05-0832B97C0D72}" name="Module Data" dataDxfId="245"/>
    <tableColumn id="2" xr3:uid="{706D7CC6-0EB1-4219-8291-567821A0A5B8}" name="Details" dataDxfId="244"/>
  </tableColumns>
  <tableStyleInfo name="TableStyleMedium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7A07E87-B596-4463-9B78-6555D43A4B3D}" name="5203SPS_LO" displayName="_5203SPS_LO" ref="C28:D33" totalsRowShown="0" headerRowDxfId="243" dataDxfId="242">
  <autoFilter ref="C28:D33" xr:uid="{22316987-6BEB-4FAF-9619-BF9BE9909CFA}">
    <filterColumn colId="0" hiddenButton="1"/>
    <filterColumn colId="1" hiddenButton="1"/>
  </autoFilter>
  <tableColumns count="2">
    <tableColumn id="1" xr3:uid="{C19B4674-B83E-4A42-A7E5-5468C8752F20}" name="LO Number" dataDxfId="241"/>
    <tableColumn id="2" xr3:uid="{78F135DA-0213-417E-88FD-2F76325B6D58}" name="LO Description" dataDxfId="24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8F69EEF1-22B4-4163-8A76-0105B5FDEC70}" name="5203SPS_Assess" displayName="_5203SPS_Assess" ref="C37:H39" totalsRowShown="0" headerRowDxfId="239" dataDxfId="238">
  <autoFilter ref="C37:H39"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892EAF8-7C5D-41E6-A727-FB21DB64B28D}" name="Assessment No" dataDxfId="237"/>
    <tableColumn id="2" xr3:uid="{43E55016-0B24-4AE6-8341-2CF6FE45EFE0}" name="Assessment Type" dataDxfId="236"/>
    <tableColumn id="7" xr3:uid="{74FB69C4-57FE-4D4F-92C7-425CCB32340D}" name="Assessment Specific" dataDxfId="235"/>
    <tableColumn id="3" xr3:uid="{F392CA10-65BB-49CE-8FEA-065DB3B1250A}" name="Assessment Description" dataDxfId="234"/>
    <tableColumn id="4" xr3:uid="{63105FFB-71CB-4889-BE3D-BA168F2B1D15}" name="Weighting" dataDxfId="233"/>
    <tableColumn id="5" xr3:uid="{942301B1-78DA-47AC-B487-4A82010FBC22}" name="Due Week" dataDxfId="232"/>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89A5C6D-23F5-46A1-94E8-CF627C641E3E}" name="5203SPS_Weekly" displayName="_5203SPS_Weekly" ref="B118:F130" totalsRowShown="0" headerRowDxfId="231" dataDxfId="230">
  <autoFilter ref="B118:F130" xr:uid="{3A41AF80-1AD3-44F6-93D1-6C4A16CCF943}">
    <filterColumn colId="0" hiddenButton="1"/>
    <filterColumn colId="1" hiddenButton="1"/>
    <filterColumn colId="2" hiddenButton="1"/>
    <filterColumn colId="3" hiddenButton="1"/>
    <filterColumn colId="4" hiddenButton="1"/>
  </autoFilter>
  <tableColumns count="5">
    <tableColumn id="1" xr3:uid="{1345FE91-A274-4410-84E7-94ACC245A1B0}" name="Semester " dataDxfId="229"/>
    <tableColumn id="2" xr3:uid="{D37085D6-4B13-4E18-BF1D-72E1D211C5E2}" name="Week Number" dataDxfId="228"/>
    <tableColumn id="3" xr3:uid="{E63B3791-EF8C-42D0-9D20-9E40C6780395}" name="Weekly Content 1" dataDxfId="227"/>
    <tableColumn id="4" xr3:uid="{B1BA8E95-AF48-472D-8022-4FFD3C39E6FD}" name="Weekly Content 2" dataDxfId="226"/>
    <tableColumn id="5" xr3:uid="{77ED77D2-DF2D-4913-862F-82B54D142645}" name="Weekly Content 3" dataDxfId="225"/>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13D81E92-9BBD-40B0-B885-F022CB13A68D}" name="5203SPS_Hours" displayName="_5203SPS_Hours" ref="C18:D24" totalsRowShown="0" headerRowDxfId="224" dataDxfId="223">
  <autoFilter ref="C18:D24" xr:uid="{B71A3569-AA65-4A4E-98A2-885F5C38B46D}">
    <filterColumn colId="0" hiddenButton="1"/>
    <filterColumn colId="1" hiddenButton="1"/>
  </autoFilter>
  <tableColumns count="2">
    <tableColumn id="1" xr3:uid="{A4027C00-55EA-4E91-A17F-FC7D936AA12D}" name="Component" dataDxfId="222"/>
    <tableColumn id="2" xr3:uid="{2B461470-C937-400F-A861-E1EF437460FC}" name="Contact Hours" dataDxfId="22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3DE5F36-B6B6-48CA-B033-B6C2A61B46F8}" name="5203SPS_Mapping" displayName="_5203SPS_Mapping" ref="C43:F115" totalsRowShown="0" headerRowDxfId="220" dataDxfId="219">
  <autoFilter ref="C43:F115" xr:uid="{E0A841BB-B6D5-4048-B5F2-18CF9F502EBA}">
    <filterColumn colId="0" hiddenButton="1"/>
    <filterColumn colId="1" hiddenButton="1"/>
    <filterColumn colId="2" hiddenButton="1"/>
    <filterColumn colId="3" hiddenButton="1"/>
  </autoFilter>
  <tableColumns count="4">
    <tableColumn id="1" xr3:uid="{318F8255-76AC-4F17-ABBB-6A771AD200A7}" name="Assessment No" dataDxfId="218"/>
    <tableColumn id="2" xr3:uid="{01ED9B44-AD4B-499E-8D3C-3B9247E57323}" name="LO Number" dataDxfId="217"/>
    <tableColumn id="3" xr3:uid="{D52384A9-63E3-4ABE-86FB-4619A06E02AF}" name="Graduate Skills Category" dataDxfId="216"/>
    <tableColumn id="4" xr3:uid="{B45DCF04-04F9-4B36-A81D-CEBACC18D2E8}" name="Graduate Skill" dataDxfId="215"/>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3046BD9A-2B11-4104-9334-CBD68741AB03}" name="5203SPS_Aims" displayName="_5203SPS_Aims" ref="F6:F8" totalsRowShown="0" headerRowDxfId="214" dataDxfId="213">
  <autoFilter ref="F6:F8" xr:uid="{9552138F-2332-4BC4-A585-0E13162881A5}"/>
  <tableColumns count="1">
    <tableColumn id="1" xr3:uid="{00C11AD8-5667-494A-85B4-23C210D1B918}" name="Aims" dataDxfId="212"/>
  </tableColumns>
  <tableStyleInfo name="TableStyleMedium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6B305FF-72A4-4559-8E2D-B9A63503D4FA}" name="5203SPS_Syllabus" displayName="_5203SPS_Syllabus" ref="F10:F13" totalsRowShown="0" headerRowDxfId="211" dataDxfId="210">
  <autoFilter ref="F10:F13" xr:uid="{94F18F67-3F10-4F6E-A953-4FE3399B07F2}"/>
  <tableColumns count="1">
    <tableColumn id="1" xr3:uid="{8917F32D-2D78-4B3C-93BA-03E82057EA4B}" name="Outline Syllabus" dataDxfId="209"/>
  </tableColumns>
  <tableStyleInfo name="TableStyleMedium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A8B96ED-8A76-44E9-8A2C-4B9FD261E59C}" name="5203SPS_Overview" displayName="_5203SPS_Overview" ref="F15:F20" totalsRowShown="0" headerRowDxfId="208" dataDxfId="207">
  <autoFilter ref="F15:F20" xr:uid="{1B2BCD7B-6C15-4B1C-86BC-48FF83D8F225}"/>
  <tableColumns count="1">
    <tableColumn id="1" xr3:uid="{B53F9EDB-3125-4C5C-A219-EFA16F274EFC}" name="Module Overview" dataDxfId="206"/>
  </tableColumns>
  <tableStyleInfo name="TableStyleMedium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B219707-18B1-442D-9B23-49B95E064644}" name="5203SPS_Notes" displayName="_5203SPS_Notes" ref="F22:F33" totalsRowShown="0" headerRowDxfId="205" dataDxfId="204">
  <autoFilter ref="F22:F33" xr:uid="{D5968C0A-6D7E-4221-87EE-78A85A4039B3}"/>
  <tableColumns count="1">
    <tableColumn id="1" xr3:uid="{2E1C0BC3-8EFB-4AA5-A23B-DEAB35C7DEA7}" name="Additional Information/Notes" dataDxfId="203"/>
  </tableColumns>
  <tableStyleInfo name="TableStyleMedium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C4C19FD-9346-4806-A8C8-2459DD6B6079}" name="5204SPS_Meta" displayName="_5204SPS_Meta" ref="C6:D14" totalsRowShown="0" headerRowDxfId="202" dataDxfId="201">
  <autoFilter ref="C6:D14" xr:uid="{CD75D2A7-14B1-4ABD-B64D-6E875F9BC652}">
    <filterColumn colId="0" hiddenButton="1"/>
    <filterColumn colId="1" hiddenButton="1"/>
  </autoFilter>
  <tableColumns count="2">
    <tableColumn id="1" xr3:uid="{93EF9546-B1E1-4979-B62A-B2989751477E}" name="Module Data" dataDxfId="200"/>
    <tableColumn id="2" xr3:uid="{F16B111E-BD12-4F84-B4D8-F04D20DD8DBB}" name="Details" dataDxfId="199"/>
  </tableColumns>
  <tableStyleInfo name="TableStyleMedium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516635D-8244-4777-9DE4-11331E655F21}" name="5204SPS_LO" displayName="_5204SPS_LO" ref="C28:D33" totalsRowShown="0" headerRowDxfId="198" dataDxfId="197">
  <autoFilter ref="C28:D33" xr:uid="{22316987-6BEB-4FAF-9619-BF9BE9909CFA}">
    <filterColumn colId="0" hiddenButton="1"/>
    <filterColumn colId="1" hiddenButton="1"/>
  </autoFilter>
  <tableColumns count="2">
    <tableColumn id="1" xr3:uid="{FCFA5DC6-8913-4A82-9BE3-D7C86F47B635}" name="LO Number" dataDxfId="196"/>
    <tableColumn id="2" xr3:uid="{A26107E9-F8C3-4208-9B7A-BF4BCBEBB19A}" name="LO Description" dataDxfId="195"/>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CB98171-BA23-4C4B-98B9-96D275729259}" name="5204SPS_Assess" displayName="_5204SPS_Assess" ref="C37:H39" totalsRowShown="0" headerRowDxfId="194" dataDxfId="193">
  <autoFilter ref="C37:H39"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3B3CCF83-5601-41C0-8D07-B3B4189FAA0A}" name="Assessment No" dataDxfId="192"/>
    <tableColumn id="2" xr3:uid="{8DE04119-F3E4-453B-BC3A-854F50978501}" name="Assessment Type" dataDxfId="191"/>
    <tableColumn id="7" xr3:uid="{B50A2E80-15E7-45A7-8DBE-5B45DBA0EE03}" name="Assessment Specific" dataDxfId="190"/>
    <tableColumn id="3" xr3:uid="{E8622972-E848-4085-8006-AB9BE3F8BA26}" name="Assessment Description" dataDxfId="189"/>
    <tableColumn id="4" xr3:uid="{84212026-914D-45DF-9D5F-CED7648E8DFA}" name="Weighting" dataDxfId="188"/>
    <tableColumn id="5" xr3:uid="{2541BCB1-EF73-49CB-AF8F-0A7A159BFADC}" name="Due Week" dataDxfId="187"/>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3DE77F6A-26DB-4328-8166-F5D66A69C89A}" name="5204SPS_Weekly" displayName="_5204SPS_Weekly" ref="B118:F130" totalsRowShown="0" headerRowDxfId="186" dataDxfId="185">
  <autoFilter ref="B118:F130" xr:uid="{3A41AF80-1AD3-44F6-93D1-6C4A16CCF943}">
    <filterColumn colId="0" hiddenButton="1"/>
    <filterColumn colId="1" hiddenButton="1"/>
    <filterColumn colId="2" hiddenButton="1"/>
    <filterColumn colId="3" hiddenButton="1"/>
    <filterColumn colId="4" hiddenButton="1"/>
  </autoFilter>
  <tableColumns count="5">
    <tableColumn id="1" xr3:uid="{C744C4E3-2756-4632-81F3-10F9A63DCAFA}" name="Semester " dataDxfId="184"/>
    <tableColumn id="2" xr3:uid="{39E374F6-8FA6-4A17-B3E5-6861B7802E23}" name="Week Number" dataDxfId="183"/>
    <tableColumn id="3" xr3:uid="{0748FD0A-D483-4674-ADF4-F590E5FF84A1}" name="Weekly Content 1" dataDxfId="182"/>
    <tableColumn id="4" xr3:uid="{1C2B781D-8D14-4BB8-A73B-EE7856019F76}" name="Weekly Content 2" dataDxfId="181"/>
    <tableColumn id="5" xr3:uid="{354C8B75-DDEF-484E-BBC8-737E4723DA95}" name="Weekly Content 3" dataDxfId="180"/>
  </tableColumns>
  <tableStyleInfo name="TableStyleMedium4"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57764B1F-8952-422E-B8DF-3C9CE01F883B}" name="5204SPS_Hours" displayName="_5204SPS_Hours" ref="C18:D24" totalsRowShown="0" headerRowDxfId="179" dataDxfId="178">
  <autoFilter ref="C18:D24" xr:uid="{B71A3569-AA65-4A4E-98A2-885F5C38B46D}">
    <filterColumn colId="0" hiddenButton="1"/>
    <filterColumn colId="1" hiddenButton="1"/>
  </autoFilter>
  <tableColumns count="2">
    <tableColumn id="1" xr3:uid="{B5948EAF-8B6E-46B7-9242-EFAA9A47ED34}" name="Component" dataDxfId="177"/>
    <tableColumn id="2" xr3:uid="{CE29ACD9-237F-42F2-96D8-089595857098}" name="Contact Hours" dataDxfId="17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3CF1FF5-9C48-4438-ACA3-7355F5E2E85B}" name="5204SPS_Mapping" displayName="_5204SPS_Mapping" ref="C43:F115" totalsRowShown="0" headerRowDxfId="175" dataDxfId="174">
  <autoFilter ref="C43:F115" xr:uid="{E0A841BB-B6D5-4048-B5F2-18CF9F502EBA}">
    <filterColumn colId="0" hiddenButton="1"/>
    <filterColumn colId="1" hiddenButton="1"/>
    <filterColumn colId="2" hiddenButton="1"/>
    <filterColumn colId="3" hiddenButton="1"/>
  </autoFilter>
  <tableColumns count="4">
    <tableColumn id="1" xr3:uid="{2C8A8CAA-AB4F-4ECF-ACF3-4AAAB0D9A60D}" name="Assessment No" dataDxfId="173"/>
    <tableColumn id="2" xr3:uid="{A9D38D67-C61A-433B-BADC-6C3E04CDA95E}" name="LO Number" dataDxfId="172"/>
    <tableColumn id="3" xr3:uid="{FE761D65-59EA-463F-9ADA-00E8680B2AA0}" name="Graduate Skills Category" dataDxfId="171"/>
    <tableColumn id="4" xr3:uid="{07A49AC4-23E7-46A1-BB21-BF25282D94C1}" name="Graduate Skill" dataDxfId="170"/>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8268B39-EE99-49ED-86E1-D29303AB4EED}" name="5204SPS_Aims" displayName="_5204SPS_Aims" ref="F6:F8" totalsRowShown="0" headerRowDxfId="169" dataDxfId="168">
  <autoFilter ref="F6:F8" xr:uid="{9552138F-2332-4BC4-A585-0E13162881A5}"/>
  <tableColumns count="1">
    <tableColumn id="1" xr3:uid="{4403EEA5-FA6D-452B-BF1F-948A0D955BC8}" name="Aims" dataDxfId="167"/>
  </tableColumns>
  <tableStyleInfo name="TableStyleMedium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FD5A8872-5E58-499C-B77A-737B8104FAE5}" name="5204SPS_Syllabus" displayName="_5204SPS_Syllabus" ref="F10:F13" totalsRowShown="0" headerRowDxfId="166" dataDxfId="165">
  <autoFilter ref="F10:F13" xr:uid="{94F18F67-3F10-4F6E-A953-4FE3399B07F2}"/>
  <tableColumns count="1">
    <tableColumn id="1" xr3:uid="{B9B549E3-116D-4F6F-946B-85E5C7F75D02}" name="Outline Syllabus" dataDxfId="164"/>
  </tableColumns>
  <tableStyleInfo name="TableStyleMedium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28D9BB0-177A-4F7C-B0C7-270A06934461}" name="5204SPS_Overview" displayName="_5204SPS_Overview" ref="F15:F20" totalsRowShown="0" headerRowDxfId="163" dataDxfId="162">
  <autoFilter ref="F15:F20" xr:uid="{1B2BCD7B-6C15-4B1C-86BC-48FF83D8F225}"/>
  <tableColumns count="1">
    <tableColumn id="1" xr3:uid="{DD8C63C2-BC98-4B9C-8D44-0683709D89CB}" name="Module Overview" dataDxfId="161"/>
  </tableColumns>
  <tableStyleInfo name="TableStyleMedium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10DB405C-0C1C-4E48-845D-66F427B631E7}" name="5204SPS_Notes" displayName="_5204SPS_Notes" ref="F22:F33" totalsRowShown="0" headerRowDxfId="160" dataDxfId="159">
  <autoFilter ref="F22:F33" xr:uid="{D5968C0A-6D7E-4221-87EE-78A85A4039B3}"/>
  <tableColumns count="1">
    <tableColumn id="1" xr3:uid="{C74D8DE1-229C-47CE-93E3-94E58330376F}" name="Additional Information/Notes" dataDxfId="158"/>
  </tableColumns>
  <tableStyleInfo name="TableStyleMedium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455856-EF9F-4920-A200-6A2E12574711}" name="_6201SPS_Meta" displayName="_6201SPS_Meta" ref="C6:D14" totalsRowShown="0" headerRowDxfId="157" dataDxfId="156">
  <autoFilter ref="C6:D14" xr:uid="{CD75D2A7-14B1-4ABD-B64D-6E875F9BC652}">
    <filterColumn colId="0" hiddenButton="1"/>
    <filterColumn colId="1" hiddenButton="1"/>
  </autoFilter>
  <tableColumns count="2">
    <tableColumn id="1" xr3:uid="{C739DCEA-784C-428C-B443-EBBA231263CF}" name="Module Data" dataDxfId="155"/>
    <tableColumn id="2" xr3:uid="{76CA9158-7CA1-4304-8864-D32CB8DDFDA7}" name="Details" dataDxfId="154"/>
  </tableColumns>
  <tableStyleInfo name="TableStyleMedium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58CE16-F236-4086-8D68-86D16539DAEA}" name="_6201SPS_LO" displayName="_6201SPS_LO" ref="C28:D33" totalsRowShown="0" headerRowDxfId="153" dataDxfId="152">
  <autoFilter ref="C28:D33" xr:uid="{22316987-6BEB-4FAF-9619-BF9BE9909CFA}">
    <filterColumn colId="0" hiddenButton="1"/>
    <filterColumn colId="1" hiddenButton="1"/>
  </autoFilter>
  <tableColumns count="2">
    <tableColumn id="1" xr3:uid="{DD77C19D-7EB7-48DF-A545-5F9715EBF87D}" name="LO Number" dataDxfId="151"/>
    <tableColumn id="2" xr3:uid="{08D2565B-250F-49F6-B58A-899EFD81E695}" name="LO Description" dataDxfId="150"/>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7675F8-E426-4652-AD1B-52EF438C4048}" name="_6201SPS_Assess" displayName="_6201SPS_Assess" ref="C37:H41" totalsRowShown="0" headerRowDxfId="149" dataDxfId="14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36E8BFC0-393C-4DDB-83F8-2751A35F7077}" name="Assessment No" dataDxfId="147"/>
    <tableColumn id="2" xr3:uid="{1ABD3F92-E8B8-4880-995E-67A73479D5BD}" name="Assessment Type" dataDxfId="146"/>
    <tableColumn id="7" xr3:uid="{E1BBA87E-3AEB-4C25-8F2B-7B45178A82F4}" name="Assessment Specific" dataDxfId="145"/>
    <tableColumn id="3" xr3:uid="{CDA0AA91-3A4F-4F0F-A96F-F5F4E56EF31C}" name="Assessment Description" dataDxfId="144"/>
    <tableColumn id="4" xr3:uid="{6A4120EA-AC33-4132-9156-9E0BFEBC7151}" name="Weighting" dataDxfId="143"/>
    <tableColumn id="5" xr3:uid="{5457D41C-3B56-4CDC-B15F-3BE36BFDD610}" name="Due Week" dataDxfId="142"/>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1505FC-74CA-44F1-9162-313D8C2B1DA6}" name="_6201SPS_Weekly" displayName="_6201SPS_Weekly" ref="B70:F82" totalsRowShown="0" headerRowDxfId="141" dataDxfId="140">
  <autoFilter ref="B70:F82" xr:uid="{3A41AF80-1AD3-44F6-93D1-6C4A16CCF943}">
    <filterColumn colId="0" hiddenButton="1"/>
    <filterColumn colId="1" hiddenButton="1"/>
    <filterColumn colId="2" hiddenButton="1"/>
    <filterColumn colId="3" hiddenButton="1"/>
    <filterColumn colId="4" hiddenButton="1"/>
  </autoFilter>
  <tableColumns count="5">
    <tableColumn id="1" xr3:uid="{D2BA7350-11C3-4604-9F4F-9AF2C8966F05}" name="Semester " dataDxfId="139"/>
    <tableColumn id="2" xr3:uid="{A2387982-D06F-4311-A957-77C4B113DCFF}" name="Week Number" dataDxfId="138"/>
    <tableColumn id="3" xr3:uid="{74B025A2-612F-4938-B991-D72E87DEC6BF}" name="Weekly Content 1" dataDxfId="137"/>
    <tableColumn id="4" xr3:uid="{EAB76976-33AF-49B1-AD33-E9BB84B77A27}" name="Weekly Content 2" dataDxfId="136"/>
    <tableColumn id="5" xr3:uid="{49128CA0-2D2A-49E2-8674-74B14A405663}" name="Weekly Content 3" dataDxfId="135"/>
  </tableColumns>
  <tableStyleInfo name="TableStyleMedium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E089CD-0FE9-48EE-9886-5C67B7491855}" name="_6201SPS_Hours" displayName="_6201SPS_Hours" ref="C18:D24" totalsRowShown="0" headerRowDxfId="134" dataDxfId="133">
  <autoFilter ref="C18:D24" xr:uid="{B71A3569-AA65-4A4E-98A2-885F5C38B46D}">
    <filterColumn colId="0" hiddenButton="1"/>
    <filterColumn colId="1" hiddenButton="1"/>
  </autoFilter>
  <tableColumns count="2">
    <tableColumn id="1" xr3:uid="{B8347C7D-7016-469A-A23E-2843B0E1F21C}" name="Component" dataDxfId="132"/>
    <tableColumn id="2" xr3:uid="{8D119159-0699-4024-820B-92950ECCC6B2}" name="Contact Hours" dataDxfId="131"/>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90CC320-13B2-4A94-946B-60E52F38932B}" name="_6201SPS_Mapping" displayName="_6201SPS_Mapping" ref="C45:F66" totalsRowShown="0" headerRowDxfId="130" dataDxfId="129">
  <autoFilter ref="C45:F66" xr:uid="{E0A841BB-B6D5-4048-B5F2-18CF9F502EBA}">
    <filterColumn colId="0" hiddenButton="1"/>
    <filterColumn colId="1" hiddenButton="1"/>
    <filterColumn colId="2" hiddenButton="1"/>
    <filterColumn colId="3" hiddenButton="1"/>
  </autoFilter>
  <tableColumns count="4">
    <tableColumn id="1" xr3:uid="{F19236E6-E966-45A7-83E3-849E2A2CC2C4}" name="Assessment No" dataDxfId="128"/>
    <tableColumn id="2" xr3:uid="{E2C0DB60-0CC5-4512-BDC3-B823942C6FA5}" name="LO Number" dataDxfId="127"/>
    <tableColumn id="3" xr3:uid="{59BB825A-E66C-441A-A509-67909C52F570}" name="Graduate Skills Category" dataDxfId="126"/>
    <tableColumn id="4" xr3:uid="{CBD615CC-9C69-440E-9995-E28922518B78}" name="Graduate Skill" dataDxfId="125"/>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A6C0BAD-5E99-4536-80D8-04881418A912}" name="_6201SPS_Aims" displayName="_6201SPS_Aims" ref="F6:F8" totalsRowShown="0" headerRowDxfId="124" dataDxfId="123">
  <autoFilter ref="F6:F8" xr:uid="{9552138F-2332-4BC4-A585-0E13162881A5}"/>
  <tableColumns count="1">
    <tableColumn id="1" xr3:uid="{64EB1662-C55F-416B-9094-45BDCAC5F632}" name="Aims" dataDxfId="122"/>
  </tableColumns>
  <tableStyleInfo name="TableStyleMedium6"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EB3927-CDF0-4967-808F-DE29382AE7A7}" name="_6201SPS_Syllabus" displayName="_6201SPS_Syllabus" ref="F10:F13" totalsRowShown="0" headerRowDxfId="121" dataDxfId="120">
  <autoFilter ref="F10:F13" xr:uid="{94F18F67-3F10-4F6E-A953-4FE3399B07F2}"/>
  <tableColumns count="1">
    <tableColumn id="1" xr3:uid="{1053B4F3-B6C3-42DF-AEA8-663637BF7528}" name="Outline Syllabus" dataDxfId="119"/>
  </tableColumns>
  <tableStyleInfo name="TableStyleMedium6"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A6B2E9-E97F-400F-BB86-030D46BB5BF0}" name="_6201SPS_Overview" displayName="_6201SPS_Overview" ref="F15:F20" totalsRowShown="0" headerRowDxfId="118" dataDxfId="117">
  <autoFilter ref="F15:F20" xr:uid="{1B2BCD7B-6C15-4B1C-86BC-48FF83D8F225}"/>
  <tableColumns count="1">
    <tableColumn id="1" xr3:uid="{8D8E13F6-A907-4688-971F-935A654EFDF2}" name="Module Overview" dataDxfId="116"/>
  </tableColumns>
  <tableStyleInfo name="TableStyleMedium6"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563B3D2-8FE5-4853-8D55-64770B5B4EAD}" name="_6201SPS_Notes" displayName="_6201SPS_Notes" ref="F22:F33" totalsRowShown="0" headerRowDxfId="115" dataDxfId="114">
  <autoFilter ref="F22:F33" xr:uid="{D5968C0A-6D7E-4221-87EE-78A85A4039B3}"/>
  <tableColumns count="1">
    <tableColumn id="1" xr3:uid="{C35A6B9E-114C-45D9-899D-0DFD9D577E09}" name="Additional Information/Notes" dataDxfId="113"/>
  </tableColumns>
  <tableStyleInfo name="TableStyleMedium6"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C1815BC-3D96-4CE2-A3C0-E524ED84C584}" name="6202SPS_Meta" displayName="_6202SPS_Meta" ref="C6:D14" totalsRowShown="0" headerRowDxfId="112" dataDxfId="111">
  <autoFilter ref="C6:D14" xr:uid="{CD75D2A7-14B1-4ABD-B64D-6E875F9BC652}">
    <filterColumn colId="0" hiddenButton="1"/>
    <filterColumn colId="1" hiddenButton="1"/>
  </autoFilter>
  <tableColumns count="2">
    <tableColumn id="1" xr3:uid="{5D38FCD1-7A3F-4025-AC69-E6A90C68A79E}" name="Module Data" dataDxfId="110"/>
    <tableColumn id="2" xr3:uid="{ACE861FD-0C1D-4D19-A0A8-AC83427FA81A}" name="Details" dataDxfId="109"/>
  </tableColumns>
  <tableStyleInfo name="TableStyleMedium6"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D5D2633F-A72A-4EBD-BB0D-2D2560E496A6}" name="6202SPS_LO" displayName="_6202SPS_LO" ref="C28:D33" totalsRowShown="0" headerRowDxfId="108" dataDxfId="107">
  <autoFilter ref="C28:D33" xr:uid="{22316987-6BEB-4FAF-9619-BF9BE9909CFA}">
    <filterColumn colId="0" hiddenButton="1"/>
    <filterColumn colId="1" hiddenButton="1"/>
  </autoFilter>
  <tableColumns count="2">
    <tableColumn id="1" xr3:uid="{92FDE3DF-EAC0-4CA6-A5B4-E15BAAC4A01D}" name="LO Number" dataDxfId="106"/>
    <tableColumn id="2" xr3:uid="{A384CFCB-55B0-46B7-AF9A-FAAC6022096A}" name="LO Description" dataDxfId="10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F820147B-082B-4FA1-97BA-0F1A0D69376D}" name="6202SPS_Assess" displayName="_6202SPS_Assess" ref="C37:H41" totalsRowShown="0" headerRowDxfId="104" dataDxfId="10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2063B804-9290-4363-A24F-BA34F88A89EF}" name="Assessment No" dataDxfId="102"/>
    <tableColumn id="2" xr3:uid="{390EF809-FA62-405F-B84C-B2AD571CEBAA}" name="Assessment Type" dataDxfId="101"/>
    <tableColumn id="7" xr3:uid="{2B1618E6-AA98-4A15-AE0C-79993F1BAFB7}" name="Assessment Specific" dataDxfId="100"/>
    <tableColumn id="3" xr3:uid="{138C3352-0967-40A6-A5BE-4B32DEC01ACB}" name="Assessment Description" dataDxfId="99"/>
    <tableColumn id="4" xr3:uid="{F4B4B6BF-3460-42E3-849C-1BBE242E83C3}" name="Weighting" dataDxfId="98"/>
    <tableColumn id="5" xr3:uid="{E52307F9-F56A-42FC-9A76-6A630F2C5B71}" name="Due Week" dataDxfId="97"/>
  </tableColumns>
  <tableStyleInfo name="TableStyleMedium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36DF56C-F5DF-42FA-9C3E-466BEB6A9B25}" name="6202SPS_Weekly" displayName="_6202SPS_Weekly" ref="B70:F94" totalsRowShown="0" headerRowDxfId="96" dataDxfId="9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5D23D0B-4E1E-44F9-A154-416BAE9F0E6A}" name="Semester " dataDxfId="94"/>
    <tableColumn id="2" xr3:uid="{1B7B234D-0DD9-4913-9C62-18CC4E0FD5D6}" name="Week Number" dataDxfId="93"/>
    <tableColumn id="3" xr3:uid="{FDA6287D-7D09-41DC-96F1-E9BCD4B11D2E}" name="Weekly Content 1" dataDxfId="92"/>
    <tableColumn id="4" xr3:uid="{C104D628-2E09-432B-BC7A-B7E29838D1BD}" name="Weekly Content 2" dataDxfId="91"/>
    <tableColumn id="5" xr3:uid="{6CD950CC-83A5-4FD3-93FC-B284F6F6350E}" name="Weekly Content 3" dataDxfId="90"/>
  </tableColumns>
  <tableStyleInfo name="TableStyleMedium4"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92B2FE4A-AD2A-4354-81FF-92DECA27A716}" name="6202SPS_Hours" displayName="_6202SPS_Hours" ref="C18:D24" totalsRowShown="0" headerRowDxfId="89" dataDxfId="88">
  <autoFilter ref="C18:D24" xr:uid="{B71A3569-AA65-4A4E-98A2-885F5C38B46D}">
    <filterColumn colId="0" hiddenButton="1"/>
    <filterColumn colId="1" hiddenButton="1"/>
  </autoFilter>
  <tableColumns count="2">
    <tableColumn id="1" xr3:uid="{27F817B7-6395-4976-9120-60D5C9775BA5}" name="Component" dataDxfId="87"/>
    <tableColumn id="2" xr3:uid="{D9B68E50-AFDD-4B94-80F2-BAB157C2FF40}" name="Contact Hours" dataDxfId="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ACD4F23-19CD-490A-863B-D357A075F62D}" name="6202SPS_Mapping" displayName="_6202SPS_Mapping" ref="C45:F66" totalsRowShown="0" headerRowDxfId="85" dataDxfId="84">
  <autoFilter ref="C45:F66" xr:uid="{E0A841BB-B6D5-4048-B5F2-18CF9F502EBA}">
    <filterColumn colId="0" hiddenButton="1"/>
    <filterColumn colId="1" hiddenButton="1"/>
    <filterColumn colId="2" hiddenButton="1"/>
    <filterColumn colId="3" hiddenButton="1"/>
  </autoFilter>
  <tableColumns count="4">
    <tableColumn id="1" xr3:uid="{4320F17F-7532-4CD6-9873-A1CBAAFA9F7C}" name="Assessment No" dataDxfId="83"/>
    <tableColumn id="2" xr3:uid="{CF29F699-8C1A-4AC4-A563-FCBB128AC8F3}" name="LO Number" dataDxfId="82"/>
    <tableColumn id="3" xr3:uid="{B1082C18-E8C1-42F9-B74D-584EBA4A0A39}" name="Graduate Skills Category" dataDxfId="81"/>
    <tableColumn id="4" xr3:uid="{BD6D6488-ABFD-45B6-B06F-748690280986}" name="Graduate Skill" dataDxfId="80"/>
  </tableColumns>
  <tableStyleInfo name="TableStyleMedium3"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BD2BE49-9025-454E-A9D0-BE88D8AF0F0B}" name="6202SPS_Aims" displayName="_6202SPS_Aims" ref="F6:F8" totalsRowShown="0" headerRowDxfId="79" dataDxfId="78">
  <autoFilter ref="F6:F8" xr:uid="{9552138F-2332-4BC4-A585-0E13162881A5}"/>
  <tableColumns count="1">
    <tableColumn id="1" xr3:uid="{E2B338AF-53C9-469A-B45D-DF4BE4CCBDD0}" name="Aims" dataDxfId="77"/>
  </tableColumns>
  <tableStyleInfo name="TableStyleMedium6"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963A62B5-6BD6-4FF7-AC53-AE2CCA7AF0AD}" name="6202SPS_Syllabus" displayName="_6202SPS_Syllabus" ref="F10:F14" totalsRowShown="0" headerRowDxfId="76" dataDxfId="75">
  <autoFilter ref="F10:F14" xr:uid="{94F18F67-3F10-4F6E-A953-4FE3399B07F2}"/>
  <tableColumns count="1">
    <tableColumn id="1" xr3:uid="{0B585185-EFA9-44AB-A953-91DF09E1C8F4}" name="Outline Syllabus" dataDxfId="74"/>
  </tableColumns>
  <tableStyleInfo name="TableStyleMedium6"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49D78F64-BBE3-4F16-BBE6-34802F612A15}" name="6202SPS_Overview" displayName="_6202SPS_Overview" ref="F15:F20" totalsRowShown="0" headerRowDxfId="73" dataDxfId="72">
  <autoFilter ref="F15:F20" xr:uid="{1B2BCD7B-6C15-4B1C-86BC-48FF83D8F225}"/>
  <tableColumns count="1">
    <tableColumn id="1" xr3:uid="{8DA5C005-FC9F-4CBE-A281-B2B92A53526A}" name="Column1" dataDxfId="71"/>
  </tableColumns>
  <tableStyleInfo name="TableStyleMedium6"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E2516B-A7EA-432E-92EE-6643A09A6407}" name="6202SPS_Notes" displayName="_6202SPS_Notes" ref="F22:F33" totalsRowShown="0" headerRowDxfId="70" dataDxfId="69">
  <autoFilter ref="F22:F33" xr:uid="{D5968C0A-6D7E-4221-87EE-78A85A4039B3}"/>
  <tableColumns count="1">
    <tableColumn id="1" xr3:uid="{D67854B5-D179-408B-A477-7F6E3033D84B}" name="Additional Information/Notes" dataDxfId="68"/>
  </tableColumns>
  <tableStyleInfo name="TableStyleMedium6"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17E94F5D-87D3-4DF8-986C-B28A1AFAD773}" name="6203SPS_Meta" displayName="_6203SPS_Meta" ref="C6:D14" totalsRowShown="0" headerRowDxfId="382" dataDxfId="381">
  <autoFilter ref="C6:D14" xr:uid="{CD75D2A7-14B1-4ABD-B64D-6E875F9BC652}">
    <filterColumn colId="0" hiddenButton="1"/>
    <filterColumn colId="1" hiddenButton="1"/>
  </autoFilter>
  <tableColumns count="2">
    <tableColumn id="1" xr3:uid="{DC5E8FB2-F1EF-4C76-ADAD-8DF1D4236058}" name="Module Data" dataDxfId="380"/>
    <tableColumn id="2" xr3:uid="{3CEC4644-C90E-484A-BB04-BC7E2522484B}" name="Details" dataDxfId="379"/>
  </tableColumns>
  <tableStyleInfo name="TableStyleMedium6"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9E236EF1-A2F6-44EA-9CD3-686F2C6247E0}" name="6203SPS_LO" displayName="_6203SPS_LO" ref="C28:D33" totalsRowShown="0" headerRowDxfId="378" dataDxfId="377">
  <autoFilter ref="C28:D33" xr:uid="{22316987-6BEB-4FAF-9619-BF9BE9909CFA}">
    <filterColumn colId="0" hiddenButton="1"/>
    <filterColumn colId="1" hiddenButton="1"/>
  </autoFilter>
  <tableColumns count="2">
    <tableColumn id="1" xr3:uid="{96E1C0A4-F310-4104-877A-16C95A9DF8F8}" name="LO Number" dataDxfId="376"/>
    <tableColumn id="2" xr3:uid="{5193B932-1BB4-4665-BB60-1094CB27D2FB}" name="LO Description" dataDxfId="375"/>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8FFE59E6-A839-4DF2-B28B-BA390FAAC7FF}" name="6203SPS_Assess" displayName="_6203SPS_Assess" ref="C37:H41" totalsRowShown="0" headerRowDxfId="374" dataDxfId="37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0154566D-F16C-483F-9906-53214A1163EC}" name="Assessment No" dataDxfId="372"/>
    <tableColumn id="2" xr3:uid="{F6CC8F23-24C9-49E1-A7E1-F0C42C5E4062}" name="Assessment Type" dataDxfId="371"/>
    <tableColumn id="7" xr3:uid="{23445359-B102-481A-9626-644EC1147971}" name="Assessment Specific" dataDxfId="370"/>
    <tableColumn id="3" xr3:uid="{09F68760-DB1D-47DA-9C3B-991E85819122}" name="Assessment Description" dataDxfId="369"/>
    <tableColumn id="4" xr3:uid="{9C4EFAF0-0549-4906-AB40-C8046612A4D0}" name="Weighting" dataDxfId="368"/>
    <tableColumn id="5" xr3:uid="{6867F2EF-8B96-4C7F-A3F0-4AD115D6B611}" name="Due Week" dataDxfId="367"/>
  </tableColumns>
  <tableStyleInfo name="TableStyleMedium3"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563A272D-E3F6-4799-9E67-4B36BC407350}" name="6203SPS_Weekly" displayName="_6203SPS_Weekly" ref="B70:F94" totalsRowShown="0" headerRowDxfId="366" dataDxfId="36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B0408B6-1C06-4309-B9B2-E387A6531EBC}" name="Semester " dataDxfId="364"/>
    <tableColumn id="2" xr3:uid="{3DC0D0B8-ED93-4FAA-ACD1-6A257B8D7D8B}" name="Week Number" dataDxfId="363"/>
    <tableColumn id="3" xr3:uid="{396A1CD9-0EA8-4576-AC19-41A37C40C78C}" name="Weekly Content 1" dataDxfId="362"/>
    <tableColumn id="4" xr3:uid="{27E6FFD2-4BB2-4380-B643-929F8059E10C}" name="Weekly Content 2" dataDxfId="361"/>
    <tableColumn id="5" xr3:uid="{5D410880-EC3B-476E-B727-61773B3F1720}" name="Weekly Content 3" dataDxfId="360"/>
  </tableColumns>
  <tableStyleInfo name="TableStyleMedium4"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2034533F-3C96-4BBB-B91F-96B2BF107FF6}" name="6203SPS_Hours" displayName="_6203SPS_Hours" ref="C18:D24" totalsRowShown="0" headerRowDxfId="359" dataDxfId="358">
  <autoFilter ref="C18:D24" xr:uid="{B71A3569-AA65-4A4E-98A2-885F5C38B46D}">
    <filterColumn colId="0" hiddenButton="1"/>
    <filterColumn colId="1" hiddenButton="1"/>
  </autoFilter>
  <tableColumns count="2">
    <tableColumn id="1" xr3:uid="{50ADF208-83C1-48D5-9F5C-65E697F266B7}" name="Component" dataDxfId="357"/>
    <tableColumn id="2" xr3:uid="{1EADC3A3-1557-4323-A40A-C84AEA0F188A}" name="Contact Hours" dataDxfId="356"/>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5BB88119-4CEC-4B9F-9734-616397E661D4}" name="6203SPS_Mapping" displayName="_6203SPS_Mapping" ref="C45:F66" totalsRowShown="0" headerRowDxfId="355" dataDxfId="354">
  <autoFilter ref="C45:F66" xr:uid="{E0A841BB-B6D5-4048-B5F2-18CF9F502EBA}">
    <filterColumn colId="0" hiddenButton="1"/>
    <filterColumn colId="1" hiddenButton="1"/>
    <filterColumn colId="2" hiddenButton="1"/>
    <filterColumn colId="3" hiddenButton="1"/>
  </autoFilter>
  <tableColumns count="4">
    <tableColumn id="1" xr3:uid="{4F176BC0-31BF-4358-B856-EFBB6BB7AAB0}" name="Assessment No" dataDxfId="353"/>
    <tableColumn id="2" xr3:uid="{162D175A-F572-46B3-8399-9FF334864C28}" name="LO Number" dataDxfId="352"/>
    <tableColumn id="3" xr3:uid="{4B8F87D6-8076-4256-870F-FFB0D542729A}" name="Graduate Skills Category" dataDxfId="351"/>
    <tableColumn id="4" xr3:uid="{3DB5254F-E5B1-45EA-B3FC-772579673F08}" name="Graduate Skill" dataDxfId="350"/>
  </tableColumns>
  <tableStyleInfo name="TableStyleMedium3"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6D0C022-EFBE-4464-91FC-F436D7DFB43A}" name="6203SPS_Aims" displayName="_6203SPS_Aims" ref="F6:F8" totalsRowShown="0" headerRowDxfId="349" dataDxfId="348">
  <autoFilter ref="F6:F8" xr:uid="{9552138F-2332-4BC4-A585-0E13162881A5}"/>
  <tableColumns count="1">
    <tableColumn id="1" xr3:uid="{D5911F00-3A12-4884-94FA-2461F2E6A773}" name="Aims" dataDxfId="347"/>
  </tableColumns>
  <tableStyleInfo name="TableStyleMedium6"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5F89D8F4-40FF-4A85-91D9-660D46503FEA}" name="6203SPS_Syllabus" displayName="_6203SPS_Syllabus" ref="F10:F13" totalsRowShown="0" headerRowDxfId="346" dataDxfId="345">
  <autoFilter ref="F10:F13" xr:uid="{94F18F67-3F10-4F6E-A953-4FE3399B07F2}"/>
  <tableColumns count="1">
    <tableColumn id="1" xr3:uid="{1984609B-7A7C-44AA-A114-5466EF451351}" name="Outline Syllabus" dataDxfId="344"/>
  </tableColumns>
  <tableStyleInfo name="TableStyleMedium6"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CE8D45C-F32D-403F-87CE-50D315C2F149}" name="6203SPS_Overview" displayName="_6203SPS_Overview" ref="F15:F20" totalsRowShown="0" headerRowDxfId="343" dataDxfId="342">
  <autoFilter ref="F15:F20" xr:uid="{1B2BCD7B-6C15-4B1C-86BC-48FF83D8F225}"/>
  <tableColumns count="1">
    <tableColumn id="1" xr3:uid="{19A46962-3EFC-4EE2-ACCE-5363E30EDC4F}" name="Module Overview" dataDxfId="341"/>
  </tableColumns>
  <tableStyleInfo name="TableStyleMedium6"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9A33D543-C10F-446B-A3DE-E3B66E260D5A}" name="6203SPS_Notes" displayName="_6203SPS_Notes" ref="F22:F33" totalsRowShown="0" headerRowDxfId="340" dataDxfId="339">
  <autoFilter ref="F22:F33" xr:uid="{D5968C0A-6D7E-4221-87EE-78A85A4039B3}"/>
  <tableColumns count="1">
    <tableColumn id="1" xr3:uid="{EEDA3204-13C4-4B95-A550-B650C09B689D}" name="Additional Information/Notes" dataDxfId="338"/>
  </tableColumns>
  <tableStyleInfo name="TableStyleMedium6"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E9FA17F3-8510-4713-9EFA-F81B9896C75F}" name="6096SPS_Meta" displayName="_6096SPS_Meta" ref="C6:D14" totalsRowShown="0" headerRowDxfId="67" dataDxfId="66">
  <autoFilter ref="C6:D14" xr:uid="{CD75D2A7-14B1-4ABD-B64D-6E875F9BC652}">
    <filterColumn colId="0" hiddenButton="1"/>
    <filterColumn colId="1" hiddenButton="1"/>
  </autoFilter>
  <tableColumns count="2">
    <tableColumn id="1" xr3:uid="{644E4444-F68A-4E74-BD5D-8748CD05A7D2}" name="Module Data" dataDxfId="65"/>
    <tableColumn id="2" xr3:uid="{AF6CCCE6-633B-4669-B570-EB4F893B50C4}" name="Details" dataDxfId="64"/>
  </tableColumns>
  <tableStyleInfo name="TableStyleMedium6"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A4EE75AE-77CE-4A68-A718-983DED4FF7A1}" name="6096SPS_LO" displayName="_6096SPS_LO" ref="C28:D33" totalsRowShown="0" headerRowDxfId="63" dataDxfId="62">
  <autoFilter ref="C28:D33" xr:uid="{22316987-6BEB-4FAF-9619-BF9BE9909CFA}">
    <filterColumn colId="0" hiddenButton="1"/>
    <filterColumn colId="1" hiddenButton="1"/>
  </autoFilter>
  <tableColumns count="2">
    <tableColumn id="1" xr3:uid="{589112ED-5C99-4CD7-912A-F216AEC245F3}" name="LO Number" dataDxfId="61"/>
    <tableColumn id="2" xr3:uid="{D42319CA-BEAF-49C8-8EC7-B45F24386E7A}" name="LO Description" dataDxfId="60"/>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CAE2B91-6BD8-4529-8B59-5DB7121B1D24}" name="6096SPS_Assess" displayName="_6096SPS_Assess" ref="C37:H39" totalsRowShown="0" headerRowDxfId="59" dataDxfId="58">
  <autoFilter ref="C37:H39"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FED30EF-9DFC-4FCF-9A98-B1395296BD26}" name="Assessment No" dataDxfId="57"/>
    <tableColumn id="2" xr3:uid="{0C168E40-BC62-40F7-8494-D9D585BBF5DD}" name="Assessment Type" dataDxfId="56"/>
    <tableColumn id="7" xr3:uid="{03042C7C-BE5A-4EDB-B18A-F162688CAFDA}" name="Assessment Specific" dataDxfId="55"/>
    <tableColumn id="3" xr3:uid="{B536E57C-91CB-491F-8850-5E1F4FFB6EC2}" name="Assessment Description" dataDxfId="54"/>
    <tableColumn id="4" xr3:uid="{CFEF4DCA-7026-4AB8-9930-965F672B21EC}" name="Weighting" dataDxfId="53"/>
    <tableColumn id="5" xr3:uid="{268A91DF-58B1-43BF-A340-0E1D33705BAA}" name="Due Week" dataDxfId="52"/>
  </tableColumns>
  <tableStyleInfo name="TableStyleMedium3"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AFDD563-D76D-4667-B964-69DE19A2F370}" name="6096SPS_Weekly" displayName="_6096SPS_Weekly" ref="B96:F108" totalsRowShown="0" headerRowDxfId="51" dataDxfId="50">
  <autoFilter ref="B96:F108" xr:uid="{3A41AF80-1AD3-44F6-93D1-6C4A16CCF943}">
    <filterColumn colId="0" hiddenButton="1"/>
    <filterColumn colId="1" hiddenButton="1"/>
    <filterColumn colId="2" hiddenButton="1"/>
    <filterColumn colId="3" hiddenButton="1"/>
    <filterColumn colId="4" hiddenButton="1"/>
  </autoFilter>
  <tableColumns count="5">
    <tableColumn id="1" xr3:uid="{2EC0DE77-F537-4352-B465-CD91C72B6257}" name="Semester " dataDxfId="49"/>
    <tableColumn id="2" xr3:uid="{916AD303-2708-4E40-8E0C-DE9D347BA8EA}" name="Week Number" dataDxfId="48"/>
    <tableColumn id="3" xr3:uid="{66580F8A-FF82-4503-9EBF-1B44DD45F9F5}" name="Weekly Content 1" dataDxfId="47"/>
    <tableColumn id="4" xr3:uid="{5E6D35EA-634F-45B1-8A96-068CB99E3BA7}" name="Weekly Content 2" dataDxfId="46"/>
    <tableColumn id="5" xr3:uid="{25F8B45E-A68A-40F6-AADD-D3228D0F228B}" name="Weekly Content 3" dataDxfId="45"/>
  </tableColumns>
  <tableStyleInfo name="TableStyleMedium4"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02355DE-CDC7-4C13-A897-B84D0D96A8FC}" name="6096SPS_Hours" displayName="_6096SPS_Hours" ref="C18:D24" totalsRowShown="0" headerRowDxfId="44" dataDxfId="43">
  <autoFilter ref="C18:D24" xr:uid="{B71A3569-AA65-4A4E-98A2-885F5C38B46D}">
    <filterColumn colId="0" hiddenButton="1"/>
    <filterColumn colId="1" hiddenButton="1"/>
  </autoFilter>
  <tableColumns count="2">
    <tableColumn id="1" xr3:uid="{E6DA5AB3-0374-477C-BB37-91CD5B04A8A7}" name="Component" dataDxfId="42"/>
    <tableColumn id="2" xr3:uid="{25171EA2-F360-4480-9A69-30F0637E5E19}" name="Contact Hours" dataDxfId="41"/>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0E05B93-0CDB-4250-BCA8-9C03D039B5AA}" name="6096SPS_Mapping" displayName="_6096SPS_Mapping" ref="C43:F93" totalsRowShown="0" headerRowDxfId="40" dataDxfId="39">
  <autoFilter ref="C43:F93" xr:uid="{E0A841BB-B6D5-4048-B5F2-18CF9F502EBA}">
    <filterColumn colId="0" hiddenButton="1"/>
    <filterColumn colId="1" hiddenButton="1"/>
    <filterColumn colId="2" hiddenButton="1"/>
    <filterColumn colId="3" hiddenButton="1"/>
  </autoFilter>
  <tableColumns count="4">
    <tableColumn id="1" xr3:uid="{5D5BD11A-55EF-4A54-875D-6C3259B55C2B}" name="Assessment No" dataDxfId="38"/>
    <tableColumn id="2" xr3:uid="{220CCF7F-D01D-41B9-83FA-AB3772B56C47}" name="LO Number" dataDxfId="37"/>
    <tableColumn id="3" xr3:uid="{35876AFA-8C5D-4EB6-A40B-8013521A5A47}" name="Graduate Skills Category" dataDxfId="36"/>
    <tableColumn id="4" xr3:uid="{8CC8B0ED-B11D-43C6-AB11-C69764FE383C}" name="Graduate Skill" dataDxfId="35"/>
  </tableColumns>
  <tableStyleInfo name="TableStyleMedium3"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AD421795-C657-4B23-85A2-74B0174B165C}" name="6096SPS_Aims" displayName="_6096SPS_Aims" ref="F6:F8" totalsRowShown="0" headerRowDxfId="34" dataDxfId="33">
  <autoFilter ref="F6:F8" xr:uid="{9552138F-2332-4BC4-A585-0E13162881A5}"/>
  <tableColumns count="1">
    <tableColumn id="1" xr3:uid="{17C9A3A3-D0C1-421C-8D52-32617D054C2E}" name="Aims" dataDxfId="32"/>
  </tableColumns>
  <tableStyleInfo name="TableStyleMedium6"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4C708692-CFFF-4D84-88A9-BCE4B09138E0}" name="6096SPS_Syllabus" displayName="_6096SPS_Syllabus" ref="F10:F13" totalsRowShown="0" headerRowDxfId="31" dataDxfId="30">
  <autoFilter ref="F10:F13" xr:uid="{94F18F67-3F10-4F6E-A953-4FE3399B07F2}"/>
  <tableColumns count="1">
    <tableColumn id="1" xr3:uid="{D7FF23A0-D568-4D96-9868-A6319DCE887A}" name="Outline Syllabus" dataDxfId="29"/>
  </tableColumns>
  <tableStyleInfo name="TableStyleMedium6"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4CADD0E-07B9-4D59-8E61-01F39F116463}" name="6096SPS_Overview" displayName="_6096SPS_Overview" ref="F15:F20" totalsRowShown="0" headerRowDxfId="28" dataDxfId="27">
  <autoFilter ref="F15:F20" xr:uid="{1B2BCD7B-6C15-4B1C-86BC-48FF83D8F225}"/>
  <tableColumns count="1">
    <tableColumn id="1" xr3:uid="{E558D902-00D8-4FEB-8431-38F38D3FD8C5}" name="Module Overview" dataDxfId="26"/>
  </tableColumns>
  <tableStyleInfo name="TableStyleMedium6"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F1F5DED-CF26-4C92-A936-AD81E729AA08}" name="6096SPS_Notes" displayName="_6096SPS_Notes" ref="F22:F33" totalsRowShown="0" headerRowDxfId="25" dataDxfId="24">
  <autoFilter ref="F22:F33" xr:uid="{D5968C0A-6D7E-4221-87EE-78A85A4039B3}"/>
  <tableColumns count="1">
    <tableColumn id="1" xr3:uid="{C6EF2F48-EFDC-40BF-8A10-F2C80BC78705}" name="Additional Information/Notes" dataDxfId="23"/>
  </tableColumns>
  <tableStyleInfo name="TableStyleMedium6"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1D6340C-A662-4784-8EEB-6EE9538FE96C}" name="PE_SkillsCoverage" displayName="PE_SkillsCoverage" ref="A1:E65" tableType="queryTable" totalsRowShown="0">
  <autoFilter ref="A1:E65" xr:uid="{11D6340C-A662-4784-8EEB-6EE9538FE96C}"/>
  <tableColumns count="5">
    <tableColumn id="1" xr3:uid="{48C1BE31-C6B0-4D15-92EB-9F343C852E1B}" uniqueName="1" name="Category" queryTableFieldId="1"/>
    <tableColumn id="2" xr3:uid="{FE64EA80-4582-4389-839C-F2951186FF52}" uniqueName="2" name="Skill" queryTableFieldId="2"/>
    <tableColumn id="3" xr3:uid="{E5E5427A-E7F5-4B45-B615-4B20018BEFEF}" uniqueName="3" name="Modules Covering" queryTableFieldId="3" dataDxfId="22"/>
    <tableColumn id="4" xr3:uid="{1E51C73B-3D46-43F0-B244-BFD16A8CC2C5}" uniqueName="4" name="Module Count" queryTableFieldId="4"/>
    <tableColumn id="5" xr3:uid="{3FDED9F5-0D17-43C5-A7CA-E74963984636}" uniqueName="5" name="Covered" queryTableFieldId="5"/>
  </tableColumns>
  <tableStyleInfo name="TableStyleMedium7"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CDD0AE5-C591-433C-A4DA-C8D041EF21F7}" name="PE_Module_Overview" displayName="PE_Module_Overview" ref="A1:I24" tableType="queryTable" totalsRowShown="0">
  <autoFilter ref="A1:I24" xr:uid="{BCDD0AE5-C591-433C-A4DA-C8D041EF21F7}"/>
  <tableColumns count="9">
    <tableColumn id="1" xr3:uid="{8E0DA67D-3136-4E8A-90C9-4DDD2CD7A382}" uniqueName="1" name="ModuleCode" queryTableFieldId="1"/>
    <tableColumn id="2" xr3:uid="{4FDE9957-1033-401E-859C-71064D99699D}" uniqueName="2" name="ModuleTitle" queryTableFieldId="2" dataDxfId="21"/>
    <tableColumn id="3" xr3:uid="{4CB55602-002D-4474-AC5E-8A32E888841F}" uniqueName="3" name="Level" queryTableFieldId="3"/>
    <tableColumn id="4" xr3:uid="{E4244A4C-3182-4FE4-9E8F-28FAC48F77FD}" uniqueName="4" name="Semester" queryTableFieldId="4"/>
    <tableColumn id="5" xr3:uid="{3712C1B9-BFA4-46D2-B43B-D65B7185B0C4}" uniqueName="5" name="Credits" queryTableFieldId="5"/>
    <tableColumn id="6" xr3:uid="{C5838A71-78CE-4A2E-8038-B30A6F31EC11}" uniqueName="6" name="Module Leader" queryTableFieldId="6"/>
    <tableColumn id="7" xr3:uid="{46AAAF28-BF97-42CC-97F4-C7F4BEBFF5AE}" uniqueName="7" name="Module Type" queryTableFieldId="7"/>
    <tableColumn id="8" xr3:uid="{2ED6C867-73DF-4214-AFBC-317ED730632E}" uniqueName="8" name="Total Contact Hours" queryTableFieldId="8"/>
    <tableColumn id="9" xr3:uid="{25BB7418-0B11-42DB-A484-2BA2572B9475}" uniqueName="9" name="Hours per Credit" queryTableFieldId="9"/>
  </tableColumns>
  <tableStyleInfo name="TableStyleMedium7"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8FC05FB-0B66-45E1-8428-910EF1DA5301}" name="PE_Hours_Wide" displayName="PE_Hours_Wide" ref="A1:N24" tableType="queryTable" totalsRowShown="0">
  <autoFilter ref="A1:N24" xr:uid="{88FC05FB-0B66-45E1-8428-910EF1DA5301}"/>
  <tableColumns count="14">
    <tableColumn id="1" xr3:uid="{838BAF88-EFEE-48D0-B32B-68D43F8A5738}" uniqueName="1" name="SourceWorkbook" queryTableFieldId="1" dataDxfId="20"/>
    <tableColumn id="2" xr3:uid="{15C33413-30EA-4AC8-A89A-DA2D0D5C6851}" uniqueName="2" name="TableName" queryTableFieldId="2"/>
    <tableColumn id="3" xr3:uid="{AD33DEB2-AC35-4AD7-9583-31307EC54294}" uniqueName="3" name="ModuleCode" queryTableFieldId="3"/>
    <tableColumn id="4" xr3:uid="{4FEF9255-F120-4806-9ACD-92AFBB0CE894}" uniqueName="4" name="ItemSuffix" queryTableFieldId="4"/>
    <tableColumn id="5" xr3:uid="{BF66AD85-2CDB-4702-AEC0-5F280D3B957F}" uniqueName="5" name="Programme" queryTableFieldId="5"/>
    <tableColumn id="6" xr3:uid="{8A38E867-D84C-436C-9A14-A13E0EDF2A79}" uniqueName="6" name="ProgCode" queryTableFieldId="6"/>
    <tableColumn id="7" xr3:uid="{560270F8-506F-43DE-AD81-315AA0F5E884}" uniqueName="7" name="ModuleTitle" queryTableFieldId="7" dataDxfId="19"/>
    <tableColumn id="8" xr3:uid="{E51CECBA-C3B1-4326-9D59-36C28736DE62}" uniqueName="8" name="Lecture" queryTableFieldId="8"/>
    <tableColumn id="9" xr3:uid="{85144449-8F8D-499F-B31A-28F715A3E172}" uniqueName="9" name="Seminar" queryTableFieldId="9"/>
    <tableColumn id="10" xr3:uid="{FE24AFE7-0509-4D1E-A0E4-B22F942A881E}" uniqueName="10" name="Practical" queryTableFieldId="10"/>
    <tableColumn id="11" xr3:uid="{147174CF-E410-4E19-9846-5523CA1A3BA8}" uniqueName="11" name="Workshop" queryTableFieldId="11"/>
    <tableColumn id="12" xr3:uid="{486C52C1-A12E-4F7E-A0B9-B8C59977D29A}" uniqueName="12" name="Online" queryTableFieldId="12"/>
    <tableColumn id="13" xr3:uid="{8AB654FF-B9AE-4551-8210-3A0C5BE3E912}" uniqueName="13" name="Total" queryTableFieldId="13"/>
    <tableColumn id="14" xr3:uid="{880956D4-3FB6-4A58-BC40-D578628399F1}" uniqueName="14" name="Online - synchronous" queryTableFieldId="14"/>
  </tableColumns>
  <tableStyleInfo name="TableStyleMedium7"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D32AC24-963A-4033-9350-B3B881EC1B0F}" name="PE_Meta_Wide" displayName="PE_Meta_Wide" ref="A1:O24" tableType="queryTable" totalsRowShown="0">
  <autoFilter ref="A1:O24" xr:uid="{3D32AC24-963A-4033-9350-B3B881EC1B0F}"/>
  <tableColumns count="15">
    <tableColumn id="1" xr3:uid="{97A43D92-6E4A-4859-83B6-B6AED2068C72}" uniqueName="1" name="SourceWorkbook" queryTableFieldId="1" dataDxfId="18"/>
    <tableColumn id="2" xr3:uid="{915CA6AE-5A9B-479E-A7E8-7EA1DA55C84D}" uniqueName="2" name="TableName" queryTableFieldId="2"/>
    <tableColumn id="3" xr3:uid="{29AEDA58-E717-4A3D-9317-215643CE9FC2}" uniqueName="3" name="ModuleCode" queryTableFieldId="3"/>
    <tableColumn id="4" xr3:uid="{EB2ED7BF-DACD-428D-9794-2E17F91A9E6B}" uniqueName="4" name="ItemSuffix" queryTableFieldId="4"/>
    <tableColumn id="5" xr3:uid="{B4E68AD5-E275-4DD3-93FB-76764D0E967D}" uniqueName="5" name="Programme" queryTableFieldId="5"/>
    <tableColumn id="6" xr3:uid="{8E0847A2-D9DF-49ED-8FE4-B0C9F70FE522}" uniqueName="6" name="ProgCode" queryTableFieldId="6"/>
    <tableColumn id="7" xr3:uid="{F889F7DE-B662-4F09-80CF-D29101344662}" uniqueName="7" name="ModuleTitle" queryTableFieldId="7" dataDxfId="17"/>
    <tableColumn id="8" xr3:uid="{9959BAC3-5AC4-43D4-8913-F956F10AE142}" uniqueName="8" name="Module Code" queryTableFieldId="8"/>
    <tableColumn id="9" xr3:uid="{029B26D3-DD92-400E-92BC-49EE996755C8}" uniqueName="9" name="Module Title" queryTableFieldId="9"/>
    <tableColumn id="10" xr3:uid="{8C7043FE-5653-4E6D-82F7-A9AB79BF55AF}" uniqueName="10" name="Credits" queryTableFieldId="10"/>
    <tableColumn id="11" xr3:uid="{B5774931-E75B-431B-BAFA-037CEB0078E1}" uniqueName="11" name="Semester" queryTableFieldId="11"/>
    <tableColumn id="12" xr3:uid="{43900776-5E6D-4C1A-900E-D1CFE07585F4}" uniqueName="12" name="Level" queryTableFieldId="12"/>
    <tableColumn id="13" xr3:uid="{AB5B2D19-D18A-4887-A251-06B812ED7580}" uniqueName="13" name="Module Leader" queryTableFieldId="13"/>
    <tableColumn id="14" xr3:uid="{59A0B8FD-EBCB-4B3E-85B9-770F5F804A76}" uniqueName="14" name="Module Type" queryTableFieldId="14"/>
    <tableColumn id="15" xr3:uid="{B09873B9-2901-4CAC-B95F-D53F3E2B3D9C}" uniqueName="15" name="Programme(s)" queryTableFieldId="15"/>
  </tableColumns>
  <tableStyleInfo name="TableStyleMedium7"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24BC514-9A5F-41C1-9685-6ACE67B68BE2}" name="PE_Mapping" displayName="PE_Mapping" ref="A1:K384" tableType="queryTable" totalsRowShown="0">
  <autoFilter ref="A1:K384" xr:uid="{124BC514-9A5F-41C1-9685-6ACE67B68BE2}"/>
  <tableColumns count="11">
    <tableColumn id="1" xr3:uid="{38CCF705-94AB-4E87-BD9E-00737E4A7970}" uniqueName="1" name="SourceWorkbook" queryTableFieldId="1" dataDxfId="1"/>
    <tableColumn id="2" xr3:uid="{5494ED00-00C3-4734-8CF4-496B237B602B}" uniqueName="2" name="TableName" queryTableFieldId="2"/>
    <tableColumn id="3" xr3:uid="{9C6FDF3A-07D2-4308-BDC8-E5C9FC71CA23}" uniqueName="3" name="Assessment No" queryTableFieldId="3"/>
    <tableColumn id="4" xr3:uid="{DC3AC258-35A0-4D96-93F3-5D7A51D4ABF9}" uniqueName="4" name="LO Number" queryTableFieldId="4"/>
    <tableColumn id="5" xr3:uid="{91C28552-B9F3-4ED9-8B2F-D85B37F932E0}" uniqueName="5" name="Graduate Skills Category" queryTableFieldId="5"/>
    <tableColumn id="6" xr3:uid="{BC71E5F4-0BDE-432F-967A-3F406600F8F3}" uniqueName="6" name="Graduate Skill" queryTableFieldId="6"/>
    <tableColumn id="7" xr3:uid="{95623ED2-DFE5-4C90-AE17-C130413CDB19}" uniqueName="7" name="ModuleCode" queryTableFieldId="7"/>
    <tableColumn id="8" xr3:uid="{1061D759-D6B6-431C-BB1A-8E2D33AF2E39}" uniqueName="8" name="ItemSuffix" queryTableFieldId="8"/>
    <tableColumn id="9" xr3:uid="{5A3DDA4C-0D65-43A3-8D42-0ED3D9AD9C9D}" uniqueName="9" name="Programme" queryTableFieldId="9"/>
    <tableColumn id="10" xr3:uid="{9F41ADAB-E26F-4A24-8243-85442165356E}" uniqueName="10" name="ProgCode" queryTableFieldId="10"/>
    <tableColumn id="11" xr3:uid="{05514F7A-CD9F-4529-8446-7793BE48F911}" uniqueName="11" name="ModuleTitle" queryTableFieldId="11" dataDxfId="0"/>
  </tableColumns>
  <tableStyleInfo name="TableStyleMedium7"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B1ED524-66BE-4444-A12A-DB4897B4559E}" name="PE_Hours" displayName="PE_Hours" ref="A1:I139" tableType="queryTable" totalsRowShown="0">
  <autoFilter ref="A1:I139" xr:uid="{0B1ED524-66BE-4444-A12A-DB4897B4559E}"/>
  <tableColumns count="9">
    <tableColumn id="1" xr3:uid="{4FB4069E-756E-4F27-950D-F886AFCECB16}" uniqueName="1" name="SourceWorkbook" queryTableFieldId="1" dataDxfId="16"/>
    <tableColumn id="2" xr3:uid="{2A21FF53-2CDE-411E-BC29-E6FF6ED03F4C}" uniqueName="2" name="TableName" queryTableFieldId="2"/>
    <tableColumn id="3" xr3:uid="{4B305901-DE3E-48D9-8B3E-F36E0065F15F}" uniqueName="3" name="Component" queryTableFieldId="3"/>
    <tableColumn id="4" xr3:uid="{B1286A8C-8895-4CCC-86B0-F53AD15DE4A9}" uniqueName="4" name="Contact Hours" queryTableFieldId="4"/>
    <tableColumn id="5" xr3:uid="{2E7E2535-6561-4C54-A6CB-F10DCBFAEF5A}" uniqueName="5" name="ModuleCode" queryTableFieldId="5"/>
    <tableColumn id="6" xr3:uid="{C7AEFD92-F527-4F1F-B7E8-44B221A95700}" uniqueName="6" name="ItemSuffix" queryTableFieldId="6"/>
    <tableColumn id="7" xr3:uid="{A2A13B3E-5CC4-4A59-BF65-0A9452C52DA6}" uniqueName="7" name="Programme" queryTableFieldId="7"/>
    <tableColumn id="8" xr3:uid="{FD68326F-86BB-422F-972B-DC38D8CAEADF}" uniqueName="8" name="ProgCode" queryTableFieldId="8"/>
    <tableColumn id="9" xr3:uid="{0A41531F-2A27-4FC2-95BE-0AFDD763BA5D}" uniqueName="9" name="ModuleTitle" queryTableFieldId="9" dataDxfId="15"/>
  </tableColumns>
  <tableStyleInfo name="TableStyleMedium7"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1F41030-F21A-4D4F-B94A-50242448F1B3}" name="PE_Assess" displayName="PE_Assess" ref="A1:M38" tableType="queryTable" totalsRowShown="0">
  <autoFilter ref="A1:M38" xr:uid="{D1F41030-F21A-4D4F-B94A-50242448F1B3}"/>
  <tableColumns count="13">
    <tableColumn id="1" xr3:uid="{126F6718-5ED1-4577-BF29-636C0D76F3F1}" uniqueName="1" name="SourceWorkbook" queryTableFieldId="1" dataDxfId="14"/>
    <tableColumn id="2" xr3:uid="{498CF625-87FB-4D0D-A337-D2EB8AC68FF2}" uniqueName="2" name="TableName" queryTableFieldId="2"/>
    <tableColumn id="3" xr3:uid="{98A0B3C8-EB55-44F2-86F0-E3894366CAC9}" uniqueName="3" name="Assessment No" queryTableFieldId="3"/>
    <tableColumn id="4" xr3:uid="{94A6D3E2-F98B-4991-A3B3-4D4B90067194}" uniqueName="4" name="Assessment Type" queryTableFieldId="4"/>
    <tableColumn id="5" xr3:uid="{6765DFC3-0892-4A3A-A613-8EF5E087ADED}" uniqueName="5" name="Assessment Specific" queryTableFieldId="5"/>
    <tableColumn id="6" xr3:uid="{87561AE2-3962-4A4A-A0CF-0339B769FB0A}" uniqueName="6" name="Assessment Description" queryTableFieldId="6"/>
    <tableColumn id="7" xr3:uid="{B290869A-0FC8-4223-BB00-4AFF222BE235}" uniqueName="7" name="Weighting" queryTableFieldId="7"/>
    <tableColumn id="8" xr3:uid="{93C5E293-9E8E-40CF-9CEC-205D000A3B8F}" uniqueName="8" name="Due Week" queryTableFieldId="8"/>
    <tableColumn id="9" xr3:uid="{EF5A8711-C7E3-4341-B795-EB5690F2DD18}" uniqueName="9" name="ModuleCode" queryTableFieldId="9"/>
    <tableColumn id="10" xr3:uid="{04CCB7B5-E7AF-4E5D-9F63-F13FF1C546E8}" uniqueName="10" name="ItemSuffix" queryTableFieldId="10"/>
    <tableColumn id="11" xr3:uid="{020D76CB-E511-464B-9F66-8889406C4038}" uniqueName="11" name="Programme" queryTableFieldId="11"/>
    <tableColumn id="12" xr3:uid="{24931619-A77B-4C63-B9DD-4EA86A2FF73E}" uniqueName="12" name="ProgCode" queryTableFieldId="12"/>
    <tableColumn id="13" xr3:uid="{719194FA-119B-4899-83BE-1AEF99EF4E57}" uniqueName="13" name="ModuleTitle" queryTableFieldId="13" dataDxfId="13"/>
  </tableColumns>
  <tableStyleInfo name="TableStyleMedium7"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787F26-496E-4882-A842-7EA8C8E76010}" name="PE_LO" displayName="PE_LO" ref="A1:I113" tableType="queryTable" totalsRowShown="0">
  <autoFilter ref="A1:I113" xr:uid="{89787F26-496E-4882-A842-7EA8C8E76010}"/>
  <tableColumns count="9">
    <tableColumn id="1" xr3:uid="{3687BDFC-04CF-45AE-8231-E7A70AC4C7C0}" uniqueName="1" name="SourceWorkbook" queryTableFieldId="1" dataDxfId="12"/>
    <tableColumn id="2" xr3:uid="{323A6C89-E7D2-481F-A3EF-D922FFA43E26}" uniqueName="2" name="TableName" queryTableFieldId="2"/>
    <tableColumn id="3" xr3:uid="{561F55B2-CB2C-4EBE-BFCD-AF6AFDD97C0B}" uniqueName="3" name="LO Number" queryTableFieldId="3"/>
    <tableColumn id="4" xr3:uid="{7FF246E9-9AFB-4494-8479-70A5E9C3A1B1}" uniqueName="4" name="LO Description" queryTableFieldId="4"/>
    <tableColumn id="5" xr3:uid="{7CBDFB02-D61D-4F01-A59C-BCA192CFB10B}" uniqueName="5" name="ModuleCode" queryTableFieldId="5"/>
    <tableColumn id="6" xr3:uid="{3DD5C5EB-F4F2-4313-9267-936D400CCE9C}" uniqueName="6" name="ItemSuffix" queryTableFieldId="6"/>
    <tableColumn id="7" xr3:uid="{DC8CC467-E78C-4ACC-9B26-8B02D08032A2}" uniqueName="7" name="Programme" queryTableFieldId="7"/>
    <tableColumn id="8" xr3:uid="{C2A53FF4-8D0C-4F4A-94BA-0010C1D638AB}" uniqueName="8" name="ProgCode" queryTableFieldId="8"/>
    <tableColumn id="9" xr3:uid="{09E012C1-E0F1-43C9-9AF7-513EDF4BB4FE}" uniqueName="9" name="ModuleTitle" queryTableFieldId="9" dataDxfId="11"/>
  </tableColumns>
  <tableStyleInfo name="TableStyleMedium7"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A799486-2174-4728-BF6D-C1283F0B79E4}" name="PE_Meta" displayName="PE_Meta" ref="A1:I185" tableType="queryTable" totalsRowShown="0">
  <autoFilter ref="A1:I185" xr:uid="{FA799486-2174-4728-BF6D-C1283F0B79E4}"/>
  <tableColumns count="9">
    <tableColumn id="1" xr3:uid="{38402AA3-9955-4B7C-BE90-06BF90B132F1}" uniqueName="1" name="SourceWorkbook" queryTableFieldId="1" dataDxfId="10"/>
    <tableColumn id="2" xr3:uid="{CFCDDE4A-D708-4507-A13B-FEF4110951E2}" uniqueName="2" name="TableName" queryTableFieldId="2"/>
    <tableColumn id="3" xr3:uid="{349BBE82-158E-4CD9-916A-DB351330182B}" uniqueName="3" name="Module Data" queryTableFieldId="3"/>
    <tableColumn id="4" xr3:uid="{94E5D649-1BBC-4D61-9852-94B520B086FD}" uniqueName="4" name="Details" queryTableFieldId="4"/>
    <tableColumn id="5" xr3:uid="{41750E6C-DAB1-4766-AE59-ED17BF046596}" uniqueName="5" name="ModuleCode" queryTableFieldId="5"/>
    <tableColumn id="6" xr3:uid="{9A4D7DBA-FB4B-4B6B-AC81-54483FDF1AA1}" uniqueName="6" name="ItemSuffix" queryTableFieldId="6"/>
    <tableColumn id="7" xr3:uid="{CA6677A8-284E-4E1F-BCCB-CB377FAD5E86}" uniqueName="7" name="Programme" queryTableFieldId="7"/>
    <tableColumn id="8" xr3:uid="{3C003C8D-C467-4EB1-9E51-21A9BA4C3663}" uniqueName="8" name="ProgCode" queryTableFieldId="8"/>
    <tableColumn id="9" xr3:uid="{F0E504B5-FBD3-4B48-B966-F4AA5AC7E9DC}" uniqueName="9" name="ModuleTitle" queryTableFieldId="9" dataDxfId="9"/>
  </tableColumns>
  <tableStyleInfo name="TableStyleMedium7"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8D849E-6EFC-4A5A-932B-B6AE93050561}" name="LISTS_Assess" displayName="LISTS_Assess" ref="G14:G28" totalsRowShown="0" headerRowDxfId="8" dataDxfId="7">
  <autoFilter ref="G14:G28" xr:uid="{A28D849E-6EFC-4A5A-932B-B6AE93050561}"/>
  <tableColumns count="1">
    <tableColumn id="1" xr3:uid="{F9243E19-CFCD-47CF-90F4-B3457FC6A715}" name="Assessment Specific" dataDxfId="6"/>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D39377-1E4D-4F11-AC33-A85FBA00A712}" name="LISTS_Table" displayName="LISTS_Table" ref="J19:K83" totalsRowShown="0" headerRowDxfId="5" dataDxfId="4">
  <autoFilter ref="J19:K83" xr:uid="{EBD39377-1E4D-4F11-AC33-A85FBA00A712}"/>
  <tableColumns count="2">
    <tableColumn id="1" xr3:uid="{88D4BEFB-0FE7-43D9-9144-A385F91AD367}" name="Category" dataDxfId="3"/>
    <tableColumn id="2" xr3:uid="{F16DBD3E-74AC-4DBC-9629-934DF2FB76A6}" name="Skill"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printerSettings" Target="../printerSettings/printerSettings2.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7.xml"/><Relationship Id="rId3" Type="http://schemas.openxmlformats.org/officeDocument/2006/relationships/table" Target="../tables/table32.xml"/><Relationship Id="rId7" Type="http://schemas.openxmlformats.org/officeDocument/2006/relationships/table" Target="../tables/table36.xml"/><Relationship Id="rId2" Type="http://schemas.openxmlformats.org/officeDocument/2006/relationships/table" Target="../tables/table31.xml"/><Relationship Id="rId1" Type="http://schemas.openxmlformats.org/officeDocument/2006/relationships/printerSettings" Target="../printerSettings/printerSettings4.bin"/><Relationship Id="rId6" Type="http://schemas.openxmlformats.org/officeDocument/2006/relationships/table" Target="../tables/table35.xml"/><Relationship Id="rId11" Type="http://schemas.openxmlformats.org/officeDocument/2006/relationships/table" Target="../tables/table40.xml"/><Relationship Id="rId5" Type="http://schemas.openxmlformats.org/officeDocument/2006/relationships/table" Target="../tables/table34.xml"/><Relationship Id="rId10" Type="http://schemas.openxmlformats.org/officeDocument/2006/relationships/table" Target="../tables/table39.xml"/><Relationship Id="rId4" Type="http://schemas.openxmlformats.org/officeDocument/2006/relationships/table" Target="../tables/table33.xml"/><Relationship Id="rId9" Type="http://schemas.openxmlformats.org/officeDocument/2006/relationships/table" Target="../tables/table3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7.xml"/><Relationship Id="rId3" Type="http://schemas.openxmlformats.org/officeDocument/2006/relationships/table" Target="../tables/table42.xml"/><Relationship Id="rId7" Type="http://schemas.openxmlformats.org/officeDocument/2006/relationships/table" Target="../tables/table46.xml"/><Relationship Id="rId2" Type="http://schemas.openxmlformats.org/officeDocument/2006/relationships/table" Target="../tables/table41.xml"/><Relationship Id="rId1" Type="http://schemas.openxmlformats.org/officeDocument/2006/relationships/printerSettings" Target="../printerSettings/printerSettings5.bin"/><Relationship Id="rId6" Type="http://schemas.openxmlformats.org/officeDocument/2006/relationships/table" Target="../tables/table45.xml"/><Relationship Id="rId11" Type="http://schemas.openxmlformats.org/officeDocument/2006/relationships/table" Target="../tables/table50.xml"/><Relationship Id="rId5" Type="http://schemas.openxmlformats.org/officeDocument/2006/relationships/table" Target="../tables/table44.xml"/><Relationship Id="rId10" Type="http://schemas.openxmlformats.org/officeDocument/2006/relationships/table" Target="../tables/table49.xml"/><Relationship Id="rId4" Type="http://schemas.openxmlformats.org/officeDocument/2006/relationships/table" Target="../tables/table43.xml"/><Relationship Id="rId9" Type="http://schemas.openxmlformats.org/officeDocument/2006/relationships/table" Target="../tables/table4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7.xml"/><Relationship Id="rId3" Type="http://schemas.openxmlformats.org/officeDocument/2006/relationships/table" Target="../tables/table52.xml"/><Relationship Id="rId7" Type="http://schemas.openxmlformats.org/officeDocument/2006/relationships/table" Target="../tables/table56.xml"/><Relationship Id="rId2" Type="http://schemas.openxmlformats.org/officeDocument/2006/relationships/table" Target="../tables/table51.xml"/><Relationship Id="rId1" Type="http://schemas.openxmlformats.org/officeDocument/2006/relationships/printerSettings" Target="../printerSettings/printerSettings6.bin"/><Relationship Id="rId6" Type="http://schemas.openxmlformats.org/officeDocument/2006/relationships/table" Target="../tables/table55.xml"/><Relationship Id="rId11" Type="http://schemas.openxmlformats.org/officeDocument/2006/relationships/table" Target="../tables/table60.xml"/><Relationship Id="rId5" Type="http://schemas.openxmlformats.org/officeDocument/2006/relationships/table" Target="../tables/table54.xml"/><Relationship Id="rId10" Type="http://schemas.openxmlformats.org/officeDocument/2006/relationships/table" Target="../tables/table59.xml"/><Relationship Id="rId4" Type="http://schemas.openxmlformats.org/officeDocument/2006/relationships/table" Target="../tables/table53.xml"/><Relationship Id="rId9" Type="http://schemas.openxmlformats.org/officeDocument/2006/relationships/table" Target="../tables/table5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7.xml"/><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printerSettings" Target="../printerSettings/printerSettings7.bin"/><Relationship Id="rId6" Type="http://schemas.openxmlformats.org/officeDocument/2006/relationships/table" Target="../tables/table65.xml"/><Relationship Id="rId11" Type="http://schemas.openxmlformats.org/officeDocument/2006/relationships/table" Target="../tables/table70.xml"/><Relationship Id="rId5" Type="http://schemas.openxmlformats.org/officeDocument/2006/relationships/table" Target="../tables/table64.xml"/><Relationship Id="rId10" Type="http://schemas.openxmlformats.org/officeDocument/2006/relationships/table" Target="../tables/table69.xml"/><Relationship Id="rId4" Type="http://schemas.openxmlformats.org/officeDocument/2006/relationships/table" Target="../tables/table63.xml"/><Relationship Id="rId9" Type="http://schemas.openxmlformats.org/officeDocument/2006/relationships/table" Target="../tables/table68.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7.xml"/><Relationship Id="rId3" Type="http://schemas.openxmlformats.org/officeDocument/2006/relationships/table" Target="../tables/table72.xml"/><Relationship Id="rId7" Type="http://schemas.openxmlformats.org/officeDocument/2006/relationships/table" Target="../tables/table76.xml"/><Relationship Id="rId2" Type="http://schemas.openxmlformats.org/officeDocument/2006/relationships/table" Target="../tables/table71.xml"/><Relationship Id="rId1" Type="http://schemas.openxmlformats.org/officeDocument/2006/relationships/printerSettings" Target="../printerSettings/printerSettings8.bin"/><Relationship Id="rId6" Type="http://schemas.openxmlformats.org/officeDocument/2006/relationships/table" Target="../tables/table75.xml"/><Relationship Id="rId11" Type="http://schemas.openxmlformats.org/officeDocument/2006/relationships/table" Target="../tables/table80.xml"/><Relationship Id="rId5" Type="http://schemas.openxmlformats.org/officeDocument/2006/relationships/table" Target="../tables/table74.xml"/><Relationship Id="rId10" Type="http://schemas.openxmlformats.org/officeDocument/2006/relationships/table" Target="../tables/table79.xml"/><Relationship Id="rId4" Type="http://schemas.openxmlformats.org/officeDocument/2006/relationships/table" Target="../tables/table73.xml"/><Relationship Id="rId9" Type="http://schemas.openxmlformats.org/officeDocument/2006/relationships/table" Target="../tables/table7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91.xml"/><Relationship Id="rId1" Type="http://schemas.openxmlformats.org/officeDocument/2006/relationships/table" Target="../tables/table9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D139-4EE0-4CD6-B60A-E51D5ED74DE8}">
  <sheetPr codeName="Sheet1"/>
  <dimension ref="B2:V94"/>
  <sheetViews>
    <sheetView showGridLines="0" topLeftCell="A19" zoomScale="85" zoomScaleNormal="85" workbookViewId="0">
      <selection activeCell="E20" sqref="E20"/>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19" t="str">
        <f>D7</f>
        <v>4201SPS</v>
      </c>
      <c r="D2" s="19" t="str">
        <f>D8</f>
        <v xml:space="preserve">Professional Practice in Physical Education </v>
      </c>
    </row>
    <row r="3" spans="2:6" x14ac:dyDescent="0.25">
      <c r="B3" s="20"/>
      <c r="C3" s="20"/>
    </row>
    <row r="4" spans="2:6" x14ac:dyDescent="0.25">
      <c r="B4" s="21"/>
      <c r="C4" s="21"/>
    </row>
    <row r="5" spans="2:6" ht="18.75" x14ac:dyDescent="0.25">
      <c r="B5" s="21"/>
      <c r="C5" s="22" t="s">
        <v>0</v>
      </c>
    </row>
    <row r="6" spans="2:6" x14ac:dyDescent="0.25">
      <c r="B6" s="21"/>
      <c r="C6" s="23" t="s">
        <v>1</v>
      </c>
      <c r="D6" s="24" t="s">
        <v>2</v>
      </c>
      <c r="E6" s="24"/>
      <c r="F6" t="s">
        <v>3</v>
      </c>
    </row>
    <row r="7" spans="2:6" x14ac:dyDescent="0.25">
      <c r="B7" s="21"/>
      <c r="C7" s="28" t="s">
        <v>4</v>
      </c>
      <c r="D7" s="1" t="s">
        <v>5</v>
      </c>
      <c r="E7" s="24"/>
      <c r="F7" s="4"/>
    </row>
    <row r="8" spans="2:6" ht="45" x14ac:dyDescent="0.25">
      <c r="B8" s="21"/>
      <c r="C8" s="28" t="s">
        <v>6</v>
      </c>
      <c r="D8" s="1" t="s">
        <v>7</v>
      </c>
      <c r="E8" s="24"/>
      <c r="F8" s="11" t="s">
        <v>8</v>
      </c>
    </row>
    <row r="9" spans="2:6" x14ac:dyDescent="0.25">
      <c r="C9" s="28" t="s">
        <v>9</v>
      </c>
      <c r="D9" s="1">
        <v>20</v>
      </c>
      <c r="E9" s="24"/>
    </row>
    <row r="10" spans="2:6" x14ac:dyDescent="0.25">
      <c r="C10" s="28" t="s">
        <v>10</v>
      </c>
      <c r="D10" s="1">
        <v>1</v>
      </c>
      <c r="E10" s="24"/>
      <c r="F10" t="s">
        <v>11</v>
      </c>
    </row>
    <row r="11" spans="2:6" x14ac:dyDescent="0.25">
      <c r="C11" s="28" t="s">
        <v>12</v>
      </c>
      <c r="D11" s="1">
        <v>4</v>
      </c>
      <c r="E11" s="24"/>
      <c r="F11" s="4" t="s">
        <v>13</v>
      </c>
    </row>
    <row r="12" spans="2:6" x14ac:dyDescent="0.25">
      <c r="C12" s="28" t="s">
        <v>14</v>
      </c>
      <c r="D12" s="1" t="s">
        <v>15</v>
      </c>
      <c r="E12" s="24"/>
      <c r="F12" s="4" t="s">
        <v>16</v>
      </c>
    </row>
    <row r="13" spans="2:6" ht="405" x14ac:dyDescent="0.25">
      <c r="C13" s="28" t="s">
        <v>17</v>
      </c>
      <c r="D13" s="1" t="s">
        <v>18</v>
      </c>
      <c r="E13" s="24"/>
      <c r="F13" s="7" t="s">
        <v>19</v>
      </c>
    </row>
    <row r="14" spans="2:6" x14ac:dyDescent="0.25">
      <c r="C14" s="28" t="s">
        <v>20</v>
      </c>
      <c r="D14" s="1" t="s">
        <v>21</v>
      </c>
      <c r="E14" s="24"/>
    </row>
    <row r="15" spans="2:6" x14ac:dyDescent="0.25">
      <c r="C15" s="23"/>
      <c r="D15" s="24"/>
      <c r="E15" s="24"/>
      <c r="F15" t="s">
        <v>22</v>
      </c>
    </row>
    <row r="16" spans="2:6" ht="255" x14ac:dyDescent="0.25">
      <c r="C16" s="23"/>
      <c r="D16" s="24"/>
      <c r="E16" s="24"/>
      <c r="F16" s="11" t="s">
        <v>23</v>
      </c>
    </row>
    <row r="17" spans="3:22" ht="105" x14ac:dyDescent="0.25">
      <c r="C17" s="22" t="s">
        <v>24</v>
      </c>
      <c r="D17" s="24"/>
      <c r="E17" s="24"/>
      <c r="F17" s="11" t="s">
        <v>25</v>
      </c>
    </row>
    <row r="18" spans="3:22" ht="135" x14ac:dyDescent="0.25">
      <c r="C18" s="23" t="s">
        <v>26</v>
      </c>
      <c r="D18" s="20" t="s">
        <v>24</v>
      </c>
      <c r="E18" s="24"/>
      <c r="F18" s="11" t="s">
        <v>27</v>
      </c>
    </row>
    <row r="19" spans="3:22" ht="210" x14ac:dyDescent="0.25">
      <c r="C19" s="28" t="s">
        <v>28</v>
      </c>
      <c r="D19" s="2">
        <v>20</v>
      </c>
      <c r="E19" s="24"/>
      <c r="F19" s="7" t="s">
        <v>29</v>
      </c>
    </row>
    <row r="20" spans="3:22" ht="195" x14ac:dyDescent="0.25">
      <c r="C20" s="28" t="s">
        <v>30</v>
      </c>
      <c r="D20" s="2"/>
      <c r="E20" s="24"/>
      <c r="F20" s="7" t="s">
        <v>31</v>
      </c>
      <c r="G20" s="79"/>
      <c r="H20" s="79"/>
      <c r="I20" s="79"/>
      <c r="J20" s="79"/>
      <c r="K20" s="79"/>
      <c r="L20" s="79"/>
      <c r="M20" s="79"/>
      <c r="N20" s="79"/>
      <c r="O20" s="79"/>
      <c r="P20" s="79"/>
      <c r="Q20" s="79"/>
      <c r="R20" s="79"/>
      <c r="S20" s="79"/>
      <c r="T20" s="79"/>
      <c r="U20" s="79"/>
      <c r="V20" s="79"/>
    </row>
    <row r="21" spans="3:22" x14ac:dyDescent="0.25">
      <c r="C21" s="28" t="s">
        <v>32</v>
      </c>
      <c r="D21" s="2">
        <v>10</v>
      </c>
      <c r="E21" s="24"/>
    </row>
    <row r="22" spans="3:22" x14ac:dyDescent="0.25">
      <c r="C22" s="28" t="s">
        <v>33</v>
      </c>
      <c r="D22" s="2">
        <v>10</v>
      </c>
      <c r="E22" s="24"/>
      <c r="F22" t="s">
        <v>34</v>
      </c>
    </row>
    <row r="23" spans="3:22" x14ac:dyDescent="0.25">
      <c r="C23" s="28" t="s">
        <v>35</v>
      </c>
      <c r="D23" s="2"/>
      <c r="E23" s="24"/>
      <c r="F23" s="4" t="s">
        <v>36</v>
      </c>
    </row>
    <row r="24" spans="3:22" ht="15.75" x14ac:dyDescent="0.25">
      <c r="C24" s="28" t="s">
        <v>37</v>
      </c>
      <c r="D24" s="20">
        <f>SUM(D19:D23)</f>
        <v>40</v>
      </c>
      <c r="E24" s="24"/>
      <c r="F24" s="76"/>
    </row>
    <row r="25" spans="3:22" ht="15.75" x14ac:dyDescent="0.25">
      <c r="F25" s="77" t="s">
        <v>38</v>
      </c>
    </row>
    <row r="26" spans="3:22" ht="15.75" x14ac:dyDescent="0.25">
      <c r="F26" s="78"/>
    </row>
    <row r="27" spans="3:22" ht="18.75" x14ac:dyDescent="0.25">
      <c r="C27" s="22" t="s">
        <v>39</v>
      </c>
      <c r="D27" s="25" t="s">
        <v>40</v>
      </c>
      <c r="F27" s="78" t="s">
        <v>38</v>
      </c>
    </row>
    <row r="28" spans="3:22" ht="15.75" x14ac:dyDescent="0.25">
      <c r="C28" s="23" t="s">
        <v>41</v>
      </c>
      <c r="D28" s="23" t="s">
        <v>42</v>
      </c>
      <c r="E28" s="23"/>
      <c r="F28" s="77"/>
    </row>
    <row r="29" spans="3:22" ht="45" x14ac:dyDescent="0.25">
      <c r="C29" s="28" t="s">
        <v>43</v>
      </c>
      <c r="D29" s="1" t="s">
        <v>44</v>
      </c>
      <c r="E29" s="24"/>
      <c r="F29" s="77"/>
    </row>
    <row r="30" spans="3:22" ht="45" x14ac:dyDescent="0.25">
      <c r="C30" s="28" t="s">
        <v>45</v>
      </c>
      <c r="D30" s="1" t="s">
        <v>46</v>
      </c>
      <c r="E30" s="24"/>
      <c r="F30" s="77"/>
    </row>
    <row r="31" spans="3:22" ht="30" x14ac:dyDescent="0.25">
      <c r="C31" s="28" t="s">
        <v>47</v>
      </c>
      <c r="D31" s="1" t="s">
        <v>48</v>
      </c>
      <c r="E31" s="24"/>
      <c r="F31" s="77"/>
    </row>
    <row r="32" spans="3:22" x14ac:dyDescent="0.25">
      <c r="C32" s="28" t="s">
        <v>49</v>
      </c>
      <c r="D32" s="1"/>
      <c r="E32" s="24"/>
      <c r="F32" s="4"/>
    </row>
    <row r="33" spans="3:8" x14ac:dyDescent="0.25">
      <c r="C33" s="28" t="s">
        <v>50</v>
      </c>
      <c r="D33" s="1"/>
      <c r="E33" s="24"/>
      <c r="F33" s="4"/>
    </row>
    <row r="36" spans="3:8" ht="18.75" x14ac:dyDescent="0.25">
      <c r="C36" s="22" t="s">
        <v>51</v>
      </c>
    </row>
    <row r="37" spans="3:8" x14ac:dyDescent="0.25">
      <c r="C37" s="23" t="s">
        <v>52</v>
      </c>
      <c r="D37" s="23" t="s">
        <v>53</v>
      </c>
      <c r="E37" s="23" t="s">
        <v>54</v>
      </c>
      <c r="F37" s="23" t="s">
        <v>55</v>
      </c>
      <c r="G37" s="23" t="s">
        <v>56</v>
      </c>
      <c r="H37" s="23" t="s">
        <v>57</v>
      </c>
    </row>
    <row r="38" spans="3:8" ht="75" x14ac:dyDescent="0.25">
      <c r="C38" s="28" t="s">
        <v>58</v>
      </c>
      <c r="D38" s="1" t="s">
        <v>59</v>
      </c>
      <c r="E38" s="1" t="s">
        <v>60</v>
      </c>
      <c r="F38" s="1" t="s">
        <v>61</v>
      </c>
      <c r="G38" s="3">
        <v>1</v>
      </c>
      <c r="H38" s="1">
        <v>12</v>
      </c>
    </row>
    <row r="39" spans="3:8" x14ac:dyDescent="0.25">
      <c r="C39" s="28" t="s">
        <v>62</v>
      </c>
      <c r="D39" s="1"/>
      <c r="E39" s="1"/>
      <c r="F39" s="1"/>
      <c r="G39" s="3"/>
      <c r="H39" s="1"/>
    </row>
    <row r="40" spans="3:8" x14ac:dyDescent="0.25">
      <c r="C40" s="28" t="s">
        <v>63</v>
      </c>
      <c r="D40" s="4"/>
      <c r="E40" s="4"/>
      <c r="F40" s="4"/>
      <c r="G40" s="4"/>
      <c r="H40" s="4"/>
    </row>
    <row r="41" spans="3:8" x14ac:dyDescent="0.25">
      <c r="C41" s="28" t="s">
        <v>64</v>
      </c>
      <c r="D41" s="4"/>
      <c r="E41" s="4"/>
      <c r="F41" s="4"/>
      <c r="G41" s="4"/>
      <c r="H41" s="4"/>
    </row>
    <row r="42" spans="3:8" x14ac:dyDescent="0.25">
      <c r="C42" s="23"/>
    </row>
    <row r="44" spans="3:8" ht="18.75" x14ac:dyDescent="0.25">
      <c r="C44" s="22" t="s">
        <v>65</v>
      </c>
      <c r="D44" s="25"/>
    </row>
    <row r="45" spans="3:8" x14ac:dyDescent="0.25">
      <c r="C45" s="20" t="s">
        <v>52</v>
      </c>
      <c r="D45" s="20" t="s">
        <v>41</v>
      </c>
      <c r="E45" s="20" t="s">
        <v>66</v>
      </c>
      <c r="F45" s="20" t="s">
        <v>67</v>
      </c>
    </row>
    <row r="46" spans="3:8" x14ac:dyDescent="0.25">
      <c r="C46" s="5" t="s">
        <v>58</v>
      </c>
      <c r="D46" s="4" t="s">
        <v>43</v>
      </c>
      <c r="E46" s="4" t="s">
        <v>68</v>
      </c>
      <c r="F46" s="4" t="s">
        <v>69</v>
      </c>
    </row>
    <row r="47" spans="3:8" x14ac:dyDescent="0.25">
      <c r="C47" s="5" t="s">
        <v>58</v>
      </c>
      <c r="D47" s="4" t="s">
        <v>43</v>
      </c>
      <c r="E47" s="4" t="s">
        <v>70</v>
      </c>
      <c r="F47" s="4" t="s">
        <v>71</v>
      </c>
    </row>
    <row r="48" spans="3:8" x14ac:dyDescent="0.25">
      <c r="C48" s="5" t="s">
        <v>58</v>
      </c>
      <c r="D48" s="4" t="s">
        <v>45</v>
      </c>
      <c r="E48" s="4" t="s">
        <v>72</v>
      </c>
      <c r="F48" s="4" t="s">
        <v>73</v>
      </c>
    </row>
    <row r="49" spans="3:6" x14ac:dyDescent="0.25">
      <c r="C49" s="5" t="s">
        <v>58</v>
      </c>
      <c r="D49" s="4" t="s">
        <v>47</v>
      </c>
      <c r="E49" s="4" t="s">
        <v>74</v>
      </c>
      <c r="F49" s="4" t="s">
        <v>75</v>
      </c>
    </row>
    <row r="50" spans="3:6" x14ac:dyDescent="0.25">
      <c r="C50" s="5" t="s">
        <v>58</v>
      </c>
      <c r="D50" s="4" t="s">
        <v>47</v>
      </c>
      <c r="E50" s="4" t="s">
        <v>74</v>
      </c>
      <c r="F50" s="4" t="s">
        <v>76</v>
      </c>
    </row>
    <row r="51" spans="3:6" x14ac:dyDescent="0.25">
      <c r="C51" s="5" t="s">
        <v>58</v>
      </c>
      <c r="D51" s="4"/>
      <c r="E51" s="4"/>
      <c r="F51" s="4"/>
    </row>
    <row r="52" spans="3:6" x14ac:dyDescent="0.25">
      <c r="C52" s="5" t="s">
        <v>58</v>
      </c>
      <c r="D52" s="4"/>
      <c r="E52" s="4"/>
      <c r="F52" s="4"/>
    </row>
    <row r="53" spans="3:6" x14ac:dyDescent="0.25">
      <c r="C53" s="5" t="s">
        <v>63</v>
      </c>
      <c r="D53" s="4"/>
      <c r="E53" s="4"/>
      <c r="F53" s="4"/>
    </row>
    <row r="54" spans="3:6" x14ac:dyDescent="0.25">
      <c r="C54" s="5" t="s">
        <v>63</v>
      </c>
      <c r="D54" s="4"/>
      <c r="E54" s="4"/>
      <c r="F54" s="4"/>
    </row>
    <row r="55" spans="3:6" x14ac:dyDescent="0.25">
      <c r="C55" s="5" t="s">
        <v>64</v>
      </c>
      <c r="D55" s="4"/>
      <c r="E55" s="4"/>
      <c r="F55" s="4"/>
    </row>
    <row r="56" spans="3:6" x14ac:dyDescent="0.25">
      <c r="C56" s="5" t="s">
        <v>64</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22" t="s">
        <v>77</v>
      </c>
    </row>
    <row r="70" spans="2:6" x14ac:dyDescent="0.25">
      <c r="B70" t="s">
        <v>78</v>
      </c>
      <c r="C70" s="20" t="s">
        <v>79</v>
      </c>
      <c r="D70" s="20" t="s">
        <v>80</v>
      </c>
      <c r="E70" s="20" t="s">
        <v>81</v>
      </c>
      <c r="F70" s="20" t="s">
        <v>82</v>
      </c>
    </row>
    <row r="71" spans="2:6" x14ac:dyDescent="0.25">
      <c r="B71" s="29">
        <v>1</v>
      </c>
      <c r="C71" s="30">
        <v>1</v>
      </c>
      <c r="D71" s="1" t="s">
        <v>83</v>
      </c>
      <c r="E71" s="1" t="s">
        <v>84</v>
      </c>
      <c r="F71" s="1" t="s">
        <v>85</v>
      </c>
    </row>
    <row r="72" spans="2:6" ht="30" x14ac:dyDescent="0.25">
      <c r="B72" s="29">
        <v>1</v>
      </c>
      <c r="C72" s="30">
        <v>2</v>
      </c>
      <c r="D72" s="11" t="s">
        <v>86</v>
      </c>
      <c r="E72" s="1" t="s">
        <v>87</v>
      </c>
      <c r="F72" s="1" t="s">
        <v>85</v>
      </c>
    </row>
    <row r="73" spans="2:6" ht="30" x14ac:dyDescent="0.25">
      <c r="B73" s="29">
        <v>1</v>
      </c>
      <c r="C73" s="30">
        <v>3</v>
      </c>
      <c r="D73" s="11" t="s">
        <v>88</v>
      </c>
      <c r="E73" s="1" t="s">
        <v>87</v>
      </c>
      <c r="F73" s="1" t="s">
        <v>85</v>
      </c>
    </row>
    <row r="74" spans="2:6" ht="30" x14ac:dyDescent="0.25">
      <c r="B74" s="29">
        <v>1</v>
      </c>
      <c r="C74" s="30">
        <v>4</v>
      </c>
      <c r="D74" s="11" t="s">
        <v>89</v>
      </c>
      <c r="E74" s="10" t="s">
        <v>90</v>
      </c>
      <c r="F74" s="1" t="s">
        <v>85</v>
      </c>
    </row>
    <row r="75" spans="2:6" ht="30" x14ac:dyDescent="0.25">
      <c r="B75" s="29">
        <v>1</v>
      </c>
      <c r="C75" s="30">
        <v>5</v>
      </c>
      <c r="D75" s="11" t="s">
        <v>91</v>
      </c>
      <c r="E75" s="11" t="s">
        <v>92</v>
      </c>
      <c r="F75" s="1" t="s">
        <v>93</v>
      </c>
    </row>
    <row r="76" spans="2:6" ht="30" x14ac:dyDescent="0.25">
      <c r="B76" s="29">
        <v>1</v>
      </c>
      <c r="C76" s="30">
        <v>6</v>
      </c>
      <c r="D76" s="1" t="s">
        <v>94</v>
      </c>
      <c r="E76" s="1" t="s">
        <v>95</v>
      </c>
      <c r="F76" s="1" t="s">
        <v>96</v>
      </c>
    </row>
    <row r="77" spans="2:6" x14ac:dyDescent="0.25">
      <c r="B77" s="29">
        <v>1</v>
      </c>
      <c r="C77" s="30">
        <v>7</v>
      </c>
      <c r="D77" s="1"/>
      <c r="E77" s="1"/>
      <c r="F77" s="1"/>
    </row>
    <row r="78" spans="2:6" ht="30" x14ac:dyDescent="0.25">
      <c r="B78" s="29">
        <v>1</v>
      </c>
      <c r="C78" s="30">
        <v>8</v>
      </c>
      <c r="D78" s="1" t="s">
        <v>94</v>
      </c>
      <c r="E78" s="1" t="s">
        <v>95</v>
      </c>
      <c r="F78" s="1" t="s">
        <v>96</v>
      </c>
    </row>
    <row r="79" spans="2:6" x14ac:dyDescent="0.25">
      <c r="B79" s="29">
        <v>1</v>
      </c>
      <c r="C79" s="30">
        <v>9</v>
      </c>
      <c r="D79" s="1" t="s">
        <v>97</v>
      </c>
      <c r="E79" s="1" t="s">
        <v>98</v>
      </c>
      <c r="F79" s="1" t="s">
        <v>96</v>
      </c>
    </row>
    <row r="80" spans="2:6" x14ac:dyDescent="0.25">
      <c r="B80" s="29">
        <v>1</v>
      </c>
      <c r="C80" s="30">
        <v>10</v>
      </c>
      <c r="D80" s="10" t="s">
        <v>99</v>
      </c>
      <c r="E80" s="1" t="s">
        <v>100</v>
      </c>
      <c r="F80" s="1" t="s">
        <v>93</v>
      </c>
    </row>
    <row r="81" spans="2:6" ht="30" x14ac:dyDescent="0.25">
      <c r="B81" s="29">
        <v>1</v>
      </c>
      <c r="C81" s="30">
        <v>11</v>
      </c>
      <c r="D81" s="1" t="s">
        <v>101</v>
      </c>
      <c r="E81" s="1" t="s">
        <v>100</v>
      </c>
      <c r="F81" s="1" t="s">
        <v>93</v>
      </c>
    </row>
    <row r="82" spans="2:6" x14ac:dyDescent="0.25">
      <c r="B82" s="29">
        <v>1</v>
      </c>
      <c r="C82" s="30">
        <v>12</v>
      </c>
      <c r="D82" s="1" t="s">
        <v>102</v>
      </c>
      <c r="E82" s="1" t="s">
        <v>100</v>
      </c>
      <c r="F82" s="1" t="s">
        <v>103</v>
      </c>
    </row>
    <row r="83" spans="2:6" x14ac:dyDescent="0.25">
      <c r="B83" s="29">
        <v>2</v>
      </c>
      <c r="C83" s="30">
        <v>1</v>
      </c>
      <c r="D83" s="1"/>
      <c r="E83" s="1"/>
      <c r="F83" s="1"/>
    </row>
    <row r="84" spans="2:6" x14ac:dyDescent="0.25">
      <c r="B84" s="29">
        <v>2</v>
      </c>
      <c r="C84" s="30">
        <v>2</v>
      </c>
      <c r="D84" s="1"/>
      <c r="E84" s="1"/>
      <c r="F84" s="1"/>
    </row>
    <row r="85" spans="2:6" x14ac:dyDescent="0.25">
      <c r="B85" s="29">
        <v>2</v>
      </c>
      <c r="C85" s="30">
        <v>3</v>
      </c>
      <c r="D85" s="1"/>
      <c r="E85" s="1"/>
      <c r="F85" s="1"/>
    </row>
    <row r="86" spans="2:6" x14ac:dyDescent="0.25">
      <c r="B86" s="29">
        <v>2</v>
      </c>
      <c r="C86" s="30">
        <v>4</v>
      </c>
      <c r="D86" s="1"/>
      <c r="E86" s="1"/>
      <c r="F86" s="1"/>
    </row>
    <row r="87" spans="2:6" x14ac:dyDescent="0.25">
      <c r="B87" s="29">
        <v>2</v>
      </c>
      <c r="C87" s="30">
        <v>5</v>
      </c>
      <c r="D87" s="1"/>
      <c r="E87" s="1"/>
      <c r="F87" s="1"/>
    </row>
    <row r="88" spans="2:6" x14ac:dyDescent="0.25">
      <c r="B88" s="29">
        <v>2</v>
      </c>
      <c r="C88" s="30">
        <v>6</v>
      </c>
      <c r="D88" s="1"/>
      <c r="E88" s="1"/>
      <c r="F88" s="1"/>
    </row>
    <row r="89" spans="2:6" x14ac:dyDescent="0.25">
      <c r="B89" s="29">
        <v>2</v>
      </c>
      <c r="C89" s="30">
        <v>7</v>
      </c>
      <c r="D89" s="1"/>
      <c r="E89" s="1"/>
      <c r="F89" s="1"/>
    </row>
    <row r="90" spans="2:6" x14ac:dyDescent="0.25">
      <c r="B90" s="29">
        <v>2</v>
      </c>
      <c r="C90" s="30">
        <v>8</v>
      </c>
      <c r="D90" s="1"/>
      <c r="E90" s="1"/>
      <c r="F90" s="1"/>
    </row>
    <row r="91" spans="2:6" x14ac:dyDescent="0.25">
      <c r="B91" s="29">
        <v>2</v>
      </c>
      <c r="C91" s="30">
        <v>9</v>
      </c>
      <c r="D91" s="1"/>
      <c r="E91" s="1"/>
      <c r="F91" s="1"/>
    </row>
    <row r="92" spans="2:6" x14ac:dyDescent="0.25">
      <c r="B92" s="29">
        <v>2</v>
      </c>
      <c r="C92" s="30">
        <v>10</v>
      </c>
      <c r="D92" s="1"/>
      <c r="E92" s="1"/>
      <c r="F92" s="1"/>
    </row>
    <row r="93" spans="2:6" x14ac:dyDescent="0.25">
      <c r="B93" s="29">
        <v>2</v>
      </c>
      <c r="C93" s="30">
        <v>11</v>
      </c>
      <c r="D93" s="1"/>
      <c r="E93" s="1"/>
      <c r="F93" s="1"/>
    </row>
    <row r="94" spans="2:6" x14ac:dyDescent="0.25">
      <c r="B94" s="29">
        <v>2</v>
      </c>
      <c r="C94" s="30">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4CD06D9F-B01B-4457-970D-A06930C54E93}">
      <formula1>0</formula1>
      <formula2>80</formula2>
    </dataValidation>
    <dataValidation type="whole" showInputMessage="1" showErrorMessage="1" error="This is not a realistic number of contact hours please change" sqref="D19" xr:uid="{63F672F2-9C2D-49E0-B21F-66A62EA27310}">
      <formula1>0</formula1>
      <formula2>80</formula2>
    </dataValidation>
    <dataValidation type="list" allowBlank="1" showInputMessage="1" showErrorMessage="1" sqref="E38:E41" xr:uid="{DFA2EEE3-AB9D-4F7C-8E30-3C3C00872C8A}">
      <formula1>INDIRECT("LISTAssess[Assessment Specific]")</formula1>
    </dataValidation>
    <dataValidation type="list" allowBlank="1" showInputMessage="1" showErrorMessage="1" sqref="F46:F66" xr:uid="{BD0B3AD5-4A05-466E-9EAF-E466604786A1}">
      <formula1>INDIRECT(VLOOKUP($E46, SkillNameMap, 2, FALSE))</formula1>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9735843-EE1A-45FF-B467-A90D5F8EC861}">
          <x14:formula1>
            <xm:f>LISTS!$C$26:$C$37</xm:f>
          </x14:formula1>
          <xm:sqref>D14</xm:sqref>
        </x14:dataValidation>
        <x14:dataValidation type="list" allowBlank="1" showInputMessage="1" showErrorMessage="1" xr:uid="{681495C4-F231-4E60-A408-2A29AE659913}">
          <x14:formula1>
            <xm:f>LISTS!$C$17:$C$22</xm:f>
          </x14:formula1>
          <xm:sqref>D13</xm:sqref>
        </x14:dataValidation>
        <x14:dataValidation type="list" allowBlank="1" showInputMessage="1" showErrorMessage="1" xr:uid="{F64EA1C2-314E-47D2-98EB-EB9128A71684}">
          <x14:formula1>
            <xm:f>LISTS!$C$7:$C$9</xm:f>
          </x14:formula1>
          <xm:sqref>D10</xm:sqref>
        </x14:dataValidation>
        <x14:dataValidation type="list" allowBlank="1" showInputMessage="1" showErrorMessage="1" xr:uid="{983858DF-F117-4ABC-BB76-AC82A216171D}">
          <x14:formula1>
            <xm:f>LISTS!$C$11:$C$15</xm:f>
          </x14:formula1>
          <xm:sqref>D11</xm:sqref>
        </x14:dataValidation>
        <x14:dataValidation type="list" allowBlank="1" showInputMessage="1" showErrorMessage="1" xr:uid="{20095D0C-07FE-4EE7-BFEC-317D253839B4}">
          <x14:formula1>
            <xm:f>LISTS!$G$7:$G$11</xm:f>
          </x14:formula1>
          <xm:sqref>D38:D42</xm:sqref>
        </x14:dataValidation>
        <x14:dataValidation type="list" allowBlank="1" showInputMessage="1" showErrorMessage="1" xr:uid="{1AB77DFB-5427-40D4-BAEB-24C786FA7A86}">
          <x14:formula1>
            <xm:f>LISTS!$E$7:$E$11</xm:f>
          </x14:formula1>
          <xm:sqref>D46:D66</xm:sqref>
        </x14:dataValidation>
        <x14:dataValidation type="list" allowBlank="1" showInputMessage="1" showErrorMessage="1" xr:uid="{EB948922-0A22-4BD6-8094-4C6953146F85}">
          <x14:formula1>
            <xm:f>LISTS!$J$7:$J$16</xm:f>
          </x14:formula1>
          <xm:sqref>E46:E66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7D3E-176C-4A98-919A-BC8974D66F1E}">
  <sheetPr codeName="Sheet4"/>
  <dimension ref="B2:H94"/>
  <sheetViews>
    <sheetView showGridLines="0" topLeftCell="E13" zoomScale="85" zoomScaleNormal="85" workbookViewId="0">
      <selection activeCell="D35" sqref="D35"/>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19" t="str">
        <f>D7</f>
        <v>5201SPS</v>
      </c>
      <c r="D2" s="19" t="str">
        <f>D8</f>
        <v>Professional Practice in PE 2</v>
      </c>
    </row>
    <row r="3" spans="2:6" x14ac:dyDescent="0.25">
      <c r="B3" s="20"/>
      <c r="C3" s="20"/>
    </row>
    <row r="4" spans="2:6" x14ac:dyDescent="0.25">
      <c r="B4" s="21"/>
      <c r="C4" s="21"/>
    </row>
    <row r="5" spans="2:6" ht="18.75" x14ac:dyDescent="0.25">
      <c r="B5" s="21"/>
      <c r="C5" s="22" t="s">
        <v>0</v>
      </c>
    </row>
    <row r="6" spans="2:6" x14ac:dyDescent="0.25">
      <c r="B6" s="21"/>
      <c r="C6" s="23" t="s">
        <v>1</v>
      </c>
      <c r="D6" s="24" t="s">
        <v>2</v>
      </c>
      <c r="E6" s="24"/>
      <c r="F6" t="s">
        <v>3</v>
      </c>
    </row>
    <row r="7" spans="2:6" x14ac:dyDescent="0.25">
      <c r="B7" s="21"/>
      <c r="C7" s="28" t="s">
        <v>4</v>
      </c>
      <c r="D7" s="1" t="s">
        <v>104</v>
      </c>
      <c r="E7" s="24"/>
      <c r="F7" s="4"/>
    </row>
    <row r="8" spans="2:6" ht="45" x14ac:dyDescent="0.25">
      <c r="B8" s="21"/>
      <c r="C8" s="28" t="s">
        <v>6</v>
      </c>
      <c r="D8" s="1" t="s">
        <v>105</v>
      </c>
      <c r="E8" s="24"/>
      <c r="F8" s="12" t="s">
        <v>106</v>
      </c>
    </row>
    <row r="9" spans="2:6" x14ac:dyDescent="0.25">
      <c r="C9" s="28" t="s">
        <v>9</v>
      </c>
      <c r="D9" s="1">
        <v>20</v>
      </c>
      <c r="E9" s="24"/>
    </row>
    <row r="10" spans="2:6" x14ac:dyDescent="0.25">
      <c r="C10" s="28" t="s">
        <v>10</v>
      </c>
      <c r="D10" s="1">
        <v>2</v>
      </c>
      <c r="E10" s="24"/>
      <c r="F10" t="s">
        <v>11</v>
      </c>
    </row>
    <row r="11" spans="2:6" ht="30" x14ac:dyDescent="0.25">
      <c r="C11" s="28" t="s">
        <v>12</v>
      </c>
      <c r="D11" s="1">
        <v>5</v>
      </c>
      <c r="E11" s="24"/>
      <c r="F11" s="7" t="s">
        <v>107</v>
      </c>
    </row>
    <row r="12" spans="2:6" ht="30" x14ac:dyDescent="0.25">
      <c r="C12" s="28" t="s">
        <v>14</v>
      </c>
      <c r="D12" s="1" t="s">
        <v>15</v>
      </c>
      <c r="E12" s="24"/>
      <c r="F12" s="7" t="s">
        <v>108</v>
      </c>
    </row>
    <row r="13" spans="2:6" ht="409.5" x14ac:dyDescent="0.25">
      <c r="C13" s="28" t="s">
        <v>17</v>
      </c>
      <c r="D13" s="1" t="s">
        <v>18</v>
      </c>
      <c r="E13" s="24"/>
      <c r="F13" s="7" t="s">
        <v>109</v>
      </c>
    </row>
    <row r="14" spans="2:6" x14ac:dyDescent="0.25">
      <c r="C14" s="28" t="s">
        <v>20</v>
      </c>
      <c r="D14" s="1" t="s">
        <v>21</v>
      </c>
      <c r="E14" s="24"/>
    </row>
    <row r="15" spans="2:6" x14ac:dyDescent="0.25">
      <c r="C15" s="23"/>
      <c r="D15" s="24"/>
      <c r="E15" s="24"/>
      <c r="F15" t="s">
        <v>22</v>
      </c>
    </row>
    <row r="16" spans="2:6" ht="409.5" x14ac:dyDescent="0.25">
      <c r="C16" s="23"/>
      <c r="D16" s="24"/>
      <c r="E16" s="24"/>
      <c r="F16" s="12" t="s">
        <v>110</v>
      </c>
    </row>
    <row r="17" spans="3:6" ht="195" x14ac:dyDescent="0.25">
      <c r="C17" s="22" t="s">
        <v>24</v>
      </c>
      <c r="D17" s="24"/>
      <c r="E17" s="24"/>
      <c r="F17" s="7" t="s">
        <v>111</v>
      </c>
    </row>
    <row r="18" spans="3:6" x14ac:dyDescent="0.25">
      <c r="C18" s="23" t="s">
        <v>26</v>
      </c>
      <c r="D18" s="20" t="s">
        <v>24</v>
      </c>
      <c r="E18" s="24"/>
      <c r="F18" s="7"/>
    </row>
    <row r="19" spans="3:6" x14ac:dyDescent="0.25">
      <c r="C19" s="28" t="s">
        <v>28</v>
      </c>
      <c r="D19" s="2">
        <v>15</v>
      </c>
      <c r="E19" s="24"/>
      <c r="F19" s="7"/>
    </row>
    <row r="20" spans="3:6" ht="165" x14ac:dyDescent="0.25">
      <c r="C20" s="28" t="s">
        <v>30</v>
      </c>
      <c r="D20" s="2"/>
      <c r="E20" s="24"/>
      <c r="F20" s="7" t="s">
        <v>112</v>
      </c>
    </row>
    <row r="21" spans="3:6" x14ac:dyDescent="0.25">
      <c r="C21" s="28" t="s">
        <v>32</v>
      </c>
      <c r="D21" s="2">
        <v>20</v>
      </c>
      <c r="E21" s="24"/>
    </row>
    <row r="22" spans="3:6" x14ac:dyDescent="0.25">
      <c r="C22" s="28" t="s">
        <v>33</v>
      </c>
      <c r="D22" s="2">
        <v>5</v>
      </c>
      <c r="E22" s="24"/>
      <c r="F22" t="s">
        <v>34</v>
      </c>
    </row>
    <row r="23" spans="3:6" x14ac:dyDescent="0.25">
      <c r="C23" s="28" t="s">
        <v>35</v>
      </c>
      <c r="D23" s="2"/>
      <c r="E23" s="24"/>
      <c r="F23" s="4" t="s">
        <v>36</v>
      </c>
    </row>
    <row r="24" spans="3:6" x14ac:dyDescent="0.25">
      <c r="C24" s="28" t="s">
        <v>37</v>
      </c>
      <c r="D24" s="20">
        <f>SUM(D19:D23)</f>
        <v>40</v>
      </c>
      <c r="E24" s="24"/>
      <c r="F24" s="4"/>
    </row>
    <row r="25" spans="3:6" x14ac:dyDescent="0.25">
      <c r="F25" s="4"/>
    </row>
    <row r="26" spans="3:6" x14ac:dyDescent="0.25">
      <c r="F26" s="4"/>
    </row>
    <row r="27" spans="3:6" ht="18.75" x14ac:dyDescent="0.25">
      <c r="C27" s="22" t="s">
        <v>39</v>
      </c>
      <c r="D27" s="25" t="s">
        <v>40</v>
      </c>
      <c r="F27" s="4"/>
    </row>
    <row r="28" spans="3:6" x14ac:dyDescent="0.25">
      <c r="C28" s="23" t="s">
        <v>41</v>
      </c>
      <c r="D28" s="23" t="s">
        <v>42</v>
      </c>
      <c r="E28" s="23"/>
      <c r="F28" s="4"/>
    </row>
    <row r="29" spans="3:6" ht="45" x14ac:dyDescent="0.25">
      <c r="C29" s="28" t="s">
        <v>43</v>
      </c>
      <c r="D29" s="11" t="s">
        <v>113</v>
      </c>
      <c r="E29" s="24"/>
      <c r="F29" s="4"/>
    </row>
    <row r="30" spans="3:6" ht="45" x14ac:dyDescent="0.25">
      <c r="C30" s="28" t="s">
        <v>45</v>
      </c>
      <c r="D30" s="11" t="s">
        <v>114</v>
      </c>
      <c r="E30" s="24"/>
      <c r="F30" s="4"/>
    </row>
    <row r="31" spans="3:6" ht="60" x14ac:dyDescent="0.25">
      <c r="C31" s="28" t="s">
        <v>47</v>
      </c>
      <c r="D31" s="11" t="s">
        <v>115</v>
      </c>
      <c r="E31" s="24"/>
      <c r="F31" s="4"/>
    </row>
    <row r="32" spans="3:6" x14ac:dyDescent="0.25">
      <c r="C32" s="28" t="s">
        <v>49</v>
      </c>
      <c r="D32" s="1"/>
      <c r="E32" s="24"/>
      <c r="F32" s="4"/>
    </row>
    <row r="33" spans="3:8" x14ac:dyDescent="0.25">
      <c r="C33" s="28" t="s">
        <v>50</v>
      </c>
      <c r="D33" s="1"/>
      <c r="E33" s="24"/>
      <c r="F33" s="4"/>
    </row>
    <row r="36" spans="3:8" ht="18.75" x14ac:dyDescent="0.25">
      <c r="C36" s="22" t="s">
        <v>51</v>
      </c>
    </row>
    <row r="37" spans="3:8" x14ac:dyDescent="0.25">
      <c r="C37" s="23" t="s">
        <v>52</v>
      </c>
      <c r="D37" s="23" t="s">
        <v>53</v>
      </c>
      <c r="E37" s="23" t="s">
        <v>54</v>
      </c>
      <c r="F37" s="23" t="s">
        <v>55</v>
      </c>
      <c r="G37" s="23" t="s">
        <v>56</v>
      </c>
      <c r="H37" s="23" t="s">
        <v>57</v>
      </c>
    </row>
    <row r="38" spans="3:8" ht="105" x14ac:dyDescent="0.25">
      <c r="C38" s="28" t="s">
        <v>58</v>
      </c>
      <c r="D38" s="1" t="s">
        <v>116</v>
      </c>
      <c r="E38" s="1" t="s">
        <v>117</v>
      </c>
      <c r="F38" s="1" t="s">
        <v>118</v>
      </c>
      <c r="G38" s="3">
        <v>1</v>
      </c>
      <c r="H38" s="1">
        <v>18</v>
      </c>
    </row>
    <row r="39" spans="3:8" x14ac:dyDescent="0.25">
      <c r="C39" s="28" t="s">
        <v>62</v>
      </c>
      <c r="D39" s="1"/>
      <c r="E39" s="1"/>
      <c r="F39" s="1"/>
      <c r="G39" s="3"/>
      <c r="H39" s="1"/>
    </row>
    <row r="40" spans="3:8" x14ac:dyDescent="0.25">
      <c r="C40" s="28" t="s">
        <v>63</v>
      </c>
      <c r="D40" s="4"/>
      <c r="E40" s="4"/>
      <c r="F40" s="4"/>
      <c r="G40" s="4"/>
      <c r="H40" s="4"/>
    </row>
    <row r="41" spans="3:8" x14ac:dyDescent="0.25">
      <c r="C41" s="28" t="s">
        <v>64</v>
      </c>
      <c r="D41" s="4"/>
      <c r="E41" s="4"/>
      <c r="F41" s="4"/>
      <c r="G41" s="4"/>
      <c r="H41" s="4"/>
    </row>
    <row r="42" spans="3:8" x14ac:dyDescent="0.25">
      <c r="C42" s="23"/>
    </row>
    <row r="44" spans="3:8" ht="18.75" x14ac:dyDescent="0.25">
      <c r="C44" s="22" t="s">
        <v>65</v>
      </c>
      <c r="D44" s="25"/>
    </row>
    <row r="45" spans="3:8" x14ac:dyDescent="0.25">
      <c r="C45" s="20" t="s">
        <v>52</v>
      </c>
      <c r="D45" s="20" t="s">
        <v>41</v>
      </c>
      <c r="E45" s="20" t="s">
        <v>66</v>
      </c>
      <c r="F45" s="20" t="s">
        <v>67</v>
      </c>
    </row>
    <row r="46" spans="3:8" x14ac:dyDescent="0.25">
      <c r="C46" s="5" t="s">
        <v>58</v>
      </c>
      <c r="D46" s="4" t="s">
        <v>43</v>
      </c>
      <c r="E46" s="4" t="s">
        <v>68</v>
      </c>
      <c r="F46" s="4" t="s">
        <v>119</v>
      </c>
    </row>
    <row r="47" spans="3:8" x14ac:dyDescent="0.25">
      <c r="C47" s="5" t="s">
        <v>58</v>
      </c>
      <c r="D47" s="4" t="s">
        <v>43</v>
      </c>
      <c r="E47" s="4" t="s">
        <v>68</v>
      </c>
      <c r="F47" s="4" t="s">
        <v>69</v>
      </c>
    </row>
    <row r="48" spans="3:8" x14ac:dyDescent="0.25">
      <c r="C48" s="5" t="s">
        <v>58</v>
      </c>
      <c r="D48" s="4" t="s">
        <v>45</v>
      </c>
      <c r="E48" s="4" t="s">
        <v>74</v>
      </c>
      <c r="F48" s="4" t="s">
        <v>76</v>
      </c>
    </row>
    <row r="49" spans="3:6" x14ac:dyDescent="0.25">
      <c r="C49" s="5" t="s">
        <v>58</v>
      </c>
      <c r="D49" s="4" t="s">
        <v>45</v>
      </c>
      <c r="E49" s="4" t="s">
        <v>72</v>
      </c>
      <c r="F49" s="4" t="s">
        <v>120</v>
      </c>
    </row>
    <row r="50" spans="3:6" x14ac:dyDescent="0.25">
      <c r="C50" s="5" t="s">
        <v>58</v>
      </c>
      <c r="D50" s="4" t="s">
        <v>47</v>
      </c>
      <c r="E50" s="4" t="s">
        <v>121</v>
      </c>
      <c r="F50" s="4" t="s">
        <v>122</v>
      </c>
    </row>
    <row r="51" spans="3:6" x14ac:dyDescent="0.25">
      <c r="C51" s="5" t="s">
        <v>58</v>
      </c>
      <c r="D51" s="4" t="s">
        <v>47</v>
      </c>
      <c r="E51" s="4" t="s">
        <v>123</v>
      </c>
      <c r="F51" s="4" t="s">
        <v>124</v>
      </c>
    </row>
    <row r="52" spans="3:6" x14ac:dyDescent="0.25">
      <c r="C52" s="5" t="s">
        <v>63</v>
      </c>
      <c r="D52" s="4"/>
      <c r="E52" s="4"/>
      <c r="F52" s="4"/>
    </row>
    <row r="53" spans="3:6" x14ac:dyDescent="0.25">
      <c r="C53" s="5" t="s">
        <v>63</v>
      </c>
      <c r="D53" s="4"/>
      <c r="E53" s="4"/>
      <c r="F53" s="4"/>
    </row>
    <row r="54" spans="3:6" x14ac:dyDescent="0.25">
      <c r="C54" s="5" t="s">
        <v>63</v>
      </c>
      <c r="D54" s="4"/>
      <c r="E54" s="4"/>
      <c r="F54" s="4"/>
    </row>
    <row r="55" spans="3:6" x14ac:dyDescent="0.25">
      <c r="C55" s="5" t="s">
        <v>64</v>
      </c>
      <c r="D55" s="4"/>
      <c r="E55" s="4"/>
      <c r="F55" s="4"/>
    </row>
    <row r="56" spans="3:6" x14ac:dyDescent="0.25">
      <c r="C56" s="5" t="s">
        <v>64</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22" t="s">
        <v>77</v>
      </c>
    </row>
    <row r="70" spans="2:6" x14ac:dyDescent="0.25">
      <c r="B70" t="s">
        <v>78</v>
      </c>
      <c r="C70" s="20" t="s">
        <v>79</v>
      </c>
      <c r="D70" s="20" t="s">
        <v>80</v>
      </c>
      <c r="E70" s="20" t="s">
        <v>81</v>
      </c>
      <c r="F70" s="20" t="s">
        <v>82</v>
      </c>
    </row>
    <row r="71" spans="2:6" x14ac:dyDescent="0.25">
      <c r="B71" s="29">
        <v>1</v>
      </c>
      <c r="C71" s="30">
        <v>1</v>
      </c>
      <c r="D71" s="1"/>
      <c r="E71" s="13"/>
      <c r="F71" s="1" t="s">
        <v>28</v>
      </c>
    </row>
    <row r="72" spans="2:6" x14ac:dyDescent="0.25">
      <c r="B72" s="29">
        <v>1</v>
      </c>
      <c r="C72" s="30">
        <v>2</v>
      </c>
      <c r="D72" s="1"/>
      <c r="E72" s="1"/>
      <c r="F72" s="1" t="s">
        <v>28</v>
      </c>
    </row>
    <row r="73" spans="2:6" x14ac:dyDescent="0.25">
      <c r="B73" s="29">
        <v>1</v>
      </c>
      <c r="C73" s="30">
        <v>3</v>
      </c>
      <c r="D73" s="1"/>
      <c r="E73" s="1"/>
      <c r="F73" s="1"/>
    </row>
    <row r="74" spans="2:6" x14ac:dyDescent="0.25">
      <c r="B74" s="29">
        <v>1</v>
      </c>
      <c r="C74" s="30">
        <v>4</v>
      </c>
      <c r="D74" s="1"/>
      <c r="E74" s="1"/>
      <c r="F74" s="1"/>
    </row>
    <row r="75" spans="2:6" x14ac:dyDescent="0.25">
      <c r="B75" s="29">
        <v>1</v>
      </c>
      <c r="C75" s="30">
        <v>5</v>
      </c>
      <c r="D75" s="1"/>
      <c r="E75" s="1"/>
      <c r="F75" s="1"/>
    </row>
    <row r="76" spans="2:6" x14ac:dyDescent="0.25">
      <c r="B76" s="29">
        <v>1</v>
      </c>
      <c r="C76" s="30">
        <v>6</v>
      </c>
      <c r="D76" s="1"/>
      <c r="E76" s="1"/>
      <c r="F76" s="1"/>
    </row>
    <row r="77" spans="2:6" x14ac:dyDescent="0.25">
      <c r="B77" s="29">
        <v>1</v>
      </c>
      <c r="C77" s="30">
        <v>7</v>
      </c>
      <c r="D77" s="1"/>
      <c r="E77" s="1"/>
      <c r="F77" s="1"/>
    </row>
    <row r="78" spans="2:6" x14ac:dyDescent="0.25">
      <c r="B78" s="29">
        <v>1</v>
      </c>
      <c r="C78" s="30">
        <v>8</v>
      </c>
      <c r="D78" s="1"/>
      <c r="E78" s="1"/>
      <c r="F78" s="1"/>
    </row>
    <row r="79" spans="2:6" x14ac:dyDescent="0.25">
      <c r="B79" s="29">
        <v>1</v>
      </c>
      <c r="C79" s="30">
        <v>9</v>
      </c>
      <c r="D79" s="1"/>
      <c r="E79" s="1"/>
      <c r="F79" s="1"/>
    </row>
    <row r="80" spans="2:6" x14ac:dyDescent="0.25">
      <c r="B80" s="29">
        <v>1</v>
      </c>
      <c r="C80" s="30">
        <v>10</v>
      </c>
      <c r="D80" s="1"/>
      <c r="E80" s="1"/>
      <c r="F80" s="1"/>
    </row>
    <row r="81" spans="2:6" x14ac:dyDescent="0.25">
      <c r="B81" s="29">
        <v>1</v>
      </c>
      <c r="C81" s="30">
        <v>11</v>
      </c>
      <c r="D81" s="1"/>
      <c r="E81" s="1"/>
      <c r="F81" s="1"/>
    </row>
    <row r="82" spans="2:6" x14ac:dyDescent="0.25">
      <c r="B82" s="29">
        <v>1</v>
      </c>
      <c r="C82" s="30">
        <v>12</v>
      </c>
      <c r="D82" s="1"/>
      <c r="E82" s="1"/>
      <c r="F82" s="1"/>
    </row>
    <row r="83" spans="2:6" ht="30" x14ac:dyDescent="0.25">
      <c r="B83" s="29">
        <v>2</v>
      </c>
      <c r="C83" s="30">
        <v>1</v>
      </c>
      <c r="D83" s="8" t="s">
        <v>125</v>
      </c>
      <c r="E83" s="1"/>
      <c r="F83" s="1" t="s">
        <v>28</v>
      </c>
    </row>
    <row r="84" spans="2:6" ht="30" x14ac:dyDescent="0.25">
      <c r="B84" s="29">
        <v>2</v>
      </c>
      <c r="C84" s="30">
        <v>2</v>
      </c>
      <c r="D84" s="11" t="s">
        <v>126</v>
      </c>
      <c r="E84" s="1"/>
      <c r="F84" s="1" t="s">
        <v>28</v>
      </c>
    </row>
    <row r="85" spans="2:6" ht="30" x14ac:dyDescent="0.25">
      <c r="B85" s="29">
        <v>2</v>
      </c>
      <c r="C85" s="30">
        <v>3</v>
      </c>
      <c r="D85" s="11" t="s">
        <v>126</v>
      </c>
      <c r="E85" s="1"/>
      <c r="F85" s="1" t="s">
        <v>28</v>
      </c>
    </row>
    <row r="86" spans="2:6" ht="30" x14ac:dyDescent="0.25">
      <c r="B86" s="29">
        <v>2</v>
      </c>
      <c r="C86" s="30">
        <v>4</v>
      </c>
      <c r="D86" s="11" t="s">
        <v>127</v>
      </c>
      <c r="E86" s="1"/>
      <c r="F86" s="1" t="s">
        <v>28</v>
      </c>
    </row>
    <row r="87" spans="2:6" ht="30" x14ac:dyDescent="0.25">
      <c r="B87" s="29">
        <v>2</v>
      </c>
      <c r="C87" s="30">
        <v>5</v>
      </c>
      <c r="D87" s="1" t="s">
        <v>128</v>
      </c>
      <c r="E87" s="1"/>
      <c r="F87" s="1" t="s">
        <v>32</v>
      </c>
    </row>
    <row r="88" spans="2:6" ht="30" x14ac:dyDescent="0.25">
      <c r="B88" s="29">
        <v>2</v>
      </c>
      <c r="C88" s="30">
        <v>6</v>
      </c>
      <c r="D88" s="1" t="s">
        <v>128</v>
      </c>
      <c r="E88" s="1"/>
      <c r="F88" s="1" t="s">
        <v>32</v>
      </c>
    </row>
    <row r="89" spans="2:6" x14ac:dyDescent="0.25">
      <c r="B89" s="29">
        <v>2</v>
      </c>
      <c r="C89" s="30">
        <v>7</v>
      </c>
      <c r="D89" s="1"/>
      <c r="E89" s="1"/>
      <c r="F89" s="1"/>
    </row>
    <row r="90" spans="2:6" ht="30" x14ac:dyDescent="0.25">
      <c r="B90" s="29">
        <v>2</v>
      </c>
      <c r="C90" s="30">
        <v>8</v>
      </c>
      <c r="D90" s="1" t="s">
        <v>128</v>
      </c>
      <c r="E90" s="1"/>
      <c r="F90" s="1" t="s">
        <v>32</v>
      </c>
    </row>
    <row r="91" spans="2:6" x14ac:dyDescent="0.25">
      <c r="B91" s="29">
        <v>2</v>
      </c>
      <c r="C91" s="30">
        <v>9</v>
      </c>
      <c r="D91" s="1" t="s">
        <v>129</v>
      </c>
      <c r="E91" s="1"/>
      <c r="F91" s="1" t="s">
        <v>32</v>
      </c>
    </row>
    <row r="92" spans="2:6" x14ac:dyDescent="0.25">
      <c r="B92" s="29">
        <v>2</v>
      </c>
      <c r="C92" s="30">
        <v>10</v>
      </c>
      <c r="D92" s="10" t="s">
        <v>130</v>
      </c>
      <c r="E92" s="1"/>
      <c r="F92" s="1" t="s">
        <v>32</v>
      </c>
    </row>
    <row r="93" spans="2:6" ht="30" x14ac:dyDescent="0.25">
      <c r="B93" s="29">
        <v>2</v>
      </c>
      <c r="C93" s="30">
        <v>11</v>
      </c>
      <c r="D93" s="11" t="s">
        <v>131</v>
      </c>
      <c r="E93" s="1"/>
      <c r="F93" s="1" t="s">
        <v>32</v>
      </c>
    </row>
    <row r="94" spans="2:6" x14ac:dyDescent="0.25">
      <c r="B94" s="29">
        <v>2</v>
      </c>
      <c r="C94" s="30">
        <v>12</v>
      </c>
      <c r="D94" s="10" t="s">
        <v>132</v>
      </c>
      <c r="E94" s="1"/>
      <c r="F94" s="1" t="s">
        <v>28</v>
      </c>
    </row>
  </sheetData>
  <sheetProtection sheet="1" objects="1" scenarios="1" formatCells="0" formatColumns="0" formatRows="0" insertHyperlinks="0"/>
  <dataValidations count="4">
    <dataValidation type="list" allowBlank="1" showInputMessage="1" showErrorMessage="1" sqref="F46:F66" xr:uid="{A6F5F47F-6866-478E-9880-CF9E3CF9BFDA}">
      <formula1>INDIRECT(VLOOKUP($E46, SkillNameMap, 2, FALSE))</formula1>
    </dataValidation>
    <dataValidation type="list" allowBlank="1" showInputMessage="1" showErrorMessage="1" sqref="E38:E41" xr:uid="{6B033663-DA4C-4E1E-ACA3-197C23B3DA27}">
      <formula1>INDIRECT("LISTAssess[Assessment Specific]")</formula1>
    </dataValidation>
    <dataValidation type="whole" showInputMessage="1" showErrorMessage="1" error="This is not a realistic number of contact hours please change" sqref="D19" xr:uid="{002B1BD8-24F6-46FD-A0E4-8333C78B8357}">
      <formula1>0</formula1>
      <formula2>80</formula2>
    </dataValidation>
    <dataValidation type="whole" showInputMessage="1" showErrorMessage="1" error="This is not a realistic number of contact hours please reduce" sqref="D20:D23" xr:uid="{E4839EC2-0B62-4F96-A8C1-2B68B106BEF1}">
      <formula1>0</formula1>
      <formula2>80</formula2>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F8A31BEF-5E3B-417C-9E73-D27481A5C886}">
          <x14:formula1>
            <xm:f>LISTS!$J$7:$J$16</xm:f>
          </x14:formula1>
          <xm:sqref>E46:E66</xm:sqref>
        </x14:dataValidation>
        <x14:dataValidation type="list" allowBlank="1" showInputMessage="1" showErrorMessage="1" xr:uid="{4A234C3A-C5D8-4DCE-A391-988FDC67A9B9}">
          <x14:formula1>
            <xm:f>LISTS!$E$7:$E$11</xm:f>
          </x14:formula1>
          <xm:sqref>D46:D66</xm:sqref>
        </x14:dataValidation>
        <x14:dataValidation type="list" allowBlank="1" showInputMessage="1" showErrorMessage="1" xr:uid="{3192E7A5-766C-4AB3-9259-83B852E400AB}">
          <x14:formula1>
            <xm:f>LISTS!$G$7:$G$11</xm:f>
          </x14:formula1>
          <xm:sqref>D38:D42</xm:sqref>
        </x14:dataValidation>
        <x14:dataValidation type="list" allowBlank="1" showInputMessage="1" showErrorMessage="1" xr:uid="{71464BA5-EA7B-4280-8E21-FEA97DF76E39}">
          <x14:formula1>
            <xm:f>LISTS!$C$11:$C$15</xm:f>
          </x14:formula1>
          <xm:sqref>D11</xm:sqref>
        </x14:dataValidation>
        <x14:dataValidation type="list" allowBlank="1" showInputMessage="1" showErrorMessage="1" xr:uid="{ED74EE7F-E73A-4E7D-BB1B-77B834D943C7}">
          <x14:formula1>
            <xm:f>LISTS!$C$7:$C$9</xm:f>
          </x14:formula1>
          <xm:sqref>D10</xm:sqref>
        </x14:dataValidation>
        <x14:dataValidation type="list" allowBlank="1" showInputMessage="1" showErrorMessage="1" xr:uid="{F88D41F7-E6D7-4EA0-ABD2-42A925615DAA}">
          <x14:formula1>
            <xm:f>LISTS!$C$17:$C$22</xm:f>
          </x14:formula1>
          <xm:sqref>D13</xm:sqref>
        </x14:dataValidation>
        <x14:dataValidation type="list" allowBlank="1" showInputMessage="1" showErrorMessage="1" xr:uid="{799447E1-E0B9-422D-8078-3D88555E8F5B}">
          <x14:formula1>
            <xm:f>LISTS!$C$26:$C$37</xm:f>
          </x14:formula1>
          <xm:sqref>D14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7B7A-D282-4FA8-AE69-A4F29B437E85}">
  <sheetPr codeName="Sheet6"/>
  <dimension ref="B2:H130"/>
  <sheetViews>
    <sheetView showGridLines="0" topLeftCell="B106" zoomScale="85" zoomScaleNormal="85" workbookViewId="0">
      <selection activeCell="D31" sqref="D31"/>
    </sheetView>
  </sheetViews>
  <sheetFormatPr defaultColWidth="8.85546875" defaultRowHeight="15" x14ac:dyDescent="0.25"/>
  <cols>
    <col min="3" max="3" width="25.42578125" customWidth="1"/>
    <col min="4" max="4" width="47.7109375" customWidth="1"/>
    <col min="5" max="5" width="58.28515625" customWidth="1"/>
    <col min="6" max="6" width="59.85546875" customWidth="1"/>
    <col min="7" max="7" width="11.42578125" customWidth="1"/>
    <col min="8" max="8" width="11.28515625" customWidth="1"/>
    <col min="9" max="9" width="14.7109375" customWidth="1"/>
  </cols>
  <sheetData>
    <row r="2" spans="2:6" ht="26.25" x14ac:dyDescent="0.4">
      <c r="C2" s="19" t="str">
        <f>D7</f>
        <v>5203SPS</v>
      </c>
      <c r="D2" s="19" t="str">
        <f>D8</f>
        <v>Primary PE teacher Education</v>
      </c>
    </row>
    <row r="3" spans="2:6" x14ac:dyDescent="0.25">
      <c r="B3" s="20"/>
      <c r="C3" s="20"/>
    </row>
    <row r="4" spans="2:6" x14ac:dyDescent="0.25">
      <c r="B4" s="21"/>
      <c r="C4" s="21"/>
    </row>
    <row r="5" spans="2:6" ht="18.75" x14ac:dyDescent="0.25">
      <c r="B5" s="21"/>
      <c r="C5" s="22" t="s">
        <v>0</v>
      </c>
    </row>
    <row r="6" spans="2:6" x14ac:dyDescent="0.25">
      <c r="B6" s="21"/>
      <c r="C6" s="23" t="s">
        <v>1</v>
      </c>
      <c r="D6" s="24" t="s">
        <v>2</v>
      </c>
      <c r="E6" s="24"/>
      <c r="F6" t="s">
        <v>3</v>
      </c>
    </row>
    <row r="7" spans="2:6" ht="75" x14ac:dyDescent="0.25">
      <c r="B7" s="21"/>
      <c r="C7" s="28" t="s">
        <v>4</v>
      </c>
      <c r="D7" s="1" t="s">
        <v>133</v>
      </c>
      <c r="E7" s="24"/>
      <c r="F7" s="7" t="s">
        <v>134</v>
      </c>
    </row>
    <row r="8" spans="2:6" x14ac:dyDescent="0.25">
      <c r="B8" s="21"/>
      <c r="C8" s="28" t="s">
        <v>6</v>
      </c>
      <c r="D8" s="1" t="s">
        <v>135</v>
      </c>
      <c r="E8" s="24"/>
      <c r="F8" s="4"/>
    </row>
    <row r="9" spans="2:6" x14ac:dyDescent="0.25">
      <c r="C9" s="28" t="s">
        <v>9</v>
      </c>
      <c r="D9" s="1">
        <v>20</v>
      </c>
      <c r="E9" s="24"/>
    </row>
    <row r="10" spans="2:6" x14ac:dyDescent="0.25">
      <c r="C10" s="28" t="s">
        <v>10</v>
      </c>
      <c r="D10" s="1"/>
      <c r="E10" s="24"/>
      <c r="F10" t="s">
        <v>11</v>
      </c>
    </row>
    <row r="11" spans="2:6" ht="150" x14ac:dyDescent="0.25">
      <c r="C11" s="28" t="s">
        <v>12</v>
      </c>
      <c r="D11" s="1">
        <v>5</v>
      </c>
      <c r="E11" s="24"/>
      <c r="F11" s="7" t="s">
        <v>136</v>
      </c>
    </row>
    <row r="12" spans="2:6" x14ac:dyDescent="0.25">
      <c r="C12" s="28" t="s">
        <v>14</v>
      </c>
      <c r="D12" s="1" t="s">
        <v>137</v>
      </c>
      <c r="E12" s="24"/>
      <c r="F12" s="4"/>
    </row>
    <row r="13" spans="2:6" x14ac:dyDescent="0.25">
      <c r="C13" s="28" t="s">
        <v>17</v>
      </c>
      <c r="D13" s="1" t="s">
        <v>138</v>
      </c>
      <c r="E13" s="24"/>
      <c r="F13" s="4"/>
    </row>
    <row r="14" spans="2:6" x14ac:dyDescent="0.25">
      <c r="C14" s="28" t="s">
        <v>20</v>
      </c>
      <c r="D14" s="1" t="s">
        <v>21</v>
      </c>
      <c r="E14" s="24"/>
    </row>
    <row r="15" spans="2:6" x14ac:dyDescent="0.25">
      <c r="C15" s="23"/>
      <c r="D15" s="24"/>
      <c r="E15" s="24"/>
      <c r="F15" t="s">
        <v>22</v>
      </c>
    </row>
    <row r="16" spans="2:6" ht="75" x14ac:dyDescent="0.25">
      <c r="C16" s="23"/>
      <c r="D16" s="24"/>
      <c r="E16" s="24"/>
      <c r="F16" s="7" t="s">
        <v>139</v>
      </c>
    </row>
    <row r="17" spans="3:6" ht="18.75" x14ac:dyDescent="0.25">
      <c r="C17" s="22" t="s">
        <v>24</v>
      </c>
      <c r="D17" s="24"/>
      <c r="E17" s="24"/>
      <c r="F17" s="4"/>
    </row>
    <row r="18" spans="3:6" x14ac:dyDescent="0.25">
      <c r="C18" s="23" t="s">
        <v>26</v>
      </c>
      <c r="D18" s="20" t="s">
        <v>24</v>
      </c>
      <c r="E18" s="24"/>
      <c r="F18" s="4"/>
    </row>
    <row r="19" spans="3:6" x14ac:dyDescent="0.25">
      <c r="C19" s="28" t="s">
        <v>28</v>
      </c>
      <c r="D19" s="6">
        <v>10</v>
      </c>
      <c r="E19" s="24"/>
      <c r="F19" s="4"/>
    </row>
    <row r="20" spans="3:6" x14ac:dyDescent="0.25">
      <c r="C20" s="28" t="s">
        <v>30</v>
      </c>
      <c r="D20" s="6">
        <v>0</v>
      </c>
      <c r="E20" s="24"/>
      <c r="F20" s="4"/>
    </row>
    <row r="21" spans="3:6" x14ac:dyDescent="0.25">
      <c r="C21" s="28" t="s">
        <v>32</v>
      </c>
      <c r="D21" s="6">
        <v>19</v>
      </c>
      <c r="E21" s="24"/>
    </row>
    <row r="22" spans="3:6" x14ac:dyDescent="0.25">
      <c r="C22" s="28" t="s">
        <v>33</v>
      </c>
      <c r="D22" s="6">
        <v>3</v>
      </c>
      <c r="E22" s="24"/>
      <c r="F22" t="s">
        <v>34</v>
      </c>
    </row>
    <row r="23" spans="3:6" ht="30" x14ac:dyDescent="0.25">
      <c r="C23" s="28" t="s">
        <v>35</v>
      </c>
      <c r="D23" s="6">
        <v>8</v>
      </c>
      <c r="E23" s="24"/>
      <c r="F23" s="8" t="s">
        <v>140</v>
      </c>
    </row>
    <row r="24" spans="3:6" ht="180" x14ac:dyDescent="0.25">
      <c r="C24" s="28" t="s">
        <v>37</v>
      </c>
      <c r="D24" s="20">
        <f>SUM(D19:D23)</f>
        <v>40</v>
      </c>
      <c r="E24" s="24"/>
      <c r="F24" s="71" t="s">
        <v>141</v>
      </c>
    </row>
    <row r="25" spans="3:6" ht="30" x14ac:dyDescent="0.25">
      <c r="F25" s="71" t="s">
        <v>142</v>
      </c>
    </row>
    <row r="26" spans="3:6" ht="60" x14ac:dyDescent="0.25">
      <c r="F26" s="74" t="s">
        <v>143</v>
      </c>
    </row>
    <row r="27" spans="3:6" ht="18.75" x14ac:dyDescent="0.25">
      <c r="C27" s="22" t="s">
        <v>39</v>
      </c>
      <c r="D27" s="25" t="s">
        <v>40</v>
      </c>
      <c r="F27" s="4" t="s">
        <v>144</v>
      </c>
    </row>
    <row r="28" spans="3:6" x14ac:dyDescent="0.25">
      <c r="C28" s="23" t="s">
        <v>41</v>
      </c>
      <c r="D28" s="23" t="s">
        <v>42</v>
      </c>
      <c r="E28" s="23"/>
      <c r="F28" s="4"/>
    </row>
    <row r="29" spans="3:6" ht="30" x14ac:dyDescent="0.25">
      <c r="C29" s="28" t="s">
        <v>43</v>
      </c>
      <c r="D29" s="1" t="s">
        <v>145</v>
      </c>
      <c r="E29" s="24"/>
      <c r="F29" s="4"/>
    </row>
    <row r="30" spans="3:6" ht="30" x14ac:dyDescent="0.25">
      <c r="C30" s="28" t="s">
        <v>45</v>
      </c>
      <c r="D30" s="1" t="s">
        <v>146</v>
      </c>
      <c r="E30" s="24"/>
      <c r="F30" s="4"/>
    </row>
    <row r="31" spans="3:6" ht="30" x14ac:dyDescent="0.25">
      <c r="C31" s="28" t="s">
        <v>47</v>
      </c>
      <c r="D31" s="1" t="s">
        <v>147</v>
      </c>
      <c r="E31" s="24"/>
      <c r="F31" s="4"/>
    </row>
    <row r="32" spans="3:6" x14ac:dyDescent="0.25">
      <c r="C32" s="28" t="s">
        <v>49</v>
      </c>
      <c r="D32" s="1"/>
      <c r="E32" s="24"/>
      <c r="F32" s="4"/>
    </row>
    <row r="33" spans="3:8" x14ac:dyDescent="0.25">
      <c r="C33" s="28" t="s">
        <v>50</v>
      </c>
      <c r="D33" s="1"/>
      <c r="E33" s="24"/>
      <c r="F33" s="4"/>
    </row>
    <row r="36" spans="3:8" ht="18.75" x14ac:dyDescent="0.25">
      <c r="C36" s="22" t="s">
        <v>51</v>
      </c>
    </row>
    <row r="37" spans="3:8" x14ac:dyDescent="0.25">
      <c r="C37" s="23" t="s">
        <v>52</v>
      </c>
      <c r="D37" s="23" t="s">
        <v>53</v>
      </c>
      <c r="E37" s="23" t="s">
        <v>54</v>
      </c>
      <c r="F37" s="23" t="s">
        <v>55</v>
      </c>
      <c r="G37" s="23" t="s">
        <v>56</v>
      </c>
      <c r="H37" s="23" t="s">
        <v>57</v>
      </c>
    </row>
    <row r="38" spans="3:8" ht="30" x14ac:dyDescent="0.25">
      <c r="C38" s="28" t="s">
        <v>58</v>
      </c>
      <c r="D38" s="1" t="s">
        <v>148</v>
      </c>
      <c r="E38" s="1"/>
      <c r="F38" s="1" t="s">
        <v>149</v>
      </c>
      <c r="G38" s="3">
        <v>0.6</v>
      </c>
      <c r="H38" s="1">
        <v>12</v>
      </c>
    </row>
    <row r="39" spans="3:8" ht="30" x14ac:dyDescent="0.25">
      <c r="C39" s="28" t="s">
        <v>62</v>
      </c>
      <c r="D39" s="1" t="s">
        <v>148</v>
      </c>
      <c r="E39" s="1"/>
      <c r="F39" s="75" t="s">
        <v>150</v>
      </c>
      <c r="G39" s="3">
        <v>0.4</v>
      </c>
      <c r="H39" s="1">
        <v>16</v>
      </c>
    </row>
    <row r="40" spans="3:8" x14ac:dyDescent="0.25">
      <c r="C40" s="23"/>
    </row>
    <row r="41" spans="3:8" ht="18" customHeight="1" x14ac:dyDescent="0.25"/>
    <row r="42" spans="3:8" ht="40.5" customHeight="1" x14ac:dyDescent="0.25">
      <c r="C42" s="22" t="s">
        <v>65</v>
      </c>
      <c r="D42" s="25"/>
    </row>
    <row r="43" spans="3:8" x14ac:dyDescent="0.25">
      <c r="C43" s="20" t="s">
        <v>52</v>
      </c>
      <c r="D43" s="20" t="s">
        <v>41</v>
      </c>
      <c r="E43" s="20" t="s">
        <v>66</v>
      </c>
      <c r="F43" s="20" t="s">
        <v>67</v>
      </c>
    </row>
    <row r="44" spans="3:8" x14ac:dyDescent="0.25">
      <c r="C44" s="5" t="s">
        <v>58</v>
      </c>
      <c r="D44" s="4" t="s">
        <v>43</v>
      </c>
      <c r="E44" s="4" t="s">
        <v>151</v>
      </c>
      <c r="F44" s="4" t="s">
        <v>152</v>
      </c>
    </row>
    <row r="45" spans="3:8" x14ac:dyDescent="0.25">
      <c r="C45" s="5" t="s">
        <v>58</v>
      </c>
      <c r="D45" s="4" t="s">
        <v>43</v>
      </c>
      <c r="E45" s="4" t="s">
        <v>72</v>
      </c>
      <c r="F45" s="4" t="s">
        <v>120</v>
      </c>
    </row>
    <row r="46" spans="3:8" x14ac:dyDescent="0.25">
      <c r="C46" s="5" t="s">
        <v>58</v>
      </c>
      <c r="D46" s="4" t="s">
        <v>43</v>
      </c>
      <c r="E46" s="4" t="s">
        <v>72</v>
      </c>
      <c r="F46" s="4" t="s">
        <v>153</v>
      </c>
    </row>
    <row r="47" spans="3:8" x14ac:dyDescent="0.25">
      <c r="C47" s="5" t="s">
        <v>58</v>
      </c>
      <c r="D47" s="4" t="s">
        <v>43</v>
      </c>
      <c r="E47" s="4" t="s">
        <v>154</v>
      </c>
      <c r="F47" s="4" t="s">
        <v>155</v>
      </c>
    </row>
    <row r="48" spans="3:8" x14ac:dyDescent="0.25">
      <c r="C48" s="5" t="s">
        <v>58</v>
      </c>
      <c r="D48" s="4" t="s">
        <v>43</v>
      </c>
      <c r="E48" s="4" t="s">
        <v>123</v>
      </c>
      <c r="F48" s="4" t="s">
        <v>156</v>
      </c>
    </row>
    <row r="49" spans="3:6" x14ac:dyDescent="0.25">
      <c r="C49" s="5" t="s">
        <v>58</v>
      </c>
      <c r="D49" s="4" t="s">
        <v>43</v>
      </c>
      <c r="E49" s="4" t="s">
        <v>157</v>
      </c>
      <c r="F49" s="4" t="s">
        <v>158</v>
      </c>
    </row>
    <row r="50" spans="3:6" x14ac:dyDescent="0.25">
      <c r="C50" s="5" t="s">
        <v>58</v>
      </c>
      <c r="D50" s="4" t="s">
        <v>43</v>
      </c>
      <c r="E50" s="4" t="s">
        <v>157</v>
      </c>
      <c r="F50" s="4" t="s">
        <v>159</v>
      </c>
    </row>
    <row r="51" spans="3:6" x14ac:dyDescent="0.25">
      <c r="C51" s="5" t="s">
        <v>58</v>
      </c>
      <c r="D51" s="4" t="s">
        <v>43</v>
      </c>
      <c r="E51" s="4" t="s">
        <v>70</v>
      </c>
      <c r="F51" s="4" t="s">
        <v>160</v>
      </c>
    </row>
    <row r="52" spans="3:6" x14ac:dyDescent="0.25">
      <c r="C52" s="5" t="s">
        <v>58</v>
      </c>
      <c r="D52" s="4" t="s">
        <v>43</v>
      </c>
      <c r="E52" s="4" t="s">
        <v>70</v>
      </c>
      <c r="F52" s="4" t="s">
        <v>161</v>
      </c>
    </row>
    <row r="53" spans="3:6" x14ac:dyDescent="0.25">
      <c r="C53" s="5" t="s">
        <v>58</v>
      </c>
      <c r="D53" s="4" t="s">
        <v>43</v>
      </c>
      <c r="E53" s="4" t="s">
        <v>70</v>
      </c>
      <c r="F53" s="4" t="s">
        <v>162</v>
      </c>
    </row>
    <row r="54" spans="3:6" x14ac:dyDescent="0.25">
      <c r="C54" s="5" t="s">
        <v>58</v>
      </c>
      <c r="D54" s="4" t="s">
        <v>43</v>
      </c>
      <c r="E54" s="4" t="s">
        <v>70</v>
      </c>
      <c r="F54" s="4" t="s">
        <v>71</v>
      </c>
    </row>
    <row r="55" spans="3:6" x14ac:dyDescent="0.25">
      <c r="C55" s="5" t="s">
        <v>58</v>
      </c>
      <c r="D55" s="4" t="s">
        <v>43</v>
      </c>
      <c r="E55" s="4" t="s">
        <v>70</v>
      </c>
      <c r="F55" s="4" t="s">
        <v>163</v>
      </c>
    </row>
    <row r="56" spans="3:6" ht="14.25" customHeight="1" x14ac:dyDescent="0.25">
      <c r="C56" s="5" t="s">
        <v>58</v>
      </c>
      <c r="D56" s="4" t="s">
        <v>45</v>
      </c>
      <c r="E56" s="4" t="s">
        <v>74</v>
      </c>
      <c r="F56" s="4" t="s">
        <v>164</v>
      </c>
    </row>
    <row r="57" spans="3:6" ht="14.25" customHeight="1" x14ac:dyDescent="0.25">
      <c r="C57" s="5" t="s">
        <v>58</v>
      </c>
      <c r="D57" s="4" t="s">
        <v>45</v>
      </c>
      <c r="E57" s="4" t="s">
        <v>74</v>
      </c>
      <c r="F57" s="4" t="s">
        <v>75</v>
      </c>
    </row>
    <row r="58" spans="3:6" ht="14.25" customHeight="1" x14ac:dyDescent="0.25">
      <c r="C58" s="5" t="s">
        <v>58</v>
      </c>
      <c r="D58" s="4" t="s">
        <v>45</v>
      </c>
      <c r="E58" s="4" t="s">
        <v>74</v>
      </c>
      <c r="F58" s="4" t="s">
        <v>76</v>
      </c>
    </row>
    <row r="59" spans="3:6" ht="14.25" customHeight="1" x14ac:dyDescent="0.25">
      <c r="C59" s="5" t="s">
        <v>58</v>
      </c>
      <c r="D59" s="4" t="s">
        <v>45</v>
      </c>
      <c r="E59" s="4" t="s">
        <v>74</v>
      </c>
      <c r="F59" s="4" t="s">
        <v>165</v>
      </c>
    </row>
    <row r="60" spans="3:6" ht="14.25" customHeight="1" x14ac:dyDescent="0.25">
      <c r="C60" s="5" t="s">
        <v>58</v>
      </c>
      <c r="D60" s="4" t="s">
        <v>45</v>
      </c>
      <c r="E60" s="4" t="s">
        <v>74</v>
      </c>
      <c r="F60" s="4" t="s">
        <v>166</v>
      </c>
    </row>
    <row r="61" spans="3:6" x14ac:dyDescent="0.25">
      <c r="C61" s="5" t="s">
        <v>58</v>
      </c>
      <c r="D61" s="4" t="s">
        <v>45</v>
      </c>
      <c r="E61" s="4" t="s">
        <v>154</v>
      </c>
      <c r="F61" s="4" t="s">
        <v>167</v>
      </c>
    </row>
    <row r="62" spans="3:6" x14ac:dyDescent="0.25">
      <c r="C62" s="5" t="s">
        <v>58</v>
      </c>
      <c r="D62" s="4" t="s">
        <v>45</v>
      </c>
      <c r="E62" s="4" t="s">
        <v>154</v>
      </c>
      <c r="F62" s="4" t="s">
        <v>168</v>
      </c>
    </row>
    <row r="63" spans="3:6" x14ac:dyDescent="0.25">
      <c r="C63" s="5" t="s">
        <v>58</v>
      </c>
      <c r="D63" s="4" t="s">
        <v>45</v>
      </c>
      <c r="E63" s="4" t="s">
        <v>154</v>
      </c>
      <c r="F63" s="4" t="s">
        <v>155</v>
      </c>
    </row>
    <row r="64" spans="3:6" x14ac:dyDescent="0.25">
      <c r="C64" s="5" t="s">
        <v>58</v>
      </c>
      <c r="D64" s="4" t="s">
        <v>45</v>
      </c>
      <c r="E64" s="4" t="s">
        <v>169</v>
      </c>
      <c r="F64" s="4" t="s">
        <v>170</v>
      </c>
    </row>
    <row r="65" spans="3:6" x14ac:dyDescent="0.25">
      <c r="C65" s="5" t="s">
        <v>58</v>
      </c>
      <c r="D65" s="4" t="s">
        <v>45</v>
      </c>
      <c r="E65" s="4" t="s">
        <v>169</v>
      </c>
      <c r="F65" s="4" t="s">
        <v>171</v>
      </c>
    </row>
    <row r="66" spans="3:6" x14ac:dyDescent="0.25">
      <c r="C66" s="5" t="s">
        <v>58</v>
      </c>
      <c r="D66" s="4" t="s">
        <v>45</v>
      </c>
      <c r="E66" s="4" t="s">
        <v>169</v>
      </c>
      <c r="F66" s="4" t="s">
        <v>172</v>
      </c>
    </row>
    <row r="67" spans="3:6" x14ac:dyDescent="0.25">
      <c r="C67" s="5" t="s">
        <v>58</v>
      </c>
      <c r="D67" s="4" t="s">
        <v>45</v>
      </c>
      <c r="E67" s="4" t="s">
        <v>169</v>
      </c>
      <c r="F67" s="4" t="s">
        <v>173</v>
      </c>
    </row>
    <row r="68" spans="3:6" x14ac:dyDescent="0.25">
      <c r="C68" s="5" t="s">
        <v>58</v>
      </c>
      <c r="D68" s="4" t="s">
        <v>45</v>
      </c>
      <c r="E68" s="4" t="s">
        <v>169</v>
      </c>
      <c r="F68" s="4" t="s">
        <v>174</v>
      </c>
    </row>
    <row r="69" spans="3:6" x14ac:dyDescent="0.25">
      <c r="C69" s="5" t="s">
        <v>58</v>
      </c>
      <c r="D69" s="4" t="s">
        <v>45</v>
      </c>
      <c r="E69" s="4" t="s">
        <v>169</v>
      </c>
      <c r="F69" s="4" t="s">
        <v>175</v>
      </c>
    </row>
    <row r="70" spans="3:6" x14ac:dyDescent="0.25">
      <c r="C70" s="5" t="s">
        <v>58</v>
      </c>
      <c r="D70" s="4" t="s">
        <v>45</v>
      </c>
      <c r="E70" s="4" t="s">
        <v>169</v>
      </c>
      <c r="F70" s="4" t="s">
        <v>176</v>
      </c>
    </row>
    <row r="71" spans="3:6" x14ac:dyDescent="0.25">
      <c r="C71" s="5" t="s">
        <v>58</v>
      </c>
      <c r="D71" s="4" t="s">
        <v>45</v>
      </c>
      <c r="E71" s="4" t="s">
        <v>157</v>
      </c>
      <c r="F71" s="4" t="s">
        <v>177</v>
      </c>
    </row>
    <row r="72" spans="3:6" x14ac:dyDescent="0.25">
      <c r="C72" s="5" t="s">
        <v>58</v>
      </c>
      <c r="D72" s="4" t="s">
        <v>45</v>
      </c>
      <c r="E72" s="4" t="s">
        <v>157</v>
      </c>
      <c r="F72" s="4" t="s">
        <v>159</v>
      </c>
    </row>
    <row r="73" spans="3:6" x14ac:dyDescent="0.25">
      <c r="C73" s="5" t="s">
        <v>58</v>
      </c>
      <c r="D73" s="4" t="s">
        <v>45</v>
      </c>
      <c r="E73" s="4" t="s">
        <v>70</v>
      </c>
      <c r="F73" s="4" t="s">
        <v>160</v>
      </c>
    </row>
    <row r="74" spans="3:6" x14ac:dyDescent="0.25">
      <c r="C74" s="5" t="s">
        <v>58</v>
      </c>
      <c r="D74" s="4" t="s">
        <v>45</v>
      </c>
      <c r="E74" s="4" t="s">
        <v>70</v>
      </c>
      <c r="F74" s="4" t="s">
        <v>161</v>
      </c>
    </row>
    <row r="75" spans="3:6" x14ac:dyDescent="0.25">
      <c r="C75" s="5" t="s">
        <v>58</v>
      </c>
      <c r="D75" s="4" t="s">
        <v>45</v>
      </c>
      <c r="E75" s="4" t="s">
        <v>70</v>
      </c>
      <c r="F75" s="4" t="s">
        <v>162</v>
      </c>
    </row>
    <row r="76" spans="3:6" x14ac:dyDescent="0.25">
      <c r="C76" s="5" t="s">
        <v>58</v>
      </c>
      <c r="D76" s="4" t="s">
        <v>45</v>
      </c>
      <c r="E76" s="4" t="s">
        <v>70</v>
      </c>
      <c r="F76" s="4" t="s">
        <v>71</v>
      </c>
    </row>
    <row r="77" spans="3:6" x14ac:dyDescent="0.25">
      <c r="C77" s="5" t="s">
        <v>58</v>
      </c>
      <c r="D77" s="4" t="s">
        <v>45</v>
      </c>
      <c r="E77" s="4" t="s">
        <v>70</v>
      </c>
      <c r="F77" s="4" t="s">
        <v>163</v>
      </c>
    </row>
    <row r="78" spans="3:6" x14ac:dyDescent="0.25">
      <c r="C78" s="5" t="s">
        <v>58</v>
      </c>
      <c r="D78" s="4" t="s">
        <v>45</v>
      </c>
      <c r="E78" s="4" t="s">
        <v>123</v>
      </c>
      <c r="F78" s="4" t="s">
        <v>178</v>
      </c>
    </row>
    <row r="79" spans="3:6" x14ac:dyDescent="0.25">
      <c r="C79" s="5" t="s">
        <v>58</v>
      </c>
      <c r="D79" s="4" t="s">
        <v>45</v>
      </c>
      <c r="E79" s="4" t="s">
        <v>123</v>
      </c>
      <c r="F79" s="4" t="s">
        <v>179</v>
      </c>
    </row>
    <row r="80" spans="3:6" x14ac:dyDescent="0.25">
      <c r="C80" s="5" t="s">
        <v>58</v>
      </c>
      <c r="D80" s="4" t="s">
        <v>45</v>
      </c>
      <c r="E80" s="4" t="s">
        <v>123</v>
      </c>
      <c r="F80" s="4" t="s">
        <v>156</v>
      </c>
    </row>
    <row r="81" spans="3:6" x14ac:dyDescent="0.25">
      <c r="C81" s="5" t="s">
        <v>58</v>
      </c>
      <c r="D81" s="4" t="s">
        <v>47</v>
      </c>
      <c r="E81" s="4" t="s">
        <v>74</v>
      </c>
      <c r="F81" s="4" t="s">
        <v>164</v>
      </c>
    </row>
    <row r="82" spans="3:6" x14ac:dyDescent="0.25">
      <c r="C82" s="5" t="s">
        <v>58</v>
      </c>
      <c r="D82" s="4" t="s">
        <v>47</v>
      </c>
      <c r="E82" s="4" t="s">
        <v>74</v>
      </c>
      <c r="F82" s="4" t="s">
        <v>76</v>
      </c>
    </row>
    <row r="83" spans="3:6" x14ac:dyDescent="0.25">
      <c r="C83" s="5" t="s">
        <v>58</v>
      </c>
      <c r="D83" s="4" t="s">
        <v>47</v>
      </c>
      <c r="E83" s="4" t="s">
        <v>74</v>
      </c>
      <c r="F83" s="4" t="s">
        <v>166</v>
      </c>
    </row>
    <row r="84" spans="3:6" x14ac:dyDescent="0.25">
      <c r="C84" s="5" t="s">
        <v>58</v>
      </c>
      <c r="D84" s="4" t="s">
        <v>47</v>
      </c>
      <c r="E84" s="4" t="s">
        <v>151</v>
      </c>
      <c r="F84" s="4" t="s">
        <v>180</v>
      </c>
    </row>
    <row r="85" spans="3:6" x14ac:dyDescent="0.25">
      <c r="C85" s="5" t="s">
        <v>58</v>
      </c>
      <c r="D85" s="4" t="s">
        <v>47</v>
      </c>
      <c r="E85" s="4" t="s">
        <v>151</v>
      </c>
      <c r="F85" s="4" t="s">
        <v>181</v>
      </c>
    </row>
    <row r="86" spans="3:6" x14ac:dyDescent="0.25">
      <c r="C86" s="5" t="s">
        <v>58</v>
      </c>
      <c r="D86" s="4" t="s">
        <v>47</v>
      </c>
      <c r="E86" s="4" t="s">
        <v>72</v>
      </c>
      <c r="F86" s="4" t="s">
        <v>182</v>
      </c>
    </row>
    <row r="87" spans="3:6" x14ac:dyDescent="0.25">
      <c r="C87" s="5" t="s">
        <v>58</v>
      </c>
      <c r="D87" s="4" t="s">
        <v>47</v>
      </c>
      <c r="E87" s="4" t="s">
        <v>157</v>
      </c>
      <c r="F87" s="4" t="s">
        <v>158</v>
      </c>
    </row>
    <row r="88" spans="3:6" x14ac:dyDescent="0.25">
      <c r="C88" s="5" t="s">
        <v>58</v>
      </c>
      <c r="D88" s="4" t="s">
        <v>47</v>
      </c>
      <c r="E88" s="4" t="s">
        <v>157</v>
      </c>
      <c r="F88" s="4" t="s">
        <v>159</v>
      </c>
    </row>
    <row r="89" spans="3:6" x14ac:dyDescent="0.25">
      <c r="C89" s="5" t="s">
        <v>62</v>
      </c>
      <c r="D89" s="4" t="s">
        <v>43</v>
      </c>
      <c r="E89" s="4" t="s">
        <v>151</v>
      </c>
      <c r="F89" s="4" t="s">
        <v>152</v>
      </c>
    </row>
    <row r="90" spans="3:6" x14ac:dyDescent="0.25">
      <c r="C90" s="5" t="s">
        <v>62</v>
      </c>
      <c r="D90" s="4" t="s">
        <v>43</v>
      </c>
      <c r="E90" s="4" t="s">
        <v>72</v>
      </c>
      <c r="F90" s="4" t="s">
        <v>120</v>
      </c>
    </row>
    <row r="91" spans="3:6" x14ac:dyDescent="0.25">
      <c r="C91" s="5" t="s">
        <v>62</v>
      </c>
      <c r="D91" s="4" t="s">
        <v>43</v>
      </c>
      <c r="E91" s="4" t="s">
        <v>72</v>
      </c>
      <c r="F91" s="4" t="s">
        <v>153</v>
      </c>
    </row>
    <row r="92" spans="3:6" x14ac:dyDescent="0.25">
      <c r="C92" s="5" t="s">
        <v>62</v>
      </c>
      <c r="D92" s="4" t="s">
        <v>43</v>
      </c>
      <c r="E92" s="4" t="s">
        <v>154</v>
      </c>
      <c r="F92" s="4" t="s">
        <v>155</v>
      </c>
    </row>
    <row r="93" spans="3:6" x14ac:dyDescent="0.25">
      <c r="C93" s="5" t="s">
        <v>62</v>
      </c>
      <c r="D93" s="4" t="s">
        <v>43</v>
      </c>
      <c r="E93" s="4" t="s">
        <v>123</v>
      </c>
      <c r="F93" s="4" t="s">
        <v>156</v>
      </c>
    </row>
    <row r="94" spans="3:6" x14ac:dyDescent="0.25">
      <c r="C94" s="5" t="s">
        <v>62</v>
      </c>
      <c r="D94" s="4" t="s">
        <v>43</v>
      </c>
      <c r="E94" s="4" t="s">
        <v>157</v>
      </c>
      <c r="F94" s="4" t="s">
        <v>158</v>
      </c>
    </row>
    <row r="95" spans="3:6" x14ac:dyDescent="0.25">
      <c r="C95" s="5" t="s">
        <v>62</v>
      </c>
      <c r="D95" s="4" t="s">
        <v>43</v>
      </c>
      <c r="E95" s="4" t="s">
        <v>157</v>
      </c>
      <c r="F95" s="4" t="s">
        <v>159</v>
      </c>
    </row>
    <row r="96" spans="3:6" x14ac:dyDescent="0.25">
      <c r="C96" s="5" t="s">
        <v>62</v>
      </c>
      <c r="D96" s="4" t="s">
        <v>43</v>
      </c>
      <c r="E96" s="4" t="s">
        <v>70</v>
      </c>
      <c r="F96" s="4" t="s">
        <v>160</v>
      </c>
    </row>
    <row r="97" spans="3:6" x14ac:dyDescent="0.25">
      <c r="C97" s="5" t="s">
        <v>62</v>
      </c>
      <c r="D97" s="4" t="s">
        <v>43</v>
      </c>
      <c r="E97" s="4" t="s">
        <v>70</v>
      </c>
      <c r="F97" s="4" t="s">
        <v>161</v>
      </c>
    </row>
    <row r="98" spans="3:6" x14ac:dyDescent="0.25">
      <c r="C98" s="5" t="s">
        <v>62</v>
      </c>
      <c r="D98" s="4" t="s">
        <v>43</v>
      </c>
      <c r="E98" s="4" t="s">
        <v>70</v>
      </c>
      <c r="F98" s="4" t="s">
        <v>162</v>
      </c>
    </row>
    <row r="99" spans="3:6" x14ac:dyDescent="0.25">
      <c r="C99" s="5" t="s">
        <v>62</v>
      </c>
      <c r="D99" s="4" t="s">
        <v>43</v>
      </c>
      <c r="E99" s="4" t="s">
        <v>70</v>
      </c>
      <c r="F99" s="4" t="s">
        <v>71</v>
      </c>
    </row>
    <row r="100" spans="3:6" x14ac:dyDescent="0.25">
      <c r="C100" s="5" t="s">
        <v>62</v>
      </c>
      <c r="D100" s="4" t="s">
        <v>43</v>
      </c>
      <c r="E100" s="4" t="s">
        <v>70</v>
      </c>
      <c r="F100" s="4" t="s">
        <v>163</v>
      </c>
    </row>
    <row r="101" spans="3:6" x14ac:dyDescent="0.25">
      <c r="C101" s="5" t="s">
        <v>62</v>
      </c>
      <c r="D101" s="4" t="s">
        <v>47</v>
      </c>
      <c r="E101" s="4" t="s">
        <v>74</v>
      </c>
      <c r="F101" s="4" t="s">
        <v>76</v>
      </c>
    </row>
    <row r="102" spans="3:6" x14ac:dyDescent="0.25">
      <c r="C102" s="5" t="s">
        <v>62</v>
      </c>
      <c r="D102" s="4" t="s">
        <v>47</v>
      </c>
      <c r="E102" s="4" t="s">
        <v>151</v>
      </c>
      <c r="F102" s="4" t="s">
        <v>180</v>
      </c>
    </row>
    <row r="103" spans="3:6" x14ac:dyDescent="0.25">
      <c r="C103" s="5" t="s">
        <v>62</v>
      </c>
      <c r="D103" s="4" t="s">
        <v>47</v>
      </c>
      <c r="E103" s="4" t="s">
        <v>151</v>
      </c>
      <c r="F103" s="4" t="s">
        <v>181</v>
      </c>
    </row>
    <row r="104" spans="3:6" x14ac:dyDescent="0.25">
      <c r="C104" s="5" t="s">
        <v>62</v>
      </c>
      <c r="D104" s="4" t="s">
        <v>47</v>
      </c>
      <c r="E104" s="4" t="s">
        <v>157</v>
      </c>
      <c r="F104" s="4" t="s">
        <v>158</v>
      </c>
    </row>
    <row r="105" spans="3:6" x14ac:dyDescent="0.25">
      <c r="C105" s="5" t="s">
        <v>62</v>
      </c>
      <c r="D105" s="4" t="s">
        <v>47</v>
      </c>
      <c r="E105" s="4" t="s">
        <v>157</v>
      </c>
      <c r="F105" s="4" t="s">
        <v>159</v>
      </c>
    </row>
    <row r="106" spans="3:6" x14ac:dyDescent="0.25">
      <c r="C106" s="5"/>
      <c r="D106" s="4"/>
      <c r="E106" s="4"/>
      <c r="F106" s="4"/>
    </row>
    <row r="107" spans="3:6" x14ac:dyDescent="0.25">
      <c r="C107" s="5"/>
      <c r="D107" s="4"/>
      <c r="E107" s="4"/>
      <c r="F107" s="4"/>
    </row>
    <row r="108" spans="3:6" x14ac:dyDescent="0.25">
      <c r="C108" s="5"/>
      <c r="D108" s="4"/>
      <c r="E108" s="4"/>
      <c r="F108" s="4"/>
    </row>
    <row r="109" spans="3:6" x14ac:dyDescent="0.25">
      <c r="C109" s="5"/>
      <c r="D109" s="4"/>
      <c r="E109" s="4"/>
      <c r="F109" s="4"/>
    </row>
    <row r="110" spans="3:6" x14ac:dyDescent="0.25">
      <c r="C110" s="5"/>
      <c r="D110" s="4"/>
      <c r="E110" s="4"/>
      <c r="F110" s="4"/>
    </row>
    <row r="111" spans="3:6" x14ac:dyDescent="0.25">
      <c r="C111" s="5"/>
      <c r="D111" s="4"/>
      <c r="E111" s="4"/>
      <c r="F111" s="4"/>
    </row>
    <row r="112" spans="3:6" x14ac:dyDescent="0.25">
      <c r="C112" s="5"/>
      <c r="D112" s="4"/>
      <c r="E112" s="4"/>
      <c r="F112" s="4"/>
    </row>
    <row r="113" spans="2:6" x14ac:dyDescent="0.25">
      <c r="C113" s="5"/>
      <c r="D113" s="4"/>
      <c r="E113" s="4"/>
      <c r="F113" s="4"/>
    </row>
    <row r="114" spans="2:6" x14ac:dyDescent="0.25">
      <c r="C114" s="5"/>
      <c r="D114" s="4"/>
      <c r="E114" s="4"/>
      <c r="F114" s="4"/>
    </row>
    <row r="115" spans="2:6" x14ac:dyDescent="0.25">
      <c r="C115" s="5"/>
      <c r="D115" s="4"/>
      <c r="E115" s="4"/>
      <c r="F115" s="4"/>
    </row>
    <row r="117" spans="2:6" ht="18.75" x14ac:dyDescent="0.25">
      <c r="C117" s="22" t="s">
        <v>77</v>
      </c>
    </row>
    <row r="118" spans="2:6" x14ac:dyDescent="0.25">
      <c r="B118" t="s">
        <v>78</v>
      </c>
      <c r="C118" s="20" t="s">
        <v>79</v>
      </c>
      <c r="D118" s="20" t="s">
        <v>80</v>
      </c>
      <c r="E118" s="20" t="s">
        <v>81</v>
      </c>
      <c r="F118" s="20" t="s">
        <v>82</v>
      </c>
    </row>
    <row r="119" spans="2:6" ht="30" x14ac:dyDescent="0.25">
      <c r="B119" s="29">
        <v>1</v>
      </c>
      <c r="C119" s="30">
        <v>1</v>
      </c>
      <c r="D119" s="1" t="s">
        <v>183</v>
      </c>
      <c r="E119" s="1" t="s">
        <v>184</v>
      </c>
      <c r="F119" s="1" t="s">
        <v>185</v>
      </c>
    </row>
    <row r="120" spans="2:6" x14ac:dyDescent="0.25">
      <c r="B120" s="29">
        <v>1</v>
      </c>
      <c r="C120" s="30">
        <v>2</v>
      </c>
      <c r="D120" s="1" t="s">
        <v>186</v>
      </c>
      <c r="E120" s="1" t="s">
        <v>187</v>
      </c>
      <c r="F120" s="1" t="s">
        <v>185</v>
      </c>
    </row>
    <row r="121" spans="2:6" x14ac:dyDescent="0.25">
      <c r="B121" s="29">
        <v>1</v>
      </c>
      <c r="C121" s="30">
        <v>3</v>
      </c>
      <c r="D121" s="1" t="s">
        <v>188</v>
      </c>
      <c r="E121" s="1"/>
      <c r="F121" s="1" t="s">
        <v>32</v>
      </c>
    </row>
    <row r="122" spans="2:6" x14ac:dyDescent="0.25">
      <c r="B122" s="29">
        <v>1</v>
      </c>
      <c r="C122" s="30">
        <v>4</v>
      </c>
      <c r="D122" s="1" t="s">
        <v>189</v>
      </c>
      <c r="E122" s="1" t="s">
        <v>190</v>
      </c>
      <c r="F122" s="1" t="s">
        <v>185</v>
      </c>
    </row>
    <row r="123" spans="2:6" ht="30" x14ac:dyDescent="0.25">
      <c r="B123" s="29">
        <v>1</v>
      </c>
      <c r="C123" s="30">
        <v>5</v>
      </c>
      <c r="D123" s="1" t="s">
        <v>191</v>
      </c>
      <c r="E123" s="1" t="s">
        <v>192</v>
      </c>
      <c r="F123" s="1" t="s">
        <v>185</v>
      </c>
    </row>
    <row r="124" spans="2:6" ht="30" x14ac:dyDescent="0.25">
      <c r="B124" s="29">
        <v>1</v>
      </c>
      <c r="C124" s="30">
        <v>6</v>
      </c>
      <c r="D124" s="1" t="s">
        <v>193</v>
      </c>
      <c r="E124" s="1" t="s">
        <v>194</v>
      </c>
      <c r="F124" s="1" t="s">
        <v>185</v>
      </c>
    </row>
    <row r="125" spans="2:6" x14ac:dyDescent="0.25">
      <c r="B125" s="29">
        <v>1</v>
      </c>
      <c r="C125" s="30">
        <v>7</v>
      </c>
      <c r="D125" s="1" t="s">
        <v>195</v>
      </c>
      <c r="E125" s="1"/>
      <c r="F125" s="1" t="s">
        <v>32</v>
      </c>
    </row>
    <row r="126" spans="2:6" ht="30" x14ac:dyDescent="0.25">
      <c r="B126" s="29">
        <v>1</v>
      </c>
      <c r="C126" s="30">
        <v>8</v>
      </c>
      <c r="D126" s="1" t="s">
        <v>196</v>
      </c>
      <c r="E126" s="1" t="s">
        <v>197</v>
      </c>
      <c r="F126" s="1" t="s">
        <v>185</v>
      </c>
    </row>
    <row r="127" spans="2:6" ht="45" x14ac:dyDescent="0.25">
      <c r="B127" s="29">
        <v>1</v>
      </c>
      <c r="C127" s="30">
        <v>9</v>
      </c>
      <c r="D127" s="1" t="s">
        <v>198</v>
      </c>
      <c r="E127" s="1" t="s">
        <v>199</v>
      </c>
      <c r="F127" s="1" t="s">
        <v>185</v>
      </c>
    </row>
    <row r="128" spans="2:6" x14ac:dyDescent="0.25">
      <c r="B128" s="29">
        <v>1</v>
      </c>
      <c r="C128" s="30">
        <v>10</v>
      </c>
      <c r="D128" s="1" t="s">
        <v>200</v>
      </c>
      <c r="E128" s="1"/>
      <c r="F128" s="1" t="s">
        <v>32</v>
      </c>
    </row>
    <row r="129" spans="2:6" x14ac:dyDescent="0.25">
      <c r="B129" s="29">
        <v>1</v>
      </c>
      <c r="C129" s="30">
        <v>11</v>
      </c>
      <c r="D129" s="1" t="s">
        <v>201</v>
      </c>
      <c r="E129" s="1"/>
      <c r="F129" s="1" t="s">
        <v>33</v>
      </c>
    </row>
    <row r="130" spans="2:6" x14ac:dyDescent="0.25">
      <c r="B130" s="29">
        <v>1</v>
      </c>
      <c r="C130" s="30">
        <v>12</v>
      </c>
      <c r="D130" s="1"/>
      <c r="E130" s="1"/>
      <c r="F130" s="1"/>
    </row>
  </sheetData>
  <sheetProtection sheet="1" objects="1" scenarios="1" formatCells="0" formatColumns="0" formatRows="0" insertHyperlinks="0"/>
  <dataValidations count="4">
    <dataValidation type="list" allowBlank="1" showInputMessage="1" showErrorMessage="1" sqref="E38:E39" xr:uid="{9A8779B4-6AB6-45B5-A32C-6D89EAF36C8E}">
      <formula1>INDIRECT("LISTAssess[Assessment Specific]")</formula1>
    </dataValidation>
    <dataValidation type="whole" showInputMessage="1" showErrorMessage="1" error="This is not a realistic number of contact hours please change" sqref="D19" xr:uid="{DA3D6AB5-532B-4E6E-B5DD-7DD3330DB48F}">
      <formula1>0</formula1>
      <formula2>80</formula2>
    </dataValidation>
    <dataValidation type="whole" showInputMessage="1" showErrorMessage="1" error="This is not a realistic number of contact hours please reduce" sqref="D20:D23" xr:uid="{3732E239-C09D-43A7-9D17-84966769CD9A}">
      <formula1>0</formula1>
      <formula2>80</formula2>
    </dataValidation>
    <dataValidation type="list" allowBlank="1" showInputMessage="1" showErrorMessage="1" sqref="F44:F115" xr:uid="{199417CD-50E7-40D5-ADCF-61994B27264E}">
      <formula1>INDIRECT(VLOOKUP($E44, SkillNameMap, 2, FALSE))</formula1>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FDF99DCE-273A-4E69-9925-00724A3BE75B}">
          <x14:formula1>
            <xm:f>LISTS!$C$11:$C$15</xm:f>
          </x14:formula1>
          <xm:sqref>D11</xm:sqref>
        </x14:dataValidation>
        <x14:dataValidation type="list" allowBlank="1" showInputMessage="1" showErrorMessage="1" xr:uid="{B71F4674-23DF-4DB6-881E-607B855CE61E}">
          <x14:formula1>
            <xm:f>LISTS!$C$7:$C$9</xm:f>
          </x14:formula1>
          <xm:sqref>D10</xm:sqref>
        </x14:dataValidation>
        <x14:dataValidation type="list" allowBlank="1" showInputMessage="1" showErrorMessage="1" xr:uid="{13441B70-6771-46A0-B42D-7619C487A66C}">
          <x14:formula1>
            <xm:f>LISTS!$C$17:$C$22</xm:f>
          </x14:formula1>
          <xm:sqref>D13</xm:sqref>
        </x14:dataValidation>
        <x14:dataValidation type="list" allowBlank="1" showInputMessage="1" showErrorMessage="1" xr:uid="{27FAA946-26BF-4A0D-A78A-94B40A846A90}">
          <x14:formula1>
            <xm:f>LISTS!$C$26:$C$37</xm:f>
          </x14:formula1>
          <xm:sqref>D14</xm:sqref>
        </x14:dataValidation>
        <x14:dataValidation type="list" allowBlank="1" showInputMessage="1" showErrorMessage="1" xr:uid="{E4C466FC-4B20-43FE-83BB-6DB372D1E2AF}">
          <x14:formula1>
            <xm:f>LISTS!$G$7:$G$11</xm:f>
          </x14:formula1>
          <xm:sqref>D38:D40</xm:sqref>
        </x14:dataValidation>
        <x14:dataValidation type="list" allowBlank="1" showInputMessage="1" showErrorMessage="1" xr:uid="{5C65280C-5249-4CA6-9640-3CC5D292F59A}">
          <x14:formula1>
            <xm:f>LISTS!$J$7:$J$16</xm:f>
          </x14:formula1>
          <xm:sqref>E44:E115</xm:sqref>
        </x14:dataValidation>
        <x14:dataValidation type="list" allowBlank="1" showInputMessage="1" showErrorMessage="1" xr:uid="{009B3F76-CBC5-41A8-84DE-D4AD00A25980}">
          <x14:formula1>
            <xm:f>LISTS!$E$7:$E$11</xm:f>
          </x14:formula1>
          <xm:sqref>D44:D115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6B122-2708-4270-8EB4-FF346B869DC1}">
  <sheetPr codeName="Sheet7"/>
  <dimension ref="B2:H130"/>
  <sheetViews>
    <sheetView showGridLines="0" zoomScale="85" zoomScaleNormal="85" workbookViewId="0">
      <selection activeCell="F11" sqref="F11"/>
    </sheetView>
  </sheetViews>
  <sheetFormatPr defaultColWidth="8.85546875" defaultRowHeight="15" x14ac:dyDescent="0.25"/>
  <cols>
    <col min="3" max="3" width="25.42578125" customWidth="1"/>
    <col min="4" max="4" width="47.7109375" customWidth="1"/>
    <col min="5" max="5" width="58.28515625" customWidth="1"/>
    <col min="6" max="6" width="59.85546875" customWidth="1"/>
    <col min="7" max="7" width="11.42578125" customWidth="1"/>
    <col min="8" max="8" width="11.28515625" customWidth="1"/>
    <col min="9" max="9" width="14.7109375" customWidth="1"/>
  </cols>
  <sheetData>
    <row r="2" spans="2:6" ht="26.25" x14ac:dyDescent="0.4">
      <c r="C2" s="19" t="str">
        <f>D7</f>
        <v>5204SPS</v>
      </c>
      <c r="D2" s="19" t="str">
        <f>D8</f>
        <v>Physical Education in Action 1</v>
      </c>
    </row>
    <row r="3" spans="2:6" x14ac:dyDescent="0.25">
      <c r="B3" s="20"/>
      <c r="C3" s="20"/>
    </row>
    <row r="4" spans="2:6" x14ac:dyDescent="0.25">
      <c r="B4" s="21"/>
      <c r="C4" s="21"/>
    </row>
    <row r="5" spans="2:6" ht="18.75" x14ac:dyDescent="0.25">
      <c r="B5" s="21"/>
      <c r="C5" s="22" t="s">
        <v>0</v>
      </c>
    </row>
    <row r="6" spans="2:6" x14ac:dyDescent="0.25">
      <c r="B6" s="21"/>
      <c r="C6" s="23" t="s">
        <v>1</v>
      </c>
      <c r="D6" s="24" t="s">
        <v>2</v>
      </c>
      <c r="E6" s="24"/>
      <c r="F6" t="s">
        <v>3</v>
      </c>
    </row>
    <row r="7" spans="2:6" ht="78.75" x14ac:dyDescent="0.25">
      <c r="B7" s="21"/>
      <c r="C7" s="28" t="s">
        <v>4</v>
      </c>
      <c r="D7" s="1" t="s">
        <v>202</v>
      </c>
      <c r="E7" s="24"/>
      <c r="F7" s="37" t="s">
        <v>203</v>
      </c>
    </row>
    <row r="8" spans="2:6" x14ac:dyDescent="0.25">
      <c r="B8" s="21"/>
      <c r="C8" s="28" t="s">
        <v>6</v>
      </c>
      <c r="D8" s="1" t="s">
        <v>204</v>
      </c>
      <c r="E8" s="24"/>
      <c r="F8" s="4"/>
    </row>
    <row r="9" spans="2:6" x14ac:dyDescent="0.25">
      <c r="C9" s="28" t="s">
        <v>9</v>
      </c>
      <c r="D9" s="1">
        <v>20</v>
      </c>
      <c r="E9" s="24"/>
    </row>
    <row r="10" spans="2:6" x14ac:dyDescent="0.25">
      <c r="C10" s="28" t="s">
        <v>10</v>
      </c>
      <c r="D10" s="1">
        <v>2</v>
      </c>
      <c r="E10" s="24"/>
      <c r="F10" t="s">
        <v>11</v>
      </c>
    </row>
    <row r="11" spans="2:6" ht="384.75" x14ac:dyDescent="0.25">
      <c r="C11" s="28" t="s">
        <v>12</v>
      </c>
      <c r="D11" s="1">
        <v>5</v>
      </c>
      <c r="E11" s="24"/>
      <c r="F11" s="83" t="s">
        <v>205</v>
      </c>
    </row>
    <row r="12" spans="2:6" x14ac:dyDescent="0.25">
      <c r="C12" s="28" t="s">
        <v>14</v>
      </c>
      <c r="D12" s="1" t="s">
        <v>206</v>
      </c>
      <c r="E12" s="24"/>
      <c r="F12" s="39"/>
    </row>
    <row r="13" spans="2:6" x14ac:dyDescent="0.25">
      <c r="C13" s="28" t="s">
        <v>17</v>
      </c>
      <c r="D13" s="1" t="s">
        <v>138</v>
      </c>
      <c r="E13" s="24"/>
      <c r="F13" s="4"/>
    </row>
    <row r="14" spans="2:6" x14ac:dyDescent="0.25">
      <c r="C14" s="28" t="s">
        <v>20</v>
      </c>
      <c r="D14" s="1" t="s">
        <v>21</v>
      </c>
      <c r="E14" s="24"/>
    </row>
    <row r="15" spans="2:6" x14ac:dyDescent="0.25">
      <c r="C15" s="23"/>
      <c r="D15" s="24"/>
      <c r="E15" s="24"/>
      <c r="F15" t="s">
        <v>22</v>
      </c>
    </row>
    <row r="16" spans="2:6" ht="90.75" x14ac:dyDescent="0.25">
      <c r="C16" s="23"/>
      <c r="D16" s="24"/>
      <c r="E16" s="24"/>
      <c r="F16" s="38" t="s">
        <v>207</v>
      </c>
    </row>
    <row r="17" spans="3:6" ht="18.75" x14ac:dyDescent="0.25">
      <c r="C17" s="22" t="s">
        <v>24</v>
      </c>
      <c r="D17" s="24"/>
      <c r="E17" s="24"/>
      <c r="F17" s="4"/>
    </row>
    <row r="18" spans="3:6" x14ac:dyDescent="0.25">
      <c r="C18" s="23" t="s">
        <v>26</v>
      </c>
      <c r="D18" s="20" t="s">
        <v>24</v>
      </c>
      <c r="E18" s="24"/>
      <c r="F18" s="4"/>
    </row>
    <row r="19" spans="3:6" x14ac:dyDescent="0.25">
      <c r="C19" s="28" t="s">
        <v>28</v>
      </c>
      <c r="D19" s="6">
        <v>0</v>
      </c>
      <c r="E19" s="24"/>
      <c r="F19" s="4"/>
    </row>
    <row r="20" spans="3:6" x14ac:dyDescent="0.25">
      <c r="C20" s="28" t="s">
        <v>30</v>
      </c>
      <c r="D20" s="6">
        <v>0</v>
      </c>
      <c r="E20" s="24"/>
      <c r="F20" s="4"/>
    </row>
    <row r="21" spans="3:6" x14ac:dyDescent="0.25">
      <c r="C21" s="28" t="s">
        <v>32</v>
      </c>
      <c r="D21" s="6">
        <v>0</v>
      </c>
      <c r="E21" s="24"/>
    </row>
    <row r="22" spans="3:6" x14ac:dyDescent="0.25">
      <c r="C22" s="28" t="s">
        <v>33</v>
      </c>
      <c r="D22" s="6">
        <v>40</v>
      </c>
      <c r="E22" s="24"/>
      <c r="F22" t="s">
        <v>34</v>
      </c>
    </row>
    <row r="23" spans="3:6" x14ac:dyDescent="0.25">
      <c r="C23" s="28" t="s">
        <v>35</v>
      </c>
      <c r="D23" s="6">
        <v>0</v>
      </c>
      <c r="E23" s="24"/>
      <c r="F23" s="4" t="s">
        <v>208</v>
      </c>
    </row>
    <row r="24" spans="3:6" x14ac:dyDescent="0.25">
      <c r="C24" s="28" t="s">
        <v>37</v>
      </c>
      <c r="D24" s="20">
        <f>SUM(D19:D23)</f>
        <v>40</v>
      </c>
      <c r="E24" s="24"/>
      <c r="F24" s="40" t="s">
        <v>209</v>
      </c>
    </row>
    <row r="25" spans="3:6" x14ac:dyDescent="0.25">
      <c r="F25" s="40" t="s">
        <v>210</v>
      </c>
    </row>
    <row r="26" spans="3:6" x14ac:dyDescent="0.25">
      <c r="F26" s="40" t="s">
        <v>211</v>
      </c>
    </row>
    <row r="27" spans="3:6" ht="210" x14ac:dyDescent="0.25">
      <c r="C27" s="22" t="s">
        <v>39</v>
      </c>
      <c r="D27" s="25" t="s">
        <v>40</v>
      </c>
      <c r="F27" s="82" t="s">
        <v>212</v>
      </c>
    </row>
    <row r="28" spans="3:6" ht="180" x14ac:dyDescent="0.25">
      <c r="C28" s="23" t="s">
        <v>41</v>
      </c>
      <c r="D28" s="23" t="s">
        <v>42</v>
      </c>
      <c r="E28" s="23"/>
      <c r="F28" s="82" t="s">
        <v>213</v>
      </c>
    </row>
    <row r="29" spans="3:6" ht="195" x14ac:dyDescent="0.25">
      <c r="C29" s="28" t="s">
        <v>43</v>
      </c>
      <c r="D29" s="31" t="s">
        <v>214</v>
      </c>
      <c r="E29" s="24"/>
      <c r="F29" s="82" t="s">
        <v>215</v>
      </c>
    </row>
    <row r="30" spans="3:6" ht="57.75" x14ac:dyDescent="0.25">
      <c r="C30" s="28" t="s">
        <v>45</v>
      </c>
      <c r="D30" s="32" t="s">
        <v>216</v>
      </c>
      <c r="E30" s="24"/>
      <c r="F30" s="4"/>
    </row>
    <row r="31" spans="3:6" ht="57.75" x14ac:dyDescent="0.25">
      <c r="C31" s="28" t="s">
        <v>47</v>
      </c>
      <c r="D31" s="31" t="s">
        <v>217</v>
      </c>
      <c r="E31" s="24"/>
      <c r="F31" s="4"/>
    </row>
    <row r="32" spans="3:6" x14ac:dyDescent="0.25">
      <c r="C32" s="28" t="s">
        <v>49</v>
      </c>
      <c r="D32" s="1"/>
      <c r="E32" s="24"/>
      <c r="F32" s="4"/>
    </row>
    <row r="33" spans="3:8" x14ac:dyDescent="0.25">
      <c r="C33" s="28" t="s">
        <v>50</v>
      </c>
      <c r="D33" s="1"/>
      <c r="E33" s="24"/>
      <c r="F33" s="4"/>
    </row>
    <row r="36" spans="3:8" ht="18.75" x14ac:dyDescent="0.25">
      <c r="C36" s="22" t="s">
        <v>51</v>
      </c>
    </row>
    <row r="37" spans="3:8" x14ac:dyDescent="0.25">
      <c r="C37" s="23" t="s">
        <v>52</v>
      </c>
      <c r="D37" s="23" t="s">
        <v>53</v>
      </c>
      <c r="E37" s="23" t="s">
        <v>54</v>
      </c>
      <c r="F37" s="23" t="s">
        <v>55</v>
      </c>
      <c r="G37" s="23" t="s">
        <v>56</v>
      </c>
      <c r="H37" s="23" t="s">
        <v>57</v>
      </c>
    </row>
    <row r="38" spans="3:8" x14ac:dyDescent="0.25">
      <c r="C38" s="28" t="s">
        <v>58</v>
      </c>
      <c r="D38" s="1" t="s">
        <v>116</v>
      </c>
      <c r="E38" s="1"/>
      <c r="F38" s="1" t="s">
        <v>218</v>
      </c>
      <c r="G38" s="3">
        <v>1</v>
      </c>
      <c r="H38" s="1">
        <v>33</v>
      </c>
    </row>
    <row r="39" spans="3:8" x14ac:dyDescent="0.25">
      <c r="C39" s="28" t="s">
        <v>62</v>
      </c>
      <c r="D39" s="1"/>
      <c r="E39" s="1"/>
      <c r="F39" s="1"/>
      <c r="G39" s="3"/>
      <c r="H39" s="1"/>
    </row>
    <row r="40" spans="3:8" x14ac:dyDescent="0.25">
      <c r="C40" s="23"/>
    </row>
    <row r="41" spans="3:8" ht="18" customHeight="1" x14ac:dyDescent="0.25"/>
    <row r="42" spans="3:8" ht="40.5" customHeight="1" x14ac:dyDescent="0.25">
      <c r="C42" s="22" t="s">
        <v>65</v>
      </c>
      <c r="D42" s="25"/>
    </row>
    <row r="43" spans="3:8" x14ac:dyDescent="0.25">
      <c r="C43" s="20" t="s">
        <v>52</v>
      </c>
      <c r="D43" s="20" t="s">
        <v>41</v>
      </c>
      <c r="E43" s="20" t="s">
        <v>66</v>
      </c>
      <c r="F43" s="20" t="s">
        <v>67</v>
      </c>
    </row>
    <row r="44" spans="3:8" x14ac:dyDescent="0.25">
      <c r="C44" s="5" t="s">
        <v>58</v>
      </c>
      <c r="D44" s="4" t="s">
        <v>43</v>
      </c>
      <c r="E44" s="4" t="s">
        <v>74</v>
      </c>
      <c r="F44" s="4" t="s">
        <v>75</v>
      </c>
    </row>
    <row r="45" spans="3:8" x14ac:dyDescent="0.25">
      <c r="C45" s="5" t="s">
        <v>58</v>
      </c>
      <c r="D45" s="4" t="s">
        <v>45</v>
      </c>
      <c r="E45" s="4" t="s">
        <v>74</v>
      </c>
      <c r="F45" s="4" t="s">
        <v>75</v>
      </c>
    </row>
    <row r="46" spans="3:8" x14ac:dyDescent="0.25">
      <c r="C46" s="5" t="s">
        <v>58</v>
      </c>
      <c r="D46" s="4" t="s">
        <v>47</v>
      </c>
      <c r="E46" s="4" t="s">
        <v>74</v>
      </c>
      <c r="F46" s="4" t="s">
        <v>75</v>
      </c>
    </row>
    <row r="47" spans="3:8" x14ac:dyDescent="0.25">
      <c r="C47" s="5" t="s">
        <v>58</v>
      </c>
      <c r="D47" s="4" t="s">
        <v>43</v>
      </c>
      <c r="E47" s="4" t="s">
        <v>157</v>
      </c>
      <c r="F47" s="4" t="s">
        <v>158</v>
      </c>
    </row>
    <row r="48" spans="3:8" x14ac:dyDescent="0.25">
      <c r="C48" s="5" t="s">
        <v>58</v>
      </c>
      <c r="D48" s="4" t="s">
        <v>43</v>
      </c>
      <c r="E48" s="4" t="s">
        <v>154</v>
      </c>
      <c r="F48" s="4" t="s">
        <v>155</v>
      </c>
    </row>
    <row r="49" spans="3:6" x14ac:dyDescent="0.25">
      <c r="C49" s="5" t="s">
        <v>58</v>
      </c>
      <c r="D49" s="4" t="s">
        <v>45</v>
      </c>
      <c r="E49" s="4" t="s">
        <v>154</v>
      </c>
      <c r="F49" s="4" t="s">
        <v>155</v>
      </c>
    </row>
    <row r="50" spans="3:6" x14ac:dyDescent="0.25">
      <c r="C50" s="5" t="s">
        <v>58</v>
      </c>
      <c r="D50" s="4" t="s">
        <v>47</v>
      </c>
      <c r="E50" s="4" t="s">
        <v>154</v>
      </c>
      <c r="F50" s="4"/>
    </row>
    <row r="51" spans="3:6" x14ac:dyDescent="0.25">
      <c r="C51" s="5" t="s">
        <v>58</v>
      </c>
      <c r="D51" s="4"/>
      <c r="E51" s="4"/>
      <c r="F51" s="4"/>
    </row>
    <row r="52" spans="3:6" x14ac:dyDescent="0.25">
      <c r="C52" s="5" t="s">
        <v>58</v>
      </c>
      <c r="D52" s="4"/>
      <c r="E52" s="4"/>
      <c r="F52" s="4"/>
    </row>
    <row r="53" spans="3:6" x14ac:dyDescent="0.25">
      <c r="C53" s="5" t="s">
        <v>58</v>
      </c>
      <c r="D53" s="4"/>
      <c r="E53" s="4"/>
      <c r="F53" s="4"/>
    </row>
    <row r="54" spans="3:6" x14ac:dyDescent="0.25">
      <c r="C54" s="5" t="s">
        <v>58</v>
      </c>
      <c r="D54" s="4"/>
      <c r="E54" s="4"/>
      <c r="F54" s="4"/>
    </row>
    <row r="55" spans="3:6" x14ac:dyDescent="0.25">
      <c r="C55" s="5" t="s">
        <v>58</v>
      </c>
      <c r="D55" s="4"/>
      <c r="E55" s="4"/>
      <c r="F55" s="4"/>
    </row>
    <row r="56" spans="3:6" ht="14.25" customHeight="1" x14ac:dyDescent="0.25">
      <c r="C56" s="5" t="s">
        <v>58</v>
      </c>
      <c r="D56" s="4"/>
      <c r="E56" s="4"/>
      <c r="F56" s="4"/>
    </row>
    <row r="57" spans="3:6" ht="14.25" customHeight="1" x14ac:dyDescent="0.25">
      <c r="C57" s="5" t="s">
        <v>58</v>
      </c>
      <c r="D57" s="4"/>
      <c r="E57" s="4"/>
      <c r="F57" s="4"/>
    </row>
    <row r="58" spans="3:6" ht="14.25" customHeight="1" x14ac:dyDescent="0.25">
      <c r="C58" s="5" t="s">
        <v>58</v>
      </c>
      <c r="D58" s="4"/>
      <c r="E58" s="4"/>
      <c r="F58" s="4"/>
    </row>
    <row r="59" spans="3:6" ht="14.25" customHeight="1" x14ac:dyDescent="0.25">
      <c r="C59" s="5" t="s">
        <v>58</v>
      </c>
      <c r="D59" s="4"/>
      <c r="E59" s="4"/>
      <c r="F59" s="4"/>
    </row>
    <row r="60" spans="3:6" ht="14.25" customHeight="1" x14ac:dyDescent="0.25">
      <c r="C60" s="5" t="s">
        <v>58</v>
      </c>
      <c r="D60" s="4"/>
      <c r="E60" s="4"/>
      <c r="F60" s="4"/>
    </row>
    <row r="61" spans="3:6" x14ac:dyDescent="0.25">
      <c r="C61" s="5" t="s">
        <v>58</v>
      </c>
      <c r="D61" s="4"/>
      <c r="E61" s="4"/>
      <c r="F61" s="4"/>
    </row>
    <row r="62" spans="3:6" x14ac:dyDescent="0.25">
      <c r="C62" s="5" t="s">
        <v>58</v>
      </c>
      <c r="D62" s="4"/>
      <c r="E62" s="4"/>
      <c r="F62" s="4"/>
    </row>
    <row r="63" spans="3:6" x14ac:dyDescent="0.25">
      <c r="C63" s="5" t="s">
        <v>58</v>
      </c>
      <c r="D63" s="4"/>
      <c r="E63" s="4"/>
      <c r="F63" s="4"/>
    </row>
    <row r="64" spans="3:6" x14ac:dyDescent="0.25">
      <c r="C64" s="5" t="s">
        <v>58</v>
      </c>
      <c r="D64" s="4"/>
      <c r="E64" s="4"/>
      <c r="F64" s="4"/>
    </row>
    <row r="65" spans="3:6" x14ac:dyDescent="0.25">
      <c r="C65" s="5" t="s">
        <v>58</v>
      </c>
      <c r="D65" s="4"/>
      <c r="E65" s="4"/>
      <c r="F65" s="4"/>
    </row>
    <row r="66" spans="3:6" x14ac:dyDescent="0.25">
      <c r="C66" s="5" t="s">
        <v>58</v>
      </c>
      <c r="D66" s="4"/>
      <c r="E66" s="4"/>
      <c r="F66" s="4"/>
    </row>
    <row r="67" spans="3:6" x14ac:dyDescent="0.25">
      <c r="C67" s="5" t="s">
        <v>58</v>
      </c>
      <c r="D67" s="4"/>
      <c r="E67" s="4"/>
      <c r="F67" s="4"/>
    </row>
    <row r="68" spans="3:6" x14ac:dyDescent="0.25">
      <c r="C68" s="5" t="s">
        <v>58</v>
      </c>
      <c r="D68" s="4"/>
      <c r="E68" s="4"/>
      <c r="F68" s="4"/>
    </row>
    <row r="69" spans="3:6" x14ac:dyDescent="0.25">
      <c r="C69" s="5" t="s">
        <v>58</v>
      </c>
      <c r="D69" s="4"/>
      <c r="E69" s="4"/>
      <c r="F69" s="4"/>
    </row>
    <row r="70" spans="3:6" x14ac:dyDescent="0.25">
      <c r="C70" s="5" t="s">
        <v>58</v>
      </c>
      <c r="D70" s="4"/>
      <c r="E70" s="4"/>
      <c r="F70" s="4"/>
    </row>
    <row r="71" spans="3:6" x14ac:dyDescent="0.25">
      <c r="C71" s="5" t="s">
        <v>58</v>
      </c>
      <c r="D71" s="4"/>
      <c r="E71" s="4"/>
      <c r="F71" s="4"/>
    </row>
    <row r="72" spans="3:6" x14ac:dyDescent="0.25">
      <c r="C72" s="5" t="s">
        <v>58</v>
      </c>
      <c r="D72" s="4"/>
      <c r="E72" s="4"/>
      <c r="F72" s="4"/>
    </row>
    <row r="73" spans="3:6" x14ac:dyDescent="0.25">
      <c r="C73" s="5" t="s">
        <v>58</v>
      </c>
      <c r="D73" s="4"/>
      <c r="E73" s="4"/>
      <c r="F73" s="4"/>
    </row>
    <row r="74" spans="3:6" x14ac:dyDescent="0.25">
      <c r="C74" s="5" t="s">
        <v>58</v>
      </c>
      <c r="D74" s="4"/>
      <c r="E74" s="4"/>
      <c r="F74" s="4"/>
    </row>
    <row r="75" spans="3:6" x14ac:dyDescent="0.25">
      <c r="C75" s="5" t="s">
        <v>58</v>
      </c>
      <c r="D75" s="4"/>
      <c r="E75" s="4"/>
      <c r="F75" s="4"/>
    </row>
    <row r="76" spans="3:6" x14ac:dyDescent="0.25">
      <c r="C76" s="5" t="s">
        <v>58</v>
      </c>
      <c r="D76" s="4"/>
      <c r="E76" s="4"/>
      <c r="F76" s="4"/>
    </row>
    <row r="77" spans="3:6" x14ac:dyDescent="0.25">
      <c r="C77" s="5" t="s">
        <v>58</v>
      </c>
      <c r="D77" s="4"/>
      <c r="E77" s="4"/>
      <c r="F77" s="4"/>
    </row>
    <row r="78" spans="3:6" x14ac:dyDescent="0.25">
      <c r="C78" s="5" t="s">
        <v>58</v>
      </c>
      <c r="D78" s="4"/>
      <c r="E78" s="4"/>
      <c r="F78" s="4"/>
    </row>
    <row r="79" spans="3:6" x14ac:dyDescent="0.25">
      <c r="C79" s="5" t="s">
        <v>58</v>
      </c>
      <c r="D79" s="4"/>
      <c r="E79" s="4"/>
      <c r="F79" s="4"/>
    </row>
    <row r="80" spans="3:6" x14ac:dyDescent="0.25">
      <c r="C80" s="5" t="s">
        <v>58</v>
      </c>
      <c r="D80" s="4"/>
      <c r="E80" s="4"/>
      <c r="F80" s="4"/>
    </row>
    <row r="81" spans="3:6" x14ac:dyDescent="0.25">
      <c r="C81" s="5" t="s">
        <v>58</v>
      </c>
      <c r="D81" s="4"/>
      <c r="E81" s="4"/>
      <c r="F81" s="4"/>
    </row>
    <row r="82" spans="3:6" x14ac:dyDescent="0.25">
      <c r="C82" s="5" t="s">
        <v>58</v>
      </c>
      <c r="D82" s="4"/>
      <c r="E82" s="4"/>
      <c r="F82" s="4"/>
    </row>
    <row r="83" spans="3:6" x14ac:dyDescent="0.25">
      <c r="C83" s="5" t="s">
        <v>58</v>
      </c>
      <c r="D83" s="4"/>
      <c r="E83" s="4"/>
      <c r="F83" s="4"/>
    </row>
    <row r="84" spans="3:6" x14ac:dyDescent="0.25">
      <c r="C84" s="5" t="s">
        <v>58</v>
      </c>
      <c r="D84" s="4"/>
      <c r="E84" s="4"/>
      <c r="F84" s="4"/>
    </row>
    <row r="85" spans="3:6" x14ac:dyDescent="0.25">
      <c r="C85" s="5" t="s">
        <v>58</v>
      </c>
      <c r="D85" s="4"/>
      <c r="E85" s="4"/>
      <c r="F85" s="4"/>
    </row>
    <row r="86" spans="3:6" x14ac:dyDescent="0.25">
      <c r="C86" s="5" t="s">
        <v>58</v>
      </c>
      <c r="D86" s="4"/>
      <c r="E86" s="4"/>
      <c r="F86" s="4"/>
    </row>
    <row r="87" spans="3:6" x14ac:dyDescent="0.25">
      <c r="C87" s="5" t="s">
        <v>58</v>
      </c>
      <c r="D87" s="4"/>
      <c r="E87" s="4"/>
      <c r="F87" s="4"/>
    </row>
    <row r="88" spans="3:6" x14ac:dyDescent="0.25">
      <c r="C88" s="5" t="s">
        <v>58</v>
      </c>
      <c r="D88" s="4"/>
      <c r="E88" s="4"/>
      <c r="F88" s="4"/>
    </row>
    <row r="89" spans="3:6" x14ac:dyDescent="0.25">
      <c r="C89" s="5" t="s">
        <v>62</v>
      </c>
      <c r="D89" s="4"/>
      <c r="E89" s="4"/>
      <c r="F89" s="4"/>
    </row>
    <row r="90" spans="3:6" x14ac:dyDescent="0.25">
      <c r="C90" s="5" t="s">
        <v>62</v>
      </c>
      <c r="D90" s="4"/>
      <c r="E90" s="4"/>
      <c r="F90" s="4"/>
    </row>
    <row r="91" spans="3:6" x14ac:dyDescent="0.25">
      <c r="C91" s="5" t="s">
        <v>62</v>
      </c>
      <c r="D91" s="4"/>
      <c r="E91" s="4"/>
      <c r="F91" s="4"/>
    </row>
    <row r="92" spans="3:6" x14ac:dyDescent="0.25">
      <c r="C92" s="5" t="s">
        <v>62</v>
      </c>
      <c r="D92" s="4"/>
      <c r="E92" s="4"/>
      <c r="F92" s="4"/>
    </row>
    <row r="93" spans="3:6" x14ac:dyDescent="0.25">
      <c r="C93" s="5" t="s">
        <v>62</v>
      </c>
      <c r="D93" s="4"/>
      <c r="E93" s="4"/>
      <c r="F93" s="4"/>
    </row>
    <row r="94" spans="3:6" x14ac:dyDescent="0.25">
      <c r="C94" s="5" t="s">
        <v>62</v>
      </c>
      <c r="D94" s="4"/>
      <c r="E94" s="4"/>
      <c r="F94" s="4"/>
    </row>
    <row r="95" spans="3:6" x14ac:dyDescent="0.25">
      <c r="C95" s="5" t="s">
        <v>62</v>
      </c>
      <c r="D95" s="4"/>
      <c r="E95" s="4"/>
      <c r="F95" s="4"/>
    </row>
    <row r="96" spans="3:6" x14ac:dyDescent="0.25">
      <c r="C96" s="5" t="s">
        <v>62</v>
      </c>
      <c r="D96" s="4"/>
      <c r="E96" s="4"/>
      <c r="F96" s="4"/>
    </row>
    <row r="97" spans="3:6" x14ac:dyDescent="0.25">
      <c r="C97" s="5" t="s">
        <v>62</v>
      </c>
      <c r="D97" s="4"/>
      <c r="E97" s="4"/>
      <c r="F97" s="4"/>
    </row>
    <row r="98" spans="3:6" x14ac:dyDescent="0.25">
      <c r="C98" s="5" t="s">
        <v>62</v>
      </c>
      <c r="D98" s="4"/>
      <c r="E98" s="4"/>
      <c r="F98" s="4"/>
    </row>
    <row r="99" spans="3:6" x14ac:dyDescent="0.25">
      <c r="C99" s="5" t="s">
        <v>62</v>
      </c>
      <c r="D99" s="4"/>
      <c r="E99" s="4"/>
      <c r="F99" s="4"/>
    </row>
    <row r="100" spans="3:6" x14ac:dyDescent="0.25">
      <c r="C100" s="5" t="s">
        <v>62</v>
      </c>
      <c r="D100" s="4"/>
      <c r="E100" s="4"/>
      <c r="F100" s="4"/>
    </row>
    <row r="101" spans="3:6" x14ac:dyDescent="0.25">
      <c r="C101" s="5" t="s">
        <v>62</v>
      </c>
      <c r="D101" s="4"/>
      <c r="E101" s="4"/>
      <c r="F101" s="4"/>
    </row>
    <row r="102" spans="3:6" x14ac:dyDescent="0.25">
      <c r="C102" s="5" t="s">
        <v>62</v>
      </c>
      <c r="D102" s="4"/>
      <c r="E102" s="4"/>
      <c r="F102" s="4"/>
    </row>
    <row r="103" spans="3:6" x14ac:dyDescent="0.25">
      <c r="C103" s="5" t="s">
        <v>62</v>
      </c>
      <c r="D103" s="4"/>
      <c r="E103" s="4"/>
      <c r="F103" s="4"/>
    </row>
    <row r="104" spans="3:6" x14ac:dyDescent="0.25">
      <c r="C104" s="5" t="s">
        <v>62</v>
      </c>
      <c r="D104" s="4"/>
      <c r="E104" s="4"/>
      <c r="F104" s="4"/>
    </row>
    <row r="105" spans="3:6" x14ac:dyDescent="0.25">
      <c r="C105" s="5" t="s">
        <v>62</v>
      </c>
      <c r="D105" s="4"/>
      <c r="E105" s="4"/>
      <c r="F105" s="4"/>
    </row>
    <row r="106" spans="3:6" x14ac:dyDescent="0.25">
      <c r="C106" s="5"/>
      <c r="D106" s="4"/>
      <c r="E106" s="4"/>
      <c r="F106" s="4"/>
    </row>
    <row r="107" spans="3:6" x14ac:dyDescent="0.25">
      <c r="C107" s="5"/>
      <c r="D107" s="4"/>
      <c r="E107" s="4"/>
      <c r="F107" s="4"/>
    </row>
    <row r="108" spans="3:6" x14ac:dyDescent="0.25">
      <c r="C108" s="5"/>
      <c r="D108" s="4"/>
      <c r="E108" s="4"/>
      <c r="F108" s="4"/>
    </row>
    <row r="109" spans="3:6" x14ac:dyDescent="0.25">
      <c r="C109" s="5"/>
      <c r="D109" s="4"/>
      <c r="E109" s="4"/>
      <c r="F109" s="4"/>
    </row>
    <row r="110" spans="3:6" x14ac:dyDescent="0.25">
      <c r="C110" s="5"/>
      <c r="D110" s="4"/>
      <c r="E110" s="4"/>
      <c r="F110" s="4"/>
    </row>
    <row r="111" spans="3:6" x14ac:dyDescent="0.25">
      <c r="C111" s="5"/>
      <c r="D111" s="4"/>
      <c r="E111" s="4"/>
      <c r="F111" s="4"/>
    </row>
    <row r="112" spans="3:6" x14ac:dyDescent="0.25">
      <c r="C112" s="5"/>
      <c r="D112" s="4"/>
      <c r="E112" s="4"/>
      <c r="F112" s="4"/>
    </row>
    <row r="113" spans="2:6" x14ac:dyDescent="0.25">
      <c r="C113" s="5"/>
      <c r="D113" s="4"/>
      <c r="E113" s="4"/>
      <c r="F113" s="4"/>
    </row>
    <row r="114" spans="2:6" x14ac:dyDescent="0.25">
      <c r="C114" s="5"/>
      <c r="D114" s="4"/>
      <c r="E114" s="4"/>
      <c r="F114" s="4"/>
    </row>
    <row r="115" spans="2:6" x14ac:dyDescent="0.25">
      <c r="C115" s="5"/>
      <c r="D115" s="4"/>
      <c r="E115" s="4"/>
      <c r="F115" s="4"/>
    </row>
    <row r="117" spans="2:6" ht="18.75" x14ac:dyDescent="0.25">
      <c r="C117" s="22" t="s">
        <v>77</v>
      </c>
    </row>
    <row r="118" spans="2:6" x14ac:dyDescent="0.25">
      <c r="B118" t="s">
        <v>78</v>
      </c>
      <c r="C118" s="20" t="s">
        <v>79</v>
      </c>
      <c r="D118" s="20" t="s">
        <v>80</v>
      </c>
      <c r="E118" s="20" t="s">
        <v>81</v>
      </c>
      <c r="F118" s="20" t="s">
        <v>82</v>
      </c>
    </row>
    <row r="119" spans="2:6" ht="47.25" x14ac:dyDescent="0.25">
      <c r="B119" s="29">
        <v>2</v>
      </c>
      <c r="C119" s="30">
        <v>1</v>
      </c>
      <c r="D119" s="33" t="s">
        <v>219</v>
      </c>
      <c r="E119" s="34" t="s">
        <v>220</v>
      </c>
      <c r="F119" s="1"/>
    </row>
    <row r="120" spans="2:6" ht="48" thickBot="1" x14ac:dyDescent="0.3">
      <c r="B120" s="29">
        <v>2</v>
      </c>
      <c r="C120" s="30">
        <v>2</v>
      </c>
      <c r="D120" s="35" t="s">
        <v>221</v>
      </c>
      <c r="E120" s="16" t="s">
        <v>222</v>
      </c>
      <c r="F120" s="1"/>
    </row>
    <row r="121" spans="2:6" ht="47.25" x14ac:dyDescent="0.25">
      <c r="B121" s="29">
        <v>2</v>
      </c>
      <c r="C121" s="30">
        <v>3</v>
      </c>
      <c r="D121" s="36" t="s">
        <v>223</v>
      </c>
      <c r="E121" s="34" t="s">
        <v>224</v>
      </c>
      <c r="F121" s="1"/>
    </row>
    <row r="122" spans="2:6" ht="31.5" x14ac:dyDescent="0.25">
      <c r="B122" s="29">
        <v>2</v>
      </c>
      <c r="C122" s="30">
        <v>4</v>
      </c>
      <c r="D122" s="33" t="s">
        <v>225</v>
      </c>
      <c r="E122" s="34" t="s">
        <v>226</v>
      </c>
      <c r="F122" s="1"/>
    </row>
    <row r="123" spans="2:6" ht="31.5" x14ac:dyDescent="0.25">
      <c r="B123" s="29">
        <v>2</v>
      </c>
      <c r="C123" s="30">
        <v>5</v>
      </c>
      <c r="D123" s="33" t="s">
        <v>227</v>
      </c>
      <c r="E123" s="34" t="s">
        <v>228</v>
      </c>
      <c r="F123" s="1"/>
    </row>
    <row r="124" spans="2:6" ht="31.5" x14ac:dyDescent="0.25">
      <c r="B124" s="29">
        <v>2</v>
      </c>
      <c r="C124" s="30">
        <v>6</v>
      </c>
      <c r="D124" s="33" t="s">
        <v>229</v>
      </c>
      <c r="E124" s="34" t="s">
        <v>230</v>
      </c>
      <c r="F124" s="1"/>
    </row>
    <row r="125" spans="2:6" ht="63" x14ac:dyDescent="0.25">
      <c r="B125" s="29">
        <v>2</v>
      </c>
      <c r="C125" s="30">
        <v>7</v>
      </c>
      <c r="D125" s="37" t="s">
        <v>231</v>
      </c>
      <c r="E125" s="34" t="s">
        <v>232</v>
      </c>
      <c r="F125" s="1"/>
    </row>
    <row r="126" spans="2:6" ht="31.5" x14ac:dyDescent="0.25">
      <c r="B126" s="29">
        <v>2</v>
      </c>
      <c r="C126" s="30">
        <v>8</v>
      </c>
      <c r="D126" s="33" t="s">
        <v>233</v>
      </c>
      <c r="E126" s="34" t="s">
        <v>234</v>
      </c>
      <c r="F126" s="1"/>
    </row>
    <row r="127" spans="2:6" ht="63" x14ac:dyDescent="0.25">
      <c r="B127" s="29">
        <v>2</v>
      </c>
      <c r="C127" s="30">
        <v>9</v>
      </c>
      <c r="D127" s="33" t="s">
        <v>235</v>
      </c>
      <c r="E127" s="34" t="s">
        <v>236</v>
      </c>
      <c r="F127" s="1"/>
    </row>
    <row r="128" spans="2:6" ht="15.75" x14ac:dyDescent="0.25">
      <c r="B128" s="29">
        <v>2</v>
      </c>
      <c r="C128" s="30">
        <v>10</v>
      </c>
      <c r="D128" s="17" t="s">
        <v>237</v>
      </c>
      <c r="E128" s="16" t="s">
        <v>238</v>
      </c>
      <c r="F128" s="1"/>
    </row>
    <row r="129" spans="2:6" ht="15.75" x14ac:dyDescent="0.25">
      <c r="B129" s="29">
        <v>2</v>
      </c>
      <c r="C129" s="30">
        <v>11</v>
      </c>
      <c r="D129" s="17" t="s">
        <v>239</v>
      </c>
      <c r="E129" s="16"/>
      <c r="F129" s="1"/>
    </row>
    <row r="130" spans="2:6" ht="15.75" x14ac:dyDescent="0.25">
      <c r="B130" s="29">
        <v>2</v>
      </c>
      <c r="C130" s="30">
        <v>12</v>
      </c>
      <c r="D130" s="16"/>
      <c r="E130" s="16"/>
      <c r="F130"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088E0275-8A79-45DA-9BB0-DFC2CB5B1F68}">
      <formula1>0</formula1>
      <formula2>80</formula2>
    </dataValidation>
    <dataValidation type="whole" showInputMessage="1" showErrorMessage="1" error="This is not a realistic number of contact hours please change" sqref="D19" xr:uid="{208F3E67-FCC5-4D24-9AB9-A9B23B078D4C}">
      <formula1>0</formula1>
      <formula2>80</formula2>
    </dataValidation>
    <dataValidation type="list" allowBlank="1" showInputMessage="1" showErrorMessage="1" sqref="E38:E39" xr:uid="{DF6F1470-C240-4145-8967-6BE6372A94D1}">
      <formula1>INDIRECT("LISTAssess[Assessment Specific]")</formula1>
    </dataValidation>
    <dataValidation type="list" allowBlank="1" showInputMessage="1" showErrorMessage="1" sqref="F44:F115" xr:uid="{A01883F3-324B-4AE8-80C7-8AC6A6C03B01}">
      <formula1>INDIRECT(VLOOKUP($E44,SkillNameMap,2,FALSE))</formula1>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46FD63B-CA66-4602-8957-02F2C30D76C0}">
          <x14:formula1>
            <xm:f>LISTS!$G$7:$G$11</xm:f>
          </x14:formula1>
          <xm:sqref>D38:D40</xm:sqref>
        </x14:dataValidation>
        <x14:dataValidation type="list" allowBlank="1" showInputMessage="1" showErrorMessage="1" xr:uid="{482D1D00-6773-4B24-BFDA-BDA1FADC21E3}">
          <x14:formula1>
            <xm:f>LISTS!$C$26:$C$37</xm:f>
          </x14:formula1>
          <xm:sqref>D14</xm:sqref>
        </x14:dataValidation>
        <x14:dataValidation type="list" allowBlank="1" showInputMessage="1" showErrorMessage="1" xr:uid="{C96B3BCB-8F57-4D1E-AB5F-690CB6CC2520}">
          <x14:formula1>
            <xm:f>LISTS!$C$17:$C$22</xm:f>
          </x14:formula1>
          <xm:sqref>D13</xm:sqref>
        </x14:dataValidation>
        <x14:dataValidation type="list" allowBlank="1" showInputMessage="1" showErrorMessage="1" xr:uid="{65BD786F-B63F-43DF-88C4-0A80377F77C4}">
          <x14:formula1>
            <xm:f>LISTS!$C$7:$C$9</xm:f>
          </x14:formula1>
          <xm:sqref>D10</xm:sqref>
        </x14:dataValidation>
        <x14:dataValidation type="list" allowBlank="1" showInputMessage="1" showErrorMessage="1" xr:uid="{372ED5DD-94FE-4AA5-8B8E-08ECD834A69E}">
          <x14:formula1>
            <xm:f>LISTS!$C$11:$C$15</xm:f>
          </x14:formula1>
          <xm:sqref>D11</xm:sqref>
        </x14:dataValidation>
        <x14:dataValidation type="list" allowBlank="1" showInputMessage="1" showErrorMessage="1" xr:uid="{2F590632-B7AC-4867-BC22-1E98EBA3511E}">
          <x14:formula1>
            <xm:f>LISTS!$E$7:$E$11</xm:f>
          </x14:formula1>
          <xm:sqref>D44:D45 D47:D115</xm:sqref>
        </x14:dataValidation>
        <x14:dataValidation type="list" allowBlank="1" showInputMessage="1" showErrorMessage="1" xr:uid="{A7E0E6F2-B856-4D5F-9906-2391C976A427}">
          <x14:formula1>
            <xm:f>LISTS!$J$7:$J$16</xm:f>
          </x14:formula1>
          <xm:sqref>E44:E115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272A2-D3CD-4F57-8330-31E84B5C7CBF}">
  <sheetPr codeName="Sheet2"/>
  <dimension ref="B2:H82"/>
  <sheetViews>
    <sheetView showGridLines="0" topLeftCell="E6" zoomScale="117" zoomScaleNormal="117" workbookViewId="0">
      <selection activeCell="E38" sqref="E38"/>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19" t="s">
        <v>240</v>
      </c>
      <c r="D2" s="19" t="s">
        <v>241</v>
      </c>
    </row>
    <row r="3" spans="2:6" x14ac:dyDescent="0.25">
      <c r="B3" s="20"/>
      <c r="C3" s="20"/>
    </row>
    <row r="4" spans="2:6" x14ac:dyDescent="0.25">
      <c r="B4" s="21"/>
      <c r="C4" s="21"/>
    </row>
    <row r="5" spans="2:6" ht="18.75" x14ac:dyDescent="0.25">
      <c r="B5" s="21"/>
      <c r="C5" s="22" t="s">
        <v>0</v>
      </c>
    </row>
    <row r="6" spans="2:6" x14ac:dyDescent="0.25">
      <c r="B6" s="21"/>
      <c r="C6" s="23" t="s">
        <v>1</v>
      </c>
      <c r="D6" s="24" t="s">
        <v>2</v>
      </c>
      <c r="E6" s="24"/>
      <c r="F6" t="s">
        <v>3</v>
      </c>
    </row>
    <row r="7" spans="2:6" ht="135" x14ac:dyDescent="0.25">
      <c r="B7" s="21"/>
      <c r="C7" s="28" t="s">
        <v>4</v>
      </c>
      <c r="D7" s="1" t="s">
        <v>240</v>
      </c>
      <c r="E7" s="24"/>
      <c r="F7" s="48" t="s">
        <v>242</v>
      </c>
    </row>
    <row r="8" spans="2:6" x14ac:dyDescent="0.25">
      <c r="B8" s="21"/>
      <c r="C8" s="28" t="s">
        <v>6</v>
      </c>
      <c r="D8" s="1" t="s">
        <v>241</v>
      </c>
      <c r="E8" s="24"/>
      <c r="F8" s="4"/>
    </row>
    <row r="9" spans="2:6" x14ac:dyDescent="0.25">
      <c r="C9" s="28" t="s">
        <v>9</v>
      </c>
      <c r="D9" s="1">
        <v>20</v>
      </c>
      <c r="E9" s="24"/>
    </row>
    <row r="10" spans="2:6" x14ac:dyDescent="0.25">
      <c r="C10" s="28" t="s">
        <v>10</v>
      </c>
      <c r="D10" s="1">
        <v>2</v>
      </c>
      <c r="E10" s="24"/>
      <c r="F10" t="s">
        <v>11</v>
      </c>
    </row>
    <row r="11" spans="2:6" ht="337.5" x14ac:dyDescent="0.25">
      <c r="C11" s="28" t="s">
        <v>12</v>
      </c>
      <c r="D11" s="1">
        <v>6</v>
      </c>
      <c r="E11" s="24"/>
      <c r="F11" s="49" t="s">
        <v>243</v>
      </c>
    </row>
    <row r="12" spans="2:6" x14ac:dyDescent="0.25">
      <c r="C12" s="28" t="s">
        <v>14</v>
      </c>
      <c r="D12" s="1" t="s">
        <v>206</v>
      </c>
      <c r="E12" s="24"/>
      <c r="F12" s="7"/>
    </row>
    <row r="13" spans="2:6" x14ac:dyDescent="0.25">
      <c r="C13" s="28" t="s">
        <v>17</v>
      </c>
      <c r="D13" s="1" t="s">
        <v>138</v>
      </c>
      <c r="E13" s="24"/>
      <c r="F13" s="4"/>
    </row>
    <row r="14" spans="2:6" x14ac:dyDescent="0.25">
      <c r="C14" s="28" t="s">
        <v>20</v>
      </c>
      <c r="D14" s="1" t="s">
        <v>21</v>
      </c>
      <c r="E14" s="24"/>
    </row>
    <row r="15" spans="2:6" x14ac:dyDescent="0.25">
      <c r="C15" s="23"/>
      <c r="D15" s="24"/>
      <c r="E15" s="24"/>
      <c r="F15" t="s">
        <v>22</v>
      </c>
    </row>
    <row r="16" spans="2:6" ht="121.5" x14ac:dyDescent="0.25">
      <c r="C16" s="23"/>
      <c r="D16" s="24"/>
      <c r="E16" s="24"/>
      <c r="F16" s="44" t="s">
        <v>244</v>
      </c>
    </row>
    <row r="17" spans="3:6" ht="18.75" x14ac:dyDescent="0.25">
      <c r="C17" s="22" t="s">
        <v>24</v>
      </c>
      <c r="D17" s="24"/>
      <c r="E17" s="24"/>
      <c r="F17" s="4"/>
    </row>
    <row r="18" spans="3:6" x14ac:dyDescent="0.25">
      <c r="C18" s="23" t="s">
        <v>26</v>
      </c>
      <c r="D18" s="20" t="s">
        <v>24</v>
      </c>
      <c r="E18" s="24"/>
      <c r="F18" s="4"/>
    </row>
    <row r="19" spans="3:6" x14ac:dyDescent="0.25">
      <c r="C19" s="28" t="s">
        <v>28</v>
      </c>
      <c r="D19" s="2">
        <v>20</v>
      </c>
      <c r="E19" s="24"/>
      <c r="F19" s="4"/>
    </row>
    <row r="20" spans="3:6" x14ac:dyDescent="0.25">
      <c r="C20" s="28" t="s">
        <v>30</v>
      </c>
      <c r="D20" s="2"/>
      <c r="E20" s="24"/>
      <c r="F20" s="4"/>
    </row>
    <row r="21" spans="3:6" x14ac:dyDescent="0.25">
      <c r="C21" s="28" t="s">
        <v>32</v>
      </c>
      <c r="D21" s="2"/>
      <c r="E21" s="24"/>
    </row>
    <row r="22" spans="3:6" x14ac:dyDescent="0.25">
      <c r="C22" s="28" t="s">
        <v>33</v>
      </c>
      <c r="D22" s="2">
        <v>20</v>
      </c>
      <c r="E22" s="24"/>
      <c r="F22" t="s">
        <v>34</v>
      </c>
    </row>
    <row r="23" spans="3:6" ht="120" x14ac:dyDescent="0.25">
      <c r="C23" s="28" t="s">
        <v>35</v>
      </c>
      <c r="D23" s="2"/>
      <c r="E23" s="24"/>
      <c r="F23" s="81" t="s">
        <v>245</v>
      </c>
    </row>
    <row r="24" spans="3:6" ht="105" x14ac:dyDescent="0.25">
      <c r="C24" s="28" t="s">
        <v>37</v>
      </c>
      <c r="D24" s="20">
        <f>SUM(D19:D23)</f>
        <v>40</v>
      </c>
      <c r="E24" s="24"/>
      <c r="F24" s="7" t="s">
        <v>246</v>
      </c>
    </row>
    <row r="25" spans="3:6" ht="120" x14ac:dyDescent="0.25">
      <c r="F25" s="81" t="s">
        <v>247</v>
      </c>
    </row>
    <row r="26" spans="3:6" ht="150" x14ac:dyDescent="0.25">
      <c r="F26" s="81" t="s">
        <v>248</v>
      </c>
    </row>
    <row r="27" spans="3:6" ht="18.75" x14ac:dyDescent="0.25">
      <c r="C27" s="22" t="s">
        <v>39</v>
      </c>
      <c r="D27" s="25" t="s">
        <v>40</v>
      </c>
      <c r="F27" s="4"/>
    </row>
    <row r="28" spans="3:6" x14ac:dyDescent="0.25">
      <c r="C28" s="23" t="s">
        <v>41</v>
      </c>
      <c r="D28" s="23" t="s">
        <v>42</v>
      </c>
      <c r="E28" s="23"/>
      <c r="F28" s="4"/>
    </row>
    <row r="29" spans="3:6" ht="40.5" x14ac:dyDescent="0.25">
      <c r="C29" s="28" t="s">
        <v>43</v>
      </c>
      <c r="D29" s="41" t="s">
        <v>249</v>
      </c>
      <c r="E29" s="24"/>
      <c r="F29" s="4"/>
    </row>
    <row r="30" spans="3:6" ht="27" x14ac:dyDescent="0.25">
      <c r="C30" s="28" t="s">
        <v>45</v>
      </c>
      <c r="D30" s="41" t="s">
        <v>250</v>
      </c>
      <c r="E30" s="24"/>
      <c r="F30" s="4"/>
    </row>
    <row r="31" spans="3:6" ht="40.5" x14ac:dyDescent="0.25">
      <c r="C31" s="28" t="s">
        <v>47</v>
      </c>
      <c r="D31" s="42" t="s">
        <v>251</v>
      </c>
      <c r="E31" s="24"/>
      <c r="F31" s="4"/>
    </row>
    <row r="32" spans="3:6" x14ac:dyDescent="0.25">
      <c r="C32" s="28" t="s">
        <v>49</v>
      </c>
      <c r="D32" s="1"/>
      <c r="E32" s="24"/>
      <c r="F32" s="4"/>
    </row>
    <row r="33" spans="3:8" x14ac:dyDescent="0.25">
      <c r="C33" s="28" t="s">
        <v>50</v>
      </c>
      <c r="D33" s="1"/>
      <c r="E33" s="24"/>
      <c r="F33" s="4"/>
    </row>
    <row r="36" spans="3:8" ht="18.75" x14ac:dyDescent="0.25">
      <c r="C36" s="22" t="s">
        <v>51</v>
      </c>
    </row>
    <row r="37" spans="3:8" x14ac:dyDescent="0.25">
      <c r="C37" s="23" t="s">
        <v>52</v>
      </c>
      <c r="D37" s="23" t="s">
        <v>53</v>
      </c>
      <c r="E37" s="23" t="s">
        <v>54</v>
      </c>
      <c r="F37" s="23" t="s">
        <v>55</v>
      </c>
      <c r="G37" s="23" t="s">
        <v>56</v>
      </c>
      <c r="H37" s="23" t="s">
        <v>57</v>
      </c>
    </row>
    <row r="38" spans="3:8" x14ac:dyDescent="0.25">
      <c r="C38" s="28" t="s">
        <v>58</v>
      </c>
      <c r="D38" s="1" t="s">
        <v>148</v>
      </c>
      <c r="E38" s="1"/>
      <c r="F38" s="1" t="s">
        <v>252</v>
      </c>
      <c r="G38" s="3">
        <v>1</v>
      </c>
      <c r="H38" s="1">
        <v>31</v>
      </c>
    </row>
    <row r="39" spans="3:8" x14ac:dyDescent="0.25">
      <c r="C39" s="28" t="s">
        <v>62</v>
      </c>
      <c r="D39" s="1"/>
      <c r="E39" s="1"/>
      <c r="F39" s="1"/>
      <c r="G39" s="3"/>
      <c r="H39" s="1"/>
    </row>
    <row r="40" spans="3:8" x14ac:dyDescent="0.25">
      <c r="C40" s="28" t="s">
        <v>63</v>
      </c>
      <c r="D40" s="4"/>
      <c r="E40" s="4"/>
      <c r="F40" s="4"/>
      <c r="G40" s="4"/>
      <c r="H40" s="4"/>
    </row>
    <row r="41" spans="3:8" x14ac:dyDescent="0.25">
      <c r="C41" s="28" t="s">
        <v>64</v>
      </c>
      <c r="D41" s="4"/>
      <c r="E41" s="4"/>
      <c r="F41" s="4"/>
      <c r="G41" s="4"/>
      <c r="H41" s="4"/>
    </row>
    <row r="42" spans="3:8" x14ac:dyDescent="0.25">
      <c r="C42" s="23"/>
    </row>
    <row r="44" spans="3:8" ht="18.75" x14ac:dyDescent="0.25">
      <c r="C44" s="22" t="s">
        <v>65</v>
      </c>
      <c r="D44" s="25"/>
    </row>
    <row r="45" spans="3:8" x14ac:dyDescent="0.25">
      <c r="C45" s="20" t="s">
        <v>52</v>
      </c>
      <c r="D45" s="20" t="s">
        <v>41</v>
      </c>
      <c r="E45" s="20" t="s">
        <v>66</v>
      </c>
      <c r="F45" s="20" t="s">
        <v>67</v>
      </c>
    </row>
    <row r="46" spans="3:8" x14ac:dyDescent="0.25">
      <c r="C46" s="5" t="s">
        <v>58</v>
      </c>
      <c r="D46" s="4" t="s">
        <v>43</v>
      </c>
      <c r="E46" s="4" t="s">
        <v>74</v>
      </c>
      <c r="F46" s="4" t="s">
        <v>75</v>
      </c>
    </row>
    <row r="47" spans="3:8" x14ac:dyDescent="0.25">
      <c r="C47" s="5" t="s">
        <v>58</v>
      </c>
      <c r="D47" s="4" t="s">
        <v>45</v>
      </c>
      <c r="E47" s="4" t="s">
        <v>74</v>
      </c>
      <c r="F47" s="4" t="s">
        <v>75</v>
      </c>
    </row>
    <row r="48" spans="3:8" x14ac:dyDescent="0.25">
      <c r="C48" s="5" t="s">
        <v>58</v>
      </c>
      <c r="D48" s="4" t="s">
        <v>47</v>
      </c>
      <c r="E48" s="4" t="s">
        <v>74</v>
      </c>
      <c r="F48" s="4" t="s">
        <v>253</v>
      </c>
    </row>
    <row r="49" spans="3:6" x14ac:dyDescent="0.25">
      <c r="C49" s="5" t="s">
        <v>62</v>
      </c>
      <c r="D49" s="4" t="s">
        <v>43</v>
      </c>
      <c r="E49" s="4" t="s">
        <v>151</v>
      </c>
      <c r="F49" s="4" t="s">
        <v>181</v>
      </c>
    </row>
    <row r="50" spans="3:6" x14ac:dyDescent="0.25">
      <c r="C50" s="5" t="s">
        <v>62</v>
      </c>
      <c r="D50" s="4" t="s">
        <v>45</v>
      </c>
      <c r="E50" s="4" t="s">
        <v>151</v>
      </c>
      <c r="F50" s="4" t="s">
        <v>180</v>
      </c>
    </row>
    <row r="51" spans="3:6" x14ac:dyDescent="0.25">
      <c r="C51" s="5" t="s">
        <v>62</v>
      </c>
      <c r="D51" s="4" t="s">
        <v>47</v>
      </c>
      <c r="E51" s="4" t="s">
        <v>151</v>
      </c>
      <c r="F51" s="4" t="s">
        <v>152</v>
      </c>
    </row>
    <row r="52" spans="3:6" x14ac:dyDescent="0.25">
      <c r="C52" s="5" t="s">
        <v>63</v>
      </c>
      <c r="D52" s="4" t="s">
        <v>45</v>
      </c>
      <c r="E52" s="4" t="s">
        <v>157</v>
      </c>
      <c r="F52" s="4" t="s">
        <v>158</v>
      </c>
    </row>
    <row r="53" spans="3:6" x14ac:dyDescent="0.25">
      <c r="C53" s="5" t="s">
        <v>63</v>
      </c>
      <c r="D53" s="4"/>
      <c r="E53" s="4"/>
      <c r="F53" s="4"/>
    </row>
    <row r="54" spans="3:6" x14ac:dyDescent="0.25">
      <c r="C54" s="5" t="s">
        <v>63</v>
      </c>
      <c r="D54" s="4"/>
      <c r="E54" s="4"/>
      <c r="F54" s="4"/>
    </row>
    <row r="55" spans="3:6" x14ac:dyDescent="0.25">
      <c r="C55" s="5" t="s">
        <v>64</v>
      </c>
      <c r="D55" s="4"/>
      <c r="E55" s="4"/>
      <c r="F55" s="4"/>
    </row>
    <row r="56" spans="3:6" x14ac:dyDescent="0.25">
      <c r="C56" s="5" t="s">
        <v>64</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22" t="s">
        <v>77</v>
      </c>
    </row>
    <row r="70" spans="2:6" x14ac:dyDescent="0.25">
      <c r="B70" t="s">
        <v>78</v>
      </c>
      <c r="C70" s="20" t="s">
        <v>79</v>
      </c>
      <c r="D70" s="20" t="s">
        <v>80</v>
      </c>
      <c r="E70" s="20" t="s">
        <v>81</v>
      </c>
      <c r="F70" s="20" t="s">
        <v>82</v>
      </c>
    </row>
    <row r="71" spans="2:6" ht="54" x14ac:dyDescent="0.25">
      <c r="B71" s="29">
        <v>2</v>
      </c>
      <c r="C71" s="30">
        <v>1</v>
      </c>
      <c r="D71" s="43" t="s">
        <v>254</v>
      </c>
      <c r="E71" s="44" t="s">
        <v>255</v>
      </c>
      <c r="F71" s="1"/>
    </row>
    <row r="72" spans="2:6" ht="27" x14ac:dyDescent="0.25">
      <c r="B72" s="29">
        <v>2</v>
      </c>
      <c r="C72" s="30">
        <v>2</v>
      </c>
      <c r="D72" s="44" t="s">
        <v>256</v>
      </c>
      <c r="E72" s="44" t="s">
        <v>257</v>
      </c>
      <c r="F72" s="1"/>
    </row>
    <row r="73" spans="2:6" ht="54" x14ac:dyDescent="0.25">
      <c r="B73" s="29">
        <v>2</v>
      </c>
      <c r="C73" s="30">
        <v>3</v>
      </c>
      <c r="D73" s="43" t="s">
        <v>258</v>
      </c>
      <c r="E73" s="44" t="s">
        <v>259</v>
      </c>
      <c r="F73" s="1"/>
    </row>
    <row r="74" spans="2:6" ht="40.5" x14ac:dyDescent="0.25">
      <c r="B74" s="29">
        <v>2</v>
      </c>
      <c r="C74" s="30">
        <v>4</v>
      </c>
      <c r="D74" s="43" t="s">
        <v>260</v>
      </c>
      <c r="E74" s="1"/>
      <c r="F74" s="1"/>
    </row>
    <row r="75" spans="2:6" ht="40.5" x14ac:dyDescent="0.25">
      <c r="B75" s="29">
        <v>2</v>
      </c>
      <c r="C75" s="30">
        <v>5</v>
      </c>
      <c r="D75" s="44" t="s">
        <v>261</v>
      </c>
      <c r="E75" s="1"/>
      <c r="F75" s="1"/>
    </row>
    <row r="76" spans="2:6" ht="67.5" x14ac:dyDescent="0.25">
      <c r="B76" s="29">
        <v>2</v>
      </c>
      <c r="C76" s="30">
        <v>6</v>
      </c>
      <c r="D76" s="43" t="s">
        <v>262</v>
      </c>
      <c r="E76" s="44" t="s">
        <v>263</v>
      </c>
      <c r="F76" s="1"/>
    </row>
    <row r="77" spans="2:6" ht="27" x14ac:dyDescent="0.25">
      <c r="B77" s="29">
        <v>2</v>
      </c>
      <c r="C77" s="30">
        <v>7</v>
      </c>
      <c r="D77" s="43" t="s">
        <v>264</v>
      </c>
      <c r="E77" s="45" t="s">
        <v>265</v>
      </c>
      <c r="F77" s="1"/>
    </row>
    <row r="78" spans="2:6" ht="40.5" x14ac:dyDescent="0.25">
      <c r="B78" s="29">
        <v>2</v>
      </c>
      <c r="C78" s="30">
        <v>8</v>
      </c>
      <c r="D78" s="46" t="s">
        <v>266</v>
      </c>
      <c r="E78" s="44" t="s">
        <v>267</v>
      </c>
      <c r="F78" s="1"/>
    </row>
    <row r="79" spans="2:6" ht="27" x14ac:dyDescent="0.25">
      <c r="B79" s="29">
        <v>2</v>
      </c>
      <c r="C79" s="30">
        <v>9</v>
      </c>
      <c r="D79" s="44" t="s">
        <v>268</v>
      </c>
      <c r="E79" s="44" t="s">
        <v>269</v>
      </c>
      <c r="F79" s="1"/>
    </row>
    <row r="80" spans="2:6" ht="15.75" thickBot="1" x14ac:dyDescent="0.3">
      <c r="B80" s="29">
        <v>2</v>
      </c>
      <c r="C80" s="30">
        <v>10</v>
      </c>
      <c r="D80" s="45" t="s">
        <v>270</v>
      </c>
      <c r="E80" s="45" t="s">
        <v>271</v>
      </c>
      <c r="F80" s="1"/>
    </row>
    <row r="81" spans="2:6" ht="15.75" thickBot="1" x14ac:dyDescent="0.3">
      <c r="B81" s="29">
        <v>2</v>
      </c>
      <c r="C81" s="30">
        <v>11</v>
      </c>
      <c r="D81" s="47" t="s">
        <v>272</v>
      </c>
      <c r="E81" s="1"/>
      <c r="F81" s="1"/>
    </row>
    <row r="82" spans="2:6" x14ac:dyDescent="0.25">
      <c r="B82" s="29">
        <v>2</v>
      </c>
      <c r="C82" s="30">
        <v>12</v>
      </c>
      <c r="D82" s="1"/>
      <c r="E82" s="1"/>
      <c r="F82"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E3635C98-6BE9-46C5-AE3E-80700FE14FE2}">
      <formula1>0</formula1>
      <formula2>80</formula2>
    </dataValidation>
    <dataValidation type="whole" showInputMessage="1" showErrorMessage="1" error="This is not a realistic number of contact hours please change" sqref="D19" xr:uid="{B2533A40-EAB4-45F7-A5C9-B329560AF979}">
      <formula1>0</formula1>
      <formula2>80</formula2>
    </dataValidation>
    <dataValidation type="list" allowBlank="1" showInputMessage="1" showErrorMessage="1" sqref="E38:E41" xr:uid="{82E3F305-C93A-4803-A9A3-8DE6AF57B4D5}">
      <formula1>INDIRECT("LISTAssess[Assessment Specific]")</formula1>
    </dataValidation>
    <dataValidation type="list" allowBlank="1" showInputMessage="1" showErrorMessage="1" sqref="F46:F66" xr:uid="{850CA45C-5280-4D47-9FB6-137E06EF9533}">
      <formula1>INDIRECT(VLOOKUP($E46, SkillNameMap, 2, FALSE))</formula1>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C8E79981-E844-4F3D-9EB4-B2C6A4A3A3F8}">
          <x14:formula1>
            <xm:f>LISTS!$C$26:$C$37</xm:f>
          </x14:formula1>
          <xm:sqref>D14</xm:sqref>
        </x14:dataValidation>
        <x14:dataValidation type="list" allowBlank="1" showInputMessage="1" showErrorMessage="1" xr:uid="{7C2BA384-C5CE-4BAB-9CAF-B95205086409}">
          <x14:formula1>
            <xm:f>LISTS!$C$17:$C$22</xm:f>
          </x14:formula1>
          <xm:sqref>D13</xm:sqref>
        </x14:dataValidation>
        <x14:dataValidation type="list" allowBlank="1" showInputMessage="1" showErrorMessage="1" xr:uid="{1FA9D3FE-A20D-4342-9AF9-A25408600EF3}">
          <x14:formula1>
            <xm:f>LISTS!$C$7:$C$9</xm:f>
          </x14:formula1>
          <xm:sqref>D10</xm:sqref>
        </x14:dataValidation>
        <x14:dataValidation type="list" allowBlank="1" showInputMessage="1" showErrorMessage="1" xr:uid="{6E21DF8B-9E24-4E56-9ABB-04B2E82C9379}">
          <x14:formula1>
            <xm:f>LISTS!$C$11:$C$15</xm:f>
          </x14:formula1>
          <xm:sqref>D11</xm:sqref>
        </x14:dataValidation>
        <x14:dataValidation type="list" allowBlank="1" showInputMessage="1" showErrorMessage="1" xr:uid="{FF166450-CE18-422B-B4F4-026300718F6C}">
          <x14:formula1>
            <xm:f>LISTS!$G$7:$G$11</xm:f>
          </x14:formula1>
          <xm:sqref>D38:D42</xm:sqref>
        </x14:dataValidation>
        <x14:dataValidation type="list" allowBlank="1" showInputMessage="1" showErrorMessage="1" xr:uid="{D91C002B-C7A8-4291-BA31-A4A3AC1461E6}">
          <x14:formula1>
            <xm:f>LISTS!$E$7:$E$11</xm:f>
          </x14:formula1>
          <xm:sqref>D46:D66</xm:sqref>
        </x14:dataValidation>
        <x14:dataValidation type="list" allowBlank="1" showInputMessage="1" showErrorMessage="1" xr:uid="{91066FA2-49EF-4FFA-9F5C-B32EE1233672}">
          <x14:formula1>
            <xm:f>LISTS!$J$7:$J$16</xm:f>
          </x14:formula1>
          <xm:sqref>E46:E66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DFE9-F6DD-4E3D-9B0A-EE0E4450ED7C}">
  <sheetPr codeName="Sheet8"/>
  <dimension ref="B2:H94"/>
  <sheetViews>
    <sheetView showGridLines="0" topLeftCell="E29" zoomScale="85" zoomScaleNormal="85" workbookViewId="0">
      <selection activeCell="F25" activeCellId="2" sqref="F23 F24 F25"/>
    </sheetView>
  </sheetViews>
  <sheetFormatPr defaultColWidth="8.85546875" defaultRowHeight="15" x14ac:dyDescent="0.25"/>
  <cols>
    <col min="3" max="3" width="33.28515625" customWidth="1"/>
    <col min="4" max="4" width="51.42578125"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19" t="str">
        <f>D7</f>
        <v>6202SPS</v>
      </c>
      <c r="D2" s="19" t="s">
        <v>273</v>
      </c>
    </row>
    <row r="3" spans="2:6" x14ac:dyDescent="0.25">
      <c r="B3" s="20"/>
      <c r="C3" s="20"/>
    </row>
    <row r="4" spans="2:6" x14ac:dyDescent="0.25">
      <c r="B4" s="21"/>
      <c r="C4" s="21"/>
    </row>
    <row r="5" spans="2:6" ht="18.75" x14ac:dyDescent="0.25">
      <c r="B5" s="21"/>
      <c r="C5" s="22" t="s">
        <v>0</v>
      </c>
    </row>
    <row r="6" spans="2:6" x14ac:dyDescent="0.25">
      <c r="B6" s="21"/>
      <c r="C6" s="23" t="s">
        <v>1</v>
      </c>
      <c r="D6" s="24" t="s">
        <v>2</v>
      </c>
      <c r="E6" s="24"/>
      <c r="F6" t="s">
        <v>3</v>
      </c>
    </row>
    <row r="7" spans="2:6" ht="225.75" x14ac:dyDescent="0.25">
      <c r="B7" s="21"/>
      <c r="C7" s="28" t="s">
        <v>4</v>
      </c>
      <c r="D7" s="1" t="s">
        <v>274</v>
      </c>
      <c r="E7" s="24"/>
      <c r="F7" s="52" t="s">
        <v>275</v>
      </c>
    </row>
    <row r="8" spans="2:6" x14ac:dyDescent="0.25">
      <c r="B8" s="21"/>
      <c r="C8" s="28" t="s">
        <v>6</v>
      </c>
      <c r="D8" s="1" t="s">
        <v>273</v>
      </c>
      <c r="E8" s="24"/>
      <c r="F8" s="4"/>
    </row>
    <row r="9" spans="2:6" x14ac:dyDescent="0.25">
      <c r="C9" s="28" t="s">
        <v>9</v>
      </c>
      <c r="D9" s="1">
        <v>20</v>
      </c>
      <c r="E9" s="24"/>
    </row>
    <row r="10" spans="2:6" x14ac:dyDescent="0.25">
      <c r="C10" s="28" t="s">
        <v>10</v>
      </c>
      <c r="D10" s="1">
        <v>1</v>
      </c>
      <c r="E10" s="24"/>
      <c r="F10" t="s">
        <v>11</v>
      </c>
    </row>
    <row r="11" spans="2:6" ht="76.5" x14ac:dyDescent="0.25">
      <c r="C11" s="28" t="s">
        <v>12</v>
      </c>
      <c r="D11" s="1">
        <v>6</v>
      </c>
      <c r="E11" s="24"/>
      <c r="F11" s="53" t="s">
        <v>276</v>
      </c>
    </row>
    <row r="12" spans="2:6" ht="91.5" x14ac:dyDescent="0.25">
      <c r="C12" s="28" t="s">
        <v>14</v>
      </c>
      <c r="D12" s="1" t="s">
        <v>277</v>
      </c>
      <c r="E12" s="24"/>
      <c r="F12" s="84" t="s">
        <v>278</v>
      </c>
    </row>
    <row r="13" spans="2:6" ht="91.5" x14ac:dyDescent="0.25">
      <c r="C13" s="28" t="s">
        <v>17</v>
      </c>
      <c r="D13" s="1" t="s">
        <v>138</v>
      </c>
      <c r="E13" s="24"/>
      <c r="F13" s="53" t="s">
        <v>279</v>
      </c>
    </row>
    <row r="14" spans="2:6" ht="137.25" x14ac:dyDescent="0.25">
      <c r="C14" s="28" t="s">
        <v>20</v>
      </c>
      <c r="D14" s="1" t="s">
        <v>21</v>
      </c>
      <c r="E14" s="24"/>
      <c r="F14" s="85" t="s">
        <v>280</v>
      </c>
    </row>
    <row r="15" spans="2:6" ht="15.75" x14ac:dyDescent="0.25">
      <c r="C15" s="23"/>
      <c r="D15" s="24"/>
      <c r="E15" s="24"/>
      <c r="F15" s="50" t="s">
        <v>281</v>
      </c>
    </row>
    <row r="16" spans="2:6" ht="15.75" x14ac:dyDescent="0.25">
      <c r="C16" s="23"/>
      <c r="D16" s="24"/>
      <c r="E16" s="24"/>
      <c r="F16" s="54"/>
    </row>
    <row r="17" spans="3:6" ht="18.75" x14ac:dyDescent="0.25">
      <c r="C17" s="22" t="s">
        <v>24</v>
      </c>
      <c r="D17" s="24"/>
      <c r="E17" s="24"/>
      <c r="F17" s="55"/>
    </row>
    <row r="18" spans="3:6" ht="15.75" x14ac:dyDescent="0.25">
      <c r="C18" s="23" t="s">
        <v>26</v>
      </c>
      <c r="D18" s="20" t="s">
        <v>24</v>
      </c>
      <c r="E18" s="24"/>
      <c r="F18" s="56"/>
    </row>
    <row r="19" spans="3:6" ht="15.75" x14ac:dyDescent="0.25">
      <c r="C19" s="28" t="s">
        <v>28</v>
      </c>
      <c r="D19" s="2">
        <v>15</v>
      </c>
      <c r="E19" s="24"/>
      <c r="F19" s="56"/>
    </row>
    <row r="20" spans="3:6" x14ac:dyDescent="0.25">
      <c r="C20" s="28" t="s">
        <v>30</v>
      </c>
      <c r="D20" s="2"/>
      <c r="E20" s="24"/>
      <c r="F20" s="4"/>
    </row>
    <row r="21" spans="3:6" x14ac:dyDescent="0.25">
      <c r="C21" s="28" t="s">
        <v>32</v>
      </c>
      <c r="D21" s="2">
        <v>10</v>
      </c>
      <c r="E21" s="24"/>
    </row>
    <row r="22" spans="3:6" x14ac:dyDescent="0.25">
      <c r="C22" s="28" t="s">
        <v>33</v>
      </c>
      <c r="D22" s="2">
        <v>15</v>
      </c>
      <c r="E22" s="24"/>
      <c r="F22" t="s">
        <v>34</v>
      </c>
    </row>
    <row r="23" spans="3:6" ht="198" customHeight="1" x14ac:dyDescent="0.25">
      <c r="C23" s="28" t="s">
        <v>35</v>
      </c>
      <c r="D23" s="2"/>
      <c r="E23" s="24"/>
      <c r="F23" s="71" t="s">
        <v>282</v>
      </c>
    </row>
    <row r="24" spans="3:6" ht="30" x14ac:dyDescent="0.25">
      <c r="C24" s="28" t="s">
        <v>37</v>
      </c>
      <c r="D24" s="20">
        <f>SUM(D19:D23)</f>
        <v>40</v>
      </c>
      <c r="E24" s="24"/>
      <c r="F24" s="72" t="s">
        <v>283</v>
      </c>
    </row>
    <row r="25" spans="3:6" ht="30" x14ac:dyDescent="0.25">
      <c r="F25" s="72" t="s">
        <v>284</v>
      </c>
    </row>
    <row r="26" spans="3:6" x14ac:dyDescent="0.25">
      <c r="F26" s="4"/>
    </row>
    <row r="27" spans="3:6" ht="18.75" x14ac:dyDescent="0.25">
      <c r="C27" s="22" t="s">
        <v>39</v>
      </c>
      <c r="D27" s="25" t="s">
        <v>40</v>
      </c>
      <c r="F27" s="4"/>
    </row>
    <row r="28" spans="3:6" x14ac:dyDescent="0.25">
      <c r="C28" s="23" t="s">
        <v>41</v>
      </c>
      <c r="D28" s="23" t="s">
        <v>42</v>
      </c>
      <c r="E28" s="23"/>
      <c r="F28" s="4"/>
    </row>
    <row r="29" spans="3:6" ht="30" x14ac:dyDescent="0.25">
      <c r="C29" s="28" t="s">
        <v>43</v>
      </c>
      <c r="D29" s="68" t="s">
        <v>285</v>
      </c>
      <c r="E29" s="24"/>
      <c r="F29" s="4"/>
    </row>
    <row r="30" spans="3:6" ht="60" x14ac:dyDescent="0.25">
      <c r="C30" s="28" t="s">
        <v>45</v>
      </c>
      <c r="D30" s="69" t="s">
        <v>286</v>
      </c>
      <c r="E30" s="24"/>
      <c r="F30" s="4"/>
    </row>
    <row r="31" spans="3:6" ht="30" x14ac:dyDescent="0.25">
      <c r="C31" s="28" t="s">
        <v>47</v>
      </c>
      <c r="D31" s="70" t="s">
        <v>287</v>
      </c>
      <c r="E31" s="24"/>
      <c r="F31" s="4"/>
    </row>
    <row r="32" spans="3:6" x14ac:dyDescent="0.25">
      <c r="C32" s="28" t="s">
        <v>49</v>
      </c>
      <c r="D32" s="1"/>
      <c r="E32" s="24"/>
      <c r="F32" s="4"/>
    </row>
    <row r="33" spans="3:8" x14ac:dyDescent="0.25">
      <c r="C33" s="28" t="s">
        <v>50</v>
      </c>
      <c r="D33" s="1"/>
      <c r="E33" s="24"/>
      <c r="F33" s="4"/>
    </row>
    <row r="36" spans="3:8" ht="18.75" x14ac:dyDescent="0.25">
      <c r="C36" s="22" t="s">
        <v>51</v>
      </c>
    </row>
    <row r="37" spans="3:8" x14ac:dyDescent="0.25">
      <c r="C37" s="23" t="s">
        <v>52</v>
      </c>
      <c r="D37" s="23" t="s">
        <v>53</v>
      </c>
      <c r="E37" s="23" t="s">
        <v>54</v>
      </c>
      <c r="F37" s="23" t="s">
        <v>55</v>
      </c>
      <c r="G37" s="23" t="s">
        <v>56</v>
      </c>
      <c r="H37" s="23" t="s">
        <v>57</v>
      </c>
    </row>
    <row r="38" spans="3:8" x14ac:dyDescent="0.25">
      <c r="C38" s="28" t="s">
        <v>58</v>
      </c>
      <c r="D38" s="1" t="s">
        <v>116</v>
      </c>
      <c r="E38" s="1"/>
      <c r="F38" s="1" t="s">
        <v>288</v>
      </c>
      <c r="G38" s="3">
        <v>1</v>
      </c>
      <c r="H38" s="1">
        <v>12</v>
      </c>
    </row>
    <row r="39" spans="3:8" x14ac:dyDescent="0.25">
      <c r="C39" s="28" t="s">
        <v>62</v>
      </c>
      <c r="D39" s="1"/>
      <c r="E39" s="1"/>
      <c r="F39" s="1"/>
      <c r="G39" s="3"/>
      <c r="H39" s="1"/>
    </row>
    <row r="40" spans="3:8" x14ac:dyDescent="0.25">
      <c r="C40" s="28" t="s">
        <v>63</v>
      </c>
      <c r="D40" s="4"/>
      <c r="E40" s="4"/>
      <c r="F40" s="4"/>
      <c r="G40" s="4"/>
      <c r="H40" s="4"/>
    </row>
    <row r="41" spans="3:8" x14ac:dyDescent="0.25">
      <c r="C41" s="28" t="s">
        <v>64</v>
      </c>
      <c r="D41" s="4"/>
      <c r="E41" s="4"/>
      <c r="F41" s="4"/>
      <c r="G41" s="4"/>
      <c r="H41" s="4"/>
    </row>
    <row r="42" spans="3:8" x14ac:dyDescent="0.25">
      <c r="C42" s="23"/>
    </row>
    <row r="44" spans="3:8" ht="18.75" x14ac:dyDescent="0.25">
      <c r="C44" s="22" t="s">
        <v>65</v>
      </c>
      <c r="D44" s="25"/>
    </row>
    <row r="45" spans="3:8" x14ac:dyDescent="0.25">
      <c r="C45" s="20" t="s">
        <v>52</v>
      </c>
      <c r="D45" s="20" t="s">
        <v>41</v>
      </c>
      <c r="E45" s="20" t="s">
        <v>66</v>
      </c>
      <c r="F45" s="20" t="s">
        <v>67</v>
      </c>
    </row>
    <row r="46" spans="3:8" x14ac:dyDescent="0.25">
      <c r="C46" s="5" t="s">
        <v>58</v>
      </c>
      <c r="D46" s="4" t="s">
        <v>43</v>
      </c>
      <c r="E46" s="4" t="s">
        <v>68</v>
      </c>
      <c r="F46" s="4" t="s">
        <v>289</v>
      </c>
    </row>
    <row r="47" spans="3:8" x14ac:dyDescent="0.25">
      <c r="C47" s="5" t="s">
        <v>58</v>
      </c>
      <c r="D47" s="4" t="s">
        <v>45</v>
      </c>
      <c r="E47" s="4" t="s">
        <v>68</v>
      </c>
      <c r="F47" s="4" t="s">
        <v>290</v>
      </c>
    </row>
    <row r="48" spans="3:8" x14ac:dyDescent="0.25">
      <c r="C48" s="5" t="s">
        <v>58</v>
      </c>
      <c r="D48" s="4" t="s">
        <v>47</v>
      </c>
      <c r="E48" s="4" t="s">
        <v>74</v>
      </c>
      <c r="F48" s="4" t="s">
        <v>164</v>
      </c>
    </row>
    <row r="49" spans="3:6" x14ac:dyDescent="0.25">
      <c r="C49" s="5"/>
      <c r="D49" s="4"/>
      <c r="E49" s="4"/>
      <c r="F49" s="4"/>
    </row>
    <row r="50" spans="3:6" x14ac:dyDescent="0.25">
      <c r="C50" s="5"/>
      <c r="D50" s="4"/>
      <c r="E50" s="4"/>
      <c r="F50" s="4"/>
    </row>
    <row r="51" spans="3:6" x14ac:dyDescent="0.25">
      <c r="C51" s="5"/>
      <c r="D51" s="4"/>
      <c r="E51" s="4"/>
      <c r="F51" s="4"/>
    </row>
    <row r="52" spans="3:6" x14ac:dyDescent="0.25">
      <c r="C52" s="5"/>
      <c r="D52" s="4"/>
      <c r="E52" s="4"/>
      <c r="F52" s="4"/>
    </row>
    <row r="53" spans="3:6" x14ac:dyDescent="0.25">
      <c r="C53" s="5"/>
      <c r="D53" s="4"/>
      <c r="E53" s="4"/>
      <c r="F53" s="4"/>
    </row>
    <row r="54" spans="3:6" x14ac:dyDescent="0.25">
      <c r="C54" s="5"/>
      <c r="D54" s="4"/>
      <c r="E54" s="4"/>
      <c r="F54" s="4"/>
    </row>
    <row r="55" spans="3:6" x14ac:dyDescent="0.25">
      <c r="C55" s="5"/>
      <c r="D55" s="4"/>
      <c r="E55" s="4"/>
      <c r="F55" s="4"/>
    </row>
    <row r="56" spans="3:6" x14ac:dyDescent="0.25">
      <c r="C56" s="5"/>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22" t="s">
        <v>77</v>
      </c>
    </row>
    <row r="70" spans="2:6" x14ac:dyDescent="0.25">
      <c r="B70" t="s">
        <v>78</v>
      </c>
      <c r="C70" s="20" t="s">
        <v>79</v>
      </c>
      <c r="D70" s="20" t="s">
        <v>80</v>
      </c>
      <c r="E70" s="20" t="s">
        <v>81</v>
      </c>
      <c r="F70" s="20" t="s">
        <v>82</v>
      </c>
    </row>
    <row r="71" spans="2:6" x14ac:dyDescent="0.25">
      <c r="B71" s="29">
        <v>1</v>
      </c>
      <c r="C71" s="30">
        <v>1</v>
      </c>
      <c r="D71" s="15" t="s">
        <v>291</v>
      </c>
      <c r="E71" s="1"/>
      <c r="F71" s="1"/>
    </row>
    <row r="72" spans="2:6" x14ac:dyDescent="0.25">
      <c r="B72" s="29">
        <v>1</v>
      </c>
      <c r="C72" s="30">
        <v>2</v>
      </c>
      <c r="D72" s="51" t="s">
        <v>292</v>
      </c>
      <c r="E72" s="1"/>
      <c r="F72" s="1"/>
    </row>
    <row r="73" spans="2:6" x14ac:dyDescent="0.25">
      <c r="B73" s="29">
        <v>1</v>
      </c>
      <c r="C73" s="30">
        <v>3</v>
      </c>
      <c r="D73" s="51" t="s">
        <v>293</v>
      </c>
      <c r="E73" s="1"/>
      <c r="F73" s="1"/>
    </row>
    <row r="74" spans="2:6" x14ac:dyDescent="0.25">
      <c r="B74" s="29">
        <v>1</v>
      </c>
      <c r="C74" s="30">
        <v>4</v>
      </c>
      <c r="D74" s="51" t="s">
        <v>294</v>
      </c>
      <c r="E74" s="1"/>
      <c r="F74" s="1"/>
    </row>
    <row r="75" spans="2:6" x14ac:dyDescent="0.25">
      <c r="B75" s="29">
        <v>1</v>
      </c>
      <c r="C75" s="30">
        <v>5</v>
      </c>
      <c r="D75" s="51" t="s">
        <v>295</v>
      </c>
      <c r="E75" s="1"/>
      <c r="F75" s="1"/>
    </row>
    <row r="76" spans="2:6" x14ac:dyDescent="0.25">
      <c r="B76" s="29">
        <v>1</v>
      </c>
      <c r="C76" s="30">
        <v>6</v>
      </c>
      <c r="D76" s="51" t="s">
        <v>296</v>
      </c>
      <c r="E76" s="1"/>
      <c r="F76" s="1"/>
    </row>
    <row r="77" spans="2:6" ht="30" x14ac:dyDescent="0.25">
      <c r="B77" s="29">
        <v>1</v>
      </c>
      <c r="C77" s="30">
        <v>7</v>
      </c>
      <c r="D77" s="18" t="s">
        <v>297</v>
      </c>
      <c r="E77" s="1" t="s">
        <v>298</v>
      </c>
      <c r="F77" s="1"/>
    </row>
    <row r="78" spans="2:6" x14ac:dyDescent="0.25">
      <c r="B78" s="29">
        <v>1</v>
      </c>
      <c r="C78" s="30">
        <v>8</v>
      </c>
      <c r="D78" s="18" t="s">
        <v>299</v>
      </c>
      <c r="E78" s="1"/>
      <c r="F78" s="1"/>
    </row>
    <row r="79" spans="2:6" x14ac:dyDescent="0.25">
      <c r="B79" s="29">
        <v>1</v>
      </c>
      <c r="C79" s="30">
        <v>9</v>
      </c>
      <c r="D79" s="18" t="s">
        <v>299</v>
      </c>
      <c r="E79" s="1"/>
      <c r="F79" s="1"/>
    </row>
    <row r="80" spans="2:6" x14ac:dyDescent="0.25">
      <c r="B80" s="29">
        <v>1</v>
      </c>
      <c r="C80" s="30">
        <v>10</v>
      </c>
      <c r="D80" s="51" t="s">
        <v>300</v>
      </c>
      <c r="E80" s="1"/>
      <c r="F80" s="1"/>
    </row>
    <row r="81" spans="2:6" x14ac:dyDescent="0.25">
      <c r="B81" s="29">
        <v>1</v>
      </c>
      <c r="C81" s="30">
        <v>11</v>
      </c>
      <c r="D81" s="51" t="s">
        <v>301</v>
      </c>
      <c r="E81" s="1"/>
      <c r="F81" s="1"/>
    </row>
    <row r="82" spans="2:6" x14ac:dyDescent="0.25">
      <c r="B82" s="29">
        <v>1</v>
      </c>
      <c r="C82" s="30">
        <v>12</v>
      </c>
      <c r="D82" s="18" t="s">
        <v>302</v>
      </c>
      <c r="E82" s="1"/>
      <c r="F82" s="1"/>
    </row>
    <row r="83" spans="2:6" x14ac:dyDescent="0.25">
      <c r="B83" s="29">
        <v>2</v>
      </c>
      <c r="C83" s="30">
        <v>1</v>
      </c>
      <c r="D83" s="1"/>
      <c r="E83" s="1"/>
      <c r="F83" s="1"/>
    </row>
    <row r="84" spans="2:6" x14ac:dyDescent="0.25">
      <c r="B84" s="29">
        <v>2</v>
      </c>
      <c r="C84" s="30">
        <v>2</v>
      </c>
      <c r="D84" s="1"/>
      <c r="E84" s="1"/>
      <c r="F84" s="1"/>
    </row>
    <row r="85" spans="2:6" x14ac:dyDescent="0.25">
      <c r="B85" s="29">
        <v>2</v>
      </c>
      <c r="C85" s="30">
        <v>3</v>
      </c>
      <c r="D85" s="1"/>
      <c r="E85" s="1"/>
      <c r="F85" s="1"/>
    </row>
    <row r="86" spans="2:6" x14ac:dyDescent="0.25">
      <c r="B86" s="29">
        <v>2</v>
      </c>
      <c r="C86" s="30">
        <v>4</v>
      </c>
      <c r="D86" s="1"/>
      <c r="E86" s="1"/>
      <c r="F86" s="1"/>
    </row>
    <row r="87" spans="2:6" x14ac:dyDescent="0.25">
      <c r="B87" s="29">
        <v>2</v>
      </c>
      <c r="C87" s="30">
        <v>5</v>
      </c>
      <c r="D87" s="1"/>
      <c r="E87" s="1"/>
      <c r="F87" s="1"/>
    </row>
    <row r="88" spans="2:6" x14ac:dyDescent="0.25">
      <c r="B88" s="29">
        <v>2</v>
      </c>
      <c r="C88" s="30">
        <v>6</v>
      </c>
      <c r="D88" s="1"/>
      <c r="E88" s="1"/>
      <c r="F88" s="1"/>
    </row>
    <row r="89" spans="2:6" x14ac:dyDescent="0.25">
      <c r="B89" s="29">
        <v>2</v>
      </c>
      <c r="C89" s="30">
        <v>7</v>
      </c>
      <c r="D89" s="1"/>
      <c r="E89" s="1"/>
      <c r="F89" s="1"/>
    </row>
    <row r="90" spans="2:6" x14ac:dyDescent="0.25">
      <c r="B90" s="29">
        <v>2</v>
      </c>
      <c r="C90" s="30">
        <v>8</v>
      </c>
      <c r="D90" s="1"/>
      <c r="E90" s="1"/>
      <c r="F90" s="1"/>
    </row>
    <row r="91" spans="2:6" x14ac:dyDescent="0.25">
      <c r="B91" s="29">
        <v>2</v>
      </c>
      <c r="C91" s="30">
        <v>9</v>
      </c>
      <c r="D91" s="1"/>
      <c r="E91" s="1"/>
      <c r="F91" s="1"/>
    </row>
    <row r="92" spans="2:6" x14ac:dyDescent="0.25">
      <c r="B92" s="29">
        <v>2</v>
      </c>
      <c r="C92" s="30">
        <v>10</v>
      </c>
      <c r="D92" s="1"/>
      <c r="E92" s="1"/>
      <c r="F92" s="1"/>
    </row>
    <row r="93" spans="2:6" x14ac:dyDescent="0.25">
      <c r="B93" s="29">
        <v>2</v>
      </c>
      <c r="C93" s="30">
        <v>11</v>
      </c>
      <c r="D93" s="1"/>
      <c r="E93" s="1"/>
      <c r="F93" s="1"/>
    </row>
    <row r="94" spans="2:6" x14ac:dyDescent="0.25">
      <c r="B94" s="29">
        <v>2</v>
      </c>
      <c r="C94" s="30">
        <v>12</v>
      </c>
      <c r="D94" s="1"/>
      <c r="E94" s="1"/>
      <c r="F94" s="1"/>
    </row>
  </sheetData>
  <sheetProtection sheet="1" objects="1" scenarios="1" formatCells="0" formatColumns="0" formatRows="0" insertHyperlinks="0"/>
  <dataValidations count="4">
    <dataValidation type="list" allowBlank="1" showInputMessage="1" showErrorMessage="1" sqref="F46:F66" xr:uid="{8CD18753-D5D5-47C9-AE29-C832814F9869}">
      <formula1>INDIRECT(VLOOKUP($E46, SkillNameMap, 2, FALSE))</formula1>
    </dataValidation>
    <dataValidation type="list" allowBlank="1" showInputMessage="1" showErrorMessage="1" sqref="E38:E41" xr:uid="{30ED3A3D-A6E5-45DA-A072-4863AA8C1558}">
      <formula1>INDIRECT("LISTAssess[Assessment Specific]")</formula1>
    </dataValidation>
    <dataValidation type="whole" showInputMessage="1" showErrorMessage="1" error="This is not a realistic number of contact hours please change" sqref="D19" xr:uid="{ED7F7914-6C28-4D8E-B268-3CD5BA4E3144}">
      <formula1>0</formula1>
      <formula2>80</formula2>
    </dataValidation>
    <dataValidation type="whole" showInputMessage="1" showErrorMessage="1" error="This is not a realistic number of contact hours please reduce" sqref="D20:D23" xr:uid="{7D2F483B-63CE-4110-AF1C-80CF6D50C7FA}">
      <formula1>0</formula1>
      <formula2>80</formula2>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8A1593AF-AF33-44A4-BD5D-F2DC41EAA86E}">
          <x14:formula1>
            <xm:f>LISTS!$J$7:$J$16</xm:f>
          </x14:formula1>
          <xm:sqref>E46:E66</xm:sqref>
        </x14:dataValidation>
        <x14:dataValidation type="list" allowBlank="1" showInputMessage="1" showErrorMessage="1" xr:uid="{13524674-6569-4444-A927-B70E751D7616}">
          <x14:formula1>
            <xm:f>LISTS!$E$7:$E$11</xm:f>
          </x14:formula1>
          <xm:sqref>D46:D66</xm:sqref>
        </x14:dataValidation>
        <x14:dataValidation type="list" allowBlank="1" showInputMessage="1" showErrorMessage="1" xr:uid="{BD1D28E8-E44D-43D6-AB31-6906AFB76CC7}">
          <x14:formula1>
            <xm:f>LISTS!$G$7:$G$11</xm:f>
          </x14:formula1>
          <xm:sqref>D38:D42</xm:sqref>
        </x14:dataValidation>
        <x14:dataValidation type="list" allowBlank="1" showInputMessage="1" showErrorMessage="1" xr:uid="{4307F0DB-5179-49DE-9F56-B0D376451B8E}">
          <x14:formula1>
            <xm:f>LISTS!$C$11:$C$15</xm:f>
          </x14:formula1>
          <xm:sqref>D11</xm:sqref>
        </x14:dataValidation>
        <x14:dataValidation type="list" allowBlank="1" showInputMessage="1" showErrorMessage="1" xr:uid="{881415EC-E12E-4E20-BF7A-6A7CDB9E721E}">
          <x14:formula1>
            <xm:f>LISTS!$C$7:$C$9</xm:f>
          </x14:formula1>
          <xm:sqref>D10</xm:sqref>
        </x14:dataValidation>
        <x14:dataValidation type="list" allowBlank="1" showInputMessage="1" showErrorMessage="1" xr:uid="{264E4697-DBBE-457A-A30D-C8272EF12344}">
          <x14:formula1>
            <xm:f>LISTS!$C$17:$C$22</xm:f>
          </x14:formula1>
          <xm:sqref>D13</xm:sqref>
        </x14:dataValidation>
        <x14:dataValidation type="list" allowBlank="1" showInputMessage="1" showErrorMessage="1" xr:uid="{849644AB-3E82-4044-91E7-7C031EBB1D3B}">
          <x14:formula1>
            <xm:f>LISTS!$C$26:$C$37</xm:f>
          </x14:formula1>
          <xm:sqref>D14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3168-6B81-47CF-B045-12BB97D9E5BE}">
  <sheetPr codeName="Sheet9"/>
  <dimension ref="B2:H94"/>
  <sheetViews>
    <sheetView showGridLines="0" tabSelected="1" topLeftCell="E12" zoomScale="85" zoomScaleNormal="85" workbookViewId="0">
      <selection activeCell="E13" sqref="E13"/>
    </sheetView>
  </sheetViews>
  <sheetFormatPr defaultColWidth="8.85546875" defaultRowHeight="15" x14ac:dyDescent="0.25"/>
  <cols>
    <col min="3" max="3" width="33.28515625" customWidth="1"/>
    <col min="4" max="4" width="67" bestFit="1" customWidth="1"/>
    <col min="5" max="5" width="67.28515625" customWidth="1"/>
    <col min="6" max="6" width="63.140625" customWidth="1"/>
    <col min="7" max="7" width="12.42578125" customWidth="1"/>
    <col min="8" max="8" width="15.42578125" customWidth="1"/>
    <col min="9" max="9" width="14.7109375" customWidth="1"/>
  </cols>
  <sheetData>
    <row r="2" spans="2:6" ht="26.25" x14ac:dyDescent="0.4">
      <c r="C2" s="19" t="str">
        <f>D7</f>
        <v>6203SPS</v>
      </c>
      <c r="D2" s="19" t="str">
        <f>D8</f>
        <v>Professional Practice in PE 3</v>
      </c>
    </row>
    <row r="3" spans="2:6" x14ac:dyDescent="0.25">
      <c r="B3" s="20"/>
      <c r="C3" s="20"/>
    </row>
    <row r="4" spans="2:6" x14ac:dyDescent="0.25">
      <c r="B4" s="21"/>
      <c r="C4" s="21"/>
    </row>
    <row r="5" spans="2:6" ht="18.75" x14ac:dyDescent="0.25">
      <c r="B5" s="21"/>
      <c r="C5" s="22" t="s">
        <v>0</v>
      </c>
    </row>
    <row r="6" spans="2:6" x14ac:dyDescent="0.25">
      <c r="B6" s="21"/>
      <c r="C6" s="23" t="s">
        <v>1</v>
      </c>
      <c r="D6" s="24" t="s">
        <v>2</v>
      </c>
      <c r="E6" s="24"/>
      <c r="F6" t="s">
        <v>3</v>
      </c>
    </row>
    <row r="7" spans="2:6" x14ac:dyDescent="0.25">
      <c r="B7" s="21"/>
      <c r="C7" s="28" t="s">
        <v>4</v>
      </c>
      <c r="D7" s="1" t="s">
        <v>303</v>
      </c>
      <c r="E7" s="24"/>
      <c r="F7" s="4"/>
    </row>
    <row r="8" spans="2:6" ht="30" x14ac:dyDescent="0.25">
      <c r="B8" s="21"/>
      <c r="C8" s="28" t="s">
        <v>6</v>
      </c>
      <c r="D8" s="1" t="s">
        <v>304</v>
      </c>
      <c r="E8" s="24"/>
      <c r="F8" s="12" t="s">
        <v>305</v>
      </c>
    </row>
    <row r="9" spans="2:6" x14ac:dyDescent="0.25">
      <c r="C9" s="28" t="s">
        <v>9</v>
      </c>
      <c r="D9" s="1">
        <v>20</v>
      </c>
      <c r="E9" s="24"/>
    </row>
    <row r="10" spans="2:6" x14ac:dyDescent="0.25">
      <c r="C10" s="28" t="s">
        <v>10</v>
      </c>
      <c r="D10" s="1" t="s">
        <v>306</v>
      </c>
      <c r="E10" s="24"/>
      <c r="F10" t="s">
        <v>11</v>
      </c>
    </row>
    <row r="11" spans="2:6" x14ac:dyDescent="0.25">
      <c r="C11" s="28" t="s">
        <v>12</v>
      </c>
      <c r="D11" s="1">
        <v>6</v>
      </c>
      <c r="E11" s="24"/>
      <c r="F11" s="4" t="s">
        <v>307</v>
      </c>
    </row>
    <row r="12" spans="2:6" x14ac:dyDescent="0.25">
      <c r="C12" s="28" t="s">
        <v>14</v>
      </c>
      <c r="D12" s="1" t="s">
        <v>15</v>
      </c>
      <c r="E12" s="24"/>
      <c r="F12" s="4" t="s">
        <v>308</v>
      </c>
    </row>
    <row r="13" spans="2:6" ht="315" x14ac:dyDescent="0.25">
      <c r="C13" s="28" t="s">
        <v>17</v>
      </c>
      <c r="D13" s="1" t="s">
        <v>18</v>
      </c>
      <c r="E13" s="24"/>
      <c r="F13" s="7" t="s">
        <v>309</v>
      </c>
    </row>
    <row r="14" spans="2:6" x14ac:dyDescent="0.25">
      <c r="C14" s="28" t="s">
        <v>20</v>
      </c>
      <c r="D14" s="1" t="s">
        <v>21</v>
      </c>
      <c r="E14" s="24"/>
    </row>
    <row r="15" spans="2:6" x14ac:dyDescent="0.25">
      <c r="C15" s="23"/>
      <c r="D15" s="24"/>
      <c r="E15" s="24"/>
      <c r="F15" t="s">
        <v>22</v>
      </c>
    </row>
    <row r="16" spans="2:6" ht="409.5" x14ac:dyDescent="0.25">
      <c r="C16" s="23"/>
      <c r="D16" s="24"/>
      <c r="E16" s="24"/>
      <c r="F16" s="80" t="s">
        <v>310</v>
      </c>
    </row>
    <row r="17" spans="3:6" ht="18.75" x14ac:dyDescent="0.25">
      <c r="C17" s="22" t="s">
        <v>24</v>
      </c>
      <c r="D17" s="24"/>
      <c r="E17" s="24"/>
      <c r="F17" s="7"/>
    </row>
    <row r="18" spans="3:6" ht="240" x14ac:dyDescent="0.25">
      <c r="C18" s="23" t="s">
        <v>26</v>
      </c>
      <c r="D18" s="20" t="s">
        <v>24</v>
      </c>
      <c r="E18" s="24"/>
      <c r="F18" s="7" t="s">
        <v>311</v>
      </c>
    </row>
    <row r="19" spans="3:6" ht="150" x14ac:dyDescent="0.25">
      <c r="C19" s="28" t="s">
        <v>28</v>
      </c>
      <c r="D19" s="2">
        <v>20</v>
      </c>
      <c r="E19" s="24"/>
      <c r="F19" s="7" t="s">
        <v>312</v>
      </c>
    </row>
    <row r="20" spans="3:6" x14ac:dyDescent="0.25">
      <c r="C20" s="28" t="s">
        <v>30</v>
      </c>
      <c r="D20" s="2"/>
      <c r="E20" s="24"/>
      <c r="F20" s="4"/>
    </row>
    <row r="21" spans="3:6" x14ac:dyDescent="0.25">
      <c r="C21" s="28" t="s">
        <v>32</v>
      </c>
      <c r="D21" s="2"/>
      <c r="E21" s="24"/>
    </row>
    <row r="22" spans="3:6" x14ac:dyDescent="0.25">
      <c r="C22" s="28" t="s">
        <v>33</v>
      </c>
      <c r="D22" s="2">
        <v>20</v>
      </c>
      <c r="E22" s="24"/>
      <c r="F22" t="s">
        <v>34</v>
      </c>
    </row>
    <row r="23" spans="3:6" x14ac:dyDescent="0.25">
      <c r="C23" s="28" t="s">
        <v>35</v>
      </c>
      <c r="D23" s="2"/>
      <c r="E23" s="24"/>
      <c r="F23" s="4" t="s">
        <v>313</v>
      </c>
    </row>
    <row r="24" spans="3:6" x14ac:dyDescent="0.25">
      <c r="C24" s="28" t="s">
        <v>37</v>
      </c>
      <c r="D24" s="20">
        <f>SUM(D19:D23)</f>
        <v>40</v>
      </c>
      <c r="E24" s="24"/>
      <c r="F24" s="4"/>
    </row>
    <row r="25" spans="3:6" x14ac:dyDescent="0.25">
      <c r="F25" s="4"/>
    </row>
    <row r="26" spans="3:6" x14ac:dyDescent="0.25">
      <c r="F26" s="4"/>
    </row>
    <row r="27" spans="3:6" ht="18.75" x14ac:dyDescent="0.25">
      <c r="C27" s="22" t="s">
        <v>39</v>
      </c>
      <c r="D27" s="25" t="s">
        <v>40</v>
      </c>
      <c r="F27" s="4"/>
    </row>
    <row r="28" spans="3:6" x14ac:dyDescent="0.25">
      <c r="C28" s="23" t="s">
        <v>41</v>
      </c>
      <c r="D28" s="23" t="s">
        <v>42</v>
      </c>
      <c r="E28" s="23"/>
      <c r="F28" s="4"/>
    </row>
    <row r="29" spans="3:6" ht="45" x14ac:dyDescent="0.25">
      <c r="C29" s="28" t="s">
        <v>43</v>
      </c>
      <c r="D29" s="11" t="s">
        <v>314</v>
      </c>
      <c r="E29" s="24"/>
      <c r="F29" s="4"/>
    </row>
    <row r="30" spans="3:6" ht="30" x14ac:dyDescent="0.25">
      <c r="C30" s="28" t="s">
        <v>45</v>
      </c>
      <c r="D30" s="11" t="s">
        <v>315</v>
      </c>
      <c r="E30" s="24"/>
      <c r="F30" s="4"/>
    </row>
    <row r="31" spans="3:6" ht="45" x14ac:dyDescent="0.25">
      <c r="C31" s="28" t="s">
        <v>47</v>
      </c>
      <c r="D31" s="12" t="s">
        <v>316</v>
      </c>
      <c r="E31" s="24"/>
      <c r="F31" s="4"/>
    </row>
    <row r="32" spans="3:6" x14ac:dyDescent="0.25">
      <c r="C32" s="28" t="s">
        <v>49</v>
      </c>
      <c r="D32" s="1"/>
      <c r="E32" s="24"/>
      <c r="F32" s="4"/>
    </row>
    <row r="33" spans="3:8" x14ac:dyDescent="0.25">
      <c r="C33" s="28" t="s">
        <v>50</v>
      </c>
      <c r="D33" s="1"/>
      <c r="E33" s="24"/>
      <c r="F33" s="4"/>
    </row>
    <row r="36" spans="3:8" ht="18.75" x14ac:dyDescent="0.25">
      <c r="C36" s="22" t="s">
        <v>51</v>
      </c>
    </row>
    <row r="37" spans="3:8" x14ac:dyDescent="0.25">
      <c r="C37" s="23" t="s">
        <v>52</v>
      </c>
      <c r="D37" s="23" t="s">
        <v>53</v>
      </c>
      <c r="E37" s="23" t="s">
        <v>54</v>
      </c>
      <c r="F37" s="23" t="s">
        <v>55</v>
      </c>
      <c r="G37" s="23" t="s">
        <v>56</v>
      </c>
      <c r="H37" s="23" t="s">
        <v>57</v>
      </c>
    </row>
    <row r="38" spans="3:8" ht="60" x14ac:dyDescent="0.25">
      <c r="C38" s="28" t="s">
        <v>58</v>
      </c>
      <c r="D38" s="1" t="s">
        <v>59</v>
      </c>
      <c r="E38" s="1"/>
      <c r="F38" s="1" t="s">
        <v>317</v>
      </c>
      <c r="G38" s="3">
        <v>0.5</v>
      </c>
      <c r="H38" s="1">
        <v>12</v>
      </c>
    </row>
    <row r="39" spans="3:8" ht="105" x14ac:dyDescent="0.25">
      <c r="C39" s="28" t="s">
        <v>62</v>
      </c>
      <c r="D39" s="1" t="s">
        <v>116</v>
      </c>
      <c r="E39" s="1"/>
      <c r="F39" s="1" t="s">
        <v>318</v>
      </c>
      <c r="G39" s="3">
        <v>0.5</v>
      </c>
      <c r="H39" s="1">
        <v>32</v>
      </c>
    </row>
    <row r="40" spans="3:8" x14ac:dyDescent="0.25">
      <c r="C40" s="28" t="s">
        <v>63</v>
      </c>
      <c r="D40" s="4"/>
      <c r="E40" s="4"/>
      <c r="F40" s="4"/>
      <c r="G40" s="4"/>
      <c r="H40" s="4"/>
    </row>
    <row r="41" spans="3:8" x14ac:dyDescent="0.25">
      <c r="C41" s="28" t="s">
        <v>64</v>
      </c>
      <c r="D41" s="4"/>
      <c r="E41" s="4"/>
      <c r="F41" s="4"/>
      <c r="G41" s="4"/>
      <c r="H41" s="4"/>
    </row>
    <row r="42" spans="3:8" x14ac:dyDescent="0.25">
      <c r="C42" s="23"/>
    </row>
    <row r="44" spans="3:8" ht="18.75" x14ac:dyDescent="0.25">
      <c r="C44" s="22" t="s">
        <v>65</v>
      </c>
      <c r="D44" s="25"/>
    </row>
    <row r="45" spans="3:8" x14ac:dyDescent="0.25">
      <c r="C45" s="20" t="s">
        <v>52</v>
      </c>
      <c r="D45" s="20" t="s">
        <v>41</v>
      </c>
      <c r="E45" s="20" t="s">
        <v>66</v>
      </c>
      <c r="F45" s="20" t="s">
        <v>67</v>
      </c>
    </row>
    <row r="46" spans="3:8" x14ac:dyDescent="0.25">
      <c r="C46" s="5" t="s">
        <v>58</v>
      </c>
      <c r="D46" s="4" t="s">
        <v>43</v>
      </c>
      <c r="E46" s="4" t="s">
        <v>74</v>
      </c>
      <c r="F46" s="4" t="s">
        <v>75</v>
      </c>
    </row>
    <row r="47" spans="3:8" x14ac:dyDescent="0.25">
      <c r="C47" s="5" t="s">
        <v>62</v>
      </c>
      <c r="D47" s="4" t="s">
        <v>45</v>
      </c>
      <c r="E47" s="4" t="s">
        <v>74</v>
      </c>
      <c r="F47" s="4" t="s">
        <v>76</v>
      </c>
    </row>
    <row r="48" spans="3:8" x14ac:dyDescent="0.25">
      <c r="C48" s="5" t="s">
        <v>62</v>
      </c>
      <c r="D48" s="4" t="s">
        <v>47</v>
      </c>
      <c r="E48" s="4" t="s">
        <v>72</v>
      </c>
      <c r="F48" s="4" t="s">
        <v>182</v>
      </c>
    </row>
    <row r="49" spans="3:6" x14ac:dyDescent="0.25">
      <c r="C49" s="5" t="s">
        <v>62</v>
      </c>
      <c r="D49" s="4"/>
      <c r="E49" s="4"/>
      <c r="F49" s="4"/>
    </row>
    <row r="50" spans="3:6" x14ac:dyDescent="0.25">
      <c r="C50" s="5" t="s">
        <v>58</v>
      </c>
      <c r="D50" s="4"/>
      <c r="E50" s="4"/>
      <c r="F50" s="4"/>
    </row>
    <row r="51" spans="3:6" x14ac:dyDescent="0.25">
      <c r="C51" s="5" t="s">
        <v>62</v>
      </c>
      <c r="D51" s="4"/>
      <c r="E51" s="4"/>
      <c r="F51" s="4"/>
    </row>
    <row r="52" spans="3:6" x14ac:dyDescent="0.25">
      <c r="C52" s="5" t="s">
        <v>63</v>
      </c>
      <c r="D52" s="4"/>
      <c r="E52" s="4"/>
      <c r="F52" s="4"/>
    </row>
    <row r="53" spans="3:6" x14ac:dyDescent="0.25">
      <c r="C53" s="5" t="s">
        <v>63</v>
      </c>
      <c r="D53" s="4"/>
      <c r="E53" s="4"/>
      <c r="F53" s="4"/>
    </row>
    <row r="54" spans="3:6" x14ac:dyDescent="0.25">
      <c r="C54" s="5" t="s">
        <v>63</v>
      </c>
      <c r="D54" s="4"/>
      <c r="E54" s="4"/>
      <c r="F54" s="4"/>
    </row>
    <row r="55" spans="3:6" x14ac:dyDescent="0.25">
      <c r="C55" s="5" t="s">
        <v>64</v>
      </c>
      <c r="D55" s="4"/>
      <c r="E55" s="4"/>
      <c r="F55" s="4"/>
    </row>
    <row r="56" spans="3:6" x14ac:dyDescent="0.25">
      <c r="C56" s="5" t="s">
        <v>64</v>
      </c>
      <c r="D56" s="4"/>
      <c r="E56" s="4"/>
      <c r="F56" s="4"/>
    </row>
    <row r="57" spans="3:6" x14ac:dyDescent="0.25">
      <c r="C57" s="5"/>
      <c r="D57" s="4"/>
      <c r="E57" s="4"/>
      <c r="F57" s="4"/>
    </row>
    <row r="58" spans="3:6" x14ac:dyDescent="0.25">
      <c r="C58" s="5"/>
      <c r="D58" s="4"/>
      <c r="E58" s="4"/>
      <c r="F58" s="4"/>
    </row>
    <row r="59" spans="3:6" x14ac:dyDescent="0.25">
      <c r="C59" s="5"/>
      <c r="D59" s="4"/>
      <c r="E59" s="4"/>
      <c r="F59" s="4"/>
    </row>
    <row r="60" spans="3:6" x14ac:dyDescent="0.25">
      <c r="C60" s="5"/>
      <c r="D60" s="4"/>
      <c r="E60" s="4"/>
      <c r="F60" s="4"/>
    </row>
    <row r="61" spans="3:6" x14ac:dyDescent="0.25">
      <c r="C61" s="5"/>
      <c r="D61" s="4"/>
      <c r="E61" s="4"/>
      <c r="F61" s="4"/>
    </row>
    <row r="62" spans="3:6" x14ac:dyDescent="0.25">
      <c r="C62" s="5"/>
      <c r="D62" s="4"/>
      <c r="E62" s="4"/>
      <c r="F62" s="4"/>
    </row>
    <row r="63" spans="3:6" x14ac:dyDescent="0.25">
      <c r="C63" s="5"/>
      <c r="D63" s="4"/>
      <c r="E63" s="4"/>
      <c r="F63" s="4"/>
    </row>
    <row r="64" spans="3:6" x14ac:dyDescent="0.25">
      <c r="C64" s="5"/>
      <c r="D64" s="4"/>
      <c r="E64" s="4"/>
      <c r="F64" s="4"/>
    </row>
    <row r="65" spans="2:6" x14ac:dyDescent="0.25">
      <c r="C65" s="5"/>
      <c r="D65" s="4"/>
      <c r="E65" s="4"/>
      <c r="F65" s="4"/>
    </row>
    <row r="66" spans="2:6" x14ac:dyDescent="0.25">
      <c r="C66" s="5"/>
      <c r="D66" s="4"/>
      <c r="E66" s="4"/>
      <c r="F66" s="4"/>
    </row>
    <row r="69" spans="2:6" ht="18.75" x14ac:dyDescent="0.25">
      <c r="C69" s="22" t="s">
        <v>77</v>
      </c>
    </row>
    <row r="70" spans="2:6" x14ac:dyDescent="0.25">
      <c r="B70" t="s">
        <v>78</v>
      </c>
      <c r="C70" s="20" t="s">
        <v>79</v>
      </c>
      <c r="D70" s="20" t="s">
        <v>80</v>
      </c>
      <c r="E70" s="20" t="s">
        <v>81</v>
      </c>
      <c r="F70" s="20" t="s">
        <v>82</v>
      </c>
    </row>
    <row r="71" spans="2:6" x14ac:dyDescent="0.25">
      <c r="B71" s="29">
        <v>1</v>
      </c>
      <c r="C71" s="30">
        <v>1</v>
      </c>
      <c r="D71" s="11" t="s">
        <v>319</v>
      </c>
      <c r="E71" s="1"/>
      <c r="F71" s="1" t="s">
        <v>320</v>
      </c>
    </row>
    <row r="72" spans="2:6" x14ac:dyDescent="0.25">
      <c r="B72" s="29">
        <v>1</v>
      </c>
      <c r="C72" s="30">
        <v>2</v>
      </c>
      <c r="D72" s="10" t="s">
        <v>321</v>
      </c>
      <c r="E72" s="1"/>
      <c r="F72" s="1" t="s">
        <v>320</v>
      </c>
    </row>
    <row r="73" spans="2:6" x14ac:dyDescent="0.25">
      <c r="B73" s="29">
        <v>1</v>
      </c>
      <c r="C73" s="30">
        <v>3</v>
      </c>
      <c r="D73" s="10" t="s">
        <v>322</v>
      </c>
      <c r="E73" s="1"/>
      <c r="F73" s="1" t="s">
        <v>320</v>
      </c>
    </row>
    <row r="74" spans="2:6" x14ac:dyDescent="0.25">
      <c r="B74" s="29">
        <v>1</v>
      </c>
      <c r="C74" s="30">
        <v>4</v>
      </c>
      <c r="D74" s="10" t="s">
        <v>322</v>
      </c>
      <c r="E74" s="1"/>
      <c r="F74" s="1" t="s">
        <v>320</v>
      </c>
    </row>
    <row r="75" spans="2:6" x14ac:dyDescent="0.25">
      <c r="B75" s="29">
        <v>1</v>
      </c>
      <c r="C75" s="30">
        <v>5</v>
      </c>
      <c r="D75" s="10" t="s">
        <v>323</v>
      </c>
      <c r="E75" s="1"/>
      <c r="F75" s="1" t="s">
        <v>320</v>
      </c>
    </row>
    <row r="76" spans="2:6" x14ac:dyDescent="0.25">
      <c r="B76" s="29">
        <v>1</v>
      </c>
      <c r="C76" s="30">
        <v>6</v>
      </c>
      <c r="D76" s="10" t="s">
        <v>324</v>
      </c>
      <c r="E76" s="1"/>
      <c r="F76" s="1" t="s">
        <v>320</v>
      </c>
    </row>
    <row r="77" spans="2:6" x14ac:dyDescent="0.25">
      <c r="B77" s="29">
        <v>1</v>
      </c>
      <c r="C77" s="30">
        <v>7</v>
      </c>
      <c r="D77" s="1"/>
      <c r="E77" s="1"/>
      <c r="F77" s="1"/>
    </row>
    <row r="78" spans="2:6" x14ac:dyDescent="0.25">
      <c r="B78" s="29">
        <v>1</v>
      </c>
      <c r="C78" s="30">
        <v>8</v>
      </c>
      <c r="D78" s="10" t="s">
        <v>325</v>
      </c>
      <c r="E78" s="1"/>
      <c r="F78" s="1" t="s">
        <v>320</v>
      </c>
    </row>
    <row r="79" spans="2:6" x14ac:dyDescent="0.25">
      <c r="B79" s="29">
        <v>1</v>
      </c>
      <c r="C79" s="30">
        <v>9</v>
      </c>
      <c r="D79" s="10" t="s">
        <v>326</v>
      </c>
      <c r="E79" s="1"/>
      <c r="F79" s="1" t="s">
        <v>320</v>
      </c>
    </row>
    <row r="80" spans="2:6" x14ac:dyDescent="0.25">
      <c r="B80" s="29">
        <v>1</v>
      </c>
      <c r="C80" s="30">
        <v>10</v>
      </c>
      <c r="D80" s="10" t="s">
        <v>327</v>
      </c>
      <c r="E80" s="1"/>
      <c r="F80" s="1" t="s">
        <v>320</v>
      </c>
    </row>
    <row r="81" spans="2:6" x14ac:dyDescent="0.25">
      <c r="B81" s="29">
        <v>1</v>
      </c>
      <c r="C81" s="30">
        <v>11</v>
      </c>
      <c r="D81" s="1" t="s">
        <v>327</v>
      </c>
      <c r="E81" s="1"/>
      <c r="F81" s="1" t="s">
        <v>320</v>
      </c>
    </row>
    <row r="82" spans="2:6" x14ac:dyDescent="0.25">
      <c r="B82" s="29">
        <v>1</v>
      </c>
      <c r="C82" s="30">
        <v>12</v>
      </c>
      <c r="D82" s="1" t="s">
        <v>327</v>
      </c>
      <c r="E82" s="1"/>
      <c r="F82" s="1" t="s">
        <v>103</v>
      </c>
    </row>
    <row r="83" spans="2:6" ht="30" x14ac:dyDescent="0.25">
      <c r="B83" s="29">
        <v>2</v>
      </c>
      <c r="C83" s="30">
        <v>1</v>
      </c>
      <c r="D83" s="8" t="s">
        <v>328</v>
      </c>
      <c r="E83" s="1"/>
      <c r="F83" s="1" t="s">
        <v>320</v>
      </c>
    </row>
    <row r="84" spans="2:6" x14ac:dyDescent="0.25">
      <c r="B84" s="29">
        <v>2</v>
      </c>
      <c r="C84" s="30">
        <v>2</v>
      </c>
      <c r="D84" s="8" t="s">
        <v>329</v>
      </c>
      <c r="E84" s="1"/>
      <c r="F84" s="1" t="s">
        <v>320</v>
      </c>
    </row>
    <row r="85" spans="2:6" x14ac:dyDescent="0.25">
      <c r="B85" s="29">
        <v>2</v>
      </c>
      <c r="C85" s="30">
        <v>3</v>
      </c>
      <c r="D85" s="1" t="s">
        <v>330</v>
      </c>
      <c r="E85" s="1"/>
      <c r="F85" s="1" t="s">
        <v>331</v>
      </c>
    </row>
    <row r="86" spans="2:6" x14ac:dyDescent="0.25">
      <c r="B86" s="29">
        <v>2</v>
      </c>
      <c r="C86" s="30">
        <v>4</v>
      </c>
      <c r="D86" s="1" t="s">
        <v>330</v>
      </c>
      <c r="E86" s="1"/>
      <c r="F86" s="1" t="s">
        <v>331</v>
      </c>
    </row>
    <row r="87" spans="2:6" x14ac:dyDescent="0.25">
      <c r="B87" s="29">
        <v>2</v>
      </c>
      <c r="C87" s="30">
        <v>5</v>
      </c>
      <c r="D87" s="1" t="s">
        <v>330</v>
      </c>
      <c r="E87" s="1"/>
      <c r="F87" s="1" t="s">
        <v>331</v>
      </c>
    </row>
    <row r="88" spans="2:6" x14ac:dyDescent="0.25">
      <c r="B88" s="29">
        <v>2</v>
      </c>
      <c r="C88" s="30">
        <v>6</v>
      </c>
      <c r="D88" s="1" t="s">
        <v>330</v>
      </c>
      <c r="E88" s="1"/>
      <c r="F88" s="1" t="s">
        <v>331</v>
      </c>
    </row>
    <row r="89" spans="2:6" x14ac:dyDescent="0.25">
      <c r="B89" s="29">
        <v>2</v>
      </c>
      <c r="C89" s="30">
        <v>7</v>
      </c>
      <c r="D89" s="1" t="s">
        <v>330</v>
      </c>
      <c r="E89" s="1"/>
      <c r="F89" s="1" t="s">
        <v>331</v>
      </c>
    </row>
    <row r="90" spans="2:6" x14ac:dyDescent="0.25">
      <c r="B90" s="29">
        <v>2</v>
      </c>
      <c r="C90" s="30">
        <v>8</v>
      </c>
      <c r="D90" s="1" t="s">
        <v>330</v>
      </c>
      <c r="E90" s="1"/>
      <c r="F90" s="1" t="s">
        <v>331</v>
      </c>
    </row>
    <row r="91" spans="2:6" x14ac:dyDescent="0.25">
      <c r="B91" s="29">
        <v>2</v>
      </c>
      <c r="C91" s="30">
        <v>9</v>
      </c>
      <c r="D91" s="1" t="s">
        <v>330</v>
      </c>
      <c r="E91" s="1"/>
      <c r="F91" s="1" t="s">
        <v>331</v>
      </c>
    </row>
    <row r="92" spans="2:6" ht="30" x14ac:dyDescent="0.25">
      <c r="B92" s="29">
        <v>2</v>
      </c>
      <c r="C92" s="30">
        <v>10</v>
      </c>
      <c r="D92" s="11" t="s">
        <v>332</v>
      </c>
      <c r="E92" s="1"/>
      <c r="F92" s="1" t="s">
        <v>320</v>
      </c>
    </row>
    <row r="93" spans="2:6" x14ac:dyDescent="0.25">
      <c r="B93" s="29">
        <v>2</v>
      </c>
      <c r="C93" s="30">
        <v>11</v>
      </c>
      <c r="D93" s="10" t="s">
        <v>333</v>
      </c>
      <c r="E93" s="1"/>
      <c r="F93" s="1" t="s">
        <v>320</v>
      </c>
    </row>
    <row r="94" spans="2:6" x14ac:dyDescent="0.25">
      <c r="B94" s="29">
        <v>2</v>
      </c>
      <c r="C94" s="30">
        <v>12</v>
      </c>
      <c r="D94" s="11" t="s">
        <v>334</v>
      </c>
      <c r="E94" s="1"/>
      <c r="F94" s="1" t="s">
        <v>320</v>
      </c>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DCF1D4CF-AD13-4549-94DF-DAD7372507FF}">
      <formula1>0</formula1>
      <formula2>80</formula2>
    </dataValidation>
    <dataValidation type="whole" showInputMessage="1" showErrorMessage="1" error="This is not a realistic number of contact hours please change" sqref="D19" xr:uid="{2EFE7054-9BF0-4E34-9260-CE2CA4E53AC1}">
      <formula1>0</formula1>
      <formula2>80</formula2>
    </dataValidation>
    <dataValidation type="list" allowBlank="1" showInputMessage="1" showErrorMessage="1" sqref="E38:E41" xr:uid="{8FAAA275-BBC0-49B8-8FE4-71328DF55B6F}">
      <formula1>INDIRECT("LISTAssess[Assessment Specific]")</formula1>
    </dataValidation>
    <dataValidation type="list" allowBlank="1" showInputMessage="1" showErrorMessage="1" sqref="F46:F66" xr:uid="{E1682273-6EEC-4437-BA8D-462547C84EF8}">
      <formula1>INDIRECT(VLOOKUP($E46, SkillNameMap, 2, FALSE))</formula1>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D8F5AA3-C895-4B95-9912-EF67DA280821}">
          <x14:formula1>
            <xm:f>LISTS!$C$26:$C$37</xm:f>
          </x14:formula1>
          <xm:sqref>D14</xm:sqref>
        </x14:dataValidation>
        <x14:dataValidation type="list" allowBlank="1" showInputMessage="1" showErrorMessage="1" xr:uid="{703F0AA5-3DD9-4205-B10E-84D20D77F5DF}">
          <x14:formula1>
            <xm:f>LISTS!$C$17:$C$22</xm:f>
          </x14:formula1>
          <xm:sqref>D13</xm:sqref>
        </x14:dataValidation>
        <x14:dataValidation type="list" allowBlank="1" showInputMessage="1" showErrorMessage="1" xr:uid="{204C63EF-139E-4DCF-87C5-C1413D76F08F}">
          <x14:formula1>
            <xm:f>LISTS!$C$7:$C$9</xm:f>
          </x14:formula1>
          <xm:sqref>D10</xm:sqref>
        </x14:dataValidation>
        <x14:dataValidation type="list" allowBlank="1" showInputMessage="1" showErrorMessage="1" xr:uid="{02A4F4B2-CA44-4C0F-951D-7C349BD7AFEB}">
          <x14:formula1>
            <xm:f>LISTS!$C$11:$C$15</xm:f>
          </x14:formula1>
          <xm:sqref>D11</xm:sqref>
        </x14:dataValidation>
        <x14:dataValidation type="list" allowBlank="1" showInputMessage="1" showErrorMessage="1" xr:uid="{D6C3DA59-44C9-4E4B-8893-5EEB7E17375D}">
          <x14:formula1>
            <xm:f>LISTS!$G$7:$G$11</xm:f>
          </x14:formula1>
          <xm:sqref>D38:D42</xm:sqref>
        </x14:dataValidation>
        <x14:dataValidation type="list" allowBlank="1" showInputMessage="1" showErrorMessage="1" xr:uid="{1A267CA5-0348-4F32-BF79-432FCFC02438}">
          <x14:formula1>
            <xm:f>LISTS!$E$7:$E$11</xm:f>
          </x14:formula1>
          <xm:sqref>D46:D66</xm:sqref>
        </x14:dataValidation>
        <x14:dataValidation type="list" allowBlank="1" showInputMessage="1" showErrorMessage="1" xr:uid="{BE7A30BD-1760-4896-BACE-8BCA87088F96}">
          <x14:formula1>
            <xm:f>LISTS!$J$7:$J$16</xm:f>
          </x14:formula1>
          <xm:sqref>E46:E66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5F39-4768-4BDC-BBAF-EDA933F6EC41}">
  <sheetPr codeName="Sheet10"/>
  <dimension ref="B2:H108"/>
  <sheetViews>
    <sheetView showGridLines="0" zoomScale="85" zoomScaleNormal="85" workbookViewId="0">
      <selection activeCell="F39" sqref="F39"/>
    </sheetView>
  </sheetViews>
  <sheetFormatPr defaultColWidth="8.85546875" defaultRowHeight="15" x14ac:dyDescent="0.25"/>
  <cols>
    <col min="3" max="3" width="25.42578125" customWidth="1"/>
    <col min="4" max="4" width="48.140625" customWidth="1"/>
    <col min="5" max="6" width="60.42578125" customWidth="1"/>
    <col min="7" max="7" width="11.28515625" customWidth="1"/>
    <col min="8" max="8" width="12.140625" customWidth="1"/>
    <col min="9" max="9" width="14.7109375" customWidth="1"/>
  </cols>
  <sheetData>
    <row r="2" spans="2:6" ht="26.25" x14ac:dyDescent="0.4">
      <c r="C2" s="19" t="str">
        <f>D7</f>
        <v>6096SPS</v>
      </c>
      <c r="D2" s="19" t="str">
        <f>D8</f>
        <v>Secondary PE Teacher Education</v>
      </c>
    </row>
    <row r="3" spans="2:6" x14ac:dyDescent="0.25">
      <c r="B3" s="20"/>
      <c r="C3" s="20"/>
    </row>
    <row r="4" spans="2:6" x14ac:dyDescent="0.25">
      <c r="B4" s="21"/>
      <c r="C4" s="21"/>
    </row>
    <row r="5" spans="2:6" ht="18.75" x14ac:dyDescent="0.25">
      <c r="B5" s="21"/>
      <c r="C5" s="22" t="s">
        <v>0</v>
      </c>
    </row>
    <row r="6" spans="2:6" x14ac:dyDescent="0.25">
      <c r="B6" s="21"/>
      <c r="C6" s="23" t="s">
        <v>1</v>
      </c>
      <c r="D6" s="24" t="s">
        <v>2</v>
      </c>
      <c r="E6" s="24"/>
      <c r="F6" t="s">
        <v>3</v>
      </c>
    </row>
    <row r="7" spans="2:6" ht="135" x14ac:dyDescent="0.25">
      <c r="B7" s="21"/>
      <c r="C7" s="28" t="s">
        <v>4</v>
      </c>
      <c r="D7" s="1" t="s">
        <v>335</v>
      </c>
      <c r="E7" s="24"/>
      <c r="F7" s="7" t="s">
        <v>336</v>
      </c>
    </row>
    <row r="8" spans="2:6" x14ac:dyDescent="0.25">
      <c r="B8" s="21"/>
      <c r="C8" s="28" t="s">
        <v>6</v>
      </c>
      <c r="D8" s="1" t="s">
        <v>337</v>
      </c>
      <c r="E8" s="24"/>
      <c r="F8" s="4"/>
    </row>
    <row r="9" spans="2:6" x14ac:dyDescent="0.25">
      <c r="C9" s="28" t="s">
        <v>9</v>
      </c>
      <c r="D9" s="1">
        <v>20</v>
      </c>
      <c r="E9" s="24"/>
    </row>
    <row r="10" spans="2:6" x14ac:dyDescent="0.25">
      <c r="C10" s="28" t="s">
        <v>10</v>
      </c>
      <c r="D10" s="1">
        <v>1</v>
      </c>
      <c r="E10" s="24"/>
      <c r="F10" t="s">
        <v>11</v>
      </c>
    </row>
    <row r="11" spans="2:6" ht="150" x14ac:dyDescent="0.25">
      <c r="C11" s="28" t="s">
        <v>12</v>
      </c>
      <c r="D11" s="1">
        <v>6</v>
      </c>
      <c r="E11" s="24"/>
      <c r="F11" s="7" t="s">
        <v>338</v>
      </c>
    </row>
    <row r="12" spans="2:6" x14ac:dyDescent="0.25">
      <c r="C12" s="28" t="s">
        <v>14</v>
      </c>
      <c r="D12" s="1" t="s">
        <v>137</v>
      </c>
      <c r="E12" s="24"/>
      <c r="F12" s="4"/>
    </row>
    <row r="13" spans="2:6" x14ac:dyDescent="0.25">
      <c r="C13" s="28" t="s">
        <v>17</v>
      </c>
      <c r="D13" s="1" t="s">
        <v>339</v>
      </c>
      <c r="E13" s="24"/>
      <c r="F13" s="4"/>
    </row>
    <row r="14" spans="2:6" x14ac:dyDescent="0.25">
      <c r="C14" s="28" t="s">
        <v>20</v>
      </c>
      <c r="D14" s="1" t="s">
        <v>340</v>
      </c>
      <c r="E14" s="24"/>
    </row>
    <row r="15" spans="2:6" x14ac:dyDescent="0.25">
      <c r="C15" s="23"/>
      <c r="D15" s="24"/>
      <c r="E15" s="24"/>
      <c r="F15" t="s">
        <v>22</v>
      </c>
    </row>
    <row r="16" spans="2:6" ht="124.5" customHeight="1" x14ac:dyDescent="0.25">
      <c r="C16" s="23"/>
      <c r="D16" s="24"/>
      <c r="E16" s="24"/>
      <c r="F16" s="7" t="s">
        <v>341</v>
      </c>
    </row>
    <row r="17" spans="3:6" ht="18.75" x14ac:dyDescent="0.25">
      <c r="C17" s="22" t="s">
        <v>24</v>
      </c>
      <c r="D17" s="24"/>
      <c r="E17" s="24"/>
      <c r="F17" s="4"/>
    </row>
    <row r="18" spans="3:6" x14ac:dyDescent="0.25">
      <c r="C18" s="23" t="s">
        <v>26</v>
      </c>
      <c r="D18" s="20" t="s">
        <v>24</v>
      </c>
      <c r="E18" s="24"/>
      <c r="F18" s="4"/>
    </row>
    <row r="19" spans="3:6" x14ac:dyDescent="0.25">
      <c r="C19" s="28" t="s">
        <v>28</v>
      </c>
      <c r="D19" s="2">
        <v>9</v>
      </c>
      <c r="E19" s="24"/>
      <c r="F19" s="4"/>
    </row>
    <row r="20" spans="3:6" x14ac:dyDescent="0.25">
      <c r="C20" s="28" t="s">
        <v>30</v>
      </c>
      <c r="D20" s="2">
        <v>3</v>
      </c>
      <c r="E20" s="24"/>
      <c r="F20" s="4"/>
    </row>
    <row r="21" spans="3:6" x14ac:dyDescent="0.25">
      <c r="C21" s="28" t="s">
        <v>32</v>
      </c>
      <c r="D21" s="2">
        <v>16</v>
      </c>
      <c r="E21" s="24"/>
    </row>
    <row r="22" spans="3:6" x14ac:dyDescent="0.25">
      <c r="C22" s="28" t="s">
        <v>33</v>
      </c>
      <c r="D22" s="2">
        <v>6</v>
      </c>
      <c r="E22" s="24"/>
      <c r="F22" t="s">
        <v>34</v>
      </c>
    </row>
    <row r="23" spans="3:6" x14ac:dyDescent="0.25">
      <c r="C23" s="28" t="s">
        <v>35</v>
      </c>
      <c r="D23" s="2">
        <v>6</v>
      </c>
      <c r="E23" s="24"/>
      <c r="F23" s="73" t="s">
        <v>342</v>
      </c>
    </row>
    <row r="24" spans="3:6" ht="180" x14ac:dyDescent="0.25">
      <c r="C24" s="28" t="s">
        <v>37</v>
      </c>
      <c r="D24" s="20">
        <f>SUM(D19:D23)</f>
        <v>40</v>
      </c>
      <c r="E24" s="24"/>
      <c r="F24" s="71" t="s">
        <v>343</v>
      </c>
    </row>
    <row r="25" spans="3:6" ht="60" x14ac:dyDescent="0.25">
      <c r="F25" s="72" t="s">
        <v>143</v>
      </c>
    </row>
    <row r="26" spans="3:6" ht="60" x14ac:dyDescent="0.25">
      <c r="F26" s="12" t="s">
        <v>344</v>
      </c>
    </row>
    <row r="27" spans="3:6" ht="18.75" x14ac:dyDescent="0.25">
      <c r="C27" s="22" t="s">
        <v>39</v>
      </c>
      <c r="D27" s="25" t="s">
        <v>40</v>
      </c>
      <c r="F27" s="4"/>
    </row>
    <row r="28" spans="3:6" x14ac:dyDescent="0.25">
      <c r="C28" s="23" t="s">
        <v>41</v>
      </c>
      <c r="D28" s="23" t="s">
        <v>42</v>
      </c>
      <c r="E28" s="23"/>
      <c r="F28" s="4"/>
    </row>
    <row r="29" spans="3:6" ht="60" x14ac:dyDescent="0.3">
      <c r="C29" s="28" t="s">
        <v>43</v>
      </c>
      <c r="D29" s="1" t="s">
        <v>345</v>
      </c>
      <c r="E29" s="24"/>
      <c r="F29" s="14"/>
    </row>
    <row r="30" spans="3:6" ht="45" x14ac:dyDescent="0.3">
      <c r="C30" s="28" t="s">
        <v>45</v>
      </c>
      <c r="D30" s="1" t="s">
        <v>346</v>
      </c>
      <c r="E30" s="24"/>
      <c r="F30" s="14"/>
    </row>
    <row r="31" spans="3:6" ht="45" x14ac:dyDescent="0.25">
      <c r="C31" s="28" t="s">
        <v>47</v>
      </c>
      <c r="D31" s="1" t="s">
        <v>347</v>
      </c>
      <c r="E31" s="24"/>
      <c r="F31" s="4"/>
    </row>
    <row r="32" spans="3:6" x14ac:dyDescent="0.25">
      <c r="C32" s="28" t="s">
        <v>49</v>
      </c>
      <c r="D32" s="1"/>
      <c r="E32" s="24"/>
      <c r="F32" s="4"/>
    </row>
    <row r="33" spans="3:8" x14ac:dyDescent="0.25">
      <c r="C33" s="28" t="s">
        <v>50</v>
      </c>
      <c r="D33" s="1"/>
      <c r="E33" s="24"/>
      <c r="F33" s="4"/>
    </row>
    <row r="36" spans="3:8" ht="18.75" x14ac:dyDescent="0.25">
      <c r="C36" s="22" t="s">
        <v>51</v>
      </c>
    </row>
    <row r="37" spans="3:8" x14ac:dyDescent="0.25">
      <c r="C37" s="23" t="s">
        <v>52</v>
      </c>
      <c r="D37" s="23" t="s">
        <v>53</v>
      </c>
      <c r="E37" s="23" t="s">
        <v>54</v>
      </c>
      <c r="F37" s="23" t="s">
        <v>55</v>
      </c>
      <c r="G37" s="23" t="s">
        <v>56</v>
      </c>
      <c r="H37" s="23" t="s">
        <v>57</v>
      </c>
    </row>
    <row r="38" spans="3:8" x14ac:dyDescent="0.25">
      <c r="C38" s="28" t="s">
        <v>58</v>
      </c>
      <c r="D38" s="1" t="s">
        <v>116</v>
      </c>
      <c r="E38" s="1" t="s">
        <v>348</v>
      </c>
      <c r="F38" s="1" t="s">
        <v>349</v>
      </c>
      <c r="G38" s="3">
        <v>0.5</v>
      </c>
      <c r="H38" s="1">
        <v>12</v>
      </c>
    </row>
    <row r="39" spans="3:8" ht="30" x14ac:dyDescent="0.25">
      <c r="C39" s="28" t="s">
        <v>62</v>
      </c>
      <c r="D39" s="1" t="s">
        <v>350</v>
      </c>
      <c r="E39" s="1" t="s">
        <v>350</v>
      </c>
      <c r="F39" s="1" t="s">
        <v>351</v>
      </c>
      <c r="G39" s="3">
        <v>0.5</v>
      </c>
      <c r="H39" s="1">
        <v>16</v>
      </c>
    </row>
    <row r="40" spans="3:8" x14ac:dyDescent="0.25">
      <c r="C40" s="23"/>
    </row>
    <row r="42" spans="3:8" ht="37.5" x14ac:dyDescent="0.25">
      <c r="C42" s="22" t="s">
        <v>65</v>
      </c>
      <c r="D42" s="25"/>
    </row>
    <row r="43" spans="3:8" x14ac:dyDescent="0.25">
      <c r="C43" s="20" t="s">
        <v>52</v>
      </c>
      <c r="D43" s="20" t="s">
        <v>41</v>
      </c>
      <c r="E43" s="20" t="s">
        <v>66</v>
      </c>
      <c r="F43" s="20" t="s">
        <v>67</v>
      </c>
    </row>
    <row r="44" spans="3:8" x14ac:dyDescent="0.25">
      <c r="C44" s="5" t="s">
        <v>58</v>
      </c>
      <c r="D44" s="4" t="s">
        <v>43</v>
      </c>
      <c r="E44" s="4" t="s">
        <v>151</v>
      </c>
      <c r="F44" s="4" t="s">
        <v>180</v>
      </c>
    </row>
    <row r="45" spans="3:8" x14ac:dyDescent="0.25">
      <c r="C45" s="5" t="s">
        <v>58</v>
      </c>
      <c r="D45" s="4" t="s">
        <v>43</v>
      </c>
      <c r="E45" s="4" t="s">
        <v>151</v>
      </c>
      <c r="F45" s="4" t="s">
        <v>152</v>
      </c>
    </row>
    <row r="46" spans="3:8" x14ac:dyDescent="0.25">
      <c r="C46" s="5" t="s">
        <v>58</v>
      </c>
      <c r="D46" s="4" t="s">
        <v>45</v>
      </c>
      <c r="E46" s="4" t="s">
        <v>74</v>
      </c>
      <c r="F46" s="4" t="s">
        <v>164</v>
      </c>
    </row>
    <row r="47" spans="3:8" x14ac:dyDescent="0.25">
      <c r="C47" s="5" t="s">
        <v>58</v>
      </c>
      <c r="D47" s="4" t="s">
        <v>45</v>
      </c>
      <c r="E47" s="4" t="s">
        <v>74</v>
      </c>
      <c r="F47" s="4" t="s">
        <v>75</v>
      </c>
    </row>
    <row r="48" spans="3:8" x14ac:dyDescent="0.25">
      <c r="C48" s="5" t="s">
        <v>58</v>
      </c>
      <c r="D48" s="4" t="s">
        <v>45</v>
      </c>
      <c r="E48" s="4" t="s">
        <v>74</v>
      </c>
      <c r="F48" s="4" t="s">
        <v>76</v>
      </c>
    </row>
    <row r="49" spans="3:6" x14ac:dyDescent="0.25">
      <c r="C49" s="5" t="s">
        <v>58</v>
      </c>
      <c r="D49" s="4" t="s">
        <v>45</v>
      </c>
      <c r="E49" s="4" t="s">
        <v>74</v>
      </c>
      <c r="F49" s="4" t="s">
        <v>166</v>
      </c>
    </row>
    <row r="50" spans="3:6" x14ac:dyDescent="0.25">
      <c r="C50" s="5" t="s">
        <v>58</v>
      </c>
      <c r="D50" s="4" t="s">
        <v>45</v>
      </c>
      <c r="E50" s="4" t="s">
        <v>74</v>
      </c>
      <c r="F50" s="4" t="s">
        <v>164</v>
      </c>
    </row>
    <row r="51" spans="3:6" x14ac:dyDescent="0.25">
      <c r="C51" s="5" t="s">
        <v>58</v>
      </c>
      <c r="D51" s="4" t="s">
        <v>45</v>
      </c>
      <c r="E51" s="4" t="s">
        <v>74</v>
      </c>
      <c r="F51" s="4" t="s">
        <v>75</v>
      </c>
    </row>
    <row r="52" spans="3:6" x14ac:dyDescent="0.25">
      <c r="C52" s="5" t="s">
        <v>58</v>
      </c>
      <c r="D52" s="4" t="s">
        <v>45</v>
      </c>
      <c r="E52" s="4" t="s">
        <v>74</v>
      </c>
      <c r="F52" s="4" t="s">
        <v>76</v>
      </c>
    </row>
    <row r="53" spans="3:6" x14ac:dyDescent="0.25">
      <c r="C53" s="5" t="s">
        <v>58</v>
      </c>
      <c r="D53" s="4" t="s">
        <v>45</v>
      </c>
      <c r="E53" s="4" t="s">
        <v>74</v>
      </c>
      <c r="F53" s="4" t="s">
        <v>165</v>
      </c>
    </row>
    <row r="54" spans="3:6" x14ac:dyDescent="0.25">
      <c r="C54" s="5" t="s">
        <v>58</v>
      </c>
      <c r="D54" s="4" t="s">
        <v>45</v>
      </c>
      <c r="E54" s="4" t="s">
        <v>74</v>
      </c>
      <c r="F54" s="4" t="s">
        <v>166</v>
      </c>
    </row>
    <row r="55" spans="3:6" x14ac:dyDescent="0.25">
      <c r="C55" s="5" t="s">
        <v>58</v>
      </c>
      <c r="D55" s="4" t="s">
        <v>45</v>
      </c>
      <c r="E55" s="4" t="s">
        <v>154</v>
      </c>
      <c r="F55" s="4" t="s">
        <v>167</v>
      </c>
    </row>
    <row r="56" spans="3:6" x14ac:dyDescent="0.25">
      <c r="C56" s="5" t="s">
        <v>58</v>
      </c>
      <c r="D56" s="4" t="s">
        <v>45</v>
      </c>
      <c r="E56" s="4" t="s">
        <v>154</v>
      </c>
      <c r="F56" s="4" t="s">
        <v>168</v>
      </c>
    </row>
    <row r="57" spans="3:6" x14ac:dyDescent="0.25">
      <c r="C57" s="5" t="s">
        <v>58</v>
      </c>
      <c r="D57" s="4" t="s">
        <v>45</v>
      </c>
      <c r="E57" s="4" t="s">
        <v>154</v>
      </c>
      <c r="F57" s="4" t="s">
        <v>155</v>
      </c>
    </row>
    <row r="58" spans="3:6" x14ac:dyDescent="0.25">
      <c r="C58" s="5" t="s">
        <v>58</v>
      </c>
      <c r="D58" s="4" t="s">
        <v>45</v>
      </c>
      <c r="E58" s="4" t="s">
        <v>169</v>
      </c>
      <c r="F58" s="4" t="s">
        <v>170</v>
      </c>
    </row>
    <row r="59" spans="3:6" x14ac:dyDescent="0.25">
      <c r="C59" s="5" t="s">
        <v>58</v>
      </c>
      <c r="D59" s="4" t="s">
        <v>45</v>
      </c>
      <c r="E59" s="4" t="s">
        <v>169</v>
      </c>
      <c r="F59" s="4" t="s">
        <v>171</v>
      </c>
    </row>
    <row r="60" spans="3:6" x14ac:dyDescent="0.25">
      <c r="C60" s="5" t="s">
        <v>58</v>
      </c>
      <c r="D60" s="4" t="s">
        <v>45</v>
      </c>
      <c r="E60" s="4" t="s">
        <v>169</v>
      </c>
      <c r="F60" s="4" t="s">
        <v>172</v>
      </c>
    </row>
    <row r="61" spans="3:6" x14ac:dyDescent="0.25">
      <c r="C61" s="5" t="s">
        <v>58</v>
      </c>
      <c r="D61" s="4" t="s">
        <v>45</v>
      </c>
      <c r="E61" s="4" t="s">
        <v>169</v>
      </c>
      <c r="F61" s="4" t="s">
        <v>173</v>
      </c>
    </row>
    <row r="62" spans="3:6" x14ac:dyDescent="0.25">
      <c r="C62" s="5" t="s">
        <v>58</v>
      </c>
      <c r="D62" s="4" t="s">
        <v>45</v>
      </c>
      <c r="E62" s="4" t="s">
        <v>169</v>
      </c>
      <c r="F62" s="4" t="s">
        <v>174</v>
      </c>
    </row>
    <row r="63" spans="3:6" x14ac:dyDescent="0.25">
      <c r="C63" s="5" t="s">
        <v>58</v>
      </c>
      <c r="D63" s="4" t="s">
        <v>45</v>
      </c>
      <c r="E63" s="4" t="s">
        <v>169</v>
      </c>
      <c r="F63" s="4" t="s">
        <v>175</v>
      </c>
    </row>
    <row r="64" spans="3:6" x14ac:dyDescent="0.25">
      <c r="C64" s="5" t="s">
        <v>58</v>
      </c>
      <c r="D64" s="4" t="s">
        <v>45</v>
      </c>
      <c r="E64" s="4" t="s">
        <v>169</v>
      </c>
      <c r="F64" s="4" t="s">
        <v>176</v>
      </c>
    </row>
    <row r="65" spans="3:6" x14ac:dyDescent="0.25">
      <c r="C65" s="5" t="s">
        <v>58</v>
      </c>
      <c r="D65" s="4" t="s">
        <v>45</v>
      </c>
      <c r="E65" s="4" t="s">
        <v>157</v>
      </c>
      <c r="F65" s="4" t="s">
        <v>177</v>
      </c>
    </row>
    <row r="66" spans="3:6" x14ac:dyDescent="0.25">
      <c r="C66" s="5" t="s">
        <v>58</v>
      </c>
      <c r="D66" s="4" t="s">
        <v>45</v>
      </c>
      <c r="E66" s="4" t="s">
        <v>157</v>
      </c>
      <c r="F66" s="4" t="s">
        <v>159</v>
      </c>
    </row>
    <row r="67" spans="3:6" x14ac:dyDescent="0.25">
      <c r="C67" s="5" t="s">
        <v>58</v>
      </c>
      <c r="D67" s="4" t="s">
        <v>45</v>
      </c>
      <c r="E67" s="4" t="s">
        <v>70</v>
      </c>
      <c r="F67" s="4" t="s">
        <v>160</v>
      </c>
    </row>
    <row r="68" spans="3:6" x14ac:dyDescent="0.25">
      <c r="C68" s="5" t="s">
        <v>58</v>
      </c>
      <c r="D68" s="4" t="s">
        <v>45</v>
      </c>
      <c r="E68" s="4" t="s">
        <v>70</v>
      </c>
      <c r="F68" s="4" t="s">
        <v>161</v>
      </c>
    </row>
    <row r="69" spans="3:6" x14ac:dyDescent="0.25">
      <c r="C69" s="5" t="s">
        <v>58</v>
      </c>
      <c r="D69" s="4" t="s">
        <v>45</v>
      </c>
      <c r="E69" s="4" t="s">
        <v>70</v>
      </c>
      <c r="F69" s="4" t="s">
        <v>162</v>
      </c>
    </row>
    <row r="70" spans="3:6" x14ac:dyDescent="0.25">
      <c r="C70" s="5" t="s">
        <v>58</v>
      </c>
      <c r="D70" s="4" t="s">
        <v>45</v>
      </c>
      <c r="E70" s="4" t="s">
        <v>70</v>
      </c>
      <c r="F70" s="4" t="s">
        <v>71</v>
      </c>
    </row>
    <row r="71" spans="3:6" x14ac:dyDescent="0.25">
      <c r="C71" s="5" t="s">
        <v>58</v>
      </c>
      <c r="D71" s="4" t="s">
        <v>45</v>
      </c>
      <c r="E71" s="4" t="s">
        <v>70</v>
      </c>
      <c r="F71" s="4" t="s">
        <v>163</v>
      </c>
    </row>
    <row r="72" spans="3:6" x14ac:dyDescent="0.25">
      <c r="C72" s="5" t="s">
        <v>58</v>
      </c>
      <c r="D72" s="4" t="s">
        <v>45</v>
      </c>
      <c r="E72" s="4" t="s">
        <v>123</v>
      </c>
      <c r="F72" s="4" t="s">
        <v>178</v>
      </c>
    </row>
    <row r="73" spans="3:6" x14ac:dyDescent="0.25">
      <c r="C73" s="5" t="s">
        <v>58</v>
      </c>
      <c r="D73" s="4" t="s">
        <v>45</v>
      </c>
      <c r="E73" s="4" t="s">
        <v>123</v>
      </c>
      <c r="F73" s="4" t="s">
        <v>179</v>
      </c>
    </row>
    <row r="74" spans="3:6" x14ac:dyDescent="0.25">
      <c r="C74" s="5" t="s">
        <v>58</v>
      </c>
      <c r="D74" s="4" t="s">
        <v>45</v>
      </c>
      <c r="E74" s="4" t="s">
        <v>123</v>
      </c>
      <c r="F74" s="4" t="s">
        <v>156</v>
      </c>
    </row>
    <row r="75" spans="3:6" x14ac:dyDescent="0.25">
      <c r="C75" s="5" t="s">
        <v>62</v>
      </c>
      <c r="D75" s="4" t="s">
        <v>43</v>
      </c>
      <c r="E75" s="4" t="s">
        <v>151</v>
      </c>
      <c r="F75" s="4" t="s">
        <v>180</v>
      </c>
    </row>
    <row r="76" spans="3:6" x14ac:dyDescent="0.25">
      <c r="C76" s="5" t="s">
        <v>62</v>
      </c>
      <c r="D76" s="4" t="s">
        <v>43</v>
      </c>
      <c r="E76" s="4" t="s">
        <v>151</v>
      </c>
      <c r="F76" s="4" t="s">
        <v>181</v>
      </c>
    </row>
    <row r="77" spans="3:6" x14ac:dyDescent="0.25">
      <c r="C77" s="5" t="s">
        <v>62</v>
      </c>
      <c r="D77" s="4" t="s">
        <v>43</v>
      </c>
      <c r="E77" s="4" t="s">
        <v>151</v>
      </c>
      <c r="F77" s="4" t="s">
        <v>352</v>
      </c>
    </row>
    <row r="78" spans="3:6" x14ac:dyDescent="0.25">
      <c r="C78" s="5" t="s">
        <v>62</v>
      </c>
      <c r="D78" s="4" t="s">
        <v>43</v>
      </c>
      <c r="E78" s="4" t="s">
        <v>151</v>
      </c>
      <c r="F78" s="4" t="s">
        <v>152</v>
      </c>
    </row>
    <row r="79" spans="3:6" x14ac:dyDescent="0.25">
      <c r="C79" s="5" t="s">
        <v>62</v>
      </c>
      <c r="D79" s="4" t="s">
        <v>47</v>
      </c>
      <c r="E79" s="4" t="s">
        <v>123</v>
      </c>
      <c r="F79" s="4" t="s">
        <v>178</v>
      </c>
    </row>
    <row r="80" spans="3:6" x14ac:dyDescent="0.25">
      <c r="C80" s="5" t="s">
        <v>62</v>
      </c>
      <c r="D80" s="4" t="s">
        <v>47</v>
      </c>
      <c r="E80" s="4" t="s">
        <v>123</v>
      </c>
      <c r="F80" s="4" t="s">
        <v>156</v>
      </c>
    </row>
    <row r="81" spans="2:6" x14ac:dyDescent="0.25">
      <c r="C81" s="5" t="s">
        <v>62</v>
      </c>
      <c r="D81" s="4" t="s">
        <v>47</v>
      </c>
      <c r="E81" s="4" t="s">
        <v>157</v>
      </c>
      <c r="F81" s="4" t="s">
        <v>353</v>
      </c>
    </row>
    <row r="82" spans="2:6" x14ac:dyDescent="0.25">
      <c r="C82" s="5" t="s">
        <v>62</v>
      </c>
      <c r="D82" s="4" t="s">
        <v>47</v>
      </c>
      <c r="E82" s="4" t="s">
        <v>157</v>
      </c>
      <c r="F82" s="4" t="s">
        <v>158</v>
      </c>
    </row>
    <row r="83" spans="2:6" x14ac:dyDescent="0.25">
      <c r="C83" s="5" t="s">
        <v>62</v>
      </c>
      <c r="D83" s="4" t="s">
        <v>47</v>
      </c>
      <c r="E83" s="4" t="s">
        <v>157</v>
      </c>
      <c r="F83" s="4" t="s">
        <v>354</v>
      </c>
    </row>
    <row r="84" spans="2:6" x14ac:dyDescent="0.25">
      <c r="C84" s="5"/>
      <c r="D84" s="4"/>
      <c r="E84" s="4"/>
      <c r="F84" s="4"/>
    </row>
    <row r="85" spans="2:6" x14ac:dyDescent="0.25">
      <c r="C85" s="5"/>
      <c r="D85" s="4"/>
      <c r="E85" s="4"/>
      <c r="F85" s="4"/>
    </row>
    <row r="86" spans="2:6" x14ac:dyDescent="0.25">
      <c r="C86" s="5"/>
      <c r="D86" s="4"/>
      <c r="E86" s="4"/>
      <c r="F86" s="4"/>
    </row>
    <row r="87" spans="2:6" x14ac:dyDescent="0.25">
      <c r="C87" s="5"/>
      <c r="D87" s="4"/>
      <c r="E87" s="4"/>
      <c r="F87" s="4"/>
    </row>
    <row r="88" spans="2:6" x14ac:dyDescent="0.25">
      <c r="C88" s="5"/>
      <c r="D88" s="4"/>
      <c r="E88" s="4"/>
      <c r="F88" s="4"/>
    </row>
    <row r="89" spans="2:6" x14ac:dyDescent="0.25">
      <c r="C89" s="5"/>
      <c r="D89" s="4"/>
      <c r="E89" s="4"/>
      <c r="F89" s="4"/>
    </row>
    <row r="90" spans="2:6" x14ac:dyDescent="0.25">
      <c r="C90" s="5"/>
      <c r="D90" s="4"/>
      <c r="E90" s="4"/>
      <c r="F90" s="4"/>
    </row>
    <row r="91" spans="2:6" x14ac:dyDescent="0.25">
      <c r="C91" s="5"/>
      <c r="D91" s="4"/>
      <c r="E91" s="4"/>
      <c r="F91" s="4"/>
    </row>
    <row r="92" spans="2:6" x14ac:dyDescent="0.25">
      <c r="C92" s="5"/>
      <c r="D92" s="4"/>
      <c r="E92" s="4"/>
      <c r="F92" s="4"/>
    </row>
    <row r="93" spans="2:6" x14ac:dyDescent="0.25">
      <c r="C93" s="5"/>
      <c r="D93" s="4"/>
      <c r="E93" s="4"/>
      <c r="F93" s="4"/>
    </row>
    <row r="95" spans="2:6" ht="18.75" x14ac:dyDescent="0.25">
      <c r="C95" s="22" t="s">
        <v>77</v>
      </c>
    </row>
    <row r="96" spans="2:6" x14ac:dyDescent="0.25">
      <c r="B96" t="s">
        <v>78</v>
      </c>
      <c r="C96" s="20" t="s">
        <v>79</v>
      </c>
      <c r="D96" s="20" t="s">
        <v>80</v>
      </c>
      <c r="E96" s="20" t="s">
        <v>81</v>
      </c>
      <c r="F96" s="20" t="s">
        <v>82</v>
      </c>
    </row>
    <row r="97" spans="2:6" ht="30" x14ac:dyDescent="0.25">
      <c r="B97" s="29">
        <v>1</v>
      </c>
      <c r="C97" s="30">
        <v>1</v>
      </c>
      <c r="D97" s="1" t="s">
        <v>355</v>
      </c>
      <c r="E97" s="1" t="s">
        <v>356</v>
      </c>
      <c r="F97" s="1" t="s">
        <v>185</v>
      </c>
    </row>
    <row r="98" spans="2:6" ht="30" x14ac:dyDescent="0.25">
      <c r="B98" s="29">
        <v>1</v>
      </c>
      <c r="C98" s="30">
        <v>2</v>
      </c>
      <c r="D98" s="1" t="s">
        <v>357</v>
      </c>
      <c r="E98" s="1" t="s">
        <v>358</v>
      </c>
      <c r="F98" s="1" t="s">
        <v>185</v>
      </c>
    </row>
    <row r="99" spans="2:6" ht="30" x14ac:dyDescent="0.25">
      <c r="B99" s="29">
        <v>1</v>
      </c>
      <c r="C99" s="30">
        <v>3</v>
      </c>
      <c r="D99" s="1" t="s">
        <v>359</v>
      </c>
      <c r="E99" s="1" t="s">
        <v>360</v>
      </c>
      <c r="F99" s="1" t="s">
        <v>185</v>
      </c>
    </row>
    <row r="100" spans="2:6" ht="30" x14ac:dyDescent="0.25">
      <c r="B100" s="29">
        <v>1</v>
      </c>
      <c r="C100" s="30">
        <v>4</v>
      </c>
      <c r="D100" s="1" t="s">
        <v>361</v>
      </c>
      <c r="E100" s="1" t="s">
        <v>362</v>
      </c>
      <c r="F100" s="1" t="s">
        <v>185</v>
      </c>
    </row>
    <row r="101" spans="2:6" x14ac:dyDescent="0.25">
      <c r="B101" s="29">
        <v>1</v>
      </c>
      <c r="C101" s="30">
        <v>5</v>
      </c>
      <c r="D101" s="1" t="s">
        <v>363</v>
      </c>
      <c r="E101" s="1" t="s">
        <v>364</v>
      </c>
      <c r="F101" s="1" t="s">
        <v>185</v>
      </c>
    </row>
    <row r="102" spans="2:6" ht="30" x14ac:dyDescent="0.25">
      <c r="B102" s="29">
        <v>1</v>
      </c>
      <c r="C102" s="30">
        <v>6</v>
      </c>
      <c r="D102" s="1" t="s">
        <v>365</v>
      </c>
      <c r="E102" s="8" t="s">
        <v>366</v>
      </c>
      <c r="F102" s="1" t="s">
        <v>185</v>
      </c>
    </row>
    <row r="103" spans="2:6" x14ac:dyDescent="0.25">
      <c r="B103" s="29">
        <v>1</v>
      </c>
      <c r="C103" s="30">
        <v>7</v>
      </c>
      <c r="D103" s="1" t="s">
        <v>367</v>
      </c>
      <c r="E103" s="1"/>
      <c r="F103" s="1" t="s">
        <v>32</v>
      </c>
    </row>
    <row r="104" spans="2:6" x14ac:dyDescent="0.25">
      <c r="B104" s="29">
        <v>1</v>
      </c>
      <c r="C104" s="30">
        <v>8</v>
      </c>
      <c r="D104" s="1" t="s">
        <v>367</v>
      </c>
      <c r="E104" s="1"/>
      <c r="F104" s="1" t="s">
        <v>32</v>
      </c>
    </row>
    <row r="105" spans="2:6" ht="30" x14ac:dyDescent="0.25">
      <c r="B105" s="29">
        <v>1</v>
      </c>
      <c r="C105" s="30">
        <v>9</v>
      </c>
      <c r="D105" s="1" t="s">
        <v>368</v>
      </c>
      <c r="E105" s="9" t="s">
        <v>369</v>
      </c>
      <c r="F105" s="1" t="s">
        <v>33</v>
      </c>
    </row>
    <row r="106" spans="2:6" ht="30" x14ac:dyDescent="0.25">
      <c r="B106" s="29">
        <v>1</v>
      </c>
      <c r="C106" s="30">
        <v>10</v>
      </c>
      <c r="D106" s="1" t="s">
        <v>370</v>
      </c>
      <c r="E106" s="1" t="s">
        <v>371</v>
      </c>
      <c r="F106" s="1" t="s">
        <v>33</v>
      </c>
    </row>
    <row r="107" spans="2:6" x14ac:dyDescent="0.25">
      <c r="B107" s="29">
        <v>1</v>
      </c>
      <c r="C107" s="30">
        <v>11</v>
      </c>
      <c r="D107" s="1" t="s">
        <v>372</v>
      </c>
      <c r="E107" s="1"/>
      <c r="F107" s="1" t="s">
        <v>30</v>
      </c>
    </row>
    <row r="108" spans="2:6" x14ac:dyDescent="0.25">
      <c r="B108" s="29">
        <v>1</v>
      </c>
      <c r="C108" s="30">
        <v>12</v>
      </c>
      <c r="D108" s="1"/>
      <c r="E108" s="1"/>
      <c r="F108"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06524273-2360-4C43-9154-4A480587EC5E}">
      <formula1>0</formula1>
      <formula2>80</formula2>
    </dataValidation>
    <dataValidation type="whole" showInputMessage="1" showErrorMessage="1" error="This is not a realistic number of contact hours please change" sqref="D19" xr:uid="{7B949394-BE34-4CC9-A9D6-7A75315A2DBB}">
      <formula1>0</formula1>
      <formula2>80</formula2>
    </dataValidation>
    <dataValidation type="list" allowBlank="1" showInputMessage="1" showErrorMessage="1" sqref="E38:E39" xr:uid="{B9D0113D-C789-41AE-B9C8-690F6C7A67B0}">
      <formula1>INDIRECT("LISTAssess[Assessment Specific]")</formula1>
    </dataValidation>
    <dataValidation type="list" allowBlank="1" showInputMessage="1" showErrorMessage="1" sqref="F44:F93" xr:uid="{3D662EF6-94E1-4350-B3D5-9F339CA0FD80}">
      <formula1>INDIRECT(VLOOKUP($E44, SkillNameMap, 2, FALSE))</formula1>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D03A4CC7-9A30-452E-97E5-E03FCC9419A4}">
          <x14:formula1>
            <xm:f>LISTS!$C$26:$C$37</xm:f>
          </x14:formula1>
          <xm:sqref>D14</xm:sqref>
        </x14:dataValidation>
        <x14:dataValidation type="list" allowBlank="1" showInputMessage="1" showErrorMessage="1" xr:uid="{B7DB85EB-DFB5-437F-BA0C-32D4D2070C4D}">
          <x14:formula1>
            <xm:f>LISTS!$C$17:$C$22</xm:f>
          </x14:formula1>
          <xm:sqref>D13</xm:sqref>
        </x14:dataValidation>
        <x14:dataValidation type="list" allowBlank="1" showInputMessage="1" showErrorMessage="1" xr:uid="{82DFBB4E-D28E-4403-815A-4704BBB7702D}">
          <x14:formula1>
            <xm:f>LISTS!$C$7:$C$9</xm:f>
          </x14:formula1>
          <xm:sqref>D10</xm:sqref>
        </x14:dataValidation>
        <x14:dataValidation type="list" allowBlank="1" showInputMessage="1" showErrorMessage="1" xr:uid="{D8278727-60ED-4240-AED9-43FB98158BAE}">
          <x14:formula1>
            <xm:f>LISTS!$C$11:$C$15</xm:f>
          </x14:formula1>
          <xm:sqref>D11</xm:sqref>
        </x14:dataValidation>
        <x14:dataValidation type="list" allowBlank="1" showInputMessage="1" showErrorMessage="1" xr:uid="{7F080A95-6299-4905-8FCE-548941111CEB}">
          <x14:formula1>
            <xm:f>LISTS!$G$7:$G$12</xm:f>
          </x14:formula1>
          <xm:sqref>D38:D40</xm:sqref>
        </x14:dataValidation>
        <x14:dataValidation type="list" allowBlank="1" showInputMessage="1" showErrorMessage="1" xr:uid="{DD24076C-D431-4B83-8FB6-3800945C7C90}">
          <x14:formula1>
            <xm:f>LISTS!$E$7:$E$11</xm:f>
          </x14:formula1>
          <xm:sqref>D44:D93</xm:sqref>
        </x14:dataValidation>
        <x14:dataValidation type="list" allowBlank="1" showInputMessage="1" showErrorMessage="1" xr:uid="{C1ACB768-367A-4765-AEE3-B6D50718CC09}">
          <x14:formula1>
            <xm:f>LISTS!$J$7:$J$16</xm:f>
          </x14:formula1>
          <xm:sqref>E44:E93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0D11-EC09-413C-A40F-97C98A34DEA5}">
  <sheetPr codeName="Sheet3"/>
  <dimension ref="A1:E65"/>
  <sheetViews>
    <sheetView topLeftCell="A26" workbookViewId="0">
      <selection activeCell="I40" sqref="I40"/>
    </sheetView>
  </sheetViews>
  <sheetFormatPr defaultColWidth="8.85546875" defaultRowHeight="15" x14ac:dyDescent="0.25"/>
  <cols>
    <col min="1" max="1" width="42.42578125" bestFit="1" customWidth="1"/>
    <col min="2" max="2" width="38" bestFit="1" customWidth="1"/>
    <col min="3" max="3" width="81.140625" bestFit="1" customWidth="1"/>
    <col min="4" max="4" width="16.140625" bestFit="1" customWidth="1"/>
    <col min="5" max="5" width="11" bestFit="1" customWidth="1"/>
  </cols>
  <sheetData>
    <row r="1" spans="1:5" x14ac:dyDescent="0.25">
      <c r="A1" t="s">
        <v>373</v>
      </c>
      <c r="B1" t="s">
        <v>374</v>
      </c>
      <c r="C1" t="s">
        <v>375</v>
      </c>
      <c r="D1" t="s">
        <v>376</v>
      </c>
      <c r="E1" t="s">
        <v>377</v>
      </c>
    </row>
    <row r="2" spans="1:5" x14ac:dyDescent="0.25">
      <c r="A2" t="s">
        <v>68</v>
      </c>
      <c r="B2" t="s">
        <v>290</v>
      </c>
      <c r="C2" t="s">
        <v>717</v>
      </c>
      <c r="D2">
        <v>7</v>
      </c>
      <c r="E2" t="b">
        <v>1</v>
      </c>
    </row>
    <row r="3" spans="1:5" x14ac:dyDescent="0.25">
      <c r="A3" t="s">
        <v>68</v>
      </c>
      <c r="B3" t="s">
        <v>69</v>
      </c>
      <c r="C3" t="s">
        <v>718</v>
      </c>
      <c r="D3">
        <v>8</v>
      </c>
      <c r="E3" t="b">
        <v>1</v>
      </c>
    </row>
    <row r="4" spans="1:5" x14ac:dyDescent="0.25">
      <c r="A4" t="s">
        <v>68</v>
      </c>
      <c r="B4" t="s">
        <v>119</v>
      </c>
      <c r="C4" t="s">
        <v>719</v>
      </c>
      <c r="D4">
        <v>8</v>
      </c>
      <c r="E4" t="b">
        <v>1</v>
      </c>
    </row>
    <row r="5" spans="1:5" x14ac:dyDescent="0.25">
      <c r="A5" t="s">
        <v>72</v>
      </c>
      <c r="B5" t="s">
        <v>73</v>
      </c>
      <c r="C5" t="s">
        <v>426</v>
      </c>
      <c r="D5">
        <v>1</v>
      </c>
      <c r="E5" t="b">
        <v>1</v>
      </c>
    </row>
    <row r="6" spans="1:5" x14ac:dyDescent="0.25">
      <c r="A6" t="s">
        <v>68</v>
      </c>
      <c r="B6" t="s">
        <v>289</v>
      </c>
      <c r="C6" t="s">
        <v>720</v>
      </c>
      <c r="D6">
        <v>4</v>
      </c>
      <c r="E6" t="b">
        <v>1</v>
      </c>
    </row>
    <row r="7" spans="1:5" x14ac:dyDescent="0.25">
      <c r="A7" t="s">
        <v>74</v>
      </c>
      <c r="B7" t="s">
        <v>75</v>
      </c>
      <c r="C7" t="s">
        <v>721</v>
      </c>
      <c r="D7">
        <v>14</v>
      </c>
      <c r="E7" t="b">
        <v>1</v>
      </c>
    </row>
    <row r="8" spans="1:5" x14ac:dyDescent="0.25">
      <c r="A8" t="s">
        <v>68</v>
      </c>
      <c r="B8" t="s">
        <v>417</v>
      </c>
      <c r="C8" t="s">
        <v>418</v>
      </c>
      <c r="D8">
        <v>3</v>
      </c>
      <c r="E8" t="b">
        <v>1</v>
      </c>
    </row>
    <row r="9" spans="1:5" x14ac:dyDescent="0.25">
      <c r="A9" t="s">
        <v>74</v>
      </c>
      <c r="B9" t="s">
        <v>76</v>
      </c>
      <c r="C9" t="s">
        <v>722</v>
      </c>
      <c r="D9">
        <v>9</v>
      </c>
      <c r="E9" t="b">
        <v>1</v>
      </c>
    </row>
    <row r="10" spans="1:5" x14ac:dyDescent="0.25">
      <c r="A10" t="s">
        <v>68</v>
      </c>
      <c r="B10" t="s">
        <v>378</v>
      </c>
      <c r="C10" t="s">
        <v>379</v>
      </c>
      <c r="D10">
        <v>3</v>
      </c>
      <c r="E10" t="b">
        <v>1</v>
      </c>
    </row>
    <row r="11" spans="1:5" x14ac:dyDescent="0.25">
      <c r="A11" t="s">
        <v>121</v>
      </c>
      <c r="B11" t="s">
        <v>380</v>
      </c>
      <c r="D11">
        <v>0</v>
      </c>
      <c r="E11" t="b">
        <v>0</v>
      </c>
    </row>
    <row r="12" spans="1:5" x14ac:dyDescent="0.25">
      <c r="A12" t="s">
        <v>121</v>
      </c>
      <c r="B12" t="s">
        <v>381</v>
      </c>
      <c r="C12" t="s">
        <v>382</v>
      </c>
      <c r="D12">
        <v>3</v>
      </c>
      <c r="E12" t="b">
        <v>1</v>
      </c>
    </row>
    <row r="13" spans="1:5" x14ac:dyDescent="0.25">
      <c r="A13" t="s">
        <v>72</v>
      </c>
      <c r="B13" t="s">
        <v>120</v>
      </c>
      <c r="C13" t="s">
        <v>723</v>
      </c>
      <c r="D13">
        <v>3</v>
      </c>
      <c r="E13" t="b">
        <v>1</v>
      </c>
    </row>
    <row r="14" spans="1:5" x14ac:dyDescent="0.25">
      <c r="A14" t="s">
        <v>121</v>
      </c>
      <c r="B14" t="s">
        <v>383</v>
      </c>
      <c r="C14" t="s">
        <v>384</v>
      </c>
      <c r="D14">
        <v>2</v>
      </c>
      <c r="E14" t="b">
        <v>1</v>
      </c>
    </row>
    <row r="15" spans="1:5" x14ac:dyDescent="0.25">
      <c r="A15" t="s">
        <v>121</v>
      </c>
      <c r="B15" t="s">
        <v>122</v>
      </c>
      <c r="C15" t="s">
        <v>724</v>
      </c>
      <c r="D15">
        <v>4</v>
      </c>
      <c r="E15" t="b">
        <v>1</v>
      </c>
    </row>
    <row r="16" spans="1:5" x14ac:dyDescent="0.25">
      <c r="A16" t="s">
        <v>121</v>
      </c>
      <c r="B16" t="s">
        <v>385</v>
      </c>
      <c r="C16" t="s">
        <v>444</v>
      </c>
      <c r="D16">
        <v>1</v>
      </c>
      <c r="E16" t="b">
        <v>1</v>
      </c>
    </row>
    <row r="17" spans="1:5" x14ac:dyDescent="0.25">
      <c r="A17" t="s">
        <v>123</v>
      </c>
      <c r="B17" t="s">
        <v>124</v>
      </c>
      <c r="C17" t="s">
        <v>725</v>
      </c>
      <c r="D17">
        <v>2</v>
      </c>
      <c r="E17" t="b">
        <v>1</v>
      </c>
    </row>
    <row r="18" spans="1:5" x14ac:dyDescent="0.25">
      <c r="A18" t="s">
        <v>151</v>
      </c>
      <c r="B18" t="s">
        <v>152</v>
      </c>
      <c r="C18" t="s">
        <v>420</v>
      </c>
      <c r="D18">
        <v>4</v>
      </c>
      <c r="E18" t="b">
        <v>1</v>
      </c>
    </row>
    <row r="19" spans="1:5" x14ac:dyDescent="0.25">
      <c r="A19" t="s">
        <v>121</v>
      </c>
      <c r="B19" t="s">
        <v>386</v>
      </c>
      <c r="C19" t="s">
        <v>387</v>
      </c>
      <c r="D19">
        <v>2</v>
      </c>
      <c r="E19" t="b">
        <v>1</v>
      </c>
    </row>
    <row r="20" spans="1:5" x14ac:dyDescent="0.25">
      <c r="A20" t="s">
        <v>72</v>
      </c>
      <c r="B20" t="s">
        <v>153</v>
      </c>
      <c r="C20" t="s">
        <v>135</v>
      </c>
      <c r="D20">
        <v>1</v>
      </c>
      <c r="E20" t="b">
        <v>1</v>
      </c>
    </row>
    <row r="21" spans="1:5" x14ac:dyDescent="0.25">
      <c r="A21" t="s">
        <v>74</v>
      </c>
      <c r="B21" t="s">
        <v>164</v>
      </c>
      <c r="C21" t="s">
        <v>726</v>
      </c>
      <c r="D21">
        <v>7</v>
      </c>
      <c r="E21" t="b">
        <v>1</v>
      </c>
    </row>
    <row r="22" spans="1:5" x14ac:dyDescent="0.25">
      <c r="A22" t="s">
        <v>154</v>
      </c>
      <c r="B22" t="s">
        <v>155</v>
      </c>
      <c r="C22" t="s">
        <v>421</v>
      </c>
      <c r="D22">
        <v>4</v>
      </c>
      <c r="E22" t="b">
        <v>1</v>
      </c>
    </row>
    <row r="23" spans="1:5" x14ac:dyDescent="0.25">
      <c r="A23" t="s">
        <v>74</v>
      </c>
      <c r="B23" t="s">
        <v>253</v>
      </c>
      <c r="C23" t="s">
        <v>727</v>
      </c>
      <c r="D23">
        <v>2</v>
      </c>
      <c r="E23" t="b">
        <v>1</v>
      </c>
    </row>
    <row r="24" spans="1:5" x14ac:dyDescent="0.25">
      <c r="A24" t="s">
        <v>123</v>
      </c>
      <c r="B24" t="s">
        <v>156</v>
      </c>
      <c r="C24" t="s">
        <v>728</v>
      </c>
      <c r="D24">
        <v>6</v>
      </c>
      <c r="E24" t="b">
        <v>1</v>
      </c>
    </row>
    <row r="25" spans="1:5" x14ac:dyDescent="0.25">
      <c r="A25" t="s">
        <v>157</v>
      </c>
      <c r="B25" t="s">
        <v>158</v>
      </c>
      <c r="C25" t="s">
        <v>388</v>
      </c>
      <c r="D25">
        <v>4</v>
      </c>
      <c r="E25" t="b">
        <v>1</v>
      </c>
    </row>
    <row r="26" spans="1:5" x14ac:dyDescent="0.25">
      <c r="A26" t="s">
        <v>157</v>
      </c>
      <c r="B26" t="s">
        <v>159</v>
      </c>
      <c r="C26" t="s">
        <v>389</v>
      </c>
      <c r="D26">
        <v>2</v>
      </c>
      <c r="E26" t="b">
        <v>1</v>
      </c>
    </row>
    <row r="27" spans="1:5" x14ac:dyDescent="0.25">
      <c r="A27" t="s">
        <v>74</v>
      </c>
      <c r="B27" t="s">
        <v>165</v>
      </c>
      <c r="C27" t="s">
        <v>390</v>
      </c>
      <c r="D27">
        <v>3</v>
      </c>
      <c r="E27" t="b">
        <v>1</v>
      </c>
    </row>
    <row r="28" spans="1:5" x14ac:dyDescent="0.25">
      <c r="A28" t="s">
        <v>70</v>
      </c>
      <c r="B28" t="s">
        <v>160</v>
      </c>
      <c r="C28" t="s">
        <v>729</v>
      </c>
      <c r="D28">
        <v>3</v>
      </c>
      <c r="E28" t="b">
        <v>1</v>
      </c>
    </row>
    <row r="29" spans="1:5" x14ac:dyDescent="0.25">
      <c r="A29" t="s">
        <v>74</v>
      </c>
      <c r="B29" t="s">
        <v>166</v>
      </c>
      <c r="C29" t="s">
        <v>391</v>
      </c>
      <c r="D29">
        <v>3</v>
      </c>
      <c r="E29" t="b">
        <v>1</v>
      </c>
    </row>
    <row r="30" spans="1:5" x14ac:dyDescent="0.25">
      <c r="A30" t="s">
        <v>151</v>
      </c>
      <c r="B30" t="s">
        <v>419</v>
      </c>
      <c r="D30">
        <v>0</v>
      </c>
      <c r="E30" t="b">
        <v>0</v>
      </c>
    </row>
    <row r="31" spans="1:5" x14ac:dyDescent="0.25">
      <c r="A31" t="s">
        <v>151</v>
      </c>
      <c r="B31" t="s">
        <v>180</v>
      </c>
      <c r="C31" t="s">
        <v>392</v>
      </c>
      <c r="D31">
        <v>4</v>
      </c>
      <c r="E31" t="b">
        <v>1</v>
      </c>
    </row>
    <row r="32" spans="1:5" x14ac:dyDescent="0.25">
      <c r="A32" t="s">
        <v>151</v>
      </c>
      <c r="B32" t="s">
        <v>181</v>
      </c>
      <c r="C32" t="s">
        <v>730</v>
      </c>
      <c r="D32">
        <v>6</v>
      </c>
      <c r="E32" t="b">
        <v>1</v>
      </c>
    </row>
    <row r="33" spans="1:5" x14ac:dyDescent="0.25">
      <c r="A33" t="s">
        <v>151</v>
      </c>
      <c r="B33" t="s">
        <v>352</v>
      </c>
      <c r="C33" t="s">
        <v>393</v>
      </c>
      <c r="D33">
        <v>9</v>
      </c>
      <c r="E33" t="b">
        <v>1</v>
      </c>
    </row>
    <row r="34" spans="1:5" x14ac:dyDescent="0.25">
      <c r="A34" t="s">
        <v>151</v>
      </c>
      <c r="B34" t="s">
        <v>395</v>
      </c>
      <c r="D34">
        <v>0</v>
      </c>
      <c r="E34" t="b">
        <v>0</v>
      </c>
    </row>
    <row r="35" spans="1:5" x14ac:dyDescent="0.25">
      <c r="A35" t="s">
        <v>154</v>
      </c>
      <c r="B35" t="s">
        <v>167</v>
      </c>
      <c r="C35" t="s">
        <v>731</v>
      </c>
      <c r="D35">
        <v>10</v>
      </c>
      <c r="E35" t="b">
        <v>1</v>
      </c>
    </row>
    <row r="36" spans="1:5" x14ac:dyDescent="0.25">
      <c r="A36" t="s">
        <v>72</v>
      </c>
      <c r="B36" t="s">
        <v>182</v>
      </c>
      <c r="C36" t="s">
        <v>732</v>
      </c>
      <c r="D36">
        <v>5</v>
      </c>
      <c r="E36" t="b">
        <v>1</v>
      </c>
    </row>
    <row r="37" spans="1:5" x14ac:dyDescent="0.25">
      <c r="A37" t="s">
        <v>154</v>
      </c>
      <c r="B37" t="s">
        <v>168</v>
      </c>
      <c r="C37" t="s">
        <v>394</v>
      </c>
      <c r="D37">
        <v>3</v>
      </c>
      <c r="E37" t="b">
        <v>1</v>
      </c>
    </row>
    <row r="38" spans="1:5" x14ac:dyDescent="0.25">
      <c r="A38" t="s">
        <v>169</v>
      </c>
      <c r="B38" t="s">
        <v>170</v>
      </c>
      <c r="C38" t="s">
        <v>396</v>
      </c>
      <c r="D38">
        <v>3</v>
      </c>
      <c r="E38" t="b">
        <v>1</v>
      </c>
    </row>
    <row r="39" spans="1:5" x14ac:dyDescent="0.25">
      <c r="A39" t="s">
        <v>169</v>
      </c>
      <c r="B39" t="s">
        <v>171</v>
      </c>
      <c r="C39" t="s">
        <v>389</v>
      </c>
      <c r="D39">
        <v>2</v>
      </c>
      <c r="E39" t="b">
        <v>1</v>
      </c>
    </row>
    <row r="40" spans="1:5" x14ac:dyDescent="0.25">
      <c r="A40" t="s">
        <v>169</v>
      </c>
      <c r="B40" t="s">
        <v>172</v>
      </c>
      <c r="C40" t="s">
        <v>397</v>
      </c>
      <c r="D40">
        <v>6</v>
      </c>
      <c r="E40" t="b">
        <v>1</v>
      </c>
    </row>
    <row r="41" spans="1:5" x14ac:dyDescent="0.25">
      <c r="A41" t="s">
        <v>72</v>
      </c>
      <c r="B41" t="s">
        <v>398</v>
      </c>
      <c r="D41">
        <v>0</v>
      </c>
      <c r="E41" t="b">
        <v>0</v>
      </c>
    </row>
    <row r="42" spans="1:5" x14ac:dyDescent="0.25">
      <c r="A42" t="s">
        <v>169</v>
      </c>
      <c r="B42" t="s">
        <v>173</v>
      </c>
      <c r="C42" t="s">
        <v>396</v>
      </c>
      <c r="D42">
        <v>3</v>
      </c>
      <c r="E42" t="b">
        <v>1</v>
      </c>
    </row>
    <row r="43" spans="1:5" x14ac:dyDescent="0.25">
      <c r="A43" t="s">
        <v>72</v>
      </c>
      <c r="B43" t="s">
        <v>399</v>
      </c>
      <c r="D43">
        <v>0</v>
      </c>
      <c r="E43" t="b">
        <v>0</v>
      </c>
    </row>
    <row r="44" spans="1:5" x14ac:dyDescent="0.25">
      <c r="A44" t="s">
        <v>169</v>
      </c>
      <c r="B44" t="s">
        <v>174</v>
      </c>
      <c r="C44" t="s">
        <v>389</v>
      </c>
      <c r="D44">
        <v>2</v>
      </c>
      <c r="E44" t="b">
        <v>1</v>
      </c>
    </row>
    <row r="45" spans="1:5" x14ac:dyDescent="0.25">
      <c r="A45" t="s">
        <v>72</v>
      </c>
      <c r="B45" t="s">
        <v>400</v>
      </c>
      <c r="D45">
        <v>0</v>
      </c>
      <c r="E45" t="b">
        <v>0</v>
      </c>
    </row>
    <row r="46" spans="1:5" x14ac:dyDescent="0.25">
      <c r="A46" t="s">
        <v>169</v>
      </c>
      <c r="B46" t="s">
        <v>175</v>
      </c>
      <c r="C46" t="s">
        <v>389</v>
      </c>
      <c r="D46">
        <v>2</v>
      </c>
      <c r="E46" t="b">
        <v>1</v>
      </c>
    </row>
    <row r="47" spans="1:5" x14ac:dyDescent="0.25">
      <c r="A47" t="s">
        <v>154</v>
      </c>
      <c r="B47" t="s">
        <v>401</v>
      </c>
      <c r="C47" t="s">
        <v>402</v>
      </c>
      <c r="D47">
        <v>1</v>
      </c>
      <c r="E47" t="b">
        <v>1</v>
      </c>
    </row>
    <row r="48" spans="1:5" x14ac:dyDescent="0.25">
      <c r="A48" t="s">
        <v>169</v>
      </c>
      <c r="B48" t="s">
        <v>176</v>
      </c>
      <c r="C48" t="s">
        <v>389</v>
      </c>
      <c r="D48">
        <v>2</v>
      </c>
      <c r="E48" t="b">
        <v>1</v>
      </c>
    </row>
    <row r="49" spans="1:5" x14ac:dyDescent="0.25">
      <c r="A49" t="s">
        <v>157</v>
      </c>
      <c r="B49" t="s">
        <v>177</v>
      </c>
      <c r="C49" t="s">
        <v>389</v>
      </c>
      <c r="D49">
        <v>2</v>
      </c>
      <c r="E49" t="b">
        <v>1</v>
      </c>
    </row>
    <row r="50" spans="1:5" x14ac:dyDescent="0.25">
      <c r="A50" t="s">
        <v>123</v>
      </c>
      <c r="B50" t="s">
        <v>178</v>
      </c>
      <c r="C50" t="s">
        <v>403</v>
      </c>
      <c r="D50">
        <v>4</v>
      </c>
      <c r="E50" t="b">
        <v>1</v>
      </c>
    </row>
    <row r="51" spans="1:5" x14ac:dyDescent="0.25">
      <c r="A51" t="s">
        <v>154</v>
      </c>
      <c r="B51" t="s">
        <v>404</v>
      </c>
      <c r="C51" t="s">
        <v>405</v>
      </c>
      <c r="D51">
        <v>4</v>
      </c>
      <c r="E51" t="b">
        <v>1</v>
      </c>
    </row>
    <row r="52" spans="1:5" x14ac:dyDescent="0.25">
      <c r="A52" t="s">
        <v>123</v>
      </c>
      <c r="B52" t="s">
        <v>179</v>
      </c>
      <c r="C52" t="s">
        <v>729</v>
      </c>
      <c r="D52">
        <v>3</v>
      </c>
      <c r="E52" t="b">
        <v>1</v>
      </c>
    </row>
    <row r="53" spans="1:5" x14ac:dyDescent="0.25">
      <c r="A53" t="s">
        <v>154</v>
      </c>
      <c r="B53" t="s">
        <v>406</v>
      </c>
      <c r="C53" t="s">
        <v>733</v>
      </c>
      <c r="D53">
        <v>2</v>
      </c>
      <c r="E53" t="b">
        <v>1</v>
      </c>
    </row>
    <row r="54" spans="1:5" x14ac:dyDescent="0.25">
      <c r="A54" t="s">
        <v>123</v>
      </c>
      <c r="B54" t="s">
        <v>408</v>
      </c>
      <c r="C54" t="s">
        <v>444</v>
      </c>
      <c r="D54">
        <v>1</v>
      </c>
      <c r="E54" t="b">
        <v>1</v>
      </c>
    </row>
    <row r="55" spans="1:5" x14ac:dyDescent="0.25">
      <c r="A55" t="s">
        <v>123</v>
      </c>
      <c r="B55" t="s">
        <v>409</v>
      </c>
      <c r="C55" t="s">
        <v>410</v>
      </c>
      <c r="D55">
        <v>2</v>
      </c>
      <c r="E55" t="b">
        <v>1</v>
      </c>
    </row>
    <row r="56" spans="1:5" x14ac:dyDescent="0.25">
      <c r="A56" t="s">
        <v>157</v>
      </c>
      <c r="B56" t="s">
        <v>353</v>
      </c>
      <c r="C56" t="s">
        <v>337</v>
      </c>
      <c r="D56">
        <v>1</v>
      </c>
      <c r="E56" t="b">
        <v>1</v>
      </c>
    </row>
    <row r="57" spans="1:5" x14ac:dyDescent="0.25">
      <c r="A57" t="s">
        <v>169</v>
      </c>
      <c r="B57" t="s">
        <v>411</v>
      </c>
      <c r="C57" t="s">
        <v>412</v>
      </c>
      <c r="D57">
        <v>1</v>
      </c>
      <c r="E57" t="b">
        <v>1</v>
      </c>
    </row>
    <row r="58" spans="1:5" x14ac:dyDescent="0.25">
      <c r="A58" t="s">
        <v>157</v>
      </c>
      <c r="B58" t="s">
        <v>354</v>
      </c>
      <c r="C58" t="s">
        <v>337</v>
      </c>
      <c r="D58">
        <v>1</v>
      </c>
      <c r="E58" t="b">
        <v>1</v>
      </c>
    </row>
    <row r="59" spans="1:5" x14ac:dyDescent="0.25">
      <c r="A59" t="s">
        <v>169</v>
      </c>
      <c r="B59" t="s">
        <v>413</v>
      </c>
      <c r="D59">
        <v>0</v>
      </c>
      <c r="E59" t="b">
        <v>0</v>
      </c>
    </row>
    <row r="60" spans="1:5" x14ac:dyDescent="0.25">
      <c r="A60" t="s">
        <v>70</v>
      </c>
      <c r="B60" t="s">
        <v>414</v>
      </c>
      <c r="D60">
        <v>0</v>
      </c>
      <c r="E60" t="b">
        <v>0</v>
      </c>
    </row>
    <row r="61" spans="1:5" x14ac:dyDescent="0.25">
      <c r="A61" t="s">
        <v>70</v>
      </c>
      <c r="B61" t="s">
        <v>161</v>
      </c>
      <c r="C61" t="s">
        <v>389</v>
      </c>
      <c r="D61">
        <v>2</v>
      </c>
      <c r="E61" t="b">
        <v>1</v>
      </c>
    </row>
    <row r="62" spans="1:5" x14ac:dyDescent="0.25">
      <c r="A62" t="s">
        <v>70</v>
      </c>
      <c r="B62" t="s">
        <v>162</v>
      </c>
      <c r="C62" t="s">
        <v>415</v>
      </c>
      <c r="D62">
        <v>3</v>
      </c>
      <c r="E62" t="b">
        <v>1</v>
      </c>
    </row>
    <row r="63" spans="1:5" x14ac:dyDescent="0.25">
      <c r="A63" t="s">
        <v>70</v>
      </c>
      <c r="B63" t="s">
        <v>71</v>
      </c>
      <c r="C63" t="s">
        <v>734</v>
      </c>
      <c r="D63">
        <v>3</v>
      </c>
      <c r="E63" t="b">
        <v>1</v>
      </c>
    </row>
    <row r="64" spans="1:5" x14ac:dyDescent="0.25">
      <c r="A64" t="s">
        <v>70</v>
      </c>
      <c r="B64" t="s">
        <v>416</v>
      </c>
      <c r="D64">
        <v>0</v>
      </c>
      <c r="E64" t="b">
        <v>0</v>
      </c>
    </row>
    <row r="65" spans="1:5" x14ac:dyDescent="0.25">
      <c r="A65" t="s">
        <v>70</v>
      </c>
      <c r="B65" t="s">
        <v>163</v>
      </c>
      <c r="C65" t="s">
        <v>389</v>
      </c>
      <c r="D65">
        <v>2</v>
      </c>
      <c r="E65" t="b">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546C7-321E-469A-82AF-0F038FD8C2FB}">
  <sheetPr codeName="Sheet5"/>
  <dimension ref="A1:I24"/>
  <sheetViews>
    <sheetView workbookViewId="0">
      <selection activeCell="I12" sqref="I12"/>
    </sheetView>
  </sheetViews>
  <sheetFormatPr defaultColWidth="8.85546875" defaultRowHeight="15" x14ac:dyDescent="0.25"/>
  <cols>
    <col min="1" max="1" width="14.85546875" bestFit="1" customWidth="1"/>
    <col min="2" max="2" width="41.5703125" bestFit="1" customWidth="1"/>
    <col min="3" max="3" width="8.140625" bestFit="1" customWidth="1"/>
    <col min="4" max="4" width="12" bestFit="1" customWidth="1"/>
    <col min="5" max="5" width="10" bestFit="1" customWidth="1"/>
    <col min="6" max="6" width="21.5703125" bestFit="1" customWidth="1"/>
    <col min="7" max="7" width="18.5703125" bestFit="1" customWidth="1"/>
    <col min="8" max="8" width="21.42578125" bestFit="1" customWidth="1"/>
    <col min="9" max="9" width="18.42578125" bestFit="1" customWidth="1"/>
  </cols>
  <sheetData>
    <row r="1" spans="1:9" x14ac:dyDescent="0.25">
      <c r="A1" t="s">
        <v>422</v>
      </c>
      <c r="B1" t="s">
        <v>423</v>
      </c>
      <c r="C1" t="s">
        <v>12</v>
      </c>
      <c r="D1" t="s">
        <v>10</v>
      </c>
      <c r="E1" t="s">
        <v>9</v>
      </c>
      <c r="F1" t="s">
        <v>14</v>
      </c>
      <c r="G1" t="s">
        <v>17</v>
      </c>
      <c r="H1" t="s">
        <v>424</v>
      </c>
      <c r="I1" t="s">
        <v>425</v>
      </c>
    </row>
    <row r="2" spans="1:9" x14ac:dyDescent="0.25">
      <c r="A2" t="s">
        <v>5</v>
      </c>
      <c r="B2" t="s">
        <v>426</v>
      </c>
      <c r="C2">
        <v>4</v>
      </c>
      <c r="D2">
        <v>1</v>
      </c>
      <c r="E2">
        <v>20</v>
      </c>
      <c r="F2" t="s">
        <v>15</v>
      </c>
      <c r="G2" t="s">
        <v>18</v>
      </c>
      <c r="H2">
        <v>40</v>
      </c>
      <c r="I2">
        <v>2</v>
      </c>
    </row>
    <row r="3" spans="1:9" x14ac:dyDescent="0.25">
      <c r="A3" t="s">
        <v>104</v>
      </c>
      <c r="B3" t="s">
        <v>105</v>
      </c>
      <c r="C3">
        <v>5</v>
      </c>
      <c r="D3">
        <v>2</v>
      </c>
      <c r="E3">
        <v>20</v>
      </c>
      <c r="F3" t="s">
        <v>15</v>
      </c>
      <c r="G3" t="s">
        <v>18</v>
      </c>
      <c r="H3">
        <v>40</v>
      </c>
      <c r="I3">
        <v>2</v>
      </c>
    </row>
    <row r="4" spans="1:9" x14ac:dyDescent="0.25">
      <c r="A4" t="s">
        <v>133</v>
      </c>
      <c r="B4" t="s">
        <v>135</v>
      </c>
      <c r="C4">
        <v>5</v>
      </c>
      <c r="E4">
        <v>20</v>
      </c>
      <c r="F4" t="s">
        <v>137</v>
      </c>
      <c r="G4" t="s">
        <v>138</v>
      </c>
      <c r="H4">
        <v>40</v>
      </c>
      <c r="I4">
        <v>2</v>
      </c>
    </row>
    <row r="5" spans="1:9" x14ac:dyDescent="0.25">
      <c r="A5" t="s">
        <v>202</v>
      </c>
      <c r="B5" t="s">
        <v>204</v>
      </c>
      <c r="C5">
        <v>5</v>
      </c>
      <c r="D5">
        <v>2</v>
      </c>
      <c r="E5">
        <v>20</v>
      </c>
      <c r="F5" t="s">
        <v>206</v>
      </c>
      <c r="G5" t="s">
        <v>138</v>
      </c>
      <c r="H5">
        <v>40</v>
      </c>
      <c r="I5">
        <v>2</v>
      </c>
    </row>
    <row r="6" spans="1:9" x14ac:dyDescent="0.25">
      <c r="A6" t="s">
        <v>335</v>
      </c>
      <c r="B6" t="s">
        <v>337</v>
      </c>
      <c r="C6">
        <v>6</v>
      </c>
      <c r="D6">
        <v>1</v>
      </c>
      <c r="E6">
        <v>20</v>
      </c>
      <c r="F6" t="s">
        <v>137</v>
      </c>
      <c r="G6" t="s">
        <v>339</v>
      </c>
      <c r="H6">
        <v>40</v>
      </c>
      <c r="I6">
        <v>2</v>
      </c>
    </row>
    <row r="7" spans="1:9" x14ac:dyDescent="0.25">
      <c r="A7" t="s">
        <v>274</v>
      </c>
      <c r="B7" t="s">
        <v>427</v>
      </c>
      <c r="C7">
        <v>6</v>
      </c>
      <c r="D7">
        <v>1</v>
      </c>
      <c r="E7">
        <v>20</v>
      </c>
      <c r="F7" t="s">
        <v>277</v>
      </c>
      <c r="G7" t="s">
        <v>138</v>
      </c>
      <c r="H7">
        <v>40</v>
      </c>
      <c r="I7">
        <v>2</v>
      </c>
    </row>
    <row r="8" spans="1:9" x14ac:dyDescent="0.25">
      <c r="A8" t="s">
        <v>303</v>
      </c>
      <c r="B8" t="s">
        <v>428</v>
      </c>
      <c r="C8">
        <v>6</v>
      </c>
      <c r="E8">
        <v>20</v>
      </c>
      <c r="F8" t="s">
        <v>15</v>
      </c>
      <c r="G8" t="s">
        <v>18</v>
      </c>
      <c r="H8">
        <v>40</v>
      </c>
      <c r="I8">
        <v>2</v>
      </c>
    </row>
    <row r="9" spans="1:9" x14ac:dyDescent="0.25">
      <c r="A9" t="s">
        <v>240</v>
      </c>
      <c r="B9" t="s">
        <v>241</v>
      </c>
      <c r="C9">
        <v>6</v>
      </c>
      <c r="D9">
        <v>2</v>
      </c>
      <c r="E9">
        <v>20</v>
      </c>
      <c r="F9" t="s">
        <v>206</v>
      </c>
      <c r="G9" t="s">
        <v>138</v>
      </c>
      <c r="H9">
        <v>40</v>
      </c>
      <c r="I9">
        <v>2</v>
      </c>
    </row>
    <row r="10" spans="1:9" x14ac:dyDescent="0.25">
      <c r="A10" t="s">
        <v>429</v>
      </c>
      <c r="B10" t="s">
        <v>430</v>
      </c>
      <c r="C10">
        <v>4</v>
      </c>
      <c r="D10">
        <v>2</v>
      </c>
      <c r="E10">
        <v>20</v>
      </c>
      <c r="F10" t="s">
        <v>431</v>
      </c>
      <c r="G10" t="s">
        <v>138</v>
      </c>
      <c r="H10">
        <v>40</v>
      </c>
      <c r="I10">
        <v>2</v>
      </c>
    </row>
    <row r="11" spans="1:9" x14ac:dyDescent="0.25">
      <c r="A11" t="s">
        <v>432</v>
      </c>
      <c r="B11" t="s">
        <v>433</v>
      </c>
      <c r="C11">
        <v>6</v>
      </c>
      <c r="D11">
        <v>1</v>
      </c>
      <c r="E11">
        <v>20</v>
      </c>
      <c r="F11" t="s">
        <v>434</v>
      </c>
      <c r="G11" t="s">
        <v>339</v>
      </c>
      <c r="H11">
        <v>40</v>
      </c>
      <c r="I11">
        <v>2</v>
      </c>
    </row>
    <row r="12" spans="1:9" x14ac:dyDescent="0.25">
      <c r="A12" t="s">
        <v>435</v>
      </c>
      <c r="B12" t="s">
        <v>436</v>
      </c>
      <c r="E12">
        <v>20</v>
      </c>
      <c r="H12">
        <v>0</v>
      </c>
      <c r="I12">
        <v>0</v>
      </c>
    </row>
    <row r="13" spans="1:9" x14ac:dyDescent="0.25">
      <c r="A13" t="s">
        <v>437</v>
      </c>
      <c r="B13" t="s">
        <v>438</v>
      </c>
      <c r="C13">
        <v>5</v>
      </c>
      <c r="D13">
        <v>1</v>
      </c>
      <c r="E13">
        <v>20</v>
      </c>
      <c r="F13" t="s">
        <v>439</v>
      </c>
      <c r="G13" t="s">
        <v>138</v>
      </c>
      <c r="H13">
        <v>40</v>
      </c>
      <c r="I13">
        <v>2</v>
      </c>
    </row>
    <row r="14" spans="1:9" x14ac:dyDescent="0.25">
      <c r="A14" t="s">
        <v>440</v>
      </c>
      <c r="B14" t="s">
        <v>441</v>
      </c>
      <c r="C14">
        <v>4</v>
      </c>
      <c r="D14">
        <v>1</v>
      </c>
      <c r="E14">
        <v>20</v>
      </c>
      <c r="F14" t="s">
        <v>442</v>
      </c>
      <c r="G14" t="s">
        <v>138</v>
      </c>
      <c r="H14">
        <v>42</v>
      </c>
      <c r="I14">
        <v>2.1</v>
      </c>
    </row>
    <row r="15" spans="1:9" x14ac:dyDescent="0.25">
      <c r="A15" t="s">
        <v>443</v>
      </c>
      <c r="B15" t="s">
        <v>444</v>
      </c>
      <c r="C15">
        <v>5</v>
      </c>
      <c r="D15">
        <v>2</v>
      </c>
      <c r="E15">
        <v>20</v>
      </c>
      <c r="F15" t="s">
        <v>445</v>
      </c>
      <c r="G15" t="s">
        <v>138</v>
      </c>
      <c r="H15">
        <v>44</v>
      </c>
      <c r="I15">
        <v>2.2000000000000002</v>
      </c>
    </row>
    <row r="16" spans="1:9" x14ac:dyDescent="0.25">
      <c r="A16" t="s">
        <v>446</v>
      </c>
      <c r="B16" t="s">
        <v>447</v>
      </c>
      <c r="C16">
        <v>4</v>
      </c>
      <c r="D16">
        <v>2</v>
      </c>
      <c r="E16">
        <v>20</v>
      </c>
      <c r="F16" t="s">
        <v>448</v>
      </c>
      <c r="G16" t="s">
        <v>449</v>
      </c>
      <c r="H16">
        <v>44</v>
      </c>
      <c r="I16">
        <v>2.2000000000000002</v>
      </c>
    </row>
    <row r="17" spans="1:9" x14ac:dyDescent="0.25">
      <c r="A17" t="s">
        <v>450</v>
      </c>
      <c r="B17" t="s">
        <v>402</v>
      </c>
      <c r="C17">
        <v>4</v>
      </c>
      <c r="D17">
        <v>1</v>
      </c>
      <c r="E17">
        <v>20</v>
      </c>
      <c r="F17" t="s">
        <v>716</v>
      </c>
      <c r="G17" t="s">
        <v>138</v>
      </c>
      <c r="H17">
        <v>44</v>
      </c>
      <c r="I17">
        <v>2.2000000000000002</v>
      </c>
    </row>
    <row r="18" spans="1:9" x14ac:dyDescent="0.25">
      <c r="A18" t="s">
        <v>451</v>
      </c>
      <c r="B18" t="s">
        <v>407</v>
      </c>
      <c r="C18">
        <v>4</v>
      </c>
      <c r="D18">
        <v>2</v>
      </c>
      <c r="E18">
        <v>20</v>
      </c>
      <c r="F18" t="s">
        <v>452</v>
      </c>
      <c r="G18" t="s">
        <v>138</v>
      </c>
      <c r="H18">
        <v>39</v>
      </c>
      <c r="I18">
        <v>1.95</v>
      </c>
    </row>
    <row r="19" spans="1:9" x14ac:dyDescent="0.25">
      <c r="A19" t="s">
        <v>453</v>
      </c>
      <c r="B19" t="s">
        <v>454</v>
      </c>
      <c r="C19">
        <v>5</v>
      </c>
      <c r="D19">
        <v>2</v>
      </c>
      <c r="E19">
        <v>20</v>
      </c>
      <c r="F19" t="s">
        <v>455</v>
      </c>
      <c r="G19" t="s">
        <v>449</v>
      </c>
      <c r="H19">
        <v>48</v>
      </c>
      <c r="I19">
        <v>2.4</v>
      </c>
    </row>
    <row r="20" spans="1:9" x14ac:dyDescent="0.25">
      <c r="A20" t="s">
        <v>456</v>
      </c>
      <c r="B20" t="s">
        <v>457</v>
      </c>
      <c r="C20">
        <v>5</v>
      </c>
      <c r="D20">
        <v>2</v>
      </c>
      <c r="E20">
        <v>20</v>
      </c>
      <c r="F20" t="s">
        <v>458</v>
      </c>
      <c r="G20" t="s">
        <v>138</v>
      </c>
      <c r="H20">
        <v>40</v>
      </c>
      <c r="I20">
        <v>2</v>
      </c>
    </row>
    <row r="21" spans="1:9" x14ac:dyDescent="0.25">
      <c r="A21" t="s">
        <v>459</v>
      </c>
      <c r="B21" t="s">
        <v>460</v>
      </c>
      <c r="C21">
        <v>6</v>
      </c>
      <c r="E21">
        <v>40</v>
      </c>
      <c r="F21" t="s">
        <v>461</v>
      </c>
      <c r="G21" t="s">
        <v>462</v>
      </c>
      <c r="H21">
        <v>22</v>
      </c>
      <c r="I21">
        <v>0.55000000000000004</v>
      </c>
    </row>
    <row r="22" spans="1:9" x14ac:dyDescent="0.25">
      <c r="A22" t="s">
        <v>463</v>
      </c>
      <c r="B22" t="s">
        <v>464</v>
      </c>
      <c r="C22">
        <v>6</v>
      </c>
      <c r="D22">
        <v>1</v>
      </c>
      <c r="E22">
        <v>20</v>
      </c>
      <c r="F22" t="s">
        <v>465</v>
      </c>
      <c r="G22" t="s">
        <v>339</v>
      </c>
      <c r="H22">
        <v>40</v>
      </c>
      <c r="I22">
        <v>2</v>
      </c>
    </row>
    <row r="23" spans="1:9" x14ac:dyDescent="0.25">
      <c r="A23" t="s">
        <v>466</v>
      </c>
      <c r="B23" t="s">
        <v>412</v>
      </c>
      <c r="C23">
        <v>6</v>
      </c>
      <c r="D23">
        <v>1</v>
      </c>
      <c r="E23">
        <v>20</v>
      </c>
      <c r="F23" t="s">
        <v>467</v>
      </c>
      <c r="G23" t="s">
        <v>339</v>
      </c>
      <c r="H23">
        <v>45</v>
      </c>
      <c r="I23">
        <v>2.25</v>
      </c>
    </row>
    <row r="24" spans="1:9" x14ac:dyDescent="0.25">
      <c r="A24" t="s">
        <v>468</v>
      </c>
      <c r="B24" t="s">
        <v>469</v>
      </c>
      <c r="C24">
        <v>6</v>
      </c>
      <c r="D24">
        <v>1</v>
      </c>
      <c r="E24">
        <v>20</v>
      </c>
      <c r="F24" t="s">
        <v>470</v>
      </c>
      <c r="G24" t="s">
        <v>339</v>
      </c>
      <c r="H24">
        <v>44</v>
      </c>
      <c r="I24">
        <v>2.2000000000000002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1E7B-57AA-40DD-AC43-6F7E20644752}">
  <sheetPr codeName="Sheet12"/>
  <dimension ref="A1:N24"/>
  <sheetViews>
    <sheetView workbookViewId="0"/>
  </sheetViews>
  <sheetFormatPr defaultColWidth="8.85546875" defaultRowHeight="15" x14ac:dyDescent="0.25"/>
  <cols>
    <col min="1" max="1" width="49" bestFit="1" customWidth="1"/>
    <col min="2" max="2" width="15.28515625" bestFit="1" customWidth="1"/>
    <col min="3" max="3" width="14.85546875" bestFit="1" customWidth="1"/>
    <col min="4" max="4" width="12.7109375" bestFit="1" customWidth="1"/>
    <col min="5" max="5" width="18" bestFit="1" customWidth="1"/>
    <col min="6" max="6" width="12.140625" bestFit="1" customWidth="1"/>
    <col min="7" max="7" width="41.5703125" bestFit="1" customWidth="1"/>
    <col min="8" max="8" width="10.140625" bestFit="1" customWidth="1"/>
    <col min="9" max="9" width="10.7109375" bestFit="1" customWidth="1"/>
    <col min="10" max="10" width="11" bestFit="1" customWidth="1"/>
    <col min="11" max="11" width="12.42578125" bestFit="1" customWidth="1"/>
    <col min="12" max="12" width="9.28515625" bestFit="1" customWidth="1"/>
    <col min="13" max="13" width="7.7109375" bestFit="1" customWidth="1"/>
    <col min="14" max="14" width="22.7109375" bestFit="1" customWidth="1"/>
  </cols>
  <sheetData>
    <row r="1" spans="1:14" x14ac:dyDescent="0.25">
      <c r="A1" t="s">
        <v>471</v>
      </c>
      <c r="B1" t="s">
        <v>472</v>
      </c>
      <c r="C1" t="s">
        <v>422</v>
      </c>
      <c r="D1" t="s">
        <v>473</v>
      </c>
      <c r="E1" t="s">
        <v>474</v>
      </c>
      <c r="F1" t="s">
        <v>475</v>
      </c>
      <c r="G1" t="s">
        <v>423</v>
      </c>
      <c r="H1" t="s">
        <v>28</v>
      </c>
      <c r="I1" t="s">
        <v>30</v>
      </c>
      <c r="J1" t="s">
        <v>32</v>
      </c>
      <c r="K1" t="s">
        <v>33</v>
      </c>
      <c r="L1" t="s">
        <v>35</v>
      </c>
      <c r="M1" t="s">
        <v>37</v>
      </c>
      <c r="N1" t="s">
        <v>696</v>
      </c>
    </row>
    <row r="2" spans="1:14" x14ac:dyDescent="0.25">
      <c r="A2" t="s">
        <v>476</v>
      </c>
      <c r="B2" t="s">
        <v>477</v>
      </c>
      <c r="C2" t="s">
        <v>5</v>
      </c>
      <c r="D2" t="s">
        <v>478</v>
      </c>
      <c r="E2" t="s">
        <v>21</v>
      </c>
      <c r="F2" t="s">
        <v>479</v>
      </c>
      <c r="G2" t="s">
        <v>426</v>
      </c>
      <c r="H2">
        <v>20</v>
      </c>
      <c r="J2">
        <v>10</v>
      </c>
      <c r="K2">
        <v>10</v>
      </c>
      <c r="M2">
        <v>40</v>
      </c>
    </row>
    <row r="3" spans="1:14" x14ac:dyDescent="0.25">
      <c r="A3" t="s">
        <v>476</v>
      </c>
      <c r="B3" t="s">
        <v>480</v>
      </c>
      <c r="C3" t="s">
        <v>104</v>
      </c>
      <c r="D3" t="s">
        <v>478</v>
      </c>
      <c r="E3" t="s">
        <v>21</v>
      </c>
      <c r="F3" t="s">
        <v>479</v>
      </c>
      <c r="G3" t="s">
        <v>105</v>
      </c>
      <c r="H3">
        <v>15</v>
      </c>
      <c r="J3">
        <v>20</v>
      </c>
      <c r="K3">
        <v>5</v>
      </c>
      <c r="M3">
        <v>40</v>
      </c>
    </row>
    <row r="4" spans="1:14" x14ac:dyDescent="0.25">
      <c r="A4" t="s">
        <v>476</v>
      </c>
      <c r="B4" t="s">
        <v>481</v>
      </c>
      <c r="C4" t="s">
        <v>133</v>
      </c>
      <c r="D4" t="s">
        <v>478</v>
      </c>
      <c r="E4" t="s">
        <v>21</v>
      </c>
      <c r="F4" t="s">
        <v>479</v>
      </c>
      <c r="G4" t="s">
        <v>135</v>
      </c>
      <c r="H4">
        <v>10</v>
      </c>
      <c r="I4">
        <v>0</v>
      </c>
      <c r="J4">
        <v>19</v>
      </c>
      <c r="K4">
        <v>3</v>
      </c>
      <c r="L4">
        <v>8</v>
      </c>
      <c r="M4">
        <v>40</v>
      </c>
    </row>
    <row r="5" spans="1:14" x14ac:dyDescent="0.25">
      <c r="A5" t="s">
        <v>476</v>
      </c>
      <c r="B5" t="s">
        <v>482</v>
      </c>
      <c r="C5" t="s">
        <v>202</v>
      </c>
      <c r="D5" t="s">
        <v>478</v>
      </c>
      <c r="E5" t="s">
        <v>21</v>
      </c>
      <c r="F5" t="s">
        <v>479</v>
      </c>
      <c r="G5" t="s">
        <v>204</v>
      </c>
      <c r="H5">
        <v>0</v>
      </c>
      <c r="I5">
        <v>0</v>
      </c>
      <c r="J5">
        <v>0</v>
      </c>
      <c r="K5">
        <v>40</v>
      </c>
      <c r="L5">
        <v>0</v>
      </c>
      <c r="M5">
        <v>40</v>
      </c>
    </row>
    <row r="6" spans="1:14" x14ac:dyDescent="0.25">
      <c r="A6" t="s">
        <v>476</v>
      </c>
      <c r="B6" t="s">
        <v>483</v>
      </c>
      <c r="C6" t="s">
        <v>335</v>
      </c>
      <c r="D6" t="s">
        <v>478</v>
      </c>
      <c r="E6" t="s">
        <v>21</v>
      </c>
      <c r="F6" t="s">
        <v>479</v>
      </c>
      <c r="G6" t="s">
        <v>337</v>
      </c>
      <c r="H6">
        <v>9</v>
      </c>
      <c r="I6">
        <v>3</v>
      </c>
      <c r="J6">
        <v>16</v>
      </c>
      <c r="K6">
        <v>6</v>
      </c>
      <c r="L6">
        <v>6</v>
      </c>
      <c r="M6">
        <v>40</v>
      </c>
    </row>
    <row r="7" spans="1:14" x14ac:dyDescent="0.25">
      <c r="A7" t="s">
        <v>476</v>
      </c>
      <c r="B7" t="s">
        <v>484</v>
      </c>
      <c r="C7" t="s">
        <v>274</v>
      </c>
      <c r="D7" t="s">
        <v>478</v>
      </c>
      <c r="E7" t="s">
        <v>21</v>
      </c>
      <c r="F7" t="s">
        <v>479</v>
      </c>
      <c r="G7" t="s">
        <v>427</v>
      </c>
      <c r="H7">
        <v>15</v>
      </c>
      <c r="J7">
        <v>10</v>
      </c>
      <c r="K7">
        <v>15</v>
      </c>
      <c r="M7">
        <v>40</v>
      </c>
    </row>
    <row r="8" spans="1:14" x14ac:dyDescent="0.25">
      <c r="A8" t="s">
        <v>476</v>
      </c>
      <c r="B8" t="s">
        <v>485</v>
      </c>
      <c r="C8" t="s">
        <v>303</v>
      </c>
      <c r="D8" t="s">
        <v>478</v>
      </c>
      <c r="E8" t="s">
        <v>21</v>
      </c>
      <c r="F8" t="s">
        <v>479</v>
      </c>
      <c r="G8" t="s">
        <v>428</v>
      </c>
      <c r="H8">
        <v>20</v>
      </c>
      <c r="K8">
        <v>20</v>
      </c>
      <c r="M8">
        <v>40</v>
      </c>
    </row>
    <row r="9" spans="1:14" x14ac:dyDescent="0.25">
      <c r="A9" t="s">
        <v>476</v>
      </c>
      <c r="B9" t="s">
        <v>486</v>
      </c>
      <c r="C9" t="s">
        <v>240</v>
      </c>
      <c r="D9" t="s">
        <v>478</v>
      </c>
      <c r="E9" t="s">
        <v>21</v>
      </c>
      <c r="F9" t="s">
        <v>479</v>
      </c>
      <c r="G9" t="s">
        <v>241</v>
      </c>
      <c r="H9">
        <v>20</v>
      </c>
      <c r="K9">
        <v>20</v>
      </c>
      <c r="M9">
        <v>40</v>
      </c>
    </row>
    <row r="10" spans="1:14" x14ac:dyDescent="0.25">
      <c r="A10" t="s">
        <v>487</v>
      </c>
      <c r="B10" t="s">
        <v>488</v>
      </c>
      <c r="C10" t="s">
        <v>429</v>
      </c>
      <c r="D10" t="s">
        <v>478</v>
      </c>
      <c r="E10" t="s">
        <v>21</v>
      </c>
      <c r="F10" t="s">
        <v>479</v>
      </c>
      <c r="G10" t="s">
        <v>430</v>
      </c>
      <c r="H10">
        <v>10</v>
      </c>
      <c r="I10">
        <v>10</v>
      </c>
      <c r="J10">
        <v>20</v>
      </c>
      <c r="M10">
        <v>40</v>
      </c>
    </row>
    <row r="11" spans="1:14" x14ac:dyDescent="0.25">
      <c r="A11" t="s">
        <v>487</v>
      </c>
      <c r="B11" t="s">
        <v>489</v>
      </c>
      <c r="C11" t="s">
        <v>432</v>
      </c>
      <c r="D11" t="s">
        <v>478</v>
      </c>
      <c r="E11" t="s">
        <v>21</v>
      </c>
      <c r="F11" t="s">
        <v>479</v>
      </c>
      <c r="G11" t="s">
        <v>433</v>
      </c>
      <c r="H11">
        <v>20</v>
      </c>
      <c r="I11">
        <v>2</v>
      </c>
      <c r="J11">
        <v>8</v>
      </c>
      <c r="K11">
        <v>10</v>
      </c>
      <c r="M11">
        <v>40</v>
      </c>
    </row>
    <row r="12" spans="1:14" x14ac:dyDescent="0.25">
      <c r="A12" t="s">
        <v>487</v>
      </c>
      <c r="B12" t="s">
        <v>490</v>
      </c>
      <c r="C12" t="s">
        <v>435</v>
      </c>
      <c r="D12" t="s">
        <v>478</v>
      </c>
      <c r="E12" t="s">
        <v>21</v>
      </c>
      <c r="F12" t="s">
        <v>479</v>
      </c>
      <c r="G12" t="s">
        <v>436</v>
      </c>
      <c r="M12">
        <v>0</v>
      </c>
    </row>
    <row r="13" spans="1:14" x14ac:dyDescent="0.25">
      <c r="A13" t="s">
        <v>487</v>
      </c>
      <c r="B13" t="s">
        <v>491</v>
      </c>
      <c r="C13" t="s">
        <v>437</v>
      </c>
      <c r="D13" t="s">
        <v>478</v>
      </c>
      <c r="E13" t="s">
        <v>21</v>
      </c>
      <c r="F13" t="s">
        <v>479</v>
      </c>
      <c r="G13" t="s">
        <v>438</v>
      </c>
      <c r="H13">
        <v>11</v>
      </c>
      <c r="I13">
        <v>11</v>
      </c>
      <c r="J13">
        <v>14</v>
      </c>
      <c r="K13">
        <v>4</v>
      </c>
      <c r="L13">
        <v>0</v>
      </c>
      <c r="M13">
        <v>40</v>
      </c>
    </row>
    <row r="14" spans="1:14" x14ac:dyDescent="0.25">
      <c r="A14" t="s">
        <v>492</v>
      </c>
      <c r="B14" t="s">
        <v>493</v>
      </c>
      <c r="C14" t="s">
        <v>440</v>
      </c>
      <c r="D14" t="s">
        <v>478</v>
      </c>
      <c r="E14" t="s">
        <v>21</v>
      </c>
      <c r="F14" t="s">
        <v>479</v>
      </c>
      <c r="G14" t="s">
        <v>441</v>
      </c>
      <c r="H14">
        <v>42</v>
      </c>
      <c r="M14">
        <v>42</v>
      </c>
    </row>
    <row r="15" spans="1:14" x14ac:dyDescent="0.25">
      <c r="A15" t="s">
        <v>492</v>
      </c>
      <c r="B15" t="s">
        <v>494</v>
      </c>
      <c r="C15" t="s">
        <v>443</v>
      </c>
      <c r="D15" t="s">
        <v>478</v>
      </c>
      <c r="E15" t="s">
        <v>21</v>
      </c>
      <c r="F15" t="s">
        <v>479</v>
      </c>
      <c r="G15" t="s">
        <v>444</v>
      </c>
      <c r="H15">
        <v>38</v>
      </c>
      <c r="I15">
        <v>6</v>
      </c>
      <c r="J15">
        <v>0</v>
      </c>
      <c r="K15">
        <v>0</v>
      </c>
      <c r="L15">
        <v>0</v>
      </c>
      <c r="M15">
        <v>44</v>
      </c>
    </row>
    <row r="16" spans="1:14" x14ac:dyDescent="0.25">
      <c r="A16" t="s">
        <v>495</v>
      </c>
      <c r="B16" t="s">
        <v>496</v>
      </c>
      <c r="C16" t="s">
        <v>446</v>
      </c>
      <c r="D16" t="s">
        <v>478</v>
      </c>
      <c r="E16" t="s">
        <v>21</v>
      </c>
      <c r="F16" t="s">
        <v>479</v>
      </c>
      <c r="G16" t="s">
        <v>447</v>
      </c>
      <c r="H16">
        <v>34</v>
      </c>
      <c r="I16">
        <v>6</v>
      </c>
      <c r="K16">
        <v>4</v>
      </c>
      <c r="M16">
        <v>44</v>
      </c>
    </row>
    <row r="17" spans="1:14" x14ac:dyDescent="0.25">
      <c r="A17" t="s">
        <v>495</v>
      </c>
      <c r="B17" t="s">
        <v>497</v>
      </c>
      <c r="C17" t="s">
        <v>450</v>
      </c>
      <c r="D17" t="s">
        <v>478</v>
      </c>
      <c r="E17" t="s">
        <v>21</v>
      </c>
      <c r="F17" t="s">
        <v>479</v>
      </c>
      <c r="G17" t="s">
        <v>402</v>
      </c>
      <c r="H17">
        <v>33</v>
      </c>
      <c r="I17">
        <v>1</v>
      </c>
      <c r="J17">
        <v>6</v>
      </c>
      <c r="K17">
        <v>1</v>
      </c>
      <c r="L17">
        <v>3</v>
      </c>
      <c r="M17">
        <v>44</v>
      </c>
    </row>
    <row r="18" spans="1:14" x14ac:dyDescent="0.25">
      <c r="A18" t="s">
        <v>495</v>
      </c>
      <c r="B18" t="s">
        <v>498</v>
      </c>
      <c r="C18" t="s">
        <v>451</v>
      </c>
      <c r="D18" t="s">
        <v>478</v>
      </c>
      <c r="E18" t="s">
        <v>21</v>
      </c>
      <c r="F18" t="s">
        <v>479</v>
      </c>
      <c r="G18" t="s">
        <v>407</v>
      </c>
      <c r="H18">
        <v>13</v>
      </c>
      <c r="I18">
        <v>0</v>
      </c>
      <c r="J18">
        <v>7</v>
      </c>
      <c r="K18">
        <v>13</v>
      </c>
      <c r="L18">
        <v>6</v>
      </c>
      <c r="M18">
        <v>39</v>
      </c>
    </row>
    <row r="19" spans="1:14" x14ac:dyDescent="0.25">
      <c r="A19" t="s">
        <v>495</v>
      </c>
      <c r="B19" t="s">
        <v>499</v>
      </c>
      <c r="C19" t="s">
        <v>453</v>
      </c>
      <c r="D19" t="s">
        <v>478</v>
      </c>
      <c r="E19" t="s">
        <v>21</v>
      </c>
      <c r="F19" t="s">
        <v>479</v>
      </c>
      <c r="G19" t="s">
        <v>454</v>
      </c>
      <c r="H19">
        <v>34</v>
      </c>
      <c r="I19">
        <v>12</v>
      </c>
      <c r="K19">
        <v>2</v>
      </c>
      <c r="M19">
        <v>48</v>
      </c>
    </row>
    <row r="20" spans="1:14" x14ac:dyDescent="0.25">
      <c r="A20" t="s">
        <v>495</v>
      </c>
      <c r="B20" t="s">
        <v>500</v>
      </c>
      <c r="C20" t="s">
        <v>456</v>
      </c>
      <c r="D20" t="s">
        <v>478</v>
      </c>
      <c r="E20" t="s">
        <v>21</v>
      </c>
      <c r="F20" t="s">
        <v>479</v>
      </c>
      <c r="G20" t="s">
        <v>457</v>
      </c>
      <c r="H20">
        <v>16</v>
      </c>
      <c r="I20">
        <v>5</v>
      </c>
      <c r="J20">
        <v>6</v>
      </c>
      <c r="K20">
        <v>7</v>
      </c>
      <c r="M20">
        <v>40</v>
      </c>
      <c r="N20">
        <v>6</v>
      </c>
    </row>
    <row r="21" spans="1:14" x14ac:dyDescent="0.25">
      <c r="A21" t="s">
        <v>495</v>
      </c>
      <c r="B21" t="s">
        <v>501</v>
      </c>
      <c r="C21" t="s">
        <v>459</v>
      </c>
      <c r="D21" t="s">
        <v>478</v>
      </c>
      <c r="E21" t="s">
        <v>21</v>
      </c>
      <c r="F21" t="s">
        <v>479</v>
      </c>
      <c r="G21" t="s">
        <v>460</v>
      </c>
      <c r="H21">
        <v>12</v>
      </c>
      <c r="I21">
        <v>10</v>
      </c>
      <c r="M21">
        <v>22</v>
      </c>
    </row>
    <row r="22" spans="1:14" x14ac:dyDescent="0.25">
      <c r="A22" t="s">
        <v>495</v>
      </c>
      <c r="B22" t="s">
        <v>502</v>
      </c>
      <c r="C22" t="s">
        <v>463</v>
      </c>
      <c r="D22" t="s">
        <v>478</v>
      </c>
      <c r="E22" t="s">
        <v>21</v>
      </c>
      <c r="F22" t="s">
        <v>479</v>
      </c>
      <c r="G22" t="s">
        <v>464</v>
      </c>
      <c r="H22">
        <v>22</v>
      </c>
      <c r="I22">
        <v>6</v>
      </c>
      <c r="J22">
        <v>12</v>
      </c>
      <c r="M22">
        <v>40</v>
      </c>
    </row>
    <row r="23" spans="1:14" x14ac:dyDescent="0.25">
      <c r="A23" t="s">
        <v>495</v>
      </c>
      <c r="B23" t="s">
        <v>503</v>
      </c>
      <c r="C23" t="s">
        <v>466</v>
      </c>
      <c r="D23" t="s">
        <v>478</v>
      </c>
      <c r="E23" t="s">
        <v>21</v>
      </c>
      <c r="F23" t="s">
        <v>479</v>
      </c>
      <c r="G23" t="s">
        <v>412</v>
      </c>
      <c r="I23">
        <v>6</v>
      </c>
      <c r="K23">
        <v>27</v>
      </c>
      <c r="L23">
        <v>12</v>
      </c>
      <c r="M23">
        <v>45</v>
      </c>
    </row>
    <row r="24" spans="1:14" x14ac:dyDescent="0.25">
      <c r="A24" t="s">
        <v>495</v>
      </c>
      <c r="B24" t="s">
        <v>504</v>
      </c>
      <c r="C24" t="s">
        <v>468</v>
      </c>
      <c r="D24" t="s">
        <v>478</v>
      </c>
      <c r="E24" t="s">
        <v>21</v>
      </c>
      <c r="F24" t="s">
        <v>479</v>
      </c>
      <c r="G24" t="s">
        <v>469</v>
      </c>
      <c r="H24">
        <v>22</v>
      </c>
      <c r="J24">
        <v>16</v>
      </c>
      <c r="K24">
        <v>6</v>
      </c>
      <c r="M24">
        <v>44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38D1-5057-4221-A051-205DC21EACC2}">
  <sheetPr codeName="Sheet13"/>
  <dimension ref="A1:O24"/>
  <sheetViews>
    <sheetView workbookViewId="0"/>
  </sheetViews>
  <sheetFormatPr defaultColWidth="8.85546875" defaultRowHeight="15" x14ac:dyDescent="0.25"/>
  <cols>
    <col min="1" max="1" width="49" bestFit="1" customWidth="1"/>
    <col min="2" max="2" width="14.28515625" bestFit="1" customWidth="1"/>
    <col min="3" max="3" width="14.85546875" bestFit="1" customWidth="1"/>
    <col min="4" max="4" width="12.7109375" bestFit="1" customWidth="1"/>
    <col min="5" max="5" width="18" bestFit="1" customWidth="1"/>
    <col min="6" max="6" width="12.140625" bestFit="1" customWidth="1"/>
    <col min="7" max="7" width="41.5703125" bestFit="1" customWidth="1"/>
    <col min="8" max="8" width="15.42578125" bestFit="1" customWidth="1"/>
    <col min="9" max="9" width="41.5703125" bestFit="1" customWidth="1"/>
    <col min="10" max="10" width="10" bestFit="1" customWidth="1"/>
    <col min="11" max="11" width="12" bestFit="1" customWidth="1"/>
    <col min="12" max="12" width="8.140625" bestFit="1" customWidth="1"/>
    <col min="13" max="13" width="21.5703125" bestFit="1" customWidth="1"/>
    <col min="14" max="14" width="18.5703125" bestFit="1" customWidth="1"/>
    <col min="15" max="15" width="18" bestFit="1" customWidth="1"/>
  </cols>
  <sheetData>
    <row r="1" spans="1:15" x14ac:dyDescent="0.25">
      <c r="A1" t="s">
        <v>471</v>
      </c>
      <c r="B1" t="s">
        <v>472</v>
      </c>
      <c r="C1" t="s">
        <v>422</v>
      </c>
      <c r="D1" t="s">
        <v>473</v>
      </c>
      <c r="E1" t="s">
        <v>474</v>
      </c>
      <c r="F1" t="s">
        <v>475</v>
      </c>
      <c r="G1" t="s">
        <v>423</v>
      </c>
      <c r="H1" t="s">
        <v>4</v>
      </c>
      <c r="I1" t="s">
        <v>6</v>
      </c>
      <c r="J1" t="s">
        <v>9</v>
      </c>
      <c r="K1" t="s">
        <v>10</v>
      </c>
      <c r="L1" t="s">
        <v>12</v>
      </c>
      <c r="M1" t="s">
        <v>14</v>
      </c>
      <c r="N1" t="s">
        <v>17</v>
      </c>
      <c r="O1" t="s">
        <v>20</v>
      </c>
    </row>
    <row r="2" spans="1:15" x14ac:dyDescent="0.25">
      <c r="A2" t="s">
        <v>476</v>
      </c>
      <c r="B2" t="s">
        <v>505</v>
      </c>
      <c r="C2" t="s">
        <v>5</v>
      </c>
      <c r="D2" t="s">
        <v>506</v>
      </c>
      <c r="E2" t="s">
        <v>21</v>
      </c>
      <c r="F2" t="s">
        <v>479</v>
      </c>
      <c r="G2" t="s">
        <v>426</v>
      </c>
      <c r="H2" t="s">
        <v>5</v>
      </c>
      <c r="I2" t="s">
        <v>7</v>
      </c>
      <c r="J2">
        <v>20</v>
      </c>
      <c r="K2">
        <v>1</v>
      </c>
      <c r="L2">
        <v>4</v>
      </c>
      <c r="M2" t="s">
        <v>15</v>
      </c>
      <c r="N2" t="s">
        <v>18</v>
      </c>
      <c r="O2" t="s">
        <v>21</v>
      </c>
    </row>
    <row r="3" spans="1:15" x14ac:dyDescent="0.25">
      <c r="A3" t="s">
        <v>476</v>
      </c>
      <c r="B3" t="s">
        <v>507</v>
      </c>
      <c r="C3" t="s">
        <v>104</v>
      </c>
      <c r="D3" t="s">
        <v>506</v>
      </c>
      <c r="E3" t="s">
        <v>21</v>
      </c>
      <c r="F3" t="s">
        <v>479</v>
      </c>
      <c r="G3" t="s">
        <v>105</v>
      </c>
      <c r="H3" t="s">
        <v>104</v>
      </c>
      <c r="I3" t="s">
        <v>105</v>
      </c>
      <c r="J3">
        <v>20</v>
      </c>
      <c r="K3">
        <v>2</v>
      </c>
      <c r="L3">
        <v>5</v>
      </c>
      <c r="M3" t="s">
        <v>15</v>
      </c>
      <c r="N3" t="s">
        <v>18</v>
      </c>
      <c r="O3" t="s">
        <v>21</v>
      </c>
    </row>
    <row r="4" spans="1:15" x14ac:dyDescent="0.25">
      <c r="A4" t="s">
        <v>476</v>
      </c>
      <c r="B4" t="s">
        <v>508</v>
      </c>
      <c r="C4" t="s">
        <v>133</v>
      </c>
      <c r="D4" t="s">
        <v>506</v>
      </c>
      <c r="E4" t="s">
        <v>21</v>
      </c>
      <c r="F4" t="s">
        <v>479</v>
      </c>
      <c r="G4" t="s">
        <v>135</v>
      </c>
      <c r="H4" t="s">
        <v>133</v>
      </c>
      <c r="I4" t="s">
        <v>135</v>
      </c>
      <c r="J4">
        <v>20</v>
      </c>
      <c r="L4">
        <v>5</v>
      </c>
      <c r="M4" t="s">
        <v>137</v>
      </c>
      <c r="N4" t="s">
        <v>138</v>
      </c>
      <c r="O4" t="s">
        <v>21</v>
      </c>
    </row>
    <row r="5" spans="1:15" x14ac:dyDescent="0.25">
      <c r="A5" t="s">
        <v>476</v>
      </c>
      <c r="B5" t="s">
        <v>509</v>
      </c>
      <c r="C5" t="s">
        <v>202</v>
      </c>
      <c r="D5" t="s">
        <v>506</v>
      </c>
      <c r="E5" t="s">
        <v>21</v>
      </c>
      <c r="F5" t="s">
        <v>479</v>
      </c>
      <c r="G5" t="s">
        <v>204</v>
      </c>
      <c r="H5" t="s">
        <v>202</v>
      </c>
      <c r="I5" t="s">
        <v>204</v>
      </c>
      <c r="J5">
        <v>20</v>
      </c>
      <c r="K5">
        <v>2</v>
      </c>
      <c r="L5">
        <v>5</v>
      </c>
      <c r="M5" t="s">
        <v>206</v>
      </c>
      <c r="N5" t="s">
        <v>138</v>
      </c>
      <c r="O5" t="s">
        <v>21</v>
      </c>
    </row>
    <row r="6" spans="1:15" x14ac:dyDescent="0.25">
      <c r="A6" t="s">
        <v>476</v>
      </c>
      <c r="B6" t="s">
        <v>510</v>
      </c>
      <c r="C6" t="s">
        <v>335</v>
      </c>
      <c r="D6" t="s">
        <v>506</v>
      </c>
      <c r="E6" t="s">
        <v>21</v>
      </c>
      <c r="F6" t="s">
        <v>479</v>
      </c>
      <c r="G6" t="s">
        <v>337</v>
      </c>
      <c r="H6" t="s">
        <v>335</v>
      </c>
      <c r="I6" t="s">
        <v>337</v>
      </c>
      <c r="J6">
        <v>20</v>
      </c>
      <c r="K6">
        <v>1</v>
      </c>
      <c r="L6">
        <v>6</v>
      </c>
      <c r="M6" t="s">
        <v>137</v>
      </c>
      <c r="N6" t="s">
        <v>339</v>
      </c>
      <c r="O6" t="s">
        <v>340</v>
      </c>
    </row>
    <row r="7" spans="1:15" x14ac:dyDescent="0.25">
      <c r="A7" t="s">
        <v>476</v>
      </c>
      <c r="B7" t="s">
        <v>511</v>
      </c>
      <c r="C7" t="s">
        <v>274</v>
      </c>
      <c r="D7" t="s">
        <v>506</v>
      </c>
      <c r="E7" t="s">
        <v>21</v>
      </c>
      <c r="F7" t="s">
        <v>479</v>
      </c>
      <c r="G7" t="s">
        <v>427</v>
      </c>
      <c r="H7" t="s">
        <v>274</v>
      </c>
      <c r="I7" t="s">
        <v>273</v>
      </c>
      <c r="J7">
        <v>20</v>
      </c>
      <c r="K7">
        <v>1</v>
      </c>
      <c r="L7">
        <v>6</v>
      </c>
      <c r="M7" t="s">
        <v>277</v>
      </c>
      <c r="N7" t="s">
        <v>138</v>
      </c>
      <c r="O7" t="s">
        <v>21</v>
      </c>
    </row>
    <row r="8" spans="1:15" x14ac:dyDescent="0.25">
      <c r="A8" t="s">
        <v>476</v>
      </c>
      <c r="B8" t="s">
        <v>512</v>
      </c>
      <c r="C8" t="s">
        <v>303</v>
      </c>
      <c r="D8" t="s">
        <v>506</v>
      </c>
      <c r="E8" t="s">
        <v>21</v>
      </c>
      <c r="F8" t="s">
        <v>479</v>
      </c>
      <c r="G8" t="s">
        <v>428</v>
      </c>
      <c r="H8" t="s">
        <v>303</v>
      </c>
      <c r="I8" t="s">
        <v>304</v>
      </c>
      <c r="J8">
        <v>20</v>
      </c>
      <c r="K8" t="s">
        <v>306</v>
      </c>
      <c r="L8">
        <v>6</v>
      </c>
      <c r="M8" t="s">
        <v>15</v>
      </c>
      <c r="N8" t="s">
        <v>18</v>
      </c>
      <c r="O8" t="s">
        <v>21</v>
      </c>
    </row>
    <row r="9" spans="1:15" x14ac:dyDescent="0.25">
      <c r="A9" t="s">
        <v>476</v>
      </c>
      <c r="B9" t="s">
        <v>513</v>
      </c>
      <c r="C9" t="s">
        <v>240</v>
      </c>
      <c r="D9" t="s">
        <v>506</v>
      </c>
      <c r="E9" t="s">
        <v>21</v>
      </c>
      <c r="F9" t="s">
        <v>479</v>
      </c>
      <c r="G9" t="s">
        <v>241</v>
      </c>
      <c r="H9" t="s">
        <v>240</v>
      </c>
      <c r="I9" t="s">
        <v>241</v>
      </c>
      <c r="J9">
        <v>20</v>
      </c>
      <c r="K9">
        <v>2</v>
      </c>
      <c r="L9">
        <v>6</v>
      </c>
      <c r="M9" t="s">
        <v>206</v>
      </c>
      <c r="N9" t="s">
        <v>138</v>
      </c>
      <c r="O9" t="s">
        <v>21</v>
      </c>
    </row>
    <row r="10" spans="1:15" x14ac:dyDescent="0.25">
      <c r="A10" t="s">
        <v>487</v>
      </c>
      <c r="B10" t="s">
        <v>514</v>
      </c>
      <c r="C10" t="s">
        <v>429</v>
      </c>
      <c r="D10" t="s">
        <v>506</v>
      </c>
      <c r="E10" t="s">
        <v>21</v>
      </c>
      <c r="F10" t="s">
        <v>479</v>
      </c>
      <c r="G10" t="s">
        <v>430</v>
      </c>
      <c r="H10" t="s">
        <v>429</v>
      </c>
      <c r="I10" t="s">
        <v>430</v>
      </c>
      <c r="J10">
        <v>20</v>
      </c>
      <c r="K10">
        <v>2</v>
      </c>
      <c r="L10">
        <v>4</v>
      </c>
      <c r="M10" t="s">
        <v>431</v>
      </c>
      <c r="N10" t="s">
        <v>138</v>
      </c>
      <c r="O10" t="s">
        <v>515</v>
      </c>
    </row>
    <row r="11" spans="1:15" x14ac:dyDescent="0.25">
      <c r="A11" t="s">
        <v>487</v>
      </c>
      <c r="B11" t="s">
        <v>516</v>
      </c>
      <c r="C11" t="s">
        <v>432</v>
      </c>
      <c r="D11" t="s">
        <v>506</v>
      </c>
      <c r="E11" t="s">
        <v>21</v>
      </c>
      <c r="F11" t="s">
        <v>479</v>
      </c>
      <c r="G11" t="s">
        <v>433</v>
      </c>
      <c r="H11" t="s">
        <v>432</v>
      </c>
      <c r="I11" t="s">
        <v>433</v>
      </c>
      <c r="J11">
        <v>20</v>
      </c>
      <c r="K11">
        <v>1</v>
      </c>
      <c r="L11">
        <v>6</v>
      </c>
      <c r="M11" t="s">
        <v>434</v>
      </c>
      <c r="N11" t="s">
        <v>339</v>
      </c>
      <c r="O11" t="s">
        <v>517</v>
      </c>
    </row>
    <row r="12" spans="1:15" x14ac:dyDescent="0.25">
      <c r="A12" t="s">
        <v>487</v>
      </c>
      <c r="B12" t="s">
        <v>518</v>
      </c>
      <c r="C12" t="s">
        <v>435</v>
      </c>
      <c r="D12" t="s">
        <v>506</v>
      </c>
      <c r="E12" t="s">
        <v>21</v>
      </c>
      <c r="F12" t="s">
        <v>479</v>
      </c>
      <c r="G12" t="s">
        <v>436</v>
      </c>
      <c r="H12" t="s">
        <v>435</v>
      </c>
      <c r="I12" t="s">
        <v>519</v>
      </c>
      <c r="J12">
        <v>20</v>
      </c>
    </row>
    <row r="13" spans="1:15" x14ac:dyDescent="0.25">
      <c r="A13" t="s">
        <v>487</v>
      </c>
      <c r="B13" t="s">
        <v>520</v>
      </c>
      <c r="C13" t="s">
        <v>437</v>
      </c>
      <c r="D13" t="s">
        <v>506</v>
      </c>
      <c r="E13" t="s">
        <v>21</v>
      </c>
      <c r="F13" t="s">
        <v>479</v>
      </c>
      <c r="G13" t="s">
        <v>438</v>
      </c>
      <c r="H13" t="s">
        <v>437</v>
      </c>
      <c r="I13" t="s">
        <v>438</v>
      </c>
      <c r="J13">
        <v>20</v>
      </c>
      <c r="K13">
        <v>1</v>
      </c>
      <c r="L13">
        <v>5</v>
      </c>
      <c r="M13" t="s">
        <v>439</v>
      </c>
      <c r="N13" t="s">
        <v>138</v>
      </c>
      <c r="O13" t="s">
        <v>21</v>
      </c>
    </row>
    <row r="14" spans="1:15" x14ac:dyDescent="0.25">
      <c r="A14" t="s">
        <v>492</v>
      </c>
      <c r="B14" t="s">
        <v>521</v>
      </c>
      <c r="C14" t="s">
        <v>440</v>
      </c>
      <c r="D14" t="s">
        <v>506</v>
      </c>
      <c r="E14" t="s">
        <v>21</v>
      </c>
      <c r="F14" t="s">
        <v>479</v>
      </c>
      <c r="G14" t="s">
        <v>441</v>
      </c>
      <c r="H14" t="s">
        <v>440</v>
      </c>
      <c r="I14" t="s">
        <v>441</v>
      </c>
      <c r="J14">
        <v>20</v>
      </c>
      <c r="K14">
        <v>1</v>
      </c>
      <c r="L14">
        <v>4</v>
      </c>
      <c r="M14" t="s">
        <v>442</v>
      </c>
      <c r="N14" t="s">
        <v>138</v>
      </c>
      <c r="O14" t="s">
        <v>522</v>
      </c>
    </row>
    <row r="15" spans="1:15" x14ac:dyDescent="0.25">
      <c r="A15" t="s">
        <v>492</v>
      </c>
      <c r="B15" t="s">
        <v>523</v>
      </c>
      <c r="C15" t="s">
        <v>443</v>
      </c>
      <c r="D15" t="s">
        <v>506</v>
      </c>
      <c r="E15" t="s">
        <v>21</v>
      </c>
      <c r="F15" t="s">
        <v>479</v>
      </c>
      <c r="G15" t="s">
        <v>444</v>
      </c>
      <c r="H15" t="s">
        <v>443</v>
      </c>
      <c r="I15" t="s">
        <v>444</v>
      </c>
      <c r="J15">
        <v>20</v>
      </c>
      <c r="K15">
        <v>2</v>
      </c>
      <c r="L15">
        <v>5</v>
      </c>
      <c r="M15" t="s">
        <v>445</v>
      </c>
      <c r="N15" t="s">
        <v>138</v>
      </c>
      <c r="O15" t="s">
        <v>517</v>
      </c>
    </row>
    <row r="16" spans="1:15" x14ac:dyDescent="0.25">
      <c r="A16" t="s">
        <v>495</v>
      </c>
      <c r="B16" t="s">
        <v>524</v>
      </c>
      <c r="C16" t="s">
        <v>446</v>
      </c>
      <c r="D16" t="s">
        <v>506</v>
      </c>
      <c r="E16" t="s">
        <v>21</v>
      </c>
      <c r="F16" t="s">
        <v>479</v>
      </c>
      <c r="G16" t="s">
        <v>447</v>
      </c>
      <c r="H16" t="s">
        <v>446</v>
      </c>
      <c r="I16" t="s">
        <v>447</v>
      </c>
      <c r="J16">
        <v>20</v>
      </c>
      <c r="K16">
        <v>2</v>
      </c>
      <c r="L16">
        <v>4</v>
      </c>
      <c r="M16" t="s">
        <v>448</v>
      </c>
      <c r="N16" t="s">
        <v>449</v>
      </c>
      <c r="O16" t="s">
        <v>517</v>
      </c>
    </row>
    <row r="17" spans="1:15" x14ac:dyDescent="0.25">
      <c r="A17" t="s">
        <v>495</v>
      </c>
      <c r="B17" t="s">
        <v>525</v>
      </c>
      <c r="C17" t="s">
        <v>450</v>
      </c>
      <c r="D17" t="s">
        <v>506</v>
      </c>
      <c r="E17" t="s">
        <v>21</v>
      </c>
      <c r="F17" t="s">
        <v>479</v>
      </c>
      <c r="G17" t="s">
        <v>402</v>
      </c>
      <c r="H17" t="s">
        <v>450</v>
      </c>
      <c r="I17" t="s">
        <v>715</v>
      </c>
      <c r="J17">
        <v>20</v>
      </c>
      <c r="K17">
        <v>1</v>
      </c>
      <c r="L17">
        <v>4</v>
      </c>
      <c r="M17" t="s">
        <v>716</v>
      </c>
      <c r="N17" t="s">
        <v>138</v>
      </c>
      <c r="O17" t="s">
        <v>522</v>
      </c>
    </row>
    <row r="18" spans="1:15" x14ac:dyDescent="0.25">
      <c r="A18" t="s">
        <v>495</v>
      </c>
      <c r="B18" t="s">
        <v>526</v>
      </c>
      <c r="C18" t="s">
        <v>451</v>
      </c>
      <c r="D18" t="s">
        <v>506</v>
      </c>
      <c r="E18" t="s">
        <v>21</v>
      </c>
      <c r="F18" t="s">
        <v>479</v>
      </c>
      <c r="G18" t="s">
        <v>407</v>
      </c>
      <c r="H18" t="s">
        <v>451</v>
      </c>
      <c r="I18" t="s">
        <v>407</v>
      </c>
      <c r="J18">
        <v>20</v>
      </c>
      <c r="K18">
        <v>2</v>
      </c>
      <c r="L18">
        <v>4</v>
      </c>
      <c r="M18" t="s">
        <v>452</v>
      </c>
      <c r="N18" t="s">
        <v>138</v>
      </c>
      <c r="O18" t="s">
        <v>522</v>
      </c>
    </row>
    <row r="19" spans="1:15" x14ac:dyDescent="0.25">
      <c r="A19" t="s">
        <v>495</v>
      </c>
      <c r="B19" t="s">
        <v>527</v>
      </c>
      <c r="C19" t="s">
        <v>453</v>
      </c>
      <c r="D19" t="s">
        <v>506</v>
      </c>
      <c r="E19" t="s">
        <v>21</v>
      </c>
      <c r="F19" t="s">
        <v>479</v>
      </c>
      <c r="G19" t="s">
        <v>454</v>
      </c>
      <c r="H19" t="s">
        <v>453</v>
      </c>
      <c r="I19" t="s">
        <v>454</v>
      </c>
      <c r="J19">
        <v>20</v>
      </c>
      <c r="K19">
        <v>2</v>
      </c>
      <c r="L19">
        <v>5</v>
      </c>
      <c r="M19" t="s">
        <v>455</v>
      </c>
      <c r="N19" t="s">
        <v>449</v>
      </c>
      <c r="O19" t="s">
        <v>517</v>
      </c>
    </row>
    <row r="20" spans="1:15" x14ac:dyDescent="0.25">
      <c r="A20" t="s">
        <v>495</v>
      </c>
      <c r="B20" t="s">
        <v>528</v>
      </c>
      <c r="C20" t="s">
        <v>456</v>
      </c>
      <c r="D20" t="s">
        <v>506</v>
      </c>
      <c r="E20" t="s">
        <v>21</v>
      </c>
      <c r="F20" t="s">
        <v>479</v>
      </c>
      <c r="G20" t="s">
        <v>457</v>
      </c>
      <c r="H20" t="s">
        <v>456</v>
      </c>
      <c r="I20" t="s">
        <v>457</v>
      </c>
      <c r="J20">
        <v>20</v>
      </c>
      <c r="K20">
        <v>2</v>
      </c>
      <c r="L20">
        <v>5</v>
      </c>
      <c r="M20" t="s">
        <v>458</v>
      </c>
      <c r="N20" t="s">
        <v>138</v>
      </c>
      <c r="O20" t="s">
        <v>517</v>
      </c>
    </row>
    <row r="21" spans="1:15" x14ac:dyDescent="0.25">
      <c r="A21" t="s">
        <v>495</v>
      </c>
      <c r="B21" t="s">
        <v>529</v>
      </c>
      <c r="C21" t="s">
        <v>459</v>
      </c>
      <c r="D21" t="s">
        <v>506</v>
      </c>
      <c r="E21" t="s">
        <v>21</v>
      </c>
      <c r="F21" t="s">
        <v>479</v>
      </c>
      <c r="G21" t="s">
        <v>460</v>
      </c>
      <c r="H21" t="s">
        <v>459</v>
      </c>
      <c r="I21" t="s">
        <v>460</v>
      </c>
      <c r="J21">
        <v>40</v>
      </c>
      <c r="K21" t="s">
        <v>306</v>
      </c>
      <c r="L21">
        <v>6</v>
      </c>
      <c r="M21" t="s">
        <v>461</v>
      </c>
      <c r="N21" t="s">
        <v>462</v>
      </c>
      <c r="O21" t="s">
        <v>517</v>
      </c>
    </row>
    <row r="22" spans="1:15" x14ac:dyDescent="0.25">
      <c r="A22" t="s">
        <v>495</v>
      </c>
      <c r="B22" t="s">
        <v>530</v>
      </c>
      <c r="C22" t="s">
        <v>463</v>
      </c>
      <c r="D22" t="s">
        <v>506</v>
      </c>
      <c r="E22" t="s">
        <v>21</v>
      </c>
      <c r="F22" t="s">
        <v>479</v>
      </c>
      <c r="G22" t="s">
        <v>464</v>
      </c>
      <c r="H22" t="s">
        <v>463</v>
      </c>
      <c r="I22" t="s">
        <v>464</v>
      </c>
      <c r="J22">
        <v>20</v>
      </c>
      <c r="K22">
        <v>1</v>
      </c>
      <c r="L22">
        <v>6</v>
      </c>
      <c r="M22" t="s">
        <v>465</v>
      </c>
      <c r="N22" t="s">
        <v>339</v>
      </c>
      <c r="O22" t="s">
        <v>340</v>
      </c>
    </row>
    <row r="23" spans="1:15" x14ac:dyDescent="0.25">
      <c r="A23" t="s">
        <v>495</v>
      </c>
      <c r="B23" t="s">
        <v>531</v>
      </c>
      <c r="C23" t="s">
        <v>466</v>
      </c>
      <c r="D23" t="s">
        <v>506</v>
      </c>
      <c r="E23" t="s">
        <v>21</v>
      </c>
      <c r="F23" t="s">
        <v>479</v>
      </c>
      <c r="G23" t="s">
        <v>412</v>
      </c>
      <c r="H23" t="s">
        <v>466</v>
      </c>
      <c r="I23" t="s">
        <v>412</v>
      </c>
      <c r="J23">
        <v>20</v>
      </c>
      <c r="K23">
        <v>1</v>
      </c>
      <c r="L23">
        <v>6</v>
      </c>
      <c r="M23" t="s">
        <v>467</v>
      </c>
      <c r="N23" t="s">
        <v>339</v>
      </c>
      <c r="O23" t="s">
        <v>340</v>
      </c>
    </row>
    <row r="24" spans="1:15" x14ac:dyDescent="0.25">
      <c r="A24" t="s">
        <v>495</v>
      </c>
      <c r="B24" t="s">
        <v>532</v>
      </c>
      <c r="C24" t="s">
        <v>468</v>
      </c>
      <c r="D24" t="s">
        <v>506</v>
      </c>
      <c r="E24" t="s">
        <v>21</v>
      </c>
      <c r="F24" t="s">
        <v>479</v>
      </c>
      <c r="G24" t="s">
        <v>469</v>
      </c>
      <c r="H24" t="s">
        <v>468</v>
      </c>
      <c r="I24" t="s">
        <v>469</v>
      </c>
      <c r="J24">
        <v>20</v>
      </c>
      <c r="K24">
        <v>1</v>
      </c>
      <c r="L24">
        <v>6</v>
      </c>
      <c r="M24" t="s">
        <v>470</v>
      </c>
      <c r="N24" t="s">
        <v>339</v>
      </c>
      <c r="O24" t="s">
        <v>340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67A1A-2490-4128-933F-6DE5ADCEFA73}">
  <sheetPr codeName="Sheet14"/>
  <dimension ref="A1:K384"/>
  <sheetViews>
    <sheetView workbookViewId="0"/>
  </sheetViews>
  <sheetFormatPr defaultColWidth="8.85546875" defaultRowHeight="15" x14ac:dyDescent="0.25"/>
  <cols>
    <col min="1" max="1" width="49" bestFit="1" customWidth="1"/>
    <col min="2" max="2" width="17.85546875" bestFit="1" customWidth="1"/>
    <col min="3" max="3" width="17.42578125" bestFit="1" customWidth="1"/>
    <col min="4" max="4" width="13.42578125" bestFit="1" customWidth="1"/>
    <col min="5" max="5" width="42.42578125" bestFit="1" customWidth="1"/>
    <col min="6" max="6" width="34.5703125" bestFit="1" customWidth="1"/>
    <col min="7" max="7" width="14.85546875" bestFit="1" customWidth="1"/>
    <col min="8" max="8" width="12.7109375" bestFit="1" customWidth="1"/>
    <col min="9" max="9" width="18" bestFit="1" customWidth="1"/>
    <col min="10" max="10" width="12.140625" bestFit="1" customWidth="1"/>
    <col min="11" max="11" width="41.5703125" bestFit="1" customWidth="1"/>
  </cols>
  <sheetData>
    <row r="1" spans="1:11" x14ac:dyDescent="0.25">
      <c r="A1" t="s">
        <v>471</v>
      </c>
      <c r="B1" t="s">
        <v>472</v>
      </c>
      <c r="C1" t="s">
        <v>52</v>
      </c>
      <c r="D1" t="s">
        <v>41</v>
      </c>
      <c r="E1" t="s">
        <v>66</v>
      </c>
      <c r="F1" t="s">
        <v>67</v>
      </c>
      <c r="G1" t="s">
        <v>422</v>
      </c>
      <c r="H1" t="s">
        <v>473</v>
      </c>
      <c r="I1" t="s">
        <v>474</v>
      </c>
      <c r="J1" t="s">
        <v>475</v>
      </c>
      <c r="K1" t="s">
        <v>423</v>
      </c>
    </row>
    <row r="2" spans="1:11" x14ac:dyDescent="0.25">
      <c r="A2" s="86" t="s">
        <v>476</v>
      </c>
      <c r="B2" t="s">
        <v>533</v>
      </c>
      <c r="C2" t="s">
        <v>58</v>
      </c>
      <c r="D2" t="s">
        <v>43</v>
      </c>
      <c r="E2" t="s">
        <v>68</v>
      </c>
      <c r="F2" t="s">
        <v>69</v>
      </c>
      <c r="G2" t="s">
        <v>5</v>
      </c>
      <c r="H2" t="s">
        <v>534</v>
      </c>
      <c r="I2" t="s">
        <v>21</v>
      </c>
      <c r="J2" t="s">
        <v>479</v>
      </c>
      <c r="K2" s="86" t="s">
        <v>426</v>
      </c>
    </row>
    <row r="3" spans="1:11" x14ac:dyDescent="0.25">
      <c r="A3" s="86" t="s">
        <v>476</v>
      </c>
      <c r="B3" t="s">
        <v>533</v>
      </c>
      <c r="C3" t="s">
        <v>58</v>
      </c>
      <c r="D3" t="s">
        <v>43</v>
      </c>
      <c r="E3" t="s">
        <v>70</v>
      </c>
      <c r="F3" t="s">
        <v>71</v>
      </c>
      <c r="G3" t="s">
        <v>5</v>
      </c>
      <c r="H3" t="s">
        <v>534</v>
      </c>
      <c r="I3" t="s">
        <v>21</v>
      </c>
      <c r="J3" t="s">
        <v>479</v>
      </c>
      <c r="K3" s="86" t="s">
        <v>426</v>
      </c>
    </row>
    <row r="4" spans="1:11" x14ac:dyDescent="0.25">
      <c r="A4" s="86" t="s">
        <v>476</v>
      </c>
      <c r="B4" t="s">
        <v>533</v>
      </c>
      <c r="C4" t="s">
        <v>58</v>
      </c>
      <c r="D4" t="s">
        <v>45</v>
      </c>
      <c r="E4" t="s">
        <v>72</v>
      </c>
      <c r="F4" t="s">
        <v>73</v>
      </c>
      <c r="G4" t="s">
        <v>5</v>
      </c>
      <c r="H4" t="s">
        <v>534</v>
      </c>
      <c r="I4" t="s">
        <v>21</v>
      </c>
      <c r="J4" t="s">
        <v>479</v>
      </c>
      <c r="K4" s="86" t="s">
        <v>426</v>
      </c>
    </row>
    <row r="5" spans="1:11" x14ac:dyDescent="0.25">
      <c r="A5" s="86" t="s">
        <v>476</v>
      </c>
      <c r="B5" t="s">
        <v>533</v>
      </c>
      <c r="C5" t="s">
        <v>58</v>
      </c>
      <c r="D5" t="s">
        <v>47</v>
      </c>
      <c r="E5" t="s">
        <v>74</v>
      </c>
      <c r="F5" t="s">
        <v>75</v>
      </c>
      <c r="G5" t="s">
        <v>5</v>
      </c>
      <c r="H5" t="s">
        <v>534</v>
      </c>
      <c r="I5" t="s">
        <v>21</v>
      </c>
      <c r="J5" t="s">
        <v>479</v>
      </c>
      <c r="K5" s="86" t="s">
        <v>426</v>
      </c>
    </row>
    <row r="6" spans="1:11" x14ac:dyDescent="0.25">
      <c r="A6" s="86" t="s">
        <v>476</v>
      </c>
      <c r="B6" t="s">
        <v>533</v>
      </c>
      <c r="C6" t="s">
        <v>58</v>
      </c>
      <c r="D6" t="s">
        <v>47</v>
      </c>
      <c r="E6" t="s">
        <v>74</v>
      </c>
      <c r="F6" t="s">
        <v>76</v>
      </c>
      <c r="G6" t="s">
        <v>5</v>
      </c>
      <c r="H6" t="s">
        <v>534</v>
      </c>
      <c r="I6" t="s">
        <v>21</v>
      </c>
      <c r="J6" t="s">
        <v>479</v>
      </c>
      <c r="K6" s="86" t="s">
        <v>426</v>
      </c>
    </row>
    <row r="7" spans="1:11" x14ac:dyDescent="0.25">
      <c r="A7" s="86" t="s">
        <v>476</v>
      </c>
      <c r="B7" t="s">
        <v>533</v>
      </c>
      <c r="C7" t="s">
        <v>58</v>
      </c>
      <c r="G7" t="s">
        <v>5</v>
      </c>
      <c r="H7" t="s">
        <v>534</v>
      </c>
      <c r="I7" t="s">
        <v>21</v>
      </c>
      <c r="J7" t="s">
        <v>479</v>
      </c>
      <c r="K7" s="86" t="s">
        <v>426</v>
      </c>
    </row>
    <row r="8" spans="1:11" x14ac:dyDescent="0.25">
      <c r="A8" s="86" t="s">
        <v>476</v>
      </c>
      <c r="B8" t="s">
        <v>533</v>
      </c>
      <c r="C8" t="s">
        <v>58</v>
      </c>
      <c r="G8" t="s">
        <v>5</v>
      </c>
      <c r="H8" t="s">
        <v>534</v>
      </c>
      <c r="I8" t="s">
        <v>21</v>
      </c>
      <c r="J8" t="s">
        <v>479</v>
      </c>
      <c r="K8" s="86" t="s">
        <v>426</v>
      </c>
    </row>
    <row r="9" spans="1:11" x14ac:dyDescent="0.25">
      <c r="A9" s="86" t="s">
        <v>476</v>
      </c>
      <c r="B9" t="s">
        <v>533</v>
      </c>
      <c r="C9" t="s">
        <v>63</v>
      </c>
      <c r="G9" t="s">
        <v>5</v>
      </c>
      <c r="H9" t="s">
        <v>534</v>
      </c>
      <c r="I9" t="s">
        <v>21</v>
      </c>
      <c r="J9" t="s">
        <v>479</v>
      </c>
      <c r="K9" s="86" t="s">
        <v>426</v>
      </c>
    </row>
    <row r="10" spans="1:11" x14ac:dyDescent="0.25">
      <c r="A10" s="86" t="s">
        <v>476</v>
      </c>
      <c r="B10" t="s">
        <v>533</v>
      </c>
      <c r="C10" t="s">
        <v>63</v>
      </c>
      <c r="G10" t="s">
        <v>5</v>
      </c>
      <c r="H10" t="s">
        <v>534</v>
      </c>
      <c r="I10" t="s">
        <v>21</v>
      </c>
      <c r="J10" t="s">
        <v>479</v>
      </c>
      <c r="K10" s="86" t="s">
        <v>426</v>
      </c>
    </row>
    <row r="11" spans="1:11" x14ac:dyDescent="0.25">
      <c r="A11" s="86" t="s">
        <v>476</v>
      </c>
      <c r="B11" t="s">
        <v>533</v>
      </c>
      <c r="C11" t="s">
        <v>64</v>
      </c>
      <c r="G11" t="s">
        <v>5</v>
      </c>
      <c r="H11" t="s">
        <v>534</v>
      </c>
      <c r="I11" t="s">
        <v>21</v>
      </c>
      <c r="J11" t="s">
        <v>479</v>
      </c>
      <c r="K11" s="86" t="s">
        <v>426</v>
      </c>
    </row>
    <row r="12" spans="1:11" x14ac:dyDescent="0.25">
      <c r="A12" s="86" t="s">
        <v>476</v>
      </c>
      <c r="B12" t="s">
        <v>533</v>
      </c>
      <c r="C12" t="s">
        <v>64</v>
      </c>
      <c r="G12" t="s">
        <v>5</v>
      </c>
      <c r="H12" t="s">
        <v>534</v>
      </c>
      <c r="I12" t="s">
        <v>21</v>
      </c>
      <c r="J12" t="s">
        <v>479</v>
      </c>
      <c r="K12" s="86" t="s">
        <v>426</v>
      </c>
    </row>
    <row r="13" spans="1:11" x14ac:dyDescent="0.25">
      <c r="A13" s="86" t="s">
        <v>476</v>
      </c>
      <c r="B13" t="s">
        <v>535</v>
      </c>
      <c r="C13" t="s">
        <v>58</v>
      </c>
      <c r="D13" t="s">
        <v>43</v>
      </c>
      <c r="E13" t="s">
        <v>68</v>
      </c>
      <c r="F13" t="s">
        <v>119</v>
      </c>
      <c r="G13" t="s">
        <v>104</v>
      </c>
      <c r="H13" t="s">
        <v>534</v>
      </c>
      <c r="I13" t="s">
        <v>21</v>
      </c>
      <c r="J13" t="s">
        <v>479</v>
      </c>
      <c r="K13" s="86" t="s">
        <v>105</v>
      </c>
    </row>
    <row r="14" spans="1:11" x14ac:dyDescent="0.25">
      <c r="A14" s="86" t="s">
        <v>476</v>
      </c>
      <c r="B14" t="s">
        <v>535</v>
      </c>
      <c r="C14" t="s">
        <v>58</v>
      </c>
      <c r="D14" t="s">
        <v>43</v>
      </c>
      <c r="E14" t="s">
        <v>68</v>
      </c>
      <c r="F14" t="s">
        <v>69</v>
      </c>
      <c r="G14" t="s">
        <v>104</v>
      </c>
      <c r="H14" t="s">
        <v>534</v>
      </c>
      <c r="I14" t="s">
        <v>21</v>
      </c>
      <c r="J14" t="s">
        <v>479</v>
      </c>
      <c r="K14" s="86" t="s">
        <v>105</v>
      </c>
    </row>
    <row r="15" spans="1:11" x14ac:dyDescent="0.25">
      <c r="A15" s="86" t="s">
        <v>476</v>
      </c>
      <c r="B15" t="s">
        <v>535</v>
      </c>
      <c r="C15" t="s">
        <v>58</v>
      </c>
      <c r="D15" t="s">
        <v>45</v>
      </c>
      <c r="E15" t="s">
        <v>74</v>
      </c>
      <c r="F15" t="s">
        <v>76</v>
      </c>
      <c r="G15" t="s">
        <v>104</v>
      </c>
      <c r="H15" t="s">
        <v>534</v>
      </c>
      <c r="I15" t="s">
        <v>21</v>
      </c>
      <c r="J15" t="s">
        <v>479</v>
      </c>
      <c r="K15" s="86" t="s">
        <v>105</v>
      </c>
    </row>
    <row r="16" spans="1:11" x14ac:dyDescent="0.25">
      <c r="A16" s="86" t="s">
        <v>476</v>
      </c>
      <c r="B16" t="s">
        <v>535</v>
      </c>
      <c r="C16" t="s">
        <v>58</v>
      </c>
      <c r="D16" t="s">
        <v>45</v>
      </c>
      <c r="E16" t="s">
        <v>72</v>
      </c>
      <c r="F16" t="s">
        <v>120</v>
      </c>
      <c r="G16" t="s">
        <v>104</v>
      </c>
      <c r="H16" t="s">
        <v>534</v>
      </c>
      <c r="I16" t="s">
        <v>21</v>
      </c>
      <c r="J16" t="s">
        <v>479</v>
      </c>
      <c r="K16" s="86" t="s">
        <v>105</v>
      </c>
    </row>
    <row r="17" spans="1:11" x14ac:dyDescent="0.25">
      <c r="A17" s="86" t="s">
        <v>476</v>
      </c>
      <c r="B17" t="s">
        <v>535</v>
      </c>
      <c r="C17" t="s">
        <v>58</v>
      </c>
      <c r="D17" t="s">
        <v>47</v>
      </c>
      <c r="E17" t="s">
        <v>121</v>
      </c>
      <c r="F17" t="s">
        <v>122</v>
      </c>
      <c r="G17" t="s">
        <v>104</v>
      </c>
      <c r="H17" t="s">
        <v>534</v>
      </c>
      <c r="I17" t="s">
        <v>21</v>
      </c>
      <c r="J17" t="s">
        <v>479</v>
      </c>
      <c r="K17" s="86" t="s">
        <v>105</v>
      </c>
    </row>
    <row r="18" spans="1:11" x14ac:dyDescent="0.25">
      <c r="A18" s="86" t="s">
        <v>476</v>
      </c>
      <c r="B18" t="s">
        <v>535</v>
      </c>
      <c r="C18" t="s">
        <v>58</v>
      </c>
      <c r="D18" t="s">
        <v>47</v>
      </c>
      <c r="E18" t="s">
        <v>123</v>
      </c>
      <c r="F18" t="s">
        <v>124</v>
      </c>
      <c r="G18" t="s">
        <v>104</v>
      </c>
      <c r="H18" t="s">
        <v>534</v>
      </c>
      <c r="I18" t="s">
        <v>21</v>
      </c>
      <c r="J18" t="s">
        <v>479</v>
      </c>
      <c r="K18" s="86" t="s">
        <v>105</v>
      </c>
    </row>
    <row r="19" spans="1:11" x14ac:dyDescent="0.25">
      <c r="A19" s="86" t="s">
        <v>476</v>
      </c>
      <c r="B19" t="s">
        <v>535</v>
      </c>
      <c r="C19" t="s">
        <v>63</v>
      </c>
      <c r="G19" t="s">
        <v>104</v>
      </c>
      <c r="H19" t="s">
        <v>534</v>
      </c>
      <c r="I19" t="s">
        <v>21</v>
      </c>
      <c r="J19" t="s">
        <v>479</v>
      </c>
      <c r="K19" s="86" t="s">
        <v>105</v>
      </c>
    </row>
    <row r="20" spans="1:11" x14ac:dyDescent="0.25">
      <c r="A20" s="86" t="s">
        <v>476</v>
      </c>
      <c r="B20" t="s">
        <v>535</v>
      </c>
      <c r="C20" t="s">
        <v>63</v>
      </c>
      <c r="G20" t="s">
        <v>104</v>
      </c>
      <c r="H20" t="s">
        <v>534</v>
      </c>
      <c r="I20" t="s">
        <v>21</v>
      </c>
      <c r="J20" t="s">
        <v>479</v>
      </c>
      <c r="K20" s="86" t="s">
        <v>105</v>
      </c>
    </row>
    <row r="21" spans="1:11" x14ac:dyDescent="0.25">
      <c r="A21" s="86" t="s">
        <v>476</v>
      </c>
      <c r="B21" t="s">
        <v>535</v>
      </c>
      <c r="C21" t="s">
        <v>63</v>
      </c>
      <c r="G21" t="s">
        <v>104</v>
      </c>
      <c r="H21" t="s">
        <v>534</v>
      </c>
      <c r="I21" t="s">
        <v>21</v>
      </c>
      <c r="J21" t="s">
        <v>479</v>
      </c>
      <c r="K21" s="86" t="s">
        <v>105</v>
      </c>
    </row>
    <row r="22" spans="1:11" x14ac:dyDescent="0.25">
      <c r="A22" s="86" t="s">
        <v>476</v>
      </c>
      <c r="B22" t="s">
        <v>535</v>
      </c>
      <c r="C22" t="s">
        <v>64</v>
      </c>
      <c r="G22" t="s">
        <v>104</v>
      </c>
      <c r="H22" t="s">
        <v>534</v>
      </c>
      <c r="I22" t="s">
        <v>21</v>
      </c>
      <c r="J22" t="s">
        <v>479</v>
      </c>
      <c r="K22" s="86" t="s">
        <v>105</v>
      </c>
    </row>
    <row r="23" spans="1:11" x14ac:dyDescent="0.25">
      <c r="A23" s="86" t="s">
        <v>476</v>
      </c>
      <c r="B23" t="s">
        <v>535</v>
      </c>
      <c r="C23" t="s">
        <v>64</v>
      </c>
      <c r="G23" t="s">
        <v>104</v>
      </c>
      <c r="H23" t="s">
        <v>534</v>
      </c>
      <c r="I23" t="s">
        <v>21</v>
      </c>
      <c r="J23" t="s">
        <v>479</v>
      </c>
      <c r="K23" s="86" t="s">
        <v>105</v>
      </c>
    </row>
    <row r="24" spans="1:11" x14ac:dyDescent="0.25">
      <c r="A24" s="86" t="s">
        <v>476</v>
      </c>
      <c r="B24" t="s">
        <v>536</v>
      </c>
      <c r="C24" t="s">
        <v>58</v>
      </c>
      <c r="D24" t="s">
        <v>43</v>
      </c>
      <c r="E24" t="s">
        <v>151</v>
      </c>
      <c r="F24" t="s">
        <v>152</v>
      </c>
      <c r="G24" t="s">
        <v>133</v>
      </c>
      <c r="H24" t="s">
        <v>534</v>
      </c>
      <c r="I24" t="s">
        <v>21</v>
      </c>
      <c r="J24" t="s">
        <v>479</v>
      </c>
      <c r="K24" s="86" t="s">
        <v>135</v>
      </c>
    </row>
    <row r="25" spans="1:11" x14ac:dyDescent="0.25">
      <c r="A25" s="86" t="s">
        <v>476</v>
      </c>
      <c r="B25" t="s">
        <v>536</v>
      </c>
      <c r="C25" t="s">
        <v>58</v>
      </c>
      <c r="D25" t="s">
        <v>43</v>
      </c>
      <c r="E25" t="s">
        <v>72</v>
      </c>
      <c r="F25" t="s">
        <v>120</v>
      </c>
      <c r="G25" t="s">
        <v>133</v>
      </c>
      <c r="H25" t="s">
        <v>534</v>
      </c>
      <c r="I25" t="s">
        <v>21</v>
      </c>
      <c r="J25" t="s">
        <v>479</v>
      </c>
      <c r="K25" s="86" t="s">
        <v>135</v>
      </c>
    </row>
    <row r="26" spans="1:11" x14ac:dyDescent="0.25">
      <c r="A26" s="86" t="s">
        <v>476</v>
      </c>
      <c r="B26" t="s">
        <v>536</v>
      </c>
      <c r="C26" t="s">
        <v>58</v>
      </c>
      <c r="D26" t="s">
        <v>43</v>
      </c>
      <c r="E26" t="s">
        <v>72</v>
      </c>
      <c r="F26" t="s">
        <v>153</v>
      </c>
      <c r="G26" t="s">
        <v>133</v>
      </c>
      <c r="H26" t="s">
        <v>534</v>
      </c>
      <c r="I26" t="s">
        <v>21</v>
      </c>
      <c r="J26" t="s">
        <v>479</v>
      </c>
      <c r="K26" s="86" t="s">
        <v>135</v>
      </c>
    </row>
    <row r="27" spans="1:11" x14ac:dyDescent="0.25">
      <c r="A27" s="86" t="s">
        <v>476</v>
      </c>
      <c r="B27" t="s">
        <v>536</v>
      </c>
      <c r="C27" t="s">
        <v>58</v>
      </c>
      <c r="D27" t="s">
        <v>43</v>
      </c>
      <c r="E27" t="s">
        <v>154</v>
      </c>
      <c r="F27" t="s">
        <v>155</v>
      </c>
      <c r="G27" t="s">
        <v>133</v>
      </c>
      <c r="H27" t="s">
        <v>534</v>
      </c>
      <c r="I27" t="s">
        <v>21</v>
      </c>
      <c r="J27" t="s">
        <v>479</v>
      </c>
      <c r="K27" s="86" t="s">
        <v>135</v>
      </c>
    </row>
    <row r="28" spans="1:11" x14ac:dyDescent="0.25">
      <c r="A28" s="86" t="s">
        <v>476</v>
      </c>
      <c r="B28" t="s">
        <v>536</v>
      </c>
      <c r="C28" t="s">
        <v>58</v>
      </c>
      <c r="D28" t="s">
        <v>43</v>
      </c>
      <c r="E28" t="s">
        <v>123</v>
      </c>
      <c r="F28" t="s">
        <v>156</v>
      </c>
      <c r="G28" t="s">
        <v>133</v>
      </c>
      <c r="H28" t="s">
        <v>534</v>
      </c>
      <c r="I28" t="s">
        <v>21</v>
      </c>
      <c r="J28" t="s">
        <v>479</v>
      </c>
      <c r="K28" s="86" t="s">
        <v>135</v>
      </c>
    </row>
    <row r="29" spans="1:11" x14ac:dyDescent="0.25">
      <c r="A29" s="86" t="s">
        <v>476</v>
      </c>
      <c r="B29" t="s">
        <v>536</v>
      </c>
      <c r="C29" t="s">
        <v>58</v>
      </c>
      <c r="D29" t="s">
        <v>43</v>
      </c>
      <c r="E29" t="s">
        <v>157</v>
      </c>
      <c r="F29" t="s">
        <v>158</v>
      </c>
      <c r="G29" t="s">
        <v>133</v>
      </c>
      <c r="H29" t="s">
        <v>534</v>
      </c>
      <c r="I29" t="s">
        <v>21</v>
      </c>
      <c r="J29" t="s">
        <v>479</v>
      </c>
      <c r="K29" s="86" t="s">
        <v>135</v>
      </c>
    </row>
    <row r="30" spans="1:11" x14ac:dyDescent="0.25">
      <c r="A30" s="86" t="s">
        <v>476</v>
      </c>
      <c r="B30" t="s">
        <v>536</v>
      </c>
      <c r="C30" t="s">
        <v>58</v>
      </c>
      <c r="D30" t="s">
        <v>43</v>
      </c>
      <c r="E30" t="s">
        <v>157</v>
      </c>
      <c r="F30" t="s">
        <v>159</v>
      </c>
      <c r="G30" t="s">
        <v>133</v>
      </c>
      <c r="H30" t="s">
        <v>534</v>
      </c>
      <c r="I30" t="s">
        <v>21</v>
      </c>
      <c r="J30" t="s">
        <v>479</v>
      </c>
      <c r="K30" s="86" t="s">
        <v>135</v>
      </c>
    </row>
    <row r="31" spans="1:11" x14ac:dyDescent="0.25">
      <c r="A31" s="86" t="s">
        <v>476</v>
      </c>
      <c r="B31" t="s">
        <v>536</v>
      </c>
      <c r="C31" t="s">
        <v>58</v>
      </c>
      <c r="D31" t="s">
        <v>43</v>
      </c>
      <c r="E31" t="s">
        <v>70</v>
      </c>
      <c r="F31" t="s">
        <v>160</v>
      </c>
      <c r="G31" t="s">
        <v>133</v>
      </c>
      <c r="H31" t="s">
        <v>534</v>
      </c>
      <c r="I31" t="s">
        <v>21</v>
      </c>
      <c r="J31" t="s">
        <v>479</v>
      </c>
      <c r="K31" s="86" t="s">
        <v>135</v>
      </c>
    </row>
    <row r="32" spans="1:11" x14ac:dyDescent="0.25">
      <c r="A32" s="86" t="s">
        <v>476</v>
      </c>
      <c r="B32" t="s">
        <v>536</v>
      </c>
      <c r="C32" t="s">
        <v>58</v>
      </c>
      <c r="D32" t="s">
        <v>43</v>
      </c>
      <c r="E32" t="s">
        <v>70</v>
      </c>
      <c r="F32" t="s">
        <v>161</v>
      </c>
      <c r="G32" t="s">
        <v>133</v>
      </c>
      <c r="H32" t="s">
        <v>534</v>
      </c>
      <c r="I32" t="s">
        <v>21</v>
      </c>
      <c r="J32" t="s">
        <v>479</v>
      </c>
      <c r="K32" s="86" t="s">
        <v>135</v>
      </c>
    </row>
    <row r="33" spans="1:11" x14ac:dyDescent="0.25">
      <c r="A33" s="86" t="s">
        <v>476</v>
      </c>
      <c r="B33" t="s">
        <v>536</v>
      </c>
      <c r="C33" t="s">
        <v>58</v>
      </c>
      <c r="D33" t="s">
        <v>43</v>
      </c>
      <c r="E33" t="s">
        <v>70</v>
      </c>
      <c r="F33" t="s">
        <v>162</v>
      </c>
      <c r="G33" t="s">
        <v>133</v>
      </c>
      <c r="H33" t="s">
        <v>534</v>
      </c>
      <c r="I33" t="s">
        <v>21</v>
      </c>
      <c r="J33" t="s">
        <v>479</v>
      </c>
      <c r="K33" s="86" t="s">
        <v>135</v>
      </c>
    </row>
    <row r="34" spans="1:11" x14ac:dyDescent="0.25">
      <c r="A34" s="86" t="s">
        <v>476</v>
      </c>
      <c r="B34" t="s">
        <v>536</v>
      </c>
      <c r="C34" t="s">
        <v>58</v>
      </c>
      <c r="D34" t="s">
        <v>43</v>
      </c>
      <c r="E34" t="s">
        <v>70</v>
      </c>
      <c r="F34" t="s">
        <v>71</v>
      </c>
      <c r="G34" t="s">
        <v>133</v>
      </c>
      <c r="H34" t="s">
        <v>534</v>
      </c>
      <c r="I34" t="s">
        <v>21</v>
      </c>
      <c r="J34" t="s">
        <v>479</v>
      </c>
      <c r="K34" s="86" t="s">
        <v>135</v>
      </c>
    </row>
    <row r="35" spans="1:11" x14ac:dyDescent="0.25">
      <c r="A35" s="86" t="s">
        <v>476</v>
      </c>
      <c r="B35" t="s">
        <v>536</v>
      </c>
      <c r="C35" t="s">
        <v>58</v>
      </c>
      <c r="D35" t="s">
        <v>43</v>
      </c>
      <c r="E35" t="s">
        <v>70</v>
      </c>
      <c r="F35" t="s">
        <v>163</v>
      </c>
      <c r="G35" t="s">
        <v>133</v>
      </c>
      <c r="H35" t="s">
        <v>534</v>
      </c>
      <c r="I35" t="s">
        <v>21</v>
      </c>
      <c r="J35" t="s">
        <v>479</v>
      </c>
      <c r="K35" s="86" t="s">
        <v>135</v>
      </c>
    </row>
    <row r="36" spans="1:11" x14ac:dyDescent="0.25">
      <c r="A36" s="86" t="s">
        <v>476</v>
      </c>
      <c r="B36" t="s">
        <v>536</v>
      </c>
      <c r="C36" t="s">
        <v>58</v>
      </c>
      <c r="D36" t="s">
        <v>45</v>
      </c>
      <c r="E36" t="s">
        <v>74</v>
      </c>
      <c r="F36" t="s">
        <v>164</v>
      </c>
      <c r="G36" t="s">
        <v>133</v>
      </c>
      <c r="H36" t="s">
        <v>534</v>
      </c>
      <c r="I36" t="s">
        <v>21</v>
      </c>
      <c r="J36" t="s">
        <v>479</v>
      </c>
      <c r="K36" s="86" t="s">
        <v>135</v>
      </c>
    </row>
    <row r="37" spans="1:11" x14ac:dyDescent="0.25">
      <c r="A37" s="86" t="s">
        <v>476</v>
      </c>
      <c r="B37" t="s">
        <v>536</v>
      </c>
      <c r="C37" t="s">
        <v>58</v>
      </c>
      <c r="D37" t="s">
        <v>45</v>
      </c>
      <c r="E37" t="s">
        <v>74</v>
      </c>
      <c r="F37" t="s">
        <v>75</v>
      </c>
      <c r="G37" t="s">
        <v>133</v>
      </c>
      <c r="H37" t="s">
        <v>534</v>
      </c>
      <c r="I37" t="s">
        <v>21</v>
      </c>
      <c r="J37" t="s">
        <v>479</v>
      </c>
      <c r="K37" s="86" t="s">
        <v>135</v>
      </c>
    </row>
    <row r="38" spans="1:11" x14ac:dyDescent="0.25">
      <c r="A38" s="86" t="s">
        <v>476</v>
      </c>
      <c r="B38" t="s">
        <v>536</v>
      </c>
      <c r="C38" t="s">
        <v>58</v>
      </c>
      <c r="D38" t="s">
        <v>45</v>
      </c>
      <c r="E38" t="s">
        <v>74</v>
      </c>
      <c r="F38" t="s">
        <v>76</v>
      </c>
      <c r="G38" t="s">
        <v>133</v>
      </c>
      <c r="H38" t="s">
        <v>534</v>
      </c>
      <c r="I38" t="s">
        <v>21</v>
      </c>
      <c r="J38" t="s">
        <v>479</v>
      </c>
      <c r="K38" s="86" t="s">
        <v>135</v>
      </c>
    </row>
    <row r="39" spans="1:11" x14ac:dyDescent="0.25">
      <c r="A39" s="86" t="s">
        <v>476</v>
      </c>
      <c r="B39" t="s">
        <v>536</v>
      </c>
      <c r="C39" t="s">
        <v>58</v>
      </c>
      <c r="D39" t="s">
        <v>45</v>
      </c>
      <c r="E39" t="s">
        <v>74</v>
      </c>
      <c r="F39" t="s">
        <v>165</v>
      </c>
      <c r="G39" t="s">
        <v>133</v>
      </c>
      <c r="H39" t="s">
        <v>534</v>
      </c>
      <c r="I39" t="s">
        <v>21</v>
      </c>
      <c r="J39" t="s">
        <v>479</v>
      </c>
      <c r="K39" s="86" t="s">
        <v>135</v>
      </c>
    </row>
    <row r="40" spans="1:11" x14ac:dyDescent="0.25">
      <c r="A40" s="86" t="s">
        <v>476</v>
      </c>
      <c r="B40" t="s">
        <v>536</v>
      </c>
      <c r="C40" t="s">
        <v>58</v>
      </c>
      <c r="D40" t="s">
        <v>45</v>
      </c>
      <c r="E40" t="s">
        <v>74</v>
      </c>
      <c r="F40" t="s">
        <v>166</v>
      </c>
      <c r="G40" t="s">
        <v>133</v>
      </c>
      <c r="H40" t="s">
        <v>534</v>
      </c>
      <c r="I40" t="s">
        <v>21</v>
      </c>
      <c r="J40" t="s">
        <v>479</v>
      </c>
      <c r="K40" s="86" t="s">
        <v>135</v>
      </c>
    </row>
    <row r="41" spans="1:11" x14ac:dyDescent="0.25">
      <c r="A41" s="86" t="s">
        <v>476</v>
      </c>
      <c r="B41" t="s">
        <v>536</v>
      </c>
      <c r="C41" t="s">
        <v>58</v>
      </c>
      <c r="D41" t="s">
        <v>45</v>
      </c>
      <c r="E41" t="s">
        <v>154</v>
      </c>
      <c r="F41" t="s">
        <v>167</v>
      </c>
      <c r="G41" t="s">
        <v>133</v>
      </c>
      <c r="H41" t="s">
        <v>534</v>
      </c>
      <c r="I41" t="s">
        <v>21</v>
      </c>
      <c r="J41" t="s">
        <v>479</v>
      </c>
      <c r="K41" s="86" t="s">
        <v>135</v>
      </c>
    </row>
    <row r="42" spans="1:11" x14ac:dyDescent="0.25">
      <c r="A42" s="86" t="s">
        <v>476</v>
      </c>
      <c r="B42" t="s">
        <v>536</v>
      </c>
      <c r="C42" t="s">
        <v>58</v>
      </c>
      <c r="D42" t="s">
        <v>45</v>
      </c>
      <c r="E42" t="s">
        <v>154</v>
      </c>
      <c r="F42" t="s">
        <v>168</v>
      </c>
      <c r="G42" t="s">
        <v>133</v>
      </c>
      <c r="H42" t="s">
        <v>534</v>
      </c>
      <c r="I42" t="s">
        <v>21</v>
      </c>
      <c r="J42" t="s">
        <v>479</v>
      </c>
      <c r="K42" s="86" t="s">
        <v>135</v>
      </c>
    </row>
    <row r="43" spans="1:11" x14ac:dyDescent="0.25">
      <c r="A43" s="86" t="s">
        <v>476</v>
      </c>
      <c r="B43" t="s">
        <v>536</v>
      </c>
      <c r="C43" t="s">
        <v>58</v>
      </c>
      <c r="D43" t="s">
        <v>45</v>
      </c>
      <c r="E43" t="s">
        <v>154</v>
      </c>
      <c r="F43" t="s">
        <v>155</v>
      </c>
      <c r="G43" t="s">
        <v>133</v>
      </c>
      <c r="H43" t="s">
        <v>534</v>
      </c>
      <c r="I43" t="s">
        <v>21</v>
      </c>
      <c r="J43" t="s">
        <v>479</v>
      </c>
      <c r="K43" s="86" t="s">
        <v>135</v>
      </c>
    </row>
    <row r="44" spans="1:11" x14ac:dyDescent="0.25">
      <c r="A44" s="86" t="s">
        <v>476</v>
      </c>
      <c r="B44" t="s">
        <v>536</v>
      </c>
      <c r="C44" t="s">
        <v>58</v>
      </c>
      <c r="D44" t="s">
        <v>45</v>
      </c>
      <c r="E44" t="s">
        <v>169</v>
      </c>
      <c r="F44" t="s">
        <v>170</v>
      </c>
      <c r="G44" t="s">
        <v>133</v>
      </c>
      <c r="H44" t="s">
        <v>534</v>
      </c>
      <c r="I44" t="s">
        <v>21</v>
      </c>
      <c r="J44" t="s">
        <v>479</v>
      </c>
      <c r="K44" s="86" t="s">
        <v>135</v>
      </c>
    </row>
    <row r="45" spans="1:11" x14ac:dyDescent="0.25">
      <c r="A45" s="86" t="s">
        <v>476</v>
      </c>
      <c r="B45" t="s">
        <v>536</v>
      </c>
      <c r="C45" t="s">
        <v>58</v>
      </c>
      <c r="D45" t="s">
        <v>45</v>
      </c>
      <c r="E45" t="s">
        <v>169</v>
      </c>
      <c r="F45" t="s">
        <v>171</v>
      </c>
      <c r="G45" t="s">
        <v>133</v>
      </c>
      <c r="H45" t="s">
        <v>534</v>
      </c>
      <c r="I45" t="s">
        <v>21</v>
      </c>
      <c r="J45" t="s">
        <v>479</v>
      </c>
      <c r="K45" s="86" t="s">
        <v>135</v>
      </c>
    </row>
    <row r="46" spans="1:11" x14ac:dyDescent="0.25">
      <c r="A46" s="86" t="s">
        <v>476</v>
      </c>
      <c r="B46" t="s">
        <v>536</v>
      </c>
      <c r="C46" t="s">
        <v>58</v>
      </c>
      <c r="D46" t="s">
        <v>45</v>
      </c>
      <c r="E46" t="s">
        <v>169</v>
      </c>
      <c r="F46" t="s">
        <v>172</v>
      </c>
      <c r="G46" t="s">
        <v>133</v>
      </c>
      <c r="H46" t="s">
        <v>534</v>
      </c>
      <c r="I46" t="s">
        <v>21</v>
      </c>
      <c r="J46" t="s">
        <v>479</v>
      </c>
      <c r="K46" s="86" t="s">
        <v>135</v>
      </c>
    </row>
    <row r="47" spans="1:11" x14ac:dyDescent="0.25">
      <c r="A47" s="86" t="s">
        <v>476</v>
      </c>
      <c r="B47" t="s">
        <v>536</v>
      </c>
      <c r="C47" t="s">
        <v>58</v>
      </c>
      <c r="D47" t="s">
        <v>45</v>
      </c>
      <c r="E47" t="s">
        <v>169</v>
      </c>
      <c r="F47" t="s">
        <v>173</v>
      </c>
      <c r="G47" t="s">
        <v>133</v>
      </c>
      <c r="H47" t="s">
        <v>534</v>
      </c>
      <c r="I47" t="s">
        <v>21</v>
      </c>
      <c r="J47" t="s">
        <v>479</v>
      </c>
      <c r="K47" s="86" t="s">
        <v>135</v>
      </c>
    </row>
    <row r="48" spans="1:11" x14ac:dyDescent="0.25">
      <c r="A48" s="86" t="s">
        <v>476</v>
      </c>
      <c r="B48" t="s">
        <v>536</v>
      </c>
      <c r="C48" t="s">
        <v>58</v>
      </c>
      <c r="D48" t="s">
        <v>45</v>
      </c>
      <c r="E48" t="s">
        <v>169</v>
      </c>
      <c r="F48" t="s">
        <v>174</v>
      </c>
      <c r="G48" t="s">
        <v>133</v>
      </c>
      <c r="H48" t="s">
        <v>534</v>
      </c>
      <c r="I48" t="s">
        <v>21</v>
      </c>
      <c r="J48" t="s">
        <v>479</v>
      </c>
      <c r="K48" s="86" t="s">
        <v>135</v>
      </c>
    </row>
    <row r="49" spans="1:11" x14ac:dyDescent="0.25">
      <c r="A49" s="86" t="s">
        <v>476</v>
      </c>
      <c r="B49" t="s">
        <v>536</v>
      </c>
      <c r="C49" t="s">
        <v>58</v>
      </c>
      <c r="D49" t="s">
        <v>45</v>
      </c>
      <c r="E49" t="s">
        <v>169</v>
      </c>
      <c r="F49" t="s">
        <v>175</v>
      </c>
      <c r="G49" t="s">
        <v>133</v>
      </c>
      <c r="H49" t="s">
        <v>534</v>
      </c>
      <c r="I49" t="s">
        <v>21</v>
      </c>
      <c r="J49" t="s">
        <v>479</v>
      </c>
      <c r="K49" s="86" t="s">
        <v>135</v>
      </c>
    </row>
    <row r="50" spans="1:11" x14ac:dyDescent="0.25">
      <c r="A50" s="86" t="s">
        <v>476</v>
      </c>
      <c r="B50" t="s">
        <v>536</v>
      </c>
      <c r="C50" t="s">
        <v>58</v>
      </c>
      <c r="D50" t="s">
        <v>45</v>
      </c>
      <c r="E50" t="s">
        <v>169</v>
      </c>
      <c r="F50" t="s">
        <v>176</v>
      </c>
      <c r="G50" t="s">
        <v>133</v>
      </c>
      <c r="H50" t="s">
        <v>534</v>
      </c>
      <c r="I50" t="s">
        <v>21</v>
      </c>
      <c r="J50" t="s">
        <v>479</v>
      </c>
      <c r="K50" s="86" t="s">
        <v>135</v>
      </c>
    </row>
    <row r="51" spans="1:11" x14ac:dyDescent="0.25">
      <c r="A51" s="86" t="s">
        <v>476</v>
      </c>
      <c r="B51" t="s">
        <v>536</v>
      </c>
      <c r="C51" t="s">
        <v>58</v>
      </c>
      <c r="D51" t="s">
        <v>45</v>
      </c>
      <c r="E51" t="s">
        <v>157</v>
      </c>
      <c r="F51" t="s">
        <v>177</v>
      </c>
      <c r="G51" t="s">
        <v>133</v>
      </c>
      <c r="H51" t="s">
        <v>534</v>
      </c>
      <c r="I51" t="s">
        <v>21</v>
      </c>
      <c r="J51" t="s">
        <v>479</v>
      </c>
      <c r="K51" s="86" t="s">
        <v>135</v>
      </c>
    </row>
    <row r="52" spans="1:11" x14ac:dyDescent="0.25">
      <c r="A52" s="86" t="s">
        <v>476</v>
      </c>
      <c r="B52" t="s">
        <v>536</v>
      </c>
      <c r="C52" t="s">
        <v>58</v>
      </c>
      <c r="D52" t="s">
        <v>45</v>
      </c>
      <c r="E52" t="s">
        <v>157</v>
      </c>
      <c r="F52" t="s">
        <v>159</v>
      </c>
      <c r="G52" t="s">
        <v>133</v>
      </c>
      <c r="H52" t="s">
        <v>534</v>
      </c>
      <c r="I52" t="s">
        <v>21</v>
      </c>
      <c r="J52" t="s">
        <v>479</v>
      </c>
      <c r="K52" s="86" t="s">
        <v>135</v>
      </c>
    </row>
    <row r="53" spans="1:11" x14ac:dyDescent="0.25">
      <c r="A53" s="86" t="s">
        <v>476</v>
      </c>
      <c r="B53" t="s">
        <v>536</v>
      </c>
      <c r="C53" t="s">
        <v>58</v>
      </c>
      <c r="D53" t="s">
        <v>45</v>
      </c>
      <c r="E53" t="s">
        <v>70</v>
      </c>
      <c r="F53" t="s">
        <v>160</v>
      </c>
      <c r="G53" t="s">
        <v>133</v>
      </c>
      <c r="H53" t="s">
        <v>534</v>
      </c>
      <c r="I53" t="s">
        <v>21</v>
      </c>
      <c r="J53" t="s">
        <v>479</v>
      </c>
      <c r="K53" s="86" t="s">
        <v>135</v>
      </c>
    </row>
    <row r="54" spans="1:11" x14ac:dyDescent="0.25">
      <c r="A54" s="86" t="s">
        <v>476</v>
      </c>
      <c r="B54" t="s">
        <v>536</v>
      </c>
      <c r="C54" t="s">
        <v>58</v>
      </c>
      <c r="D54" t="s">
        <v>45</v>
      </c>
      <c r="E54" t="s">
        <v>70</v>
      </c>
      <c r="F54" t="s">
        <v>161</v>
      </c>
      <c r="G54" t="s">
        <v>133</v>
      </c>
      <c r="H54" t="s">
        <v>534</v>
      </c>
      <c r="I54" t="s">
        <v>21</v>
      </c>
      <c r="J54" t="s">
        <v>479</v>
      </c>
      <c r="K54" s="86" t="s">
        <v>135</v>
      </c>
    </row>
    <row r="55" spans="1:11" x14ac:dyDescent="0.25">
      <c r="A55" s="86" t="s">
        <v>476</v>
      </c>
      <c r="B55" t="s">
        <v>536</v>
      </c>
      <c r="C55" t="s">
        <v>58</v>
      </c>
      <c r="D55" t="s">
        <v>45</v>
      </c>
      <c r="E55" t="s">
        <v>70</v>
      </c>
      <c r="F55" t="s">
        <v>162</v>
      </c>
      <c r="G55" t="s">
        <v>133</v>
      </c>
      <c r="H55" t="s">
        <v>534</v>
      </c>
      <c r="I55" t="s">
        <v>21</v>
      </c>
      <c r="J55" t="s">
        <v>479</v>
      </c>
      <c r="K55" s="86" t="s">
        <v>135</v>
      </c>
    </row>
    <row r="56" spans="1:11" x14ac:dyDescent="0.25">
      <c r="A56" s="86" t="s">
        <v>476</v>
      </c>
      <c r="B56" t="s">
        <v>536</v>
      </c>
      <c r="C56" t="s">
        <v>58</v>
      </c>
      <c r="D56" t="s">
        <v>45</v>
      </c>
      <c r="E56" t="s">
        <v>70</v>
      </c>
      <c r="F56" t="s">
        <v>71</v>
      </c>
      <c r="G56" t="s">
        <v>133</v>
      </c>
      <c r="H56" t="s">
        <v>534</v>
      </c>
      <c r="I56" t="s">
        <v>21</v>
      </c>
      <c r="J56" t="s">
        <v>479</v>
      </c>
      <c r="K56" s="86" t="s">
        <v>135</v>
      </c>
    </row>
    <row r="57" spans="1:11" x14ac:dyDescent="0.25">
      <c r="A57" s="86" t="s">
        <v>476</v>
      </c>
      <c r="B57" t="s">
        <v>536</v>
      </c>
      <c r="C57" t="s">
        <v>58</v>
      </c>
      <c r="D57" t="s">
        <v>45</v>
      </c>
      <c r="E57" t="s">
        <v>70</v>
      </c>
      <c r="F57" t="s">
        <v>163</v>
      </c>
      <c r="G57" t="s">
        <v>133</v>
      </c>
      <c r="H57" t="s">
        <v>534</v>
      </c>
      <c r="I57" t="s">
        <v>21</v>
      </c>
      <c r="J57" t="s">
        <v>479</v>
      </c>
      <c r="K57" s="86" t="s">
        <v>135</v>
      </c>
    </row>
    <row r="58" spans="1:11" x14ac:dyDescent="0.25">
      <c r="A58" s="86" t="s">
        <v>476</v>
      </c>
      <c r="B58" t="s">
        <v>536</v>
      </c>
      <c r="C58" t="s">
        <v>58</v>
      </c>
      <c r="D58" t="s">
        <v>45</v>
      </c>
      <c r="E58" t="s">
        <v>123</v>
      </c>
      <c r="F58" t="s">
        <v>178</v>
      </c>
      <c r="G58" t="s">
        <v>133</v>
      </c>
      <c r="H58" t="s">
        <v>534</v>
      </c>
      <c r="I58" t="s">
        <v>21</v>
      </c>
      <c r="J58" t="s">
        <v>479</v>
      </c>
      <c r="K58" s="86" t="s">
        <v>135</v>
      </c>
    </row>
    <row r="59" spans="1:11" x14ac:dyDescent="0.25">
      <c r="A59" s="86" t="s">
        <v>476</v>
      </c>
      <c r="B59" t="s">
        <v>536</v>
      </c>
      <c r="C59" t="s">
        <v>58</v>
      </c>
      <c r="D59" t="s">
        <v>45</v>
      </c>
      <c r="E59" t="s">
        <v>123</v>
      </c>
      <c r="F59" t="s">
        <v>179</v>
      </c>
      <c r="G59" t="s">
        <v>133</v>
      </c>
      <c r="H59" t="s">
        <v>534</v>
      </c>
      <c r="I59" t="s">
        <v>21</v>
      </c>
      <c r="J59" t="s">
        <v>479</v>
      </c>
      <c r="K59" s="86" t="s">
        <v>135</v>
      </c>
    </row>
    <row r="60" spans="1:11" x14ac:dyDescent="0.25">
      <c r="A60" s="86" t="s">
        <v>476</v>
      </c>
      <c r="B60" t="s">
        <v>536</v>
      </c>
      <c r="C60" t="s">
        <v>58</v>
      </c>
      <c r="D60" t="s">
        <v>45</v>
      </c>
      <c r="E60" t="s">
        <v>123</v>
      </c>
      <c r="F60" t="s">
        <v>156</v>
      </c>
      <c r="G60" t="s">
        <v>133</v>
      </c>
      <c r="H60" t="s">
        <v>534</v>
      </c>
      <c r="I60" t="s">
        <v>21</v>
      </c>
      <c r="J60" t="s">
        <v>479</v>
      </c>
      <c r="K60" s="86" t="s">
        <v>135</v>
      </c>
    </row>
    <row r="61" spans="1:11" x14ac:dyDescent="0.25">
      <c r="A61" s="86" t="s">
        <v>476</v>
      </c>
      <c r="B61" t="s">
        <v>536</v>
      </c>
      <c r="C61" t="s">
        <v>58</v>
      </c>
      <c r="D61" t="s">
        <v>47</v>
      </c>
      <c r="E61" t="s">
        <v>74</v>
      </c>
      <c r="F61" t="s">
        <v>164</v>
      </c>
      <c r="G61" t="s">
        <v>133</v>
      </c>
      <c r="H61" t="s">
        <v>534</v>
      </c>
      <c r="I61" t="s">
        <v>21</v>
      </c>
      <c r="J61" t="s">
        <v>479</v>
      </c>
      <c r="K61" s="86" t="s">
        <v>135</v>
      </c>
    </row>
    <row r="62" spans="1:11" x14ac:dyDescent="0.25">
      <c r="A62" s="86" t="s">
        <v>476</v>
      </c>
      <c r="B62" t="s">
        <v>536</v>
      </c>
      <c r="C62" t="s">
        <v>58</v>
      </c>
      <c r="D62" t="s">
        <v>47</v>
      </c>
      <c r="E62" t="s">
        <v>74</v>
      </c>
      <c r="F62" t="s">
        <v>76</v>
      </c>
      <c r="G62" t="s">
        <v>133</v>
      </c>
      <c r="H62" t="s">
        <v>534</v>
      </c>
      <c r="I62" t="s">
        <v>21</v>
      </c>
      <c r="J62" t="s">
        <v>479</v>
      </c>
      <c r="K62" s="86" t="s">
        <v>135</v>
      </c>
    </row>
    <row r="63" spans="1:11" x14ac:dyDescent="0.25">
      <c r="A63" s="86" t="s">
        <v>476</v>
      </c>
      <c r="B63" t="s">
        <v>536</v>
      </c>
      <c r="C63" t="s">
        <v>58</v>
      </c>
      <c r="D63" t="s">
        <v>47</v>
      </c>
      <c r="E63" t="s">
        <v>74</v>
      </c>
      <c r="F63" t="s">
        <v>166</v>
      </c>
      <c r="G63" t="s">
        <v>133</v>
      </c>
      <c r="H63" t="s">
        <v>534</v>
      </c>
      <c r="I63" t="s">
        <v>21</v>
      </c>
      <c r="J63" t="s">
        <v>479</v>
      </c>
      <c r="K63" s="86" t="s">
        <v>135</v>
      </c>
    </row>
    <row r="64" spans="1:11" x14ac:dyDescent="0.25">
      <c r="A64" s="86" t="s">
        <v>476</v>
      </c>
      <c r="B64" t="s">
        <v>536</v>
      </c>
      <c r="C64" t="s">
        <v>58</v>
      </c>
      <c r="D64" t="s">
        <v>47</v>
      </c>
      <c r="E64" t="s">
        <v>151</v>
      </c>
      <c r="F64" t="s">
        <v>180</v>
      </c>
      <c r="G64" t="s">
        <v>133</v>
      </c>
      <c r="H64" t="s">
        <v>534</v>
      </c>
      <c r="I64" t="s">
        <v>21</v>
      </c>
      <c r="J64" t="s">
        <v>479</v>
      </c>
      <c r="K64" s="86" t="s">
        <v>135</v>
      </c>
    </row>
    <row r="65" spans="1:11" x14ac:dyDescent="0.25">
      <c r="A65" s="86" t="s">
        <v>476</v>
      </c>
      <c r="B65" t="s">
        <v>536</v>
      </c>
      <c r="C65" t="s">
        <v>58</v>
      </c>
      <c r="D65" t="s">
        <v>47</v>
      </c>
      <c r="E65" t="s">
        <v>151</v>
      </c>
      <c r="F65" t="s">
        <v>181</v>
      </c>
      <c r="G65" t="s">
        <v>133</v>
      </c>
      <c r="H65" t="s">
        <v>534</v>
      </c>
      <c r="I65" t="s">
        <v>21</v>
      </c>
      <c r="J65" t="s">
        <v>479</v>
      </c>
      <c r="K65" s="86" t="s">
        <v>135</v>
      </c>
    </row>
    <row r="66" spans="1:11" x14ac:dyDescent="0.25">
      <c r="A66" s="86" t="s">
        <v>476</v>
      </c>
      <c r="B66" t="s">
        <v>536</v>
      </c>
      <c r="C66" t="s">
        <v>58</v>
      </c>
      <c r="D66" t="s">
        <v>47</v>
      </c>
      <c r="E66" t="s">
        <v>72</v>
      </c>
      <c r="F66" t="s">
        <v>182</v>
      </c>
      <c r="G66" t="s">
        <v>133</v>
      </c>
      <c r="H66" t="s">
        <v>534</v>
      </c>
      <c r="I66" t="s">
        <v>21</v>
      </c>
      <c r="J66" t="s">
        <v>479</v>
      </c>
      <c r="K66" s="86" t="s">
        <v>135</v>
      </c>
    </row>
    <row r="67" spans="1:11" x14ac:dyDescent="0.25">
      <c r="A67" s="86" t="s">
        <v>476</v>
      </c>
      <c r="B67" t="s">
        <v>536</v>
      </c>
      <c r="C67" t="s">
        <v>58</v>
      </c>
      <c r="D67" t="s">
        <v>47</v>
      </c>
      <c r="E67" t="s">
        <v>157</v>
      </c>
      <c r="F67" t="s">
        <v>158</v>
      </c>
      <c r="G67" t="s">
        <v>133</v>
      </c>
      <c r="H67" t="s">
        <v>534</v>
      </c>
      <c r="I67" t="s">
        <v>21</v>
      </c>
      <c r="J67" t="s">
        <v>479</v>
      </c>
      <c r="K67" s="86" t="s">
        <v>135</v>
      </c>
    </row>
    <row r="68" spans="1:11" x14ac:dyDescent="0.25">
      <c r="A68" s="86" t="s">
        <v>476</v>
      </c>
      <c r="B68" t="s">
        <v>536</v>
      </c>
      <c r="C68" t="s">
        <v>58</v>
      </c>
      <c r="D68" t="s">
        <v>47</v>
      </c>
      <c r="E68" t="s">
        <v>157</v>
      </c>
      <c r="F68" t="s">
        <v>159</v>
      </c>
      <c r="G68" t="s">
        <v>133</v>
      </c>
      <c r="H68" t="s">
        <v>534</v>
      </c>
      <c r="I68" t="s">
        <v>21</v>
      </c>
      <c r="J68" t="s">
        <v>479</v>
      </c>
      <c r="K68" s="86" t="s">
        <v>135</v>
      </c>
    </row>
    <row r="69" spans="1:11" x14ac:dyDescent="0.25">
      <c r="A69" s="86" t="s">
        <v>476</v>
      </c>
      <c r="B69" t="s">
        <v>536</v>
      </c>
      <c r="C69" t="s">
        <v>62</v>
      </c>
      <c r="D69" t="s">
        <v>43</v>
      </c>
      <c r="E69" t="s">
        <v>151</v>
      </c>
      <c r="F69" t="s">
        <v>152</v>
      </c>
      <c r="G69" t="s">
        <v>133</v>
      </c>
      <c r="H69" t="s">
        <v>534</v>
      </c>
      <c r="I69" t="s">
        <v>21</v>
      </c>
      <c r="J69" t="s">
        <v>479</v>
      </c>
      <c r="K69" s="86" t="s">
        <v>135</v>
      </c>
    </row>
    <row r="70" spans="1:11" x14ac:dyDescent="0.25">
      <c r="A70" s="86" t="s">
        <v>476</v>
      </c>
      <c r="B70" t="s">
        <v>536</v>
      </c>
      <c r="C70" t="s">
        <v>62</v>
      </c>
      <c r="D70" t="s">
        <v>43</v>
      </c>
      <c r="E70" t="s">
        <v>72</v>
      </c>
      <c r="F70" t="s">
        <v>120</v>
      </c>
      <c r="G70" t="s">
        <v>133</v>
      </c>
      <c r="H70" t="s">
        <v>534</v>
      </c>
      <c r="I70" t="s">
        <v>21</v>
      </c>
      <c r="J70" t="s">
        <v>479</v>
      </c>
      <c r="K70" s="86" t="s">
        <v>135</v>
      </c>
    </row>
    <row r="71" spans="1:11" x14ac:dyDescent="0.25">
      <c r="A71" s="86" t="s">
        <v>476</v>
      </c>
      <c r="B71" t="s">
        <v>536</v>
      </c>
      <c r="C71" t="s">
        <v>62</v>
      </c>
      <c r="D71" t="s">
        <v>43</v>
      </c>
      <c r="E71" t="s">
        <v>72</v>
      </c>
      <c r="F71" t="s">
        <v>153</v>
      </c>
      <c r="G71" t="s">
        <v>133</v>
      </c>
      <c r="H71" t="s">
        <v>534</v>
      </c>
      <c r="I71" t="s">
        <v>21</v>
      </c>
      <c r="J71" t="s">
        <v>479</v>
      </c>
      <c r="K71" s="86" t="s">
        <v>135</v>
      </c>
    </row>
    <row r="72" spans="1:11" x14ac:dyDescent="0.25">
      <c r="A72" s="86" t="s">
        <v>476</v>
      </c>
      <c r="B72" t="s">
        <v>536</v>
      </c>
      <c r="C72" t="s">
        <v>62</v>
      </c>
      <c r="D72" t="s">
        <v>43</v>
      </c>
      <c r="E72" t="s">
        <v>154</v>
      </c>
      <c r="F72" t="s">
        <v>155</v>
      </c>
      <c r="G72" t="s">
        <v>133</v>
      </c>
      <c r="H72" t="s">
        <v>534</v>
      </c>
      <c r="I72" t="s">
        <v>21</v>
      </c>
      <c r="J72" t="s">
        <v>479</v>
      </c>
      <c r="K72" s="86" t="s">
        <v>135</v>
      </c>
    </row>
    <row r="73" spans="1:11" x14ac:dyDescent="0.25">
      <c r="A73" s="86" t="s">
        <v>476</v>
      </c>
      <c r="B73" t="s">
        <v>536</v>
      </c>
      <c r="C73" t="s">
        <v>62</v>
      </c>
      <c r="D73" t="s">
        <v>43</v>
      </c>
      <c r="E73" t="s">
        <v>123</v>
      </c>
      <c r="F73" t="s">
        <v>156</v>
      </c>
      <c r="G73" t="s">
        <v>133</v>
      </c>
      <c r="H73" t="s">
        <v>534</v>
      </c>
      <c r="I73" t="s">
        <v>21</v>
      </c>
      <c r="J73" t="s">
        <v>479</v>
      </c>
      <c r="K73" s="86" t="s">
        <v>135</v>
      </c>
    </row>
    <row r="74" spans="1:11" x14ac:dyDescent="0.25">
      <c r="A74" s="86" t="s">
        <v>476</v>
      </c>
      <c r="B74" t="s">
        <v>536</v>
      </c>
      <c r="C74" t="s">
        <v>62</v>
      </c>
      <c r="D74" t="s">
        <v>43</v>
      </c>
      <c r="E74" t="s">
        <v>157</v>
      </c>
      <c r="F74" t="s">
        <v>158</v>
      </c>
      <c r="G74" t="s">
        <v>133</v>
      </c>
      <c r="H74" t="s">
        <v>534</v>
      </c>
      <c r="I74" t="s">
        <v>21</v>
      </c>
      <c r="J74" t="s">
        <v>479</v>
      </c>
      <c r="K74" s="86" t="s">
        <v>135</v>
      </c>
    </row>
    <row r="75" spans="1:11" x14ac:dyDescent="0.25">
      <c r="A75" s="86" t="s">
        <v>476</v>
      </c>
      <c r="B75" t="s">
        <v>536</v>
      </c>
      <c r="C75" t="s">
        <v>62</v>
      </c>
      <c r="D75" t="s">
        <v>43</v>
      </c>
      <c r="E75" t="s">
        <v>157</v>
      </c>
      <c r="F75" t="s">
        <v>159</v>
      </c>
      <c r="G75" t="s">
        <v>133</v>
      </c>
      <c r="H75" t="s">
        <v>534</v>
      </c>
      <c r="I75" t="s">
        <v>21</v>
      </c>
      <c r="J75" t="s">
        <v>479</v>
      </c>
      <c r="K75" s="86" t="s">
        <v>135</v>
      </c>
    </row>
    <row r="76" spans="1:11" x14ac:dyDescent="0.25">
      <c r="A76" s="86" t="s">
        <v>476</v>
      </c>
      <c r="B76" t="s">
        <v>536</v>
      </c>
      <c r="C76" t="s">
        <v>62</v>
      </c>
      <c r="D76" t="s">
        <v>43</v>
      </c>
      <c r="E76" t="s">
        <v>70</v>
      </c>
      <c r="F76" t="s">
        <v>160</v>
      </c>
      <c r="G76" t="s">
        <v>133</v>
      </c>
      <c r="H76" t="s">
        <v>534</v>
      </c>
      <c r="I76" t="s">
        <v>21</v>
      </c>
      <c r="J76" t="s">
        <v>479</v>
      </c>
      <c r="K76" s="86" t="s">
        <v>135</v>
      </c>
    </row>
    <row r="77" spans="1:11" x14ac:dyDescent="0.25">
      <c r="A77" s="86" t="s">
        <v>476</v>
      </c>
      <c r="B77" t="s">
        <v>536</v>
      </c>
      <c r="C77" t="s">
        <v>62</v>
      </c>
      <c r="D77" t="s">
        <v>43</v>
      </c>
      <c r="E77" t="s">
        <v>70</v>
      </c>
      <c r="F77" t="s">
        <v>161</v>
      </c>
      <c r="G77" t="s">
        <v>133</v>
      </c>
      <c r="H77" t="s">
        <v>534</v>
      </c>
      <c r="I77" t="s">
        <v>21</v>
      </c>
      <c r="J77" t="s">
        <v>479</v>
      </c>
      <c r="K77" s="86" t="s">
        <v>135</v>
      </c>
    </row>
    <row r="78" spans="1:11" x14ac:dyDescent="0.25">
      <c r="A78" s="86" t="s">
        <v>476</v>
      </c>
      <c r="B78" t="s">
        <v>536</v>
      </c>
      <c r="C78" t="s">
        <v>62</v>
      </c>
      <c r="D78" t="s">
        <v>43</v>
      </c>
      <c r="E78" t="s">
        <v>70</v>
      </c>
      <c r="F78" t="s">
        <v>162</v>
      </c>
      <c r="G78" t="s">
        <v>133</v>
      </c>
      <c r="H78" t="s">
        <v>534</v>
      </c>
      <c r="I78" t="s">
        <v>21</v>
      </c>
      <c r="J78" t="s">
        <v>479</v>
      </c>
      <c r="K78" s="86" t="s">
        <v>135</v>
      </c>
    </row>
    <row r="79" spans="1:11" x14ac:dyDescent="0.25">
      <c r="A79" s="86" t="s">
        <v>476</v>
      </c>
      <c r="B79" t="s">
        <v>536</v>
      </c>
      <c r="C79" t="s">
        <v>62</v>
      </c>
      <c r="D79" t="s">
        <v>43</v>
      </c>
      <c r="E79" t="s">
        <v>70</v>
      </c>
      <c r="F79" t="s">
        <v>71</v>
      </c>
      <c r="G79" t="s">
        <v>133</v>
      </c>
      <c r="H79" t="s">
        <v>534</v>
      </c>
      <c r="I79" t="s">
        <v>21</v>
      </c>
      <c r="J79" t="s">
        <v>479</v>
      </c>
      <c r="K79" s="86" t="s">
        <v>135</v>
      </c>
    </row>
    <row r="80" spans="1:11" x14ac:dyDescent="0.25">
      <c r="A80" s="86" t="s">
        <v>476</v>
      </c>
      <c r="B80" t="s">
        <v>536</v>
      </c>
      <c r="C80" t="s">
        <v>62</v>
      </c>
      <c r="D80" t="s">
        <v>43</v>
      </c>
      <c r="E80" t="s">
        <v>70</v>
      </c>
      <c r="F80" t="s">
        <v>163</v>
      </c>
      <c r="G80" t="s">
        <v>133</v>
      </c>
      <c r="H80" t="s">
        <v>534</v>
      </c>
      <c r="I80" t="s">
        <v>21</v>
      </c>
      <c r="J80" t="s">
        <v>479</v>
      </c>
      <c r="K80" s="86" t="s">
        <v>135</v>
      </c>
    </row>
    <row r="81" spans="1:11" x14ac:dyDescent="0.25">
      <c r="A81" s="86" t="s">
        <v>476</v>
      </c>
      <c r="B81" t="s">
        <v>536</v>
      </c>
      <c r="C81" t="s">
        <v>62</v>
      </c>
      <c r="D81" t="s">
        <v>47</v>
      </c>
      <c r="E81" t="s">
        <v>74</v>
      </c>
      <c r="F81" t="s">
        <v>76</v>
      </c>
      <c r="G81" t="s">
        <v>133</v>
      </c>
      <c r="H81" t="s">
        <v>534</v>
      </c>
      <c r="I81" t="s">
        <v>21</v>
      </c>
      <c r="J81" t="s">
        <v>479</v>
      </c>
      <c r="K81" s="86" t="s">
        <v>135</v>
      </c>
    </row>
    <row r="82" spans="1:11" x14ac:dyDescent="0.25">
      <c r="A82" s="86" t="s">
        <v>476</v>
      </c>
      <c r="B82" t="s">
        <v>536</v>
      </c>
      <c r="C82" t="s">
        <v>62</v>
      </c>
      <c r="D82" t="s">
        <v>47</v>
      </c>
      <c r="E82" t="s">
        <v>151</v>
      </c>
      <c r="F82" t="s">
        <v>180</v>
      </c>
      <c r="G82" t="s">
        <v>133</v>
      </c>
      <c r="H82" t="s">
        <v>534</v>
      </c>
      <c r="I82" t="s">
        <v>21</v>
      </c>
      <c r="J82" t="s">
        <v>479</v>
      </c>
      <c r="K82" s="86" t="s">
        <v>135</v>
      </c>
    </row>
    <row r="83" spans="1:11" x14ac:dyDescent="0.25">
      <c r="A83" s="86" t="s">
        <v>476</v>
      </c>
      <c r="B83" t="s">
        <v>536</v>
      </c>
      <c r="C83" t="s">
        <v>62</v>
      </c>
      <c r="D83" t="s">
        <v>47</v>
      </c>
      <c r="E83" t="s">
        <v>151</v>
      </c>
      <c r="F83" t="s">
        <v>181</v>
      </c>
      <c r="G83" t="s">
        <v>133</v>
      </c>
      <c r="H83" t="s">
        <v>534</v>
      </c>
      <c r="I83" t="s">
        <v>21</v>
      </c>
      <c r="J83" t="s">
        <v>479</v>
      </c>
      <c r="K83" s="86" t="s">
        <v>135</v>
      </c>
    </row>
    <row r="84" spans="1:11" x14ac:dyDescent="0.25">
      <c r="A84" s="86" t="s">
        <v>476</v>
      </c>
      <c r="B84" t="s">
        <v>536</v>
      </c>
      <c r="C84" t="s">
        <v>62</v>
      </c>
      <c r="D84" t="s">
        <v>47</v>
      </c>
      <c r="E84" t="s">
        <v>157</v>
      </c>
      <c r="F84" t="s">
        <v>158</v>
      </c>
      <c r="G84" t="s">
        <v>133</v>
      </c>
      <c r="H84" t="s">
        <v>534</v>
      </c>
      <c r="I84" t="s">
        <v>21</v>
      </c>
      <c r="J84" t="s">
        <v>479</v>
      </c>
      <c r="K84" s="86" t="s">
        <v>135</v>
      </c>
    </row>
    <row r="85" spans="1:11" x14ac:dyDescent="0.25">
      <c r="A85" s="86" t="s">
        <v>476</v>
      </c>
      <c r="B85" t="s">
        <v>536</v>
      </c>
      <c r="C85" t="s">
        <v>62</v>
      </c>
      <c r="D85" t="s">
        <v>47</v>
      </c>
      <c r="E85" t="s">
        <v>157</v>
      </c>
      <c r="F85" t="s">
        <v>159</v>
      </c>
      <c r="G85" t="s">
        <v>133</v>
      </c>
      <c r="H85" t="s">
        <v>534</v>
      </c>
      <c r="I85" t="s">
        <v>21</v>
      </c>
      <c r="J85" t="s">
        <v>479</v>
      </c>
      <c r="K85" s="86" t="s">
        <v>135</v>
      </c>
    </row>
    <row r="86" spans="1:11" x14ac:dyDescent="0.25">
      <c r="A86" s="86" t="s">
        <v>476</v>
      </c>
      <c r="B86" t="s">
        <v>537</v>
      </c>
      <c r="C86" t="s">
        <v>58</v>
      </c>
      <c r="D86" t="s">
        <v>43</v>
      </c>
      <c r="E86" t="s">
        <v>74</v>
      </c>
      <c r="F86" t="s">
        <v>75</v>
      </c>
      <c r="G86" t="s">
        <v>202</v>
      </c>
      <c r="H86" t="s">
        <v>534</v>
      </c>
      <c r="I86" t="s">
        <v>21</v>
      </c>
      <c r="J86" t="s">
        <v>479</v>
      </c>
      <c r="K86" s="86" t="s">
        <v>204</v>
      </c>
    </row>
    <row r="87" spans="1:11" x14ac:dyDescent="0.25">
      <c r="A87" s="86" t="s">
        <v>476</v>
      </c>
      <c r="B87" t="s">
        <v>537</v>
      </c>
      <c r="C87" t="s">
        <v>58</v>
      </c>
      <c r="D87" t="s">
        <v>45</v>
      </c>
      <c r="E87" t="s">
        <v>74</v>
      </c>
      <c r="F87" t="s">
        <v>75</v>
      </c>
      <c r="G87" t="s">
        <v>202</v>
      </c>
      <c r="H87" t="s">
        <v>534</v>
      </c>
      <c r="I87" t="s">
        <v>21</v>
      </c>
      <c r="J87" t="s">
        <v>479</v>
      </c>
      <c r="K87" s="86" t="s">
        <v>204</v>
      </c>
    </row>
    <row r="88" spans="1:11" x14ac:dyDescent="0.25">
      <c r="A88" s="86" t="s">
        <v>476</v>
      </c>
      <c r="B88" t="s">
        <v>537</v>
      </c>
      <c r="C88" t="s">
        <v>58</v>
      </c>
      <c r="D88" t="s">
        <v>47</v>
      </c>
      <c r="E88" t="s">
        <v>74</v>
      </c>
      <c r="F88" t="s">
        <v>75</v>
      </c>
      <c r="G88" t="s">
        <v>202</v>
      </c>
      <c r="H88" t="s">
        <v>534</v>
      </c>
      <c r="I88" t="s">
        <v>21</v>
      </c>
      <c r="J88" t="s">
        <v>479</v>
      </c>
      <c r="K88" s="86" t="s">
        <v>204</v>
      </c>
    </row>
    <row r="89" spans="1:11" x14ac:dyDescent="0.25">
      <c r="A89" s="86" t="s">
        <v>476</v>
      </c>
      <c r="B89" t="s">
        <v>537</v>
      </c>
      <c r="C89" t="s">
        <v>58</v>
      </c>
      <c r="D89" t="s">
        <v>43</v>
      </c>
      <c r="E89" t="s">
        <v>157</v>
      </c>
      <c r="F89" t="s">
        <v>158</v>
      </c>
      <c r="G89" t="s">
        <v>202</v>
      </c>
      <c r="H89" t="s">
        <v>534</v>
      </c>
      <c r="I89" t="s">
        <v>21</v>
      </c>
      <c r="J89" t="s">
        <v>479</v>
      </c>
      <c r="K89" s="86" t="s">
        <v>204</v>
      </c>
    </row>
    <row r="90" spans="1:11" x14ac:dyDescent="0.25">
      <c r="A90" s="86" t="s">
        <v>476</v>
      </c>
      <c r="B90" t="s">
        <v>537</v>
      </c>
      <c r="C90" t="s">
        <v>58</v>
      </c>
      <c r="D90" t="s">
        <v>43</v>
      </c>
      <c r="E90" t="s">
        <v>154</v>
      </c>
      <c r="F90" t="s">
        <v>155</v>
      </c>
      <c r="G90" t="s">
        <v>202</v>
      </c>
      <c r="H90" t="s">
        <v>534</v>
      </c>
      <c r="I90" t="s">
        <v>21</v>
      </c>
      <c r="J90" t="s">
        <v>479</v>
      </c>
      <c r="K90" s="86" t="s">
        <v>204</v>
      </c>
    </row>
    <row r="91" spans="1:11" x14ac:dyDescent="0.25">
      <c r="A91" s="86" t="s">
        <v>476</v>
      </c>
      <c r="B91" t="s">
        <v>537</v>
      </c>
      <c r="C91" t="s">
        <v>58</v>
      </c>
      <c r="D91" t="s">
        <v>45</v>
      </c>
      <c r="E91" t="s">
        <v>154</v>
      </c>
      <c r="F91" t="s">
        <v>155</v>
      </c>
      <c r="G91" t="s">
        <v>202</v>
      </c>
      <c r="H91" t="s">
        <v>534</v>
      </c>
      <c r="I91" t="s">
        <v>21</v>
      </c>
      <c r="J91" t="s">
        <v>479</v>
      </c>
      <c r="K91" s="86" t="s">
        <v>204</v>
      </c>
    </row>
    <row r="92" spans="1:11" x14ac:dyDescent="0.25">
      <c r="A92" s="86" t="s">
        <v>476</v>
      </c>
      <c r="B92" t="s">
        <v>537</v>
      </c>
      <c r="C92" t="s">
        <v>58</v>
      </c>
      <c r="D92" t="s">
        <v>47</v>
      </c>
      <c r="E92" t="s">
        <v>154</v>
      </c>
      <c r="G92" t="s">
        <v>202</v>
      </c>
      <c r="H92" t="s">
        <v>534</v>
      </c>
      <c r="I92" t="s">
        <v>21</v>
      </c>
      <c r="J92" t="s">
        <v>479</v>
      </c>
      <c r="K92" s="86" t="s">
        <v>204</v>
      </c>
    </row>
    <row r="93" spans="1:11" x14ac:dyDescent="0.25">
      <c r="A93" s="86" t="s">
        <v>476</v>
      </c>
      <c r="B93" t="s">
        <v>537</v>
      </c>
      <c r="C93" t="s">
        <v>58</v>
      </c>
      <c r="G93" t="s">
        <v>202</v>
      </c>
      <c r="H93" t="s">
        <v>534</v>
      </c>
      <c r="I93" t="s">
        <v>21</v>
      </c>
      <c r="J93" t="s">
        <v>479</v>
      </c>
      <c r="K93" s="86" t="s">
        <v>204</v>
      </c>
    </row>
    <row r="94" spans="1:11" x14ac:dyDescent="0.25">
      <c r="A94" s="86" t="s">
        <v>476</v>
      </c>
      <c r="B94" t="s">
        <v>537</v>
      </c>
      <c r="C94" t="s">
        <v>58</v>
      </c>
      <c r="G94" t="s">
        <v>202</v>
      </c>
      <c r="H94" t="s">
        <v>534</v>
      </c>
      <c r="I94" t="s">
        <v>21</v>
      </c>
      <c r="J94" t="s">
        <v>479</v>
      </c>
      <c r="K94" s="86" t="s">
        <v>204</v>
      </c>
    </row>
    <row r="95" spans="1:11" x14ac:dyDescent="0.25">
      <c r="A95" s="86" t="s">
        <v>476</v>
      </c>
      <c r="B95" t="s">
        <v>537</v>
      </c>
      <c r="C95" t="s">
        <v>58</v>
      </c>
      <c r="G95" t="s">
        <v>202</v>
      </c>
      <c r="H95" t="s">
        <v>534</v>
      </c>
      <c r="I95" t="s">
        <v>21</v>
      </c>
      <c r="J95" t="s">
        <v>479</v>
      </c>
      <c r="K95" s="86" t="s">
        <v>204</v>
      </c>
    </row>
    <row r="96" spans="1:11" x14ac:dyDescent="0.25">
      <c r="A96" s="86" t="s">
        <v>476</v>
      </c>
      <c r="B96" t="s">
        <v>537</v>
      </c>
      <c r="C96" t="s">
        <v>58</v>
      </c>
      <c r="G96" t="s">
        <v>202</v>
      </c>
      <c r="H96" t="s">
        <v>534</v>
      </c>
      <c r="I96" t="s">
        <v>21</v>
      </c>
      <c r="J96" t="s">
        <v>479</v>
      </c>
      <c r="K96" s="86" t="s">
        <v>204</v>
      </c>
    </row>
    <row r="97" spans="1:11" x14ac:dyDescent="0.25">
      <c r="A97" s="86" t="s">
        <v>476</v>
      </c>
      <c r="B97" t="s">
        <v>537</v>
      </c>
      <c r="C97" t="s">
        <v>58</v>
      </c>
      <c r="G97" t="s">
        <v>202</v>
      </c>
      <c r="H97" t="s">
        <v>534</v>
      </c>
      <c r="I97" t="s">
        <v>21</v>
      </c>
      <c r="J97" t="s">
        <v>479</v>
      </c>
      <c r="K97" s="86" t="s">
        <v>204</v>
      </c>
    </row>
    <row r="98" spans="1:11" x14ac:dyDescent="0.25">
      <c r="A98" s="86" t="s">
        <v>476</v>
      </c>
      <c r="B98" t="s">
        <v>537</v>
      </c>
      <c r="C98" t="s">
        <v>58</v>
      </c>
      <c r="G98" t="s">
        <v>202</v>
      </c>
      <c r="H98" t="s">
        <v>534</v>
      </c>
      <c r="I98" t="s">
        <v>21</v>
      </c>
      <c r="J98" t="s">
        <v>479</v>
      </c>
      <c r="K98" s="86" t="s">
        <v>204</v>
      </c>
    </row>
    <row r="99" spans="1:11" x14ac:dyDescent="0.25">
      <c r="A99" s="86" t="s">
        <v>476</v>
      </c>
      <c r="B99" t="s">
        <v>537</v>
      </c>
      <c r="C99" t="s">
        <v>58</v>
      </c>
      <c r="G99" t="s">
        <v>202</v>
      </c>
      <c r="H99" t="s">
        <v>534</v>
      </c>
      <c r="I99" t="s">
        <v>21</v>
      </c>
      <c r="J99" t="s">
        <v>479</v>
      </c>
      <c r="K99" s="86" t="s">
        <v>204</v>
      </c>
    </row>
    <row r="100" spans="1:11" x14ac:dyDescent="0.25">
      <c r="A100" s="86" t="s">
        <v>476</v>
      </c>
      <c r="B100" t="s">
        <v>537</v>
      </c>
      <c r="C100" t="s">
        <v>58</v>
      </c>
      <c r="G100" t="s">
        <v>202</v>
      </c>
      <c r="H100" t="s">
        <v>534</v>
      </c>
      <c r="I100" t="s">
        <v>21</v>
      </c>
      <c r="J100" t="s">
        <v>479</v>
      </c>
      <c r="K100" s="86" t="s">
        <v>204</v>
      </c>
    </row>
    <row r="101" spans="1:11" x14ac:dyDescent="0.25">
      <c r="A101" s="86" t="s">
        <v>476</v>
      </c>
      <c r="B101" t="s">
        <v>537</v>
      </c>
      <c r="C101" t="s">
        <v>58</v>
      </c>
      <c r="G101" t="s">
        <v>202</v>
      </c>
      <c r="H101" t="s">
        <v>534</v>
      </c>
      <c r="I101" t="s">
        <v>21</v>
      </c>
      <c r="J101" t="s">
        <v>479</v>
      </c>
      <c r="K101" s="86" t="s">
        <v>204</v>
      </c>
    </row>
    <row r="102" spans="1:11" x14ac:dyDescent="0.25">
      <c r="A102" s="86" t="s">
        <v>476</v>
      </c>
      <c r="B102" t="s">
        <v>537</v>
      </c>
      <c r="C102" t="s">
        <v>58</v>
      </c>
      <c r="G102" t="s">
        <v>202</v>
      </c>
      <c r="H102" t="s">
        <v>534</v>
      </c>
      <c r="I102" t="s">
        <v>21</v>
      </c>
      <c r="J102" t="s">
        <v>479</v>
      </c>
      <c r="K102" s="86" t="s">
        <v>204</v>
      </c>
    </row>
    <row r="103" spans="1:11" x14ac:dyDescent="0.25">
      <c r="A103" s="86" t="s">
        <v>476</v>
      </c>
      <c r="B103" t="s">
        <v>537</v>
      </c>
      <c r="C103" t="s">
        <v>58</v>
      </c>
      <c r="G103" t="s">
        <v>202</v>
      </c>
      <c r="H103" t="s">
        <v>534</v>
      </c>
      <c r="I103" t="s">
        <v>21</v>
      </c>
      <c r="J103" t="s">
        <v>479</v>
      </c>
      <c r="K103" s="86" t="s">
        <v>204</v>
      </c>
    </row>
    <row r="104" spans="1:11" x14ac:dyDescent="0.25">
      <c r="A104" s="86" t="s">
        <v>476</v>
      </c>
      <c r="B104" t="s">
        <v>537</v>
      </c>
      <c r="C104" t="s">
        <v>58</v>
      </c>
      <c r="G104" t="s">
        <v>202</v>
      </c>
      <c r="H104" t="s">
        <v>534</v>
      </c>
      <c r="I104" t="s">
        <v>21</v>
      </c>
      <c r="J104" t="s">
        <v>479</v>
      </c>
      <c r="K104" s="86" t="s">
        <v>204</v>
      </c>
    </row>
    <row r="105" spans="1:11" x14ac:dyDescent="0.25">
      <c r="A105" s="86" t="s">
        <v>476</v>
      </c>
      <c r="B105" t="s">
        <v>537</v>
      </c>
      <c r="C105" t="s">
        <v>58</v>
      </c>
      <c r="G105" t="s">
        <v>202</v>
      </c>
      <c r="H105" t="s">
        <v>534</v>
      </c>
      <c r="I105" t="s">
        <v>21</v>
      </c>
      <c r="J105" t="s">
        <v>479</v>
      </c>
      <c r="K105" s="86" t="s">
        <v>204</v>
      </c>
    </row>
    <row r="106" spans="1:11" x14ac:dyDescent="0.25">
      <c r="A106" s="86" t="s">
        <v>476</v>
      </c>
      <c r="B106" t="s">
        <v>537</v>
      </c>
      <c r="C106" t="s">
        <v>58</v>
      </c>
      <c r="G106" t="s">
        <v>202</v>
      </c>
      <c r="H106" t="s">
        <v>534</v>
      </c>
      <c r="I106" t="s">
        <v>21</v>
      </c>
      <c r="J106" t="s">
        <v>479</v>
      </c>
      <c r="K106" s="86" t="s">
        <v>204</v>
      </c>
    </row>
    <row r="107" spans="1:11" x14ac:dyDescent="0.25">
      <c r="A107" s="86" t="s">
        <v>476</v>
      </c>
      <c r="B107" t="s">
        <v>537</v>
      </c>
      <c r="C107" t="s">
        <v>58</v>
      </c>
      <c r="G107" t="s">
        <v>202</v>
      </c>
      <c r="H107" t="s">
        <v>534</v>
      </c>
      <c r="I107" t="s">
        <v>21</v>
      </c>
      <c r="J107" t="s">
        <v>479</v>
      </c>
      <c r="K107" s="86" t="s">
        <v>204</v>
      </c>
    </row>
    <row r="108" spans="1:11" x14ac:dyDescent="0.25">
      <c r="A108" s="86" t="s">
        <v>476</v>
      </c>
      <c r="B108" t="s">
        <v>537</v>
      </c>
      <c r="C108" t="s">
        <v>58</v>
      </c>
      <c r="G108" t="s">
        <v>202</v>
      </c>
      <c r="H108" t="s">
        <v>534</v>
      </c>
      <c r="I108" t="s">
        <v>21</v>
      </c>
      <c r="J108" t="s">
        <v>479</v>
      </c>
      <c r="K108" s="86" t="s">
        <v>204</v>
      </c>
    </row>
    <row r="109" spans="1:11" x14ac:dyDescent="0.25">
      <c r="A109" s="86" t="s">
        <v>476</v>
      </c>
      <c r="B109" t="s">
        <v>537</v>
      </c>
      <c r="C109" t="s">
        <v>58</v>
      </c>
      <c r="G109" t="s">
        <v>202</v>
      </c>
      <c r="H109" t="s">
        <v>534</v>
      </c>
      <c r="I109" t="s">
        <v>21</v>
      </c>
      <c r="J109" t="s">
        <v>479</v>
      </c>
      <c r="K109" s="86" t="s">
        <v>204</v>
      </c>
    </row>
    <row r="110" spans="1:11" x14ac:dyDescent="0.25">
      <c r="A110" s="86" t="s">
        <v>476</v>
      </c>
      <c r="B110" t="s">
        <v>537</v>
      </c>
      <c r="C110" t="s">
        <v>58</v>
      </c>
      <c r="G110" t="s">
        <v>202</v>
      </c>
      <c r="H110" t="s">
        <v>534</v>
      </c>
      <c r="I110" t="s">
        <v>21</v>
      </c>
      <c r="J110" t="s">
        <v>479</v>
      </c>
      <c r="K110" s="86" t="s">
        <v>204</v>
      </c>
    </row>
    <row r="111" spans="1:11" x14ac:dyDescent="0.25">
      <c r="A111" s="86" t="s">
        <v>476</v>
      </c>
      <c r="B111" t="s">
        <v>537</v>
      </c>
      <c r="C111" t="s">
        <v>58</v>
      </c>
      <c r="G111" t="s">
        <v>202</v>
      </c>
      <c r="H111" t="s">
        <v>534</v>
      </c>
      <c r="I111" t="s">
        <v>21</v>
      </c>
      <c r="J111" t="s">
        <v>479</v>
      </c>
      <c r="K111" s="86" t="s">
        <v>204</v>
      </c>
    </row>
    <row r="112" spans="1:11" x14ac:dyDescent="0.25">
      <c r="A112" s="86" t="s">
        <v>476</v>
      </c>
      <c r="B112" t="s">
        <v>537</v>
      </c>
      <c r="C112" t="s">
        <v>58</v>
      </c>
      <c r="G112" t="s">
        <v>202</v>
      </c>
      <c r="H112" t="s">
        <v>534</v>
      </c>
      <c r="I112" t="s">
        <v>21</v>
      </c>
      <c r="J112" t="s">
        <v>479</v>
      </c>
      <c r="K112" s="86" t="s">
        <v>204</v>
      </c>
    </row>
    <row r="113" spans="1:11" x14ac:dyDescent="0.25">
      <c r="A113" s="86" t="s">
        <v>476</v>
      </c>
      <c r="B113" t="s">
        <v>537</v>
      </c>
      <c r="C113" t="s">
        <v>58</v>
      </c>
      <c r="G113" t="s">
        <v>202</v>
      </c>
      <c r="H113" t="s">
        <v>534</v>
      </c>
      <c r="I113" t="s">
        <v>21</v>
      </c>
      <c r="J113" t="s">
        <v>479</v>
      </c>
      <c r="K113" s="86" t="s">
        <v>204</v>
      </c>
    </row>
    <row r="114" spans="1:11" x14ac:dyDescent="0.25">
      <c r="A114" s="86" t="s">
        <v>476</v>
      </c>
      <c r="B114" t="s">
        <v>537</v>
      </c>
      <c r="C114" t="s">
        <v>58</v>
      </c>
      <c r="G114" t="s">
        <v>202</v>
      </c>
      <c r="H114" t="s">
        <v>534</v>
      </c>
      <c r="I114" t="s">
        <v>21</v>
      </c>
      <c r="J114" t="s">
        <v>479</v>
      </c>
      <c r="K114" s="86" t="s">
        <v>204</v>
      </c>
    </row>
    <row r="115" spans="1:11" x14ac:dyDescent="0.25">
      <c r="A115" s="86" t="s">
        <v>476</v>
      </c>
      <c r="B115" t="s">
        <v>537</v>
      </c>
      <c r="C115" t="s">
        <v>58</v>
      </c>
      <c r="G115" t="s">
        <v>202</v>
      </c>
      <c r="H115" t="s">
        <v>534</v>
      </c>
      <c r="I115" t="s">
        <v>21</v>
      </c>
      <c r="J115" t="s">
        <v>479</v>
      </c>
      <c r="K115" s="86" t="s">
        <v>204</v>
      </c>
    </row>
    <row r="116" spans="1:11" x14ac:dyDescent="0.25">
      <c r="A116" s="86" t="s">
        <v>476</v>
      </c>
      <c r="B116" t="s">
        <v>537</v>
      </c>
      <c r="C116" t="s">
        <v>58</v>
      </c>
      <c r="G116" t="s">
        <v>202</v>
      </c>
      <c r="H116" t="s">
        <v>534</v>
      </c>
      <c r="I116" t="s">
        <v>21</v>
      </c>
      <c r="J116" t="s">
        <v>479</v>
      </c>
      <c r="K116" s="86" t="s">
        <v>204</v>
      </c>
    </row>
    <row r="117" spans="1:11" x14ac:dyDescent="0.25">
      <c r="A117" s="86" t="s">
        <v>476</v>
      </c>
      <c r="B117" t="s">
        <v>537</v>
      </c>
      <c r="C117" t="s">
        <v>58</v>
      </c>
      <c r="G117" t="s">
        <v>202</v>
      </c>
      <c r="H117" t="s">
        <v>534</v>
      </c>
      <c r="I117" t="s">
        <v>21</v>
      </c>
      <c r="J117" t="s">
        <v>479</v>
      </c>
      <c r="K117" s="86" t="s">
        <v>204</v>
      </c>
    </row>
    <row r="118" spans="1:11" x14ac:dyDescent="0.25">
      <c r="A118" s="86" t="s">
        <v>476</v>
      </c>
      <c r="B118" t="s">
        <v>537</v>
      </c>
      <c r="C118" t="s">
        <v>58</v>
      </c>
      <c r="G118" t="s">
        <v>202</v>
      </c>
      <c r="H118" t="s">
        <v>534</v>
      </c>
      <c r="I118" t="s">
        <v>21</v>
      </c>
      <c r="J118" t="s">
        <v>479</v>
      </c>
      <c r="K118" s="86" t="s">
        <v>204</v>
      </c>
    </row>
    <row r="119" spans="1:11" x14ac:dyDescent="0.25">
      <c r="A119" s="86" t="s">
        <v>476</v>
      </c>
      <c r="B119" t="s">
        <v>537</v>
      </c>
      <c r="C119" t="s">
        <v>58</v>
      </c>
      <c r="G119" t="s">
        <v>202</v>
      </c>
      <c r="H119" t="s">
        <v>534</v>
      </c>
      <c r="I119" t="s">
        <v>21</v>
      </c>
      <c r="J119" t="s">
        <v>479</v>
      </c>
      <c r="K119" s="86" t="s">
        <v>204</v>
      </c>
    </row>
    <row r="120" spans="1:11" x14ac:dyDescent="0.25">
      <c r="A120" s="86" t="s">
        <v>476</v>
      </c>
      <c r="B120" t="s">
        <v>537</v>
      </c>
      <c r="C120" t="s">
        <v>58</v>
      </c>
      <c r="G120" t="s">
        <v>202</v>
      </c>
      <c r="H120" t="s">
        <v>534</v>
      </c>
      <c r="I120" t="s">
        <v>21</v>
      </c>
      <c r="J120" t="s">
        <v>479</v>
      </c>
      <c r="K120" s="86" t="s">
        <v>204</v>
      </c>
    </row>
    <row r="121" spans="1:11" x14ac:dyDescent="0.25">
      <c r="A121" s="86" t="s">
        <v>476</v>
      </c>
      <c r="B121" t="s">
        <v>537</v>
      </c>
      <c r="C121" t="s">
        <v>58</v>
      </c>
      <c r="G121" t="s">
        <v>202</v>
      </c>
      <c r="H121" t="s">
        <v>534</v>
      </c>
      <c r="I121" t="s">
        <v>21</v>
      </c>
      <c r="J121" t="s">
        <v>479</v>
      </c>
      <c r="K121" s="86" t="s">
        <v>204</v>
      </c>
    </row>
    <row r="122" spans="1:11" x14ac:dyDescent="0.25">
      <c r="A122" s="86" t="s">
        <v>476</v>
      </c>
      <c r="B122" t="s">
        <v>537</v>
      </c>
      <c r="C122" t="s">
        <v>58</v>
      </c>
      <c r="G122" t="s">
        <v>202</v>
      </c>
      <c r="H122" t="s">
        <v>534</v>
      </c>
      <c r="I122" t="s">
        <v>21</v>
      </c>
      <c r="J122" t="s">
        <v>479</v>
      </c>
      <c r="K122" s="86" t="s">
        <v>204</v>
      </c>
    </row>
    <row r="123" spans="1:11" x14ac:dyDescent="0.25">
      <c r="A123" s="86" t="s">
        <v>476</v>
      </c>
      <c r="B123" t="s">
        <v>537</v>
      </c>
      <c r="C123" t="s">
        <v>58</v>
      </c>
      <c r="G123" t="s">
        <v>202</v>
      </c>
      <c r="H123" t="s">
        <v>534</v>
      </c>
      <c r="I123" t="s">
        <v>21</v>
      </c>
      <c r="J123" t="s">
        <v>479</v>
      </c>
      <c r="K123" s="86" t="s">
        <v>204</v>
      </c>
    </row>
    <row r="124" spans="1:11" x14ac:dyDescent="0.25">
      <c r="A124" s="86" t="s">
        <v>476</v>
      </c>
      <c r="B124" t="s">
        <v>537</v>
      </c>
      <c r="C124" t="s">
        <v>58</v>
      </c>
      <c r="G124" t="s">
        <v>202</v>
      </c>
      <c r="H124" t="s">
        <v>534</v>
      </c>
      <c r="I124" t="s">
        <v>21</v>
      </c>
      <c r="J124" t="s">
        <v>479</v>
      </c>
      <c r="K124" s="86" t="s">
        <v>204</v>
      </c>
    </row>
    <row r="125" spans="1:11" x14ac:dyDescent="0.25">
      <c r="A125" s="86" t="s">
        <v>476</v>
      </c>
      <c r="B125" t="s">
        <v>537</v>
      </c>
      <c r="C125" t="s">
        <v>58</v>
      </c>
      <c r="G125" t="s">
        <v>202</v>
      </c>
      <c r="H125" t="s">
        <v>534</v>
      </c>
      <c r="I125" t="s">
        <v>21</v>
      </c>
      <c r="J125" t="s">
        <v>479</v>
      </c>
      <c r="K125" s="86" t="s">
        <v>204</v>
      </c>
    </row>
    <row r="126" spans="1:11" x14ac:dyDescent="0.25">
      <c r="A126" s="86" t="s">
        <v>476</v>
      </c>
      <c r="B126" t="s">
        <v>537</v>
      </c>
      <c r="C126" t="s">
        <v>58</v>
      </c>
      <c r="G126" t="s">
        <v>202</v>
      </c>
      <c r="H126" t="s">
        <v>534</v>
      </c>
      <c r="I126" t="s">
        <v>21</v>
      </c>
      <c r="J126" t="s">
        <v>479</v>
      </c>
      <c r="K126" s="86" t="s">
        <v>204</v>
      </c>
    </row>
    <row r="127" spans="1:11" x14ac:dyDescent="0.25">
      <c r="A127" s="86" t="s">
        <v>476</v>
      </c>
      <c r="B127" t="s">
        <v>537</v>
      </c>
      <c r="C127" t="s">
        <v>58</v>
      </c>
      <c r="G127" t="s">
        <v>202</v>
      </c>
      <c r="H127" t="s">
        <v>534</v>
      </c>
      <c r="I127" t="s">
        <v>21</v>
      </c>
      <c r="J127" t="s">
        <v>479</v>
      </c>
      <c r="K127" s="86" t="s">
        <v>204</v>
      </c>
    </row>
    <row r="128" spans="1:11" x14ac:dyDescent="0.25">
      <c r="A128" s="86" t="s">
        <v>476</v>
      </c>
      <c r="B128" t="s">
        <v>537</v>
      </c>
      <c r="C128" t="s">
        <v>58</v>
      </c>
      <c r="G128" t="s">
        <v>202</v>
      </c>
      <c r="H128" t="s">
        <v>534</v>
      </c>
      <c r="I128" t="s">
        <v>21</v>
      </c>
      <c r="J128" t="s">
        <v>479</v>
      </c>
      <c r="K128" s="86" t="s">
        <v>204</v>
      </c>
    </row>
    <row r="129" spans="1:11" x14ac:dyDescent="0.25">
      <c r="A129" s="86" t="s">
        <v>476</v>
      </c>
      <c r="B129" t="s">
        <v>537</v>
      </c>
      <c r="C129" t="s">
        <v>58</v>
      </c>
      <c r="G129" t="s">
        <v>202</v>
      </c>
      <c r="H129" t="s">
        <v>534</v>
      </c>
      <c r="I129" t="s">
        <v>21</v>
      </c>
      <c r="J129" t="s">
        <v>479</v>
      </c>
      <c r="K129" s="86" t="s">
        <v>204</v>
      </c>
    </row>
    <row r="130" spans="1:11" x14ac:dyDescent="0.25">
      <c r="A130" s="86" t="s">
        <v>476</v>
      </c>
      <c r="B130" t="s">
        <v>537</v>
      </c>
      <c r="C130" t="s">
        <v>58</v>
      </c>
      <c r="G130" t="s">
        <v>202</v>
      </c>
      <c r="H130" t="s">
        <v>534</v>
      </c>
      <c r="I130" t="s">
        <v>21</v>
      </c>
      <c r="J130" t="s">
        <v>479</v>
      </c>
      <c r="K130" s="86" t="s">
        <v>204</v>
      </c>
    </row>
    <row r="131" spans="1:11" x14ac:dyDescent="0.25">
      <c r="A131" s="86" t="s">
        <v>476</v>
      </c>
      <c r="B131" t="s">
        <v>537</v>
      </c>
      <c r="C131" t="s">
        <v>62</v>
      </c>
      <c r="G131" t="s">
        <v>202</v>
      </c>
      <c r="H131" t="s">
        <v>534</v>
      </c>
      <c r="I131" t="s">
        <v>21</v>
      </c>
      <c r="J131" t="s">
        <v>479</v>
      </c>
      <c r="K131" s="86" t="s">
        <v>204</v>
      </c>
    </row>
    <row r="132" spans="1:11" x14ac:dyDescent="0.25">
      <c r="A132" s="86" t="s">
        <v>476</v>
      </c>
      <c r="B132" t="s">
        <v>537</v>
      </c>
      <c r="C132" t="s">
        <v>62</v>
      </c>
      <c r="G132" t="s">
        <v>202</v>
      </c>
      <c r="H132" t="s">
        <v>534</v>
      </c>
      <c r="I132" t="s">
        <v>21</v>
      </c>
      <c r="J132" t="s">
        <v>479</v>
      </c>
      <c r="K132" s="86" t="s">
        <v>204</v>
      </c>
    </row>
    <row r="133" spans="1:11" x14ac:dyDescent="0.25">
      <c r="A133" s="86" t="s">
        <v>476</v>
      </c>
      <c r="B133" t="s">
        <v>537</v>
      </c>
      <c r="C133" t="s">
        <v>62</v>
      </c>
      <c r="G133" t="s">
        <v>202</v>
      </c>
      <c r="H133" t="s">
        <v>534</v>
      </c>
      <c r="I133" t="s">
        <v>21</v>
      </c>
      <c r="J133" t="s">
        <v>479</v>
      </c>
      <c r="K133" s="86" t="s">
        <v>204</v>
      </c>
    </row>
    <row r="134" spans="1:11" x14ac:dyDescent="0.25">
      <c r="A134" s="86" t="s">
        <v>476</v>
      </c>
      <c r="B134" t="s">
        <v>537</v>
      </c>
      <c r="C134" t="s">
        <v>62</v>
      </c>
      <c r="G134" t="s">
        <v>202</v>
      </c>
      <c r="H134" t="s">
        <v>534</v>
      </c>
      <c r="I134" t="s">
        <v>21</v>
      </c>
      <c r="J134" t="s">
        <v>479</v>
      </c>
      <c r="K134" s="86" t="s">
        <v>204</v>
      </c>
    </row>
    <row r="135" spans="1:11" x14ac:dyDescent="0.25">
      <c r="A135" s="86" t="s">
        <v>476</v>
      </c>
      <c r="B135" t="s">
        <v>537</v>
      </c>
      <c r="C135" t="s">
        <v>62</v>
      </c>
      <c r="G135" t="s">
        <v>202</v>
      </c>
      <c r="H135" t="s">
        <v>534</v>
      </c>
      <c r="I135" t="s">
        <v>21</v>
      </c>
      <c r="J135" t="s">
        <v>479</v>
      </c>
      <c r="K135" s="86" t="s">
        <v>204</v>
      </c>
    </row>
    <row r="136" spans="1:11" x14ac:dyDescent="0.25">
      <c r="A136" s="86" t="s">
        <v>476</v>
      </c>
      <c r="B136" t="s">
        <v>537</v>
      </c>
      <c r="C136" t="s">
        <v>62</v>
      </c>
      <c r="G136" t="s">
        <v>202</v>
      </c>
      <c r="H136" t="s">
        <v>534</v>
      </c>
      <c r="I136" t="s">
        <v>21</v>
      </c>
      <c r="J136" t="s">
        <v>479</v>
      </c>
      <c r="K136" s="86" t="s">
        <v>204</v>
      </c>
    </row>
    <row r="137" spans="1:11" x14ac:dyDescent="0.25">
      <c r="A137" s="86" t="s">
        <v>476</v>
      </c>
      <c r="B137" t="s">
        <v>537</v>
      </c>
      <c r="C137" t="s">
        <v>62</v>
      </c>
      <c r="G137" t="s">
        <v>202</v>
      </c>
      <c r="H137" t="s">
        <v>534</v>
      </c>
      <c r="I137" t="s">
        <v>21</v>
      </c>
      <c r="J137" t="s">
        <v>479</v>
      </c>
      <c r="K137" s="86" t="s">
        <v>204</v>
      </c>
    </row>
    <row r="138" spans="1:11" x14ac:dyDescent="0.25">
      <c r="A138" s="86" t="s">
        <v>476</v>
      </c>
      <c r="B138" t="s">
        <v>537</v>
      </c>
      <c r="C138" t="s">
        <v>62</v>
      </c>
      <c r="G138" t="s">
        <v>202</v>
      </c>
      <c r="H138" t="s">
        <v>534</v>
      </c>
      <c r="I138" t="s">
        <v>21</v>
      </c>
      <c r="J138" t="s">
        <v>479</v>
      </c>
      <c r="K138" s="86" t="s">
        <v>204</v>
      </c>
    </row>
    <row r="139" spans="1:11" x14ac:dyDescent="0.25">
      <c r="A139" s="86" t="s">
        <v>476</v>
      </c>
      <c r="B139" t="s">
        <v>537</v>
      </c>
      <c r="C139" t="s">
        <v>62</v>
      </c>
      <c r="G139" t="s">
        <v>202</v>
      </c>
      <c r="H139" t="s">
        <v>534</v>
      </c>
      <c r="I139" t="s">
        <v>21</v>
      </c>
      <c r="J139" t="s">
        <v>479</v>
      </c>
      <c r="K139" s="86" t="s">
        <v>204</v>
      </c>
    </row>
    <row r="140" spans="1:11" x14ac:dyDescent="0.25">
      <c r="A140" s="86" t="s">
        <v>476</v>
      </c>
      <c r="B140" t="s">
        <v>537</v>
      </c>
      <c r="C140" t="s">
        <v>62</v>
      </c>
      <c r="G140" t="s">
        <v>202</v>
      </c>
      <c r="H140" t="s">
        <v>534</v>
      </c>
      <c r="I140" t="s">
        <v>21</v>
      </c>
      <c r="J140" t="s">
        <v>479</v>
      </c>
      <c r="K140" s="86" t="s">
        <v>204</v>
      </c>
    </row>
    <row r="141" spans="1:11" x14ac:dyDescent="0.25">
      <c r="A141" s="86" t="s">
        <v>476</v>
      </c>
      <c r="B141" t="s">
        <v>537</v>
      </c>
      <c r="C141" t="s">
        <v>62</v>
      </c>
      <c r="G141" t="s">
        <v>202</v>
      </c>
      <c r="H141" t="s">
        <v>534</v>
      </c>
      <c r="I141" t="s">
        <v>21</v>
      </c>
      <c r="J141" t="s">
        <v>479</v>
      </c>
      <c r="K141" s="86" t="s">
        <v>204</v>
      </c>
    </row>
    <row r="142" spans="1:11" x14ac:dyDescent="0.25">
      <c r="A142" s="86" t="s">
        <v>476</v>
      </c>
      <c r="B142" t="s">
        <v>537</v>
      </c>
      <c r="C142" t="s">
        <v>62</v>
      </c>
      <c r="G142" t="s">
        <v>202</v>
      </c>
      <c r="H142" t="s">
        <v>534</v>
      </c>
      <c r="I142" t="s">
        <v>21</v>
      </c>
      <c r="J142" t="s">
        <v>479</v>
      </c>
      <c r="K142" s="86" t="s">
        <v>204</v>
      </c>
    </row>
    <row r="143" spans="1:11" x14ac:dyDescent="0.25">
      <c r="A143" s="86" t="s">
        <v>476</v>
      </c>
      <c r="B143" t="s">
        <v>537</v>
      </c>
      <c r="C143" t="s">
        <v>62</v>
      </c>
      <c r="G143" t="s">
        <v>202</v>
      </c>
      <c r="H143" t="s">
        <v>534</v>
      </c>
      <c r="I143" t="s">
        <v>21</v>
      </c>
      <c r="J143" t="s">
        <v>479</v>
      </c>
      <c r="K143" s="86" t="s">
        <v>204</v>
      </c>
    </row>
    <row r="144" spans="1:11" x14ac:dyDescent="0.25">
      <c r="A144" s="86" t="s">
        <v>476</v>
      </c>
      <c r="B144" t="s">
        <v>537</v>
      </c>
      <c r="C144" t="s">
        <v>62</v>
      </c>
      <c r="G144" t="s">
        <v>202</v>
      </c>
      <c r="H144" t="s">
        <v>534</v>
      </c>
      <c r="I144" t="s">
        <v>21</v>
      </c>
      <c r="J144" t="s">
        <v>479</v>
      </c>
      <c r="K144" s="86" t="s">
        <v>204</v>
      </c>
    </row>
    <row r="145" spans="1:11" x14ac:dyDescent="0.25">
      <c r="A145" s="86" t="s">
        <v>476</v>
      </c>
      <c r="B145" t="s">
        <v>537</v>
      </c>
      <c r="C145" t="s">
        <v>62</v>
      </c>
      <c r="G145" t="s">
        <v>202</v>
      </c>
      <c r="H145" t="s">
        <v>534</v>
      </c>
      <c r="I145" t="s">
        <v>21</v>
      </c>
      <c r="J145" t="s">
        <v>479</v>
      </c>
      <c r="K145" s="86" t="s">
        <v>204</v>
      </c>
    </row>
    <row r="146" spans="1:11" x14ac:dyDescent="0.25">
      <c r="A146" s="86" t="s">
        <v>476</v>
      </c>
      <c r="B146" t="s">
        <v>537</v>
      </c>
      <c r="C146" t="s">
        <v>62</v>
      </c>
      <c r="G146" t="s">
        <v>202</v>
      </c>
      <c r="H146" t="s">
        <v>534</v>
      </c>
      <c r="I146" t="s">
        <v>21</v>
      </c>
      <c r="J146" t="s">
        <v>479</v>
      </c>
      <c r="K146" s="86" t="s">
        <v>204</v>
      </c>
    </row>
    <row r="147" spans="1:11" x14ac:dyDescent="0.25">
      <c r="A147" s="86" t="s">
        <v>476</v>
      </c>
      <c r="B147" t="s">
        <v>537</v>
      </c>
      <c r="C147" t="s">
        <v>62</v>
      </c>
      <c r="G147" t="s">
        <v>202</v>
      </c>
      <c r="H147" t="s">
        <v>534</v>
      </c>
      <c r="I147" t="s">
        <v>21</v>
      </c>
      <c r="J147" t="s">
        <v>479</v>
      </c>
      <c r="K147" s="86" t="s">
        <v>204</v>
      </c>
    </row>
    <row r="148" spans="1:11" x14ac:dyDescent="0.25">
      <c r="A148" s="86" t="s">
        <v>476</v>
      </c>
      <c r="B148" t="s">
        <v>538</v>
      </c>
      <c r="C148" t="s">
        <v>58</v>
      </c>
      <c r="D148" t="s">
        <v>43</v>
      </c>
      <c r="E148" t="s">
        <v>74</v>
      </c>
      <c r="F148" t="s">
        <v>75</v>
      </c>
      <c r="G148" t="s">
        <v>240</v>
      </c>
      <c r="H148" t="s">
        <v>534</v>
      </c>
      <c r="I148" t="s">
        <v>21</v>
      </c>
      <c r="J148" t="s">
        <v>479</v>
      </c>
      <c r="K148" s="86" t="s">
        <v>241</v>
      </c>
    </row>
    <row r="149" spans="1:11" x14ac:dyDescent="0.25">
      <c r="A149" s="86" t="s">
        <v>476</v>
      </c>
      <c r="B149" t="s">
        <v>538</v>
      </c>
      <c r="C149" t="s">
        <v>58</v>
      </c>
      <c r="D149" t="s">
        <v>45</v>
      </c>
      <c r="E149" t="s">
        <v>74</v>
      </c>
      <c r="F149" t="s">
        <v>75</v>
      </c>
      <c r="G149" t="s">
        <v>240</v>
      </c>
      <c r="H149" t="s">
        <v>534</v>
      </c>
      <c r="I149" t="s">
        <v>21</v>
      </c>
      <c r="J149" t="s">
        <v>479</v>
      </c>
      <c r="K149" s="86" t="s">
        <v>241</v>
      </c>
    </row>
    <row r="150" spans="1:11" x14ac:dyDescent="0.25">
      <c r="A150" s="86" t="s">
        <v>476</v>
      </c>
      <c r="B150" t="s">
        <v>538</v>
      </c>
      <c r="C150" t="s">
        <v>58</v>
      </c>
      <c r="D150" t="s">
        <v>47</v>
      </c>
      <c r="E150" t="s">
        <v>74</v>
      </c>
      <c r="F150" t="s">
        <v>253</v>
      </c>
      <c r="G150" t="s">
        <v>240</v>
      </c>
      <c r="H150" t="s">
        <v>534</v>
      </c>
      <c r="I150" t="s">
        <v>21</v>
      </c>
      <c r="J150" t="s">
        <v>479</v>
      </c>
      <c r="K150" s="86" t="s">
        <v>241</v>
      </c>
    </row>
    <row r="151" spans="1:11" x14ac:dyDescent="0.25">
      <c r="A151" s="86" t="s">
        <v>476</v>
      </c>
      <c r="B151" t="s">
        <v>538</v>
      </c>
      <c r="C151" t="s">
        <v>62</v>
      </c>
      <c r="D151" t="s">
        <v>43</v>
      </c>
      <c r="E151" t="s">
        <v>151</v>
      </c>
      <c r="F151" t="s">
        <v>181</v>
      </c>
      <c r="G151" t="s">
        <v>240</v>
      </c>
      <c r="H151" t="s">
        <v>534</v>
      </c>
      <c r="I151" t="s">
        <v>21</v>
      </c>
      <c r="J151" t="s">
        <v>479</v>
      </c>
      <c r="K151" s="86" t="s">
        <v>241</v>
      </c>
    </row>
    <row r="152" spans="1:11" x14ac:dyDescent="0.25">
      <c r="A152" s="86" t="s">
        <v>476</v>
      </c>
      <c r="B152" t="s">
        <v>538</v>
      </c>
      <c r="C152" t="s">
        <v>62</v>
      </c>
      <c r="D152" t="s">
        <v>45</v>
      </c>
      <c r="E152" t="s">
        <v>151</v>
      </c>
      <c r="F152" t="s">
        <v>180</v>
      </c>
      <c r="G152" t="s">
        <v>240</v>
      </c>
      <c r="H152" t="s">
        <v>534</v>
      </c>
      <c r="I152" t="s">
        <v>21</v>
      </c>
      <c r="J152" t="s">
        <v>479</v>
      </c>
      <c r="K152" s="86" t="s">
        <v>241</v>
      </c>
    </row>
    <row r="153" spans="1:11" x14ac:dyDescent="0.25">
      <c r="A153" s="86" t="s">
        <v>476</v>
      </c>
      <c r="B153" t="s">
        <v>538</v>
      </c>
      <c r="C153" t="s">
        <v>62</v>
      </c>
      <c r="D153" t="s">
        <v>47</v>
      </c>
      <c r="E153" t="s">
        <v>151</v>
      </c>
      <c r="F153" t="s">
        <v>152</v>
      </c>
      <c r="G153" t="s">
        <v>240</v>
      </c>
      <c r="H153" t="s">
        <v>534</v>
      </c>
      <c r="I153" t="s">
        <v>21</v>
      </c>
      <c r="J153" t="s">
        <v>479</v>
      </c>
      <c r="K153" s="86" t="s">
        <v>241</v>
      </c>
    </row>
    <row r="154" spans="1:11" x14ac:dyDescent="0.25">
      <c r="A154" s="86" t="s">
        <v>476</v>
      </c>
      <c r="B154" t="s">
        <v>538</v>
      </c>
      <c r="C154" t="s">
        <v>63</v>
      </c>
      <c r="D154" t="s">
        <v>45</v>
      </c>
      <c r="E154" t="s">
        <v>157</v>
      </c>
      <c r="F154" t="s">
        <v>158</v>
      </c>
      <c r="G154" t="s">
        <v>240</v>
      </c>
      <c r="H154" t="s">
        <v>534</v>
      </c>
      <c r="I154" t="s">
        <v>21</v>
      </c>
      <c r="J154" t="s">
        <v>479</v>
      </c>
      <c r="K154" s="86" t="s">
        <v>241</v>
      </c>
    </row>
    <row r="155" spans="1:11" x14ac:dyDescent="0.25">
      <c r="A155" s="86" t="s">
        <v>476</v>
      </c>
      <c r="B155" t="s">
        <v>538</v>
      </c>
      <c r="C155" t="s">
        <v>63</v>
      </c>
      <c r="G155" t="s">
        <v>240</v>
      </c>
      <c r="H155" t="s">
        <v>534</v>
      </c>
      <c r="I155" t="s">
        <v>21</v>
      </c>
      <c r="J155" t="s">
        <v>479</v>
      </c>
      <c r="K155" s="86" t="s">
        <v>241</v>
      </c>
    </row>
    <row r="156" spans="1:11" x14ac:dyDescent="0.25">
      <c r="A156" s="86" t="s">
        <v>476</v>
      </c>
      <c r="B156" t="s">
        <v>538</v>
      </c>
      <c r="C156" t="s">
        <v>63</v>
      </c>
      <c r="G156" t="s">
        <v>240</v>
      </c>
      <c r="H156" t="s">
        <v>534</v>
      </c>
      <c r="I156" t="s">
        <v>21</v>
      </c>
      <c r="J156" t="s">
        <v>479</v>
      </c>
      <c r="K156" s="86" t="s">
        <v>241</v>
      </c>
    </row>
    <row r="157" spans="1:11" x14ac:dyDescent="0.25">
      <c r="A157" s="86" t="s">
        <v>476</v>
      </c>
      <c r="B157" t="s">
        <v>538</v>
      </c>
      <c r="C157" t="s">
        <v>64</v>
      </c>
      <c r="G157" t="s">
        <v>240</v>
      </c>
      <c r="H157" t="s">
        <v>534</v>
      </c>
      <c r="I157" t="s">
        <v>21</v>
      </c>
      <c r="J157" t="s">
        <v>479</v>
      </c>
      <c r="K157" s="86" t="s">
        <v>241</v>
      </c>
    </row>
    <row r="158" spans="1:11" x14ac:dyDescent="0.25">
      <c r="A158" s="86" t="s">
        <v>476</v>
      </c>
      <c r="B158" t="s">
        <v>538</v>
      </c>
      <c r="C158" t="s">
        <v>64</v>
      </c>
      <c r="G158" t="s">
        <v>240</v>
      </c>
      <c r="H158" t="s">
        <v>534</v>
      </c>
      <c r="I158" t="s">
        <v>21</v>
      </c>
      <c r="J158" t="s">
        <v>479</v>
      </c>
      <c r="K158" s="86" t="s">
        <v>241</v>
      </c>
    </row>
    <row r="159" spans="1:11" x14ac:dyDescent="0.25">
      <c r="A159" s="86" t="s">
        <v>476</v>
      </c>
      <c r="B159" t="s">
        <v>539</v>
      </c>
      <c r="C159" t="s">
        <v>58</v>
      </c>
      <c r="D159" t="s">
        <v>43</v>
      </c>
      <c r="E159" t="s">
        <v>68</v>
      </c>
      <c r="F159" t="s">
        <v>289</v>
      </c>
      <c r="G159" t="s">
        <v>274</v>
      </c>
      <c r="H159" t="s">
        <v>534</v>
      </c>
      <c r="I159" t="s">
        <v>21</v>
      </c>
      <c r="J159" t="s">
        <v>479</v>
      </c>
      <c r="K159" s="86" t="s">
        <v>427</v>
      </c>
    </row>
    <row r="160" spans="1:11" x14ac:dyDescent="0.25">
      <c r="A160" s="86" t="s">
        <v>476</v>
      </c>
      <c r="B160" t="s">
        <v>539</v>
      </c>
      <c r="C160" t="s">
        <v>58</v>
      </c>
      <c r="D160" t="s">
        <v>45</v>
      </c>
      <c r="E160" t="s">
        <v>68</v>
      </c>
      <c r="F160" t="s">
        <v>290</v>
      </c>
      <c r="G160" t="s">
        <v>274</v>
      </c>
      <c r="H160" t="s">
        <v>534</v>
      </c>
      <c r="I160" t="s">
        <v>21</v>
      </c>
      <c r="J160" t="s">
        <v>479</v>
      </c>
      <c r="K160" s="86" t="s">
        <v>427</v>
      </c>
    </row>
    <row r="161" spans="1:11" x14ac:dyDescent="0.25">
      <c r="A161" s="86" t="s">
        <v>476</v>
      </c>
      <c r="B161" t="s">
        <v>539</v>
      </c>
      <c r="C161" t="s">
        <v>58</v>
      </c>
      <c r="D161" t="s">
        <v>47</v>
      </c>
      <c r="E161" t="s">
        <v>74</v>
      </c>
      <c r="F161" t="s">
        <v>164</v>
      </c>
      <c r="G161" t="s">
        <v>274</v>
      </c>
      <c r="H161" t="s">
        <v>534</v>
      </c>
      <c r="I161" t="s">
        <v>21</v>
      </c>
      <c r="J161" t="s">
        <v>479</v>
      </c>
      <c r="K161" s="86" t="s">
        <v>427</v>
      </c>
    </row>
    <row r="162" spans="1:11" x14ac:dyDescent="0.25">
      <c r="A162" s="86" t="s">
        <v>476</v>
      </c>
      <c r="B162" t="s">
        <v>540</v>
      </c>
      <c r="C162" t="s">
        <v>58</v>
      </c>
      <c r="D162" t="s">
        <v>43</v>
      </c>
      <c r="E162" t="s">
        <v>74</v>
      </c>
      <c r="F162" t="s">
        <v>75</v>
      </c>
      <c r="G162" t="s">
        <v>303</v>
      </c>
      <c r="H162" t="s">
        <v>534</v>
      </c>
      <c r="I162" t="s">
        <v>21</v>
      </c>
      <c r="J162" t="s">
        <v>479</v>
      </c>
      <c r="K162" s="86" t="s">
        <v>428</v>
      </c>
    </row>
    <row r="163" spans="1:11" x14ac:dyDescent="0.25">
      <c r="A163" s="86" t="s">
        <v>476</v>
      </c>
      <c r="B163" t="s">
        <v>540</v>
      </c>
      <c r="C163" t="s">
        <v>62</v>
      </c>
      <c r="D163" t="s">
        <v>45</v>
      </c>
      <c r="E163" t="s">
        <v>74</v>
      </c>
      <c r="F163" t="s">
        <v>76</v>
      </c>
      <c r="G163" t="s">
        <v>303</v>
      </c>
      <c r="H163" t="s">
        <v>534</v>
      </c>
      <c r="I163" t="s">
        <v>21</v>
      </c>
      <c r="J163" t="s">
        <v>479</v>
      </c>
      <c r="K163" s="86" t="s">
        <v>428</v>
      </c>
    </row>
    <row r="164" spans="1:11" x14ac:dyDescent="0.25">
      <c r="A164" s="86" t="s">
        <v>476</v>
      </c>
      <c r="B164" t="s">
        <v>540</v>
      </c>
      <c r="C164" t="s">
        <v>62</v>
      </c>
      <c r="D164" t="s">
        <v>47</v>
      </c>
      <c r="E164" t="s">
        <v>72</v>
      </c>
      <c r="F164" t="s">
        <v>182</v>
      </c>
      <c r="G164" t="s">
        <v>303</v>
      </c>
      <c r="H164" t="s">
        <v>534</v>
      </c>
      <c r="I164" t="s">
        <v>21</v>
      </c>
      <c r="J164" t="s">
        <v>479</v>
      </c>
      <c r="K164" s="86" t="s">
        <v>428</v>
      </c>
    </row>
    <row r="165" spans="1:11" x14ac:dyDescent="0.25">
      <c r="A165" s="86" t="s">
        <v>476</v>
      </c>
      <c r="B165" t="s">
        <v>540</v>
      </c>
      <c r="C165" t="s">
        <v>62</v>
      </c>
      <c r="G165" t="s">
        <v>303</v>
      </c>
      <c r="H165" t="s">
        <v>534</v>
      </c>
      <c r="I165" t="s">
        <v>21</v>
      </c>
      <c r="J165" t="s">
        <v>479</v>
      </c>
      <c r="K165" s="86" t="s">
        <v>428</v>
      </c>
    </row>
    <row r="166" spans="1:11" x14ac:dyDescent="0.25">
      <c r="A166" s="86" t="s">
        <v>476</v>
      </c>
      <c r="B166" t="s">
        <v>540</v>
      </c>
      <c r="C166" t="s">
        <v>58</v>
      </c>
      <c r="G166" t="s">
        <v>303</v>
      </c>
      <c r="H166" t="s">
        <v>534</v>
      </c>
      <c r="I166" t="s">
        <v>21</v>
      </c>
      <c r="J166" t="s">
        <v>479</v>
      </c>
      <c r="K166" s="86" t="s">
        <v>428</v>
      </c>
    </row>
    <row r="167" spans="1:11" x14ac:dyDescent="0.25">
      <c r="A167" s="86" t="s">
        <v>476</v>
      </c>
      <c r="B167" t="s">
        <v>540</v>
      </c>
      <c r="C167" t="s">
        <v>62</v>
      </c>
      <c r="G167" t="s">
        <v>303</v>
      </c>
      <c r="H167" t="s">
        <v>534</v>
      </c>
      <c r="I167" t="s">
        <v>21</v>
      </c>
      <c r="J167" t="s">
        <v>479</v>
      </c>
      <c r="K167" s="86" t="s">
        <v>428</v>
      </c>
    </row>
    <row r="168" spans="1:11" x14ac:dyDescent="0.25">
      <c r="A168" s="86" t="s">
        <v>476</v>
      </c>
      <c r="B168" t="s">
        <v>540</v>
      </c>
      <c r="C168" t="s">
        <v>63</v>
      </c>
      <c r="G168" t="s">
        <v>303</v>
      </c>
      <c r="H168" t="s">
        <v>534</v>
      </c>
      <c r="I168" t="s">
        <v>21</v>
      </c>
      <c r="J168" t="s">
        <v>479</v>
      </c>
      <c r="K168" s="86" t="s">
        <v>428</v>
      </c>
    </row>
    <row r="169" spans="1:11" x14ac:dyDescent="0.25">
      <c r="A169" s="86" t="s">
        <v>476</v>
      </c>
      <c r="B169" t="s">
        <v>540</v>
      </c>
      <c r="C169" t="s">
        <v>63</v>
      </c>
      <c r="G169" t="s">
        <v>303</v>
      </c>
      <c r="H169" t="s">
        <v>534</v>
      </c>
      <c r="I169" t="s">
        <v>21</v>
      </c>
      <c r="J169" t="s">
        <v>479</v>
      </c>
      <c r="K169" s="86" t="s">
        <v>428</v>
      </c>
    </row>
    <row r="170" spans="1:11" x14ac:dyDescent="0.25">
      <c r="A170" s="86" t="s">
        <v>476</v>
      </c>
      <c r="B170" t="s">
        <v>540</v>
      </c>
      <c r="C170" t="s">
        <v>63</v>
      </c>
      <c r="G170" t="s">
        <v>303</v>
      </c>
      <c r="H170" t="s">
        <v>534</v>
      </c>
      <c r="I170" t="s">
        <v>21</v>
      </c>
      <c r="J170" t="s">
        <v>479</v>
      </c>
      <c r="K170" s="86" t="s">
        <v>428</v>
      </c>
    </row>
    <row r="171" spans="1:11" x14ac:dyDescent="0.25">
      <c r="A171" s="86" t="s">
        <v>476</v>
      </c>
      <c r="B171" t="s">
        <v>540</v>
      </c>
      <c r="C171" t="s">
        <v>64</v>
      </c>
      <c r="G171" t="s">
        <v>303</v>
      </c>
      <c r="H171" t="s">
        <v>534</v>
      </c>
      <c r="I171" t="s">
        <v>21</v>
      </c>
      <c r="J171" t="s">
        <v>479</v>
      </c>
      <c r="K171" s="86" t="s">
        <v>428</v>
      </c>
    </row>
    <row r="172" spans="1:11" x14ac:dyDescent="0.25">
      <c r="A172" s="86" t="s">
        <v>476</v>
      </c>
      <c r="B172" t="s">
        <v>540</v>
      </c>
      <c r="C172" t="s">
        <v>64</v>
      </c>
      <c r="G172" t="s">
        <v>303</v>
      </c>
      <c r="H172" t="s">
        <v>534</v>
      </c>
      <c r="I172" t="s">
        <v>21</v>
      </c>
      <c r="J172" t="s">
        <v>479</v>
      </c>
      <c r="K172" s="86" t="s">
        <v>428</v>
      </c>
    </row>
    <row r="173" spans="1:11" x14ac:dyDescent="0.25">
      <c r="A173" s="86" t="s">
        <v>476</v>
      </c>
      <c r="B173" t="s">
        <v>541</v>
      </c>
      <c r="C173" t="s">
        <v>58</v>
      </c>
      <c r="D173" t="s">
        <v>43</v>
      </c>
      <c r="E173" t="s">
        <v>151</v>
      </c>
      <c r="F173" t="s">
        <v>180</v>
      </c>
      <c r="G173" t="s">
        <v>335</v>
      </c>
      <c r="H173" t="s">
        <v>534</v>
      </c>
      <c r="I173" t="s">
        <v>21</v>
      </c>
      <c r="J173" t="s">
        <v>479</v>
      </c>
      <c r="K173" s="86" t="s">
        <v>337</v>
      </c>
    </row>
    <row r="174" spans="1:11" x14ac:dyDescent="0.25">
      <c r="A174" s="86" t="s">
        <v>476</v>
      </c>
      <c r="B174" t="s">
        <v>541</v>
      </c>
      <c r="C174" t="s">
        <v>58</v>
      </c>
      <c r="D174" t="s">
        <v>43</v>
      </c>
      <c r="E174" t="s">
        <v>151</v>
      </c>
      <c r="F174" t="s">
        <v>152</v>
      </c>
      <c r="G174" t="s">
        <v>335</v>
      </c>
      <c r="H174" t="s">
        <v>534</v>
      </c>
      <c r="I174" t="s">
        <v>21</v>
      </c>
      <c r="J174" t="s">
        <v>479</v>
      </c>
      <c r="K174" s="86" t="s">
        <v>337</v>
      </c>
    </row>
    <row r="175" spans="1:11" x14ac:dyDescent="0.25">
      <c r="A175" s="86" t="s">
        <v>476</v>
      </c>
      <c r="B175" t="s">
        <v>541</v>
      </c>
      <c r="C175" t="s">
        <v>58</v>
      </c>
      <c r="D175" t="s">
        <v>45</v>
      </c>
      <c r="E175" t="s">
        <v>74</v>
      </c>
      <c r="F175" t="s">
        <v>164</v>
      </c>
      <c r="G175" t="s">
        <v>335</v>
      </c>
      <c r="H175" t="s">
        <v>534</v>
      </c>
      <c r="I175" t="s">
        <v>21</v>
      </c>
      <c r="J175" t="s">
        <v>479</v>
      </c>
      <c r="K175" s="86" t="s">
        <v>337</v>
      </c>
    </row>
    <row r="176" spans="1:11" x14ac:dyDescent="0.25">
      <c r="A176" s="86" t="s">
        <v>476</v>
      </c>
      <c r="B176" t="s">
        <v>541</v>
      </c>
      <c r="C176" t="s">
        <v>58</v>
      </c>
      <c r="D176" t="s">
        <v>45</v>
      </c>
      <c r="E176" t="s">
        <v>74</v>
      </c>
      <c r="F176" t="s">
        <v>75</v>
      </c>
      <c r="G176" t="s">
        <v>335</v>
      </c>
      <c r="H176" t="s">
        <v>534</v>
      </c>
      <c r="I176" t="s">
        <v>21</v>
      </c>
      <c r="J176" t="s">
        <v>479</v>
      </c>
      <c r="K176" s="86" t="s">
        <v>337</v>
      </c>
    </row>
    <row r="177" spans="1:11" x14ac:dyDescent="0.25">
      <c r="A177" s="86" t="s">
        <v>476</v>
      </c>
      <c r="B177" t="s">
        <v>541</v>
      </c>
      <c r="C177" t="s">
        <v>58</v>
      </c>
      <c r="D177" t="s">
        <v>45</v>
      </c>
      <c r="E177" t="s">
        <v>74</v>
      </c>
      <c r="F177" t="s">
        <v>76</v>
      </c>
      <c r="G177" t="s">
        <v>335</v>
      </c>
      <c r="H177" t="s">
        <v>534</v>
      </c>
      <c r="I177" t="s">
        <v>21</v>
      </c>
      <c r="J177" t="s">
        <v>479</v>
      </c>
      <c r="K177" s="86" t="s">
        <v>337</v>
      </c>
    </row>
    <row r="178" spans="1:11" x14ac:dyDescent="0.25">
      <c r="A178" s="86" t="s">
        <v>476</v>
      </c>
      <c r="B178" t="s">
        <v>541</v>
      </c>
      <c r="C178" t="s">
        <v>58</v>
      </c>
      <c r="D178" t="s">
        <v>45</v>
      </c>
      <c r="E178" t="s">
        <v>74</v>
      </c>
      <c r="F178" t="s">
        <v>166</v>
      </c>
      <c r="G178" t="s">
        <v>335</v>
      </c>
      <c r="H178" t="s">
        <v>534</v>
      </c>
      <c r="I178" t="s">
        <v>21</v>
      </c>
      <c r="J178" t="s">
        <v>479</v>
      </c>
      <c r="K178" s="86" t="s">
        <v>337</v>
      </c>
    </row>
    <row r="179" spans="1:11" x14ac:dyDescent="0.25">
      <c r="A179" s="86" t="s">
        <v>476</v>
      </c>
      <c r="B179" t="s">
        <v>541</v>
      </c>
      <c r="C179" t="s">
        <v>58</v>
      </c>
      <c r="D179" t="s">
        <v>45</v>
      </c>
      <c r="E179" t="s">
        <v>74</v>
      </c>
      <c r="F179" t="s">
        <v>164</v>
      </c>
      <c r="G179" t="s">
        <v>335</v>
      </c>
      <c r="H179" t="s">
        <v>534</v>
      </c>
      <c r="I179" t="s">
        <v>21</v>
      </c>
      <c r="J179" t="s">
        <v>479</v>
      </c>
      <c r="K179" s="86" t="s">
        <v>337</v>
      </c>
    </row>
    <row r="180" spans="1:11" x14ac:dyDescent="0.25">
      <c r="A180" s="86" t="s">
        <v>476</v>
      </c>
      <c r="B180" t="s">
        <v>541</v>
      </c>
      <c r="C180" t="s">
        <v>58</v>
      </c>
      <c r="D180" t="s">
        <v>45</v>
      </c>
      <c r="E180" t="s">
        <v>74</v>
      </c>
      <c r="F180" t="s">
        <v>75</v>
      </c>
      <c r="G180" t="s">
        <v>335</v>
      </c>
      <c r="H180" t="s">
        <v>534</v>
      </c>
      <c r="I180" t="s">
        <v>21</v>
      </c>
      <c r="J180" t="s">
        <v>479</v>
      </c>
      <c r="K180" s="86" t="s">
        <v>337</v>
      </c>
    </row>
    <row r="181" spans="1:11" x14ac:dyDescent="0.25">
      <c r="A181" s="86" t="s">
        <v>476</v>
      </c>
      <c r="B181" t="s">
        <v>541</v>
      </c>
      <c r="C181" t="s">
        <v>58</v>
      </c>
      <c r="D181" t="s">
        <v>45</v>
      </c>
      <c r="E181" t="s">
        <v>74</v>
      </c>
      <c r="F181" t="s">
        <v>76</v>
      </c>
      <c r="G181" t="s">
        <v>335</v>
      </c>
      <c r="H181" t="s">
        <v>534</v>
      </c>
      <c r="I181" t="s">
        <v>21</v>
      </c>
      <c r="J181" t="s">
        <v>479</v>
      </c>
      <c r="K181" s="86" t="s">
        <v>337</v>
      </c>
    </row>
    <row r="182" spans="1:11" x14ac:dyDescent="0.25">
      <c r="A182" s="86" t="s">
        <v>476</v>
      </c>
      <c r="B182" t="s">
        <v>541</v>
      </c>
      <c r="C182" t="s">
        <v>58</v>
      </c>
      <c r="D182" t="s">
        <v>45</v>
      </c>
      <c r="E182" t="s">
        <v>74</v>
      </c>
      <c r="F182" t="s">
        <v>165</v>
      </c>
      <c r="G182" t="s">
        <v>335</v>
      </c>
      <c r="H182" t="s">
        <v>534</v>
      </c>
      <c r="I182" t="s">
        <v>21</v>
      </c>
      <c r="J182" t="s">
        <v>479</v>
      </c>
      <c r="K182" s="86" t="s">
        <v>337</v>
      </c>
    </row>
    <row r="183" spans="1:11" x14ac:dyDescent="0.25">
      <c r="A183" s="86" t="s">
        <v>476</v>
      </c>
      <c r="B183" t="s">
        <v>541</v>
      </c>
      <c r="C183" t="s">
        <v>58</v>
      </c>
      <c r="D183" t="s">
        <v>45</v>
      </c>
      <c r="E183" t="s">
        <v>74</v>
      </c>
      <c r="F183" t="s">
        <v>166</v>
      </c>
      <c r="G183" t="s">
        <v>335</v>
      </c>
      <c r="H183" t="s">
        <v>534</v>
      </c>
      <c r="I183" t="s">
        <v>21</v>
      </c>
      <c r="J183" t="s">
        <v>479</v>
      </c>
      <c r="K183" s="86" t="s">
        <v>337</v>
      </c>
    </row>
    <row r="184" spans="1:11" x14ac:dyDescent="0.25">
      <c r="A184" s="86" t="s">
        <v>476</v>
      </c>
      <c r="B184" t="s">
        <v>541</v>
      </c>
      <c r="C184" t="s">
        <v>58</v>
      </c>
      <c r="D184" t="s">
        <v>45</v>
      </c>
      <c r="E184" t="s">
        <v>154</v>
      </c>
      <c r="F184" t="s">
        <v>167</v>
      </c>
      <c r="G184" t="s">
        <v>335</v>
      </c>
      <c r="H184" t="s">
        <v>534</v>
      </c>
      <c r="I184" t="s">
        <v>21</v>
      </c>
      <c r="J184" t="s">
        <v>479</v>
      </c>
      <c r="K184" s="86" t="s">
        <v>337</v>
      </c>
    </row>
    <row r="185" spans="1:11" x14ac:dyDescent="0.25">
      <c r="A185" s="86" t="s">
        <v>476</v>
      </c>
      <c r="B185" t="s">
        <v>541</v>
      </c>
      <c r="C185" t="s">
        <v>58</v>
      </c>
      <c r="D185" t="s">
        <v>45</v>
      </c>
      <c r="E185" t="s">
        <v>154</v>
      </c>
      <c r="F185" t="s">
        <v>168</v>
      </c>
      <c r="G185" t="s">
        <v>335</v>
      </c>
      <c r="H185" t="s">
        <v>534</v>
      </c>
      <c r="I185" t="s">
        <v>21</v>
      </c>
      <c r="J185" t="s">
        <v>479</v>
      </c>
      <c r="K185" s="86" t="s">
        <v>337</v>
      </c>
    </row>
    <row r="186" spans="1:11" x14ac:dyDescent="0.25">
      <c r="A186" s="86" t="s">
        <v>476</v>
      </c>
      <c r="B186" t="s">
        <v>541</v>
      </c>
      <c r="C186" t="s">
        <v>58</v>
      </c>
      <c r="D186" t="s">
        <v>45</v>
      </c>
      <c r="E186" t="s">
        <v>154</v>
      </c>
      <c r="F186" t="s">
        <v>155</v>
      </c>
      <c r="G186" t="s">
        <v>335</v>
      </c>
      <c r="H186" t="s">
        <v>534</v>
      </c>
      <c r="I186" t="s">
        <v>21</v>
      </c>
      <c r="J186" t="s">
        <v>479</v>
      </c>
      <c r="K186" s="86" t="s">
        <v>337</v>
      </c>
    </row>
    <row r="187" spans="1:11" x14ac:dyDescent="0.25">
      <c r="A187" s="86" t="s">
        <v>476</v>
      </c>
      <c r="B187" t="s">
        <v>541</v>
      </c>
      <c r="C187" t="s">
        <v>58</v>
      </c>
      <c r="D187" t="s">
        <v>45</v>
      </c>
      <c r="E187" t="s">
        <v>169</v>
      </c>
      <c r="F187" t="s">
        <v>170</v>
      </c>
      <c r="G187" t="s">
        <v>335</v>
      </c>
      <c r="H187" t="s">
        <v>534</v>
      </c>
      <c r="I187" t="s">
        <v>21</v>
      </c>
      <c r="J187" t="s">
        <v>479</v>
      </c>
      <c r="K187" s="86" t="s">
        <v>337</v>
      </c>
    </row>
    <row r="188" spans="1:11" x14ac:dyDescent="0.25">
      <c r="A188" s="86" t="s">
        <v>476</v>
      </c>
      <c r="B188" t="s">
        <v>541</v>
      </c>
      <c r="C188" t="s">
        <v>58</v>
      </c>
      <c r="D188" t="s">
        <v>45</v>
      </c>
      <c r="E188" t="s">
        <v>169</v>
      </c>
      <c r="F188" t="s">
        <v>171</v>
      </c>
      <c r="G188" t="s">
        <v>335</v>
      </c>
      <c r="H188" t="s">
        <v>534</v>
      </c>
      <c r="I188" t="s">
        <v>21</v>
      </c>
      <c r="J188" t="s">
        <v>479</v>
      </c>
      <c r="K188" s="86" t="s">
        <v>337</v>
      </c>
    </row>
    <row r="189" spans="1:11" x14ac:dyDescent="0.25">
      <c r="A189" s="86" t="s">
        <v>476</v>
      </c>
      <c r="B189" t="s">
        <v>541</v>
      </c>
      <c r="C189" t="s">
        <v>58</v>
      </c>
      <c r="D189" t="s">
        <v>45</v>
      </c>
      <c r="E189" t="s">
        <v>169</v>
      </c>
      <c r="F189" t="s">
        <v>172</v>
      </c>
      <c r="G189" t="s">
        <v>335</v>
      </c>
      <c r="H189" t="s">
        <v>534</v>
      </c>
      <c r="I189" t="s">
        <v>21</v>
      </c>
      <c r="J189" t="s">
        <v>479</v>
      </c>
      <c r="K189" s="86" t="s">
        <v>337</v>
      </c>
    </row>
    <row r="190" spans="1:11" x14ac:dyDescent="0.25">
      <c r="A190" s="86" t="s">
        <v>476</v>
      </c>
      <c r="B190" t="s">
        <v>541</v>
      </c>
      <c r="C190" t="s">
        <v>58</v>
      </c>
      <c r="D190" t="s">
        <v>45</v>
      </c>
      <c r="E190" t="s">
        <v>169</v>
      </c>
      <c r="F190" t="s">
        <v>173</v>
      </c>
      <c r="G190" t="s">
        <v>335</v>
      </c>
      <c r="H190" t="s">
        <v>534</v>
      </c>
      <c r="I190" t="s">
        <v>21</v>
      </c>
      <c r="J190" t="s">
        <v>479</v>
      </c>
      <c r="K190" s="86" t="s">
        <v>337</v>
      </c>
    </row>
    <row r="191" spans="1:11" x14ac:dyDescent="0.25">
      <c r="A191" s="86" t="s">
        <v>476</v>
      </c>
      <c r="B191" t="s">
        <v>541</v>
      </c>
      <c r="C191" t="s">
        <v>58</v>
      </c>
      <c r="D191" t="s">
        <v>45</v>
      </c>
      <c r="E191" t="s">
        <v>169</v>
      </c>
      <c r="F191" t="s">
        <v>174</v>
      </c>
      <c r="G191" t="s">
        <v>335</v>
      </c>
      <c r="H191" t="s">
        <v>534</v>
      </c>
      <c r="I191" t="s">
        <v>21</v>
      </c>
      <c r="J191" t="s">
        <v>479</v>
      </c>
      <c r="K191" s="86" t="s">
        <v>337</v>
      </c>
    </row>
    <row r="192" spans="1:11" x14ac:dyDescent="0.25">
      <c r="A192" s="86" t="s">
        <v>476</v>
      </c>
      <c r="B192" t="s">
        <v>541</v>
      </c>
      <c r="C192" t="s">
        <v>58</v>
      </c>
      <c r="D192" t="s">
        <v>45</v>
      </c>
      <c r="E192" t="s">
        <v>169</v>
      </c>
      <c r="F192" t="s">
        <v>175</v>
      </c>
      <c r="G192" t="s">
        <v>335</v>
      </c>
      <c r="H192" t="s">
        <v>534</v>
      </c>
      <c r="I192" t="s">
        <v>21</v>
      </c>
      <c r="J192" t="s">
        <v>479</v>
      </c>
      <c r="K192" s="86" t="s">
        <v>337</v>
      </c>
    </row>
    <row r="193" spans="1:11" x14ac:dyDescent="0.25">
      <c r="A193" s="86" t="s">
        <v>476</v>
      </c>
      <c r="B193" t="s">
        <v>541</v>
      </c>
      <c r="C193" t="s">
        <v>58</v>
      </c>
      <c r="D193" t="s">
        <v>45</v>
      </c>
      <c r="E193" t="s">
        <v>169</v>
      </c>
      <c r="F193" t="s">
        <v>176</v>
      </c>
      <c r="G193" t="s">
        <v>335</v>
      </c>
      <c r="H193" t="s">
        <v>534</v>
      </c>
      <c r="I193" t="s">
        <v>21</v>
      </c>
      <c r="J193" t="s">
        <v>479</v>
      </c>
      <c r="K193" s="86" t="s">
        <v>337</v>
      </c>
    </row>
    <row r="194" spans="1:11" x14ac:dyDescent="0.25">
      <c r="A194" s="86" t="s">
        <v>476</v>
      </c>
      <c r="B194" t="s">
        <v>541</v>
      </c>
      <c r="C194" t="s">
        <v>58</v>
      </c>
      <c r="D194" t="s">
        <v>45</v>
      </c>
      <c r="E194" t="s">
        <v>157</v>
      </c>
      <c r="F194" t="s">
        <v>177</v>
      </c>
      <c r="G194" t="s">
        <v>335</v>
      </c>
      <c r="H194" t="s">
        <v>534</v>
      </c>
      <c r="I194" t="s">
        <v>21</v>
      </c>
      <c r="J194" t="s">
        <v>479</v>
      </c>
      <c r="K194" s="86" t="s">
        <v>337</v>
      </c>
    </row>
    <row r="195" spans="1:11" x14ac:dyDescent="0.25">
      <c r="A195" s="86" t="s">
        <v>476</v>
      </c>
      <c r="B195" t="s">
        <v>541</v>
      </c>
      <c r="C195" t="s">
        <v>58</v>
      </c>
      <c r="D195" t="s">
        <v>45</v>
      </c>
      <c r="E195" t="s">
        <v>157</v>
      </c>
      <c r="F195" t="s">
        <v>159</v>
      </c>
      <c r="G195" t="s">
        <v>335</v>
      </c>
      <c r="H195" t="s">
        <v>534</v>
      </c>
      <c r="I195" t="s">
        <v>21</v>
      </c>
      <c r="J195" t="s">
        <v>479</v>
      </c>
      <c r="K195" s="86" t="s">
        <v>337</v>
      </c>
    </row>
    <row r="196" spans="1:11" x14ac:dyDescent="0.25">
      <c r="A196" s="86" t="s">
        <v>476</v>
      </c>
      <c r="B196" t="s">
        <v>541</v>
      </c>
      <c r="C196" t="s">
        <v>58</v>
      </c>
      <c r="D196" t="s">
        <v>45</v>
      </c>
      <c r="E196" t="s">
        <v>70</v>
      </c>
      <c r="F196" t="s">
        <v>160</v>
      </c>
      <c r="G196" t="s">
        <v>335</v>
      </c>
      <c r="H196" t="s">
        <v>534</v>
      </c>
      <c r="I196" t="s">
        <v>21</v>
      </c>
      <c r="J196" t="s">
        <v>479</v>
      </c>
      <c r="K196" s="86" t="s">
        <v>337</v>
      </c>
    </row>
    <row r="197" spans="1:11" x14ac:dyDescent="0.25">
      <c r="A197" s="86" t="s">
        <v>476</v>
      </c>
      <c r="B197" t="s">
        <v>541</v>
      </c>
      <c r="C197" t="s">
        <v>58</v>
      </c>
      <c r="D197" t="s">
        <v>45</v>
      </c>
      <c r="E197" t="s">
        <v>70</v>
      </c>
      <c r="F197" t="s">
        <v>161</v>
      </c>
      <c r="G197" t="s">
        <v>335</v>
      </c>
      <c r="H197" t="s">
        <v>534</v>
      </c>
      <c r="I197" t="s">
        <v>21</v>
      </c>
      <c r="J197" t="s">
        <v>479</v>
      </c>
      <c r="K197" s="86" t="s">
        <v>337</v>
      </c>
    </row>
    <row r="198" spans="1:11" x14ac:dyDescent="0.25">
      <c r="A198" s="86" t="s">
        <v>476</v>
      </c>
      <c r="B198" t="s">
        <v>541</v>
      </c>
      <c r="C198" t="s">
        <v>58</v>
      </c>
      <c r="D198" t="s">
        <v>45</v>
      </c>
      <c r="E198" t="s">
        <v>70</v>
      </c>
      <c r="F198" t="s">
        <v>162</v>
      </c>
      <c r="G198" t="s">
        <v>335</v>
      </c>
      <c r="H198" t="s">
        <v>534</v>
      </c>
      <c r="I198" t="s">
        <v>21</v>
      </c>
      <c r="J198" t="s">
        <v>479</v>
      </c>
      <c r="K198" s="86" t="s">
        <v>337</v>
      </c>
    </row>
    <row r="199" spans="1:11" x14ac:dyDescent="0.25">
      <c r="A199" s="86" t="s">
        <v>476</v>
      </c>
      <c r="B199" t="s">
        <v>541</v>
      </c>
      <c r="C199" t="s">
        <v>58</v>
      </c>
      <c r="D199" t="s">
        <v>45</v>
      </c>
      <c r="E199" t="s">
        <v>70</v>
      </c>
      <c r="F199" t="s">
        <v>71</v>
      </c>
      <c r="G199" t="s">
        <v>335</v>
      </c>
      <c r="H199" t="s">
        <v>534</v>
      </c>
      <c r="I199" t="s">
        <v>21</v>
      </c>
      <c r="J199" t="s">
        <v>479</v>
      </c>
      <c r="K199" s="86" t="s">
        <v>337</v>
      </c>
    </row>
    <row r="200" spans="1:11" x14ac:dyDescent="0.25">
      <c r="A200" s="86" t="s">
        <v>476</v>
      </c>
      <c r="B200" t="s">
        <v>541</v>
      </c>
      <c r="C200" t="s">
        <v>58</v>
      </c>
      <c r="D200" t="s">
        <v>45</v>
      </c>
      <c r="E200" t="s">
        <v>70</v>
      </c>
      <c r="F200" t="s">
        <v>163</v>
      </c>
      <c r="G200" t="s">
        <v>335</v>
      </c>
      <c r="H200" t="s">
        <v>534</v>
      </c>
      <c r="I200" t="s">
        <v>21</v>
      </c>
      <c r="J200" t="s">
        <v>479</v>
      </c>
      <c r="K200" s="86" t="s">
        <v>337</v>
      </c>
    </row>
    <row r="201" spans="1:11" x14ac:dyDescent="0.25">
      <c r="A201" s="86" t="s">
        <v>476</v>
      </c>
      <c r="B201" t="s">
        <v>541</v>
      </c>
      <c r="C201" t="s">
        <v>58</v>
      </c>
      <c r="D201" t="s">
        <v>45</v>
      </c>
      <c r="E201" t="s">
        <v>123</v>
      </c>
      <c r="F201" t="s">
        <v>178</v>
      </c>
      <c r="G201" t="s">
        <v>335</v>
      </c>
      <c r="H201" t="s">
        <v>534</v>
      </c>
      <c r="I201" t="s">
        <v>21</v>
      </c>
      <c r="J201" t="s">
        <v>479</v>
      </c>
      <c r="K201" s="86" t="s">
        <v>337</v>
      </c>
    </row>
    <row r="202" spans="1:11" x14ac:dyDescent="0.25">
      <c r="A202" s="86" t="s">
        <v>476</v>
      </c>
      <c r="B202" t="s">
        <v>541</v>
      </c>
      <c r="C202" t="s">
        <v>58</v>
      </c>
      <c r="D202" t="s">
        <v>45</v>
      </c>
      <c r="E202" t="s">
        <v>123</v>
      </c>
      <c r="F202" t="s">
        <v>179</v>
      </c>
      <c r="G202" t="s">
        <v>335</v>
      </c>
      <c r="H202" t="s">
        <v>534</v>
      </c>
      <c r="I202" t="s">
        <v>21</v>
      </c>
      <c r="J202" t="s">
        <v>479</v>
      </c>
      <c r="K202" s="86" t="s">
        <v>337</v>
      </c>
    </row>
    <row r="203" spans="1:11" x14ac:dyDescent="0.25">
      <c r="A203" s="86" t="s">
        <v>476</v>
      </c>
      <c r="B203" t="s">
        <v>541</v>
      </c>
      <c r="C203" t="s">
        <v>58</v>
      </c>
      <c r="D203" t="s">
        <v>45</v>
      </c>
      <c r="E203" t="s">
        <v>123</v>
      </c>
      <c r="F203" t="s">
        <v>156</v>
      </c>
      <c r="G203" t="s">
        <v>335</v>
      </c>
      <c r="H203" t="s">
        <v>534</v>
      </c>
      <c r="I203" t="s">
        <v>21</v>
      </c>
      <c r="J203" t="s">
        <v>479</v>
      </c>
      <c r="K203" s="86" t="s">
        <v>337</v>
      </c>
    </row>
    <row r="204" spans="1:11" x14ac:dyDescent="0.25">
      <c r="A204" s="86" t="s">
        <v>476</v>
      </c>
      <c r="B204" t="s">
        <v>541</v>
      </c>
      <c r="C204" t="s">
        <v>62</v>
      </c>
      <c r="D204" t="s">
        <v>43</v>
      </c>
      <c r="E204" t="s">
        <v>151</v>
      </c>
      <c r="F204" t="s">
        <v>180</v>
      </c>
      <c r="G204" t="s">
        <v>335</v>
      </c>
      <c r="H204" t="s">
        <v>534</v>
      </c>
      <c r="I204" t="s">
        <v>21</v>
      </c>
      <c r="J204" t="s">
        <v>479</v>
      </c>
      <c r="K204" s="86" t="s">
        <v>337</v>
      </c>
    </row>
    <row r="205" spans="1:11" x14ac:dyDescent="0.25">
      <c r="A205" s="86" t="s">
        <v>476</v>
      </c>
      <c r="B205" t="s">
        <v>541</v>
      </c>
      <c r="C205" t="s">
        <v>62</v>
      </c>
      <c r="D205" t="s">
        <v>43</v>
      </c>
      <c r="E205" t="s">
        <v>151</v>
      </c>
      <c r="F205" t="s">
        <v>181</v>
      </c>
      <c r="G205" t="s">
        <v>335</v>
      </c>
      <c r="H205" t="s">
        <v>534</v>
      </c>
      <c r="I205" t="s">
        <v>21</v>
      </c>
      <c r="J205" t="s">
        <v>479</v>
      </c>
      <c r="K205" s="86" t="s">
        <v>337</v>
      </c>
    </row>
    <row r="206" spans="1:11" x14ac:dyDescent="0.25">
      <c r="A206" s="86" t="s">
        <v>476</v>
      </c>
      <c r="B206" t="s">
        <v>541</v>
      </c>
      <c r="C206" t="s">
        <v>62</v>
      </c>
      <c r="D206" t="s">
        <v>43</v>
      </c>
      <c r="E206" t="s">
        <v>151</v>
      </c>
      <c r="F206" t="s">
        <v>352</v>
      </c>
      <c r="G206" t="s">
        <v>335</v>
      </c>
      <c r="H206" t="s">
        <v>534</v>
      </c>
      <c r="I206" t="s">
        <v>21</v>
      </c>
      <c r="J206" t="s">
        <v>479</v>
      </c>
      <c r="K206" s="86" t="s">
        <v>337</v>
      </c>
    </row>
    <row r="207" spans="1:11" x14ac:dyDescent="0.25">
      <c r="A207" s="86" t="s">
        <v>476</v>
      </c>
      <c r="B207" t="s">
        <v>541</v>
      </c>
      <c r="C207" t="s">
        <v>62</v>
      </c>
      <c r="D207" t="s">
        <v>43</v>
      </c>
      <c r="E207" t="s">
        <v>151</v>
      </c>
      <c r="F207" t="s">
        <v>152</v>
      </c>
      <c r="G207" t="s">
        <v>335</v>
      </c>
      <c r="H207" t="s">
        <v>534</v>
      </c>
      <c r="I207" t="s">
        <v>21</v>
      </c>
      <c r="J207" t="s">
        <v>479</v>
      </c>
      <c r="K207" s="86" t="s">
        <v>337</v>
      </c>
    </row>
    <row r="208" spans="1:11" x14ac:dyDescent="0.25">
      <c r="A208" s="86" t="s">
        <v>476</v>
      </c>
      <c r="B208" t="s">
        <v>541</v>
      </c>
      <c r="C208" t="s">
        <v>62</v>
      </c>
      <c r="D208" t="s">
        <v>47</v>
      </c>
      <c r="E208" t="s">
        <v>123</v>
      </c>
      <c r="F208" t="s">
        <v>178</v>
      </c>
      <c r="G208" t="s">
        <v>335</v>
      </c>
      <c r="H208" t="s">
        <v>534</v>
      </c>
      <c r="I208" t="s">
        <v>21</v>
      </c>
      <c r="J208" t="s">
        <v>479</v>
      </c>
      <c r="K208" s="86" t="s">
        <v>337</v>
      </c>
    </row>
    <row r="209" spans="1:11" x14ac:dyDescent="0.25">
      <c r="A209" s="86" t="s">
        <v>476</v>
      </c>
      <c r="B209" t="s">
        <v>541</v>
      </c>
      <c r="C209" t="s">
        <v>62</v>
      </c>
      <c r="D209" t="s">
        <v>47</v>
      </c>
      <c r="E209" t="s">
        <v>123</v>
      </c>
      <c r="F209" t="s">
        <v>156</v>
      </c>
      <c r="G209" t="s">
        <v>335</v>
      </c>
      <c r="H209" t="s">
        <v>534</v>
      </c>
      <c r="I209" t="s">
        <v>21</v>
      </c>
      <c r="J209" t="s">
        <v>479</v>
      </c>
      <c r="K209" s="86" t="s">
        <v>337</v>
      </c>
    </row>
    <row r="210" spans="1:11" x14ac:dyDescent="0.25">
      <c r="A210" s="86" t="s">
        <v>476</v>
      </c>
      <c r="B210" t="s">
        <v>541</v>
      </c>
      <c r="C210" t="s">
        <v>62</v>
      </c>
      <c r="D210" t="s">
        <v>47</v>
      </c>
      <c r="E210" t="s">
        <v>157</v>
      </c>
      <c r="F210" t="s">
        <v>353</v>
      </c>
      <c r="G210" t="s">
        <v>335</v>
      </c>
      <c r="H210" t="s">
        <v>534</v>
      </c>
      <c r="I210" t="s">
        <v>21</v>
      </c>
      <c r="J210" t="s">
        <v>479</v>
      </c>
      <c r="K210" s="86" t="s">
        <v>337</v>
      </c>
    </row>
    <row r="211" spans="1:11" x14ac:dyDescent="0.25">
      <c r="A211" s="86" t="s">
        <v>476</v>
      </c>
      <c r="B211" t="s">
        <v>541</v>
      </c>
      <c r="C211" t="s">
        <v>62</v>
      </c>
      <c r="D211" t="s">
        <v>47</v>
      </c>
      <c r="E211" t="s">
        <v>157</v>
      </c>
      <c r="F211" t="s">
        <v>158</v>
      </c>
      <c r="G211" t="s">
        <v>335</v>
      </c>
      <c r="H211" t="s">
        <v>534</v>
      </c>
      <c r="I211" t="s">
        <v>21</v>
      </c>
      <c r="J211" t="s">
        <v>479</v>
      </c>
      <c r="K211" s="86" t="s">
        <v>337</v>
      </c>
    </row>
    <row r="212" spans="1:11" x14ac:dyDescent="0.25">
      <c r="A212" s="86" t="s">
        <v>476</v>
      </c>
      <c r="B212" t="s">
        <v>541</v>
      </c>
      <c r="C212" t="s">
        <v>62</v>
      </c>
      <c r="D212" t="s">
        <v>47</v>
      </c>
      <c r="E212" t="s">
        <v>157</v>
      </c>
      <c r="F212" t="s">
        <v>354</v>
      </c>
      <c r="G212" t="s">
        <v>335</v>
      </c>
      <c r="H212" t="s">
        <v>534</v>
      </c>
      <c r="I212" t="s">
        <v>21</v>
      </c>
      <c r="J212" t="s">
        <v>479</v>
      </c>
      <c r="K212" s="86" t="s">
        <v>337</v>
      </c>
    </row>
    <row r="213" spans="1:11" x14ac:dyDescent="0.25">
      <c r="A213" s="86" t="s">
        <v>495</v>
      </c>
      <c r="B213" t="s">
        <v>542</v>
      </c>
      <c r="C213" t="s">
        <v>58</v>
      </c>
      <c r="D213" t="s">
        <v>43</v>
      </c>
      <c r="E213" t="s">
        <v>68</v>
      </c>
      <c r="F213" t="s">
        <v>119</v>
      </c>
      <c r="G213" t="s">
        <v>446</v>
      </c>
      <c r="H213" t="s">
        <v>534</v>
      </c>
      <c r="I213" t="s">
        <v>21</v>
      </c>
      <c r="J213" t="s">
        <v>479</v>
      </c>
      <c r="K213" s="86" t="s">
        <v>447</v>
      </c>
    </row>
    <row r="214" spans="1:11" x14ac:dyDescent="0.25">
      <c r="A214" s="86" t="s">
        <v>495</v>
      </c>
      <c r="B214" t="s">
        <v>542</v>
      </c>
      <c r="C214" t="s">
        <v>58</v>
      </c>
      <c r="D214" t="s">
        <v>43</v>
      </c>
      <c r="E214" t="s">
        <v>68</v>
      </c>
      <c r="F214" t="s">
        <v>69</v>
      </c>
      <c r="G214" t="s">
        <v>446</v>
      </c>
      <c r="H214" t="s">
        <v>534</v>
      </c>
      <c r="I214" t="s">
        <v>21</v>
      </c>
      <c r="J214" t="s">
        <v>479</v>
      </c>
      <c r="K214" s="86" t="s">
        <v>447</v>
      </c>
    </row>
    <row r="215" spans="1:11" x14ac:dyDescent="0.25">
      <c r="A215" s="86" t="s">
        <v>495</v>
      </c>
      <c r="B215" t="s">
        <v>542</v>
      </c>
      <c r="C215" t="s">
        <v>58</v>
      </c>
      <c r="D215" t="s">
        <v>45</v>
      </c>
      <c r="E215" t="s">
        <v>121</v>
      </c>
      <c r="F215" t="s">
        <v>122</v>
      </c>
      <c r="G215" t="s">
        <v>446</v>
      </c>
      <c r="H215" t="s">
        <v>534</v>
      </c>
      <c r="I215" t="s">
        <v>21</v>
      </c>
      <c r="J215" t="s">
        <v>479</v>
      </c>
      <c r="K215" s="86" t="s">
        <v>447</v>
      </c>
    </row>
    <row r="216" spans="1:11" x14ac:dyDescent="0.25">
      <c r="A216" s="86" t="s">
        <v>495</v>
      </c>
      <c r="B216" t="s">
        <v>542</v>
      </c>
      <c r="C216" t="s">
        <v>58</v>
      </c>
      <c r="D216" t="s">
        <v>45</v>
      </c>
      <c r="E216" t="s">
        <v>74</v>
      </c>
      <c r="F216" t="s">
        <v>75</v>
      </c>
      <c r="G216" t="s">
        <v>446</v>
      </c>
      <c r="H216" t="s">
        <v>534</v>
      </c>
      <c r="I216" t="s">
        <v>21</v>
      </c>
      <c r="J216" t="s">
        <v>479</v>
      </c>
      <c r="K216" s="86" t="s">
        <v>447</v>
      </c>
    </row>
    <row r="217" spans="1:11" x14ac:dyDescent="0.25">
      <c r="A217" s="86" t="s">
        <v>495</v>
      </c>
      <c r="B217" t="s">
        <v>542</v>
      </c>
      <c r="C217" t="s">
        <v>58</v>
      </c>
      <c r="D217" t="s">
        <v>43</v>
      </c>
      <c r="E217" t="s">
        <v>151</v>
      </c>
      <c r="F217" t="s">
        <v>352</v>
      </c>
      <c r="G217" t="s">
        <v>446</v>
      </c>
      <c r="H217" t="s">
        <v>534</v>
      </c>
      <c r="I217" t="s">
        <v>21</v>
      </c>
      <c r="J217" t="s">
        <v>479</v>
      </c>
      <c r="K217" s="86" t="s">
        <v>447</v>
      </c>
    </row>
    <row r="218" spans="1:11" x14ac:dyDescent="0.25">
      <c r="A218" s="86" t="s">
        <v>495</v>
      </c>
      <c r="B218" t="s">
        <v>542</v>
      </c>
      <c r="C218" t="s">
        <v>58</v>
      </c>
      <c r="D218" t="s">
        <v>45</v>
      </c>
      <c r="E218" t="s">
        <v>72</v>
      </c>
      <c r="F218" t="s">
        <v>182</v>
      </c>
      <c r="G218" t="s">
        <v>446</v>
      </c>
      <c r="H218" t="s">
        <v>534</v>
      </c>
      <c r="I218" t="s">
        <v>21</v>
      </c>
      <c r="J218" t="s">
        <v>479</v>
      </c>
      <c r="K218" s="86" t="s">
        <v>447</v>
      </c>
    </row>
    <row r="219" spans="1:11" x14ac:dyDescent="0.25">
      <c r="A219" s="86" t="s">
        <v>495</v>
      </c>
      <c r="B219" t="s">
        <v>542</v>
      </c>
      <c r="C219" t="s">
        <v>62</v>
      </c>
      <c r="D219" t="s">
        <v>43</v>
      </c>
      <c r="E219" t="s">
        <v>68</v>
      </c>
      <c r="F219" t="s">
        <v>119</v>
      </c>
      <c r="G219" t="s">
        <v>446</v>
      </c>
      <c r="H219" t="s">
        <v>534</v>
      </c>
      <c r="I219" t="s">
        <v>21</v>
      </c>
      <c r="J219" t="s">
        <v>479</v>
      </c>
      <c r="K219" s="86" t="s">
        <v>447</v>
      </c>
    </row>
    <row r="220" spans="1:11" x14ac:dyDescent="0.25">
      <c r="A220" s="86" t="s">
        <v>495</v>
      </c>
      <c r="B220" t="s">
        <v>542</v>
      </c>
      <c r="C220" t="s">
        <v>62</v>
      </c>
      <c r="D220" t="s">
        <v>43</v>
      </c>
      <c r="E220" t="s">
        <v>68</v>
      </c>
      <c r="F220" t="s">
        <v>69</v>
      </c>
      <c r="G220" t="s">
        <v>446</v>
      </c>
      <c r="H220" t="s">
        <v>534</v>
      </c>
      <c r="I220" t="s">
        <v>21</v>
      </c>
      <c r="J220" t="s">
        <v>479</v>
      </c>
      <c r="K220" s="86" t="s">
        <v>447</v>
      </c>
    </row>
    <row r="221" spans="1:11" x14ac:dyDescent="0.25">
      <c r="A221" s="86" t="s">
        <v>495</v>
      </c>
      <c r="B221" t="s">
        <v>542</v>
      </c>
      <c r="C221" t="s">
        <v>62</v>
      </c>
      <c r="D221" t="s">
        <v>45</v>
      </c>
      <c r="E221" t="s">
        <v>121</v>
      </c>
      <c r="F221" t="s">
        <v>122</v>
      </c>
      <c r="G221" t="s">
        <v>446</v>
      </c>
      <c r="H221" t="s">
        <v>534</v>
      </c>
      <c r="I221" t="s">
        <v>21</v>
      </c>
      <c r="J221" t="s">
        <v>479</v>
      </c>
      <c r="K221" s="86" t="s">
        <v>447</v>
      </c>
    </row>
    <row r="222" spans="1:11" x14ac:dyDescent="0.25">
      <c r="A222" s="86" t="s">
        <v>495</v>
      </c>
      <c r="B222" t="s">
        <v>542</v>
      </c>
      <c r="C222" t="s">
        <v>62</v>
      </c>
      <c r="D222" t="s">
        <v>45</v>
      </c>
      <c r="E222" t="s">
        <v>74</v>
      </c>
      <c r="F222" t="s">
        <v>75</v>
      </c>
      <c r="G222" t="s">
        <v>446</v>
      </c>
      <c r="H222" t="s">
        <v>534</v>
      </c>
      <c r="I222" t="s">
        <v>21</v>
      </c>
      <c r="J222" t="s">
        <v>479</v>
      </c>
      <c r="K222" s="86" t="s">
        <v>447</v>
      </c>
    </row>
    <row r="223" spans="1:11" x14ac:dyDescent="0.25">
      <c r="A223" s="86" t="s">
        <v>495</v>
      </c>
      <c r="B223" t="s">
        <v>542</v>
      </c>
      <c r="C223" t="s">
        <v>62</v>
      </c>
      <c r="D223" t="s">
        <v>43</v>
      </c>
      <c r="E223" t="s">
        <v>151</v>
      </c>
      <c r="F223" t="s">
        <v>352</v>
      </c>
      <c r="G223" t="s">
        <v>446</v>
      </c>
      <c r="H223" t="s">
        <v>534</v>
      </c>
      <c r="I223" t="s">
        <v>21</v>
      </c>
      <c r="J223" t="s">
        <v>479</v>
      </c>
      <c r="K223" s="86" t="s">
        <v>447</v>
      </c>
    </row>
    <row r="224" spans="1:11" x14ac:dyDescent="0.25">
      <c r="A224" s="86" t="s">
        <v>495</v>
      </c>
      <c r="B224" t="s">
        <v>542</v>
      </c>
      <c r="C224" t="s">
        <v>62</v>
      </c>
      <c r="D224" t="s">
        <v>45</v>
      </c>
      <c r="E224" t="s">
        <v>72</v>
      </c>
      <c r="F224" t="s">
        <v>182</v>
      </c>
      <c r="G224" t="s">
        <v>446</v>
      </c>
      <c r="H224" t="s">
        <v>534</v>
      </c>
      <c r="I224" t="s">
        <v>21</v>
      </c>
      <c r="J224" t="s">
        <v>479</v>
      </c>
      <c r="K224" s="86" t="s">
        <v>447</v>
      </c>
    </row>
    <row r="225" spans="1:11" x14ac:dyDescent="0.25">
      <c r="A225" s="86" t="s">
        <v>495</v>
      </c>
      <c r="B225" t="s">
        <v>543</v>
      </c>
      <c r="C225" t="s">
        <v>58</v>
      </c>
      <c r="D225" t="s">
        <v>43</v>
      </c>
      <c r="E225" t="s">
        <v>68</v>
      </c>
      <c r="F225" t="s">
        <v>69</v>
      </c>
      <c r="G225" t="s">
        <v>450</v>
      </c>
      <c r="H225" t="s">
        <v>534</v>
      </c>
      <c r="I225" t="s">
        <v>21</v>
      </c>
      <c r="J225" t="s">
        <v>479</v>
      </c>
      <c r="K225" s="86" t="s">
        <v>402</v>
      </c>
    </row>
    <row r="226" spans="1:11" x14ac:dyDescent="0.25">
      <c r="A226" s="86" t="s">
        <v>495</v>
      </c>
      <c r="B226" t="s">
        <v>543</v>
      </c>
      <c r="C226" t="s">
        <v>58</v>
      </c>
      <c r="D226" t="s">
        <v>43</v>
      </c>
      <c r="E226" t="s">
        <v>68</v>
      </c>
      <c r="F226" t="s">
        <v>290</v>
      </c>
      <c r="G226" t="s">
        <v>450</v>
      </c>
      <c r="H226" t="s">
        <v>534</v>
      </c>
      <c r="I226" t="s">
        <v>21</v>
      </c>
      <c r="J226" t="s">
        <v>479</v>
      </c>
      <c r="K226" s="86" t="s">
        <v>402</v>
      </c>
    </row>
    <row r="227" spans="1:11" x14ac:dyDescent="0.25">
      <c r="A227" s="86" t="s">
        <v>495</v>
      </c>
      <c r="B227" t="s">
        <v>543</v>
      </c>
      <c r="C227" t="s">
        <v>58</v>
      </c>
      <c r="D227" t="s">
        <v>45</v>
      </c>
      <c r="E227" t="s">
        <v>121</v>
      </c>
      <c r="F227" t="s">
        <v>381</v>
      </c>
      <c r="G227" t="s">
        <v>450</v>
      </c>
      <c r="H227" t="s">
        <v>534</v>
      </c>
      <c r="I227" t="s">
        <v>21</v>
      </c>
      <c r="J227" t="s">
        <v>479</v>
      </c>
      <c r="K227" s="86" t="s">
        <v>402</v>
      </c>
    </row>
    <row r="228" spans="1:11" x14ac:dyDescent="0.25">
      <c r="A228" s="86" t="s">
        <v>495</v>
      </c>
      <c r="B228" t="s">
        <v>543</v>
      </c>
      <c r="C228" t="s">
        <v>58</v>
      </c>
      <c r="D228" t="s">
        <v>45</v>
      </c>
      <c r="E228" t="s">
        <v>151</v>
      </c>
      <c r="F228" t="s">
        <v>352</v>
      </c>
      <c r="G228" t="s">
        <v>450</v>
      </c>
      <c r="H228" t="s">
        <v>534</v>
      </c>
      <c r="I228" t="s">
        <v>21</v>
      </c>
      <c r="J228" t="s">
        <v>479</v>
      </c>
      <c r="K228" s="86" t="s">
        <v>402</v>
      </c>
    </row>
    <row r="229" spans="1:11" x14ac:dyDescent="0.25">
      <c r="A229" s="86" t="s">
        <v>495</v>
      </c>
      <c r="B229" t="s">
        <v>543</v>
      </c>
      <c r="C229" t="s">
        <v>58</v>
      </c>
      <c r="D229" t="s">
        <v>45</v>
      </c>
      <c r="E229" t="s">
        <v>154</v>
      </c>
      <c r="F229" t="s">
        <v>401</v>
      </c>
      <c r="G229" t="s">
        <v>450</v>
      </c>
      <c r="H229" t="s">
        <v>534</v>
      </c>
      <c r="I229" t="s">
        <v>21</v>
      </c>
      <c r="J229" t="s">
        <v>479</v>
      </c>
      <c r="K229" s="86" t="s">
        <v>402</v>
      </c>
    </row>
    <row r="230" spans="1:11" x14ac:dyDescent="0.25">
      <c r="A230" s="86" t="s">
        <v>495</v>
      </c>
      <c r="B230" t="s">
        <v>543</v>
      </c>
      <c r="C230" t="s">
        <v>58</v>
      </c>
      <c r="D230" t="s">
        <v>47</v>
      </c>
      <c r="E230" t="s">
        <v>72</v>
      </c>
      <c r="F230" t="s">
        <v>182</v>
      </c>
      <c r="G230" t="s">
        <v>450</v>
      </c>
      <c r="H230" t="s">
        <v>534</v>
      </c>
      <c r="I230" t="s">
        <v>21</v>
      </c>
      <c r="J230" t="s">
        <v>479</v>
      </c>
      <c r="K230" s="86" t="s">
        <v>402</v>
      </c>
    </row>
    <row r="231" spans="1:11" x14ac:dyDescent="0.25">
      <c r="A231" s="86" t="s">
        <v>495</v>
      </c>
      <c r="B231" t="s">
        <v>543</v>
      </c>
      <c r="C231" t="s">
        <v>62</v>
      </c>
      <c r="D231" t="s">
        <v>43</v>
      </c>
      <c r="E231" t="s">
        <v>68</v>
      </c>
      <c r="F231" t="s">
        <v>69</v>
      </c>
      <c r="G231" t="s">
        <v>450</v>
      </c>
      <c r="H231" t="s">
        <v>534</v>
      </c>
      <c r="I231" t="s">
        <v>21</v>
      </c>
      <c r="J231" t="s">
        <v>479</v>
      </c>
      <c r="K231" s="86" t="s">
        <v>402</v>
      </c>
    </row>
    <row r="232" spans="1:11" x14ac:dyDescent="0.25">
      <c r="A232" s="86" t="s">
        <v>495</v>
      </c>
      <c r="B232" t="s">
        <v>543</v>
      </c>
      <c r="C232" t="s">
        <v>62</v>
      </c>
      <c r="D232" t="s">
        <v>45</v>
      </c>
      <c r="E232" t="s">
        <v>68</v>
      </c>
      <c r="F232" t="s">
        <v>69</v>
      </c>
      <c r="G232" t="s">
        <v>450</v>
      </c>
      <c r="H232" t="s">
        <v>534</v>
      </c>
      <c r="I232" t="s">
        <v>21</v>
      </c>
      <c r="J232" t="s">
        <v>479</v>
      </c>
      <c r="K232" s="86" t="s">
        <v>402</v>
      </c>
    </row>
    <row r="233" spans="1:11" x14ac:dyDescent="0.25">
      <c r="A233" s="86" t="s">
        <v>495</v>
      </c>
      <c r="B233" t="s">
        <v>543</v>
      </c>
      <c r="C233" t="s">
        <v>62</v>
      </c>
      <c r="D233" t="s">
        <v>45</v>
      </c>
      <c r="E233" t="s">
        <v>68</v>
      </c>
      <c r="F233" t="s">
        <v>290</v>
      </c>
      <c r="G233" t="s">
        <v>450</v>
      </c>
      <c r="H233" t="s">
        <v>534</v>
      </c>
      <c r="I233" t="s">
        <v>21</v>
      </c>
      <c r="J233" t="s">
        <v>479</v>
      </c>
      <c r="K233" s="86" t="s">
        <v>402</v>
      </c>
    </row>
    <row r="234" spans="1:11" x14ac:dyDescent="0.25">
      <c r="A234" s="86" t="s">
        <v>495</v>
      </c>
      <c r="B234" t="s">
        <v>543</v>
      </c>
      <c r="C234" t="s">
        <v>62</v>
      </c>
      <c r="D234" t="s">
        <v>47</v>
      </c>
      <c r="E234" t="s">
        <v>74</v>
      </c>
      <c r="F234" t="s">
        <v>76</v>
      </c>
      <c r="G234" t="s">
        <v>450</v>
      </c>
      <c r="H234" t="s">
        <v>534</v>
      </c>
      <c r="I234" t="s">
        <v>21</v>
      </c>
      <c r="J234" t="s">
        <v>479</v>
      </c>
      <c r="K234" s="86" t="s">
        <v>402</v>
      </c>
    </row>
    <row r="235" spans="1:11" x14ac:dyDescent="0.25">
      <c r="A235" s="86" t="s">
        <v>495</v>
      </c>
      <c r="B235" t="s">
        <v>544</v>
      </c>
      <c r="C235" t="s">
        <v>58</v>
      </c>
      <c r="D235" t="s">
        <v>43</v>
      </c>
      <c r="E235" t="s">
        <v>68</v>
      </c>
      <c r="F235" t="s">
        <v>119</v>
      </c>
      <c r="G235" t="s">
        <v>451</v>
      </c>
      <c r="H235" t="s">
        <v>534</v>
      </c>
      <c r="I235" t="s">
        <v>21</v>
      </c>
      <c r="J235" t="s">
        <v>479</v>
      </c>
      <c r="K235" s="86" t="s">
        <v>407</v>
      </c>
    </row>
    <row r="236" spans="1:11" x14ac:dyDescent="0.25">
      <c r="A236" s="86" t="s">
        <v>495</v>
      </c>
      <c r="B236" t="s">
        <v>544</v>
      </c>
      <c r="C236" t="s">
        <v>58</v>
      </c>
      <c r="D236" t="s">
        <v>43</v>
      </c>
      <c r="E236" t="s">
        <v>74</v>
      </c>
      <c r="F236" t="s">
        <v>75</v>
      </c>
      <c r="G236" t="s">
        <v>451</v>
      </c>
      <c r="H236" t="s">
        <v>534</v>
      </c>
      <c r="I236" t="s">
        <v>21</v>
      </c>
      <c r="J236" t="s">
        <v>479</v>
      </c>
      <c r="K236" s="86" t="s">
        <v>407</v>
      </c>
    </row>
    <row r="237" spans="1:11" x14ac:dyDescent="0.25">
      <c r="A237" s="86" t="s">
        <v>495</v>
      </c>
      <c r="B237" t="s">
        <v>544</v>
      </c>
      <c r="C237" t="s">
        <v>62</v>
      </c>
      <c r="D237" t="s">
        <v>45</v>
      </c>
      <c r="E237" t="s">
        <v>154</v>
      </c>
      <c r="F237" t="s">
        <v>406</v>
      </c>
      <c r="G237" t="s">
        <v>451</v>
      </c>
      <c r="H237" t="s">
        <v>534</v>
      </c>
      <c r="I237" t="s">
        <v>21</v>
      </c>
      <c r="J237" t="s">
        <v>479</v>
      </c>
      <c r="K237" s="86" t="s">
        <v>407</v>
      </c>
    </row>
    <row r="238" spans="1:11" x14ac:dyDescent="0.25">
      <c r="A238" s="86" t="s">
        <v>495</v>
      </c>
      <c r="B238" t="s">
        <v>544</v>
      </c>
      <c r="C238" t="s">
        <v>62</v>
      </c>
      <c r="D238" t="s">
        <v>45</v>
      </c>
      <c r="E238" t="s">
        <v>121</v>
      </c>
      <c r="F238" t="s">
        <v>381</v>
      </c>
      <c r="G238" t="s">
        <v>451</v>
      </c>
      <c r="H238" t="s">
        <v>534</v>
      </c>
      <c r="I238" t="s">
        <v>21</v>
      </c>
      <c r="J238" t="s">
        <v>479</v>
      </c>
      <c r="K238" s="86" t="s">
        <v>407</v>
      </c>
    </row>
    <row r="239" spans="1:11" x14ac:dyDescent="0.25">
      <c r="A239" s="86" t="s">
        <v>495</v>
      </c>
      <c r="B239" t="s">
        <v>544</v>
      </c>
      <c r="C239" t="s">
        <v>62</v>
      </c>
      <c r="D239" t="s">
        <v>45</v>
      </c>
      <c r="E239" t="s">
        <v>74</v>
      </c>
      <c r="F239" t="s">
        <v>75</v>
      </c>
      <c r="G239" t="s">
        <v>451</v>
      </c>
      <c r="H239" t="s">
        <v>534</v>
      </c>
      <c r="I239" t="s">
        <v>21</v>
      </c>
      <c r="J239" t="s">
        <v>479</v>
      </c>
      <c r="K239" s="86" t="s">
        <v>407</v>
      </c>
    </row>
    <row r="240" spans="1:11" x14ac:dyDescent="0.25">
      <c r="A240" s="86" t="s">
        <v>495</v>
      </c>
      <c r="B240" t="s">
        <v>544</v>
      </c>
      <c r="C240" t="s">
        <v>62</v>
      </c>
      <c r="D240" t="s">
        <v>45</v>
      </c>
      <c r="E240" t="s">
        <v>123</v>
      </c>
      <c r="F240" t="s">
        <v>409</v>
      </c>
      <c r="G240" t="s">
        <v>451</v>
      </c>
      <c r="H240" t="s">
        <v>534</v>
      </c>
      <c r="I240" t="s">
        <v>21</v>
      </c>
      <c r="J240" t="s">
        <v>479</v>
      </c>
      <c r="K240" s="86" t="s">
        <v>407</v>
      </c>
    </row>
    <row r="241" spans="1:11" x14ac:dyDescent="0.25">
      <c r="A241" s="86" t="s">
        <v>495</v>
      </c>
      <c r="B241" t="s">
        <v>544</v>
      </c>
      <c r="C241" t="s">
        <v>62</v>
      </c>
      <c r="D241" t="s">
        <v>47</v>
      </c>
      <c r="E241" t="s">
        <v>68</v>
      </c>
      <c r="F241" t="s">
        <v>289</v>
      </c>
      <c r="G241" t="s">
        <v>451</v>
      </c>
      <c r="H241" t="s">
        <v>534</v>
      </c>
      <c r="I241" t="s">
        <v>21</v>
      </c>
      <c r="J241" t="s">
        <v>479</v>
      </c>
      <c r="K241" s="86" t="s">
        <v>407</v>
      </c>
    </row>
    <row r="242" spans="1:11" x14ac:dyDescent="0.25">
      <c r="A242" s="86" t="s">
        <v>495</v>
      </c>
      <c r="B242" t="s">
        <v>544</v>
      </c>
      <c r="C242" t="s">
        <v>62</v>
      </c>
      <c r="D242" t="s">
        <v>47</v>
      </c>
      <c r="E242" t="s">
        <v>169</v>
      </c>
      <c r="F242" t="s">
        <v>173</v>
      </c>
      <c r="G242" t="s">
        <v>451</v>
      </c>
      <c r="H242" t="s">
        <v>534</v>
      </c>
      <c r="I242" t="s">
        <v>21</v>
      </c>
      <c r="J242" t="s">
        <v>479</v>
      </c>
      <c r="K242" s="86" t="s">
        <v>407</v>
      </c>
    </row>
    <row r="243" spans="1:11" x14ac:dyDescent="0.25">
      <c r="A243" s="86" t="s">
        <v>495</v>
      </c>
      <c r="B243" t="s">
        <v>544</v>
      </c>
      <c r="C243" t="s">
        <v>62</v>
      </c>
      <c r="D243" t="s">
        <v>47</v>
      </c>
      <c r="E243" t="s">
        <v>169</v>
      </c>
      <c r="F243" t="s">
        <v>172</v>
      </c>
      <c r="G243" t="s">
        <v>451</v>
      </c>
      <c r="H243" t="s">
        <v>534</v>
      </c>
      <c r="I243" t="s">
        <v>21</v>
      </c>
      <c r="J243" t="s">
        <v>479</v>
      </c>
      <c r="K243" s="86" t="s">
        <v>407</v>
      </c>
    </row>
    <row r="244" spans="1:11" x14ac:dyDescent="0.25">
      <c r="A244" s="86" t="s">
        <v>495</v>
      </c>
      <c r="B244" t="s">
        <v>544</v>
      </c>
      <c r="C244" t="s">
        <v>62</v>
      </c>
      <c r="D244" t="s">
        <v>47</v>
      </c>
      <c r="E244" t="s">
        <v>169</v>
      </c>
      <c r="F244" t="s">
        <v>170</v>
      </c>
      <c r="G244" t="s">
        <v>451</v>
      </c>
      <c r="H244" t="s">
        <v>534</v>
      </c>
      <c r="I244" t="s">
        <v>21</v>
      </c>
      <c r="J244" t="s">
        <v>479</v>
      </c>
      <c r="K244" s="86" t="s">
        <v>407</v>
      </c>
    </row>
    <row r="245" spans="1:11" x14ac:dyDescent="0.25">
      <c r="A245" s="86" t="s">
        <v>495</v>
      </c>
      <c r="B245" t="s">
        <v>545</v>
      </c>
      <c r="C245" t="s">
        <v>58</v>
      </c>
      <c r="D245" t="s">
        <v>43</v>
      </c>
      <c r="E245" t="s">
        <v>68</v>
      </c>
      <c r="F245" t="s">
        <v>119</v>
      </c>
      <c r="G245" t="s">
        <v>453</v>
      </c>
      <c r="H245" t="s">
        <v>534</v>
      </c>
      <c r="I245" t="s">
        <v>21</v>
      </c>
      <c r="J245" t="s">
        <v>479</v>
      </c>
      <c r="K245" s="86" t="s">
        <v>454</v>
      </c>
    </row>
    <row r="246" spans="1:11" x14ac:dyDescent="0.25">
      <c r="A246" s="86" t="s">
        <v>495</v>
      </c>
      <c r="B246" t="s">
        <v>545</v>
      </c>
      <c r="C246" t="s">
        <v>58</v>
      </c>
      <c r="D246" t="s">
        <v>43</v>
      </c>
      <c r="E246" t="s">
        <v>68</v>
      </c>
      <c r="F246" t="s">
        <v>69</v>
      </c>
      <c r="G246" t="s">
        <v>453</v>
      </c>
      <c r="H246" t="s">
        <v>534</v>
      </c>
      <c r="I246" t="s">
        <v>21</v>
      </c>
      <c r="J246" t="s">
        <v>479</v>
      </c>
      <c r="K246" s="86" t="s">
        <v>454</v>
      </c>
    </row>
    <row r="247" spans="1:11" x14ac:dyDescent="0.25">
      <c r="A247" s="86" t="s">
        <v>495</v>
      </c>
      <c r="B247" t="s">
        <v>545</v>
      </c>
      <c r="C247" t="s">
        <v>58</v>
      </c>
      <c r="D247" t="s">
        <v>43</v>
      </c>
      <c r="E247" t="s">
        <v>74</v>
      </c>
      <c r="F247" t="s">
        <v>164</v>
      </c>
      <c r="G247" t="s">
        <v>453</v>
      </c>
      <c r="H247" t="s">
        <v>534</v>
      </c>
      <c r="I247" t="s">
        <v>21</v>
      </c>
      <c r="J247" t="s">
        <v>479</v>
      </c>
      <c r="K247" s="86" t="s">
        <v>454</v>
      </c>
    </row>
    <row r="248" spans="1:11" x14ac:dyDescent="0.25">
      <c r="A248" s="86" t="s">
        <v>495</v>
      </c>
      <c r="B248" t="s">
        <v>545</v>
      </c>
      <c r="C248" t="s">
        <v>58</v>
      </c>
      <c r="D248" t="s">
        <v>45</v>
      </c>
      <c r="E248" t="s">
        <v>154</v>
      </c>
      <c r="F248" t="s">
        <v>167</v>
      </c>
      <c r="G248" t="s">
        <v>453</v>
      </c>
      <c r="H248" t="s">
        <v>534</v>
      </c>
      <c r="I248" t="s">
        <v>21</v>
      </c>
      <c r="J248" t="s">
        <v>479</v>
      </c>
      <c r="K248" s="86" t="s">
        <v>454</v>
      </c>
    </row>
    <row r="249" spans="1:11" x14ac:dyDescent="0.25">
      <c r="A249" s="86" t="s">
        <v>495</v>
      </c>
      <c r="B249" t="s">
        <v>545</v>
      </c>
      <c r="C249" t="s">
        <v>58</v>
      </c>
      <c r="D249" t="s">
        <v>45</v>
      </c>
      <c r="E249" t="s">
        <v>121</v>
      </c>
      <c r="F249" t="s">
        <v>122</v>
      </c>
      <c r="G249" t="s">
        <v>453</v>
      </c>
      <c r="H249" t="s">
        <v>534</v>
      </c>
      <c r="I249" t="s">
        <v>21</v>
      </c>
      <c r="J249" t="s">
        <v>479</v>
      </c>
      <c r="K249" s="86" t="s">
        <v>454</v>
      </c>
    </row>
    <row r="250" spans="1:11" x14ac:dyDescent="0.25">
      <c r="A250" s="86" t="s">
        <v>495</v>
      </c>
      <c r="B250" t="s">
        <v>545</v>
      </c>
      <c r="C250" t="s">
        <v>58</v>
      </c>
      <c r="D250" t="s">
        <v>47</v>
      </c>
      <c r="E250" t="s">
        <v>151</v>
      </c>
      <c r="F250" t="s">
        <v>352</v>
      </c>
      <c r="G250" t="s">
        <v>453</v>
      </c>
      <c r="H250" t="s">
        <v>534</v>
      </c>
      <c r="I250" t="s">
        <v>21</v>
      </c>
      <c r="J250" t="s">
        <v>479</v>
      </c>
      <c r="K250" s="86" t="s">
        <v>454</v>
      </c>
    </row>
    <row r="251" spans="1:11" x14ac:dyDescent="0.25">
      <c r="A251" s="86" t="s">
        <v>495</v>
      </c>
      <c r="B251" t="s">
        <v>545</v>
      </c>
      <c r="C251" t="s">
        <v>62</v>
      </c>
      <c r="D251" t="s">
        <v>45</v>
      </c>
      <c r="E251" t="s">
        <v>68</v>
      </c>
      <c r="F251" t="s">
        <v>69</v>
      </c>
      <c r="G251" t="s">
        <v>453</v>
      </c>
      <c r="H251" t="s">
        <v>534</v>
      </c>
      <c r="I251" t="s">
        <v>21</v>
      </c>
      <c r="J251" t="s">
        <v>479</v>
      </c>
      <c r="K251" s="86" t="s">
        <v>454</v>
      </c>
    </row>
    <row r="252" spans="1:11" x14ac:dyDescent="0.25">
      <c r="A252" s="86" t="s">
        <v>495</v>
      </c>
      <c r="B252" t="s">
        <v>545</v>
      </c>
      <c r="C252" t="s">
        <v>62</v>
      </c>
      <c r="D252" t="s">
        <v>45</v>
      </c>
      <c r="E252" t="s">
        <v>74</v>
      </c>
      <c r="F252" t="s">
        <v>164</v>
      </c>
      <c r="G252" t="s">
        <v>453</v>
      </c>
      <c r="H252" t="s">
        <v>534</v>
      </c>
      <c r="I252" t="s">
        <v>21</v>
      </c>
      <c r="J252" t="s">
        <v>479</v>
      </c>
      <c r="K252" s="86" t="s">
        <v>454</v>
      </c>
    </row>
    <row r="253" spans="1:11" x14ac:dyDescent="0.25">
      <c r="A253" s="86" t="s">
        <v>495</v>
      </c>
      <c r="B253" t="s">
        <v>545</v>
      </c>
      <c r="C253" t="s">
        <v>62</v>
      </c>
      <c r="D253" t="s">
        <v>47</v>
      </c>
      <c r="E253" t="s">
        <v>151</v>
      </c>
      <c r="F253" t="s">
        <v>180</v>
      </c>
      <c r="G253" t="s">
        <v>453</v>
      </c>
      <c r="H253" t="s">
        <v>534</v>
      </c>
      <c r="I253" t="s">
        <v>21</v>
      </c>
      <c r="J253" t="s">
        <v>479</v>
      </c>
      <c r="K253" s="86" t="s">
        <v>454</v>
      </c>
    </row>
    <row r="254" spans="1:11" x14ac:dyDescent="0.25">
      <c r="A254" s="86" t="s">
        <v>495</v>
      </c>
      <c r="B254" t="s">
        <v>545</v>
      </c>
      <c r="C254" t="s">
        <v>62</v>
      </c>
      <c r="D254" t="s">
        <v>47</v>
      </c>
      <c r="E254" t="s">
        <v>154</v>
      </c>
      <c r="F254" t="s">
        <v>404</v>
      </c>
      <c r="G254" t="s">
        <v>453</v>
      </c>
      <c r="H254" t="s">
        <v>534</v>
      </c>
      <c r="I254" t="s">
        <v>21</v>
      </c>
      <c r="J254" t="s">
        <v>479</v>
      </c>
      <c r="K254" s="86" t="s">
        <v>454</v>
      </c>
    </row>
    <row r="255" spans="1:11" x14ac:dyDescent="0.25">
      <c r="A255" s="86" t="s">
        <v>495</v>
      </c>
      <c r="B255" t="s">
        <v>546</v>
      </c>
      <c r="C255" t="s">
        <v>58</v>
      </c>
      <c r="D255" t="s">
        <v>43</v>
      </c>
      <c r="E255" t="s">
        <v>68</v>
      </c>
      <c r="F255" t="s">
        <v>69</v>
      </c>
      <c r="G255" t="s">
        <v>456</v>
      </c>
      <c r="H255" t="s">
        <v>534</v>
      </c>
      <c r="I255" t="s">
        <v>21</v>
      </c>
      <c r="J255" t="s">
        <v>479</v>
      </c>
      <c r="K255" s="86" t="s">
        <v>457</v>
      </c>
    </row>
    <row r="256" spans="1:11" x14ac:dyDescent="0.25">
      <c r="A256" s="86" t="s">
        <v>495</v>
      </c>
      <c r="B256" t="s">
        <v>546</v>
      </c>
      <c r="C256" t="s">
        <v>58</v>
      </c>
      <c r="D256" t="s">
        <v>43</v>
      </c>
      <c r="E256" t="s">
        <v>68</v>
      </c>
      <c r="F256" t="s">
        <v>290</v>
      </c>
      <c r="G256" t="s">
        <v>456</v>
      </c>
      <c r="H256" t="s">
        <v>534</v>
      </c>
      <c r="I256" t="s">
        <v>21</v>
      </c>
      <c r="J256" t="s">
        <v>479</v>
      </c>
      <c r="K256" s="86" t="s">
        <v>457</v>
      </c>
    </row>
    <row r="257" spans="1:11" x14ac:dyDescent="0.25">
      <c r="A257" s="86" t="s">
        <v>495</v>
      </c>
      <c r="B257" t="s">
        <v>546</v>
      </c>
      <c r="C257" t="s">
        <v>58</v>
      </c>
      <c r="D257" t="s">
        <v>43</v>
      </c>
      <c r="E257" t="s">
        <v>121</v>
      </c>
      <c r="F257" t="s">
        <v>383</v>
      </c>
      <c r="G257" t="s">
        <v>456</v>
      </c>
      <c r="H257" t="s">
        <v>534</v>
      </c>
      <c r="I257" t="s">
        <v>21</v>
      </c>
      <c r="J257" t="s">
        <v>479</v>
      </c>
      <c r="K257" s="86" t="s">
        <v>457</v>
      </c>
    </row>
    <row r="258" spans="1:11" x14ac:dyDescent="0.25">
      <c r="A258" s="86" t="s">
        <v>495</v>
      </c>
      <c r="B258" t="s">
        <v>546</v>
      </c>
      <c r="C258" t="s">
        <v>58</v>
      </c>
      <c r="D258" t="s">
        <v>43</v>
      </c>
      <c r="E258" t="s">
        <v>151</v>
      </c>
      <c r="F258" t="s">
        <v>352</v>
      </c>
      <c r="G258" t="s">
        <v>456</v>
      </c>
      <c r="H258" t="s">
        <v>534</v>
      </c>
      <c r="I258" t="s">
        <v>21</v>
      </c>
      <c r="J258" t="s">
        <v>479</v>
      </c>
      <c r="K258" s="86" t="s">
        <v>457</v>
      </c>
    </row>
    <row r="259" spans="1:11" x14ac:dyDescent="0.25">
      <c r="A259" s="86" t="s">
        <v>495</v>
      </c>
      <c r="B259" t="s">
        <v>546</v>
      </c>
      <c r="C259" t="s">
        <v>58</v>
      </c>
      <c r="D259" t="s">
        <v>43</v>
      </c>
      <c r="E259" t="s">
        <v>154</v>
      </c>
      <c r="F259" t="s">
        <v>404</v>
      </c>
      <c r="G259" t="s">
        <v>456</v>
      </c>
      <c r="H259" t="s">
        <v>534</v>
      </c>
      <c r="I259" t="s">
        <v>21</v>
      </c>
      <c r="J259" t="s">
        <v>479</v>
      </c>
      <c r="K259" s="86" t="s">
        <v>457</v>
      </c>
    </row>
    <row r="260" spans="1:11" x14ac:dyDescent="0.25">
      <c r="A260" s="86" t="s">
        <v>495</v>
      </c>
      <c r="B260" t="s">
        <v>546</v>
      </c>
      <c r="C260" t="s">
        <v>62</v>
      </c>
      <c r="D260" t="s">
        <v>45</v>
      </c>
      <c r="E260" t="s">
        <v>68</v>
      </c>
      <c r="F260" t="s">
        <v>378</v>
      </c>
      <c r="G260" t="s">
        <v>456</v>
      </c>
      <c r="H260" t="s">
        <v>534</v>
      </c>
      <c r="I260" t="s">
        <v>21</v>
      </c>
      <c r="J260" t="s">
        <v>479</v>
      </c>
      <c r="K260" s="86" t="s">
        <v>457</v>
      </c>
    </row>
    <row r="261" spans="1:11" x14ac:dyDescent="0.25">
      <c r="A261" s="86" t="s">
        <v>495</v>
      </c>
      <c r="B261" t="s">
        <v>546</v>
      </c>
      <c r="C261" t="s">
        <v>62</v>
      </c>
      <c r="D261" t="s">
        <v>45</v>
      </c>
      <c r="E261" t="s">
        <v>154</v>
      </c>
      <c r="F261" t="s">
        <v>167</v>
      </c>
      <c r="G261" t="s">
        <v>456</v>
      </c>
      <c r="H261" t="s">
        <v>534</v>
      </c>
      <c r="I261" t="s">
        <v>21</v>
      </c>
      <c r="J261" t="s">
        <v>479</v>
      </c>
      <c r="K261" s="86" t="s">
        <v>457</v>
      </c>
    </row>
    <row r="262" spans="1:11" x14ac:dyDescent="0.25">
      <c r="A262" s="86" t="s">
        <v>495</v>
      </c>
      <c r="B262" t="s">
        <v>546</v>
      </c>
      <c r="C262" t="s">
        <v>62</v>
      </c>
      <c r="D262" t="s">
        <v>45</v>
      </c>
      <c r="E262" t="s">
        <v>154</v>
      </c>
      <c r="F262" t="s">
        <v>168</v>
      </c>
      <c r="G262" t="s">
        <v>456</v>
      </c>
      <c r="H262" t="s">
        <v>534</v>
      </c>
      <c r="I262" t="s">
        <v>21</v>
      </c>
      <c r="J262" t="s">
        <v>479</v>
      </c>
      <c r="K262" s="86" t="s">
        <v>457</v>
      </c>
    </row>
    <row r="263" spans="1:11" x14ac:dyDescent="0.25">
      <c r="A263" s="86" t="s">
        <v>495</v>
      </c>
      <c r="B263" t="s">
        <v>546</v>
      </c>
      <c r="C263" t="s">
        <v>62</v>
      </c>
      <c r="D263" t="s">
        <v>45</v>
      </c>
      <c r="E263" t="s">
        <v>169</v>
      </c>
      <c r="F263" t="s">
        <v>172</v>
      </c>
      <c r="G263" t="s">
        <v>456</v>
      </c>
      <c r="H263" t="s">
        <v>534</v>
      </c>
      <c r="I263" t="s">
        <v>21</v>
      </c>
      <c r="J263" t="s">
        <v>479</v>
      </c>
      <c r="K263" s="86" t="s">
        <v>457</v>
      </c>
    </row>
    <row r="264" spans="1:11" x14ac:dyDescent="0.25">
      <c r="A264" s="86" t="s">
        <v>495</v>
      </c>
      <c r="B264" t="s">
        <v>546</v>
      </c>
      <c r="C264" t="s">
        <v>62</v>
      </c>
      <c r="D264" t="s">
        <v>45</v>
      </c>
      <c r="E264" t="s">
        <v>151</v>
      </c>
      <c r="F264" t="s">
        <v>181</v>
      </c>
      <c r="G264" t="s">
        <v>456</v>
      </c>
      <c r="H264" t="s">
        <v>534</v>
      </c>
      <c r="I264" t="s">
        <v>21</v>
      </c>
      <c r="J264" t="s">
        <v>479</v>
      </c>
      <c r="K264" s="86" t="s">
        <v>457</v>
      </c>
    </row>
    <row r="265" spans="1:11" x14ac:dyDescent="0.25">
      <c r="A265" s="86" t="s">
        <v>495</v>
      </c>
      <c r="B265" t="s">
        <v>546</v>
      </c>
      <c r="C265" t="s">
        <v>64</v>
      </c>
      <c r="G265" t="s">
        <v>456</v>
      </c>
      <c r="H265" t="s">
        <v>534</v>
      </c>
      <c r="I265" t="s">
        <v>21</v>
      </c>
      <c r="J265" t="s">
        <v>479</v>
      </c>
      <c r="K265" s="86" t="s">
        <v>457</v>
      </c>
    </row>
    <row r="266" spans="1:11" x14ac:dyDescent="0.25">
      <c r="A266" s="86" t="s">
        <v>495</v>
      </c>
      <c r="B266" t="s">
        <v>547</v>
      </c>
      <c r="C266" t="s">
        <v>58</v>
      </c>
      <c r="D266" t="s">
        <v>43</v>
      </c>
      <c r="E266" t="s">
        <v>121</v>
      </c>
      <c r="F266" t="s">
        <v>381</v>
      </c>
      <c r="G266" t="s">
        <v>459</v>
      </c>
      <c r="H266" t="s">
        <v>534</v>
      </c>
      <c r="I266" t="s">
        <v>21</v>
      </c>
      <c r="J266" t="s">
        <v>479</v>
      </c>
      <c r="K266" s="86" t="s">
        <v>460</v>
      </c>
    </row>
    <row r="267" spans="1:11" x14ac:dyDescent="0.25">
      <c r="A267" s="86" t="s">
        <v>495</v>
      </c>
      <c r="B267" t="s">
        <v>547</v>
      </c>
      <c r="C267" t="s">
        <v>58</v>
      </c>
      <c r="D267" t="s">
        <v>43</v>
      </c>
      <c r="E267" t="s">
        <v>121</v>
      </c>
      <c r="F267" t="s">
        <v>386</v>
      </c>
      <c r="G267" t="s">
        <v>459</v>
      </c>
      <c r="H267" t="s">
        <v>534</v>
      </c>
      <c r="I267" t="s">
        <v>21</v>
      </c>
      <c r="J267" t="s">
        <v>479</v>
      </c>
      <c r="K267" s="86" t="s">
        <v>460</v>
      </c>
    </row>
    <row r="268" spans="1:11" x14ac:dyDescent="0.25">
      <c r="A268" s="86" t="s">
        <v>495</v>
      </c>
      <c r="B268" t="s">
        <v>547</v>
      </c>
      <c r="C268" t="s">
        <v>58</v>
      </c>
      <c r="D268" t="s">
        <v>43</v>
      </c>
      <c r="E268" t="s">
        <v>74</v>
      </c>
      <c r="F268" t="s">
        <v>166</v>
      </c>
      <c r="G268" t="s">
        <v>459</v>
      </c>
      <c r="H268" t="s">
        <v>534</v>
      </c>
      <c r="I268" t="s">
        <v>21</v>
      </c>
      <c r="J268" t="s">
        <v>479</v>
      </c>
      <c r="K268" s="86" t="s">
        <v>460</v>
      </c>
    </row>
    <row r="269" spans="1:11" x14ac:dyDescent="0.25">
      <c r="A269" s="86" t="s">
        <v>495</v>
      </c>
      <c r="B269" t="s">
        <v>547</v>
      </c>
      <c r="C269" t="s">
        <v>62</v>
      </c>
      <c r="D269" t="s">
        <v>43</v>
      </c>
      <c r="E269" t="s">
        <v>74</v>
      </c>
      <c r="F269" t="s">
        <v>76</v>
      </c>
      <c r="G269" t="s">
        <v>459</v>
      </c>
      <c r="H269" t="s">
        <v>534</v>
      </c>
      <c r="I269" t="s">
        <v>21</v>
      </c>
      <c r="J269" t="s">
        <v>479</v>
      </c>
      <c r="K269" s="86" t="s">
        <v>460</v>
      </c>
    </row>
    <row r="270" spans="1:11" x14ac:dyDescent="0.25">
      <c r="A270" s="86" t="s">
        <v>495</v>
      </c>
      <c r="B270" t="s">
        <v>547</v>
      </c>
      <c r="C270" t="s">
        <v>62</v>
      </c>
      <c r="D270" t="s">
        <v>45</v>
      </c>
      <c r="E270" t="s">
        <v>68</v>
      </c>
      <c r="F270" t="s">
        <v>69</v>
      </c>
      <c r="G270" t="s">
        <v>459</v>
      </c>
      <c r="H270" t="s">
        <v>534</v>
      </c>
      <c r="I270" t="s">
        <v>21</v>
      </c>
      <c r="J270" t="s">
        <v>479</v>
      </c>
      <c r="K270" s="86" t="s">
        <v>460</v>
      </c>
    </row>
    <row r="271" spans="1:11" x14ac:dyDescent="0.25">
      <c r="A271" s="86" t="s">
        <v>495</v>
      </c>
      <c r="B271" t="s">
        <v>547</v>
      </c>
      <c r="C271" t="s">
        <v>62</v>
      </c>
      <c r="D271" t="s">
        <v>45</v>
      </c>
      <c r="E271" t="s">
        <v>68</v>
      </c>
      <c r="F271" t="s">
        <v>290</v>
      </c>
      <c r="G271" t="s">
        <v>459</v>
      </c>
      <c r="H271" t="s">
        <v>534</v>
      </c>
      <c r="I271" t="s">
        <v>21</v>
      </c>
      <c r="J271" t="s">
        <v>479</v>
      </c>
      <c r="K271" s="86" t="s">
        <v>460</v>
      </c>
    </row>
    <row r="272" spans="1:11" x14ac:dyDescent="0.25">
      <c r="A272" s="86" t="s">
        <v>495</v>
      </c>
      <c r="B272" t="s">
        <v>547</v>
      </c>
      <c r="C272" t="s">
        <v>58</v>
      </c>
      <c r="D272" t="s">
        <v>45</v>
      </c>
      <c r="E272" t="s">
        <v>68</v>
      </c>
      <c r="F272" t="s">
        <v>289</v>
      </c>
      <c r="G272" t="s">
        <v>459</v>
      </c>
      <c r="H272" t="s">
        <v>534</v>
      </c>
      <c r="I272" t="s">
        <v>21</v>
      </c>
      <c r="J272" t="s">
        <v>479</v>
      </c>
      <c r="K272" s="86" t="s">
        <v>460</v>
      </c>
    </row>
    <row r="273" spans="1:11" x14ac:dyDescent="0.25">
      <c r="A273" s="86" t="s">
        <v>495</v>
      </c>
      <c r="B273" t="s">
        <v>547</v>
      </c>
      <c r="C273" t="s">
        <v>62</v>
      </c>
      <c r="D273" t="s">
        <v>45</v>
      </c>
      <c r="E273" t="s">
        <v>154</v>
      </c>
      <c r="F273" t="s">
        <v>404</v>
      </c>
      <c r="G273" t="s">
        <v>459</v>
      </c>
      <c r="H273" t="s">
        <v>534</v>
      </c>
      <c r="I273" t="s">
        <v>21</v>
      </c>
      <c r="J273" t="s">
        <v>479</v>
      </c>
      <c r="K273" s="86" t="s">
        <v>460</v>
      </c>
    </row>
    <row r="274" spans="1:11" x14ac:dyDescent="0.25">
      <c r="A274" s="86" t="s">
        <v>495</v>
      </c>
      <c r="B274" t="s">
        <v>547</v>
      </c>
      <c r="C274" t="s">
        <v>62</v>
      </c>
      <c r="D274" t="s">
        <v>47</v>
      </c>
      <c r="E274" t="s">
        <v>151</v>
      </c>
      <c r="F274" t="s">
        <v>352</v>
      </c>
      <c r="G274" t="s">
        <v>459</v>
      </c>
      <c r="H274" t="s">
        <v>534</v>
      </c>
      <c r="I274" t="s">
        <v>21</v>
      </c>
      <c r="J274" t="s">
        <v>479</v>
      </c>
      <c r="K274" s="86" t="s">
        <v>460</v>
      </c>
    </row>
    <row r="275" spans="1:11" x14ac:dyDescent="0.25">
      <c r="A275" s="86" t="s">
        <v>495</v>
      </c>
      <c r="B275" t="s">
        <v>547</v>
      </c>
      <c r="C275" t="s">
        <v>62</v>
      </c>
      <c r="D275" t="s">
        <v>47</v>
      </c>
      <c r="E275" t="s">
        <v>154</v>
      </c>
      <c r="F275" t="s">
        <v>167</v>
      </c>
      <c r="G275" t="s">
        <v>459</v>
      </c>
      <c r="H275" t="s">
        <v>534</v>
      </c>
      <c r="I275" t="s">
        <v>21</v>
      </c>
      <c r="J275" t="s">
        <v>479</v>
      </c>
      <c r="K275" s="86" t="s">
        <v>460</v>
      </c>
    </row>
    <row r="276" spans="1:11" x14ac:dyDescent="0.25">
      <c r="A276" s="86" t="s">
        <v>495</v>
      </c>
      <c r="B276" t="s">
        <v>547</v>
      </c>
      <c r="C276" t="s">
        <v>62</v>
      </c>
      <c r="D276" t="s">
        <v>47</v>
      </c>
      <c r="E276" t="s">
        <v>169</v>
      </c>
      <c r="F276" t="s">
        <v>172</v>
      </c>
      <c r="G276" t="s">
        <v>459</v>
      </c>
      <c r="H276" t="s">
        <v>534</v>
      </c>
      <c r="I276" t="s">
        <v>21</v>
      </c>
      <c r="J276" t="s">
        <v>479</v>
      </c>
      <c r="K276" s="86" t="s">
        <v>460</v>
      </c>
    </row>
    <row r="277" spans="1:11" x14ac:dyDescent="0.25">
      <c r="A277" s="86" t="s">
        <v>495</v>
      </c>
      <c r="B277" t="s">
        <v>548</v>
      </c>
      <c r="C277" t="s">
        <v>58</v>
      </c>
      <c r="D277" t="s">
        <v>43</v>
      </c>
      <c r="E277" t="s">
        <v>68</v>
      </c>
      <c r="F277" t="s">
        <v>119</v>
      </c>
      <c r="G277" t="s">
        <v>463</v>
      </c>
      <c r="H277" t="s">
        <v>534</v>
      </c>
      <c r="I277" t="s">
        <v>21</v>
      </c>
      <c r="J277" t="s">
        <v>479</v>
      </c>
      <c r="K277" s="86" t="s">
        <v>464</v>
      </c>
    </row>
    <row r="278" spans="1:11" x14ac:dyDescent="0.25">
      <c r="A278" s="86" t="s">
        <v>495</v>
      </c>
      <c r="B278" t="s">
        <v>548</v>
      </c>
      <c r="C278" t="s">
        <v>58</v>
      </c>
      <c r="D278" t="s">
        <v>43</v>
      </c>
      <c r="E278" t="s">
        <v>68</v>
      </c>
      <c r="F278" t="s">
        <v>69</v>
      </c>
      <c r="G278" t="s">
        <v>463</v>
      </c>
      <c r="H278" t="s">
        <v>534</v>
      </c>
      <c r="I278" t="s">
        <v>21</v>
      </c>
      <c r="J278" t="s">
        <v>479</v>
      </c>
      <c r="K278" s="86" t="s">
        <v>464</v>
      </c>
    </row>
    <row r="279" spans="1:11" x14ac:dyDescent="0.25">
      <c r="A279" s="86" t="s">
        <v>495</v>
      </c>
      <c r="B279" t="s">
        <v>548</v>
      </c>
      <c r="C279" t="s">
        <v>58</v>
      </c>
      <c r="D279" t="s">
        <v>43</v>
      </c>
      <c r="E279" t="s">
        <v>151</v>
      </c>
      <c r="F279" t="s">
        <v>352</v>
      </c>
      <c r="G279" t="s">
        <v>463</v>
      </c>
      <c r="H279" t="s">
        <v>534</v>
      </c>
      <c r="I279" t="s">
        <v>21</v>
      </c>
      <c r="J279" t="s">
        <v>479</v>
      </c>
      <c r="K279" s="86" t="s">
        <v>464</v>
      </c>
    </row>
    <row r="280" spans="1:11" x14ac:dyDescent="0.25">
      <c r="A280" s="86" t="s">
        <v>495</v>
      </c>
      <c r="B280" t="s">
        <v>548</v>
      </c>
      <c r="C280" t="s">
        <v>58</v>
      </c>
      <c r="D280" t="s">
        <v>43</v>
      </c>
      <c r="E280" t="s">
        <v>154</v>
      </c>
      <c r="F280" t="s">
        <v>167</v>
      </c>
      <c r="G280" t="s">
        <v>463</v>
      </c>
      <c r="H280" t="s">
        <v>534</v>
      </c>
      <c r="I280" t="s">
        <v>21</v>
      </c>
      <c r="J280" t="s">
        <v>479</v>
      </c>
      <c r="K280" s="86" t="s">
        <v>464</v>
      </c>
    </row>
    <row r="281" spans="1:11" x14ac:dyDescent="0.25">
      <c r="A281" s="86" t="s">
        <v>495</v>
      </c>
      <c r="B281" t="s">
        <v>548</v>
      </c>
      <c r="C281" t="s">
        <v>62</v>
      </c>
      <c r="D281" t="s">
        <v>45</v>
      </c>
      <c r="E281" t="s">
        <v>68</v>
      </c>
      <c r="F281" t="s">
        <v>417</v>
      </c>
      <c r="G281" t="s">
        <v>463</v>
      </c>
      <c r="H281" t="s">
        <v>534</v>
      </c>
      <c r="I281" t="s">
        <v>21</v>
      </c>
      <c r="J281" t="s">
        <v>479</v>
      </c>
      <c r="K281" s="86" t="s">
        <v>464</v>
      </c>
    </row>
    <row r="282" spans="1:11" x14ac:dyDescent="0.25">
      <c r="A282" s="86" t="s">
        <v>495</v>
      </c>
      <c r="B282" t="s">
        <v>548</v>
      </c>
      <c r="C282" t="s">
        <v>62</v>
      </c>
      <c r="D282" t="s">
        <v>45</v>
      </c>
      <c r="E282" t="s">
        <v>74</v>
      </c>
      <c r="F282" t="s">
        <v>164</v>
      </c>
      <c r="G282" t="s">
        <v>463</v>
      </c>
      <c r="H282" t="s">
        <v>534</v>
      </c>
      <c r="I282" t="s">
        <v>21</v>
      </c>
      <c r="J282" t="s">
        <v>479</v>
      </c>
      <c r="K282" s="86" t="s">
        <v>464</v>
      </c>
    </row>
    <row r="283" spans="1:11" x14ac:dyDescent="0.25">
      <c r="A283" s="86" t="s">
        <v>495</v>
      </c>
      <c r="B283" t="s">
        <v>548</v>
      </c>
      <c r="C283" t="s">
        <v>62</v>
      </c>
      <c r="D283" t="s">
        <v>45</v>
      </c>
      <c r="E283" t="s">
        <v>68</v>
      </c>
      <c r="F283" t="s">
        <v>290</v>
      </c>
      <c r="G283" t="s">
        <v>463</v>
      </c>
      <c r="H283" t="s">
        <v>534</v>
      </c>
      <c r="I283" t="s">
        <v>21</v>
      </c>
      <c r="J283" t="s">
        <v>479</v>
      </c>
      <c r="K283" s="86" t="s">
        <v>464</v>
      </c>
    </row>
    <row r="284" spans="1:11" x14ac:dyDescent="0.25">
      <c r="A284" s="86" t="s">
        <v>495</v>
      </c>
      <c r="B284" t="s">
        <v>548</v>
      </c>
      <c r="C284" t="s">
        <v>62</v>
      </c>
      <c r="D284" t="s">
        <v>47</v>
      </c>
      <c r="E284" t="s">
        <v>68</v>
      </c>
      <c r="F284" t="s">
        <v>417</v>
      </c>
      <c r="G284" t="s">
        <v>463</v>
      </c>
      <c r="H284" t="s">
        <v>534</v>
      </c>
      <c r="I284" t="s">
        <v>21</v>
      </c>
      <c r="J284" t="s">
        <v>479</v>
      </c>
      <c r="K284" s="86" t="s">
        <v>464</v>
      </c>
    </row>
    <row r="285" spans="1:11" x14ac:dyDescent="0.25">
      <c r="A285" s="86" t="s">
        <v>495</v>
      </c>
      <c r="B285" t="s">
        <v>548</v>
      </c>
      <c r="C285" t="s">
        <v>62</v>
      </c>
      <c r="D285" t="s">
        <v>47</v>
      </c>
      <c r="E285" t="s">
        <v>74</v>
      </c>
      <c r="F285" t="s">
        <v>75</v>
      </c>
      <c r="G285" t="s">
        <v>463</v>
      </c>
      <c r="H285" t="s">
        <v>534</v>
      </c>
      <c r="I285" t="s">
        <v>21</v>
      </c>
      <c r="J285" t="s">
        <v>479</v>
      </c>
      <c r="K285" s="86" t="s">
        <v>464</v>
      </c>
    </row>
    <row r="286" spans="1:11" x14ac:dyDescent="0.25">
      <c r="A286" s="86" t="s">
        <v>495</v>
      </c>
      <c r="B286" t="s">
        <v>548</v>
      </c>
      <c r="C286" t="s">
        <v>62</v>
      </c>
      <c r="D286" t="s">
        <v>47</v>
      </c>
      <c r="E286" t="s">
        <v>74</v>
      </c>
      <c r="F286" t="s">
        <v>165</v>
      </c>
      <c r="G286" t="s">
        <v>463</v>
      </c>
      <c r="H286" t="s">
        <v>534</v>
      </c>
      <c r="I286" t="s">
        <v>21</v>
      </c>
      <c r="J286" t="s">
        <v>479</v>
      </c>
      <c r="K286" s="86" t="s">
        <v>464</v>
      </c>
    </row>
    <row r="287" spans="1:11" x14ac:dyDescent="0.25">
      <c r="A287" s="86" t="s">
        <v>495</v>
      </c>
      <c r="B287" t="s">
        <v>548</v>
      </c>
      <c r="C287" t="s">
        <v>62</v>
      </c>
      <c r="D287" t="s">
        <v>47</v>
      </c>
      <c r="E287" t="s">
        <v>123</v>
      </c>
      <c r="F287" t="s">
        <v>156</v>
      </c>
      <c r="G287" t="s">
        <v>463</v>
      </c>
      <c r="H287" t="s">
        <v>534</v>
      </c>
      <c r="I287" t="s">
        <v>21</v>
      </c>
      <c r="J287" t="s">
        <v>479</v>
      </c>
      <c r="K287" s="86" t="s">
        <v>464</v>
      </c>
    </row>
    <row r="288" spans="1:11" x14ac:dyDescent="0.25">
      <c r="A288" s="86" t="s">
        <v>495</v>
      </c>
      <c r="B288" t="s">
        <v>549</v>
      </c>
      <c r="C288" t="s">
        <v>58</v>
      </c>
      <c r="D288" t="s">
        <v>43</v>
      </c>
      <c r="E288" t="s">
        <v>68</v>
      </c>
      <c r="F288" t="s">
        <v>290</v>
      </c>
      <c r="G288" t="s">
        <v>466</v>
      </c>
      <c r="H288" t="s">
        <v>534</v>
      </c>
      <c r="I288" t="s">
        <v>21</v>
      </c>
      <c r="J288" t="s">
        <v>479</v>
      </c>
      <c r="K288" s="86" t="s">
        <v>412</v>
      </c>
    </row>
    <row r="289" spans="1:11" x14ac:dyDescent="0.25">
      <c r="A289" s="86" t="s">
        <v>495</v>
      </c>
      <c r="B289" t="s">
        <v>549</v>
      </c>
      <c r="C289" t="s">
        <v>58</v>
      </c>
      <c r="D289" t="s">
        <v>43</v>
      </c>
      <c r="E289" t="s">
        <v>68</v>
      </c>
      <c r="F289" t="s">
        <v>417</v>
      </c>
      <c r="G289" t="s">
        <v>466</v>
      </c>
      <c r="H289" t="s">
        <v>534</v>
      </c>
      <c r="I289" t="s">
        <v>21</v>
      </c>
      <c r="J289" t="s">
        <v>479</v>
      </c>
      <c r="K289" s="86" t="s">
        <v>412</v>
      </c>
    </row>
    <row r="290" spans="1:11" x14ac:dyDescent="0.25">
      <c r="A290" s="86" t="s">
        <v>495</v>
      </c>
      <c r="B290" t="s">
        <v>549</v>
      </c>
      <c r="C290" t="s">
        <v>58</v>
      </c>
      <c r="D290" t="s">
        <v>43</v>
      </c>
      <c r="E290" t="s">
        <v>74</v>
      </c>
      <c r="F290" t="s">
        <v>75</v>
      </c>
      <c r="G290" t="s">
        <v>466</v>
      </c>
      <c r="H290" t="s">
        <v>534</v>
      </c>
      <c r="I290" t="s">
        <v>21</v>
      </c>
      <c r="J290" t="s">
        <v>479</v>
      </c>
      <c r="K290" s="86" t="s">
        <v>412</v>
      </c>
    </row>
    <row r="291" spans="1:11" x14ac:dyDescent="0.25">
      <c r="A291" s="86" t="s">
        <v>495</v>
      </c>
      <c r="B291" t="s">
        <v>549</v>
      </c>
      <c r="C291" t="s">
        <v>62</v>
      </c>
      <c r="D291" t="s">
        <v>43</v>
      </c>
      <c r="E291" t="s">
        <v>154</v>
      </c>
      <c r="F291" t="s">
        <v>167</v>
      </c>
      <c r="G291" t="s">
        <v>466</v>
      </c>
      <c r="H291" t="s">
        <v>534</v>
      </c>
      <c r="I291" t="s">
        <v>21</v>
      </c>
      <c r="J291" t="s">
        <v>479</v>
      </c>
      <c r="K291" s="86" t="s">
        <v>412</v>
      </c>
    </row>
    <row r="292" spans="1:11" x14ac:dyDescent="0.25">
      <c r="A292" s="86" t="s">
        <v>495</v>
      </c>
      <c r="B292" t="s">
        <v>549</v>
      </c>
      <c r="C292" t="s">
        <v>62</v>
      </c>
      <c r="D292" t="s">
        <v>45</v>
      </c>
      <c r="E292" t="s">
        <v>121</v>
      </c>
      <c r="F292" t="s">
        <v>386</v>
      </c>
      <c r="G292" t="s">
        <v>466</v>
      </c>
      <c r="H292" t="s">
        <v>534</v>
      </c>
      <c r="I292" t="s">
        <v>21</v>
      </c>
      <c r="J292" t="s">
        <v>479</v>
      </c>
      <c r="K292" s="86" t="s">
        <v>412</v>
      </c>
    </row>
    <row r="293" spans="1:11" x14ac:dyDescent="0.25">
      <c r="A293" s="86" t="s">
        <v>495</v>
      </c>
      <c r="B293" t="s">
        <v>549</v>
      </c>
      <c r="C293" t="s">
        <v>62</v>
      </c>
      <c r="D293" t="s">
        <v>45</v>
      </c>
      <c r="E293" t="s">
        <v>70</v>
      </c>
      <c r="F293" t="s">
        <v>162</v>
      </c>
      <c r="G293" t="s">
        <v>466</v>
      </c>
      <c r="H293" t="s">
        <v>534</v>
      </c>
      <c r="I293" t="s">
        <v>21</v>
      </c>
      <c r="J293" t="s">
        <v>479</v>
      </c>
      <c r="K293" s="86" t="s">
        <v>412</v>
      </c>
    </row>
    <row r="294" spans="1:11" x14ac:dyDescent="0.25">
      <c r="A294" s="86" t="s">
        <v>495</v>
      </c>
      <c r="B294" t="s">
        <v>549</v>
      </c>
      <c r="C294" t="s">
        <v>62</v>
      </c>
      <c r="D294" t="s">
        <v>45</v>
      </c>
      <c r="E294" t="s">
        <v>74</v>
      </c>
      <c r="F294" t="s">
        <v>75</v>
      </c>
      <c r="G294" t="s">
        <v>466</v>
      </c>
      <c r="H294" t="s">
        <v>534</v>
      </c>
      <c r="I294" t="s">
        <v>21</v>
      </c>
      <c r="J294" t="s">
        <v>479</v>
      </c>
      <c r="K294" s="86" t="s">
        <v>412</v>
      </c>
    </row>
    <row r="295" spans="1:11" x14ac:dyDescent="0.25">
      <c r="A295" s="86" t="s">
        <v>495</v>
      </c>
      <c r="B295" t="s">
        <v>549</v>
      </c>
      <c r="C295" t="s">
        <v>62</v>
      </c>
      <c r="D295" t="s">
        <v>45</v>
      </c>
      <c r="E295" t="s">
        <v>169</v>
      </c>
      <c r="F295" t="s">
        <v>411</v>
      </c>
      <c r="G295" t="s">
        <v>466</v>
      </c>
      <c r="H295" t="s">
        <v>534</v>
      </c>
      <c r="I295" t="s">
        <v>21</v>
      </c>
      <c r="J295" t="s">
        <v>479</v>
      </c>
      <c r="K295" s="86" t="s">
        <v>412</v>
      </c>
    </row>
    <row r="296" spans="1:11" x14ac:dyDescent="0.25">
      <c r="A296" s="86" t="s">
        <v>495</v>
      </c>
      <c r="B296" t="s">
        <v>549</v>
      </c>
      <c r="C296" t="s">
        <v>62</v>
      </c>
      <c r="D296" t="s">
        <v>45</v>
      </c>
      <c r="E296" t="s">
        <v>154</v>
      </c>
      <c r="F296" t="s">
        <v>155</v>
      </c>
      <c r="G296" t="s">
        <v>466</v>
      </c>
      <c r="H296" t="s">
        <v>534</v>
      </c>
      <c r="I296" t="s">
        <v>21</v>
      </c>
      <c r="J296" t="s">
        <v>479</v>
      </c>
      <c r="K296" s="86" t="s">
        <v>412</v>
      </c>
    </row>
    <row r="297" spans="1:11" x14ac:dyDescent="0.25">
      <c r="A297" s="86" t="s">
        <v>495</v>
      </c>
      <c r="B297" t="s">
        <v>549</v>
      </c>
      <c r="C297" t="s">
        <v>62</v>
      </c>
      <c r="D297" t="s">
        <v>47</v>
      </c>
      <c r="E297" t="s">
        <v>72</v>
      </c>
      <c r="F297" t="s">
        <v>182</v>
      </c>
      <c r="G297" t="s">
        <v>466</v>
      </c>
      <c r="H297" t="s">
        <v>534</v>
      </c>
      <c r="I297" t="s">
        <v>21</v>
      </c>
      <c r="J297" t="s">
        <v>479</v>
      </c>
      <c r="K297" s="86" t="s">
        <v>412</v>
      </c>
    </row>
    <row r="298" spans="1:11" x14ac:dyDescent="0.25">
      <c r="A298" s="86" t="s">
        <v>495</v>
      </c>
      <c r="B298" t="s">
        <v>549</v>
      </c>
      <c r="C298" t="s">
        <v>62</v>
      </c>
      <c r="D298" t="s">
        <v>47</v>
      </c>
      <c r="E298" t="s">
        <v>72</v>
      </c>
      <c r="F298" t="s">
        <v>120</v>
      </c>
      <c r="G298" t="s">
        <v>466</v>
      </c>
      <c r="H298" t="s">
        <v>534</v>
      </c>
      <c r="I298" t="s">
        <v>21</v>
      </c>
      <c r="J298" t="s">
        <v>479</v>
      </c>
      <c r="K298" s="86" t="s">
        <v>412</v>
      </c>
    </row>
    <row r="299" spans="1:11" x14ac:dyDescent="0.25">
      <c r="A299" s="86" t="s">
        <v>495</v>
      </c>
      <c r="B299" t="s">
        <v>550</v>
      </c>
      <c r="C299" t="s">
        <v>58</v>
      </c>
      <c r="D299" t="s">
        <v>43</v>
      </c>
      <c r="E299" t="s">
        <v>68</v>
      </c>
      <c r="F299" t="s">
        <v>417</v>
      </c>
      <c r="G299" t="s">
        <v>468</v>
      </c>
      <c r="H299" t="s">
        <v>534</v>
      </c>
      <c r="I299" t="s">
        <v>21</v>
      </c>
      <c r="J299" t="s">
        <v>479</v>
      </c>
      <c r="K299" s="86" t="s">
        <v>469</v>
      </c>
    </row>
    <row r="300" spans="1:11" x14ac:dyDescent="0.25">
      <c r="A300" s="86" t="s">
        <v>495</v>
      </c>
      <c r="B300" t="s">
        <v>550</v>
      </c>
      <c r="C300" t="s">
        <v>58</v>
      </c>
      <c r="D300" t="s">
        <v>43</v>
      </c>
      <c r="E300" t="s">
        <v>121</v>
      </c>
      <c r="F300" t="s">
        <v>383</v>
      </c>
      <c r="G300" t="s">
        <v>468</v>
      </c>
      <c r="H300" t="s">
        <v>534</v>
      </c>
      <c r="I300" t="s">
        <v>21</v>
      </c>
      <c r="J300" t="s">
        <v>479</v>
      </c>
      <c r="K300" s="86" t="s">
        <v>469</v>
      </c>
    </row>
    <row r="301" spans="1:11" x14ac:dyDescent="0.25">
      <c r="A301" s="86" t="s">
        <v>495</v>
      </c>
      <c r="B301" t="s">
        <v>550</v>
      </c>
      <c r="C301" t="s">
        <v>58</v>
      </c>
      <c r="D301" t="s">
        <v>43</v>
      </c>
      <c r="E301" t="s">
        <v>151</v>
      </c>
      <c r="F301" t="s">
        <v>352</v>
      </c>
      <c r="G301" t="s">
        <v>468</v>
      </c>
      <c r="H301" t="s">
        <v>534</v>
      </c>
      <c r="I301" t="s">
        <v>21</v>
      </c>
      <c r="J301" t="s">
        <v>479</v>
      </c>
      <c r="K301" s="86" t="s">
        <v>469</v>
      </c>
    </row>
    <row r="302" spans="1:11" x14ac:dyDescent="0.25">
      <c r="A302" s="86" t="s">
        <v>495</v>
      </c>
      <c r="B302" t="s">
        <v>550</v>
      </c>
      <c r="C302" t="s">
        <v>58</v>
      </c>
      <c r="D302" t="s">
        <v>43</v>
      </c>
      <c r="E302" t="s">
        <v>123</v>
      </c>
      <c r="F302" t="s">
        <v>409</v>
      </c>
      <c r="G302" t="s">
        <v>468</v>
      </c>
      <c r="H302" t="s">
        <v>534</v>
      </c>
      <c r="I302" t="s">
        <v>21</v>
      </c>
      <c r="J302" t="s">
        <v>479</v>
      </c>
      <c r="K302" s="86" t="s">
        <v>469</v>
      </c>
    </row>
    <row r="303" spans="1:11" x14ac:dyDescent="0.25">
      <c r="A303" s="86" t="s">
        <v>495</v>
      </c>
      <c r="B303" t="s">
        <v>550</v>
      </c>
      <c r="C303" t="s">
        <v>58</v>
      </c>
      <c r="D303" t="s">
        <v>45</v>
      </c>
      <c r="E303" t="s">
        <v>121</v>
      </c>
      <c r="F303" t="s">
        <v>122</v>
      </c>
      <c r="G303" t="s">
        <v>468</v>
      </c>
      <c r="H303" t="s">
        <v>534</v>
      </c>
      <c r="I303" t="s">
        <v>21</v>
      </c>
      <c r="J303" t="s">
        <v>479</v>
      </c>
      <c r="K303" s="86" t="s">
        <v>469</v>
      </c>
    </row>
    <row r="304" spans="1:11" x14ac:dyDescent="0.25">
      <c r="A304" s="86" t="s">
        <v>495</v>
      </c>
      <c r="B304" t="s">
        <v>550</v>
      </c>
      <c r="C304" t="s">
        <v>62</v>
      </c>
      <c r="D304" t="s">
        <v>43</v>
      </c>
      <c r="E304" t="s">
        <v>74</v>
      </c>
      <c r="F304" t="s">
        <v>164</v>
      </c>
      <c r="G304" t="s">
        <v>468</v>
      </c>
      <c r="H304" t="s">
        <v>534</v>
      </c>
      <c r="I304" t="s">
        <v>21</v>
      </c>
      <c r="J304" t="s">
        <v>479</v>
      </c>
      <c r="K304" s="86" t="s">
        <v>469</v>
      </c>
    </row>
    <row r="305" spans="1:11" x14ac:dyDescent="0.25">
      <c r="A305" s="86" t="s">
        <v>495</v>
      </c>
      <c r="B305" t="s">
        <v>550</v>
      </c>
      <c r="C305" t="s">
        <v>62</v>
      </c>
      <c r="D305" t="s">
        <v>45</v>
      </c>
      <c r="E305" t="s">
        <v>154</v>
      </c>
      <c r="F305" t="s">
        <v>167</v>
      </c>
      <c r="G305" t="s">
        <v>468</v>
      </c>
      <c r="H305" t="s">
        <v>534</v>
      </c>
      <c r="I305" t="s">
        <v>21</v>
      </c>
      <c r="J305" t="s">
        <v>479</v>
      </c>
      <c r="K305" s="86" t="s">
        <v>469</v>
      </c>
    </row>
    <row r="306" spans="1:11" x14ac:dyDescent="0.25">
      <c r="A306" s="86" t="s">
        <v>495</v>
      </c>
      <c r="B306" t="s">
        <v>550</v>
      </c>
      <c r="C306" t="s">
        <v>62</v>
      </c>
      <c r="D306" t="s">
        <v>45</v>
      </c>
      <c r="E306" t="s">
        <v>169</v>
      </c>
      <c r="F306" t="s">
        <v>172</v>
      </c>
      <c r="G306" t="s">
        <v>468</v>
      </c>
      <c r="H306" t="s">
        <v>534</v>
      </c>
      <c r="I306" t="s">
        <v>21</v>
      </c>
      <c r="J306" t="s">
        <v>479</v>
      </c>
      <c r="K306" s="86" t="s">
        <v>469</v>
      </c>
    </row>
    <row r="307" spans="1:11" x14ac:dyDescent="0.25">
      <c r="A307" s="86" t="s">
        <v>487</v>
      </c>
      <c r="B307" t="s">
        <v>551</v>
      </c>
      <c r="C307" t="s">
        <v>58</v>
      </c>
      <c r="D307" t="s">
        <v>43</v>
      </c>
      <c r="E307" t="s">
        <v>74</v>
      </c>
      <c r="F307" t="s">
        <v>75</v>
      </c>
      <c r="G307" t="s">
        <v>429</v>
      </c>
      <c r="H307" t="s">
        <v>534</v>
      </c>
      <c r="I307" t="s">
        <v>21</v>
      </c>
      <c r="J307" t="s">
        <v>479</v>
      </c>
      <c r="K307" s="86" t="s">
        <v>430</v>
      </c>
    </row>
    <row r="308" spans="1:11" x14ac:dyDescent="0.25">
      <c r="A308" s="86" t="s">
        <v>487</v>
      </c>
      <c r="B308" t="s">
        <v>551</v>
      </c>
      <c r="C308" t="s">
        <v>58</v>
      </c>
      <c r="D308" t="s">
        <v>45</v>
      </c>
      <c r="E308" t="s">
        <v>74</v>
      </c>
      <c r="F308" t="s">
        <v>76</v>
      </c>
      <c r="G308" t="s">
        <v>429</v>
      </c>
      <c r="H308" t="s">
        <v>534</v>
      </c>
      <c r="I308" t="s">
        <v>21</v>
      </c>
      <c r="J308" t="s">
        <v>479</v>
      </c>
      <c r="K308" s="86" t="s">
        <v>430</v>
      </c>
    </row>
    <row r="309" spans="1:11" x14ac:dyDescent="0.25">
      <c r="A309" s="86" t="s">
        <v>487</v>
      </c>
      <c r="B309" t="s">
        <v>551</v>
      </c>
      <c r="C309" t="s">
        <v>58</v>
      </c>
      <c r="D309" t="s">
        <v>47</v>
      </c>
      <c r="E309" t="s">
        <v>74</v>
      </c>
      <c r="F309" t="s">
        <v>164</v>
      </c>
      <c r="G309" t="s">
        <v>429</v>
      </c>
      <c r="H309" t="s">
        <v>534</v>
      </c>
      <c r="I309" t="s">
        <v>21</v>
      </c>
      <c r="J309" t="s">
        <v>479</v>
      </c>
      <c r="K309" s="86" t="s">
        <v>430</v>
      </c>
    </row>
    <row r="310" spans="1:11" x14ac:dyDescent="0.25">
      <c r="A310" s="86" t="s">
        <v>487</v>
      </c>
      <c r="B310" t="s">
        <v>551</v>
      </c>
      <c r="C310" t="s">
        <v>62</v>
      </c>
      <c r="D310" t="s">
        <v>45</v>
      </c>
      <c r="E310" t="s">
        <v>154</v>
      </c>
      <c r="F310" t="s">
        <v>167</v>
      </c>
      <c r="G310" t="s">
        <v>429</v>
      </c>
      <c r="H310" t="s">
        <v>534</v>
      </c>
      <c r="I310" t="s">
        <v>21</v>
      </c>
      <c r="J310" t="s">
        <v>479</v>
      </c>
      <c r="K310" s="86" t="s">
        <v>430</v>
      </c>
    </row>
    <row r="311" spans="1:11" x14ac:dyDescent="0.25">
      <c r="A311" s="86" t="s">
        <v>487</v>
      </c>
      <c r="B311" t="s">
        <v>551</v>
      </c>
      <c r="C311" t="s">
        <v>62</v>
      </c>
      <c r="D311" t="s">
        <v>47</v>
      </c>
      <c r="E311" t="s">
        <v>151</v>
      </c>
      <c r="F311" t="s">
        <v>181</v>
      </c>
      <c r="G311" t="s">
        <v>429</v>
      </c>
      <c r="H311" t="s">
        <v>534</v>
      </c>
      <c r="I311" t="s">
        <v>21</v>
      </c>
      <c r="J311" t="s">
        <v>479</v>
      </c>
      <c r="K311" s="86" t="s">
        <v>430</v>
      </c>
    </row>
    <row r="312" spans="1:11" x14ac:dyDescent="0.25">
      <c r="A312" s="86" t="s">
        <v>487</v>
      </c>
      <c r="B312" t="s">
        <v>551</v>
      </c>
      <c r="C312" t="s">
        <v>62</v>
      </c>
      <c r="G312" t="s">
        <v>429</v>
      </c>
      <c r="H312" t="s">
        <v>534</v>
      </c>
      <c r="I312" t="s">
        <v>21</v>
      </c>
      <c r="J312" t="s">
        <v>479</v>
      </c>
      <c r="K312" s="86" t="s">
        <v>430</v>
      </c>
    </row>
    <row r="313" spans="1:11" x14ac:dyDescent="0.25">
      <c r="A313" s="86" t="s">
        <v>487</v>
      </c>
      <c r="B313" t="s">
        <v>551</v>
      </c>
      <c r="C313" t="s">
        <v>63</v>
      </c>
      <c r="G313" t="s">
        <v>429</v>
      </c>
      <c r="H313" t="s">
        <v>534</v>
      </c>
      <c r="I313" t="s">
        <v>21</v>
      </c>
      <c r="J313" t="s">
        <v>479</v>
      </c>
      <c r="K313" s="86" t="s">
        <v>430</v>
      </c>
    </row>
    <row r="314" spans="1:11" x14ac:dyDescent="0.25">
      <c r="A314" s="86" t="s">
        <v>487</v>
      </c>
      <c r="B314" t="s">
        <v>551</v>
      </c>
      <c r="C314" t="s">
        <v>63</v>
      </c>
      <c r="G314" t="s">
        <v>429</v>
      </c>
      <c r="H314" t="s">
        <v>534</v>
      </c>
      <c r="I314" t="s">
        <v>21</v>
      </c>
      <c r="J314" t="s">
        <v>479</v>
      </c>
      <c r="K314" s="86" t="s">
        <v>430</v>
      </c>
    </row>
    <row r="315" spans="1:11" x14ac:dyDescent="0.25">
      <c r="A315" s="86" t="s">
        <v>487</v>
      </c>
      <c r="B315" t="s">
        <v>551</v>
      </c>
      <c r="C315" t="s">
        <v>63</v>
      </c>
      <c r="G315" t="s">
        <v>429</v>
      </c>
      <c r="H315" t="s">
        <v>534</v>
      </c>
      <c r="I315" t="s">
        <v>21</v>
      </c>
      <c r="J315" t="s">
        <v>479</v>
      </c>
      <c r="K315" s="86" t="s">
        <v>430</v>
      </c>
    </row>
    <row r="316" spans="1:11" x14ac:dyDescent="0.25">
      <c r="A316" s="86" t="s">
        <v>487</v>
      </c>
      <c r="B316" t="s">
        <v>551</v>
      </c>
      <c r="C316" t="s">
        <v>64</v>
      </c>
      <c r="G316" t="s">
        <v>429</v>
      </c>
      <c r="H316" t="s">
        <v>534</v>
      </c>
      <c r="I316" t="s">
        <v>21</v>
      </c>
      <c r="J316" t="s">
        <v>479</v>
      </c>
      <c r="K316" s="86" t="s">
        <v>430</v>
      </c>
    </row>
    <row r="317" spans="1:11" x14ac:dyDescent="0.25">
      <c r="A317" s="86" t="s">
        <v>487</v>
      </c>
      <c r="B317" t="s">
        <v>551</v>
      </c>
      <c r="C317" t="s">
        <v>64</v>
      </c>
      <c r="G317" t="s">
        <v>429</v>
      </c>
      <c r="H317" t="s">
        <v>534</v>
      </c>
      <c r="I317" t="s">
        <v>21</v>
      </c>
      <c r="J317" t="s">
        <v>479</v>
      </c>
      <c r="K317" s="86" t="s">
        <v>430</v>
      </c>
    </row>
    <row r="318" spans="1:11" x14ac:dyDescent="0.25">
      <c r="A318" s="86" t="s">
        <v>487</v>
      </c>
      <c r="B318" t="s">
        <v>552</v>
      </c>
      <c r="C318" t="s">
        <v>58</v>
      </c>
      <c r="D318" t="s">
        <v>43</v>
      </c>
      <c r="E318" t="s">
        <v>68</v>
      </c>
      <c r="F318" t="s">
        <v>119</v>
      </c>
      <c r="G318" t="s">
        <v>437</v>
      </c>
      <c r="H318" t="s">
        <v>534</v>
      </c>
      <c r="I318" t="s">
        <v>21</v>
      </c>
      <c r="J318" t="s">
        <v>479</v>
      </c>
      <c r="K318" s="86" t="s">
        <v>438</v>
      </c>
    </row>
    <row r="319" spans="1:11" x14ac:dyDescent="0.25">
      <c r="A319" s="86" t="s">
        <v>487</v>
      </c>
      <c r="B319" t="s">
        <v>552</v>
      </c>
      <c r="C319" t="s">
        <v>58</v>
      </c>
      <c r="D319" t="s">
        <v>45</v>
      </c>
      <c r="E319" t="s">
        <v>74</v>
      </c>
      <c r="F319" t="s">
        <v>75</v>
      </c>
      <c r="G319" t="s">
        <v>437</v>
      </c>
      <c r="H319" t="s">
        <v>534</v>
      </c>
      <c r="I319" t="s">
        <v>21</v>
      </c>
      <c r="J319" t="s">
        <v>479</v>
      </c>
      <c r="K319" s="86" t="s">
        <v>438</v>
      </c>
    </row>
    <row r="320" spans="1:11" x14ac:dyDescent="0.25">
      <c r="A320" s="86" t="s">
        <v>487</v>
      </c>
      <c r="B320" t="s">
        <v>552</v>
      </c>
      <c r="C320" t="s">
        <v>58</v>
      </c>
      <c r="D320" t="s">
        <v>47</v>
      </c>
      <c r="E320" t="s">
        <v>151</v>
      </c>
      <c r="F320" t="s">
        <v>352</v>
      </c>
      <c r="G320" t="s">
        <v>437</v>
      </c>
      <c r="H320" t="s">
        <v>534</v>
      </c>
      <c r="I320" t="s">
        <v>21</v>
      </c>
      <c r="J320" t="s">
        <v>479</v>
      </c>
      <c r="K320" s="86" t="s">
        <v>438</v>
      </c>
    </row>
    <row r="321" spans="1:11" x14ac:dyDescent="0.25">
      <c r="A321" s="86" t="s">
        <v>487</v>
      </c>
      <c r="B321" t="s">
        <v>552</v>
      </c>
      <c r="C321" t="s">
        <v>62</v>
      </c>
      <c r="G321" t="s">
        <v>437</v>
      </c>
      <c r="H321" t="s">
        <v>534</v>
      </c>
      <c r="I321" t="s">
        <v>21</v>
      </c>
      <c r="J321" t="s">
        <v>479</v>
      </c>
      <c r="K321" s="86" t="s">
        <v>438</v>
      </c>
    </row>
    <row r="322" spans="1:11" x14ac:dyDescent="0.25">
      <c r="A322" s="86" t="s">
        <v>487</v>
      </c>
      <c r="B322" t="s">
        <v>552</v>
      </c>
      <c r="C322" t="s">
        <v>62</v>
      </c>
      <c r="G322" t="s">
        <v>437</v>
      </c>
      <c r="H322" t="s">
        <v>534</v>
      </c>
      <c r="I322" t="s">
        <v>21</v>
      </c>
      <c r="J322" t="s">
        <v>479</v>
      </c>
      <c r="K322" s="86" t="s">
        <v>438</v>
      </c>
    </row>
    <row r="323" spans="1:11" x14ac:dyDescent="0.25">
      <c r="A323" s="86" t="s">
        <v>487</v>
      </c>
      <c r="B323" t="s">
        <v>552</v>
      </c>
      <c r="C323" t="s">
        <v>62</v>
      </c>
      <c r="G323" t="s">
        <v>437</v>
      </c>
      <c r="H323" t="s">
        <v>534</v>
      </c>
      <c r="I323" t="s">
        <v>21</v>
      </c>
      <c r="J323" t="s">
        <v>479</v>
      </c>
      <c r="K323" s="86" t="s">
        <v>438</v>
      </c>
    </row>
    <row r="324" spans="1:11" x14ac:dyDescent="0.25">
      <c r="A324" s="86" t="s">
        <v>487</v>
      </c>
      <c r="B324" t="s">
        <v>552</v>
      </c>
      <c r="C324" t="s">
        <v>63</v>
      </c>
      <c r="G324" t="s">
        <v>437</v>
      </c>
      <c r="H324" t="s">
        <v>534</v>
      </c>
      <c r="I324" t="s">
        <v>21</v>
      </c>
      <c r="J324" t="s">
        <v>479</v>
      </c>
      <c r="K324" s="86" t="s">
        <v>438</v>
      </c>
    </row>
    <row r="325" spans="1:11" x14ac:dyDescent="0.25">
      <c r="A325" s="86" t="s">
        <v>487</v>
      </c>
      <c r="B325" t="s">
        <v>552</v>
      </c>
      <c r="C325" t="s">
        <v>63</v>
      </c>
      <c r="G325" t="s">
        <v>437</v>
      </c>
      <c r="H325" t="s">
        <v>534</v>
      </c>
      <c r="I325" t="s">
        <v>21</v>
      </c>
      <c r="J325" t="s">
        <v>479</v>
      </c>
      <c r="K325" s="86" t="s">
        <v>438</v>
      </c>
    </row>
    <row r="326" spans="1:11" x14ac:dyDescent="0.25">
      <c r="A326" s="86" t="s">
        <v>487</v>
      </c>
      <c r="B326" t="s">
        <v>552</v>
      </c>
      <c r="C326" t="s">
        <v>63</v>
      </c>
      <c r="G326" t="s">
        <v>437</v>
      </c>
      <c r="H326" t="s">
        <v>534</v>
      </c>
      <c r="I326" t="s">
        <v>21</v>
      </c>
      <c r="J326" t="s">
        <v>479</v>
      </c>
      <c r="K326" s="86" t="s">
        <v>438</v>
      </c>
    </row>
    <row r="327" spans="1:11" x14ac:dyDescent="0.25">
      <c r="A327" s="86" t="s">
        <v>487</v>
      </c>
      <c r="B327" t="s">
        <v>552</v>
      </c>
      <c r="C327" t="s">
        <v>64</v>
      </c>
      <c r="G327" t="s">
        <v>437</v>
      </c>
      <c r="H327" t="s">
        <v>534</v>
      </c>
      <c r="I327" t="s">
        <v>21</v>
      </c>
      <c r="J327" t="s">
        <v>479</v>
      </c>
      <c r="K327" s="86" t="s">
        <v>438</v>
      </c>
    </row>
    <row r="328" spans="1:11" x14ac:dyDescent="0.25">
      <c r="A328" s="86" t="s">
        <v>487</v>
      </c>
      <c r="B328" t="s">
        <v>552</v>
      </c>
      <c r="C328" t="s">
        <v>64</v>
      </c>
      <c r="G328" t="s">
        <v>437</v>
      </c>
      <c r="H328" t="s">
        <v>534</v>
      </c>
      <c r="I328" t="s">
        <v>21</v>
      </c>
      <c r="J328" t="s">
        <v>479</v>
      </c>
      <c r="K328" s="86" t="s">
        <v>438</v>
      </c>
    </row>
    <row r="329" spans="1:11" x14ac:dyDescent="0.25">
      <c r="A329" s="86" t="s">
        <v>487</v>
      </c>
      <c r="B329" t="s">
        <v>553</v>
      </c>
      <c r="C329" t="s">
        <v>58</v>
      </c>
      <c r="G329" t="s">
        <v>435</v>
      </c>
      <c r="H329" t="s">
        <v>534</v>
      </c>
      <c r="I329" t="s">
        <v>21</v>
      </c>
      <c r="J329" t="s">
        <v>479</v>
      </c>
      <c r="K329" s="86" t="s">
        <v>436</v>
      </c>
    </row>
    <row r="330" spans="1:11" x14ac:dyDescent="0.25">
      <c r="A330" s="86" t="s">
        <v>487</v>
      </c>
      <c r="B330" t="s">
        <v>553</v>
      </c>
      <c r="C330" t="s">
        <v>58</v>
      </c>
      <c r="G330" t="s">
        <v>435</v>
      </c>
      <c r="H330" t="s">
        <v>534</v>
      </c>
      <c r="I330" t="s">
        <v>21</v>
      </c>
      <c r="J330" t="s">
        <v>479</v>
      </c>
      <c r="K330" s="86" t="s">
        <v>436</v>
      </c>
    </row>
    <row r="331" spans="1:11" x14ac:dyDescent="0.25">
      <c r="A331" s="86" t="s">
        <v>487</v>
      </c>
      <c r="B331" t="s">
        <v>553</v>
      </c>
      <c r="C331" t="s">
        <v>58</v>
      </c>
      <c r="G331" t="s">
        <v>435</v>
      </c>
      <c r="H331" t="s">
        <v>534</v>
      </c>
      <c r="I331" t="s">
        <v>21</v>
      </c>
      <c r="J331" t="s">
        <v>479</v>
      </c>
      <c r="K331" s="86" t="s">
        <v>436</v>
      </c>
    </row>
    <row r="332" spans="1:11" x14ac:dyDescent="0.25">
      <c r="A332" s="86" t="s">
        <v>487</v>
      </c>
      <c r="B332" t="s">
        <v>553</v>
      </c>
      <c r="C332" t="s">
        <v>62</v>
      </c>
      <c r="G332" t="s">
        <v>435</v>
      </c>
      <c r="H332" t="s">
        <v>534</v>
      </c>
      <c r="I332" t="s">
        <v>21</v>
      </c>
      <c r="J332" t="s">
        <v>479</v>
      </c>
      <c r="K332" s="86" t="s">
        <v>436</v>
      </c>
    </row>
    <row r="333" spans="1:11" x14ac:dyDescent="0.25">
      <c r="A333" s="86" t="s">
        <v>487</v>
      </c>
      <c r="B333" t="s">
        <v>553</v>
      </c>
      <c r="C333" t="s">
        <v>62</v>
      </c>
      <c r="G333" t="s">
        <v>435</v>
      </c>
      <c r="H333" t="s">
        <v>534</v>
      </c>
      <c r="I333" t="s">
        <v>21</v>
      </c>
      <c r="J333" t="s">
        <v>479</v>
      </c>
      <c r="K333" s="86" t="s">
        <v>436</v>
      </c>
    </row>
    <row r="334" spans="1:11" x14ac:dyDescent="0.25">
      <c r="A334" s="86" t="s">
        <v>487</v>
      </c>
      <c r="B334" t="s">
        <v>553</v>
      </c>
      <c r="C334" t="s">
        <v>62</v>
      </c>
      <c r="G334" t="s">
        <v>435</v>
      </c>
      <c r="H334" t="s">
        <v>534</v>
      </c>
      <c r="I334" t="s">
        <v>21</v>
      </c>
      <c r="J334" t="s">
        <v>479</v>
      </c>
      <c r="K334" s="86" t="s">
        <v>436</v>
      </c>
    </row>
    <row r="335" spans="1:11" x14ac:dyDescent="0.25">
      <c r="A335" s="86" t="s">
        <v>487</v>
      </c>
      <c r="B335" t="s">
        <v>553</v>
      </c>
      <c r="C335" t="s">
        <v>63</v>
      </c>
      <c r="G335" t="s">
        <v>435</v>
      </c>
      <c r="H335" t="s">
        <v>534</v>
      </c>
      <c r="I335" t="s">
        <v>21</v>
      </c>
      <c r="J335" t="s">
        <v>479</v>
      </c>
      <c r="K335" s="86" t="s">
        <v>436</v>
      </c>
    </row>
    <row r="336" spans="1:11" x14ac:dyDescent="0.25">
      <c r="A336" s="86" t="s">
        <v>487</v>
      </c>
      <c r="B336" t="s">
        <v>553</v>
      </c>
      <c r="C336" t="s">
        <v>63</v>
      </c>
      <c r="G336" t="s">
        <v>435</v>
      </c>
      <c r="H336" t="s">
        <v>534</v>
      </c>
      <c r="I336" t="s">
        <v>21</v>
      </c>
      <c r="J336" t="s">
        <v>479</v>
      </c>
      <c r="K336" s="86" t="s">
        <v>436</v>
      </c>
    </row>
    <row r="337" spans="1:11" x14ac:dyDescent="0.25">
      <c r="A337" s="86" t="s">
        <v>487</v>
      </c>
      <c r="B337" t="s">
        <v>553</v>
      </c>
      <c r="C337" t="s">
        <v>63</v>
      </c>
      <c r="G337" t="s">
        <v>435</v>
      </c>
      <c r="H337" t="s">
        <v>534</v>
      </c>
      <c r="I337" t="s">
        <v>21</v>
      </c>
      <c r="J337" t="s">
        <v>479</v>
      </c>
      <c r="K337" s="86" t="s">
        <v>436</v>
      </c>
    </row>
    <row r="338" spans="1:11" x14ac:dyDescent="0.25">
      <c r="A338" s="86" t="s">
        <v>487</v>
      </c>
      <c r="B338" t="s">
        <v>553</v>
      </c>
      <c r="C338" t="s">
        <v>64</v>
      </c>
      <c r="G338" t="s">
        <v>435</v>
      </c>
      <c r="H338" t="s">
        <v>534</v>
      </c>
      <c r="I338" t="s">
        <v>21</v>
      </c>
      <c r="J338" t="s">
        <v>479</v>
      </c>
      <c r="K338" s="86" t="s">
        <v>436</v>
      </c>
    </row>
    <row r="339" spans="1:11" x14ac:dyDescent="0.25">
      <c r="A339" s="86" t="s">
        <v>487</v>
      </c>
      <c r="B339" t="s">
        <v>553</v>
      </c>
      <c r="C339" t="s">
        <v>64</v>
      </c>
      <c r="G339" t="s">
        <v>435</v>
      </c>
      <c r="H339" t="s">
        <v>534</v>
      </c>
      <c r="I339" t="s">
        <v>21</v>
      </c>
      <c r="J339" t="s">
        <v>479</v>
      </c>
      <c r="K339" s="86" t="s">
        <v>436</v>
      </c>
    </row>
    <row r="340" spans="1:11" x14ac:dyDescent="0.25">
      <c r="A340" s="86" t="s">
        <v>487</v>
      </c>
      <c r="B340" t="s">
        <v>554</v>
      </c>
      <c r="C340" t="s">
        <v>58</v>
      </c>
      <c r="D340" t="s">
        <v>43</v>
      </c>
      <c r="E340" t="s">
        <v>74</v>
      </c>
      <c r="F340" t="s">
        <v>75</v>
      </c>
      <c r="G340" t="s">
        <v>432</v>
      </c>
      <c r="H340" t="s">
        <v>534</v>
      </c>
      <c r="I340" t="s">
        <v>21</v>
      </c>
      <c r="J340" t="s">
        <v>479</v>
      </c>
      <c r="K340" s="86" t="s">
        <v>433</v>
      </c>
    </row>
    <row r="341" spans="1:11" x14ac:dyDescent="0.25">
      <c r="A341" s="86" t="s">
        <v>487</v>
      </c>
      <c r="B341" t="s">
        <v>554</v>
      </c>
      <c r="C341" t="s">
        <v>58</v>
      </c>
      <c r="D341" t="s">
        <v>45</v>
      </c>
      <c r="E341" t="s">
        <v>154</v>
      </c>
      <c r="F341" t="s">
        <v>167</v>
      </c>
      <c r="G341" t="s">
        <v>432</v>
      </c>
      <c r="H341" t="s">
        <v>534</v>
      </c>
      <c r="I341" t="s">
        <v>21</v>
      </c>
      <c r="J341" t="s">
        <v>479</v>
      </c>
      <c r="K341" s="86" t="s">
        <v>433</v>
      </c>
    </row>
    <row r="342" spans="1:11" x14ac:dyDescent="0.25">
      <c r="A342" s="86" t="s">
        <v>487</v>
      </c>
      <c r="B342" t="s">
        <v>554</v>
      </c>
      <c r="C342" t="s">
        <v>62</v>
      </c>
      <c r="D342" t="s">
        <v>43</v>
      </c>
      <c r="E342" t="s">
        <v>154</v>
      </c>
      <c r="F342" t="s">
        <v>404</v>
      </c>
      <c r="G342" t="s">
        <v>432</v>
      </c>
      <c r="H342" t="s">
        <v>534</v>
      </c>
      <c r="I342" t="s">
        <v>21</v>
      </c>
      <c r="J342" t="s">
        <v>479</v>
      </c>
      <c r="K342" s="86" t="s">
        <v>433</v>
      </c>
    </row>
    <row r="343" spans="1:11" x14ac:dyDescent="0.25">
      <c r="A343" s="86" t="s">
        <v>487</v>
      </c>
      <c r="B343" t="s">
        <v>554</v>
      </c>
      <c r="C343" t="s">
        <v>62</v>
      </c>
      <c r="D343" t="s">
        <v>45</v>
      </c>
      <c r="E343" t="s">
        <v>123</v>
      </c>
      <c r="F343" t="s">
        <v>156</v>
      </c>
      <c r="G343" t="s">
        <v>432</v>
      </c>
      <c r="H343" t="s">
        <v>534</v>
      </c>
      <c r="I343" t="s">
        <v>21</v>
      </c>
      <c r="J343" t="s">
        <v>479</v>
      </c>
      <c r="K343" s="86" t="s">
        <v>433</v>
      </c>
    </row>
    <row r="344" spans="1:11" x14ac:dyDescent="0.25">
      <c r="A344" s="86" t="s">
        <v>487</v>
      </c>
      <c r="B344" t="s">
        <v>554</v>
      </c>
      <c r="C344" t="s">
        <v>62</v>
      </c>
      <c r="D344" t="s">
        <v>47</v>
      </c>
      <c r="E344" t="s">
        <v>151</v>
      </c>
      <c r="F344" t="s">
        <v>152</v>
      </c>
      <c r="G344" t="s">
        <v>432</v>
      </c>
      <c r="H344" t="s">
        <v>534</v>
      </c>
      <c r="I344" t="s">
        <v>21</v>
      </c>
      <c r="J344" t="s">
        <v>479</v>
      </c>
      <c r="K344" s="86" t="s">
        <v>433</v>
      </c>
    </row>
    <row r="345" spans="1:11" x14ac:dyDescent="0.25">
      <c r="A345" s="86" t="s">
        <v>487</v>
      </c>
      <c r="B345" t="s">
        <v>554</v>
      </c>
      <c r="C345" t="s">
        <v>63</v>
      </c>
      <c r="G345" t="s">
        <v>432</v>
      </c>
      <c r="H345" t="s">
        <v>534</v>
      </c>
      <c r="I345" t="s">
        <v>21</v>
      </c>
      <c r="J345" t="s">
        <v>479</v>
      </c>
      <c r="K345" s="86" t="s">
        <v>433</v>
      </c>
    </row>
    <row r="346" spans="1:11" x14ac:dyDescent="0.25">
      <c r="A346" s="86" t="s">
        <v>487</v>
      </c>
      <c r="B346" t="s">
        <v>554</v>
      </c>
      <c r="C346" t="s">
        <v>63</v>
      </c>
      <c r="G346" t="s">
        <v>432</v>
      </c>
      <c r="H346" t="s">
        <v>534</v>
      </c>
      <c r="I346" t="s">
        <v>21</v>
      </c>
      <c r="J346" t="s">
        <v>479</v>
      </c>
      <c r="K346" s="86" t="s">
        <v>433</v>
      </c>
    </row>
    <row r="347" spans="1:11" x14ac:dyDescent="0.25">
      <c r="A347" s="86" t="s">
        <v>487</v>
      </c>
      <c r="B347" t="s">
        <v>554</v>
      </c>
      <c r="C347" t="s">
        <v>63</v>
      </c>
      <c r="G347" t="s">
        <v>432</v>
      </c>
      <c r="H347" t="s">
        <v>534</v>
      </c>
      <c r="I347" t="s">
        <v>21</v>
      </c>
      <c r="J347" t="s">
        <v>479</v>
      </c>
      <c r="K347" s="86" t="s">
        <v>433</v>
      </c>
    </row>
    <row r="348" spans="1:11" x14ac:dyDescent="0.25">
      <c r="A348" s="86" t="s">
        <v>487</v>
      </c>
      <c r="B348" t="s">
        <v>554</v>
      </c>
      <c r="C348" t="s">
        <v>64</v>
      </c>
      <c r="G348" t="s">
        <v>432</v>
      </c>
      <c r="H348" t="s">
        <v>534</v>
      </c>
      <c r="I348" t="s">
        <v>21</v>
      </c>
      <c r="J348" t="s">
        <v>479</v>
      </c>
      <c r="K348" s="86" t="s">
        <v>433</v>
      </c>
    </row>
    <row r="349" spans="1:11" x14ac:dyDescent="0.25">
      <c r="A349" s="86" t="s">
        <v>487</v>
      </c>
      <c r="B349" t="s">
        <v>554</v>
      </c>
      <c r="C349" t="s">
        <v>64</v>
      </c>
      <c r="G349" t="s">
        <v>432</v>
      </c>
      <c r="H349" t="s">
        <v>534</v>
      </c>
      <c r="I349" t="s">
        <v>21</v>
      </c>
      <c r="J349" t="s">
        <v>479</v>
      </c>
      <c r="K349" s="86" t="s">
        <v>433</v>
      </c>
    </row>
    <row r="350" spans="1:11" x14ac:dyDescent="0.25">
      <c r="A350" s="86" t="s">
        <v>492</v>
      </c>
      <c r="B350" t="s">
        <v>555</v>
      </c>
      <c r="C350" t="s">
        <v>58</v>
      </c>
      <c r="D350" t="s">
        <v>43</v>
      </c>
      <c r="E350" t="s">
        <v>68</v>
      </c>
      <c r="F350" t="s">
        <v>119</v>
      </c>
      <c r="G350" t="s">
        <v>440</v>
      </c>
      <c r="H350" t="s">
        <v>534</v>
      </c>
      <c r="I350" t="s">
        <v>21</v>
      </c>
      <c r="J350" t="s">
        <v>479</v>
      </c>
      <c r="K350" s="86" t="s">
        <v>441</v>
      </c>
    </row>
    <row r="351" spans="1:11" x14ac:dyDescent="0.25">
      <c r="A351" s="86" t="s">
        <v>492</v>
      </c>
      <c r="B351" t="s">
        <v>555</v>
      </c>
      <c r="C351" t="s">
        <v>58</v>
      </c>
      <c r="D351" t="s">
        <v>43</v>
      </c>
      <c r="E351" t="s">
        <v>68</v>
      </c>
      <c r="F351" t="s">
        <v>378</v>
      </c>
      <c r="G351" t="s">
        <v>440</v>
      </c>
      <c r="H351" t="s">
        <v>534</v>
      </c>
      <c r="I351" t="s">
        <v>21</v>
      </c>
      <c r="J351" t="s">
        <v>479</v>
      </c>
      <c r="K351" s="86" t="s">
        <v>441</v>
      </c>
    </row>
    <row r="352" spans="1:11" x14ac:dyDescent="0.25">
      <c r="A352" s="86" t="s">
        <v>492</v>
      </c>
      <c r="B352" t="s">
        <v>555</v>
      </c>
      <c r="C352" t="s">
        <v>58</v>
      </c>
      <c r="D352" t="s">
        <v>45</v>
      </c>
      <c r="E352" t="s">
        <v>74</v>
      </c>
      <c r="F352" t="s">
        <v>76</v>
      </c>
      <c r="G352" t="s">
        <v>440</v>
      </c>
      <c r="H352" t="s">
        <v>534</v>
      </c>
      <c r="I352" t="s">
        <v>21</v>
      </c>
      <c r="J352" t="s">
        <v>479</v>
      </c>
      <c r="K352" s="86" t="s">
        <v>441</v>
      </c>
    </row>
    <row r="353" spans="1:11" x14ac:dyDescent="0.25">
      <c r="A353" s="86" t="s">
        <v>492</v>
      </c>
      <c r="B353" t="s">
        <v>555</v>
      </c>
      <c r="C353" t="s">
        <v>58</v>
      </c>
      <c r="D353" t="s">
        <v>45</v>
      </c>
      <c r="E353" t="s">
        <v>123</v>
      </c>
      <c r="F353" t="s">
        <v>156</v>
      </c>
      <c r="G353" t="s">
        <v>440</v>
      </c>
      <c r="H353" t="s">
        <v>534</v>
      </c>
      <c r="I353" t="s">
        <v>21</v>
      </c>
      <c r="J353" t="s">
        <v>479</v>
      </c>
      <c r="K353" s="86" t="s">
        <v>441</v>
      </c>
    </row>
    <row r="354" spans="1:11" x14ac:dyDescent="0.25">
      <c r="A354" s="86" t="s">
        <v>492</v>
      </c>
      <c r="B354" t="s">
        <v>555</v>
      </c>
      <c r="C354" t="s">
        <v>58</v>
      </c>
      <c r="D354" t="s">
        <v>45</v>
      </c>
      <c r="E354" t="s">
        <v>123</v>
      </c>
      <c r="F354" t="s">
        <v>178</v>
      </c>
      <c r="G354" t="s">
        <v>440</v>
      </c>
      <c r="H354" t="s">
        <v>534</v>
      </c>
      <c r="I354" t="s">
        <v>21</v>
      </c>
      <c r="J354" t="s">
        <v>479</v>
      </c>
      <c r="K354" s="86" t="s">
        <v>441</v>
      </c>
    </row>
    <row r="355" spans="1:11" x14ac:dyDescent="0.25">
      <c r="A355" s="86" t="s">
        <v>492</v>
      </c>
      <c r="B355" t="s">
        <v>555</v>
      </c>
      <c r="C355" t="s">
        <v>58</v>
      </c>
      <c r="D355" t="s">
        <v>45</v>
      </c>
      <c r="E355" t="s">
        <v>68</v>
      </c>
      <c r="F355" t="s">
        <v>119</v>
      </c>
      <c r="G355" t="s">
        <v>440</v>
      </c>
      <c r="H355" t="s">
        <v>534</v>
      </c>
      <c r="I355" t="s">
        <v>21</v>
      </c>
      <c r="J355" t="s">
        <v>479</v>
      </c>
      <c r="K355" s="86" t="s">
        <v>441</v>
      </c>
    </row>
    <row r="356" spans="1:11" x14ac:dyDescent="0.25">
      <c r="A356" s="86" t="s">
        <v>492</v>
      </c>
      <c r="B356" t="s">
        <v>555</v>
      </c>
      <c r="C356" t="s">
        <v>58</v>
      </c>
      <c r="D356" t="s">
        <v>45</v>
      </c>
      <c r="E356" t="s">
        <v>68</v>
      </c>
      <c r="F356" t="s">
        <v>378</v>
      </c>
      <c r="G356" t="s">
        <v>440</v>
      </c>
      <c r="H356" t="s">
        <v>534</v>
      </c>
      <c r="I356" t="s">
        <v>21</v>
      </c>
      <c r="J356" t="s">
        <v>479</v>
      </c>
      <c r="K356" s="86" t="s">
        <v>441</v>
      </c>
    </row>
    <row r="357" spans="1:11" x14ac:dyDescent="0.25">
      <c r="A357" s="86" t="s">
        <v>492</v>
      </c>
      <c r="B357" t="s">
        <v>555</v>
      </c>
      <c r="C357" t="s">
        <v>62</v>
      </c>
      <c r="D357" t="s">
        <v>43</v>
      </c>
      <c r="E357" t="s">
        <v>68</v>
      </c>
      <c r="F357" t="s">
        <v>119</v>
      </c>
      <c r="G357" t="s">
        <v>440</v>
      </c>
      <c r="H357" t="s">
        <v>534</v>
      </c>
      <c r="I357" t="s">
        <v>21</v>
      </c>
      <c r="J357" t="s">
        <v>479</v>
      </c>
      <c r="K357" s="86" t="s">
        <v>441</v>
      </c>
    </row>
    <row r="358" spans="1:11" x14ac:dyDescent="0.25">
      <c r="A358" s="86" t="s">
        <v>492</v>
      </c>
      <c r="B358" t="s">
        <v>555</v>
      </c>
      <c r="C358" t="s">
        <v>62</v>
      </c>
      <c r="D358" t="s">
        <v>43</v>
      </c>
      <c r="E358" t="s">
        <v>68</v>
      </c>
      <c r="F358" t="s">
        <v>378</v>
      </c>
      <c r="G358" t="s">
        <v>440</v>
      </c>
      <c r="H358" t="s">
        <v>534</v>
      </c>
      <c r="I358" t="s">
        <v>21</v>
      </c>
      <c r="J358" t="s">
        <v>479</v>
      </c>
      <c r="K358" s="86" t="s">
        <v>441</v>
      </c>
    </row>
    <row r="359" spans="1:11" x14ac:dyDescent="0.25">
      <c r="A359" s="86" t="s">
        <v>492</v>
      </c>
      <c r="B359" t="s">
        <v>555</v>
      </c>
      <c r="C359" t="s">
        <v>62</v>
      </c>
      <c r="D359" t="s">
        <v>47</v>
      </c>
      <c r="E359" t="s">
        <v>74</v>
      </c>
      <c r="F359" t="s">
        <v>76</v>
      </c>
      <c r="G359" t="s">
        <v>440</v>
      </c>
      <c r="H359" t="s">
        <v>534</v>
      </c>
      <c r="I359" t="s">
        <v>21</v>
      </c>
      <c r="J359" t="s">
        <v>479</v>
      </c>
      <c r="K359" s="86" t="s">
        <v>441</v>
      </c>
    </row>
    <row r="360" spans="1:11" x14ac:dyDescent="0.25">
      <c r="A360" s="86" t="s">
        <v>492</v>
      </c>
      <c r="B360" t="s">
        <v>555</v>
      </c>
      <c r="C360" t="s">
        <v>62</v>
      </c>
      <c r="D360" t="s">
        <v>47</v>
      </c>
      <c r="E360" t="s">
        <v>123</v>
      </c>
      <c r="F360" t="s">
        <v>156</v>
      </c>
      <c r="G360" t="s">
        <v>440</v>
      </c>
      <c r="H360" t="s">
        <v>534</v>
      </c>
      <c r="I360" t="s">
        <v>21</v>
      </c>
      <c r="J360" t="s">
        <v>479</v>
      </c>
      <c r="K360" s="86" t="s">
        <v>441</v>
      </c>
    </row>
    <row r="361" spans="1:11" x14ac:dyDescent="0.25">
      <c r="A361" s="86" t="s">
        <v>492</v>
      </c>
      <c r="B361" t="s">
        <v>555</v>
      </c>
      <c r="C361" t="s">
        <v>62</v>
      </c>
      <c r="D361" t="s">
        <v>47</v>
      </c>
      <c r="E361" t="s">
        <v>123</v>
      </c>
      <c r="F361" t="s">
        <v>178</v>
      </c>
      <c r="G361" t="s">
        <v>440</v>
      </c>
      <c r="H361" t="s">
        <v>534</v>
      </c>
      <c r="I361" t="s">
        <v>21</v>
      </c>
      <c r="J361" t="s">
        <v>479</v>
      </c>
      <c r="K361" s="86" t="s">
        <v>441</v>
      </c>
    </row>
    <row r="362" spans="1:11" x14ac:dyDescent="0.25">
      <c r="A362" s="86" t="s">
        <v>492</v>
      </c>
      <c r="B362" t="s">
        <v>555</v>
      </c>
      <c r="C362" t="s">
        <v>62</v>
      </c>
      <c r="D362" t="s">
        <v>47</v>
      </c>
      <c r="E362" t="s">
        <v>68</v>
      </c>
      <c r="F362" t="s">
        <v>119</v>
      </c>
      <c r="G362" t="s">
        <v>440</v>
      </c>
      <c r="H362" t="s">
        <v>534</v>
      </c>
      <c r="I362" t="s">
        <v>21</v>
      </c>
      <c r="J362" t="s">
        <v>479</v>
      </c>
      <c r="K362" s="86" t="s">
        <v>441</v>
      </c>
    </row>
    <row r="363" spans="1:11" x14ac:dyDescent="0.25">
      <c r="A363" s="86" t="s">
        <v>492</v>
      </c>
      <c r="B363" t="s">
        <v>555</v>
      </c>
      <c r="C363" t="s">
        <v>62</v>
      </c>
      <c r="D363" t="s">
        <v>47</v>
      </c>
      <c r="E363" t="s">
        <v>68</v>
      </c>
      <c r="F363" t="s">
        <v>378</v>
      </c>
      <c r="G363" t="s">
        <v>440</v>
      </c>
      <c r="H363" t="s">
        <v>534</v>
      </c>
      <c r="I363" t="s">
        <v>21</v>
      </c>
      <c r="J363" t="s">
        <v>479</v>
      </c>
      <c r="K363" s="86" t="s">
        <v>441</v>
      </c>
    </row>
    <row r="364" spans="1:11" x14ac:dyDescent="0.25">
      <c r="A364" s="86" t="s">
        <v>492</v>
      </c>
      <c r="B364" t="s">
        <v>556</v>
      </c>
      <c r="C364" t="s">
        <v>58</v>
      </c>
      <c r="D364" t="s">
        <v>43</v>
      </c>
      <c r="E364" t="s">
        <v>68</v>
      </c>
      <c r="F364" t="s">
        <v>290</v>
      </c>
      <c r="G364" t="s">
        <v>443</v>
      </c>
      <c r="H364" t="s">
        <v>534</v>
      </c>
      <c r="I364" t="s">
        <v>21</v>
      </c>
      <c r="J364" t="s">
        <v>479</v>
      </c>
      <c r="K364" s="86" t="s">
        <v>444</v>
      </c>
    </row>
    <row r="365" spans="1:11" x14ac:dyDescent="0.25">
      <c r="A365" s="86" t="s">
        <v>492</v>
      </c>
      <c r="B365" t="s">
        <v>556</v>
      </c>
      <c r="C365" t="s">
        <v>58</v>
      </c>
      <c r="D365" t="s">
        <v>43</v>
      </c>
      <c r="E365" t="s">
        <v>68</v>
      </c>
      <c r="F365" t="s">
        <v>119</v>
      </c>
      <c r="G365" t="s">
        <v>443</v>
      </c>
      <c r="H365" t="s">
        <v>534</v>
      </c>
      <c r="I365" t="s">
        <v>21</v>
      </c>
      <c r="J365" t="s">
        <v>479</v>
      </c>
      <c r="K365" s="86" t="s">
        <v>444</v>
      </c>
    </row>
    <row r="366" spans="1:11" x14ac:dyDescent="0.25">
      <c r="A366" s="86" t="s">
        <v>492</v>
      </c>
      <c r="B366" t="s">
        <v>556</v>
      </c>
      <c r="C366" t="s">
        <v>58</v>
      </c>
      <c r="D366" t="s">
        <v>43</v>
      </c>
      <c r="E366" t="s">
        <v>68</v>
      </c>
      <c r="F366" t="s">
        <v>289</v>
      </c>
      <c r="G366" t="s">
        <v>443</v>
      </c>
      <c r="H366" t="s">
        <v>534</v>
      </c>
      <c r="I366" t="s">
        <v>21</v>
      </c>
      <c r="J366" t="s">
        <v>479</v>
      </c>
      <c r="K366" s="86" t="s">
        <v>444</v>
      </c>
    </row>
    <row r="367" spans="1:11" x14ac:dyDescent="0.25">
      <c r="A367" s="86" t="s">
        <v>492</v>
      </c>
      <c r="B367" t="s">
        <v>556</v>
      </c>
      <c r="C367" t="s">
        <v>58</v>
      </c>
      <c r="D367" t="s">
        <v>43</v>
      </c>
      <c r="E367" t="s">
        <v>74</v>
      </c>
      <c r="F367" t="s">
        <v>253</v>
      </c>
      <c r="G367" t="s">
        <v>443</v>
      </c>
      <c r="H367" t="s">
        <v>534</v>
      </c>
      <c r="I367" t="s">
        <v>21</v>
      </c>
      <c r="J367" t="s">
        <v>479</v>
      </c>
      <c r="K367" s="86" t="s">
        <v>444</v>
      </c>
    </row>
    <row r="368" spans="1:11" x14ac:dyDescent="0.25">
      <c r="A368" s="86" t="s">
        <v>492</v>
      </c>
      <c r="B368" t="s">
        <v>556</v>
      </c>
      <c r="C368" t="s">
        <v>58</v>
      </c>
      <c r="D368" t="s">
        <v>43</v>
      </c>
      <c r="E368" t="s">
        <v>74</v>
      </c>
      <c r="F368" t="s">
        <v>75</v>
      </c>
      <c r="G368" t="s">
        <v>443</v>
      </c>
      <c r="H368" t="s">
        <v>534</v>
      </c>
      <c r="I368" t="s">
        <v>21</v>
      </c>
      <c r="J368" t="s">
        <v>479</v>
      </c>
      <c r="K368" s="86" t="s">
        <v>444</v>
      </c>
    </row>
    <row r="369" spans="1:11" x14ac:dyDescent="0.25">
      <c r="A369" s="86" t="s">
        <v>492</v>
      </c>
      <c r="B369" t="s">
        <v>556</v>
      </c>
      <c r="C369" t="s">
        <v>58</v>
      </c>
      <c r="D369" t="s">
        <v>43</v>
      </c>
      <c r="E369" t="s">
        <v>121</v>
      </c>
      <c r="F369" t="s">
        <v>385</v>
      </c>
      <c r="G369" t="s">
        <v>443</v>
      </c>
      <c r="H369" t="s">
        <v>534</v>
      </c>
      <c r="I369" t="s">
        <v>21</v>
      </c>
      <c r="J369" t="s">
        <v>479</v>
      </c>
      <c r="K369" s="86" t="s">
        <v>444</v>
      </c>
    </row>
    <row r="370" spans="1:11" x14ac:dyDescent="0.25">
      <c r="A370" s="86" t="s">
        <v>492</v>
      </c>
      <c r="B370" t="s">
        <v>556</v>
      </c>
      <c r="C370" t="s">
        <v>58</v>
      </c>
      <c r="D370" t="s">
        <v>43</v>
      </c>
      <c r="E370" t="s">
        <v>154</v>
      </c>
      <c r="F370" t="s">
        <v>406</v>
      </c>
      <c r="G370" t="s">
        <v>443</v>
      </c>
      <c r="H370" t="s">
        <v>534</v>
      </c>
      <c r="I370" t="s">
        <v>21</v>
      </c>
      <c r="J370" t="s">
        <v>479</v>
      </c>
      <c r="K370" s="86" t="s">
        <v>444</v>
      </c>
    </row>
    <row r="371" spans="1:11" x14ac:dyDescent="0.25">
      <c r="A371" s="86" t="s">
        <v>492</v>
      </c>
      <c r="B371" t="s">
        <v>556</v>
      </c>
      <c r="C371" t="s">
        <v>58</v>
      </c>
      <c r="D371" t="s">
        <v>43</v>
      </c>
      <c r="E371" t="s">
        <v>123</v>
      </c>
      <c r="F371" t="s">
        <v>179</v>
      </c>
      <c r="G371" t="s">
        <v>443</v>
      </c>
      <c r="H371" t="s">
        <v>534</v>
      </c>
      <c r="I371" t="s">
        <v>21</v>
      </c>
      <c r="J371" t="s">
        <v>479</v>
      </c>
      <c r="K371" s="86" t="s">
        <v>444</v>
      </c>
    </row>
    <row r="372" spans="1:11" x14ac:dyDescent="0.25">
      <c r="A372" s="86" t="s">
        <v>492</v>
      </c>
      <c r="B372" t="s">
        <v>556</v>
      </c>
      <c r="C372" t="s">
        <v>58</v>
      </c>
      <c r="D372" t="s">
        <v>43</v>
      </c>
      <c r="E372" t="s">
        <v>123</v>
      </c>
      <c r="F372" t="s">
        <v>156</v>
      </c>
      <c r="G372" t="s">
        <v>443</v>
      </c>
      <c r="H372" t="s">
        <v>534</v>
      </c>
      <c r="I372" t="s">
        <v>21</v>
      </c>
      <c r="J372" t="s">
        <v>479</v>
      </c>
      <c r="K372" s="86" t="s">
        <v>444</v>
      </c>
    </row>
    <row r="373" spans="1:11" x14ac:dyDescent="0.25">
      <c r="A373" s="86" t="s">
        <v>492</v>
      </c>
      <c r="B373" t="s">
        <v>556</v>
      </c>
      <c r="C373" t="s">
        <v>58</v>
      </c>
      <c r="D373" t="s">
        <v>43</v>
      </c>
      <c r="E373" t="s">
        <v>70</v>
      </c>
      <c r="F373" t="s">
        <v>160</v>
      </c>
      <c r="G373" t="s">
        <v>443</v>
      </c>
      <c r="H373" t="s">
        <v>534</v>
      </c>
      <c r="I373" t="s">
        <v>21</v>
      </c>
      <c r="J373" t="s">
        <v>479</v>
      </c>
      <c r="K373" s="86" t="s">
        <v>444</v>
      </c>
    </row>
    <row r="374" spans="1:11" x14ac:dyDescent="0.25">
      <c r="A374" s="86" t="s">
        <v>492</v>
      </c>
      <c r="B374" t="s">
        <v>556</v>
      </c>
      <c r="C374" t="s">
        <v>58</v>
      </c>
      <c r="D374" t="s">
        <v>43</v>
      </c>
      <c r="E374" t="s">
        <v>151</v>
      </c>
      <c r="F374" t="s">
        <v>181</v>
      </c>
      <c r="G374" t="s">
        <v>443</v>
      </c>
      <c r="H374" t="s">
        <v>534</v>
      </c>
      <c r="I374" t="s">
        <v>21</v>
      </c>
      <c r="J374" t="s">
        <v>479</v>
      </c>
      <c r="K374" s="86" t="s">
        <v>444</v>
      </c>
    </row>
    <row r="375" spans="1:11" x14ac:dyDescent="0.25">
      <c r="A375" s="86" t="s">
        <v>492</v>
      </c>
      <c r="B375" t="s">
        <v>556</v>
      </c>
      <c r="C375" t="s">
        <v>58</v>
      </c>
      <c r="D375" t="s">
        <v>43</v>
      </c>
      <c r="E375" t="s">
        <v>123</v>
      </c>
      <c r="F375" t="s">
        <v>124</v>
      </c>
      <c r="G375" t="s">
        <v>443</v>
      </c>
      <c r="H375" t="s">
        <v>534</v>
      </c>
      <c r="I375" t="s">
        <v>21</v>
      </c>
      <c r="J375" t="s">
        <v>479</v>
      </c>
      <c r="K375" s="86" t="s">
        <v>444</v>
      </c>
    </row>
    <row r="376" spans="1:11" x14ac:dyDescent="0.25">
      <c r="A376" s="86" t="s">
        <v>492</v>
      </c>
      <c r="B376" t="s">
        <v>556</v>
      </c>
      <c r="C376" t="s">
        <v>62</v>
      </c>
      <c r="D376" t="s">
        <v>45</v>
      </c>
      <c r="E376" t="s">
        <v>68</v>
      </c>
      <c r="F376" t="s">
        <v>290</v>
      </c>
      <c r="G376" t="s">
        <v>443</v>
      </c>
      <c r="H376" t="s">
        <v>534</v>
      </c>
      <c r="I376" t="s">
        <v>21</v>
      </c>
      <c r="J376" t="s">
        <v>479</v>
      </c>
      <c r="K376" s="86" t="s">
        <v>444</v>
      </c>
    </row>
    <row r="377" spans="1:11" x14ac:dyDescent="0.25">
      <c r="A377" s="86" t="s">
        <v>492</v>
      </c>
      <c r="B377" t="s">
        <v>556</v>
      </c>
      <c r="C377" t="s">
        <v>62</v>
      </c>
      <c r="D377" t="s">
        <v>45</v>
      </c>
      <c r="E377" t="s">
        <v>68</v>
      </c>
      <c r="F377" t="s">
        <v>119</v>
      </c>
      <c r="G377" t="s">
        <v>443</v>
      </c>
      <c r="H377" t="s">
        <v>534</v>
      </c>
      <c r="I377" t="s">
        <v>21</v>
      </c>
      <c r="J377" t="s">
        <v>479</v>
      </c>
      <c r="K377" s="86" t="s">
        <v>444</v>
      </c>
    </row>
    <row r="378" spans="1:11" x14ac:dyDescent="0.25">
      <c r="A378" s="86" t="s">
        <v>492</v>
      </c>
      <c r="B378" t="s">
        <v>556</v>
      </c>
      <c r="C378" t="s">
        <v>62</v>
      </c>
      <c r="D378" t="s">
        <v>45</v>
      </c>
      <c r="E378" t="s">
        <v>68</v>
      </c>
      <c r="F378" t="s">
        <v>378</v>
      </c>
      <c r="G378" t="s">
        <v>443</v>
      </c>
      <c r="H378" t="s">
        <v>534</v>
      </c>
      <c r="I378" t="s">
        <v>21</v>
      </c>
      <c r="J378" t="s">
        <v>479</v>
      </c>
      <c r="K378" s="86" t="s">
        <v>444</v>
      </c>
    </row>
    <row r="379" spans="1:11" x14ac:dyDescent="0.25">
      <c r="A379" s="86" t="s">
        <v>492</v>
      </c>
      <c r="B379" t="s">
        <v>556</v>
      </c>
      <c r="C379" t="s">
        <v>62</v>
      </c>
      <c r="D379" t="s">
        <v>45</v>
      </c>
      <c r="E379" t="s">
        <v>74</v>
      </c>
      <c r="F379" t="s">
        <v>253</v>
      </c>
      <c r="G379" t="s">
        <v>443</v>
      </c>
      <c r="H379" t="s">
        <v>534</v>
      </c>
      <c r="I379" t="s">
        <v>21</v>
      </c>
      <c r="J379" t="s">
        <v>479</v>
      </c>
      <c r="K379" s="86" t="s">
        <v>444</v>
      </c>
    </row>
    <row r="380" spans="1:11" x14ac:dyDescent="0.25">
      <c r="A380" s="86" t="s">
        <v>492</v>
      </c>
      <c r="B380" t="s">
        <v>556</v>
      </c>
      <c r="C380" t="s">
        <v>62</v>
      </c>
      <c r="D380" t="s">
        <v>45</v>
      </c>
      <c r="E380" t="s">
        <v>74</v>
      </c>
      <c r="F380" t="s">
        <v>75</v>
      </c>
      <c r="G380" t="s">
        <v>443</v>
      </c>
      <c r="H380" t="s">
        <v>534</v>
      </c>
      <c r="I380" t="s">
        <v>21</v>
      </c>
      <c r="J380" t="s">
        <v>479</v>
      </c>
      <c r="K380" s="86" t="s">
        <v>444</v>
      </c>
    </row>
    <row r="381" spans="1:11" x14ac:dyDescent="0.25">
      <c r="A381" s="86" t="s">
        <v>492</v>
      </c>
      <c r="B381" t="s">
        <v>556</v>
      </c>
      <c r="C381" t="s">
        <v>62</v>
      </c>
      <c r="D381" t="s">
        <v>45</v>
      </c>
      <c r="E381" t="s">
        <v>151</v>
      </c>
      <c r="F381" t="s">
        <v>181</v>
      </c>
      <c r="G381" t="s">
        <v>443</v>
      </c>
      <c r="H381" t="s">
        <v>534</v>
      </c>
      <c r="I381" t="s">
        <v>21</v>
      </c>
      <c r="J381" t="s">
        <v>479</v>
      </c>
      <c r="K381" s="86" t="s">
        <v>444</v>
      </c>
    </row>
    <row r="382" spans="1:11" x14ac:dyDescent="0.25">
      <c r="A382" s="86" t="s">
        <v>492</v>
      </c>
      <c r="B382" t="s">
        <v>556</v>
      </c>
      <c r="C382" t="s">
        <v>62</v>
      </c>
      <c r="D382" t="s">
        <v>45</v>
      </c>
      <c r="E382" t="s">
        <v>123</v>
      </c>
      <c r="F382" t="s">
        <v>408</v>
      </c>
      <c r="G382" t="s">
        <v>443</v>
      </c>
      <c r="H382" t="s">
        <v>534</v>
      </c>
      <c r="I382" t="s">
        <v>21</v>
      </c>
      <c r="J382" t="s">
        <v>479</v>
      </c>
      <c r="K382" s="86" t="s">
        <v>444</v>
      </c>
    </row>
    <row r="383" spans="1:11" x14ac:dyDescent="0.25">
      <c r="A383" s="86" t="s">
        <v>492</v>
      </c>
      <c r="B383" t="s">
        <v>556</v>
      </c>
      <c r="C383" t="s">
        <v>62</v>
      </c>
      <c r="D383" t="s">
        <v>45</v>
      </c>
      <c r="E383" t="s">
        <v>123</v>
      </c>
      <c r="F383" t="s">
        <v>178</v>
      </c>
      <c r="G383" t="s">
        <v>443</v>
      </c>
      <c r="H383" t="s">
        <v>534</v>
      </c>
      <c r="I383" t="s">
        <v>21</v>
      </c>
      <c r="J383" t="s">
        <v>479</v>
      </c>
      <c r="K383" s="86" t="s">
        <v>444</v>
      </c>
    </row>
    <row r="384" spans="1:11" x14ac:dyDescent="0.25">
      <c r="A384" s="86" t="s">
        <v>492</v>
      </c>
      <c r="B384" t="s">
        <v>556</v>
      </c>
      <c r="C384" t="s">
        <v>62</v>
      </c>
      <c r="D384" t="s">
        <v>45</v>
      </c>
      <c r="E384" t="s">
        <v>123</v>
      </c>
      <c r="F384" t="s">
        <v>156</v>
      </c>
      <c r="G384" t="s">
        <v>443</v>
      </c>
      <c r="H384" t="s">
        <v>534</v>
      </c>
      <c r="I384" t="s">
        <v>21</v>
      </c>
      <c r="J384" t="s">
        <v>479</v>
      </c>
      <c r="K384" s="86" t="s">
        <v>444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567E-4369-4A7C-9A80-11C0E79F7970}">
  <sheetPr codeName="Sheet15"/>
  <dimension ref="A1:I139"/>
  <sheetViews>
    <sheetView workbookViewId="0"/>
  </sheetViews>
  <sheetFormatPr defaultColWidth="8.85546875" defaultRowHeight="15" x14ac:dyDescent="0.25"/>
  <cols>
    <col min="1" max="1" width="49" bestFit="1" customWidth="1"/>
    <col min="2" max="2" width="15.28515625" bestFit="1" customWidth="1"/>
    <col min="3" max="3" width="20.140625" bestFit="1" customWidth="1"/>
    <col min="4" max="4" width="16.42578125" bestFit="1" customWidth="1"/>
    <col min="5" max="5" width="14.85546875" bestFit="1" customWidth="1"/>
    <col min="6" max="6" width="12.7109375" bestFit="1" customWidth="1"/>
    <col min="7" max="7" width="18" bestFit="1" customWidth="1"/>
    <col min="8" max="8" width="12.140625" bestFit="1" customWidth="1"/>
    <col min="9" max="9" width="41.5703125" bestFit="1" customWidth="1"/>
  </cols>
  <sheetData>
    <row r="1" spans="1:9" x14ac:dyDescent="0.25">
      <c r="A1" t="s">
        <v>471</v>
      </c>
      <c r="B1" t="s">
        <v>472</v>
      </c>
      <c r="C1" t="s">
        <v>26</v>
      </c>
      <c r="D1" t="s">
        <v>24</v>
      </c>
      <c r="E1" t="s">
        <v>422</v>
      </c>
      <c r="F1" t="s">
        <v>473</v>
      </c>
      <c r="G1" t="s">
        <v>474</v>
      </c>
      <c r="H1" t="s">
        <v>475</v>
      </c>
      <c r="I1" t="s">
        <v>423</v>
      </c>
    </row>
    <row r="2" spans="1:9" x14ac:dyDescent="0.25">
      <c r="A2" t="s">
        <v>476</v>
      </c>
      <c r="B2" t="s">
        <v>477</v>
      </c>
      <c r="C2" t="s">
        <v>28</v>
      </c>
      <c r="D2">
        <v>20</v>
      </c>
      <c r="E2" t="s">
        <v>5</v>
      </c>
      <c r="F2" t="s">
        <v>478</v>
      </c>
      <c r="G2" t="s">
        <v>21</v>
      </c>
      <c r="H2" t="s">
        <v>479</v>
      </c>
      <c r="I2" t="s">
        <v>426</v>
      </c>
    </row>
    <row r="3" spans="1:9" x14ac:dyDescent="0.25">
      <c r="A3" t="s">
        <v>476</v>
      </c>
      <c r="B3" t="s">
        <v>477</v>
      </c>
      <c r="C3" t="s">
        <v>30</v>
      </c>
      <c r="E3" t="s">
        <v>5</v>
      </c>
      <c r="F3" t="s">
        <v>478</v>
      </c>
      <c r="G3" t="s">
        <v>21</v>
      </c>
      <c r="H3" t="s">
        <v>479</v>
      </c>
      <c r="I3" t="s">
        <v>426</v>
      </c>
    </row>
    <row r="4" spans="1:9" x14ac:dyDescent="0.25">
      <c r="A4" t="s">
        <v>476</v>
      </c>
      <c r="B4" t="s">
        <v>477</v>
      </c>
      <c r="C4" t="s">
        <v>32</v>
      </c>
      <c r="D4">
        <v>10</v>
      </c>
      <c r="E4" t="s">
        <v>5</v>
      </c>
      <c r="F4" t="s">
        <v>478</v>
      </c>
      <c r="G4" t="s">
        <v>21</v>
      </c>
      <c r="H4" t="s">
        <v>479</v>
      </c>
      <c r="I4" t="s">
        <v>426</v>
      </c>
    </row>
    <row r="5" spans="1:9" x14ac:dyDescent="0.25">
      <c r="A5" t="s">
        <v>476</v>
      </c>
      <c r="B5" t="s">
        <v>477</v>
      </c>
      <c r="C5" t="s">
        <v>33</v>
      </c>
      <c r="D5">
        <v>10</v>
      </c>
      <c r="E5" t="s">
        <v>5</v>
      </c>
      <c r="F5" t="s">
        <v>478</v>
      </c>
      <c r="G5" t="s">
        <v>21</v>
      </c>
      <c r="H5" t="s">
        <v>479</v>
      </c>
      <c r="I5" t="s">
        <v>426</v>
      </c>
    </row>
    <row r="6" spans="1:9" x14ac:dyDescent="0.25">
      <c r="A6" t="s">
        <v>476</v>
      </c>
      <c r="B6" t="s">
        <v>477</v>
      </c>
      <c r="C6" t="s">
        <v>35</v>
      </c>
      <c r="E6" t="s">
        <v>5</v>
      </c>
      <c r="F6" t="s">
        <v>478</v>
      </c>
      <c r="G6" t="s">
        <v>21</v>
      </c>
      <c r="H6" t="s">
        <v>479</v>
      </c>
      <c r="I6" t="s">
        <v>426</v>
      </c>
    </row>
    <row r="7" spans="1:9" x14ac:dyDescent="0.25">
      <c r="A7" t="s">
        <v>476</v>
      </c>
      <c r="B7" t="s">
        <v>477</v>
      </c>
      <c r="C7" t="s">
        <v>37</v>
      </c>
      <c r="D7">
        <v>40</v>
      </c>
      <c r="E7" t="s">
        <v>5</v>
      </c>
      <c r="F7" t="s">
        <v>478</v>
      </c>
      <c r="G7" t="s">
        <v>21</v>
      </c>
      <c r="H7" t="s">
        <v>479</v>
      </c>
      <c r="I7" t="s">
        <v>426</v>
      </c>
    </row>
    <row r="8" spans="1:9" x14ac:dyDescent="0.25">
      <c r="A8" t="s">
        <v>476</v>
      </c>
      <c r="B8" t="s">
        <v>480</v>
      </c>
      <c r="C8" t="s">
        <v>28</v>
      </c>
      <c r="D8">
        <v>15</v>
      </c>
      <c r="E8" t="s">
        <v>104</v>
      </c>
      <c r="F8" t="s">
        <v>478</v>
      </c>
      <c r="G8" t="s">
        <v>21</v>
      </c>
      <c r="H8" t="s">
        <v>479</v>
      </c>
      <c r="I8" t="s">
        <v>105</v>
      </c>
    </row>
    <row r="9" spans="1:9" x14ac:dyDescent="0.25">
      <c r="A9" t="s">
        <v>476</v>
      </c>
      <c r="B9" t="s">
        <v>480</v>
      </c>
      <c r="C9" t="s">
        <v>30</v>
      </c>
      <c r="E9" t="s">
        <v>104</v>
      </c>
      <c r="F9" t="s">
        <v>478</v>
      </c>
      <c r="G9" t="s">
        <v>21</v>
      </c>
      <c r="H9" t="s">
        <v>479</v>
      </c>
      <c r="I9" t="s">
        <v>105</v>
      </c>
    </row>
    <row r="10" spans="1:9" x14ac:dyDescent="0.25">
      <c r="A10" t="s">
        <v>476</v>
      </c>
      <c r="B10" t="s">
        <v>480</v>
      </c>
      <c r="C10" t="s">
        <v>32</v>
      </c>
      <c r="D10">
        <v>20</v>
      </c>
      <c r="E10" t="s">
        <v>104</v>
      </c>
      <c r="F10" t="s">
        <v>478</v>
      </c>
      <c r="G10" t="s">
        <v>21</v>
      </c>
      <c r="H10" t="s">
        <v>479</v>
      </c>
      <c r="I10" t="s">
        <v>105</v>
      </c>
    </row>
    <row r="11" spans="1:9" x14ac:dyDescent="0.25">
      <c r="A11" t="s">
        <v>476</v>
      </c>
      <c r="B11" t="s">
        <v>480</v>
      </c>
      <c r="C11" t="s">
        <v>33</v>
      </c>
      <c r="D11">
        <v>5</v>
      </c>
      <c r="E11" t="s">
        <v>104</v>
      </c>
      <c r="F11" t="s">
        <v>478</v>
      </c>
      <c r="G11" t="s">
        <v>21</v>
      </c>
      <c r="H11" t="s">
        <v>479</v>
      </c>
      <c r="I11" t="s">
        <v>105</v>
      </c>
    </row>
    <row r="12" spans="1:9" x14ac:dyDescent="0.25">
      <c r="A12" t="s">
        <v>476</v>
      </c>
      <c r="B12" t="s">
        <v>480</v>
      </c>
      <c r="C12" t="s">
        <v>35</v>
      </c>
      <c r="E12" t="s">
        <v>104</v>
      </c>
      <c r="F12" t="s">
        <v>478</v>
      </c>
      <c r="G12" t="s">
        <v>21</v>
      </c>
      <c r="H12" t="s">
        <v>479</v>
      </c>
      <c r="I12" t="s">
        <v>105</v>
      </c>
    </row>
    <row r="13" spans="1:9" x14ac:dyDescent="0.25">
      <c r="A13" t="s">
        <v>476</v>
      </c>
      <c r="B13" t="s">
        <v>480</v>
      </c>
      <c r="C13" t="s">
        <v>37</v>
      </c>
      <c r="D13">
        <v>40</v>
      </c>
      <c r="E13" t="s">
        <v>104</v>
      </c>
      <c r="F13" t="s">
        <v>478</v>
      </c>
      <c r="G13" t="s">
        <v>21</v>
      </c>
      <c r="H13" t="s">
        <v>479</v>
      </c>
      <c r="I13" t="s">
        <v>105</v>
      </c>
    </row>
    <row r="14" spans="1:9" x14ac:dyDescent="0.25">
      <c r="A14" t="s">
        <v>476</v>
      </c>
      <c r="B14" t="s">
        <v>481</v>
      </c>
      <c r="C14" t="s">
        <v>28</v>
      </c>
      <c r="D14">
        <v>10</v>
      </c>
      <c r="E14" t="s">
        <v>133</v>
      </c>
      <c r="F14" t="s">
        <v>478</v>
      </c>
      <c r="G14" t="s">
        <v>21</v>
      </c>
      <c r="H14" t="s">
        <v>479</v>
      </c>
      <c r="I14" t="s">
        <v>135</v>
      </c>
    </row>
    <row r="15" spans="1:9" x14ac:dyDescent="0.25">
      <c r="A15" t="s">
        <v>476</v>
      </c>
      <c r="B15" t="s">
        <v>481</v>
      </c>
      <c r="C15" t="s">
        <v>30</v>
      </c>
      <c r="D15">
        <v>0</v>
      </c>
      <c r="E15" t="s">
        <v>133</v>
      </c>
      <c r="F15" t="s">
        <v>478</v>
      </c>
      <c r="G15" t="s">
        <v>21</v>
      </c>
      <c r="H15" t="s">
        <v>479</v>
      </c>
      <c r="I15" t="s">
        <v>135</v>
      </c>
    </row>
    <row r="16" spans="1:9" x14ac:dyDescent="0.25">
      <c r="A16" t="s">
        <v>476</v>
      </c>
      <c r="B16" t="s">
        <v>481</v>
      </c>
      <c r="C16" t="s">
        <v>32</v>
      </c>
      <c r="D16">
        <v>19</v>
      </c>
      <c r="E16" t="s">
        <v>133</v>
      </c>
      <c r="F16" t="s">
        <v>478</v>
      </c>
      <c r="G16" t="s">
        <v>21</v>
      </c>
      <c r="H16" t="s">
        <v>479</v>
      </c>
      <c r="I16" t="s">
        <v>135</v>
      </c>
    </row>
    <row r="17" spans="1:9" x14ac:dyDescent="0.25">
      <c r="A17" t="s">
        <v>476</v>
      </c>
      <c r="B17" t="s">
        <v>481</v>
      </c>
      <c r="C17" t="s">
        <v>33</v>
      </c>
      <c r="D17">
        <v>3</v>
      </c>
      <c r="E17" t="s">
        <v>133</v>
      </c>
      <c r="F17" t="s">
        <v>478</v>
      </c>
      <c r="G17" t="s">
        <v>21</v>
      </c>
      <c r="H17" t="s">
        <v>479</v>
      </c>
      <c r="I17" t="s">
        <v>135</v>
      </c>
    </row>
    <row r="18" spans="1:9" x14ac:dyDescent="0.25">
      <c r="A18" t="s">
        <v>476</v>
      </c>
      <c r="B18" t="s">
        <v>481</v>
      </c>
      <c r="C18" t="s">
        <v>35</v>
      </c>
      <c r="D18">
        <v>8</v>
      </c>
      <c r="E18" t="s">
        <v>133</v>
      </c>
      <c r="F18" t="s">
        <v>478</v>
      </c>
      <c r="G18" t="s">
        <v>21</v>
      </c>
      <c r="H18" t="s">
        <v>479</v>
      </c>
      <c r="I18" t="s">
        <v>135</v>
      </c>
    </row>
    <row r="19" spans="1:9" x14ac:dyDescent="0.25">
      <c r="A19" t="s">
        <v>476</v>
      </c>
      <c r="B19" t="s">
        <v>481</v>
      </c>
      <c r="C19" t="s">
        <v>37</v>
      </c>
      <c r="D19">
        <v>40</v>
      </c>
      <c r="E19" t="s">
        <v>133</v>
      </c>
      <c r="F19" t="s">
        <v>478</v>
      </c>
      <c r="G19" t="s">
        <v>21</v>
      </c>
      <c r="H19" t="s">
        <v>479</v>
      </c>
      <c r="I19" t="s">
        <v>135</v>
      </c>
    </row>
    <row r="20" spans="1:9" x14ac:dyDescent="0.25">
      <c r="A20" t="s">
        <v>476</v>
      </c>
      <c r="B20" t="s">
        <v>482</v>
      </c>
      <c r="C20" t="s">
        <v>28</v>
      </c>
      <c r="D20">
        <v>0</v>
      </c>
      <c r="E20" t="s">
        <v>202</v>
      </c>
      <c r="F20" t="s">
        <v>478</v>
      </c>
      <c r="G20" t="s">
        <v>21</v>
      </c>
      <c r="H20" t="s">
        <v>479</v>
      </c>
      <c r="I20" t="s">
        <v>204</v>
      </c>
    </row>
    <row r="21" spans="1:9" x14ac:dyDescent="0.25">
      <c r="A21" t="s">
        <v>476</v>
      </c>
      <c r="B21" t="s">
        <v>482</v>
      </c>
      <c r="C21" t="s">
        <v>30</v>
      </c>
      <c r="D21">
        <v>0</v>
      </c>
      <c r="E21" t="s">
        <v>202</v>
      </c>
      <c r="F21" t="s">
        <v>478</v>
      </c>
      <c r="G21" t="s">
        <v>21</v>
      </c>
      <c r="H21" t="s">
        <v>479</v>
      </c>
      <c r="I21" t="s">
        <v>204</v>
      </c>
    </row>
    <row r="22" spans="1:9" x14ac:dyDescent="0.25">
      <c r="A22" t="s">
        <v>476</v>
      </c>
      <c r="B22" t="s">
        <v>482</v>
      </c>
      <c r="C22" t="s">
        <v>32</v>
      </c>
      <c r="D22">
        <v>0</v>
      </c>
      <c r="E22" t="s">
        <v>202</v>
      </c>
      <c r="F22" t="s">
        <v>478</v>
      </c>
      <c r="G22" t="s">
        <v>21</v>
      </c>
      <c r="H22" t="s">
        <v>479</v>
      </c>
      <c r="I22" t="s">
        <v>204</v>
      </c>
    </row>
    <row r="23" spans="1:9" x14ac:dyDescent="0.25">
      <c r="A23" t="s">
        <v>476</v>
      </c>
      <c r="B23" t="s">
        <v>482</v>
      </c>
      <c r="C23" t="s">
        <v>33</v>
      </c>
      <c r="D23">
        <v>40</v>
      </c>
      <c r="E23" t="s">
        <v>202</v>
      </c>
      <c r="F23" t="s">
        <v>478</v>
      </c>
      <c r="G23" t="s">
        <v>21</v>
      </c>
      <c r="H23" t="s">
        <v>479</v>
      </c>
      <c r="I23" t="s">
        <v>204</v>
      </c>
    </row>
    <row r="24" spans="1:9" x14ac:dyDescent="0.25">
      <c r="A24" t="s">
        <v>476</v>
      </c>
      <c r="B24" t="s">
        <v>482</v>
      </c>
      <c r="C24" t="s">
        <v>35</v>
      </c>
      <c r="D24">
        <v>0</v>
      </c>
      <c r="E24" t="s">
        <v>202</v>
      </c>
      <c r="F24" t="s">
        <v>478</v>
      </c>
      <c r="G24" t="s">
        <v>21</v>
      </c>
      <c r="H24" t="s">
        <v>479</v>
      </c>
      <c r="I24" t="s">
        <v>204</v>
      </c>
    </row>
    <row r="25" spans="1:9" x14ac:dyDescent="0.25">
      <c r="A25" t="s">
        <v>476</v>
      </c>
      <c r="B25" t="s">
        <v>482</v>
      </c>
      <c r="C25" t="s">
        <v>37</v>
      </c>
      <c r="D25">
        <v>40</v>
      </c>
      <c r="E25" t="s">
        <v>202</v>
      </c>
      <c r="F25" t="s">
        <v>478</v>
      </c>
      <c r="G25" t="s">
        <v>21</v>
      </c>
      <c r="H25" t="s">
        <v>479</v>
      </c>
      <c r="I25" t="s">
        <v>204</v>
      </c>
    </row>
    <row r="26" spans="1:9" x14ac:dyDescent="0.25">
      <c r="A26" t="s">
        <v>476</v>
      </c>
      <c r="B26" t="s">
        <v>486</v>
      </c>
      <c r="C26" t="s">
        <v>28</v>
      </c>
      <c r="D26">
        <v>20</v>
      </c>
      <c r="E26" t="s">
        <v>240</v>
      </c>
      <c r="F26" t="s">
        <v>478</v>
      </c>
      <c r="G26" t="s">
        <v>21</v>
      </c>
      <c r="H26" t="s">
        <v>479</v>
      </c>
      <c r="I26" t="s">
        <v>241</v>
      </c>
    </row>
    <row r="27" spans="1:9" x14ac:dyDescent="0.25">
      <c r="A27" t="s">
        <v>476</v>
      </c>
      <c r="B27" t="s">
        <v>486</v>
      </c>
      <c r="C27" t="s">
        <v>30</v>
      </c>
      <c r="E27" t="s">
        <v>240</v>
      </c>
      <c r="F27" t="s">
        <v>478</v>
      </c>
      <c r="G27" t="s">
        <v>21</v>
      </c>
      <c r="H27" t="s">
        <v>479</v>
      </c>
      <c r="I27" t="s">
        <v>241</v>
      </c>
    </row>
    <row r="28" spans="1:9" x14ac:dyDescent="0.25">
      <c r="A28" t="s">
        <v>476</v>
      </c>
      <c r="B28" t="s">
        <v>486</v>
      </c>
      <c r="C28" t="s">
        <v>32</v>
      </c>
      <c r="E28" t="s">
        <v>240</v>
      </c>
      <c r="F28" t="s">
        <v>478</v>
      </c>
      <c r="G28" t="s">
        <v>21</v>
      </c>
      <c r="H28" t="s">
        <v>479</v>
      </c>
      <c r="I28" t="s">
        <v>241</v>
      </c>
    </row>
    <row r="29" spans="1:9" x14ac:dyDescent="0.25">
      <c r="A29" t="s">
        <v>476</v>
      </c>
      <c r="B29" t="s">
        <v>486</v>
      </c>
      <c r="C29" t="s">
        <v>33</v>
      </c>
      <c r="D29">
        <v>20</v>
      </c>
      <c r="E29" t="s">
        <v>240</v>
      </c>
      <c r="F29" t="s">
        <v>478</v>
      </c>
      <c r="G29" t="s">
        <v>21</v>
      </c>
      <c r="H29" t="s">
        <v>479</v>
      </c>
      <c r="I29" t="s">
        <v>241</v>
      </c>
    </row>
    <row r="30" spans="1:9" x14ac:dyDescent="0.25">
      <c r="A30" t="s">
        <v>476</v>
      </c>
      <c r="B30" t="s">
        <v>486</v>
      </c>
      <c r="C30" t="s">
        <v>35</v>
      </c>
      <c r="E30" t="s">
        <v>240</v>
      </c>
      <c r="F30" t="s">
        <v>478</v>
      </c>
      <c r="G30" t="s">
        <v>21</v>
      </c>
      <c r="H30" t="s">
        <v>479</v>
      </c>
      <c r="I30" t="s">
        <v>241</v>
      </c>
    </row>
    <row r="31" spans="1:9" x14ac:dyDescent="0.25">
      <c r="A31" t="s">
        <v>476</v>
      </c>
      <c r="B31" t="s">
        <v>486</v>
      </c>
      <c r="C31" t="s">
        <v>37</v>
      </c>
      <c r="D31">
        <v>40</v>
      </c>
      <c r="E31" t="s">
        <v>240</v>
      </c>
      <c r="F31" t="s">
        <v>478</v>
      </c>
      <c r="G31" t="s">
        <v>21</v>
      </c>
      <c r="H31" t="s">
        <v>479</v>
      </c>
      <c r="I31" t="s">
        <v>241</v>
      </c>
    </row>
    <row r="32" spans="1:9" x14ac:dyDescent="0.25">
      <c r="A32" t="s">
        <v>476</v>
      </c>
      <c r="B32" t="s">
        <v>484</v>
      </c>
      <c r="C32" t="s">
        <v>28</v>
      </c>
      <c r="D32">
        <v>15</v>
      </c>
      <c r="E32" t="s">
        <v>274</v>
      </c>
      <c r="F32" t="s">
        <v>478</v>
      </c>
      <c r="G32" t="s">
        <v>21</v>
      </c>
      <c r="H32" t="s">
        <v>479</v>
      </c>
      <c r="I32" t="s">
        <v>427</v>
      </c>
    </row>
    <row r="33" spans="1:9" x14ac:dyDescent="0.25">
      <c r="A33" t="s">
        <v>476</v>
      </c>
      <c r="B33" t="s">
        <v>484</v>
      </c>
      <c r="C33" t="s">
        <v>30</v>
      </c>
      <c r="E33" t="s">
        <v>274</v>
      </c>
      <c r="F33" t="s">
        <v>478</v>
      </c>
      <c r="G33" t="s">
        <v>21</v>
      </c>
      <c r="H33" t="s">
        <v>479</v>
      </c>
      <c r="I33" t="s">
        <v>427</v>
      </c>
    </row>
    <row r="34" spans="1:9" x14ac:dyDescent="0.25">
      <c r="A34" t="s">
        <v>476</v>
      </c>
      <c r="B34" t="s">
        <v>484</v>
      </c>
      <c r="C34" t="s">
        <v>32</v>
      </c>
      <c r="D34">
        <v>10</v>
      </c>
      <c r="E34" t="s">
        <v>274</v>
      </c>
      <c r="F34" t="s">
        <v>478</v>
      </c>
      <c r="G34" t="s">
        <v>21</v>
      </c>
      <c r="H34" t="s">
        <v>479</v>
      </c>
      <c r="I34" t="s">
        <v>427</v>
      </c>
    </row>
    <row r="35" spans="1:9" x14ac:dyDescent="0.25">
      <c r="A35" t="s">
        <v>476</v>
      </c>
      <c r="B35" t="s">
        <v>484</v>
      </c>
      <c r="C35" t="s">
        <v>33</v>
      </c>
      <c r="D35">
        <v>15</v>
      </c>
      <c r="E35" t="s">
        <v>274</v>
      </c>
      <c r="F35" t="s">
        <v>478</v>
      </c>
      <c r="G35" t="s">
        <v>21</v>
      </c>
      <c r="H35" t="s">
        <v>479</v>
      </c>
      <c r="I35" t="s">
        <v>427</v>
      </c>
    </row>
    <row r="36" spans="1:9" x14ac:dyDescent="0.25">
      <c r="A36" t="s">
        <v>476</v>
      </c>
      <c r="B36" t="s">
        <v>484</v>
      </c>
      <c r="C36" t="s">
        <v>35</v>
      </c>
      <c r="E36" t="s">
        <v>274</v>
      </c>
      <c r="F36" t="s">
        <v>478</v>
      </c>
      <c r="G36" t="s">
        <v>21</v>
      </c>
      <c r="H36" t="s">
        <v>479</v>
      </c>
      <c r="I36" t="s">
        <v>427</v>
      </c>
    </row>
    <row r="37" spans="1:9" x14ac:dyDescent="0.25">
      <c r="A37" t="s">
        <v>476</v>
      </c>
      <c r="B37" t="s">
        <v>484</v>
      </c>
      <c r="C37" t="s">
        <v>37</v>
      </c>
      <c r="D37">
        <v>40</v>
      </c>
      <c r="E37" t="s">
        <v>274</v>
      </c>
      <c r="F37" t="s">
        <v>478</v>
      </c>
      <c r="G37" t="s">
        <v>21</v>
      </c>
      <c r="H37" t="s">
        <v>479</v>
      </c>
      <c r="I37" t="s">
        <v>427</v>
      </c>
    </row>
    <row r="38" spans="1:9" x14ac:dyDescent="0.25">
      <c r="A38" t="s">
        <v>476</v>
      </c>
      <c r="B38" t="s">
        <v>485</v>
      </c>
      <c r="C38" t="s">
        <v>28</v>
      </c>
      <c r="D38">
        <v>20</v>
      </c>
      <c r="E38" t="s">
        <v>303</v>
      </c>
      <c r="F38" t="s">
        <v>478</v>
      </c>
      <c r="G38" t="s">
        <v>21</v>
      </c>
      <c r="H38" t="s">
        <v>479</v>
      </c>
      <c r="I38" t="s">
        <v>428</v>
      </c>
    </row>
    <row r="39" spans="1:9" x14ac:dyDescent="0.25">
      <c r="A39" t="s">
        <v>476</v>
      </c>
      <c r="B39" t="s">
        <v>485</v>
      </c>
      <c r="C39" t="s">
        <v>30</v>
      </c>
      <c r="E39" t="s">
        <v>303</v>
      </c>
      <c r="F39" t="s">
        <v>478</v>
      </c>
      <c r="G39" t="s">
        <v>21</v>
      </c>
      <c r="H39" t="s">
        <v>479</v>
      </c>
      <c r="I39" t="s">
        <v>428</v>
      </c>
    </row>
    <row r="40" spans="1:9" x14ac:dyDescent="0.25">
      <c r="A40" t="s">
        <v>476</v>
      </c>
      <c r="B40" t="s">
        <v>485</v>
      </c>
      <c r="C40" t="s">
        <v>32</v>
      </c>
      <c r="E40" t="s">
        <v>303</v>
      </c>
      <c r="F40" t="s">
        <v>478</v>
      </c>
      <c r="G40" t="s">
        <v>21</v>
      </c>
      <c r="H40" t="s">
        <v>479</v>
      </c>
      <c r="I40" t="s">
        <v>428</v>
      </c>
    </row>
    <row r="41" spans="1:9" x14ac:dyDescent="0.25">
      <c r="A41" t="s">
        <v>476</v>
      </c>
      <c r="B41" t="s">
        <v>485</v>
      </c>
      <c r="C41" t="s">
        <v>33</v>
      </c>
      <c r="D41">
        <v>20</v>
      </c>
      <c r="E41" t="s">
        <v>303</v>
      </c>
      <c r="F41" t="s">
        <v>478</v>
      </c>
      <c r="G41" t="s">
        <v>21</v>
      </c>
      <c r="H41" t="s">
        <v>479</v>
      </c>
      <c r="I41" t="s">
        <v>428</v>
      </c>
    </row>
    <row r="42" spans="1:9" x14ac:dyDescent="0.25">
      <c r="A42" t="s">
        <v>476</v>
      </c>
      <c r="B42" t="s">
        <v>485</v>
      </c>
      <c r="C42" t="s">
        <v>35</v>
      </c>
      <c r="E42" t="s">
        <v>303</v>
      </c>
      <c r="F42" t="s">
        <v>478</v>
      </c>
      <c r="G42" t="s">
        <v>21</v>
      </c>
      <c r="H42" t="s">
        <v>479</v>
      </c>
      <c r="I42" t="s">
        <v>428</v>
      </c>
    </row>
    <row r="43" spans="1:9" x14ac:dyDescent="0.25">
      <c r="A43" t="s">
        <v>476</v>
      </c>
      <c r="B43" t="s">
        <v>485</v>
      </c>
      <c r="C43" t="s">
        <v>37</v>
      </c>
      <c r="D43">
        <v>40</v>
      </c>
      <c r="E43" t="s">
        <v>303</v>
      </c>
      <c r="F43" t="s">
        <v>478</v>
      </c>
      <c r="G43" t="s">
        <v>21</v>
      </c>
      <c r="H43" t="s">
        <v>479</v>
      </c>
      <c r="I43" t="s">
        <v>428</v>
      </c>
    </row>
    <row r="44" spans="1:9" x14ac:dyDescent="0.25">
      <c r="A44" t="s">
        <v>476</v>
      </c>
      <c r="B44" t="s">
        <v>483</v>
      </c>
      <c r="C44" t="s">
        <v>28</v>
      </c>
      <c r="D44">
        <v>9</v>
      </c>
      <c r="E44" t="s">
        <v>335</v>
      </c>
      <c r="F44" t="s">
        <v>478</v>
      </c>
      <c r="G44" t="s">
        <v>21</v>
      </c>
      <c r="H44" t="s">
        <v>479</v>
      </c>
      <c r="I44" t="s">
        <v>337</v>
      </c>
    </row>
    <row r="45" spans="1:9" x14ac:dyDescent="0.25">
      <c r="A45" t="s">
        <v>476</v>
      </c>
      <c r="B45" t="s">
        <v>483</v>
      </c>
      <c r="C45" t="s">
        <v>30</v>
      </c>
      <c r="D45">
        <v>3</v>
      </c>
      <c r="E45" t="s">
        <v>335</v>
      </c>
      <c r="F45" t="s">
        <v>478</v>
      </c>
      <c r="G45" t="s">
        <v>21</v>
      </c>
      <c r="H45" t="s">
        <v>479</v>
      </c>
      <c r="I45" t="s">
        <v>337</v>
      </c>
    </row>
    <row r="46" spans="1:9" x14ac:dyDescent="0.25">
      <c r="A46" t="s">
        <v>476</v>
      </c>
      <c r="B46" t="s">
        <v>483</v>
      </c>
      <c r="C46" t="s">
        <v>32</v>
      </c>
      <c r="D46">
        <v>16</v>
      </c>
      <c r="E46" t="s">
        <v>335</v>
      </c>
      <c r="F46" t="s">
        <v>478</v>
      </c>
      <c r="G46" t="s">
        <v>21</v>
      </c>
      <c r="H46" t="s">
        <v>479</v>
      </c>
      <c r="I46" t="s">
        <v>337</v>
      </c>
    </row>
    <row r="47" spans="1:9" x14ac:dyDescent="0.25">
      <c r="A47" t="s">
        <v>476</v>
      </c>
      <c r="B47" t="s">
        <v>483</v>
      </c>
      <c r="C47" t="s">
        <v>33</v>
      </c>
      <c r="D47">
        <v>6</v>
      </c>
      <c r="E47" t="s">
        <v>335</v>
      </c>
      <c r="F47" t="s">
        <v>478</v>
      </c>
      <c r="G47" t="s">
        <v>21</v>
      </c>
      <c r="H47" t="s">
        <v>479</v>
      </c>
      <c r="I47" t="s">
        <v>337</v>
      </c>
    </row>
    <row r="48" spans="1:9" x14ac:dyDescent="0.25">
      <c r="A48" t="s">
        <v>476</v>
      </c>
      <c r="B48" t="s">
        <v>483</v>
      </c>
      <c r="C48" t="s">
        <v>35</v>
      </c>
      <c r="D48">
        <v>6</v>
      </c>
      <c r="E48" t="s">
        <v>335</v>
      </c>
      <c r="F48" t="s">
        <v>478</v>
      </c>
      <c r="G48" t="s">
        <v>21</v>
      </c>
      <c r="H48" t="s">
        <v>479</v>
      </c>
      <c r="I48" t="s">
        <v>337</v>
      </c>
    </row>
    <row r="49" spans="1:9" x14ac:dyDescent="0.25">
      <c r="A49" t="s">
        <v>476</v>
      </c>
      <c r="B49" t="s">
        <v>483</v>
      </c>
      <c r="C49" t="s">
        <v>37</v>
      </c>
      <c r="D49">
        <v>40</v>
      </c>
      <c r="E49" t="s">
        <v>335</v>
      </c>
      <c r="F49" t="s">
        <v>478</v>
      </c>
      <c r="G49" t="s">
        <v>21</v>
      </c>
      <c r="H49" t="s">
        <v>479</v>
      </c>
      <c r="I49" t="s">
        <v>337</v>
      </c>
    </row>
    <row r="50" spans="1:9" x14ac:dyDescent="0.25">
      <c r="A50" t="s">
        <v>495</v>
      </c>
      <c r="B50" t="s">
        <v>496</v>
      </c>
      <c r="C50" t="s">
        <v>28</v>
      </c>
      <c r="D50">
        <v>34</v>
      </c>
      <c r="E50" t="s">
        <v>446</v>
      </c>
      <c r="F50" t="s">
        <v>478</v>
      </c>
      <c r="G50" t="s">
        <v>21</v>
      </c>
      <c r="H50" t="s">
        <v>479</v>
      </c>
      <c r="I50" t="s">
        <v>447</v>
      </c>
    </row>
    <row r="51" spans="1:9" x14ac:dyDescent="0.25">
      <c r="A51" t="s">
        <v>495</v>
      </c>
      <c r="B51" t="s">
        <v>496</v>
      </c>
      <c r="C51" t="s">
        <v>30</v>
      </c>
      <c r="D51">
        <v>6</v>
      </c>
      <c r="E51" t="s">
        <v>446</v>
      </c>
      <c r="F51" t="s">
        <v>478</v>
      </c>
      <c r="G51" t="s">
        <v>21</v>
      </c>
      <c r="H51" t="s">
        <v>479</v>
      </c>
      <c r="I51" t="s">
        <v>447</v>
      </c>
    </row>
    <row r="52" spans="1:9" x14ac:dyDescent="0.25">
      <c r="A52" t="s">
        <v>495</v>
      </c>
      <c r="B52" t="s">
        <v>496</v>
      </c>
      <c r="C52" t="s">
        <v>32</v>
      </c>
      <c r="E52" t="s">
        <v>446</v>
      </c>
      <c r="F52" t="s">
        <v>478</v>
      </c>
      <c r="G52" t="s">
        <v>21</v>
      </c>
      <c r="H52" t="s">
        <v>479</v>
      </c>
      <c r="I52" t="s">
        <v>447</v>
      </c>
    </row>
    <row r="53" spans="1:9" x14ac:dyDescent="0.25">
      <c r="A53" t="s">
        <v>495</v>
      </c>
      <c r="B53" t="s">
        <v>496</v>
      </c>
      <c r="C53" t="s">
        <v>33</v>
      </c>
      <c r="D53">
        <v>4</v>
      </c>
      <c r="E53" t="s">
        <v>446</v>
      </c>
      <c r="F53" t="s">
        <v>478</v>
      </c>
      <c r="G53" t="s">
        <v>21</v>
      </c>
      <c r="H53" t="s">
        <v>479</v>
      </c>
      <c r="I53" t="s">
        <v>447</v>
      </c>
    </row>
    <row r="54" spans="1:9" x14ac:dyDescent="0.25">
      <c r="A54" t="s">
        <v>495</v>
      </c>
      <c r="B54" t="s">
        <v>496</v>
      </c>
      <c r="C54" t="s">
        <v>35</v>
      </c>
      <c r="E54" t="s">
        <v>446</v>
      </c>
      <c r="F54" t="s">
        <v>478</v>
      </c>
      <c r="G54" t="s">
        <v>21</v>
      </c>
      <c r="H54" t="s">
        <v>479</v>
      </c>
      <c r="I54" t="s">
        <v>447</v>
      </c>
    </row>
    <row r="55" spans="1:9" x14ac:dyDescent="0.25">
      <c r="A55" t="s">
        <v>495</v>
      </c>
      <c r="B55" t="s">
        <v>496</v>
      </c>
      <c r="C55" t="s">
        <v>37</v>
      </c>
      <c r="D55">
        <v>44</v>
      </c>
      <c r="E55" t="s">
        <v>446</v>
      </c>
      <c r="F55" t="s">
        <v>478</v>
      </c>
      <c r="G55" t="s">
        <v>21</v>
      </c>
      <c r="H55" t="s">
        <v>479</v>
      </c>
      <c r="I55" t="s">
        <v>447</v>
      </c>
    </row>
    <row r="56" spans="1:9" x14ac:dyDescent="0.25">
      <c r="A56" t="s">
        <v>495</v>
      </c>
      <c r="B56" t="s">
        <v>497</v>
      </c>
      <c r="C56" t="s">
        <v>28</v>
      </c>
      <c r="D56">
        <v>33</v>
      </c>
      <c r="E56" t="s">
        <v>450</v>
      </c>
      <c r="F56" t="s">
        <v>478</v>
      </c>
      <c r="G56" t="s">
        <v>21</v>
      </c>
      <c r="H56" t="s">
        <v>479</v>
      </c>
      <c r="I56" t="s">
        <v>402</v>
      </c>
    </row>
    <row r="57" spans="1:9" x14ac:dyDescent="0.25">
      <c r="A57" t="s">
        <v>495</v>
      </c>
      <c r="B57" t="s">
        <v>497</v>
      </c>
      <c r="C57" t="s">
        <v>30</v>
      </c>
      <c r="D57">
        <v>1</v>
      </c>
      <c r="E57" t="s">
        <v>450</v>
      </c>
      <c r="F57" t="s">
        <v>478</v>
      </c>
      <c r="G57" t="s">
        <v>21</v>
      </c>
      <c r="H57" t="s">
        <v>479</v>
      </c>
      <c r="I57" t="s">
        <v>402</v>
      </c>
    </row>
    <row r="58" spans="1:9" x14ac:dyDescent="0.25">
      <c r="A58" t="s">
        <v>495</v>
      </c>
      <c r="B58" t="s">
        <v>497</v>
      </c>
      <c r="C58" t="s">
        <v>32</v>
      </c>
      <c r="D58">
        <v>6</v>
      </c>
      <c r="E58" t="s">
        <v>450</v>
      </c>
      <c r="F58" t="s">
        <v>478</v>
      </c>
      <c r="G58" t="s">
        <v>21</v>
      </c>
      <c r="H58" t="s">
        <v>479</v>
      </c>
      <c r="I58" t="s">
        <v>402</v>
      </c>
    </row>
    <row r="59" spans="1:9" x14ac:dyDescent="0.25">
      <c r="A59" t="s">
        <v>495</v>
      </c>
      <c r="B59" t="s">
        <v>497</v>
      </c>
      <c r="C59" t="s">
        <v>33</v>
      </c>
      <c r="D59">
        <v>1</v>
      </c>
      <c r="E59" t="s">
        <v>450</v>
      </c>
      <c r="F59" t="s">
        <v>478</v>
      </c>
      <c r="G59" t="s">
        <v>21</v>
      </c>
      <c r="H59" t="s">
        <v>479</v>
      </c>
      <c r="I59" t="s">
        <v>402</v>
      </c>
    </row>
    <row r="60" spans="1:9" x14ac:dyDescent="0.25">
      <c r="A60" t="s">
        <v>495</v>
      </c>
      <c r="B60" t="s">
        <v>497</v>
      </c>
      <c r="C60" t="s">
        <v>35</v>
      </c>
      <c r="D60">
        <v>3</v>
      </c>
      <c r="E60" t="s">
        <v>450</v>
      </c>
      <c r="F60" t="s">
        <v>478</v>
      </c>
      <c r="G60" t="s">
        <v>21</v>
      </c>
      <c r="H60" t="s">
        <v>479</v>
      </c>
      <c r="I60" t="s">
        <v>402</v>
      </c>
    </row>
    <row r="61" spans="1:9" x14ac:dyDescent="0.25">
      <c r="A61" t="s">
        <v>495</v>
      </c>
      <c r="B61" t="s">
        <v>497</v>
      </c>
      <c r="C61" t="s">
        <v>37</v>
      </c>
      <c r="D61">
        <v>44</v>
      </c>
      <c r="E61" t="s">
        <v>450</v>
      </c>
      <c r="F61" t="s">
        <v>478</v>
      </c>
      <c r="G61" t="s">
        <v>21</v>
      </c>
      <c r="H61" t="s">
        <v>479</v>
      </c>
      <c r="I61" t="s">
        <v>402</v>
      </c>
    </row>
    <row r="62" spans="1:9" x14ac:dyDescent="0.25">
      <c r="A62" t="s">
        <v>495</v>
      </c>
      <c r="B62" t="s">
        <v>498</v>
      </c>
      <c r="C62" t="s">
        <v>28</v>
      </c>
      <c r="D62">
        <v>13</v>
      </c>
      <c r="E62" t="s">
        <v>451</v>
      </c>
      <c r="F62" t="s">
        <v>478</v>
      </c>
      <c r="G62" t="s">
        <v>21</v>
      </c>
      <c r="H62" t="s">
        <v>479</v>
      </c>
      <c r="I62" t="s">
        <v>407</v>
      </c>
    </row>
    <row r="63" spans="1:9" x14ac:dyDescent="0.25">
      <c r="A63" t="s">
        <v>495</v>
      </c>
      <c r="B63" t="s">
        <v>498</v>
      </c>
      <c r="C63" t="s">
        <v>30</v>
      </c>
      <c r="D63">
        <v>0</v>
      </c>
      <c r="E63" t="s">
        <v>451</v>
      </c>
      <c r="F63" t="s">
        <v>478</v>
      </c>
      <c r="G63" t="s">
        <v>21</v>
      </c>
      <c r="H63" t="s">
        <v>479</v>
      </c>
      <c r="I63" t="s">
        <v>407</v>
      </c>
    </row>
    <row r="64" spans="1:9" x14ac:dyDescent="0.25">
      <c r="A64" t="s">
        <v>495</v>
      </c>
      <c r="B64" t="s">
        <v>498</v>
      </c>
      <c r="C64" t="s">
        <v>32</v>
      </c>
      <c r="D64">
        <v>7</v>
      </c>
      <c r="E64" t="s">
        <v>451</v>
      </c>
      <c r="F64" t="s">
        <v>478</v>
      </c>
      <c r="G64" t="s">
        <v>21</v>
      </c>
      <c r="H64" t="s">
        <v>479</v>
      </c>
      <c r="I64" t="s">
        <v>407</v>
      </c>
    </row>
    <row r="65" spans="1:9" x14ac:dyDescent="0.25">
      <c r="A65" t="s">
        <v>495</v>
      </c>
      <c r="B65" t="s">
        <v>498</v>
      </c>
      <c r="C65" t="s">
        <v>33</v>
      </c>
      <c r="D65">
        <v>13</v>
      </c>
      <c r="E65" t="s">
        <v>451</v>
      </c>
      <c r="F65" t="s">
        <v>478</v>
      </c>
      <c r="G65" t="s">
        <v>21</v>
      </c>
      <c r="H65" t="s">
        <v>479</v>
      </c>
      <c r="I65" t="s">
        <v>407</v>
      </c>
    </row>
    <row r="66" spans="1:9" x14ac:dyDescent="0.25">
      <c r="A66" t="s">
        <v>495</v>
      </c>
      <c r="B66" t="s">
        <v>498</v>
      </c>
      <c r="C66" t="s">
        <v>35</v>
      </c>
      <c r="D66">
        <v>6</v>
      </c>
      <c r="E66" t="s">
        <v>451</v>
      </c>
      <c r="F66" t="s">
        <v>478</v>
      </c>
      <c r="G66" t="s">
        <v>21</v>
      </c>
      <c r="H66" t="s">
        <v>479</v>
      </c>
      <c r="I66" t="s">
        <v>407</v>
      </c>
    </row>
    <row r="67" spans="1:9" x14ac:dyDescent="0.25">
      <c r="A67" t="s">
        <v>495</v>
      </c>
      <c r="B67" t="s">
        <v>498</v>
      </c>
      <c r="C67" t="s">
        <v>37</v>
      </c>
      <c r="D67">
        <v>39</v>
      </c>
      <c r="E67" t="s">
        <v>451</v>
      </c>
      <c r="F67" t="s">
        <v>478</v>
      </c>
      <c r="G67" t="s">
        <v>21</v>
      </c>
      <c r="H67" t="s">
        <v>479</v>
      </c>
      <c r="I67" t="s">
        <v>407</v>
      </c>
    </row>
    <row r="68" spans="1:9" x14ac:dyDescent="0.25">
      <c r="A68" t="s">
        <v>495</v>
      </c>
      <c r="B68" t="s">
        <v>499</v>
      </c>
      <c r="C68" t="s">
        <v>28</v>
      </c>
      <c r="D68">
        <v>34</v>
      </c>
      <c r="E68" t="s">
        <v>453</v>
      </c>
      <c r="F68" t="s">
        <v>478</v>
      </c>
      <c r="G68" t="s">
        <v>21</v>
      </c>
      <c r="H68" t="s">
        <v>479</v>
      </c>
      <c r="I68" t="s">
        <v>454</v>
      </c>
    </row>
    <row r="69" spans="1:9" x14ac:dyDescent="0.25">
      <c r="A69" t="s">
        <v>495</v>
      </c>
      <c r="B69" t="s">
        <v>499</v>
      </c>
      <c r="C69" t="s">
        <v>30</v>
      </c>
      <c r="D69">
        <v>12</v>
      </c>
      <c r="E69" t="s">
        <v>453</v>
      </c>
      <c r="F69" t="s">
        <v>478</v>
      </c>
      <c r="G69" t="s">
        <v>21</v>
      </c>
      <c r="H69" t="s">
        <v>479</v>
      </c>
      <c r="I69" t="s">
        <v>454</v>
      </c>
    </row>
    <row r="70" spans="1:9" x14ac:dyDescent="0.25">
      <c r="A70" t="s">
        <v>495</v>
      </c>
      <c r="B70" t="s">
        <v>499</v>
      </c>
      <c r="C70" t="s">
        <v>32</v>
      </c>
      <c r="E70" t="s">
        <v>453</v>
      </c>
      <c r="F70" t="s">
        <v>478</v>
      </c>
      <c r="G70" t="s">
        <v>21</v>
      </c>
      <c r="H70" t="s">
        <v>479</v>
      </c>
      <c r="I70" t="s">
        <v>454</v>
      </c>
    </row>
    <row r="71" spans="1:9" x14ac:dyDescent="0.25">
      <c r="A71" t="s">
        <v>495</v>
      </c>
      <c r="B71" t="s">
        <v>499</v>
      </c>
      <c r="C71" t="s">
        <v>33</v>
      </c>
      <c r="D71">
        <v>2</v>
      </c>
      <c r="E71" t="s">
        <v>453</v>
      </c>
      <c r="F71" t="s">
        <v>478</v>
      </c>
      <c r="G71" t="s">
        <v>21</v>
      </c>
      <c r="H71" t="s">
        <v>479</v>
      </c>
      <c r="I71" t="s">
        <v>454</v>
      </c>
    </row>
    <row r="72" spans="1:9" x14ac:dyDescent="0.25">
      <c r="A72" t="s">
        <v>495</v>
      </c>
      <c r="B72" t="s">
        <v>499</v>
      </c>
      <c r="C72" t="s">
        <v>35</v>
      </c>
      <c r="E72" t="s">
        <v>453</v>
      </c>
      <c r="F72" t="s">
        <v>478</v>
      </c>
      <c r="G72" t="s">
        <v>21</v>
      </c>
      <c r="H72" t="s">
        <v>479</v>
      </c>
      <c r="I72" t="s">
        <v>454</v>
      </c>
    </row>
    <row r="73" spans="1:9" x14ac:dyDescent="0.25">
      <c r="A73" t="s">
        <v>495</v>
      </c>
      <c r="B73" t="s">
        <v>499</v>
      </c>
      <c r="C73" t="s">
        <v>37</v>
      </c>
      <c r="D73">
        <v>48</v>
      </c>
      <c r="E73" t="s">
        <v>453</v>
      </c>
      <c r="F73" t="s">
        <v>478</v>
      </c>
      <c r="G73" t="s">
        <v>21</v>
      </c>
      <c r="H73" t="s">
        <v>479</v>
      </c>
      <c r="I73" t="s">
        <v>454</v>
      </c>
    </row>
    <row r="74" spans="1:9" x14ac:dyDescent="0.25">
      <c r="A74" t="s">
        <v>495</v>
      </c>
      <c r="B74" t="s">
        <v>500</v>
      </c>
      <c r="C74" t="s">
        <v>28</v>
      </c>
      <c r="D74">
        <v>16</v>
      </c>
      <c r="E74" t="s">
        <v>456</v>
      </c>
      <c r="F74" t="s">
        <v>478</v>
      </c>
      <c r="G74" t="s">
        <v>21</v>
      </c>
      <c r="H74" t="s">
        <v>479</v>
      </c>
      <c r="I74" t="s">
        <v>457</v>
      </c>
    </row>
    <row r="75" spans="1:9" x14ac:dyDescent="0.25">
      <c r="A75" t="s">
        <v>495</v>
      </c>
      <c r="B75" t="s">
        <v>500</v>
      </c>
      <c r="C75" t="s">
        <v>30</v>
      </c>
      <c r="D75">
        <v>5</v>
      </c>
      <c r="E75" t="s">
        <v>456</v>
      </c>
      <c r="F75" t="s">
        <v>478</v>
      </c>
      <c r="G75" t="s">
        <v>21</v>
      </c>
      <c r="H75" t="s">
        <v>479</v>
      </c>
      <c r="I75" t="s">
        <v>457</v>
      </c>
    </row>
    <row r="76" spans="1:9" x14ac:dyDescent="0.25">
      <c r="A76" t="s">
        <v>495</v>
      </c>
      <c r="B76" t="s">
        <v>500</v>
      </c>
      <c r="C76" t="s">
        <v>32</v>
      </c>
      <c r="D76">
        <v>6</v>
      </c>
      <c r="E76" t="s">
        <v>456</v>
      </c>
      <c r="F76" t="s">
        <v>478</v>
      </c>
      <c r="G76" t="s">
        <v>21</v>
      </c>
      <c r="H76" t="s">
        <v>479</v>
      </c>
      <c r="I76" t="s">
        <v>457</v>
      </c>
    </row>
    <row r="77" spans="1:9" x14ac:dyDescent="0.25">
      <c r="A77" t="s">
        <v>495</v>
      </c>
      <c r="B77" t="s">
        <v>500</v>
      </c>
      <c r="C77" t="s">
        <v>33</v>
      </c>
      <c r="D77">
        <v>7</v>
      </c>
      <c r="E77" t="s">
        <v>456</v>
      </c>
      <c r="F77" t="s">
        <v>478</v>
      </c>
      <c r="G77" t="s">
        <v>21</v>
      </c>
      <c r="H77" t="s">
        <v>479</v>
      </c>
      <c r="I77" t="s">
        <v>457</v>
      </c>
    </row>
    <row r="78" spans="1:9" x14ac:dyDescent="0.25">
      <c r="A78" t="s">
        <v>495</v>
      </c>
      <c r="B78" t="s">
        <v>500</v>
      </c>
      <c r="C78" t="s">
        <v>696</v>
      </c>
      <c r="D78">
        <v>6</v>
      </c>
      <c r="E78" t="s">
        <v>456</v>
      </c>
      <c r="F78" t="s">
        <v>478</v>
      </c>
      <c r="G78" t="s">
        <v>21</v>
      </c>
      <c r="H78" t="s">
        <v>479</v>
      </c>
      <c r="I78" t="s">
        <v>457</v>
      </c>
    </row>
    <row r="79" spans="1:9" x14ac:dyDescent="0.25">
      <c r="A79" t="s">
        <v>495</v>
      </c>
      <c r="B79" t="s">
        <v>500</v>
      </c>
      <c r="C79" t="s">
        <v>37</v>
      </c>
      <c r="D79">
        <v>40</v>
      </c>
      <c r="E79" t="s">
        <v>456</v>
      </c>
      <c r="F79" t="s">
        <v>478</v>
      </c>
      <c r="G79" t="s">
        <v>21</v>
      </c>
      <c r="H79" t="s">
        <v>479</v>
      </c>
      <c r="I79" t="s">
        <v>457</v>
      </c>
    </row>
    <row r="80" spans="1:9" x14ac:dyDescent="0.25">
      <c r="A80" t="s">
        <v>495</v>
      </c>
      <c r="B80" t="s">
        <v>501</v>
      </c>
      <c r="C80" t="s">
        <v>28</v>
      </c>
      <c r="D80">
        <v>12</v>
      </c>
      <c r="E80" t="s">
        <v>459</v>
      </c>
      <c r="F80" t="s">
        <v>478</v>
      </c>
      <c r="G80" t="s">
        <v>21</v>
      </c>
      <c r="H80" t="s">
        <v>479</v>
      </c>
      <c r="I80" t="s">
        <v>460</v>
      </c>
    </row>
    <row r="81" spans="1:9" x14ac:dyDescent="0.25">
      <c r="A81" t="s">
        <v>495</v>
      </c>
      <c r="B81" t="s">
        <v>501</v>
      </c>
      <c r="C81" t="s">
        <v>30</v>
      </c>
      <c r="D81">
        <v>10</v>
      </c>
      <c r="E81" t="s">
        <v>459</v>
      </c>
      <c r="F81" t="s">
        <v>478</v>
      </c>
      <c r="G81" t="s">
        <v>21</v>
      </c>
      <c r="H81" t="s">
        <v>479</v>
      </c>
      <c r="I81" t="s">
        <v>460</v>
      </c>
    </row>
    <row r="82" spans="1:9" x14ac:dyDescent="0.25">
      <c r="A82" t="s">
        <v>495</v>
      </c>
      <c r="B82" t="s">
        <v>501</v>
      </c>
      <c r="C82" t="s">
        <v>32</v>
      </c>
      <c r="E82" t="s">
        <v>459</v>
      </c>
      <c r="F82" t="s">
        <v>478</v>
      </c>
      <c r="G82" t="s">
        <v>21</v>
      </c>
      <c r="H82" t="s">
        <v>479</v>
      </c>
      <c r="I82" t="s">
        <v>460</v>
      </c>
    </row>
    <row r="83" spans="1:9" x14ac:dyDescent="0.25">
      <c r="A83" t="s">
        <v>495</v>
      </c>
      <c r="B83" t="s">
        <v>501</v>
      </c>
      <c r="C83" t="s">
        <v>33</v>
      </c>
      <c r="E83" t="s">
        <v>459</v>
      </c>
      <c r="F83" t="s">
        <v>478</v>
      </c>
      <c r="G83" t="s">
        <v>21</v>
      </c>
      <c r="H83" t="s">
        <v>479</v>
      </c>
      <c r="I83" t="s">
        <v>460</v>
      </c>
    </row>
    <row r="84" spans="1:9" x14ac:dyDescent="0.25">
      <c r="A84" t="s">
        <v>495</v>
      </c>
      <c r="B84" t="s">
        <v>501</v>
      </c>
      <c r="C84" t="s">
        <v>35</v>
      </c>
      <c r="E84" t="s">
        <v>459</v>
      </c>
      <c r="F84" t="s">
        <v>478</v>
      </c>
      <c r="G84" t="s">
        <v>21</v>
      </c>
      <c r="H84" t="s">
        <v>479</v>
      </c>
      <c r="I84" t="s">
        <v>460</v>
      </c>
    </row>
    <row r="85" spans="1:9" x14ac:dyDescent="0.25">
      <c r="A85" t="s">
        <v>495</v>
      </c>
      <c r="B85" t="s">
        <v>501</v>
      </c>
      <c r="C85" t="s">
        <v>37</v>
      </c>
      <c r="D85">
        <v>22</v>
      </c>
      <c r="E85" t="s">
        <v>459</v>
      </c>
      <c r="F85" t="s">
        <v>478</v>
      </c>
      <c r="G85" t="s">
        <v>21</v>
      </c>
      <c r="H85" t="s">
        <v>479</v>
      </c>
      <c r="I85" t="s">
        <v>460</v>
      </c>
    </row>
    <row r="86" spans="1:9" x14ac:dyDescent="0.25">
      <c r="A86" t="s">
        <v>495</v>
      </c>
      <c r="B86" t="s">
        <v>502</v>
      </c>
      <c r="C86" t="s">
        <v>28</v>
      </c>
      <c r="D86">
        <v>22</v>
      </c>
      <c r="E86" t="s">
        <v>463</v>
      </c>
      <c r="F86" t="s">
        <v>478</v>
      </c>
      <c r="G86" t="s">
        <v>21</v>
      </c>
      <c r="H86" t="s">
        <v>479</v>
      </c>
      <c r="I86" t="s">
        <v>464</v>
      </c>
    </row>
    <row r="87" spans="1:9" x14ac:dyDescent="0.25">
      <c r="A87" t="s">
        <v>495</v>
      </c>
      <c r="B87" t="s">
        <v>502</v>
      </c>
      <c r="C87" t="s">
        <v>30</v>
      </c>
      <c r="D87">
        <v>6</v>
      </c>
      <c r="E87" t="s">
        <v>463</v>
      </c>
      <c r="F87" t="s">
        <v>478</v>
      </c>
      <c r="G87" t="s">
        <v>21</v>
      </c>
      <c r="H87" t="s">
        <v>479</v>
      </c>
      <c r="I87" t="s">
        <v>464</v>
      </c>
    </row>
    <row r="88" spans="1:9" x14ac:dyDescent="0.25">
      <c r="A88" t="s">
        <v>495</v>
      </c>
      <c r="B88" t="s">
        <v>502</v>
      </c>
      <c r="C88" t="s">
        <v>32</v>
      </c>
      <c r="D88">
        <v>12</v>
      </c>
      <c r="E88" t="s">
        <v>463</v>
      </c>
      <c r="F88" t="s">
        <v>478</v>
      </c>
      <c r="G88" t="s">
        <v>21</v>
      </c>
      <c r="H88" t="s">
        <v>479</v>
      </c>
      <c r="I88" t="s">
        <v>464</v>
      </c>
    </row>
    <row r="89" spans="1:9" x14ac:dyDescent="0.25">
      <c r="A89" t="s">
        <v>495</v>
      </c>
      <c r="B89" t="s">
        <v>502</v>
      </c>
      <c r="C89" t="s">
        <v>33</v>
      </c>
      <c r="E89" t="s">
        <v>463</v>
      </c>
      <c r="F89" t="s">
        <v>478</v>
      </c>
      <c r="G89" t="s">
        <v>21</v>
      </c>
      <c r="H89" t="s">
        <v>479</v>
      </c>
      <c r="I89" t="s">
        <v>464</v>
      </c>
    </row>
    <row r="90" spans="1:9" x14ac:dyDescent="0.25">
      <c r="A90" t="s">
        <v>495</v>
      </c>
      <c r="B90" t="s">
        <v>502</v>
      </c>
      <c r="C90" t="s">
        <v>35</v>
      </c>
      <c r="E90" t="s">
        <v>463</v>
      </c>
      <c r="F90" t="s">
        <v>478</v>
      </c>
      <c r="G90" t="s">
        <v>21</v>
      </c>
      <c r="H90" t="s">
        <v>479</v>
      </c>
      <c r="I90" t="s">
        <v>464</v>
      </c>
    </row>
    <row r="91" spans="1:9" x14ac:dyDescent="0.25">
      <c r="A91" t="s">
        <v>495</v>
      </c>
      <c r="B91" t="s">
        <v>502</v>
      </c>
      <c r="C91" t="s">
        <v>37</v>
      </c>
      <c r="D91">
        <v>40</v>
      </c>
      <c r="E91" t="s">
        <v>463</v>
      </c>
      <c r="F91" t="s">
        <v>478</v>
      </c>
      <c r="G91" t="s">
        <v>21</v>
      </c>
      <c r="H91" t="s">
        <v>479</v>
      </c>
      <c r="I91" t="s">
        <v>464</v>
      </c>
    </row>
    <row r="92" spans="1:9" x14ac:dyDescent="0.25">
      <c r="A92" t="s">
        <v>495</v>
      </c>
      <c r="B92" t="s">
        <v>503</v>
      </c>
      <c r="C92" t="s">
        <v>28</v>
      </c>
      <c r="E92" t="s">
        <v>466</v>
      </c>
      <c r="F92" t="s">
        <v>478</v>
      </c>
      <c r="G92" t="s">
        <v>21</v>
      </c>
      <c r="H92" t="s">
        <v>479</v>
      </c>
      <c r="I92" t="s">
        <v>412</v>
      </c>
    </row>
    <row r="93" spans="1:9" x14ac:dyDescent="0.25">
      <c r="A93" t="s">
        <v>495</v>
      </c>
      <c r="B93" t="s">
        <v>503</v>
      </c>
      <c r="C93" t="s">
        <v>30</v>
      </c>
      <c r="D93">
        <v>6</v>
      </c>
      <c r="E93" t="s">
        <v>466</v>
      </c>
      <c r="F93" t="s">
        <v>478</v>
      </c>
      <c r="G93" t="s">
        <v>21</v>
      </c>
      <c r="H93" t="s">
        <v>479</v>
      </c>
      <c r="I93" t="s">
        <v>412</v>
      </c>
    </row>
    <row r="94" spans="1:9" x14ac:dyDescent="0.25">
      <c r="A94" t="s">
        <v>495</v>
      </c>
      <c r="B94" t="s">
        <v>503</v>
      </c>
      <c r="C94" t="s">
        <v>32</v>
      </c>
      <c r="E94" t="s">
        <v>466</v>
      </c>
      <c r="F94" t="s">
        <v>478</v>
      </c>
      <c r="G94" t="s">
        <v>21</v>
      </c>
      <c r="H94" t="s">
        <v>479</v>
      </c>
      <c r="I94" t="s">
        <v>412</v>
      </c>
    </row>
    <row r="95" spans="1:9" x14ac:dyDescent="0.25">
      <c r="A95" t="s">
        <v>495</v>
      </c>
      <c r="B95" t="s">
        <v>503</v>
      </c>
      <c r="C95" t="s">
        <v>33</v>
      </c>
      <c r="D95">
        <v>27</v>
      </c>
      <c r="E95" t="s">
        <v>466</v>
      </c>
      <c r="F95" t="s">
        <v>478</v>
      </c>
      <c r="G95" t="s">
        <v>21</v>
      </c>
      <c r="H95" t="s">
        <v>479</v>
      </c>
      <c r="I95" t="s">
        <v>412</v>
      </c>
    </row>
    <row r="96" spans="1:9" x14ac:dyDescent="0.25">
      <c r="A96" t="s">
        <v>495</v>
      </c>
      <c r="B96" t="s">
        <v>503</v>
      </c>
      <c r="C96" t="s">
        <v>35</v>
      </c>
      <c r="D96">
        <v>12</v>
      </c>
      <c r="E96" t="s">
        <v>466</v>
      </c>
      <c r="F96" t="s">
        <v>478</v>
      </c>
      <c r="G96" t="s">
        <v>21</v>
      </c>
      <c r="H96" t="s">
        <v>479</v>
      </c>
      <c r="I96" t="s">
        <v>412</v>
      </c>
    </row>
    <row r="97" spans="1:9" x14ac:dyDescent="0.25">
      <c r="A97" t="s">
        <v>495</v>
      </c>
      <c r="B97" t="s">
        <v>503</v>
      </c>
      <c r="C97" t="s">
        <v>37</v>
      </c>
      <c r="D97">
        <v>45</v>
      </c>
      <c r="E97" t="s">
        <v>466</v>
      </c>
      <c r="F97" t="s">
        <v>478</v>
      </c>
      <c r="G97" t="s">
        <v>21</v>
      </c>
      <c r="H97" t="s">
        <v>479</v>
      </c>
      <c r="I97" t="s">
        <v>412</v>
      </c>
    </row>
    <row r="98" spans="1:9" x14ac:dyDescent="0.25">
      <c r="A98" t="s">
        <v>495</v>
      </c>
      <c r="B98" t="s">
        <v>504</v>
      </c>
      <c r="C98" t="s">
        <v>28</v>
      </c>
      <c r="D98">
        <v>22</v>
      </c>
      <c r="E98" t="s">
        <v>468</v>
      </c>
      <c r="F98" t="s">
        <v>478</v>
      </c>
      <c r="G98" t="s">
        <v>21</v>
      </c>
      <c r="H98" t="s">
        <v>479</v>
      </c>
      <c r="I98" t="s">
        <v>469</v>
      </c>
    </row>
    <row r="99" spans="1:9" x14ac:dyDescent="0.25">
      <c r="A99" t="s">
        <v>495</v>
      </c>
      <c r="B99" t="s">
        <v>504</v>
      </c>
      <c r="C99" t="s">
        <v>30</v>
      </c>
      <c r="E99" t="s">
        <v>468</v>
      </c>
      <c r="F99" t="s">
        <v>478</v>
      </c>
      <c r="G99" t="s">
        <v>21</v>
      </c>
      <c r="H99" t="s">
        <v>479</v>
      </c>
      <c r="I99" t="s">
        <v>469</v>
      </c>
    </row>
    <row r="100" spans="1:9" x14ac:dyDescent="0.25">
      <c r="A100" t="s">
        <v>495</v>
      </c>
      <c r="B100" t="s">
        <v>504</v>
      </c>
      <c r="C100" t="s">
        <v>32</v>
      </c>
      <c r="D100">
        <v>16</v>
      </c>
      <c r="E100" t="s">
        <v>468</v>
      </c>
      <c r="F100" t="s">
        <v>478</v>
      </c>
      <c r="G100" t="s">
        <v>21</v>
      </c>
      <c r="H100" t="s">
        <v>479</v>
      </c>
      <c r="I100" t="s">
        <v>469</v>
      </c>
    </row>
    <row r="101" spans="1:9" x14ac:dyDescent="0.25">
      <c r="A101" t="s">
        <v>495</v>
      </c>
      <c r="B101" t="s">
        <v>504</v>
      </c>
      <c r="C101" t="s">
        <v>33</v>
      </c>
      <c r="D101">
        <v>6</v>
      </c>
      <c r="E101" t="s">
        <v>468</v>
      </c>
      <c r="F101" t="s">
        <v>478</v>
      </c>
      <c r="G101" t="s">
        <v>21</v>
      </c>
      <c r="H101" t="s">
        <v>479</v>
      </c>
      <c r="I101" t="s">
        <v>469</v>
      </c>
    </row>
    <row r="102" spans="1:9" x14ac:dyDescent="0.25">
      <c r="A102" t="s">
        <v>495</v>
      </c>
      <c r="B102" t="s">
        <v>504</v>
      </c>
      <c r="C102" t="s">
        <v>35</v>
      </c>
      <c r="E102" t="s">
        <v>468</v>
      </c>
      <c r="F102" t="s">
        <v>478</v>
      </c>
      <c r="G102" t="s">
        <v>21</v>
      </c>
      <c r="H102" t="s">
        <v>479</v>
      </c>
      <c r="I102" t="s">
        <v>469</v>
      </c>
    </row>
    <row r="103" spans="1:9" x14ac:dyDescent="0.25">
      <c r="A103" t="s">
        <v>495</v>
      </c>
      <c r="B103" t="s">
        <v>504</v>
      </c>
      <c r="C103" t="s">
        <v>37</v>
      </c>
      <c r="D103">
        <v>44</v>
      </c>
      <c r="E103" t="s">
        <v>468</v>
      </c>
      <c r="F103" t="s">
        <v>478</v>
      </c>
      <c r="G103" t="s">
        <v>21</v>
      </c>
      <c r="H103" t="s">
        <v>479</v>
      </c>
      <c r="I103" t="s">
        <v>469</v>
      </c>
    </row>
    <row r="104" spans="1:9" x14ac:dyDescent="0.25">
      <c r="A104" t="s">
        <v>487</v>
      </c>
      <c r="B104" t="s">
        <v>488</v>
      </c>
      <c r="C104" t="s">
        <v>28</v>
      </c>
      <c r="D104">
        <v>10</v>
      </c>
      <c r="E104" t="s">
        <v>429</v>
      </c>
      <c r="F104" t="s">
        <v>478</v>
      </c>
      <c r="G104" t="s">
        <v>21</v>
      </c>
      <c r="H104" t="s">
        <v>479</v>
      </c>
      <c r="I104" t="s">
        <v>430</v>
      </c>
    </row>
    <row r="105" spans="1:9" x14ac:dyDescent="0.25">
      <c r="A105" t="s">
        <v>487</v>
      </c>
      <c r="B105" t="s">
        <v>488</v>
      </c>
      <c r="C105" t="s">
        <v>30</v>
      </c>
      <c r="D105">
        <v>10</v>
      </c>
      <c r="E105" t="s">
        <v>429</v>
      </c>
      <c r="F105" t="s">
        <v>478</v>
      </c>
      <c r="G105" t="s">
        <v>21</v>
      </c>
      <c r="H105" t="s">
        <v>479</v>
      </c>
      <c r="I105" t="s">
        <v>430</v>
      </c>
    </row>
    <row r="106" spans="1:9" x14ac:dyDescent="0.25">
      <c r="A106" t="s">
        <v>487</v>
      </c>
      <c r="B106" t="s">
        <v>488</v>
      </c>
      <c r="C106" t="s">
        <v>32</v>
      </c>
      <c r="D106">
        <v>20</v>
      </c>
      <c r="E106" t="s">
        <v>429</v>
      </c>
      <c r="F106" t="s">
        <v>478</v>
      </c>
      <c r="G106" t="s">
        <v>21</v>
      </c>
      <c r="H106" t="s">
        <v>479</v>
      </c>
      <c r="I106" t="s">
        <v>430</v>
      </c>
    </row>
    <row r="107" spans="1:9" x14ac:dyDescent="0.25">
      <c r="A107" t="s">
        <v>487</v>
      </c>
      <c r="B107" t="s">
        <v>488</v>
      </c>
      <c r="C107" t="s">
        <v>33</v>
      </c>
      <c r="E107" t="s">
        <v>429</v>
      </c>
      <c r="F107" t="s">
        <v>478</v>
      </c>
      <c r="G107" t="s">
        <v>21</v>
      </c>
      <c r="H107" t="s">
        <v>479</v>
      </c>
      <c r="I107" t="s">
        <v>430</v>
      </c>
    </row>
    <row r="108" spans="1:9" x14ac:dyDescent="0.25">
      <c r="A108" t="s">
        <v>487</v>
      </c>
      <c r="B108" t="s">
        <v>488</v>
      </c>
      <c r="C108" t="s">
        <v>35</v>
      </c>
      <c r="E108" t="s">
        <v>429</v>
      </c>
      <c r="F108" t="s">
        <v>478</v>
      </c>
      <c r="G108" t="s">
        <v>21</v>
      </c>
      <c r="H108" t="s">
        <v>479</v>
      </c>
      <c r="I108" t="s">
        <v>430</v>
      </c>
    </row>
    <row r="109" spans="1:9" x14ac:dyDescent="0.25">
      <c r="A109" t="s">
        <v>487</v>
      </c>
      <c r="B109" t="s">
        <v>488</v>
      </c>
      <c r="C109" t="s">
        <v>37</v>
      </c>
      <c r="D109">
        <v>40</v>
      </c>
      <c r="E109" t="s">
        <v>429</v>
      </c>
      <c r="F109" t="s">
        <v>478</v>
      </c>
      <c r="G109" t="s">
        <v>21</v>
      </c>
      <c r="H109" t="s">
        <v>479</v>
      </c>
      <c r="I109" t="s">
        <v>430</v>
      </c>
    </row>
    <row r="110" spans="1:9" x14ac:dyDescent="0.25">
      <c r="A110" t="s">
        <v>487</v>
      </c>
      <c r="B110" t="s">
        <v>491</v>
      </c>
      <c r="C110" t="s">
        <v>28</v>
      </c>
      <c r="D110">
        <v>11</v>
      </c>
      <c r="E110" t="s">
        <v>437</v>
      </c>
      <c r="F110" t="s">
        <v>478</v>
      </c>
      <c r="G110" t="s">
        <v>21</v>
      </c>
      <c r="H110" t="s">
        <v>479</v>
      </c>
      <c r="I110" t="s">
        <v>438</v>
      </c>
    </row>
    <row r="111" spans="1:9" x14ac:dyDescent="0.25">
      <c r="A111" t="s">
        <v>487</v>
      </c>
      <c r="B111" t="s">
        <v>491</v>
      </c>
      <c r="C111" t="s">
        <v>30</v>
      </c>
      <c r="D111">
        <v>11</v>
      </c>
      <c r="E111" t="s">
        <v>437</v>
      </c>
      <c r="F111" t="s">
        <v>478</v>
      </c>
      <c r="G111" t="s">
        <v>21</v>
      </c>
      <c r="H111" t="s">
        <v>479</v>
      </c>
      <c r="I111" t="s">
        <v>438</v>
      </c>
    </row>
    <row r="112" spans="1:9" x14ac:dyDescent="0.25">
      <c r="A112" t="s">
        <v>487</v>
      </c>
      <c r="B112" t="s">
        <v>491</v>
      </c>
      <c r="C112" t="s">
        <v>32</v>
      </c>
      <c r="D112">
        <v>14</v>
      </c>
      <c r="E112" t="s">
        <v>437</v>
      </c>
      <c r="F112" t="s">
        <v>478</v>
      </c>
      <c r="G112" t="s">
        <v>21</v>
      </c>
      <c r="H112" t="s">
        <v>479</v>
      </c>
      <c r="I112" t="s">
        <v>438</v>
      </c>
    </row>
    <row r="113" spans="1:9" x14ac:dyDescent="0.25">
      <c r="A113" t="s">
        <v>487</v>
      </c>
      <c r="B113" t="s">
        <v>491</v>
      </c>
      <c r="C113" t="s">
        <v>33</v>
      </c>
      <c r="D113">
        <v>4</v>
      </c>
      <c r="E113" t="s">
        <v>437</v>
      </c>
      <c r="F113" t="s">
        <v>478</v>
      </c>
      <c r="G113" t="s">
        <v>21</v>
      </c>
      <c r="H113" t="s">
        <v>479</v>
      </c>
      <c r="I113" t="s">
        <v>438</v>
      </c>
    </row>
    <row r="114" spans="1:9" x14ac:dyDescent="0.25">
      <c r="A114" t="s">
        <v>487</v>
      </c>
      <c r="B114" t="s">
        <v>491</v>
      </c>
      <c r="C114" t="s">
        <v>35</v>
      </c>
      <c r="D114">
        <v>0</v>
      </c>
      <c r="E114" t="s">
        <v>437</v>
      </c>
      <c r="F114" t="s">
        <v>478</v>
      </c>
      <c r="G114" t="s">
        <v>21</v>
      </c>
      <c r="H114" t="s">
        <v>479</v>
      </c>
      <c r="I114" t="s">
        <v>438</v>
      </c>
    </row>
    <row r="115" spans="1:9" x14ac:dyDescent="0.25">
      <c r="A115" t="s">
        <v>487</v>
      </c>
      <c r="B115" t="s">
        <v>491</v>
      </c>
      <c r="C115" t="s">
        <v>37</v>
      </c>
      <c r="D115">
        <v>40</v>
      </c>
      <c r="E115" t="s">
        <v>437</v>
      </c>
      <c r="F115" t="s">
        <v>478</v>
      </c>
      <c r="G115" t="s">
        <v>21</v>
      </c>
      <c r="H115" t="s">
        <v>479</v>
      </c>
      <c r="I115" t="s">
        <v>438</v>
      </c>
    </row>
    <row r="116" spans="1:9" x14ac:dyDescent="0.25">
      <c r="A116" t="s">
        <v>487</v>
      </c>
      <c r="B116" t="s">
        <v>490</v>
      </c>
      <c r="C116" t="s">
        <v>28</v>
      </c>
      <c r="E116" t="s">
        <v>435</v>
      </c>
      <c r="F116" t="s">
        <v>478</v>
      </c>
      <c r="G116" t="s">
        <v>21</v>
      </c>
      <c r="H116" t="s">
        <v>479</v>
      </c>
      <c r="I116" t="s">
        <v>436</v>
      </c>
    </row>
    <row r="117" spans="1:9" x14ac:dyDescent="0.25">
      <c r="A117" t="s">
        <v>487</v>
      </c>
      <c r="B117" t="s">
        <v>490</v>
      </c>
      <c r="C117" t="s">
        <v>30</v>
      </c>
      <c r="E117" t="s">
        <v>435</v>
      </c>
      <c r="F117" t="s">
        <v>478</v>
      </c>
      <c r="G117" t="s">
        <v>21</v>
      </c>
      <c r="H117" t="s">
        <v>479</v>
      </c>
      <c r="I117" t="s">
        <v>436</v>
      </c>
    </row>
    <row r="118" spans="1:9" x14ac:dyDescent="0.25">
      <c r="A118" t="s">
        <v>487</v>
      </c>
      <c r="B118" t="s">
        <v>490</v>
      </c>
      <c r="C118" t="s">
        <v>32</v>
      </c>
      <c r="E118" t="s">
        <v>435</v>
      </c>
      <c r="F118" t="s">
        <v>478</v>
      </c>
      <c r="G118" t="s">
        <v>21</v>
      </c>
      <c r="H118" t="s">
        <v>479</v>
      </c>
      <c r="I118" t="s">
        <v>436</v>
      </c>
    </row>
    <row r="119" spans="1:9" x14ac:dyDescent="0.25">
      <c r="A119" t="s">
        <v>487</v>
      </c>
      <c r="B119" t="s">
        <v>490</v>
      </c>
      <c r="C119" t="s">
        <v>33</v>
      </c>
      <c r="E119" t="s">
        <v>435</v>
      </c>
      <c r="F119" t="s">
        <v>478</v>
      </c>
      <c r="G119" t="s">
        <v>21</v>
      </c>
      <c r="H119" t="s">
        <v>479</v>
      </c>
      <c r="I119" t="s">
        <v>436</v>
      </c>
    </row>
    <row r="120" spans="1:9" x14ac:dyDescent="0.25">
      <c r="A120" t="s">
        <v>487</v>
      </c>
      <c r="B120" t="s">
        <v>490</v>
      </c>
      <c r="C120" t="s">
        <v>35</v>
      </c>
      <c r="E120" t="s">
        <v>435</v>
      </c>
      <c r="F120" t="s">
        <v>478</v>
      </c>
      <c r="G120" t="s">
        <v>21</v>
      </c>
      <c r="H120" t="s">
        <v>479</v>
      </c>
      <c r="I120" t="s">
        <v>436</v>
      </c>
    </row>
    <row r="121" spans="1:9" x14ac:dyDescent="0.25">
      <c r="A121" t="s">
        <v>487</v>
      </c>
      <c r="B121" t="s">
        <v>490</v>
      </c>
      <c r="C121" t="s">
        <v>37</v>
      </c>
      <c r="D121">
        <v>0</v>
      </c>
      <c r="E121" t="s">
        <v>435</v>
      </c>
      <c r="F121" t="s">
        <v>478</v>
      </c>
      <c r="G121" t="s">
        <v>21</v>
      </c>
      <c r="H121" t="s">
        <v>479</v>
      </c>
      <c r="I121" t="s">
        <v>436</v>
      </c>
    </row>
    <row r="122" spans="1:9" x14ac:dyDescent="0.25">
      <c r="A122" t="s">
        <v>487</v>
      </c>
      <c r="B122" t="s">
        <v>489</v>
      </c>
      <c r="C122" t="s">
        <v>28</v>
      </c>
      <c r="D122">
        <v>20</v>
      </c>
      <c r="E122" t="s">
        <v>432</v>
      </c>
      <c r="F122" t="s">
        <v>478</v>
      </c>
      <c r="G122" t="s">
        <v>21</v>
      </c>
      <c r="H122" t="s">
        <v>479</v>
      </c>
      <c r="I122" t="s">
        <v>433</v>
      </c>
    </row>
    <row r="123" spans="1:9" x14ac:dyDescent="0.25">
      <c r="A123" t="s">
        <v>487</v>
      </c>
      <c r="B123" t="s">
        <v>489</v>
      </c>
      <c r="C123" t="s">
        <v>30</v>
      </c>
      <c r="D123">
        <v>2</v>
      </c>
      <c r="E123" t="s">
        <v>432</v>
      </c>
      <c r="F123" t="s">
        <v>478</v>
      </c>
      <c r="G123" t="s">
        <v>21</v>
      </c>
      <c r="H123" t="s">
        <v>479</v>
      </c>
      <c r="I123" t="s">
        <v>433</v>
      </c>
    </row>
    <row r="124" spans="1:9" x14ac:dyDescent="0.25">
      <c r="A124" t="s">
        <v>487</v>
      </c>
      <c r="B124" t="s">
        <v>489</v>
      </c>
      <c r="C124" t="s">
        <v>32</v>
      </c>
      <c r="D124">
        <v>8</v>
      </c>
      <c r="E124" t="s">
        <v>432</v>
      </c>
      <c r="F124" t="s">
        <v>478</v>
      </c>
      <c r="G124" t="s">
        <v>21</v>
      </c>
      <c r="H124" t="s">
        <v>479</v>
      </c>
      <c r="I124" t="s">
        <v>433</v>
      </c>
    </row>
    <row r="125" spans="1:9" x14ac:dyDescent="0.25">
      <c r="A125" t="s">
        <v>487</v>
      </c>
      <c r="B125" t="s">
        <v>489</v>
      </c>
      <c r="C125" t="s">
        <v>33</v>
      </c>
      <c r="D125">
        <v>10</v>
      </c>
      <c r="E125" t="s">
        <v>432</v>
      </c>
      <c r="F125" t="s">
        <v>478</v>
      </c>
      <c r="G125" t="s">
        <v>21</v>
      </c>
      <c r="H125" t="s">
        <v>479</v>
      </c>
      <c r="I125" t="s">
        <v>433</v>
      </c>
    </row>
    <row r="126" spans="1:9" x14ac:dyDescent="0.25">
      <c r="A126" t="s">
        <v>487</v>
      </c>
      <c r="B126" t="s">
        <v>489</v>
      </c>
      <c r="C126" t="s">
        <v>35</v>
      </c>
      <c r="E126" t="s">
        <v>432</v>
      </c>
      <c r="F126" t="s">
        <v>478</v>
      </c>
      <c r="G126" t="s">
        <v>21</v>
      </c>
      <c r="H126" t="s">
        <v>479</v>
      </c>
      <c r="I126" t="s">
        <v>433</v>
      </c>
    </row>
    <row r="127" spans="1:9" x14ac:dyDescent="0.25">
      <c r="A127" t="s">
        <v>487</v>
      </c>
      <c r="B127" t="s">
        <v>489</v>
      </c>
      <c r="C127" t="s">
        <v>37</v>
      </c>
      <c r="D127">
        <v>40</v>
      </c>
      <c r="E127" t="s">
        <v>432</v>
      </c>
      <c r="F127" t="s">
        <v>478</v>
      </c>
      <c r="G127" t="s">
        <v>21</v>
      </c>
      <c r="H127" t="s">
        <v>479</v>
      </c>
      <c r="I127" t="s">
        <v>433</v>
      </c>
    </row>
    <row r="128" spans="1:9" x14ac:dyDescent="0.25">
      <c r="A128" t="s">
        <v>492</v>
      </c>
      <c r="B128" t="s">
        <v>493</v>
      </c>
      <c r="C128" t="s">
        <v>28</v>
      </c>
      <c r="D128">
        <v>42</v>
      </c>
      <c r="E128" t="s">
        <v>440</v>
      </c>
      <c r="F128" t="s">
        <v>478</v>
      </c>
      <c r="G128" t="s">
        <v>21</v>
      </c>
      <c r="H128" t="s">
        <v>479</v>
      </c>
      <c r="I128" t="s">
        <v>441</v>
      </c>
    </row>
    <row r="129" spans="1:9" x14ac:dyDescent="0.25">
      <c r="A129" t="s">
        <v>492</v>
      </c>
      <c r="B129" t="s">
        <v>493</v>
      </c>
      <c r="C129" t="s">
        <v>30</v>
      </c>
      <c r="E129" t="s">
        <v>440</v>
      </c>
      <c r="F129" t="s">
        <v>478</v>
      </c>
      <c r="G129" t="s">
        <v>21</v>
      </c>
      <c r="H129" t="s">
        <v>479</v>
      </c>
      <c r="I129" t="s">
        <v>441</v>
      </c>
    </row>
    <row r="130" spans="1:9" x14ac:dyDescent="0.25">
      <c r="A130" t="s">
        <v>492</v>
      </c>
      <c r="B130" t="s">
        <v>493</v>
      </c>
      <c r="C130" t="s">
        <v>32</v>
      </c>
      <c r="E130" t="s">
        <v>440</v>
      </c>
      <c r="F130" t="s">
        <v>478</v>
      </c>
      <c r="G130" t="s">
        <v>21</v>
      </c>
      <c r="H130" t="s">
        <v>479</v>
      </c>
      <c r="I130" t="s">
        <v>441</v>
      </c>
    </row>
    <row r="131" spans="1:9" x14ac:dyDescent="0.25">
      <c r="A131" t="s">
        <v>492</v>
      </c>
      <c r="B131" t="s">
        <v>493</v>
      </c>
      <c r="C131" t="s">
        <v>33</v>
      </c>
      <c r="E131" t="s">
        <v>440</v>
      </c>
      <c r="F131" t="s">
        <v>478</v>
      </c>
      <c r="G131" t="s">
        <v>21</v>
      </c>
      <c r="H131" t="s">
        <v>479</v>
      </c>
      <c r="I131" t="s">
        <v>441</v>
      </c>
    </row>
    <row r="132" spans="1:9" x14ac:dyDescent="0.25">
      <c r="A132" t="s">
        <v>492</v>
      </c>
      <c r="B132" t="s">
        <v>493</v>
      </c>
      <c r="C132" t="s">
        <v>35</v>
      </c>
      <c r="E132" t="s">
        <v>440</v>
      </c>
      <c r="F132" t="s">
        <v>478</v>
      </c>
      <c r="G132" t="s">
        <v>21</v>
      </c>
      <c r="H132" t="s">
        <v>479</v>
      </c>
      <c r="I132" t="s">
        <v>441</v>
      </c>
    </row>
    <row r="133" spans="1:9" x14ac:dyDescent="0.25">
      <c r="A133" t="s">
        <v>492</v>
      </c>
      <c r="B133" t="s">
        <v>493</v>
      </c>
      <c r="C133" t="s">
        <v>37</v>
      </c>
      <c r="D133">
        <v>42</v>
      </c>
      <c r="E133" t="s">
        <v>440</v>
      </c>
      <c r="F133" t="s">
        <v>478</v>
      </c>
      <c r="G133" t="s">
        <v>21</v>
      </c>
      <c r="H133" t="s">
        <v>479</v>
      </c>
      <c r="I133" t="s">
        <v>441</v>
      </c>
    </row>
    <row r="134" spans="1:9" x14ac:dyDescent="0.25">
      <c r="A134" t="s">
        <v>492</v>
      </c>
      <c r="B134" t="s">
        <v>494</v>
      </c>
      <c r="C134" t="s">
        <v>28</v>
      </c>
      <c r="D134">
        <v>38</v>
      </c>
      <c r="E134" t="s">
        <v>443</v>
      </c>
      <c r="F134" t="s">
        <v>478</v>
      </c>
      <c r="G134" t="s">
        <v>21</v>
      </c>
      <c r="H134" t="s">
        <v>479</v>
      </c>
      <c r="I134" t="s">
        <v>444</v>
      </c>
    </row>
    <row r="135" spans="1:9" x14ac:dyDescent="0.25">
      <c r="A135" t="s">
        <v>492</v>
      </c>
      <c r="B135" t="s">
        <v>494</v>
      </c>
      <c r="C135" t="s">
        <v>30</v>
      </c>
      <c r="D135">
        <v>6</v>
      </c>
      <c r="E135" t="s">
        <v>443</v>
      </c>
      <c r="F135" t="s">
        <v>478</v>
      </c>
      <c r="G135" t="s">
        <v>21</v>
      </c>
      <c r="H135" t="s">
        <v>479</v>
      </c>
      <c r="I135" t="s">
        <v>444</v>
      </c>
    </row>
    <row r="136" spans="1:9" x14ac:dyDescent="0.25">
      <c r="A136" t="s">
        <v>492</v>
      </c>
      <c r="B136" t="s">
        <v>494</v>
      </c>
      <c r="C136" t="s">
        <v>32</v>
      </c>
      <c r="D136">
        <v>0</v>
      </c>
      <c r="E136" t="s">
        <v>443</v>
      </c>
      <c r="F136" t="s">
        <v>478</v>
      </c>
      <c r="G136" t="s">
        <v>21</v>
      </c>
      <c r="H136" t="s">
        <v>479</v>
      </c>
      <c r="I136" t="s">
        <v>444</v>
      </c>
    </row>
    <row r="137" spans="1:9" x14ac:dyDescent="0.25">
      <c r="A137" t="s">
        <v>492</v>
      </c>
      <c r="B137" t="s">
        <v>494</v>
      </c>
      <c r="C137" t="s">
        <v>33</v>
      </c>
      <c r="D137">
        <v>0</v>
      </c>
      <c r="E137" t="s">
        <v>443</v>
      </c>
      <c r="F137" t="s">
        <v>478</v>
      </c>
      <c r="G137" t="s">
        <v>21</v>
      </c>
      <c r="H137" t="s">
        <v>479</v>
      </c>
      <c r="I137" t="s">
        <v>444</v>
      </c>
    </row>
    <row r="138" spans="1:9" x14ac:dyDescent="0.25">
      <c r="A138" t="s">
        <v>492</v>
      </c>
      <c r="B138" t="s">
        <v>494</v>
      </c>
      <c r="C138" t="s">
        <v>35</v>
      </c>
      <c r="D138">
        <v>0</v>
      </c>
      <c r="E138" t="s">
        <v>443</v>
      </c>
      <c r="F138" t="s">
        <v>478</v>
      </c>
      <c r="G138" t="s">
        <v>21</v>
      </c>
      <c r="H138" t="s">
        <v>479</v>
      </c>
      <c r="I138" t="s">
        <v>444</v>
      </c>
    </row>
    <row r="139" spans="1:9" x14ac:dyDescent="0.25">
      <c r="A139" t="s">
        <v>492</v>
      </c>
      <c r="B139" t="s">
        <v>494</v>
      </c>
      <c r="C139" t="s">
        <v>37</v>
      </c>
      <c r="D139">
        <v>44</v>
      </c>
      <c r="E139" t="s">
        <v>443</v>
      </c>
      <c r="F139" t="s">
        <v>478</v>
      </c>
      <c r="G139" t="s">
        <v>21</v>
      </c>
      <c r="H139" t="s">
        <v>479</v>
      </c>
      <c r="I139" t="s">
        <v>444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9C312-618E-4E57-A799-AA8DA758D345}">
  <sheetPr codeName="Sheet16"/>
  <dimension ref="A1:M38"/>
  <sheetViews>
    <sheetView workbookViewId="0"/>
  </sheetViews>
  <sheetFormatPr defaultColWidth="8.85546875" defaultRowHeight="15" x14ac:dyDescent="0.25"/>
  <cols>
    <col min="1" max="1" width="49" bestFit="1" customWidth="1"/>
    <col min="2" max="2" width="16.140625" bestFit="1" customWidth="1"/>
    <col min="3" max="3" width="17.42578125" bestFit="1" customWidth="1"/>
    <col min="4" max="4" width="19.140625" bestFit="1" customWidth="1"/>
    <col min="5" max="5" width="22.28515625" bestFit="1" customWidth="1"/>
    <col min="6" max="6" width="81.140625" bestFit="1" customWidth="1"/>
    <col min="7" max="7" width="12.42578125" bestFit="1" customWidth="1"/>
    <col min="8" max="8" width="25.5703125" bestFit="1" customWidth="1"/>
    <col min="9" max="9" width="14.85546875" bestFit="1" customWidth="1"/>
    <col min="10" max="10" width="12.7109375" bestFit="1" customWidth="1"/>
    <col min="11" max="11" width="18" bestFit="1" customWidth="1"/>
    <col min="12" max="12" width="12.140625" bestFit="1" customWidth="1"/>
    <col min="13" max="13" width="41.5703125" bestFit="1" customWidth="1"/>
  </cols>
  <sheetData>
    <row r="1" spans="1:13" x14ac:dyDescent="0.25">
      <c r="A1" t="s">
        <v>471</v>
      </c>
      <c r="B1" t="s">
        <v>472</v>
      </c>
      <c r="C1" t="s">
        <v>52</v>
      </c>
      <c r="D1" t="s">
        <v>53</v>
      </c>
      <c r="E1" t="s">
        <v>54</v>
      </c>
      <c r="F1" t="s">
        <v>55</v>
      </c>
      <c r="G1" t="s">
        <v>56</v>
      </c>
      <c r="H1" t="s">
        <v>57</v>
      </c>
      <c r="I1" t="s">
        <v>422</v>
      </c>
      <c r="J1" t="s">
        <v>473</v>
      </c>
      <c r="K1" t="s">
        <v>474</v>
      </c>
      <c r="L1" t="s">
        <v>475</v>
      </c>
      <c r="M1" t="s">
        <v>423</v>
      </c>
    </row>
    <row r="2" spans="1:13" x14ac:dyDescent="0.25">
      <c r="A2" t="s">
        <v>476</v>
      </c>
      <c r="B2" t="s">
        <v>557</v>
      </c>
      <c r="C2" t="s">
        <v>58</v>
      </c>
      <c r="D2" t="s">
        <v>59</v>
      </c>
      <c r="E2" t="s">
        <v>60</v>
      </c>
      <c r="F2" t="s">
        <v>61</v>
      </c>
      <c r="G2">
        <v>1</v>
      </c>
      <c r="H2">
        <v>12</v>
      </c>
      <c r="I2" t="s">
        <v>5</v>
      </c>
      <c r="J2" t="s">
        <v>558</v>
      </c>
      <c r="K2" t="s">
        <v>21</v>
      </c>
      <c r="L2" t="s">
        <v>479</v>
      </c>
      <c r="M2" t="s">
        <v>426</v>
      </c>
    </row>
    <row r="3" spans="1:13" x14ac:dyDescent="0.25">
      <c r="A3" t="s">
        <v>476</v>
      </c>
      <c r="B3" t="s">
        <v>559</v>
      </c>
      <c r="C3" t="s">
        <v>58</v>
      </c>
      <c r="D3" t="s">
        <v>116</v>
      </c>
      <c r="E3" t="s">
        <v>117</v>
      </c>
      <c r="F3" t="s">
        <v>118</v>
      </c>
      <c r="G3">
        <v>1</v>
      </c>
      <c r="H3">
        <v>18</v>
      </c>
      <c r="I3" t="s">
        <v>104</v>
      </c>
      <c r="J3" t="s">
        <v>558</v>
      </c>
      <c r="K3" t="s">
        <v>21</v>
      </c>
      <c r="L3" t="s">
        <v>479</v>
      </c>
      <c r="M3" t="s">
        <v>105</v>
      </c>
    </row>
    <row r="4" spans="1:13" x14ac:dyDescent="0.25">
      <c r="A4" t="s">
        <v>476</v>
      </c>
      <c r="B4" t="s">
        <v>560</v>
      </c>
      <c r="C4" t="s">
        <v>58</v>
      </c>
      <c r="D4" t="s">
        <v>148</v>
      </c>
      <c r="F4" t="s">
        <v>149</v>
      </c>
      <c r="G4">
        <v>0.6</v>
      </c>
      <c r="H4">
        <v>12</v>
      </c>
      <c r="I4" t="s">
        <v>133</v>
      </c>
      <c r="J4" t="s">
        <v>558</v>
      </c>
      <c r="K4" t="s">
        <v>21</v>
      </c>
      <c r="L4" t="s">
        <v>479</v>
      </c>
      <c r="M4" t="s">
        <v>135</v>
      </c>
    </row>
    <row r="5" spans="1:13" x14ac:dyDescent="0.25">
      <c r="A5" t="s">
        <v>476</v>
      </c>
      <c r="B5" t="s">
        <v>560</v>
      </c>
      <c r="C5" t="s">
        <v>62</v>
      </c>
      <c r="D5" t="s">
        <v>148</v>
      </c>
      <c r="F5" t="s">
        <v>150</v>
      </c>
      <c r="G5">
        <v>0.4</v>
      </c>
      <c r="H5">
        <v>16</v>
      </c>
      <c r="I5" t="s">
        <v>133</v>
      </c>
      <c r="J5" t="s">
        <v>558</v>
      </c>
      <c r="K5" t="s">
        <v>21</v>
      </c>
      <c r="L5" t="s">
        <v>479</v>
      </c>
      <c r="M5" t="s">
        <v>135</v>
      </c>
    </row>
    <row r="6" spans="1:13" x14ac:dyDescent="0.25">
      <c r="A6" t="s">
        <v>476</v>
      </c>
      <c r="B6" t="s">
        <v>561</v>
      </c>
      <c r="C6" t="s">
        <v>58</v>
      </c>
      <c r="D6" t="s">
        <v>116</v>
      </c>
      <c r="F6" t="s">
        <v>218</v>
      </c>
      <c r="G6">
        <v>1</v>
      </c>
      <c r="H6">
        <v>33</v>
      </c>
      <c r="I6" t="s">
        <v>202</v>
      </c>
      <c r="J6" t="s">
        <v>558</v>
      </c>
      <c r="K6" t="s">
        <v>21</v>
      </c>
      <c r="L6" t="s">
        <v>479</v>
      </c>
      <c r="M6" t="s">
        <v>204</v>
      </c>
    </row>
    <row r="7" spans="1:13" x14ac:dyDescent="0.25">
      <c r="A7" t="s">
        <v>476</v>
      </c>
      <c r="B7" t="s">
        <v>562</v>
      </c>
      <c r="C7" t="s">
        <v>58</v>
      </c>
      <c r="D7" t="s">
        <v>148</v>
      </c>
      <c r="F7" t="s">
        <v>252</v>
      </c>
      <c r="G7">
        <v>1</v>
      </c>
      <c r="H7">
        <v>31</v>
      </c>
      <c r="I7" t="s">
        <v>240</v>
      </c>
      <c r="J7" t="s">
        <v>558</v>
      </c>
      <c r="K7" t="s">
        <v>21</v>
      </c>
      <c r="L7" t="s">
        <v>479</v>
      </c>
      <c r="M7" t="s">
        <v>241</v>
      </c>
    </row>
    <row r="8" spans="1:13" x14ac:dyDescent="0.25">
      <c r="A8" t="s">
        <v>476</v>
      </c>
      <c r="B8" t="s">
        <v>563</v>
      </c>
      <c r="C8" t="s">
        <v>58</v>
      </c>
      <c r="D8" t="s">
        <v>116</v>
      </c>
      <c r="F8" t="s">
        <v>288</v>
      </c>
      <c r="G8">
        <v>1</v>
      </c>
      <c r="H8">
        <v>12</v>
      </c>
      <c r="I8" t="s">
        <v>274</v>
      </c>
      <c r="J8" t="s">
        <v>558</v>
      </c>
      <c r="K8" t="s">
        <v>21</v>
      </c>
      <c r="L8" t="s">
        <v>479</v>
      </c>
      <c r="M8" t="s">
        <v>427</v>
      </c>
    </row>
    <row r="9" spans="1:13" x14ac:dyDescent="0.25">
      <c r="A9" t="s">
        <v>476</v>
      </c>
      <c r="B9" t="s">
        <v>564</v>
      </c>
      <c r="C9" t="s">
        <v>58</v>
      </c>
      <c r="D9" t="s">
        <v>59</v>
      </c>
      <c r="F9" t="s">
        <v>317</v>
      </c>
      <c r="G9">
        <v>0.5</v>
      </c>
      <c r="H9">
        <v>12</v>
      </c>
      <c r="I9" t="s">
        <v>303</v>
      </c>
      <c r="J9" t="s">
        <v>558</v>
      </c>
      <c r="K9" t="s">
        <v>21</v>
      </c>
      <c r="L9" t="s">
        <v>479</v>
      </c>
      <c r="M9" t="s">
        <v>428</v>
      </c>
    </row>
    <row r="10" spans="1:13" x14ac:dyDescent="0.25">
      <c r="A10" t="s">
        <v>476</v>
      </c>
      <c r="B10" t="s">
        <v>564</v>
      </c>
      <c r="C10" t="s">
        <v>62</v>
      </c>
      <c r="D10" t="s">
        <v>116</v>
      </c>
      <c r="F10" t="s">
        <v>318</v>
      </c>
      <c r="G10">
        <v>0.5</v>
      </c>
      <c r="H10">
        <v>32</v>
      </c>
      <c r="I10" t="s">
        <v>303</v>
      </c>
      <c r="J10" t="s">
        <v>558</v>
      </c>
      <c r="K10" t="s">
        <v>21</v>
      </c>
      <c r="L10" t="s">
        <v>479</v>
      </c>
      <c r="M10" t="s">
        <v>428</v>
      </c>
    </row>
    <row r="11" spans="1:13" x14ac:dyDescent="0.25">
      <c r="A11" t="s">
        <v>476</v>
      </c>
      <c r="B11" t="s">
        <v>565</v>
      </c>
      <c r="C11" t="s">
        <v>58</v>
      </c>
      <c r="D11" t="s">
        <v>116</v>
      </c>
      <c r="E11" t="s">
        <v>348</v>
      </c>
      <c r="F11" t="s">
        <v>349</v>
      </c>
      <c r="G11">
        <v>0.5</v>
      </c>
      <c r="H11">
        <v>12</v>
      </c>
      <c r="I11" t="s">
        <v>335</v>
      </c>
      <c r="J11" t="s">
        <v>558</v>
      </c>
      <c r="K11" t="s">
        <v>21</v>
      </c>
      <c r="L11" t="s">
        <v>479</v>
      </c>
      <c r="M11" t="s">
        <v>337</v>
      </c>
    </row>
    <row r="12" spans="1:13" x14ac:dyDescent="0.25">
      <c r="A12" t="s">
        <v>476</v>
      </c>
      <c r="B12" t="s">
        <v>565</v>
      </c>
      <c r="C12" t="s">
        <v>62</v>
      </c>
      <c r="D12" t="s">
        <v>350</v>
      </c>
      <c r="E12" t="s">
        <v>350</v>
      </c>
      <c r="F12" t="s">
        <v>351</v>
      </c>
      <c r="G12">
        <v>0.5</v>
      </c>
      <c r="H12">
        <v>16</v>
      </c>
      <c r="I12" t="s">
        <v>335</v>
      </c>
      <c r="J12" t="s">
        <v>558</v>
      </c>
      <c r="K12" t="s">
        <v>21</v>
      </c>
      <c r="L12" t="s">
        <v>479</v>
      </c>
      <c r="M12" t="s">
        <v>337</v>
      </c>
    </row>
    <row r="13" spans="1:13" x14ac:dyDescent="0.25">
      <c r="A13" t="s">
        <v>495</v>
      </c>
      <c r="B13" t="s">
        <v>566</v>
      </c>
      <c r="C13" t="s">
        <v>58</v>
      </c>
      <c r="D13" t="s">
        <v>567</v>
      </c>
      <c r="F13" t="s">
        <v>697</v>
      </c>
      <c r="G13">
        <v>0.3</v>
      </c>
      <c r="H13">
        <v>7</v>
      </c>
      <c r="I13" t="s">
        <v>446</v>
      </c>
      <c r="J13" t="s">
        <v>558</v>
      </c>
      <c r="K13" t="s">
        <v>21</v>
      </c>
      <c r="L13" t="s">
        <v>479</v>
      </c>
      <c r="M13" t="s">
        <v>447</v>
      </c>
    </row>
    <row r="14" spans="1:13" x14ac:dyDescent="0.25">
      <c r="A14" t="s">
        <v>495</v>
      </c>
      <c r="B14" t="s">
        <v>566</v>
      </c>
      <c r="C14" t="s">
        <v>62</v>
      </c>
      <c r="D14" t="s">
        <v>567</v>
      </c>
      <c r="F14" t="s">
        <v>698</v>
      </c>
      <c r="G14">
        <v>0.7</v>
      </c>
      <c r="H14" t="s">
        <v>568</v>
      </c>
      <c r="I14" t="s">
        <v>446</v>
      </c>
      <c r="J14" t="s">
        <v>558</v>
      </c>
      <c r="K14" t="s">
        <v>21</v>
      </c>
      <c r="L14" t="s">
        <v>479</v>
      </c>
      <c r="M14" t="s">
        <v>447</v>
      </c>
    </row>
    <row r="15" spans="1:13" x14ac:dyDescent="0.25">
      <c r="A15" t="s">
        <v>495</v>
      </c>
      <c r="B15" t="s">
        <v>569</v>
      </c>
      <c r="C15" t="s">
        <v>58</v>
      </c>
      <c r="D15" t="s">
        <v>148</v>
      </c>
      <c r="E15" t="s">
        <v>570</v>
      </c>
      <c r="F15" t="s">
        <v>571</v>
      </c>
      <c r="G15">
        <v>0.5</v>
      </c>
      <c r="H15">
        <v>12</v>
      </c>
      <c r="I15" t="s">
        <v>450</v>
      </c>
      <c r="J15" t="s">
        <v>558</v>
      </c>
      <c r="K15" t="s">
        <v>21</v>
      </c>
      <c r="L15" t="s">
        <v>479</v>
      </c>
      <c r="M15" t="s">
        <v>402</v>
      </c>
    </row>
    <row r="16" spans="1:13" x14ac:dyDescent="0.25">
      <c r="A16" t="s">
        <v>495</v>
      </c>
      <c r="B16" t="s">
        <v>569</v>
      </c>
      <c r="C16" t="s">
        <v>62</v>
      </c>
      <c r="D16" t="s">
        <v>567</v>
      </c>
      <c r="E16" t="s">
        <v>572</v>
      </c>
      <c r="F16" t="s">
        <v>699</v>
      </c>
      <c r="G16">
        <v>0.5</v>
      </c>
      <c r="H16" t="s">
        <v>700</v>
      </c>
      <c r="I16" t="s">
        <v>450</v>
      </c>
      <c r="J16" t="s">
        <v>558</v>
      </c>
      <c r="K16" t="s">
        <v>21</v>
      </c>
      <c r="L16" t="s">
        <v>479</v>
      </c>
      <c r="M16" t="s">
        <v>402</v>
      </c>
    </row>
    <row r="17" spans="1:13" x14ac:dyDescent="0.25">
      <c r="A17" t="s">
        <v>495</v>
      </c>
      <c r="B17" t="s">
        <v>573</v>
      </c>
      <c r="C17" t="s">
        <v>58</v>
      </c>
      <c r="D17" t="s">
        <v>567</v>
      </c>
      <c r="E17" t="s">
        <v>574</v>
      </c>
      <c r="F17" t="s">
        <v>575</v>
      </c>
      <c r="G17">
        <v>0.35</v>
      </c>
      <c r="H17">
        <v>6</v>
      </c>
      <c r="I17" t="s">
        <v>451</v>
      </c>
      <c r="J17" t="s">
        <v>558</v>
      </c>
      <c r="K17" t="s">
        <v>21</v>
      </c>
      <c r="L17" t="s">
        <v>479</v>
      </c>
      <c r="M17" t="s">
        <v>407</v>
      </c>
    </row>
    <row r="18" spans="1:13" x14ac:dyDescent="0.25">
      <c r="A18" t="s">
        <v>495</v>
      </c>
      <c r="B18" t="s">
        <v>573</v>
      </c>
      <c r="C18" t="s">
        <v>62</v>
      </c>
      <c r="D18" t="s">
        <v>116</v>
      </c>
      <c r="E18" t="s">
        <v>576</v>
      </c>
      <c r="F18" t="s">
        <v>577</v>
      </c>
      <c r="G18">
        <v>0.65</v>
      </c>
      <c r="H18">
        <v>13</v>
      </c>
      <c r="I18" t="s">
        <v>451</v>
      </c>
      <c r="J18" t="s">
        <v>558</v>
      </c>
      <c r="K18" t="s">
        <v>21</v>
      </c>
      <c r="L18" t="s">
        <v>479</v>
      </c>
      <c r="M18" t="s">
        <v>407</v>
      </c>
    </row>
    <row r="19" spans="1:13" x14ac:dyDescent="0.25">
      <c r="A19" t="s">
        <v>495</v>
      </c>
      <c r="B19" t="s">
        <v>578</v>
      </c>
      <c r="C19" t="s">
        <v>58</v>
      </c>
      <c r="D19" t="s">
        <v>116</v>
      </c>
      <c r="E19" t="s">
        <v>348</v>
      </c>
      <c r="F19" t="s">
        <v>701</v>
      </c>
      <c r="G19">
        <v>0.6</v>
      </c>
      <c r="H19">
        <v>6</v>
      </c>
      <c r="I19" t="s">
        <v>453</v>
      </c>
      <c r="J19" t="s">
        <v>558</v>
      </c>
      <c r="K19" t="s">
        <v>21</v>
      </c>
      <c r="L19" t="s">
        <v>479</v>
      </c>
      <c r="M19" t="s">
        <v>454</v>
      </c>
    </row>
    <row r="20" spans="1:13" x14ac:dyDescent="0.25">
      <c r="A20" t="s">
        <v>495</v>
      </c>
      <c r="B20" t="s">
        <v>578</v>
      </c>
      <c r="C20" t="s">
        <v>62</v>
      </c>
      <c r="D20" t="s">
        <v>59</v>
      </c>
      <c r="E20" t="s">
        <v>350</v>
      </c>
      <c r="F20" t="s">
        <v>702</v>
      </c>
      <c r="G20">
        <v>0.4</v>
      </c>
      <c r="H20" t="s">
        <v>703</v>
      </c>
      <c r="I20" t="s">
        <v>453</v>
      </c>
      <c r="J20" t="s">
        <v>558</v>
      </c>
      <c r="K20" t="s">
        <v>21</v>
      </c>
      <c r="L20" t="s">
        <v>479</v>
      </c>
      <c r="M20" t="s">
        <v>454</v>
      </c>
    </row>
    <row r="21" spans="1:13" x14ac:dyDescent="0.25">
      <c r="A21" t="s">
        <v>495</v>
      </c>
      <c r="B21" t="s">
        <v>579</v>
      </c>
      <c r="C21" t="s">
        <v>58</v>
      </c>
      <c r="D21" t="s">
        <v>59</v>
      </c>
      <c r="E21" t="s">
        <v>570</v>
      </c>
      <c r="F21" t="s">
        <v>704</v>
      </c>
      <c r="G21">
        <v>0.5</v>
      </c>
      <c r="H21">
        <v>8</v>
      </c>
      <c r="I21" t="s">
        <v>456</v>
      </c>
      <c r="J21" t="s">
        <v>558</v>
      </c>
      <c r="K21" t="s">
        <v>21</v>
      </c>
      <c r="L21" t="s">
        <v>479</v>
      </c>
      <c r="M21" t="s">
        <v>457</v>
      </c>
    </row>
    <row r="22" spans="1:13" x14ac:dyDescent="0.25">
      <c r="A22" t="s">
        <v>495</v>
      </c>
      <c r="B22" t="s">
        <v>579</v>
      </c>
      <c r="C22" t="s">
        <v>62</v>
      </c>
      <c r="D22" t="s">
        <v>116</v>
      </c>
      <c r="E22" t="s">
        <v>348</v>
      </c>
      <c r="F22" t="s">
        <v>580</v>
      </c>
      <c r="G22">
        <v>0.5</v>
      </c>
      <c r="H22" t="s">
        <v>581</v>
      </c>
      <c r="I22" t="s">
        <v>456</v>
      </c>
      <c r="J22" t="s">
        <v>558</v>
      </c>
      <c r="K22" t="s">
        <v>21</v>
      </c>
      <c r="L22" t="s">
        <v>479</v>
      </c>
      <c r="M22" t="s">
        <v>457</v>
      </c>
    </row>
    <row r="23" spans="1:13" x14ac:dyDescent="0.25">
      <c r="A23" t="s">
        <v>495</v>
      </c>
      <c r="B23" t="s">
        <v>582</v>
      </c>
      <c r="C23" t="s">
        <v>58</v>
      </c>
      <c r="D23" t="s">
        <v>59</v>
      </c>
      <c r="E23" t="s">
        <v>583</v>
      </c>
      <c r="F23" t="s">
        <v>705</v>
      </c>
      <c r="G23">
        <v>0.6</v>
      </c>
      <c r="H23">
        <v>28</v>
      </c>
      <c r="I23" t="s">
        <v>459</v>
      </c>
      <c r="J23" t="s">
        <v>558</v>
      </c>
      <c r="K23" t="s">
        <v>21</v>
      </c>
      <c r="L23" t="s">
        <v>479</v>
      </c>
      <c r="M23" t="s">
        <v>460</v>
      </c>
    </row>
    <row r="24" spans="1:13" x14ac:dyDescent="0.25">
      <c r="A24" t="s">
        <v>495</v>
      </c>
      <c r="B24" t="s">
        <v>582</v>
      </c>
      <c r="C24" t="s">
        <v>62</v>
      </c>
      <c r="D24" t="s">
        <v>116</v>
      </c>
      <c r="E24" t="s">
        <v>117</v>
      </c>
      <c r="F24" t="s">
        <v>584</v>
      </c>
      <c r="G24">
        <v>0.4</v>
      </c>
      <c r="H24">
        <v>28</v>
      </c>
      <c r="I24" t="s">
        <v>459</v>
      </c>
      <c r="J24" t="s">
        <v>558</v>
      </c>
      <c r="K24" t="s">
        <v>21</v>
      </c>
      <c r="L24" t="s">
        <v>479</v>
      </c>
      <c r="M24" t="s">
        <v>460</v>
      </c>
    </row>
    <row r="25" spans="1:13" x14ac:dyDescent="0.25">
      <c r="A25" t="s">
        <v>495</v>
      </c>
      <c r="B25" t="s">
        <v>585</v>
      </c>
      <c r="C25" t="s">
        <v>58</v>
      </c>
      <c r="D25" t="s">
        <v>116</v>
      </c>
      <c r="E25" t="s">
        <v>117</v>
      </c>
      <c r="F25" t="s">
        <v>706</v>
      </c>
      <c r="G25">
        <v>0.5</v>
      </c>
      <c r="H25">
        <v>6</v>
      </c>
      <c r="I25" t="s">
        <v>463</v>
      </c>
      <c r="J25" t="s">
        <v>558</v>
      </c>
      <c r="K25" t="s">
        <v>21</v>
      </c>
      <c r="L25" t="s">
        <v>479</v>
      </c>
      <c r="M25" t="s">
        <v>464</v>
      </c>
    </row>
    <row r="26" spans="1:13" x14ac:dyDescent="0.25">
      <c r="A26" t="s">
        <v>495</v>
      </c>
      <c r="B26" t="s">
        <v>585</v>
      </c>
      <c r="C26" t="s">
        <v>62</v>
      </c>
      <c r="D26" t="s">
        <v>148</v>
      </c>
      <c r="E26" t="s">
        <v>586</v>
      </c>
      <c r="F26" t="s">
        <v>707</v>
      </c>
      <c r="G26">
        <v>0.5</v>
      </c>
      <c r="H26">
        <v>12</v>
      </c>
      <c r="I26" t="s">
        <v>463</v>
      </c>
      <c r="J26" t="s">
        <v>558</v>
      </c>
      <c r="K26" t="s">
        <v>21</v>
      </c>
      <c r="L26" t="s">
        <v>479</v>
      </c>
      <c r="M26" t="s">
        <v>464</v>
      </c>
    </row>
    <row r="27" spans="1:13" x14ac:dyDescent="0.25">
      <c r="A27" t="s">
        <v>495</v>
      </c>
      <c r="B27" t="s">
        <v>587</v>
      </c>
      <c r="C27" t="s">
        <v>58</v>
      </c>
      <c r="D27" t="s">
        <v>116</v>
      </c>
      <c r="E27" t="s">
        <v>117</v>
      </c>
      <c r="F27" t="s">
        <v>588</v>
      </c>
      <c r="G27">
        <v>0.5</v>
      </c>
      <c r="H27">
        <v>8</v>
      </c>
      <c r="I27" t="s">
        <v>466</v>
      </c>
      <c r="J27" t="s">
        <v>558</v>
      </c>
      <c r="K27" t="s">
        <v>21</v>
      </c>
      <c r="L27" t="s">
        <v>479</v>
      </c>
      <c r="M27" t="s">
        <v>412</v>
      </c>
    </row>
    <row r="28" spans="1:13" x14ac:dyDescent="0.25">
      <c r="A28" t="s">
        <v>495</v>
      </c>
      <c r="B28" t="s">
        <v>587</v>
      </c>
      <c r="C28" t="s">
        <v>62</v>
      </c>
      <c r="D28" t="s">
        <v>32</v>
      </c>
      <c r="F28" t="s">
        <v>589</v>
      </c>
      <c r="G28">
        <v>0.5</v>
      </c>
      <c r="H28">
        <v>12</v>
      </c>
      <c r="I28" t="s">
        <v>466</v>
      </c>
      <c r="J28" t="s">
        <v>558</v>
      </c>
      <c r="K28" t="s">
        <v>21</v>
      </c>
      <c r="L28" t="s">
        <v>479</v>
      </c>
      <c r="M28" t="s">
        <v>412</v>
      </c>
    </row>
    <row r="29" spans="1:13" x14ac:dyDescent="0.25">
      <c r="A29" t="s">
        <v>495</v>
      </c>
      <c r="B29" t="s">
        <v>590</v>
      </c>
      <c r="C29" t="s">
        <v>58</v>
      </c>
      <c r="D29" t="s">
        <v>148</v>
      </c>
      <c r="E29" t="s">
        <v>591</v>
      </c>
      <c r="F29" t="s">
        <v>592</v>
      </c>
      <c r="G29">
        <v>0.6</v>
      </c>
      <c r="H29">
        <v>12</v>
      </c>
      <c r="I29" t="s">
        <v>468</v>
      </c>
      <c r="J29" t="s">
        <v>558</v>
      </c>
      <c r="K29" t="s">
        <v>21</v>
      </c>
      <c r="L29" t="s">
        <v>479</v>
      </c>
      <c r="M29" t="s">
        <v>469</v>
      </c>
    </row>
    <row r="30" spans="1:13" x14ac:dyDescent="0.25">
      <c r="A30" t="s">
        <v>495</v>
      </c>
      <c r="B30" t="s">
        <v>590</v>
      </c>
      <c r="C30" t="s">
        <v>62</v>
      </c>
      <c r="D30" t="s">
        <v>116</v>
      </c>
      <c r="E30" t="s">
        <v>348</v>
      </c>
      <c r="F30" t="s">
        <v>593</v>
      </c>
      <c r="G30">
        <v>0.4</v>
      </c>
      <c r="H30" t="s">
        <v>594</v>
      </c>
      <c r="I30" t="s">
        <v>468</v>
      </c>
      <c r="J30" t="s">
        <v>558</v>
      </c>
      <c r="K30" t="s">
        <v>21</v>
      </c>
      <c r="L30" t="s">
        <v>479</v>
      </c>
      <c r="M30" t="s">
        <v>469</v>
      </c>
    </row>
    <row r="31" spans="1:13" x14ac:dyDescent="0.25">
      <c r="A31" t="s">
        <v>487</v>
      </c>
      <c r="B31" t="s">
        <v>595</v>
      </c>
      <c r="C31" t="s">
        <v>58</v>
      </c>
      <c r="D31" t="s">
        <v>148</v>
      </c>
      <c r="F31" t="s">
        <v>596</v>
      </c>
      <c r="G31">
        <v>1</v>
      </c>
      <c r="H31">
        <v>12</v>
      </c>
      <c r="I31" t="s">
        <v>429</v>
      </c>
      <c r="J31" t="s">
        <v>558</v>
      </c>
      <c r="K31" t="s">
        <v>21</v>
      </c>
      <c r="L31" t="s">
        <v>479</v>
      </c>
      <c r="M31" t="s">
        <v>430</v>
      </c>
    </row>
    <row r="32" spans="1:13" x14ac:dyDescent="0.25">
      <c r="A32" t="s">
        <v>487</v>
      </c>
      <c r="B32" t="s">
        <v>597</v>
      </c>
      <c r="C32" t="s">
        <v>58</v>
      </c>
      <c r="D32" t="s">
        <v>148</v>
      </c>
      <c r="F32" t="s">
        <v>598</v>
      </c>
      <c r="G32">
        <v>1</v>
      </c>
      <c r="H32">
        <v>12</v>
      </c>
      <c r="I32" t="s">
        <v>437</v>
      </c>
      <c r="J32" t="s">
        <v>558</v>
      </c>
      <c r="K32" t="s">
        <v>21</v>
      </c>
      <c r="L32" t="s">
        <v>479</v>
      </c>
      <c r="M32" t="s">
        <v>438</v>
      </c>
    </row>
    <row r="33" spans="1:13" x14ac:dyDescent="0.25">
      <c r="A33" t="s">
        <v>487</v>
      </c>
      <c r="B33" t="s">
        <v>599</v>
      </c>
      <c r="C33" t="s">
        <v>58</v>
      </c>
      <c r="D33" t="s">
        <v>116</v>
      </c>
      <c r="E33" t="s">
        <v>348</v>
      </c>
      <c r="F33" t="s">
        <v>600</v>
      </c>
      <c r="G33">
        <v>0.3</v>
      </c>
      <c r="H33">
        <v>12</v>
      </c>
      <c r="I33" t="s">
        <v>432</v>
      </c>
      <c r="J33" t="s">
        <v>558</v>
      </c>
      <c r="K33" t="s">
        <v>21</v>
      </c>
      <c r="L33" t="s">
        <v>479</v>
      </c>
      <c r="M33" t="s">
        <v>433</v>
      </c>
    </row>
    <row r="34" spans="1:13" x14ac:dyDescent="0.25">
      <c r="A34" t="s">
        <v>487</v>
      </c>
      <c r="B34" t="s">
        <v>599</v>
      </c>
      <c r="C34" t="s">
        <v>62</v>
      </c>
      <c r="D34" t="s">
        <v>59</v>
      </c>
      <c r="F34" t="s">
        <v>601</v>
      </c>
      <c r="G34">
        <v>0.7</v>
      </c>
      <c r="H34">
        <v>17</v>
      </c>
      <c r="I34" t="s">
        <v>432</v>
      </c>
      <c r="J34" t="s">
        <v>558</v>
      </c>
      <c r="K34" t="s">
        <v>21</v>
      </c>
      <c r="L34" t="s">
        <v>479</v>
      </c>
      <c r="M34" t="s">
        <v>433</v>
      </c>
    </row>
    <row r="35" spans="1:13" x14ac:dyDescent="0.25">
      <c r="A35" t="s">
        <v>492</v>
      </c>
      <c r="B35" t="s">
        <v>602</v>
      </c>
      <c r="C35" t="s">
        <v>58</v>
      </c>
      <c r="D35" t="s">
        <v>567</v>
      </c>
      <c r="E35" t="s">
        <v>572</v>
      </c>
      <c r="F35" t="s">
        <v>603</v>
      </c>
      <c r="G35">
        <v>0.5</v>
      </c>
      <c r="H35" t="s">
        <v>604</v>
      </c>
      <c r="I35" t="s">
        <v>440</v>
      </c>
      <c r="J35" t="s">
        <v>558</v>
      </c>
      <c r="K35" t="s">
        <v>21</v>
      </c>
      <c r="L35" t="s">
        <v>479</v>
      </c>
      <c r="M35" t="s">
        <v>441</v>
      </c>
    </row>
    <row r="36" spans="1:13" x14ac:dyDescent="0.25">
      <c r="A36" t="s">
        <v>492</v>
      </c>
      <c r="B36" t="s">
        <v>602</v>
      </c>
      <c r="C36" t="s">
        <v>62</v>
      </c>
      <c r="D36" t="s">
        <v>567</v>
      </c>
      <c r="E36" t="s">
        <v>572</v>
      </c>
      <c r="F36" t="s">
        <v>605</v>
      </c>
      <c r="G36">
        <v>0.5</v>
      </c>
      <c r="H36" t="s">
        <v>606</v>
      </c>
      <c r="I36" t="s">
        <v>440</v>
      </c>
      <c r="J36" t="s">
        <v>558</v>
      </c>
      <c r="K36" t="s">
        <v>21</v>
      </c>
      <c r="L36" t="s">
        <v>479</v>
      </c>
      <c r="M36" t="s">
        <v>441</v>
      </c>
    </row>
    <row r="37" spans="1:13" x14ac:dyDescent="0.25">
      <c r="A37" t="s">
        <v>492</v>
      </c>
      <c r="B37" t="s">
        <v>607</v>
      </c>
      <c r="C37" t="s">
        <v>58</v>
      </c>
      <c r="D37" t="s">
        <v>116</v>
      </c>
      <c r="E37" t="s">
        <v>708</v>
      </c>
      <c r="F37" t="s">
        <v>709</v>
      </c>
      <c r="G37">
        <v>0.5</v>
      </c>
      <c r="H37">
        <v>8</v>
      </c>
      <c r="I37" t="s">
        <v>443</v>
      </c>
      <c r="J37" t="s">
        <v>558</v>
      </c>
      <c r="K37" t="s">
        <v>21</v>
      </c>
      <c r="L37" t="s">
        <v>479</v>
      </c>
      <c r="M37" t="s">
        <v>444</v>
      </c>
    </row>
    <row r="38" spans="1:13" x14ac:dyDescent="0.25">
      <c r="A38" t="s">
        <v>492</v>
      </c>
      <c r="B38" t="s">
        <v>607</v>
      </c>
      <c r="C38" t="s">
        <v>62</v>
      </c>
      <c r="D38" t="s">
        <v>567</v>
      </c>
      <c r="E38" t="s">
        <v>567</v>
      </c>
      <c r="F38" t="s">
        <v>710</v>
      </c>
      <c r="G38">
        <v>0.5</v>
      </c>
      <c r="H38" t="s">
        <v>608</v>
      </c>
      <c r="I38" t="s">
        <v>443</v>
      </c>
      <c r="J38" t="s">
        <v>558</v>
      </c>
      <c r="K38" t="s">
        <v>21</v>
      </c>
      <c r="L38" t="s">
        <v>479</v>
      </c>
      <c r="M38" t="s">
        <v>444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A306-3972-4296-BD6A-4CEF3E65E3B1}">
  <sheetPr codeName="Sheet17"/>
  <dimension ref="A1:I113"/>
  <sheetViews>
    <sheetView workbookViewId="0"/>
  </sheetViews>
  <sheetFormatPr defaultColWidth="8.85546875" defaultRowHeight="15" x14ac:dyDescent="0.25"/>
  <cols>
    <col min="1" max="1" width="49" bestFit="1" customWidth="1"/>
    <col min="2" max="3" width="13.42578125" bestFit="1" customWidth="1"/>
    <col min="4" max="4" width="81.140625" bestFit="1" customWidth="1"/>
    <col min="5" max="5" width="14.85546875" bestFit="1" customWidth="1"/>
    <col min="6" max="6" width="12.7109375" bestFit="1" customWidth="1"/>
    <col min="7" max="7" width="18" bestFit="1" customWidth="1"/>
    <col min="8" max="8" width="12.140625" bestFit="1" customWidth="1"/>
    <col min="9" max="9" width="41.5703125" bestFit="1" customWidth="1"/>
  </cols>
  <sheetData>
    <row r="1" spans="1:9" x14ac:dyDescent="0.25">
      <c r="A1" t="s">
        <v>471</v>
      </c>
      <c r="B1" t="s">
        <v>472</v>
      </c>
      <c r="C1" t="s">
        <v>41</v>
      </c>
      <c r="D1" t="s">
        <v>42</v>
      </c>
      <c r="E1" t="s">
        <v>422</v>
      </c>
      <c r="F1" t="s">
        <v>473</v>
      </c>
      <c r="G1" t="s">
        <v>474</v>
      </c>
      <c r="H1" t="s">
        <v>475</v>
      </c>
      <c r="I1" t="s">
        <v>423</v>
      </c>
    </row>
    <row r="2" spans="1:9" x14ac:dyDescent="0.25">
      <c r="A2" t="s">
        <v>476</v>
      </c>
      <c r="B2" t="s">
        <v>609</v>
      </c>
      <c r="C2" t="s">
        <v>43</v>
      </c>
      <c r="D2" t="s">
        <v>44</v>
      </c>
      <c r="E2" t="s">
        <v>5</v>
      </c>
      <c r="F2" t="s">
        <v>610</v>
      </c>
      <c r="G2" t="s">
        <v>21</v>
      </c>
      <c r="H2" t="s">
        <v>479</v>
      </c>
      <c r="I2" t="s">
        <v>426</v>
      </c>
    </row>
    <row r="3" spans="1:9" x14ac:dyDescent="0.25">
      <c r="A3" t="s">
        <v>476</v>
      </c>
      <c r="B3" t="s">
        <v>609</v>
      </c>
      <c r="C3" t="s">
        <v>45</v>
      </c>
      <c r="D3" t="s">
        <v>46</v>
      </c>
      <c r="E3" t="s">
        <v>5</v>
      </c>
      <c r="F3" t="s">
        <v>610</v>
      </c>
      <c r="G3" t="s">
        <v>21</v>
      </c>
      <c r="H3" t="s">
        <v>479</v>
      </c>
      <c r="I3" t="s">
        <v>426</v>
      </c>
    </row>
    <row r="4" spans="1:9" x14ac:dyDescent="0.25">
      <c r="A4" t="s">
        <v>476</v>
      </c>
      <c r="B4" t="s">
        <v>609</v>
      </c>
      <c r="C4" t="s">
        <v>47</v>
      </c>
      <c r="D4" t="s">
        <v>48</v>
      </c>
      <c r="E4" t="s">
        <v>5</v>
      </c>
      <c r="F4" t="s">
        <v>610</v>
      </c>
      <c r="G4" t="s">
        <v>21</v>
      </c>
      <c r="H4" t="s">
        <v>479</v>
      </c>
      <c r="I4" t="s">
        <v>426</v>
      </c>
    </row>
    <row r="5" spans="1:9" x14ac:dyDescent="0.25">
      <c r="A5" t="s">
        <v>476</v>
      </c>
      <c r="B5" t="s">
        <v>609</v>
      </c>
      <c r="C5" t="s">
        <v>49</v>
      </c>
      <c r="E5" t="s">
        <v>5</v>
      </c>
      <c r="F5" t="s">
        <v>610</v>
      </c>
      <c r="G5" t="s">
        <v>21</v>
      </c>
      <c r="H5" t="s">
        <v>479</v>
      </c>
      <c r="I5" t="s">
        <v>426</v>
      </c>
    </row>
    <row r="6" spans="1:9" x14ac:dyDescent="0.25">
      <c r="A6" t="s">
        <v>476</v>
      </c>
      <c r="B6" t="s">
        <v>609</v>
      </c>
      <c r="C6" t="s">
        <v>50</v>
      </c>
      <c r="E6" t="s">
        <v>5</v>
      </c>
      <c r="F6" t="s">
        <v>610</v>
      </c>
      <c r="G6" t="s">
        <v>21</v>
      </c>
      <c r="H6" t="s">
        <v>479</v>
      </c>
      <c r="I6" t="s">
        <v>426</v>
      </c>
    </row>
    <row r="7" spans="1:9" x14ac:dyDescent="0.25">
      <c r="A7" t="s">
        <v>476</v>
      </c>
      <c r="B7" t="s">
        <v>611</v>
      </c>
      <c r="C7" t="s">
        <v>43</v>
      </c>
      <c r="D7" t="s">
        <v>113</v>
      </c>
      <c r="E7" t="s">
        <v>104</v>
      </c>
      <c r="F7" t="s">
        <v>610</v>
      </c>
      <c r="G7" t="s">
        <v>21</v>
      </c>
      <c r="H7" t="s">
        <v>479</v>
      </c>
      <c r="I7" t="s">
        <v>105</v>
      </c>
    </row>
    <row r="8" spans="1:9" x14ac:dyDescent="0.25">
      <c r="A8" t="s">
        <v>476</v>
      </c>
      <c r="B8" t="s">
        <v>611</v>
      </c>
      <c r="C8" t="s">
        <v>45</v>
      </c>
      <c r="D8" t="s">
        <v>114</v>
      </c>
      <c r="E8" t="s">
        <v>104</v>
      </c>
      <c r="F8" t="s">
        <v>610</v>
      </c>
      <c r="G8" t="s">
        <v>21</v>
      </c>
      <c r="H8" t="s">
        <v>479</v>
      </c>
      <c r="I8" t="s">
        <v>105</v>
      </c>
    </row>
    <row r="9" spans="1:9" x14ac:dyDescent="0.25">
      <c r="A9" t="s">
        <v>476</v>
      </c>
      <c r="B9" t="s">
        <v>611</v>
      </c>
      <c r="C9" t="s">
        <v>47</v>
      </c>
      <c r="D9" t="s">
        <v>115</v>
      </c>
      <c r="E9" t="s">
        <v>104</v>
      </c>
      <c r="F9" t="s">
        <v>610</v>
      </c>
      <c r="G9" t="s">
        <v>21</v>
      </c>
      <c r="H9" t="s">
        <v>479</v>
      </c>
      <c r="I9" t="s">
        <v>105</v>
      </c>
    </row>
    <row r="10" spans="1:9" x14ac:dyDescent="0.25">
      <c r="A10" t="s">
        <v>476</v>
      </c>
      <c r="B10" t="s">
        <v>611</v>
      </c>
      <c r="C10" t="s">
        <v>49</v>
      </c>
      <c r="E10" t="s">
        <v>104</v>
      </c>
      <c r="F10" t="s">
        <v>610</v>
      </c>
      <c r="G10" t="s">
        <v>21</v>
      </c>
      <c r="H10" t="s">
        <v>479</v>
      </c>
      <c r="I10" t="s">
        <v>105</v>
      </c>
    </row>
    <row r="11" spans="1:9" x14ac:dyDescent="0.25">
      <c r="A11" t="s">
        <v>476</v>
      </c>
      <c r="B11" t="s">
        <v>611</v>
      </c>
      <c r="C11" t="s">
        <v>50</v>
      </c>
      <c r="E11" t="s">
        <v>104</v>
      </c>
      <c r="F11" t="s">
        <v>610</v>
      </c>
      <c r="G11" t="s">
        <v>21</v>
      </c>
      <c r="H11" t="s">
        <v>479</v>
      </c>
      <c r="I11" t="s">
        <v>105</v>
      </c>
    </row>
    <row r="12" spans="1:9" x14ac:dyDescent="0.25">
      <c r="A12" t="s">
        <v>476</v>
      </c>
      <c r="B12" t="s">
        <v>612</v>
      </c>
      <c r="C12" t="s">
        <v>43</v>
      </c>
      <c r="D12" t="s">
        <v>145</v>
      </c>
      <c r="E12" t="s">
        <v>133</v>
      </c>
      <c r="F12" t="s">
        <v>610</v>
      </c>
      <c r="G12" t="s">
        <v>21</v>
      </c>
      <c r="H12" t="s">
        <v>479</v>
      </c>
      <c r="I12" t="s">
        <v>135</v>
      </c>
    </row>
    <row r="13" spans="1:9" x14ac:dyDescent="0.25">
      <c r="A13" t="s">
        <v>476</v>
      </c>
      <c r="B13" t="s">
        <v>612</v>
      </c>
      <c r="C13" t="s">
        <v>45</v>
      </c>
      <c r="D13" t="s">
        <v>146</v>
      </c>
      <c r="E13" t="s">
        <v>133</v>
      </c>
      <c r="F13" t="s">
        <v>610</v>
      </c>
      <c r="G13" t="s">
        <v>21</v>
      </c>
      <c r="H13" t="s">
        <v>479</v>
      </c>
      <c r="I13" t="s">
        <v>135</v>
      </c>
    </row>
    <row r="14" spans="1:9" x14ac:dyDescent="0.25">
      <c r="A14" t="s">
        <v>476</v>
      </c>
      <c r="B14" t="s">
        <v>612</v>
      </c>
      <c r="C14" t="s">
        <v>47</v>
      </c>
      <c r="D14" t="s">
        <v>147</v>
      </c>
      <c r="E14" t="s">
        <v>133</v>
      </c>
      <c r="F14" t="s">
        <v>610</v>
      </c>
      <c r="G14" t="s">
        <v>21</v>
      </c>
      <c r="H14" t="s">
        <v>479</v>
      </c>
      <c r="I14" t="s">
        <v>135</v>
      </c>
    </row>
    <row r="15" spans="1:9" x14ac:dyDescent="0.25">
      <c r="A15" t="s">
        <v>476</v>
      </c>
      <c r="B15" t="s">
        <v>612</v>
      </c>
      <c r="C15" t="s">
        <v>49</v>
      </c>
      <c r="E15" t="s">
        <v>133</v>
      </c>
      <c r="F15" t="s">
        <v>610</v>
      </c>
      <c r="G15" t="s">
        <v>21</v>
      </c>
      <c r="H15" t="s">
        <v>479</v>
      </c>
      <c r="I15" t="s">
        <v>135</v>
      </c>
    </row>
    <row r="16" spans="1:9" x14ac:dyDescent="0.25">
      <c r="A16" t="s">
        <v>476</v>
      </c>
      <c r="B16" t="s">
        <v>612</v>
      </c>
      <c r="C16" t="s">
        <v>50</v>
      </c>
      <c r="E16" t="s">
        <v>133</v>
      </c>
      <c r="F16" t="s">
        <v>610</v>
      </c>
      <c r="G16" t="s">
        <v>21</v>
      </c>
      <c r="H16" t="s">
        <v>479</v>
      </c>
      <c r="I16" t="s">
        <v>135</v>
      </c>
    </row>
    <row r="17" spans="1:9" x14ac:dyDescent="0.25">
      <c r="A17" t="s">
        <v>476</v>
      </c>
      <c r="B17" t="s">
        <v>613</v>
      </c>
      <c r="C17" t="s">
        <v>43</v>
      </c>
      <c r="D17" t="s">
        <v>214</v>
      </c>
      <c r="E17" t="s">
        <v>202</v>
      </c>
      <c r="F17" t="s">
        <v>610</v>
      </c>
      <c r="G17" t="s">
        <v>21</v>
      </c>
      <c r="H17" t="s">
        <v>479</v>
      </c>
      <c r="I17" t="s">
        <v>204</v>
      </c>
    </row>
    <row r="18" spans="1:9" x14ac:dyDescent="0.25">
      <c r="A18" t="s">
        <v>476</v>
      </c>
      <c r="B18" t="s">
        <v>613</v>
      </c>
      <c r="C18" t="s">
        <v>45</v>
      </c>
      <c r="D18" t="s">
        <v>216</v>
      </c>
      <c r="E18" t="s">
        <v>202</v>
      </c>
      <c r="F18" t="s">
        <v>610</v>
      </c>
      <c r="G18" t="s">
        <v>21</v>
      </c>
      <c r="H18" t="s">
        <v>479</v>
      </c>
      <c r="I18" t="s">
        <v>204</v>
      </c>
    </row>
    <row r="19" spans="1:9" x14ac:dyDescent="0.25">
      <c r="A19" t="s">
        <v>476</v>
      </c>
      <c r="B19" t="s">
        <v>613</v>
      </c>
      <c r="C19" t="s">
        <v>47</v>
      </c>
      <c r="D19" t="s">
        <v>217</v>
      </c>
      <c r="E19" t="s">
        <v>202</v>
      </c>
      <c r="F19" t="s">
        <v>610</v>
      </c>
      <c r="G19" t="s">
        <v>21</v>
      </c>
      <c r="H19" t="s">
        <v>479</v>
      </c>
      <c r="I19" t="s">
        <v>204</v>
      </c>
    </row>
    <row r="20" spans="1:9" x14ac:dyDescent="0.25">
      <c r="A20" t="s">
        <v>476</v>
      </c>
      <c r="B20" t="s">
        <v>613</v>
      </c>
      <c r="C20" t="s">
        <v>49</v>
      </c>
      <c r="E20" t="s">
        <v>202</v>
      </c>
      <c r="F20" t="s">
        <v>610</v>
      </c>
      <c r="G20" t="s">
        <v>21</v>
      </c>
      <c r="H20" t="s">
        <v>479</v>
      </c>
      <c r="I20" t="s">
        <v>204</v>
      </c>
    </row>
    <row r="21" spans="1:9" x14ac:dyDescent="0.25">
      <c r="A21" t="s">
        <v>476</v>
      </c>
      <c r="B21" t="s">
        <v>613</v>
      </c>
      <c r="C21" t="s">
        <v>50</v>
      </c>
      <c r="E21" t="s">
        <v>202</v>
      </c>
      <c r="F21" t="s">
        <v>610</v>
      </c>
      <c r="G21" t="s">
        <v>21</v>
      </c>
      <c r="H21" t="s">
        <v>479</v>
      </c>
      <c r="I21" t="s">
        <v>204</v>
      </c>
    </row>
    <row r="22" spans="1:9" x14ac:dyDescent="0.25">
      <c r="A22" t="s">
        <v>476</v>
      </c>
      <c r="B22" t="s">
        <v>614</v>
      </c>
      <c r="C22" t="s">
        <v>43</v>
      </c>
      <c r="D22" t="s">
        <v>249</v>
      </c>
      <c r="E22" t="s">
        <v>240</v>
      </c>
      <c r="F22" t="s">
        <v>610</v>
      </c>
      <c r="G22" t="s">
        <v>21</v>
      </c>
      <c r="H22" t="s">
        <v>479</v>
      </c>
      <c r="I22" t="s">
        <v>241</v>
      </c>
    </row>
    <row r="23" spans="1:9" x14ac:dyDescent="0.25">
      <c r="A23" t="s">
        <v>476</v>
      </c>
      <c r="B23" t="s">
        <v>614</v>
      </c>
      <c r="C23" t="s">
        <v>45</v>
      </c>
      <c r="D23" t="s">
        <v>250</v>
      </c>
      <c r="E23" t="s">
        <v>240</v>
      </c>
      <c r="F23" t="s">
        <v>610</v>
      </c>
      <c r="G23" t="s">
        <v>21</v>
      </c>
      <c r="H23" t="s">
        <v>479</v>
      </c>
      <c r="I23" t="s">
        <v>241</v>
      </c>
    </row>
    <row r="24" spans="1:9" x14ac:dyDescent="0.25">
      <c r="A24" t="s">
        <v>476</v>
      </c>
      <c r="B24" t="s">
        <v>614</v>
      </c>
      <c r="C24" t="s">
        <v>47</v>
      </c>
      <c r="D24" t="s">
        <v>251</v>
      </c>
      <c r="E24" t="s">
        <v>240</v>
      </c>
      <c r="F24" t="s">
        <v>610</v>
      </c>
      <c r="G24" t="s">
        <v>21</v>
      </c>
      <c r="H24" t="s">
        <v>479</v>
      </c>
      <c r="I24" t="s">
        <v>241</v>
      </c>
    </row>
    <row r="25" spans="1:9" x14ac:dyDescent="0.25">
      <c r="A25" t="s">
        <v>476</v>
      </c>
      <c r="B25" t="s">
        <v>614</v>
      </c>
      <c r="C25" t="s">
        <v>49</v>
      </c>
      <c r="E25" t="s">
        <v>240</v>
      </c>
      <c r="F25" t="s">
        <v>610</v>
      </c>
      <c r="G25" t="s">
        <v>21</v>
      </c>
      <c r="H25" t="s">
        <v>479</v>
      </c>
      <c r="I25" t="s">
        <v>241</v>
      </c>
    </row>
    <row r="26" spans="1:9" x14ac:dyDescent="0.25">
      <c r="A26" t="s">
        <v>476</v>
      </c>
      <c r="B26" t="s">
        <v>614</v>
      </c>
      <c r="C26" t="s">
        <v>50</v>
      </c>
      <c r="E26" t="s">
        <v>240</v>
      </c>
      <c r="F26" t="s">
        <v>610</v>
      </c>
      <c r="G26" t="s">
        <v>21</v>
      </c>
      <c r="H26" t="s">
        <v>479</v>
      </c>
      <c r="I26" t="s">
        <v>241</v>
      </c>
    </row>
    <row r="27" spans="1:9" x14ac:dyDescent="0.25">
      <c r="A27" t="s">
        <v>476</v>
      </c>
      <c r="B27" t="s">
        <v>615</v>
      </c>
      <c r="C27" t="s">
        <v>43</v>
      </c>
      <c r="D27" t="s">
        <v>285</v>
      </c>
      <c r="E27" t="s">
        <v>274</v>
      </c>
      <c r="F27" t="s">
        <v>610</v>
      </c>
      <c r="G27" t="s">
        <v>21</v>
      </c>
      <c r="H27" t="s">
        <v>479</v>
      </c>
      <c r="I27" t="s">
        <v>427</v>
      </c>
    </row>
    <row r="28" spans="1:9" x14ac:dyDescent="0.25">
      <c r="A28" t="s">
        <v>476</v>
      </c>
      <c r="B28" t="s">
        <v>615</v>
      </c>
      <c r="C28" t="s">
        <v>45</v>
      </c>
      <c r="D28" t="s">
        <v>286</v>
      </c>
      <c r="E28" t="s">
        <v>274</v>
      </c>
      <c r="F28" t="s">
        <v>610</v>
      </c>
      <c r="G28" t="s">
        <v>21</v>
      </c>
      <c r="H28" t="s">
        <v>479</v>
      </c>
      <c r="I28" t="s">
        <v>427</v>
      </c>
    </row>
    <row r="29" spans="1:9" x14ac:dyDescent="0.25">
      <c r="A29" t="s">
        <v>476</v>
      </c>
      <c r="B29" t="s">
        <v>615</v>
      </c>
      <c r="C29" t="s">
        <v>47</v>
      </c>
      <c r="D29" t="s">
        <v>287</v>
      </c>
      <c r="E29" t="s">
        <v>274</v>
      </c>
      <c r="F29" t="s">
        <v>610</v>
      </c>
      <c r="G29" t="s">
        <v>21</v>
      </c>
      <c r="H29" t="s">
        <v>479</v>
      </c>
      <c r="I29" t="s">
        <v>427</v>
      </c>
    </row>
    <row r="30" spans="1:9" x14ac:dyDescent="0.25">
      <c r="A30" t="s">
        <v>476</v>
      </c>
      <c r="B30" t="s">
        <v>615</v>
      </c>
      <c r="C30" t="s">
        <v>49</v>
      </c>
      <c r="E30" t="s">
        <v>274</v>
      </c>
      <c r="F30" t="s">
        <v>610</v>
      </c>
      <c r="G30" t="s">
        <v>21</v>
      </c>
      <c r="H30" t="s">
        <v>479</v>
      </c>
      <c r="I30" t="s">
        <v>427</v>
      </c>
    </row>
    <row r="31" spans="1:9" x14ac:dyDescent="0.25">
      <c r="A31" t="s">
        <v>476</v>
      </c>
      <c r="B31" t="s">
        <v>615</v>
      </c>
      <c r="C31" t="s">
        <v>50</v>
      </c>
      <c r="E31" t="s">
        <v>274</v>
      </c>
      <c r="F31" t="s">
        <v>610</v>
      </c>
      <c r="G31" t="s">
        <v>21</v>
      </c>
      <c r="H31" t="s">
        <v>479</v>
      </c>
      <c r="I31" t="s">
        <v>427</v>
      </c>
    </row>
    <row r="32" spans="1:9" x14ac:dyDescent="0.25">
      <c r="A32" t="s">
        <v>476</v>
      </c>
      <c r="B32" t="s">
        <v>616</v>
      </c>
      <c r="C32" t="s">
        <v>43</v>
      </c>
      <c r="D32" t="s">
        <v>314</v>
      </c>
      <c r="E32" t="s">
        <v>303</v>
      </c>
      <c r="F32" t="s">
        <v>610</v>
      </c>
      <c r="G32" t="s">
        <v>21</v>
      </c>
      <c r="H32" t="s">
        <v>479</v>
      </c>
      <c r="I32" t="s">
        <v>428</v>
      </c>
    </row>
    <row r="33" spans="1:9" x14ac:dyDescent="0.25">
      <c r="A33" t="s">
        <v>476</v>
      </c>
      <c r="B33" t="s">
        <v>616</v>
      </c>
      <c r="C33" t="s">
        <v>45</v>
      </c>
      <c r="D33" t="s">
        <v>315</v>
      </c>
      <c r="E33" t="s">
        <v>303</v>
      </c>
      <c r="F33" t="s">
        <v>610</v>
      </c>
      <c r="G33" t="s">
        <v>21</v>
      </c>
      <c r="H33" t="s">
        <v>479</v>
      </c>
      <c r="I33" t="s">
        <v>428</v>
      </c>
    </row>
    <row r="34" spans="1:9" x14ac:dyDescent="0.25">
      <c r="A34" t="s">
        <v>476</v>
      </c>
      <c r="B34" t="s">
        <v>616</v>
      </c>
      <c r="C34" t="s">
        <v>47</v>
      </c>
      <c r="D34" t="s">
        <v>316</v>
      </c>
      <c r="E34" t="s">
        <v>303</v>
      </c>
      <c r="F34" t="s">
        <v>610</v>
      </c>
      <c r="G34" t="s">
        <v>21</v>
      </c>
      <c r="H34" t="s">
        <v>479</v>
      </c>
      <c r="I34" t="s">
        <v>428</v>
      </c>
    </row>
    <row r="35" spans="1:9" x14ac:dyDescent="0.25">
      <c r="A35" t="s">
        <v>476</v>
      </c>
      <c r="B35" t="s">
        <v>616</v>
      </c>
      <c r="C35" t="s">
        <v>49</v>
      </c>
      <c r="E35" t="s">
        <v>303</v>
      </c>
      <c r="F35" t="s">
        <v>610</v>
      </c>
      <c r="G35" t="s">
        <v>21</v>
      </c>
      <c r="H35" t="s">
        <v>479</v>
      </c>
      <c r="I35" t="s">
        <v>428</v>
      </c>
    </row>
    <row r="36" spans="1:9" x14ac:dyDescent="0.25">
      <c r="A36" t="s">
        <v>476</v>
      </c>
      <c r="B36" t="s">
        <v>616</v>
      </c>
      <c r="C36" t="s">
        <v>50</v>
      </c>
      <c r="E36" t="s">
        <v>303</v>
      </c>
      <c r="F36" t="s">
        <v>610</v>
      </c>
      <c r="G36" t="s">
        <v>21</v>
      </c>
      <c r="H36" t="s">
        <v>479</v>
      </c>
      <c r="I36" t="s">
        <v>428</v>
      </c>
    </row>
    <row r="37" spans="1:9" x14ac:dyDescent="0.25">
      <c r="A37" t="s">
        <v>476</v>
      </c>
      <c r="B37" t="s">
        <v>617</v>
      </c>
      <c r="C37" t="s">
        <v>43</v>
      </c>
      <c r="D37" t="s">
        <v>345</v>
      </c>
      <c r="E37" t="s">
        <v>335</v>
      </c>
      <c r="F37" t="s">
        <v>610</v>
      </c>
      <c r="G37" t="s">
        <v>21</v>
      </c>
      <c r="H37" t="s">
        <v>479</v>
      </c>
      <c r="I37" t="s">
        <v>337</v>
      </c>
    </row>
    <row r="38" spans="1:9" x14ac:dyDescent="0.25">
      <c r="A38" t="s">
        <v>476</v>
      </c>
      <c r="B38" t="s">
        <v>617</v>
      </c>
      <c r="C38" t="s">
        <v>45</v>
      </c>
      <c r="D38" t="s">
        <v>346</v>
      </c>
      <c r="E38" t="s">
        <v>335</v>
      </c>
      <c r="F38" t="s">
        <v>610</v>
      </c>
      <c r="G38" t="s">
        <v>21</v>
      </c>
      <c r="H38" t="s">
        <v>479</v>
      </c>
      <c r="I38" t="s">
        <v>337</v>
      </c>
    </row>
    <row r="39" spans="1:9" x14ac:dyDescent="0.25">
      <c r="A39" t="s">
        <v>476</v>
      </c>
      <c r="B39" t="s">
        <v>617</v>
      </c>
      <c r="C39" t="s">
        <v>47</v>
      </c>
      <c r="D39" t="s">
        <v>347</v>
      </c>
      <c r="E39" t="s">
        <v>335</v>
      </c>
      <c r="F39" t="s">
        <v>610</v>
      </c>
      <c r="G39" t="s">
        <v>21</v>
      </c>
      <c r="H39" t="s">
        <v>479</v>
      </c>
      <c r="I39" t="s">
        <v>337</v>
      </c>
    </row>
    <row r="40" spans="1:9" x14ac:dyDescent="0.25">
      <c r="A40" t="s">
        <v>476</v>
      </c>
      <c r="B40" t="s">
        <v>617</v>
      </c>
      <c r="C40" t="s">
        <v>49</v>
      </c>
      <c r="E40" t="s">
        <v>335</v>
      </c>
      <c r="F40" t="s">
        <v>610</v>
      </c>
      <c r="G40" t="s">
        <v>21</v>
      </c>
      <c r="H40" t="s">
        <v>479</v>
      </c>
      <c r="I40" t="s">
        <v>337</v>
      </c>
    </row>
    <row r="41" spans="1:9" x14ac:dyDescent="0.25">
      <c r="A41" t="s">
        <v>476</v>
      </c>
      <c r="B41" t="s">
        <v>617</v>
      </c>
      <c r="C41" t="s">
        <v>50</v>
      </c>
      <c r="E41" t="s">
        <v>335</v>
      </c>
      <c r="F41" t="s">
        <v>610</v>
      </c>
      <c r="G41" t="s">
        <v>21</v>
      </c>
      <c r="H41" t="s">
        <v>479</v>
      </c>
      <c r="I41" t="s">
        <v>337</v>
      </c>
    </row>
    <row r="42" spans="1:9" x14ac:dyDescent="0.25">
      <c r="A42" t="s">
        <v>495</v>
      </c>
      <c r="B42" t="s">
        <v>618</v>
      </c>
      <c r="C42" t="s">
        <v>43</v>
      </c>
      <c r="D42" t="s">
        <v>619</v>
      </c>
      <c r="E42" t="s">
        <v>446</v>
      </c>
      <c r="F42" t="s">
        <v>610</v>
      </c>
      <c r="G42" t="s">
        <v>21</v>
      </c>
      <c r="H42" t="s">
        <v>479</v>
      </c>
      <c r="I42" t="s">
        <v>447</v>
      </c>
    </row>
    <row r="43" spans="1:9" x14ac:dyDescent="0.25">
      <c r="A43" t="s">
        <v>495</v>
      </c>
      <c r="B43" t="s">
        <v>618</v>
      </c>
      <c r="C43" t="s">
        <v>45</v>
      </c>
      <c r="D43" t="s">
        <v>620</v>
      </c>
      <c r="E43" t="s">
        <v>446</v>
      </c>
      <c r="F43" t="s">
        <v>610</v>
      </c>
      <c r="G43" t="s">
        <v>21</v>
      </c>
      <c r="H43" t="s">
        <v>479</v>
      </c>
      <c r="I43" t="s">
        <v>447</v>
      </c>
    </row>
    <row r="44" spans="1:9" x14ac:dyDescent="0.25">
      <c r="A44" t="s">
        <v>495</v>
      </c>
      <c r="B44" t="s">
        <v>618</v>
      </c>
      <c r="C44" t="s">
        <v>47</v>
      </c>
      <c r="E44" t="s">
        <v>446</v>
      </c>
      <c r="F44" t="s">
        <v>610</v>
      </c>
      <c r="G44" t="s">
        <v>21</v>
      </c>
      <c r="H44" t="s">
        <v>479</v>
      </c>
      <c r="I44" t="s">
        <v>447</v>
      </c>
    </row>
    <row r="45" spans="1:9" x14ac:dyDescent="0.25">
      <c r="A45" t="s">
        <v>495</v>
      </c>
      <c r="B45" t="s">
        <v>618</v>
      </c>
      <c r="C45" t="s">
        <v>49</v>
      </c>
      <c r="E45" t="s">
        <v>446</v>
      </c>
      <c r="F45" t="s">
        <v>610</v>
      </c>
      <c r="G45" t="s">
        <v>21</v>
      </c>
      <c r="H45" t="s">
        <v>479</v>
      </c>
      <c r="I45" t="s">
        <v>447</v>
      </c>
    </row>
    <row r="46" spans="1:9" x14ac:dyDescent="0.25">
      <c r="A46" t="s">
        <v>495</v>
      </c>
      <c r="B46" t="s">
        <v>618</v>
      </c>
      <c r="C46" t="s">
        <v>50</v>
      </c>
      <c r="E46" t="s">
        <v>446</v>
      </c>
      <c r="F46" t="s">
        <v>610</v>
      </c>
      <c r="G46" t="s">
        <v>21</v>
      </c>
      <c r="H46" t="s">
        <v>479</v>
      </c>
      <c r="I46" t="s">
        <v>447</v>
      </c>
    </row>
    <row r="47" spans="1:9" x14ac:dyDescent="0.25">
      <c r="A47" t="s">
        <v>495</v>
      </c>
      <c r="B47" t="s">
        <v>621</v>
      </c>
      <c r="C47" t="s">
        <v>43</v>
      </c>
      <c r="D47" t="s">
        <v>622</v>
      </c>
      <c r="E47" t="s">
        <v>450</v>
      </c>
      <c r="F47" t="s">
        <v>610</v>
      </c>
      <c r="G47" t="s">
        <v>21</v>
      </c>
      <c r="H47" t="s">
        <v>479</v>
      </c>
      <c r="I47" t="s">
        <v>402</v>
      </c>
    </row>
    <row r="48" spans="1:9" x14ac:dyDescent="0.25">
      <c r="A48" t="s">
        <v>495</v>
      </c>
      <c r="B48" t="s">
        <v>621</v>
      </c>
      <c r="C48" t="s">
        <v>45</v>
      </c>
      <c r="D48" t="s">
        <v>623</v>
      </c>
      <c r="E48" t="s">
        <v>450</v>
      </c>
      <c r="F48" t="s">
        <v>610</v>
      </c>
      <c r="G48" t="s">
        <v>21</v>
      </c>
      <c r="H48" t="s">
        <v>479</v>
      </c>
      <c r="I48" t="s">
        <v>402</v>
      </c>
    </row>
    <row r="49" spans="1:9" x14ac:dyDescent="0.25">
      <c r="A49" t="s">
        <v>495</v>
      </c>
      <c r="B49" t="s">
        <v>621</v>
      </c>
      <c r="C49" t="s">
        <v>47</v>
      </c>
      <c r="D49" t="s">
        <v>624</v>
      </c>
      <c r="E49" t="s">
        <v>450</v>
      </c>
      <c r="F49" t="s">
        <v>610</v>
      </c>
      <c r="G49" t="s">
        <v>21</v>
      </c>
      <c r="H49" t="s">
        <v>479</v>
      </c>
      <c r="I49" t="s">
        <v>402</v>
      </c>
    </row>
    <row r="50" spans="1:9" x14ac:dyDescent="0.25">
      <c r="A50" t="s">
        <v>495</v>
      </c>
      <c r="B50" t="s">
        <v>621</v>
      </c>
      <c r="C50" t="s">
        <v>49</v>
      </c>
      <c r="E50" t="s">
        <v>450</v>
      </c>
      <c r="F50" t="s">
        <v>610</v>
      </c>
      <c r="G50" t="s">
        <v>21</v>
      </c>
      <c r="H50" t="s">
        <v>479</v>
      </c>
      <c r="I50" t="s">
        <v>402</v>
      </c>
    </row>
    <row r="51" spans="1:9" x14ac:dyDescent="0.25">
      <c r="A51" t="s">
        <v>495</v>
      </c>
      <c r="B51" t="s">
        <v>621</v>
      </c>
      <c r="C51" t="s">
        <v>50</v>
      </c>
      <c r="E51" t="s">
        <v>450</v>
      </c>
      <c r="F51" t="s">
        <v>610</v>
      </c>
      <c r="G51" t="s">
        <v>21</v>
      </c>
      <c r="H51" t="s">
        <v>479</v>
      </c>
      <c r="I51" t="s">
        <v>402</v>
      </c>
    </row>
    <row r="52" spans="1:9" x14ac:dyDescent="0.25">
      <c r="A52" t="s">
        <v>495</v>
      </c>
      <c r="B52" t="s">
        <v>625</v>
      </c>
      <c r="C52" t="s">
        <v>43</v>
      </c>
      <c r="D52" t="s">
        <v>626</v>
      </c>
      <c r="E52" t="s">
        <v>451</v>
      </c>
      <c r="F52" t="s">
        <v>610</v>
      </c>
      <c r="G52" t="s">
        <v>21</v>
      </c>
      <c r="H52" t="s">
        <v>479</v>
      </c>
      <c r="I52" t="s">
        <v>407</v>
      </c>
    </row>
    <row r="53" spans="1:9" x14ac:dyDescent="0.25">
      <c r="A53" t="s">
        <v>495</v>
      </c>
      <c r="B53" t="s">
        <v>625</v>
      </c>
      <c r="C53" t="s">
        <v>45</v>
      </c>
      <c r="D53" t="s">
        <v>627</v>
      </c>
      <c r="E53" t="s">
        <v>451</v>
      </c>
      <c r="F53" t="s">
        <v>610</v>
      </c>
      <c r="G53" t="s">
        <v>21</v>
      </c>
      <c r="H53" t="s">
        <v>479</v>
      </c>
      <c r="I53" t="s">
        <v>407</v>
      </c>
    </row>
    <row r="54" spans="1:9" x14ac:dyDescent="0.25">
      <c r="A54" t="s">
        <v>495</v>
      </c>
      <c r="B54" t="s">
        <v>625</v>
      </c>
      <c r="C54" t="s">
        <v>47</v>
      </c>
      <c r="D54" t="s">
        <v>628</v>
      </c>
      <c r="E54" t="s">
        <v>451</v>
      </c>
      <c r="F54" t="s">
        <v>610</v>
      </c>
      <c r="G54" t="s">
        <v>21</v>
      </c>
      <c r="H54" t="s">
        <v>479</v>
      </c>
      <c r="I54" t="s">
        <v>407</v>
      </c>
    </row>
    <row r="55" spans="1:9" x14ac:dyDescent="0.25">
      <c r="A55" t="s">
        <v>495</v>
      </c>
      <c r="B55" t="s">
        <v>625</v>
      </c>
      <c r="C55" t="s">
        <v>49</v>
      </c>
      <c r="E55" t="s">
        <v>451</v>
      </c>
      <c r="F55" t="s">
        <v>610</v>
      </c>
      <c r="G55" t="s">
        <v>21</v>
      </c>
      <c r="H55" t="s">
        <v>479</v>
      </c>
      <c r="I55" t="s">
        <v>407</v>
      </c>
    </row>
    <row r="56" spans="1:9" x14ac:dyDescent="0.25">
      <c r="A56" t="s">
        <v>495</v>
      </c>
      <c r="B56" t="s">
        <v>625</v>
      </c>
      <c r="C56" t="s">
        <v>50</v>
      </c>
      <c r="E56" t="s">
        <v>451</v>
      </c>
      <c r="F56" t="s">
        <v>610</v>
      </c>
      <c r="G56" t="s">
        <v>21</v>
      </c>
      <c r="H56" t="s">
        <v>479</v>
      </c>
      <c r="I56" t="s">
        <v>407</v>
      </c>
    </row>
    <row r="57" spans="1:9" x14ac:dyDescent="0.25">
      <c r="A57" t="s">
        <v>495</v>
      </c>
      <c r="B57" t="s">
        <v>629</v>
      </c>
      <c r="C57" t="s">
        <v>43</v>
      </c>
      <c r="D57" t="s">
        <v>630</v>
      </c>
      <c r="E57" t="s">
        <v>453</v>
      </c>
      <c r="F57" t="s">
        <v>610</v>
      </c>
      <c r="G57" t="s">
        <v>21</v>
      </c>
      <c r="H57" t="s">
        <v>479</v>
      </c>
      <c r="I57" t="s">
        <v>454</v>
      </c>
    </row>
    <row r="58" spans="1:9" x14ac:dyDescent="0.25">
      <c r="A58" t="s">
        <v>495</v>
      </c>
      <c r="B58" t="s">
        <v>629</v>
      </c>
      <c r="C58" t="s">
        <v>45</v>
      </c>
      <c r="D58" t="s">
        <v>711</v>
      </c>
      <c r="E58" t="s">
        <v>453</v>
      </c>
      <c r="F58" t="s">
        <v>610</v>
      </c>
      <c r="G58" t="s">
        <v>21</v>
      </c>
      <c r="H58" t="s">
        <v>479</v>
      </c>
      <c r="I58" t="s">
        <v>454</v>
      </c>
    </row>
    <row r="59" spans="1:9" x14ac:dyDescent="0.25">
      <c r="A59" t="s">
        <v>495</v>
      </c>
      <c r="B59" t="s">
        <v>629</v>
      </c>
      <c r="C59" t="s">
        <v>47</v>
      </c>
      <c r="D59" t="s">
        <v>631</v>
      </c>
      <c r="E59" t="s">
        <v>453</v>
      </c>
      <c r="F59" t="s">
        <v>610</v>
      </c>
      <c r="G59" t="s">
        <v>21</v>
      </c>
      <c r="H59" t="s">
        <v>479</v>
      </c>
      <c r="I59" t="s">
        <v>454</v>
      </c>
    </row>
    <row r="60" spans="1:9" x14ac:dyDescent="0.25">
      <c r="A60" t="s">
        <v>495</v>
      </c>
      <c r="B60" t="s">
        <v>629</v>
      </c>
      <c r="C60" t="s">
        <v>49</v>
      </c>
      <c r="E60" t="s">
        <v>453</v>
      </c>
      <c r="F60" t="s">
        <v>610</v>
      </c>
      <c r="G60" t="s">
        <v>21</v>
      </c>
      <c r="H60" t="s">
        <v>479</v>
      </c>
      <c r="I60" t="s">
        <v>454</v>
      </c>
    </row>
    <row r="61" spans="1:9" x14ac:dyDescent="0.25">
      <c r="A61" t="s">
        <v>495</v>
      </c>
      <c r="B61" t="s">
        <v>629</v>
      </c>
      <c r="C61" t="s">
        <v>50</v>
      </c>
      <c r="E61" t="s">
        <v>453</v>
      </c>
      <c r="F61" t="s">
        <v>610</v>
      </c>
      <c r="G61" t="s">
        <v>21</v>
      </c>
      <c r="H61" t="s">
        <v>479</v>
      </c>
      <c r="I61" t="s">
        <v>454</v>
      </c>
    </row>
    <row r="62" spans="1:9" x14ac:dyDescent="0.25">
      <c r="A62" t="s">
        <v>495</v>
      </c>
      <c r="B62" t="s">
        <v>632</v>
      </c>
      <c r="C62" t="s">
        <v>43</v>
      </c>
      <c r="D62" t="s">
        <v>633</v>
      </c>
      <c r="E62" t="s">
        <v>456</v>
      </c>
      <c r="F62" t="s">
        <v>610</v>
      </c>
      <c r="G62" t="s">
        <v>21</v>
      </c>
      <c r="H62" t="s">
        <v>479</v>
      </c>
      <c r="I62" t="s">
        <v>457</v>
      </c>
    </row>
    <row r="63" spans="1:9" x14ac:dyDescent="0.25">
      <c r="A63" t="s">
        <v>495</v>
      </c>
      <c r="B63" t="s">
        <v>632</v>
      </c>
      <c r="C63" t="s">
        <v>45</v>
      </c>
      <c r="D63" t="s">
        <v>634</v>
      </c>
      <c r="E63" t="s">
        <v>456</v>
      </c>
      <c r="F63" t="s">
        <v>610</v>
      </c>
      <c r="G63" t="s">
        <v>21</v>
      </c>
      <c r="H63" t="s">
        <v>479</v>
      </c>
      <c r="I63" t="s">
        <v>457</v>
      </c>
    </row>
    <row r="64" spans="1:9" x14ac:dyDescent="0.25">
      <c r="A64" t="s">
        <v>495</v>
      </c>
      <c r="B64" t="s">
        <v>632</v>
      </c>
      <c r="C64" t="s">
        <v>47</v>
      </c>
      <c r="E64" t="s">
        <v>456</v>
      </c>
      <c r="F64" t="s">
        <v>610</v>
      </c>
      <c r="G64" t="s">
        <v>21</v>
      </c>
      <c r="H64" t="s">
        <v>479</v>
      </c>
      <c r="I64" t="s">
        <v>457</v>
      </c>
    </row>
    <row r="65" spans="1:9" x14ac:dyDescent="0.25">
      <c r="A65" t="s">
        <v>495</v>
      </c>
      <c r="B65" t="s">
        <v>632</v>
      </c>
      <c r="C65" t="s">
        <v>49</v>
      </c>
      <c r="E65" t="s">
        <v>456</v>
      </c>
      <c r="F65" t="s">
        <v>610</v>
      </c>
      <c r="G65" t="s">
        <v>21</v>
      </c>
      <c r="H65" t="s">
        <v>479</v>
      </c>
      <c r="I65" t="s">
        <v>457</v>
      </c>
    </row>
    <row r="66" spans="1:9" x14ac:dyDescent="0.25">
      <c r="A66" t="s">
        <v>495</v>
      </c>
      <c r="B66" t="s">
        <v>632</v>
      </c>
      <c r="C66" t="s">
        <v>50</v>
      </c>
      <c r="E66" t="s">
        <v>456</v>
      </c>
      <c r="F66" t="s">
        <v>610</v>
      </c>
      <c r="G66" t="s">
        <v>21</v>
      </c>
      <c r="H66" t="s">
        <v>479</v>
      </c>
      <c r="I66" t="s">
        <v>457</v>
      </c>
    </row>
    <row r="67" spans="1:9" x14ac:dyDescent="0.25">
      <c r="A67" t="s">
        <v>495</v>
      </c>
      <c r="B67" t="s">
        <v>635</v>
      </c>
      <c r="C67" t="s">
        <v>43</v>
      </c>
      <c r="D67" t="s">
        <v>636</v>
      </c>
      <c r="E67" t="s">
        <v>459</v>
      </c>
      <c r="F67" t="s">
        <v>610</v>
      </c>
      <c r="G67" t="s">
        <v>21</v>
      </c>
      <c r="H67" t="s">
        <v>479</v>
      </c>
      <c r="I67" t="s">
        <v>460</v>
      </c>
    </row>
    <row r="68" spans="1:9" x14ac:dyDescent="0.25">
      <c r="A68" t="s">
        <v>495</v>
      </c>
      <c r="B68" t="s">
        <v>635</v>
      </c>
      <c r="C68" t="s">
        <v>45</v>
      </c>
      <c r="D68" t="s">
        <v>637</v>
      </c>
      <c r="E68" t="s">
        <v>459</v>
      </c>
      <c r="F68" t="s">
        <v>610</v>
      </c>
      <c r="G68" t="s">
        <v>21</v>
      </c>
      <c r="H68" t="s">
        <v>479</v>
      </c>
      <c r="I68" t="s">
        <v>460</v>
      </c>
    </row>
    <row r="69" spans="1:9" x14ac:dyDescent="0.25">
      <c r="A69" t="s">
        <v>495</v>
      </c>
      <c r="B69" t="s">
        <v>635</v>
      </c>
      <c r="C69" t="s">
        <v>47</v>
      </c>
      <c r="D69" t="s">
        <v>638</v>
      </c>
      <c r="E69" t="s">
        <v>459</v>
      </c>
      <c r="F69" t="s">
        <v>610</v>
      </c>
      <c r="G69" t="s">
        <v>21</v>
      </c>
      <c r="H69" t="s">
        <v>479</v>
      </c>
      <c r="I69" t="s">
        <v>460</v>
      </c>
    </row>
    <row r="70" spans="1:9" x14ac:dyDescent="0.25">
      <c r="A70" t="s">
        <v>495</v>
      </c>
      <c r="B70" t="s">
        <v>635</v>
      </c>
      <c r="C70" t="s">
        <v>49</v>
      </c>
      <c r="E70" t="s">
        <v>459</v>
      </c>
      <c r="F70" t="s">
        <v>610</v>
      </c>
      <c r="G70" t="s">
        <v>21</v>
      </c>
      <c r="H70" t="s">
        <v>479</v>
      </c>
      <c r="I70" t="s">
        <v>460</v>
      </c>
    </row>
    <row r="71" spans="1:9" x14ac:dyDescent="0.25">
      <c r="A71" t="s">
        <v>495</v>
      </c>
      <c r="B71" t="s">
        <v>635</v>
      </c>
      <c r="C71" t="s">
        <v>50</v>
      </c>
      <c r="E71" t="s">
        <v>459</v>
      </c>
      <c r="F71" t="s">
        <v>610</v>
      </c>
      <c r="G71" t="s">
        <v>21</v>
      </c>
      <c r="H71" t="s">
        <v>479</v>
      </c>
      <c r="I71" t="s">
        <v>460</v>
      </c>
    </row>
    <row r="72" spans="1:9" x14ac:dyDescent="0.25">
      <c r="A72" t="s">
        <v>495</v>
      </c>
      <c r="B72" t="s">
        <v>639</v>
      </c>
      <c r="C72" t="s">
        <v>43</v>
      </c>
      <c r="D72" t="s">
        <v>640</v>
      </c>
      <c r="E72" t="s">
        <v>463</v>
      </c>
      <c r="F72" t="s">
        <v>610</v>
      </c>
      <c r="G72" t="s">
        <v>21</v>
      </c>
      <c r="H72" t="s">
        <v>479</v>
      </c>
      <c r="I72" t="s">
        <v>464</v>
      </c>
    </row>
    <row r="73" spans="1:9" x14ac:dyDescent="0.25">
      <c r="A73" t="s">
        <v>495</v>
      </c>
      <c r="B73" t="s">
        <v>639</v>
      </c>
      <c r="C73" t="s">
        <v>45</v>
      </c>
      <c r="D73" t="s">
        <v>641</v>
      </c>
      <c r="E73" t="s">
        <v>463</v>
      </c>
      <c r="F73" t="s">
        <v>610</v>
      </c>
      <c r="G73" t="s">
        <v>21</v>
      </c>
      <c r="H73" t="s">
        <v>479</v>
      </c>
      <c r="I73" t="s">
        <v>464</v>
      </c>
    </row>
    <row r="74" spans="1:9" x14ac:dyDescent="0.25">
      <c r="A74" t="s">
        <v>495</v>
      </c>
      <c r="B74" t="s">
        <v>639</v>
      </c>
      <c r="C74" t="s">
        <v>47</v>
      </c>
      <c r="D74" t="s">
        <v>642</v>
      </c>
      <c r="E74" t="s">
        <v>463</v>
      </c>
      <c r="F74" t="s">
        <v>610</v>
      </c>
      <c r="G74" t="s">
        <v>21</v>
      </c>
      <c r="H74" t="s">
        <v>479</v>
      </c>
      <c r="I74" t="s">
        <v>464</v>
      </c>
    </row>
    <row r="75" spans="1:9" x14ac:dyDescent="0.25">
      <c r="A75" t="s">
        <v>495</v>
      </c>
      <c r="B75" t="s">
        <v>639</v>
      </c>
      <c r="C75" t="s">
        <v>49</v>
      </c>
      <c r="E75" t="s">
        <v>463</v>
      </c>
      <c r="F75" t="s">
        <v>610</v>
      </c>
      <c r="G75" t="s">
        <v>21</v>
      </c>
      <c r="H75" t="s">
        <v>479</v>
      </c>
      <c r="I75" t="s">
        <v>464</v>
      </c>
    </row>
    <row r="76" spans="1:9" x14ac:dyDescent="0.25">
      <c r="A76" t="s">
        <v>495</v>
      </c>
      <c r="B76" t="s">
        <v>639</v>
      </c>
      <c r="C76" t="s">
        <v>50</v>
      </c>
      <c r="E76" t="s">
        <v>463</v>
      </c>
      <c r="F76" t="s">
        <v>610</v>
      </c>
      <c r="G76" t="s">
        <v>21</v>
      </c>
      <c r="H76" t="s">
        <v>479</v>
      </c>
      <c r="I76" t="s">
        <v>464</v>
      </c>
    </row>
    <row r="77" spans="1:9" x14ac:dyDescent="0.25">
      <c r="A77" t="s">
        <v>495</v>
      </c>
      <c r="B77" t="s">
        <v>643</v>
      </c>
      <c r="C77" t="s">
        <v>43</v>
      </c>
      <c r="D77" t="s">
        <v>644</v>
      </c>
      <c r="E77" t="s">
        <v>466</v>
      </c>
      <c r="F77" t="s">
        <v>610</v>
      </c>
      <c r="G77" t="s">
        <v>21</v>
      </c>
      <c r="H77" t="s">
        <v>479</v>
      </c>
      <c r="I77" t="s">
        <v>412</v>
      </c>
    </row>
    <row r="78" spans="1:9" x14ac:dyDescent="0.25">
      <c r="A78" t="s">
        <v>495</v>
      </c>
      <c r="B78" t="s">
        <v>643</v>
      </c>
      <c r="C78" t="s">
        <v>45</v>
      </c>
      <c r="D78" t="s">
        <v>645</v>
      </c>
      <c r="E78" t="s">
        <v>466</v>
      </c>
      <c r="F78" t="s">
        <v>610</v>
      </c>
      <c r="G78" t="s">
        <v>21</v>
      </c>
      <c r="H78" t="s">
        <v>479</v>
      </c>
      <c r="I78" t="s">
        <v>412</v>
      </c>
    </row>
    <row r="79" spans="1:9" x14ac:dyDescent="0.25">
      <c r="A79" t="s">
        <v>495</v>
      </c>
      <c r="B79" t="s">
        <v>643</v>
      </c>
      <c r="C79" t="s">
        <v>47</v>
      </c>
      <c r="D79" t="s">
        <v>646</v>
      </c>
      <c r="E79" t="s">
        <v>466</v>
      </c>
      <c r="F79" t="s">
        <v>610</v>
      </c>
      <c r="G79" t="s">
        <v>21</v>
      </c>
      <c r="H79" t="s">
        <v>479</v>
      </c>
      <c r="I79" t="s">
        <v>412</v>
      </c>
    </row>
    <row r="80" spans="1:9" x14ac:dyDescent="0.25">
      <c r="A80" t="s">
        <v>495</v>
      </c>
      <c r="B80" t="s">
        <v>643</v>
      </c>
      <c r="C80" t="s">
        <v>49</v>
      </c>
      <c r="E80" t="s">
        <v>466</v>
      </c>
      <c r="F80" t="s">
        <v>610</v>
      </c>
      <c r="G80" t="s">
        <v>21</v>
      </c>
      <c r="H80" t="s">
        <v>479</v>
      </c>
      <c r="I80" t="s">
        <v>412</v>
      </c>
    </row>
    <row r="81" spans="1:9" x14ac:dyDescent="0.25">
      <c r="A81" t="s">
        <v>495</v>
      </c>
      <c r="B81" t="s">
        <v>643</v>
      </c>
      <c r="C81" t="s">
        <v>50</v>
      </c>
      <c r="E81" t="s">
        <v>466</v>
      </c>
      <c r="F81" t="s">
        <v>610</v>
      </c>
      <c r="G81" t="s">
        <v>21</v>
      </c>
      <c r="H81" t="s">
        <v>479</v>
      </c>
      <c r="I81" t="s">
        <v>412</v>
      </c>
    </row>
    <row r="82" spans="1:9" x14ac:dyDescent="0.25">
      <c r="A82" t="s">
        <v>495</v>
      </c>
      <c r="B82" t="s">
        <v>647</v>
      </c>
      <c r="C82" t="s">
        <v>43</v>
      </c>
      <c r="D82" t="s">
        <v>648</v>
      </c>
      <c r="E82" t="s">
        <v>468</v>
      </c>
      <c r="F82" t="s">
        <v>610</v>
      </c>
      <c r="G82" t="s">
        <v>21</v>
      </c>
      <c r="H82" t="s">
        <v>479</v>
      </c>
      <c r="I82" t="s">
        <v>469</v>
      </c>
    </row>
    <row r="83" spans="1:9" x14ac:dyDescent="0.25">
      <c r="A83" t="s">
        <v>495</v>
      </c>
      <c r="B83" t="s">
        <v>647</v>
      </c>
      <c r="C83" t="s">
        <v>45</v>
      </c>
      <c r="D83" t="s">
        <v>649</v>
      </c>
      <c r="E83" t="s">
        <v>468</v>
      </c>
      <c r="F83" t="s">
        <v>610</v>
      </c>
      <c r="G83" t="s">
        <v>21</v>
      </c>
      <c r="H83" t="s">
        <v>479</v>
      </c>
      <c r="I83" t="s">
        <v>469</v>
      </c>
    </row>
    <row r="84" spans="1:9" x14ac:dyDescent="0.25">
      <c r="A84" t="s">
        <v>495</v>
      </c>
      <c r="B84" t="s">
        <v>647</v>
      </c>
      <c r="C84" t="s">
        <v>47</v>
      </c>
      <c r="E84" t="s">
        <v>468</v>
      </c>
      <c r="F84" t="s">
        <v>610</v>
      </c>
      <c r="G84" t="s">
        <v>21</v>
      </c>
      <c r="H84" t="s">
        <v>479</v>
      </c>
      <c r="I84" t="s">
        <v>469</v>
      </c>
    </row>
    <row r="85" spans="1:9" x14ac:dyDescent="0.25">
      <c r="A85" t="s">
        <v>495</v>
      </c>
      <c r="B85" t="s">
        <v>647</v>
      </c>
      <c r="C85" t="s">
        <v>49</v>
      </c>
      <c r="E85" t="s">
        <v>468</v>
      </c>
      <c r="F85" t="s">
        <v>610</v>
      </c>
      <c r="G85" t="s">
        <v>21</v>
      </c>
      <c r="H85" t="s">
        <v>479</v>
      </c>
      <c r="I85" t="s">
        <v>469</v>
      </c>
    </row>
    <row r="86" spans="1:9" x14ac:dyDescent="0.25">
      <c r="A86" t="s">
        <v>495</v>
      </c>
      <c r="B86" t="s">
        <v>647</v>
      </c>
      <c r="C86" t="s">
        <v>50</v>
      </c>
      <c r="E86" t="s">
        <v>468</v>
      </c>
      <c r="F86" t="s">
        <v>610</v>
      </c>
      <c r="G86" t="s">
        <v>21</v>
      </c>
      <c r="H86" t="s">
        <v>479</v>
      </c>
      <c r="I86" t="s">
        <v>469</v>
      </c>
    </row>
    <row r="87" spans="1:9" x14ac:dyDescent="0.25">
      <c r="A87" t="s">
        <v>487</v>
      </c>
      <c r="B87" t="s">
        <v>650</v>
      </c>
      <c r="C87" t="s">
        <v>43</v>
      </c>
      <c r="D87" t="s">
        <v>651</v>
      </c>
      <c r="E87" t="s">
        <v>429</v>
      </c>
      <c r="F87" t="s">
        <v>610</v>
      </c>
      <c r="G87" t="s">
        <v>21</v>
      </c>
      <c r="H87" t="s">
        <v>479</v>
      </c>
      <c r="I87" t="s">
        <v>430</v>
      </c>
    </row>
    <row r="88" spans="1:9" x14ac:dyDescent="0.25">
      <c r="A88" t="s">
        <v>487</v>
      </c>
      <c r="B88" t="s">
        <v>650</v>
      </c>
      <c r="C88" t="s">
        <v>45</v>
      </c>
      <c r="D88" t="s">
        <v>652</v>
      </c>
      <c r="E88" t="s">
        <v>429</v>
      </c>
      <c r="F88" t="s">
        <v>610</v>
      </c>
      <c r="G88" t="s">
        <v>21</v>
      </c>
      <c r="H88" t="s">
        <v>479</v>
      </c>
      <c r="I88" t="s">
        <v>430</v>
      </c>
    </row>
    <row r="89" spans="1:9" x14ac:dyDescent="0.25">
      <c r="A89" t="s">
        <v>487</v>
      </c>
      <c r="B89" t="s">
        <v>650</v>
      </c>
      <c r="C89" t="s">
        <v>47</v>
      </c>
      <c r="D89" t="s">
        <v>653</v>
      </c>
      <c r="E89" t="s">
        <v>429</v>
      </c>
      <c r="F89" t="s">
        <v>610</v>
      </c>
      <c r="G89" t="s">
        <v>21</v>
      </c>
      <c r="H89" t="s">
        <v>479</v>
      </c>
      <c r="I89" t="s">
        <v>430</v>
      </c>
    </row>
    <row r="90" spans="1:9" x14ac:dyDescent="0.25">
      <c r="A90" t="s">
        <v>487</v>
      </c>
      <c r="B90" t="s">
        <v>650</v>
      </c>
      <c r="C90" t="s">
        <v>49</v>
      </c>
      <c r="E90" t="s">
        <v>429</v>
      </c>
      <c r="F90" t="s">
        <v>610</v>
      </c>
      <c r="G90" t="s">
        <v>21</v>
      </c>
      <c r="H90" t="s">
        <v>479</v>
      </c>
      <c r="I90" t="s">
        <v>430</v>
      </c>
    </row>
    <row r="91" spans="1:9" x14ac:dyDescent="0.25">
      <c r="A91" t="s">
        <v>487</v>
      </c>
      <c r="B91" t="s">
        <v>650</v>
      </c>
      <c r="C91" t="s">
        <v>50</v>
      </c>
      <c r="E91" t="s">
        <v>429</v>
      </c>
      <c r="F91" t="s">
        <v>610</v>
      </c>
      <c r="G91" t="s">
        <v>21</v>
      </c>
      <c r="H91" t="s">
        <v>479</v>
      </c>
      <c r="I91" t="s">
        <v>430</v>
      </c>
    </row>
    <row r="92" spans="1:9" x14ac:dyDescent="0.25">
      <c r="A92" t="s">
        <v>487</v>
      </c>
      <c r="B92" t="s">
        <v>654</v>
      </c>
      <c r="C92" t="s">
        <v>43</v>
      </c>
      <c r="D92" t="s">
        <v>655</v>
      </c>
      <c r="E92" t="s">
        <v>437</v>
      </c>
      <c r="F92" t="s">
        <v>610</v>
      </c>
      <c r="G92" t="s">
        <v>21</v>
      </c>
      <c r="H92" t="s">
        <v>479</v>
      </c>
      <c r="I92" t="s">
        <v>438</v>
      </c>
    </row>
    <row r="93" spans="1:9" x14ac:dyDescent="0.25">
      <c r="A93" t="s">
        <v>487</v>
      </c>
      <c r="B93" t="s">
        <v>654</v>
      </c>
      <c r="C93" t="s">
        <v>45</v>
      </c>
      <c r="D93" t="s">
        <v>656</v>
      </c>
      <c r="E93" t="s">
        <v>437</v>
      </c>
      <c r="F93" t="s">
        <v>610</v>
      </c>
      <c r="G93" t="s">
        <v>21</v>
      </c>
      <c r="H93" t="s">
        <v>479</v>
      </c>
      <c r="I93" t="s">
        <v>438</v>
      </c>
    </row>
    <row r="94" spans="1:9" x14ac:dyDescent="0.25">
      <c r="A94" t="s">
        <v>487</v>
      </c>
      <c r="B94" t="s">
        <v>654</v>
      </c>
      <c r="C94" t="s">
        <v>47</v>
      </c>
      <c r="D94" t="s">
        <v>657</v>
      </c>
      <c r="E94" t="s">
        <v>437</v>
      </c>
      <c r="F94" t="s">
        <v>610</v>
      </c>
      <c r="G94" t="s">
        <v>21</v>
      </c>
      <c r="H94" t="s">
        <v>479</v>
      </c>
      <c r="I94" t="s">
        <v>438</v>
      </c>
    </row>
    <row r="95" spans="1:9" x14ac:dyDescent="0.25">
      <c r="A95" t="s">
        <v>487</v>
      </c>
      <c r="B95" t="s">
        <v>654</v>
      </c>
      <c r="C95" t="s">
        <v>49</v>
      </c>
      <c r="E95" t="s">
        <v>437</v>
      </c>
      <c r="F95" t="s">
        <v>610</v>
      </c>
      <c r="G95" t="s">
        <v>21</v>
      </c>
      <c r="H95" t="s">
        <v>479</v>
      </c>
      <c r="I95" t="s">
        <v>438</v>
      </c>
    </row>
    <row r="96" spans="1:9" x14ac:dyDescent="0.25">
      <c r="A96" t="s">
        <v>487</v>
      </c>
      <c r="B96" t="s">
        <v>654</v>
      </c>
      <c r="C96" t="s">
        <v>50</v>
      </c>
      <c r="E96" t="s">
        <v>437</v>
      </c>
      <c r="F96" t="s">
        <v>610</v>
      </c>
      <c r="G96" t="s">
        <v>21</v>
      </c>
      <c r="H96" t="s">
        <v>479</v>
      </c>
      <c r="I96" t="s">
        <v>438</v>
      </c>
    </row>
    <row r="97" spans="1:9" x14ac:dyDescent="0.25">
      <c r="A97" t="s">
        <v>487</v>
      </c>
      <c r="B97" t="s">
        <v>658</v>
      </c>
      <c r="C97" t="s">
        <v>43</v>
      </c>
      <c r="E97" t="s">
        <v>435</v>
      </c>
      <c r="F97" t="s">
        <v>610</v>
      </c>
      <c r="G97" t="s">
        <v>21</v>
      </c>
      <c r="H97" t="s">
        <v>479</v>
      </c>
      <c r="I97" t="s">
        <v>436</v>
      </c>
    </row>
    <row r="98" spans="1:9" x14ac:dyDescent="0.25">
      <c r="A98" t="s">
        <v>487</v>
      </c>
      <c r="B98" t="s">
        <v>658</v>
      </c>
      <c r="C98" t="s">
        <v>45</v>
      </c>
      <c r="E98" t="s">
        <v>435</v>
      </c>
      <c r="F98" t="s">
        <v>610</v>
      </c>
      <c r="G98" t="s">
        <v>21</v>
      </c>
      <c r="H98" t="s">
        <v>479</v>
      </c>
      <c r="I98" t="s">
        <v>436</v>
      </c>
    </row>
    <row r="99" spans="1:9" x14ac:dyDescent="0.25">
      <c r="A99" t="s">
        <v>487</v>
      </c>
      <c r="B99" t="s">
        <v>658</v>
      </c>
      <c r="C99" t="s">
        <v>47</v>
      </c>
      <c r="E99" t="s">
        <v>435</v>
      </c>
      <c r="F99" t="s">
        <v>610</v>
      </c>
      <c r="G99" t="s">
        <v>21</v>
      </c>
      <c r="H99" t="s">
        <v>479</v>
      </c>
      <c r="I99" t="s">
        <v>436</v>
      </c>
    </row>
    <row r="100" spans="1:9" x14ac:dyDescent="0.25">
      <c r="A100" t="s">
        <v>487</v>
      </c>
      <c r="B100" t="s">
        <v>658</v>
      </c>
      <c r="C100" t="s">
        <v>49</v>
      </c>
      <c r="E100" t="s">
        <v>435</v>
      </c>
      <c r="F100" t="s">
        <v>610</v>
      </c>
      <c r="G100" t="s">
        <v>21</v>
      </c>
      <c r="H100" t="s">
        <v>479</v>
      </c>
      <c r="I100" t="s">
        <v>436</v>
      </c>
    </row>
    <row r="101" spans="1:9" x14ac:dyDescent="0.25">
      <c r="A101" t="s">
        <v>487</v>
      </c>
      <c r="B101" t="s">
        <v>658</v>
      </c>
      <c r="C101" t="s">
        <v>50</v>
      </c>
      <c r="E101" t="s">
        <v>435</v>
      </c>
      <c r="F101" t="s">
        <v>610</v>
      </c>
      <c r="G101" t="s">
        <v>21</v>
      </c>
      <c r="H101" t="s">
        <v>479</v>
      </c>
      <c r="I101" t="s">
        <v>436</v>
      </c>
    </row>
    <row r="102" spans="1:9" x14ac:dyDescent="0.25">
      <c r="A102" t="s">
        <v>487</v>
      </c>
      <c r="B102" t="s">
        <v>659</v>
      </c>
      <c r="C102" t="s">
        <v>43</v>
      </c>
      <c r="D102" t="s">
        <v>660</v>
      </c>
      <c r="E102" t="s">
        <v>432</v>
      </c>
      <c r="F102" t="s">
        <v>610</v>
      </c>
      <c r="G102" t="s">
        <v>21</v>
      </c>
      <c r="H102" t="s">
        <v>479</v>
      </c>
      <c r="I102" t="s">
        <v>433</v>
      </c>
    </row>
    <row r="103" spans="1:9" x14ac:dyDescent="0.25">
      <c r="A103" t="s">
        <v>487</v>
      </c>
      <c r="B103" t="s">
        <v>659</v>
      </c>
      <c r="C103" t="s">
        <v>45</v>
      </c>
      <c r="D103" t="s">
        <v>661</v>
      </c>
      <c r="E103" t="s">
        <v>432</v>
      </c>
      <c r="F103" t="s">
        <v>610</v>
      </c>
      <c r="G103" t="s">
        <v>21</v>
      </c>
      <c r="H103" t="s">
        <v>479</v>
      </c>
      <c r="I103" t="s">
        <v>433</v>
      </c>
    </row>
    <row r="104" spans="1:9" x14ac:dyDescent="0.25">
      <c r="A104" t="s">
        <v>487</v>
      </c>
      <c r="B104" t="s">
        <v>659</v>
      </c>
      <c r="C104" t="s">
        <v>47</v>
      </c>
      <c r="D104" t="s">
        <v>662</v>
      </c>
      <c r="E104" t="s">
        <v>432</v>
      </c>
      <c r="F104" t="s">
        <v>610</v>
      </c>
      <c r="G104" t="s">
        <v>21</v>
      </c>
      <c r="H104" t="s">
        <v>479</v>
      </c>
      <c r="I104" t="s">
        <v>433</v>
      </c>
    </row>
    <row r="105" spans="1:9" x14ac:dyDescent="0.25">
      <c r="A105" t="s">
        <v>487</v>
      </c>
      <c r="B105" t="s">
        <v>659</v>
      </c>
      <c r="C105" t="s">
        <v>49</v>
      </c>
      <c r="E105" t="s">
        <v>432</v>
      </c>
      <c r="F105" t="s">
        <v>610</v>
      </c>
      <c r="G105" t="s">
        <v>21</v>
      </c>
      <c r="H105" t="s">
        <v>479</v>
      </c>
      <c r="I105" t="s">
        <v>433</v>
      </c>
    </row>
    <row r="106" spans="1:9" x14ac:dyDescent="0.25">
      <c r="A106" t="s">
        <v>487</v>
      </c>
      <c r="B106" t="s">
        <v>659</v>
      </c>
      <c r="C106" t="s">
        <v>50</v>
      </c>
      <c r="E106" t="s">
        <v>432</v>
      </c>
      <c r="F106" t="s">
        <v>610</v>
      </c>
      <c r="G106" t="s">
        <v>21</v>
      </c>
      <c r="H106" t="s">
        <v>479</v>
      </c>
      <c r="I106" t="s">
        <v>433</v>
      </c>
    </row>
    <row r="107" spans="1:9" x14ac:dyDescent="0.25">
      <c r="A107" t="s">
        <v>492</v>
      </c>
      <c r="B107" t="s">
        <v>663</v>
      </c>
      <c r="C107" t="s">
        <v>43</v>
      </c>
      <c r="D107" t="s">
        <v>712</v>
      </c>
      <c r="E107" t="s">
        <v>440</v>
      </c>
      <c r="F107" t="s">
        <v>610</v>
      </c>
      <c r="G107" t="s">
        <v>21</v>
      </c>
      <c r="H107" t="s">
        <v>479</v>
      </c>
      <c r="I107" t="s">
        <v>441</v>
      </c>
    </row>
    <row r="108" spans="1:9" x14ac:dyDescent="0.25">
      <c r="A108" t="s">
        <v>492</v>
      </c>
      <c r="B108" t="s">
        <v>663</v>
      </c>
      <c r="C108" t="s">
        <v>45</v>
      </c>
      <c r="D108" t="s">
        <v>713</v>
      </c>
      <c r="E108" t="s">
        <v>440</v>
      </c>
      <c r="F108" t="s">
        <v>610</v>
      </c>
      <c r="G108" t="s">
        <v>21</v>
      </c>
      <c r="H108" t="s">
        <v>479</v>
      </c>
      <c r="I108" t="s">
        <v>441</v>
      </c>
    </row>
    <row r="109" spans="1:9" x14ac:dyDescent="0.25">
      <c r="A109" t="s">
        <v>492</v>
      </c>
      <c r="B109" t="s">
        <v>663</v>
      </c>
      <c r="C109" t="s">
        <v>47</v>
      </c>
      <c r="D109" t="s">
        <v>714</v>
      </c>
      <c r="E109" t="s">
        <v>440</v>
      </c>
      <c r="F109" t="s">
        <v>610</v>
      </c>
      <c r="G109" t="s">
        <v>21</v>
      </c>
      <c r="H109" t="s">
        <v>479</v>
      </c>
      <c r="I109" t="s">
        <v>441</v>
      </c>
    </row>
    <row r="110" spans="1:9" x14ac:dyDescent="0.25">
      <c r="A110" t="s">
        <v>492</v>
      </c>
      <c r="B110" t="s">
        <v>663</v>
      </c>
      <c r="C110" t="s">
        <v>49</v>
      </c>
      <c r="E110" t="s">
        <v>440</v>
      </c>
      <c r="F110" t="s">
        <v>610</v>
      </c>
      <c r="G110" t="s">
        <v>21</v>
      </c>
      <c r="H110" t="s">
        <v>479</v>
      </c>
      <c r="I110" t="s">
        <v>441</v>
      </c>
    </row>
    <row r="111" spans="1:9" x14ac:dyDescent="0.25">
      <c r="A111" t="s">
        <v>492</v>
      </c>
      <c r="B111" t="s">
        <v>663</v>
      </c>
      <c r="C111" t="s">
        <v>50</v>
      </c>
      <c r="E111" t="s">
        <v>440</v>
      </c>
      <c r="F111" t="s">
        <v>610</v>
      </c>
      <c r="G111" t="s">
        <v>21</v>
      </c>
      <c r="H111" t="s">
        <v>479</v>
      </c>
      <c r="I111" t="s">
        <v>441</v>
      </c>
    </row>
    <row r="112" spans="1:9" x14ac:dyDescent="0.25">
      <c r="A112" t="s">
        <v>492</v>
      </c>
      <c r="B112" t="s">
        <v>664</v>
      </c>
      <c r="C112" t="s">
        <v>43</v>
      </c>
      <c r="D112" t="s">
        <v>665</v>
      </c>
      <c r="E112" t="s">
        <v>443</v>
      </c>
      <c r="F112" t="s">
        <v>610</v>
      </c>
      <c r="G112" t="s">
        <v>21</v>
      </c>
      <c r="H112" t="s">
        <v>479</v>
      </c>
      <c r="I112" t="s">
        <v>444</v>
      </c>
    </row>
    <row r="113" spans="1:9" x14ac:dyDescent="0.25">
      <c r="A113" t="s">
        <v>492</v>
      </c>
      <c r="B113" t="s">
        <v>664</v>
      </c>
      <c r="C113" t="s">
        <v>45</v>
      </c>
      <c r="D113" t="s">
        <v>666</v>
      </c>
      <c r="E113" t="s">
        <v>443</v>
      </c>
      <c r="F113" t="s">
        <v>610</v>
      </c>
      <c r="G113" t="s">
        <v>21</v>
      </c>
      <c r="H113" t="s">
        <v>479</v>
      </c>
      <c r="I113" t="s">
        <v>444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EBB1F-C0AE-427B-B454-C253FD52F64B}">
  <sheetPr codeName="Sheet18"/>
  <dimension ref="A1:I185"/>
  <sheetViews>
    <sheetView workbookViewId="0"/>
  </sheetViews>
  <sheetFormatPr defaultColWidth="8.85546875" defaultRowHeight="15" x14ac:dyDescent="0.25"/>
  <cols>
    <col min="1" max="1" width="49" bestFit="1" customWidth="1"/>
    <col min="2" max="2" width="14.28515625" bestFit="1" customWidth="1"/>
    <col min="3" max="3" width="14.5703125" bestFit="1" customWidth="1"/>
    <col min="4" max="4" width="41.5703125" bestFit="1" customWidth="1"/>
    <col min="5" max="5" width="14.85546875" bestFit="1" customWidth="1"/>
    <col min="6" max="6" width="12.7109375" bestFit="1" customWidth="1"/>
    <col min="7" max="7" width="18" bestFit="1" customWidth="1"/>
    <col min="8" max="8" width="12.140625" bestFit="1" customWidth="1"/>
    <col min="9" max="9" width="41.5703125" bestFit="1" customWidth="1"/>
  </cols>
  <sheetData>
    <row r="1" spans="1:9" x14ac:dyDescent="0.25">
      <c r="A1" t="s">
        <v>471</v>
      </c>
      <c r="B1" t="s">
        <v>472</v>
      </c>
      <c r="C1" t="s">
        <v>1</v>
      </c>
      <c r="D1" t="s">
        <v>2</v>
      </c>
      <c r="E1" t="s">
        <v>422</v>
      </c>
      <c r="F1" t="s">
        <v>473</v>
      </c>
      <c r="G1" t="s">
        <v>474</v>
      </c>
      <c r="H1" t="s">
        <v>475</v>
      </c>
      <c r="I1" t="s">
        <v>423</v>
      </c>
    </row>
    <row r="2" spans="1:9" x14ac:dyDescent="0.25">
      <c r="A2" t="s">
        <v>476</v>
      </c>
      <c r="B2" t="s">
        <v>505</v>
      </c>
      <c r="C2" t="s">
        <v>4</v>
      </c>
      <c r="D2" t="s">
        <v>5</v>
      </c>
      <c r="E2" t="s">
        <v>5</v>
      </c>
      <c r="F2" t="s">
        <v>506</v>
      </c>
      <c r="G2" t="s">
        <v>21</v>
      </c>
      <c r="H2" t="s">
        <v>479</v>
      </c>
      <c r="I2" t="s">
        <v>426</v>
      </c>
    </row>
    <row r="3" spans="1:9" x14ac:dyDescent="0.25">
      <c r="A3" t="s">
        <v>476</v>
      </c>
      <c r="B3" t="s">
        <v>505</v>
      </c>
      <c r="C3" t="s">
        <v>6</v>
      </c>
      <c r="D3" t="s">
        <v>7</v>
      </c>
      <c r="E3" t="s">
        <v>5</v>
      </c>
      <c r="F3" t="s">
        <v>506</v>
      </c>
      <c r="G3" t="s">
        <v>21</v>
      </c>
      <c r="H3" t="s">
        <v>479</v>
      </c>
      <c r="I3" t="s">
        <v>426</v>
      </c>
    </row>
    <row r="4" spans="1:9" x14ac:dyDescent="0.25">
      <c r="A4" t="s">
        <v>476</v>
      </c>
      <c r="B4" t="s">
        <v>505</v>
      </c>
      <c r="C4" t="s">
        <v>9</v>
      </c>
      <c r="D4">
        <v>20</v>
      </c>
      <c r="E4" t="s">
        <v>5</v>
      </c>
      <c r="F4" t="s">
        <v>506</v>
      </c>
      <c r="G4" t="s">
        <v>21</v>
      </c>
      <c r="H4" t="s">
        <v>479</v>
      </c>
      <c r="I4" t="s">
        <v>426</v>
      </c>
    </row>
    <row r="5" spans="1:9" x14ac:dyDescent="0.25">
      <c r="A5" t="s">
        <v>476</v>
      </c>
      <c r="B5" t="s">
        <v>505</v>
      </c>
      <c r="C5" t="s">
        <v>10</v>
      </c>
      <c r="D5">
        <v>1</v>
      </c>
      <c r="E5" t="s">
        <v>5</v>
      </c>
      <c r="F5" t="s">
        <v>506</v>
      </c>
      <c r="G5" t="s">
        <v>21</v>
      </c>
      <c r="H5" t="s">
        <v>479</v>
      </c>
      <c r="I5" t="s">
        <v>426</v>
      </c>
    </row>
    <row r="6" spans="1:9" x14ac:dyDescent="0.25">
      <c r="A6" t="s">
        <v>476</v>
      </c>
      <c r="B6" t="s">
        <v>505</v>
      </c>
      <c r="C6" t="s">
        <v>12</v>
      </c>
      <c r="D6">
        <v>4</v>
      </c>
      <c r="E6" t="s">
        <v>5</v>
      </c>
      <c r="F6" t="s">
        <v>506</v>
      </c>
      <c r="G6" t="s">
        <v>21</v>
      </c>
      <c r="H6" t="s">
        <v>479</v>
      </c>
      <c r="I6" t="s">
        <v>426</v>
      </c>
    </row>
    <row r="7" spans="1:9" x14ac:dyDescent="0.25">
      <c r="A7" t="s">
        <v>476</v>
      </c>
      <c r="B7" t="s">
        <v>505</v>
      </c>
      <c r="C7" t="s">
        <v>14</v>
      </c>
      <c r="D7" t="s">
        <v>15</v>
      </c>
      <c r="E7" t="s">
        <v>5</v>
      </c>
      <c r="F7" t="s">
        <v>506</v>
      </c>
      <c r="G7" t="s">
        <v>21</v>
      </c>
      <c r="H7" t="s">
        <v>479</v>
      </c>
      <c r="I7" t="s">
        <v>426</v>
      </c>
    </row>
    <row r="8" spans="1:9" x14ac:dyDescent="0.25">
      <c r="A8" t="s">
        <v>476</v>
      </c>
      <c r="B8" t="s">
        <v>505</v>
      </c>
      <c r="C8" t="s">
        <v>17</v>
      </c>
      <c r="D8" t="s">
        <v>18</v>
      </c>
      <c r="E8" t="s">
        <v>5</v>
      </c>
      <c r="F8" t="s">
        <v>506</v>
      </c>
      <c r="G8" t="s">
        <v>21</v>
      </c>
      <c r="H8" t="s">
        <v>479</v>
      </c>
      <c r="I8" t="s">
        <v>426</v>
      </c>
    </row>
    <row r="9" spans="1:9" x14ac:dyDescent="0.25">
      <c r="A9" t="s">
        <v>476</v>
      </c>
      <c r="B9" t="s">
        <v>505</v>
      </c>
      <c r="C9" t="s">
        <v>20</v>
      </c>
      <c r="D9" t="s">
        <v>21</v>
      </c>
      <c r="E9" t="s">
        <v>5</v>
      </c>
      <c r="F9" t="s">
        <v>506</v>
      </c>
      <c r="G9" t="s">
        <v>21</v>
      </c>
      <c r="H9" t="s">
        <v>479</v>
      </c>
      <c r="I9" t="s">
        <v>426</v>
      </c>
    </row>
    <row r="10" spans="1:9" x14ac:dyDescent="0.25">
      <c r="A10" t="s">
        <v>476</v>
      </c>
      <c r="B10" t="s">
        <v>507</v>
      </c>
      <c r="C10" t="s">
        <v>4</v>
      </c>
      <c r="D10" t="s">
        <v>104</v>
      </c>
      <c r="E10" t="s">
        <v>104</v>
      </c>
      <c r="F10" t="s">
        <v>506</v>
      </c>
      <c r="G10" t="s">
        <v>21</v>
      </c>
      <c r="H10" t="s">
        <v>479</v>
      </c>
      <c r="I10" t="s">
        <v>105</v>
      </c>
    </row>
    <row r="11" spans="1:9" x14ac:dyDescent="0.25">
      <c r="A11" t="s">
        <v>476</v>
      </c>
      <c r="B11" t="s">
        <v>507</v>
      </c>
      <c r="C11" t="s">
        <v>6</v>
      </c>
      <c r="D11" t="s">
        <v>105</v>
      </c>
      <c r="E11" t="s">
        <v>104</v>
      </c>
      <c r="F11" t="s">
        <v>506</v>
      </c>
      <c r="G11" t="s">
        <v>21</v>
      </c>
      <c r="H11" t="s">
        <v>479</v>
      </c>
      <c r="I11" t="s">
        <v>105</v>
      </c>
    </row>
    <row r="12" spans="1:9" x14ac:dyDescent="0.25">
      <c r="A12" t="s">
        <v>476</v>
      </c>
      <c r="B12" t="s">
        <v>507</v>
      </c>
      <c r="C12" t="s">
        <v>9</v>
      </c>
      <c r="D12">
        <v>20</v>
      </c>
      <c r="E12" t="s">
        <v>104</v>
      </c>
      <c r="F12" t="s">
        <v>506</v>
      </c>
      <c r="G12" t="s">
        <v>21</v>
      </c>
      <c r="H12" t="s">
        <v>479</v>
      </c>
      <c r="I12" t="s">
        <v>105</v>
      </c>
    </row>
    <row r="13" spans="1:9" x14ac:dyDescent="0.25">
      <c r="A13" t="s">
        <v>476</v>
      </c>
      <c r="B13" t="s">
        <v>507</v>
      </c>
      <c r="C13" t="s">
        <v>10</v>
      </c>
      <c r="D13">
        <v>2</v>
      </c>
      <c r="E13" t="s">
        <v>104</v>
      </c>
      <c r="F13" t="s">
        <v>506</v>
      </c>
      <c r="G13" t="s">
        <v>21</v>
      </c>
      <c r="H13" t="s">
        <v>479</v>
      </c>
      <c r="I13" t="s">
        <v>105</v>
      </c>
    </row>
    <row r="14" spans="1:9" x14ac:dyDescent="0.25">
      <c r="A14" t="s">
        <v>476</v>
      </c>
      <c r="B14" t="s">
        <v>507</v>
      </c>
      <c r="C14" t="s">
        <v>12</v>
      </c>
      <c r="D14">
        <v>5</v>
      </c>
      <c r="E14" t="s">
        <v>104</v>
      </c>
      <c r="F14" t="s">
        <v>506</v>
      </c>
      <c r="G14" t="s">
        <v>21</v>
      </c>
      <c r="H14" t="s">
        <v>479</v>
      </c>
      <c r="I14" t="s">
        <v>105</v>
      </c>
    </row>
    <row r="15" spans="1:9" x14ac:dyDescent="0.25">
      <c r="A15" t="s">
        <v>476</v>
      </c>
      <c r="B15" t="s">
        <v>507</v>
      </c>
      <c r="C15" t="s">
        <v>14</v>
      </c>
      <c r="D15" t="s">
        <v>15</v>
      </c>
      <c r="E15" t="s">
        <v>104</v>
      </c>
      <c r="F15" t="s">
        <v>506</v>
      </c>
      <c r="G15" t="s">
        <v>21</v>
      </c>
      <c r="H15" t="s">
        <v>479</v>
      </c>
      <c r="I15" t="s">
        <v>105</v>
      </c>
    </row>
    <row r="16" spans="1:9" x14ac:dyDescent="0.25">
      <c r="A16" t="s">
        <v>476</v>
      </c>
      <c r="B16" t="s">
        <v>507</v>
      </c>
      <c r="C16" t="s">
        <v>17</v>
      </c>
      <c r="D16" t="s">
        <v>18</v>
      </c>
      <c r="E16" t="s">
        <v>104</v>
      </c>
      <c r="F16" t="s">
        <v>506</v>
      </c>
      <c r="G16" t="s">
        <v>21</v>
      </c>
      <c r="H16" t="s">
        <v>479</v>
      </c>
      <c r="I16" t="s">
        <v>105</v>
      </c>
    </row>
    <row r="17" spans="1:9" x14ac:dyDescent="0.25">
      <c r="A17" t="s">
        <v>476</v>
      </c>
      <c r="B17" t="s">
        <v>507</v>
      </c>
      <c r="C17" t="s">
        <v>20</v>
      </c>
      <c r="D17" t="s">
        <v>21</v>
      </c>
      <c r="E17" t="s">
        <v>104</v>
      </c>
      <c r="F17" t="s">
        <v>506</v>
      </c>
      <c r="G17" t="s">
        <v>21</v>
      </c>
      <c r="H17" t="s">
        <v>479</v>
      </c>
      <c r="I17" t="s">
        <v>105</v>
      </c>
    </row>
    <row r="18" spans="1:9" x14ac:dyDescent="0.25">
      <c r="A18" t="s">
        <v>476</v>
      </c>
      <c r="B18" t="s">
        <v>508</v>
      </c>
      <c r="C18" t="s">
        <v>4</v>
      </c>
      <c r="D18" t="s">
        <v>133</v>
      </c>
      <c r="E18" t="s">
        <v>133</v>
      </c>
      <c r="F18" t="s">
        <v>506</v>
      </c>
      <c r="G18" t="s">
        <v>21</v>
      </c>
      <c r="H18" t="s">
        <v>479</v>
      </c>
      <c r="I18" t="s">
        <v>135</v>
      </c>
    </row>
    <row r="19" spans="1:9" x14ac:dyDescent="0.25">
      <c r="A19" t="s">
        <v>476</v>
      </c>
      <c r="B19" t="s">
        <v>508</v>
      </c>
      <c r="C19" t="s">
        <v>6</v>
      </c>
      <c r="D19" t="s">
        <v>135</v>
      </c>
      <c r="E19" t="s">
        <v>133</v>
      </c>
      <c r="F19" t="s">
        <v>506</v>
      </c>
      <c r="G19" t="s">
        <v>21</v>
      </c>
      <c r="H19" t="s">
        <v>479</v>
      </c>
      <c r="I19" t="s">
        <v>135</v>
      </c>
    </row>
    <row r="20" spans="1:9" x14ac:dyDescent="0.25">
      <c r="A20" t="s">
        <v>476</v>
      </c>
      <c r="B20" t="s">
        <v>508</v>
      </c>
      <c r="C20" t="s">
        <v>9</v>
      </c>
      <c r="D20">
        <v>20</v>
      </c>
      <c r="E20" t="s">
        <v>133</v>
      </c>
      <c r="F20" t="s">
        <v>506</v>
      </c>
      <c r="G20" t="s">
        <v>21</v>
      </c>
      <c r="H20" t="s">
        <v>479</v>
      </c>
      <c r="I20" t="s">
        <v>135</v>
      </c>
    </row>
    <row r="21" spans="1:9" x14ac:dyDescent="0.25">
      <c r="A21" t="s">
        <v>476</v>
      </c>
      <c r="B21" t="s">
        <v>508</v>
      </c>
      <c r="C21" t="s">
        <v>10</v>
      </c>
      <c r="E21" t="s">
        <v>133</v>
      </c>
      <c r="F21" t="s">
        <v>506</v>
      </c>
      <c r="G21" t="s">
        <v>21</v>
      </c>
      <c r="H21" t="s">
        <v>479</v>
      </c>
      <c r="I21" t="s">
        <v>135</v>
      </c>
    </row>
    <row r="22" spans="1:9" x14ac:dyDescent="0.25">
      <c r="A22" t="s">
        <v>476</v>
      </c>
      <c r="B22" t="s">
        <v>508</v>
      </c>
      <c r="C22" t="s">
        <v>12</v>
      </c>
      <c r="D22">
        <v>5</v>
      </c>
      <c r="E22" t="s">
        <v>133</v>
      </c>
      <c r="F22" t="s">
        <v>506</v>
      </c>
      <c r="G22" t="s">
        <v>21</v>
      </c>
      <c r="H22" t="s">
        <v>479</v>
      </c>
      <c r="I22" t="s">
        <v>135</v>
      </c>
    </row>
    <row r="23" spans="1:9" x14ac:dyDescent="0.25">
      <c r="A23" t="s">
        <v>476</v>
      </c>
      <c r="B23" t="s">
        <v>508</v>
      </c>
      <c r="C23" t="s">
        <v>14</v>
      </c>
      <c r="D23" t="s">
        <v>137</v>
      </c>
      <c r="E23" t="s">
        <v>133</v>
      </c>
      <c r="F23" t="s">
        <v>506</v>
      </c>
      <c r="G23" t="s">
        <v>21</v>
      </c>
      <c r="H23" t="s">
        <v>479</v>
      </c>
      <c r="I23" t="s">
        <v>135</v>
      </c>
    </row>
    <row r="24" spans="1:9" x14ac:dyDescent="0.25">
      <c r="A24" t="s">
        <v>476</v>
      </c>
      <c r="B24" t="s">
        <v>508</v>
      </c>
      <c r="C24" t="s">
        <v>17</v>
      </c>
      <c r="D24" t="s">
        <v>138</v>
      </c>
      <c r="E24" t="s">
        <v>133</v>
      </c>
      <c r="F24" t="s">
        <v>506</v>
      </c>
      <c r="G24" t="s">
        <v>21</v>
      </c>
      <c r="H24" t="s">
        <v>479</v>
      </c>
      <c r="I24" t="s">
        <v>135</v>
      </c>
    </row>
    <row r="25" spans="1:9" x14ac:dyDescent="0.25">
      <c r="A25" t="s">
        <v>476</v>
      </c>
      <c r="B25" t="s">
        <v>508</v>
      </c>
      <c r="C25" t="s">
        <v>20</v>
      </c>
      <c r="D25" t="s">
        <v>21</v>
      </c>
      <c r="E25" t="s">
        <v>133</v>
      </c>
      <c r="F25" t="s">
        <v>506</v>
      </c>
      <c r="G25" t="s">
        <v>21</v>
      </c>
      <c r="H25" t="s">
        <v>479</v>
      </c>
      <c r="I25" t="s">
        <v>135</v>
      </c>
    </row>
    <row r="26" spans="1:9" x14ac:dyDescent="0.25">
      <c r="A26" t="s">
        <v>476</v>
      </c>
      <c r="B26" t="s">
        <v>509</v>
      </c>
      <c r="C26" t="s">
        <v>4</v>
      </c>
      <c r="D26" t="s">
        <v>202</v>
      </c>
      <c r="E26" t="s">
        <v>202</v>
      </c>
      <c r="F26" t="s">
        <v>506</v>
      </c>
      <c r="G26" t="s">
        <v>21</v>
      </c>
      <c r="H26" t="s">
        <v>479</v>
      </c>
      <c r="I26" t="s">
        <v>204</v>
      </c>
    </row>
    <row r="27" spans="1:9" x14ac:dyDescent="0.25">
      <c r="A27" t="s">
        <v>476</v>
      </c>
      <c r="B27" t="s">
        <v>509</v>
      </c>
      <c r="C27" t="s">
        <v>6</v>
      </c>
      <c r="D27" t="s">
        <v>204</v>
      </c>
      <c r="E27" t="s">
        <v>202</v>
      </c>
      <c r="F27" t="s">
        <v>506</v>
      </c>
      <c r="G27" t="s">
        <v>21</v>
      </c>
      <c r="H27" t="s">
        <v>479</v>
      </c>
      <c r="I27" t="s">
        <v>204</v>
      </c>
    </row>
    <row r="28" spans="1:9" x14ac:dyDescent="0.25">
      <c r="A28" t="s">
        <v>476</v>
      </c>
      <c r="B28" t="s">
        <v>509</v>
      </c>
      <c r="C28" t="s">
        <v>9</v>
      </c>
      <c r="D28">
        <v>20</v>
      </c>
      <c r="E28" t="s">
        <v>202</v>
      </c>
      <c r="F28" t="s">
        <v>506</v>
      </c>
      <c r="G28" t="s">
        <v>21</v>
      </c>
      <c r="H28" t="s">
        <v>479</v>
      </c>
      <c r="I28" t="s">
        <v>204</v>
      </c>
    </row>
    <row r="29" spans="1:9" x14ac:dyDescent="0.25">
      <c r="A29" t="s">
        <v>476</v>
      </c>
      <c r="B29" t="s">
        <v>509</v>
      </c>
      <c r="C29" t="s">
        <v>10</v>
      </c>
      <c r="D29">
        <v>2</v>
      </c>
      <c r="E29" t="s">
        <v>202</v>
      </c>
      <c r="F29" t="s">
        <v>506</v>
      </c>
      <c r="G29" t="s">
        <v>21</v>
      </c>
      <c r="H29" t="s">
        <v>479</v>
      </c>
      <c r="I29" t="s">
        <v>204</v>
      </c>
    </row>
    <row r="30" spans="1:9" x14ac:dyDescent="0.25">
      <c r="A30" t="s">
        <v>476</v>
      </c>
      <c r="B30" t="s">
        <v>509</v>
      </c>
      <c r="C30" t="s">
        <v>12</v>
      </c>
      <c r="D30">
        <v>5</v>
      </c>
      <c r="E30" t="s">
        <v>202</v>
      </c>
      <c r="F30" t="s">
        <v>506</v>
      </c>
      <c r="G30" t="s">
        <v>21</v>
      </c>
      <c r="H30" t="s">
        <v>479</v>
      </c>
      <c r="I30" t="s">
        <v>204</v>
      </c>
    </row>
    <row r="31" spans="1:9" x14ac:dyDescent="0.25">
      <c r="A31" t="s">
        <v>476</v>
      </c>
      <c r="B31" t="s">
        <v>509</v>
      </c>
      <c r="C31" t="s">
        <v>14</v>
      </c>
      <c r="D31" t="s">
        <v>206</v>
      </c>
      <c r="E31" t="s">
        <v>202</v>
      </c>
      <c r="F31" t="s">
        <v>506</v>
      </c>
      <c r="G31" t="s">
        <v>21</v>
      </c>
      <c r="H31" t="s">
        <v>479</v>
      </c>
      <c r="I31" t="s">
        <v>204</v>
      </c>
    </row>
    <row r="32" spans="1:9" x14ac:dyDescent="0.25">
      <c r="A32" t="s">
        <v>476</v>
      </c>
      <c r="B32" t="s">
        <v>509</v>
      </c>
      <c r="C32" t="s">
        <v>17</v>
      </c>
      <c r="D32" t="s">
        <v>138</v>
      </c>
      <c r="E32" t="s">
        <v>202</v>
      </c>
      <c r="F32" t="s">
        <v>506</v>
      </c>
      <c r="G32" t="s">
        <v>21</v>
      </c>
      <c r="H32" t="s">
        <v>479</v>
      </c>
      <c r="I32" t="s">
        <v>204</v>
      </c>
    </row>
    <row r="33" spans="1:9" x14ac:dyDescent="0.25">
      <c r="A33" t="s">
        <v>476</v>
      </c>
      <c r="B33" t="s">
        <v>509</v>
      </c>
      <c r="C33" t="s">
        <v>20</v>
      </c>
      <c r="D33" t="s">
        <v>21</v>
      </c>
      <c r="E33" t="s">
        <v>202</v>
      </c>
      <c r="F33" t="s">
        <v>506</v>
      </c>
      <c r="G33" t="s">
        <v>21</v>
      </c>
      <c r="H33" t="s">
        <v>479</v>
      </c>
      <c r="I33" t="s">
        <v>204</v>
      </c>
    </row>
    <row r="34" spans="1:9" x14ac:dyDescent="0.25">
      <c r="A34" t="s">
        <v>476</v>
      </c>
      <c r="B34" t="s">
        <v>513</v>
      </c>
      <c r="C34" t="s">
        <v>4</v>
      </c>
      <c r="D34" t="s">
        <v>240</v>
      </c>
      <c r="E34" t="s">
        <v>240</v>
      </c>
      <c r="F34" t="s">
        <v>506</v>
      </c>
      <c r="G34" t="s">
        <v>21</v>
      </c>
      <c r="H34" t="s">
        <v>479</v>
      </c>
      <c r="I34" t="s">
        <v>241</v>
      </c>
    </row>
    <row r="35" spans="1:9" x14ac:dyDescent="0.25">
      <c r="A35" t="s">
        <v>476</v>
      </c>
      <c r="B35" t="s">
        <v>513</v>
      </c>
      <c r="C35" t="s">
        <v>6</v>
      </c>
      <c r="D35" t="s">
        <v>241</v>
      </c>
      <c r="E35" t="s">
        <v>240</v>
      </c>
      <c r="F35" t="s">
        <v>506</v>
      </c>
      <c r="G35" t="s">
        <v>21</v>
      </c>
      <c r="H35" t="s">
        <v>479</v>
      </c>
      <c r="I35" t="s">
        <v>241</v>
      </c>
    </row>
    <row r="36" spans="1:9" x14ac:dyDescent="0.25">
      <c r="A36" t="s">
        <v>476</v>
      </c>
      <c r="B36" t="s">
        <v>513</v>
      </c>
      <c r="C36" t="s">
        <v>9</v>
      </c>
      <c r="D36">
        <v>20</v>
      </c>
      <c r="E36" t="s">
        <v>240</v>
      </c>
      <c r="F36" t="s">
        <v>506</v>
      </c>
      <c r="G36" t="s">
        <v>21</v>
      </c>
      <c r="H36" t="s">
        <v>479</v>
      </c>
      <c r="I36" t="s">
        <v>241</v>
      </c>
    </row>
    <row r="37" spans="1:9" x14ac:dyDescent="0.25">
      <c r="A37" t="s">
        <v>476</v>
      </c>
      <c r="B37" t="s">
        <v>513</v>
      </c>
      <c r="C37" t="s">
        <v>10</v>
      </c>
      <c r="D37">
        <v>2</v>
      </c>
      <c r="E37" t="s">
        <v>240</v>
      </c>
      <c r="F37" t="s">
        <v>506</v>
      </c>
      <c r="G37" t="s">
        <v>21</v>
      </c>
      <c r="H37" t="s">
        <v>479</v>
      </c>
      <c r="I37" t="s">
        <v>241</v>
      </c>
    </row>
    <row r="38" spans="1:9" x14ac:dyDescent="0.25">
      <c r="A38" t="s">
        <v>476</v>
      </c>
      <c r="B38" t="s">
        <v>513</v>
      </c>
      <c r="C38" t="s">
        <v>12</v>
      </c>
      <c r="D38">
        <v>6</v>
      </c>
      <c r="E38" t="s">
        <v>240</v>
      </c>
      <c r="F38" t="s">
        <v>506</v>
      </c>
      <c r="G38" t="s">
        <v>21</v>
      </c>
      <c r="H38" t="s">
        <v>479</v>
      </c>
      <c r="I38" t="s">
        <v>241</v>
      </c>
    </row>
    <row r="39" spans="1:9" x14ac:dyDescent="0.25">
      <c r="A39" t="s">
        <v>476</v>
      </c>
      <c r="B39" t="s">
        <v>513</v>
      </c>
      <c r="C39" t="s">
        <v>14</v>
      </c>
      <c r="D39" t="s">
        <v>206</v>
      </c>
      <c r="E39" t="s">
        <v>240</v>
      </c>
      <c r="F39" t="s">
        <v>506</v>
      </c>
      <c r="G39" t="s">
        <v>21</v>
      </c>
      <c r="H39" t="s">
        <v>479</v>
      </c>
      <c r="I39" t="s">
        <v>241</v>
      </c>
    </row>
    <row r="40" spans="1:9" x14ac:dyDescent="0.25">
      <c r="A40" t="s">
        <v>476</v>
      </c>
      <c r="B40" t="s">
        <v>513</v>
      </c>
      <c r="C40" t="s">
        <v>17</v>
      </c>
      <c r="D40" t="s">
        <v>138</v>
      </c>
      <c r="E40" t="s">
        <v>240</v>
      </c>
      <c r="F40" t="s">
        <v>506</v>
      </c>
      <c r="G40" t="s">
        <v>21</v>
      </c>
      <c r="H40" t="s">
        <v>479</v>
      </c>
      <c r="I40" t="s">
        <v>241</v>
      </c>
    </row>
    <row r="41" spans="1:9" x14ac:dyDescent="0.25">
      <c r="A41" t="s">
        <v>476</v>
      </c>
      <c r="B41" t="s">
        <v>513</v>
      </c>
      <c r="C41" t="s">
        <v>20</v>
      </c>
      <c r="D41" t="s">
        <v>21</v>
      </c>
      <c r="E41" t="s">
        <v>240</v>
      </c>
      <c r="F41" t="s">
        <v>506</v>
      </c>
      <c r="G41" t="s">
        <v>21</v>
      </c>
      <c r="H41" t="s">
        <v>479</v>
      </c>
      <c r="I41" t="s">
        <v>241</v>
      </c>
    </row>
    <row r="42" spans="1:9" x14ac:dyDescent="0.25">
      <c r="A42" t="s">
        <v>476</v>
      </c>
      <c r="B42" t="s">
        <v>511</v>
      </c>
      <c r="C42" t="s">
        <v>4</v>
      </c>
      <c r="D42" t="s">
        <v>274</v>
      </c>
      <c r="E42" t="s">
        <v>274</v>
      </c>
      <c r="F42" t="s">
        <v>506</v>
      </c>
      <c r="G42" t="s">
        <v>21</v>
      </c>
      <c r="H42" t="s">
        <v>479</v>
      </c>
      <c r="I42" t="s">
        <v>427</v>
      </c>
    </row>
    <row r="43" spans="1:9" x14ac:dyDescent="0.25">
      <c r="A43" t="s">
        <v>476</v>
      </c>
      <c r="B43" t="s">
        <v>511</v>
      </c>
      <c r="C43" t="s">
        <v>6</v>
      </c>
      <c r="D43" t="s">
        <v>273</v>
      </c>
      <c r="E43" t="s">
        <v>274</v>
      </c>
      <c r="F43" t="s">
        <v>506</v>
      </c>
      <c r="G43" t="s">
        <v>21</v>
      </c>
      <c r="H43" t="s">
        <v>479</v>
      </c>
      <c r="I43" t="s">
        <v>427</v>
      </c>
    </row>
    <row r="44" spans="1:9" x14ac:dyDescent="0.25">
      <c r="A44" t="s">
        <v>476</v>
      </c>
      <c r="B44" t="s">
        <v>511</v>
      </c>
      <c r="C44" t="s">
        <v>9</v>
      </c>
      <c r="D44">
        <v>20</v>
      </c>
      <c r="E44" t="s">
        <v>274</v>
      </c>
      <c r="F44" t="s">
        <v>506</v>
      </c>
      <c r="G44" t="s">
        <v>21</v>
      </c>
      <c r="H44" t="s">
        <v>479</v>
      </c>
      <c r="I44" t="s">
        <v>427</v>
      </c>
    </row>
    <row r="45" spans="1:9" x14ac:dyDescent="0.25">
      <c r="A45" t="s">
        <v>476</v>
      </c>
      <c r="B45" t="s">
        <v>511</v>
      </c>
      <c r="C45" t="s">
        <v>10</v>
      </c>
      <c r="D45">
        <v>1</v>
      </c>
      <c r="E45" t="s">
        <v>274</v>
      </c>
      <c r="F45" t="s">
        <v>506</v>
      </c>
      <c r="G45" t="s">
        <v>21</v>
      </c>
      <c r="H45" t="s">
        <v>479</v>
      </c>
      <c r="I45" t="s">
        <v>427</v>
      </c>
    </row>
    <row r="46" spans="1:9" x14ac:dyDescent="0.25">
      <c r="A46" t="s">
        <v>476</v>
      </c>
      <c r="B46" t="s">
        <v>511</v>
      </c>
      <c r="C46" t="s">
        <v>12</v>
      </c>
      <c r="D46">
        <v>6</v>
      </c>
      <c r="E46" t="s">
        <v>274</v>
      </c>
      <c r="F46" t="s">
        <v>506</v>
      </c>
      <c r="G46" t="s">
        <v>21</v>
      </c>
      <c r="H46" t="s">
        <v>479</v>
      </c>
      <c r="I46" t="s">
        <v>427</v>
      </c>
    </row>
    <row r="47" spans="1:9" x14ac:dyDescent="0.25">
      <c r="A47" t="s">
        <v>476</v>
      </c>
      <c r="B47" t="s">
        <v>511</v>
      </c>
      <c r="C47" t="s">
        <v>14</v>
      </c>
      <c r="D47" t="s">
        <v>277</v>
      </c>
      <c r="E47" t="s">
        <v>274</v>
      </c>
      <c r="F47" t="s">
        <v>506</v>
      </c>
      <c r="G47" t="s">
        <v>21</v>
      </c>
      <c r="H47" t="s">
        <v>479</v>
      </c>
      <c r="I47" t="s">
        <v>427</v>
      </c>
    </row>
    <row r="48" spans="1:9" x14ac:dyDescent="0.25">
      <c r="A48" t="s">
        <v>476</v>
      </c>
      <c r="B48" t="s">
        <v>511</v>
      </c>
      <c r="C48" t="s">
        <v>17</v>
      </c>
      <c r="D48" t="s">
        <v>138</v>
      </c>
      <c r="E48" t="s">
        <v>274</v>
      </c>
      <c r="F48" t="s">
        <v>506</v>
      </c>
      <c r="G48" t="s">
        <v>21</v>
      </c>
      <c r="H48" t="s">
        <v>479</v>
      </c>
      <c r="I48" t="s">
        <v>427</v>
      </c>
    </row>
    <row r="49" spans="1:9" x14ac:dyDescent="0.25">
      <c r="A49" t="s">
        <v>476</v>
      </c>
      <c r="B49" t="s">
        <v>511</v>
      </c>
      <c r="C49" t="s">
        <v>20</v>
      </c>
      <c r="D49" t="s">
        <v>21</v>
      </c>
      <c r="E49" t="s">
        <v>274</v>
      </c>
      <c r="F49" t="s">
        <v>506</v>
      </c>
      <c r="G49" t="s">
        <v>21</v>
      </c>
      <c r="H49" t="s">
        <v>479</v>
      </c>
      <c r="I49" t="s">
        <v>427</v>
      </c>
    </row>
    <row r="50" spans="1:9" x14ac:dyDescent="0.25">
      <c r="A50" t="s">
        <v>476</v>
      </c>
      <c r="B50" t="s">
        <v>512</v>
      </c>
      <c r="C50" t="s">
        <v>4</v>
      </c>
      <c r="D50" t="s">
        <v>303</v>
      </c>
      <c r="E50" t="s">
        <v>303</v>
      </c>
      <c r="F50" t="s">
        <v>506</v>
      </c>
      <c r="G50" t="s">
        <v>21</v>
      </c>
      <c r="H50" t="s">
        <v>479</v>
      </c>
      <c r="I50" t="s">
        <v>428</v>
      </c>
    </row>
    <row r="51" spans="1:9" x14ac:dyDescent="0.25">
      <c r="A51" t="s">
        <v>476</v>
      </c>
      <c r="B51" t="s">
        <v>512</v>
      </c>
      <c r="C51" t="s">
        <v>6</v>
      </c>
      <c r="D51" t="s">
        <v>304</v>
      </c>
      <c r="E51" t="s">
        <v>303</v>
      </c>
      <c r="F51" t="s">
        <v>506</v>
      </c>
      <c r="G51" t="s">
        <v>21</v>
      </c>
      <c r="H51" t="s">
        <v>479</v>
      </c>
      <c r="I51" t="s">
        <v>428</v>
      </c>
    </row>
    <row r="52" spans="1:9" x14ac:dyDescent="0.25">
      <c r="A52" t="s">
        <v>476</v>
      </c>
      <c r="B52" t="s">
        <v>512</v>
      </c>
      <c r="C52" t="s">
        <v>9</v>
      </c>
      <c r="D52">
        <v>20</v>
      </c>
      <c r="E52" t="s">
        <v>303</v>
      </c>
      <c r="F52" t="s">
        <v>506</v>
      </c>
      <c r="G52" t="s">
        <v>21</v>
      </c>
      <c r="H52" t="s">
        <v>479</v>
      </c>
      <c r="I52" t="s">
        <v>428</v>
      </c>
    </row>
    <row r="53" spans="1:9" x14ac:dyDescent="0.25">
      <c r="A53" t="s">
        <v>476</v>
      </c>
      <c r="B53" t="s">
        <v>512</v>
      </c>
      <c r="C53" t="s">
        <v>10</v>
      </c>
      <c r="D53" t="s">
        <v>306</v>
      </c>
      <c r="E53" t="s">
        <v>303</v>
      </c>
      <c r="F53" t="s">
        <v>506</v>
      </c>
      <c r="G53" t="s">
        <v>21</v>
      </c>
      <c r="H53" t="s">
        <v>479</v>
      </c>
      <c r="I53" t="s">
        <v>428</v>
      </c>
    </row>
    <row r="54" spans="1:9" x14ac:dyDescent="0.25">
      <c r="A54" t="s">
        <v>476</v>
      </c>
      <c r="B54" t="s">
        <v>512</v>
      </c>
      <c r="C54" t="s">
        <v>12</v>
      </c>
      <c r="D54">
        <v>6</v>
      </c>
      <c r="E54" t="s">
        <v>303</v>
      </c>
      <c r="F54" t="s">
        <v>506</v>
      </c>
      <c r="G54" t="s">
        <v>21</v>
      </c>
      <c r="H54" t="s">
        <v>479</v>
      </c>
      <c r="I54" t="s">
        <v>428</v>
      </c>
    </row>
    <row r="55" spans="1:9" x14ac:dyDescent="0.25">
      <c r="A55" t="s">
        <v>476</v>
      </c>
      <c r="B55" t="s">
        <v>512</v>
      </c>
      <c r="C55" t="s">
        <v>14</v>
      </c>
      <c r="D55" t="s">
        <v>15</v>
      </c>
      <c r="E55" t="s">
        <v>303</v>
      </c>
      <c r="F55" t="s">
        <v>506</v>
      </c>
      <c r="G55" t="s">
        <v>21</v>
      </c>
      <c r="H55" t="s">
        <v>479</v>
      </c>
      <c r="I55" t="s">
        <v>428</v>
      </c>
    </row>
    <row r="56" spans="1:9" x14ac:dyDescent="0.25">
      <c r="A56" t="s">
        <v>476</v>
      </c>
      <c r="B56" t="s">
        <v>512</v>
      </c>
      <c r="C56" t="s">
        <v>17</v>
      </c>
      <c r="D56" t="s">
        <v>18</v>
      </c>
      <c r="E56" t="s">
        <v>303</v>
      </c>
      <c r="F56" t="s">
        <v>506</v>
      </c>
      <c r="G56" t="s">
        <v>21</v>
      </c>
      <c r="H56" t="s">
        <v>479</v>
      </c>
      <c r="I56" t="s">
        <v>428</v>
      </c>
    </row>
    <row r="57" spans="1:9" x14ac:dyDescent="0.25">
      <c r="A57" t="s">
        <v>476</v>
      </c>
      <c r="B57" t="s">
        <v>512</v>
      </c>
      <c r="C57" t="s">
        <v>20</v>
      </c>
      <c r="D57" t="s">
        <v>21</v>
      </c>
      <c r="E57" t="s">
        <v>303</v>
      </c>
      <c r="F57" t="s">
        <v>506</v>
      </c>
      <c r="G57" t="s">
        <v>21</v>
      </c>
      <c r="H57" t="s">
        <v>479</v>
      </c>
      <c r="I57" t="s">
        <v>428</v>
      </c>
    </row>
    <row r="58" spans="1:9" x14ac:dyDescent="0.25">
      <c r="A58" t="s">
        <v>476</v>
      </c>
      <c r="B58" t="s">
        <v>510</v>
      </c>
      <c r="C58" t="s">
        <v>4</v>
      </c>
      <c r="D58" t="s">
        <v>335</v>
      </c>
      <c r="E58" t="s">
        <v>335</v>
      </c>
      <c r="F58" t="s">
        <v>506</v>
      </c>
      <c r="G58" t="s">
        <v>21</v>
      </c>
      <c r="H58" t="s">
        <v>479</v>
      </c>
      <c r="I58" t="s">
        <v>337</v>
      </c>
    </row>
    <row r="59" spans="1:9" x14ac:dyDescent="0.25">
      <c r="A59" t="s">
        <v>476</v>
      </c>
      <c r="B59" t="s">
        <v>510</v>
      </c>
      <c r="C59" t="s">
        <v>6</v>
      </c>
      <c r="D59" t="s">
        <v>337</v>
      </c>
      <c r="E59" t="s">
        <v>335</v>
      </c>
      <c r="F59" t="s">
        <v>506</v>
      </c>
      <c r="G59" t="s">
        <v>21</v>
      </c>
      <c r="H59" t="s">
        <v>479</v>
      </c>
      <c r="I59" t="s">
        <v>337</v>
      </c>
    </row>
    <row r="60" spans="1:9" x14ac:dyDescent="0.25">
      <c r="A60" t="s">
        <v>476</v>
      </c>
      <c r="B60" t="s">
        <v>510</v>
      </c>
      <c r="C60" t="s">
        <v>9</v>
      </c>
      <c r="D60">
        <v>20</v>
      </c>
      <c r="E60" t="s">
        <v>335</v>
      </c>
      <c r="F60" t="s">
        <v>506</v>
      </c>
      <c r="G60" t="s">
        <v>21</v>
      </c>
      <c r="H60" t="s">
        <v>479</v>
      </c>
      <c r="I60" t="s">
        <v>337</v>
      </c>
    </row>
    <row r="61" spans="1:9" x14ac:dyDescent="0.25">
      <c r="A61" t="s">
        <v>476</v>
      </c>
      <c r="B61" t="s">
        <v>510</v>
      </c>
      <c r="C61" t="s">
        <v>10</v>
      </c>
      <c r="D61">
        <v>1</v>
      </c>
      <c r="E61" t="s">
        <v>335</v>
      </c>
      <c r="F61" t="s">
        <v>506</v>
      </c>
      <c r="G61" t="s">
        <v>21</v>
      </c>
      <c r="H61" t="s">
        <v>479</v>
      </c>
      <c r="I61" t="s">
        <v>337</v>
      </c>
    </row>
    <row r="62" spans="1:9" x14ac:dyDescent="0.25">
      <c r="A62" t="s">
        <v>476</v>
      </c>
      <c r="B62" t="s">
        <v>510</v>
      </c>
      <c r="C62" t="s">
        <v>12</v>
      </c>
      <c r="D62">
        <v>6</v>
      </c>
      <c r="E62" t="s">
        <v>335</v>
      </c>
      <c r="F62" t="s">
        <v>506</v>
      </c>
      <c r="G62" t="s">
        <v>21</v>
      </c>
      <c r="H62" t="s">
        <v>479</v>
      </c>
      <c r="I62" t="s">
        <v>337</v>
      </c>
    </row>
    <row r="63" spans="1:9" x14ac:dyDescent="0.25">
      <c r="A63" t="s">
        <v>476</v>
      </c>
      <c r="B63" t="s">
        <v>510</v>
      </c>
      <c r="C63" t="s">
        <v>14</v>
      </c>
      <c r="D63" t="s">
        <v>137</v>
      </c>
      <c r="E63" t="s">
        <v>335</v>
      </c>
      <c r="F63" t="s">
        <v>506</v>
      </c>
      <c r="G63" t="s">
        <v>21</v>
      </c>
      <c r="H63" t="s">
        <v>479</v>
      </c>
      <c r="I63" t="s">
        <v>337</v>
      </c>
    </row>
    <row r="64" spans="1:9" x14ac:dyDescent="0.25">
      <c r="A64" t="s">
        <v>476</v>
      </c>
      <c r="B64" t="s">
        <v>510</v>
      </c>
      <c r="C64" t="s">
        <v>17</v>
      </c>
      <c r="D64" t="s">
        <v>339</v>
      </c>
      <c r="E64" t="s">
        <v>335</v>
      </c>
      <c r="F64" t="s">
        <v>506</v>
      </c>
      <c r="G64" t="s">
        <v>21</v>
      </c>
      <c r="H64" t="s">
        <v>479</v>
      </c>
      <c r="I64" t="s">
        <v>337</v>
      </c>
    </row>
    <row r="65" spans="1:9" x14ac:dyDescent="0.25">
      <c r="A65" t="s">
        <v>476</v>
      </c>
      <c r="B65" t="s">
        <v>510</v>
      </c>
      <c r="C65" t="s">
        <v>20</v>
      </c>
      <c r="D65" t="s">
        <v>340</v>
      </c>
      <c r="E65" t="s">
        <v>335</v>
      </c>
      <c r="F65" t="s">
        <v>506</v>
      </c>
      <c r="G65" t="s">
        <v>21</v>
      </c>
      <c r="H65" t="s">
        <v>479</v>
      </c>
      <c r="I65" t="s">
        <v>337</v>
      </c>
    </row>
    <row r="66" spans="1:9" x14ac:dyDescent="0.25">
      <c r="A66" t="s">
        <v>495</v>
      </c>
      <c r="B66" t="s">
        <v>524</v>
      </c>
      <c r="C66" t="s">
        <v>4</v>
      </c>
      <c r="D66" t="s">
        <v>446</v>
      </c>
      <c r="E66" t="s">
        <v>446</v>
      </c>
      <c r="F66" t="s">
        <v>506</v>
      </c>
      <c r="G66" t="s">
        <v>21</v>
      </c>
      <c r="H66" t="s">
        <v>479</v>
      </c>
      <c r="I66" t="s">
        <v>447</v>
      </c>
    </row>
    <row r="67" spans="1:9" x14ac:dyDescent="0.25">
      <c r="A67" t="s">
        <v>495</v>
      </c>
      <c r="B67" t="s">
        <v>524</v>
      </c>
      <c r="C67" t="s">
        <v>6</v>
      </c>
      <c r="D67" t="s">
        <v>447</v>
      </c>
      <c r="E67" t="s">
        <v>446</v>
      </c>
      <c r="F67" t="s">
        <v>506</v>
      </c>
      <c r="G67" t="s">
        <v>21</v>
      </c>
      <c r="H67" t="s">
        <v>479</v>
      </c>
      <c r="I67" t="s">
        <v>447</v>
      </c>
    </row>
    <row r="68" spans="1:9" x14ac:dyDescent="0.25">
      <c r="A68" t="s">
        <v>495</v>
      </c>
      <c r="B68" t="s">
        <v>524</v>
      </c>
      <c r="C68" t="s">
        <v>9</v>
      </c>
      <c r="D68">
        <v>20</v>
      </c>
      <c r="E68" t="s">
        <v>446</v>
      </c>
      <c r="F68" t="s">
        <v>506</v>
      </c>
      <c r="G68" t="s">
        <v>21</v>
      </c>
      <c r="H68" t="s">
        <v>479</v>
      </c>
      <c r="I68" t="s">
        <v>447</v>
      </c>
    </row>
    <row r="69" spans="1:9" x14ac:dyDescent="0.25">
      <c r="A69" t="s">
        <v>495</v>
      </c>
      <c r="B69" t="s">
        <v>524</v>
      </c>
      <c r="C69" t="s">
        <v>10</v>
      </c>
      <c r="D69">
        <v>2</v>
      </c>
      <c r="E69" t="s">
        <v>446</v>
      </c>
      <c r="F69" t="s">
        <v>506</v>
      </c>
      <c r="G69" t="s">
        <v>21</v>
      </c>
      <c r="H69" t="s">
        <v>479</v>
      </c>
      <c r="I69" t="s">
        <v>447</v>
      </c>
    </row>
    <row r="70" spans="1:9" x14ac:dyDescent="0.25">
      <c r="A70" t="s">
        <v>495</v>
      </c>
      <c r="B70" t="s">
        <v>524</v>
      </c>
      <c r="C70" t="s">
        <v>12</v>
      </c>
      <c r="D70">
        <v>4</v>
      </c>
      <c r="E70" t="s">
        <v>446</v>
      </c>
      <c r="F70" t="s">
        <v>506</v>
      </c>
      <c r="G70" t="s">
        <v>21</v>
      </c>
      <c r="H70" t="s">
        <v>479</v>
      </c>
      <c r="I70" t="s">
        <v>447</v>
      </c>
    </row>
    <row r="71" spans="1:9" x14ac:dyDescent="0.25">
      <c r="A71" t="s">
        <v>495</v>
      </c>
      <c r="B71" t="s">
        <v>524</v>
      </c>
      <c r="C71" t="s">
        <v>14</v>
      </c>
      <c r="D71" t="s">
        <v>448</v>
      </c>
      <c r="E71" t="s">
        <v>446</v>
      </c>
      <c r="F71" t="s">
        <v>506</v>
      </c>
      <c r="G71" t="s">
        <v>21</v>
      </c>
      <c r="H71" t="s">
        <v>479</v>
      </c>
      <c r="I71" t="s">
        <v>447</v>
      </c>
    </row>
    <row r="72" spans="1:9" x14ac:dyDescent="0.25">
      <c r="A72" t="s">
        <v>495</v>
      </c>
      <c r="B72" t="s">
        <v>524</v>
      </c>
      <c r="C72" t="s">
        <v>17</v>
      </c>
      <c r="D72" t="s">
        <v>449</v>
      </c>
      <c r="E72" t="s">
        <v>446</v>
      </c>
      <c r="F72" t="s">
        <v>506</v>
      </c>
      <c r="G72" t="s">
        <v>21</v>
      </c>
      <c r="H72" t="s">
        <v>479</v>
      </c>
      <c r="I72" t="s">
        <v>447</v>
      </c>
    </row>
    <row r="73" spans="1:9" x14ac:dyDescent="0.25">
      <c r="A73" t="s">
        <v>495</v>
      </c>
      <c r="B73" t="s">
        <v>524</v>
      </c>
      <c r="C73" t="s">
        <v>20</v>
      </c>
      <c r="D73" t="s">
        <v>517</v>
      </c>
      <c r="E73" t="s">
        <v>446</v>
      </c>
      <c r="F73" t="s">
        <v>506</v>
      </c>
      <c r="G73" t="s">
        <v>21</v>
      </c>
      <c r="H73" t="s">
        <v>479</v>
      </c>
      <c r="I73" t="s">
        <v>447</v>
      </c>
    </row>
    <row r="74" spans="1:9" x14ac:dyDescent="0.25">
      <c r="A74" t="s">
        <v>495</v>
      </c>
      <c r="B74" t="s">
        <v>525</v>
      </c>
      <c r="C74" t="s">
        <v>4</v>
      </c>
      <c r="D74" t="s">
        <v>450</v>
      </c>
      <c r="E74" t="s">
        <v>450</v>
      </c>
      <c r="F74" t="s">
        <v>506</v>
      </c>
      <c r="G74" t="s">
        <v>21</v>
      </c>
      <c r="H74" t="s">
        <v>479</v>
      </c>
      <c r="I74" t="s">
        <v>402</v>
      </c>
    </row>
    <row r="75" spans="1:9" x14ac:dyDescent="0.25">
      <c r="A75" t="s">
        <v>495</v>
      </c>
      <c r="B75" t="s">
        <v>525</v>
      </c>
      <c r="C75" t="s">
        <v>6</v>
      </c>
      <c r="D75" t="s">
        <v>715</v>
      </c>
      <c r="E75" t="s">
        <v>450</v>
      </c>
      <c r="F75" t="s">
        <v>506</v>
      </c>
      <c r="G75" t="s">
        <v>21</v>
      </c>
      <c r="H75" t="s">
        <v>479</v>
      </c>
      <c r="I75" t="s">
        <v>402</v>
      </c>
    </row>
    <row r="76" spans="1:9" x14ac:dyDescent="0.25">
      <c r="A76" t="s">
        <v>495</v>
      </c>
      <c r="B76" t="s">
        <v>525</v>
      </c>
      <c r="C76" t="s">
        <v>9</v>
      </c>
      <c r="D76">
        <v>20</v>
      </c>
      <c r="E76" t="s">
        <v>450</v>
      </c>
      <c r="F76" t="s">
        <v>506</v>
      </c>
      <c r="G76" t="s">
        <v>21</v>
      </c>
      <c r="H76" t="s">
        <v>479</v>
      </c>
      <c r="I76" t="s">
        <v>402</v>
      </c>
    </row>
    <row r="77" spans="1:9" x14ac:dyDescent="0.25">
      <c r="A77" t="s">
        <v>495</v>
      </c>
      <c r="B77" t="s">
        <v>525</v>
      </c>
      <c r="C77" t="s">
        <v>10</v>
      </c>
      <c r="D77">
        <v>1</v>
      </c>
      <c r="E77" t="s">
        <v>450</v>
      </c>
      <c r="F77" t="s">
        <v>506</v>
      </c>
      <c r="G77" t="s">
        <v>21</v>
      </c>
      <c r="H77" t="s">
        <v>479</v>
      </c>
      <c r="I77" t="s">
        <v>402</v>
      </c>
    </row>
    <row r="78" spans="1:9" x14ac:dyDescent="0.25">
      <c r="A78" t="s">
        <v>495</v>
      </c>
      <c r="B78" t="s">
        <v>525</v>
      </c>
      <c r="C78" t="s">
        <v>12</v>
      </c>
      <c r="D78">
        <v>4</v>
      </c>
      <c r="E78" t="s">
        <v>450</v>
      </c>
      <c r="F78" t="s">
        <v>506</v>
      </c>
      <c r="G78" t="s">
        <v>21</v>
      </c>
      <c r="H78" t="s">
        <v>479</v>
      </c>
      <c r="I78" t="s">
        <v>402</v>
      </c>
    </row>
    <row r="79" spans="1:9" x14ac:dyDescent="0.25">
      <c r="A79" t="s">
        <v>495</v>
      </c>
      <c r="B79" t="s">
        <v>525</v>
      </c>
      <c r="C79" t="s">
        <v>14</v>
      </c>
      <c r="D79" t="s">
        <v>716</v>
      </c>
      <c r="E79" t="s">
        <v>450</v>
      </c>
      <c r="F79" t="s">
        <v>506</v>
      </c>
      <c r="G79" t="s">
        <v>21</v>
      </c>
      <c r="H79" t="s">
        <v>479</v>
      </c>
      <c r="I79" t="s">
        <v>402</v>
      </c>
    </row>
    <row r="80" spans="1:9" x14ac:dyDescent="0.25">
      <c r="A80" t="s">
        <v>495</v>
      </c>
      <c r="B80" t="s">
        <v>525</v>
      </c>
      <c r="C80" t="s">
        <v>17</v>
      </c>
      <c r="D80" t="s">
        <v>138</v>
      </c>
      <c r="E80" t="s">
        <v>450</v>
      </c>
      <c r="F80" t="s">
        <v>506</v>
      </c>
      <c r="G80" t="s">
        <v>21</v>
      </c>
      <c r="H80" t="s">
        <v>479</v>
      </c>
      <c r="I80" t="s">
        <v>402</v>
      </c>
    </row>
    <row r="81" spans="1:9" x14ac:dyDescent="0.25">
      <c r="A81" t="s">
        <v>495</v>
      </c>
      <c r="B81" t="s">
        <v>525</v>
      </c>
      <c r="C81" t="s">
        <v>20</v>
      </c>
      <c r="D81" t="s">
        <v>522</v>
      </c>
      <c r="E81" t="s">
        <v>450</v>
      </c>
      <c r="F81" t="s">
        <v>506</v>
      </c>
      <c r="G81" t="s">
        <v>21</v>
      </c>
      <c r="H81" t="s">
        <v>479</v>
      </c>
      <c r="I81" t="s">
        <v>402</v>
      </c>
    </row>
    <row r="82" spans="1:9" x14ac:dyDescent="0.25">
      <c r="A82" t="s">
        <v>495</v>
      </c>
      <c r="B82" t="s">
        <v>526</v>
      </c>
      <c r="C82" t="s">
        <v>4</v>
      </c>
      <c r="D82" t="s">
        <v>451</v>
      </c>
      <c r="E82" t="s">
        <v>451</v>
      </c>
      <c r="F82" t="s">
        <v>506</v>
      </c>
      <c r="G82" t="s">
        <v>21</v>
      </c>
      <c r="H82" t="s">
        <v>479</v>
      </c>
      <c r="I82" t="s">
        <v>407</v>
      </c>
    </row>
    <row r="83" spans="1:9" x14ac:dyDescent="0.25">
      <c r="A83" t="s">
        <v>495</v>
      </c>
      <c r="B83" t="s">
        <v>526</v>
      </c>
      <c r="C83" t="s">
        <v>6</v>
      </c>
      <c r="D83" t="s">
        <v>407</v>
      </c>
      <c r="E83" t="s">
        <v>451</v>
      </c>
      <c r="F83" t="s">
        <v>506</v>
      </c>
      <c r="G83" t="s">
        <v>21</v>
      </c>
      <c r="H83" t="s">
        <v>479</v>
      </c>
      <c r="I83" t="s">
        <v>407</v>
      </c>
    </row>
    <row r="84" spans="1:9" x14ac:dyDescent="0.25">
      <c r="A84" t="s">
        <v>495</v>
      </c>
      <c r="B84" t="s">
        <v>526</v>
      </c>
      <c r="C84" t="s">
        <v>9</v>
      </c>
      <c r="D84">
        <v>20</v>
      </c>
      <c r="E84" t="s">
        <v>451</v>
      </c>
      <c r="F84" t="s">
        <v>506</v>
      </c>
      <c r="G84" t="s">
        <v>21</v>
      </c>
      <c r="H84" t="s">
        <v>479</v>
      </c>
      <c r="I84" t="s">
        <v>407</v>
      </c>
    </row>
    <row r="85" spans="1:9" x14ac:dyDescent="0.25">
      <c r="A85" t="s">
        <v>495</v>
      </c>
      <c r="B85" t="s">
        <v>526</v>
      </c>
      <c r="C85" t="s">
        <v>10</v>
      </c>
      <c r="D85">
        <v>2</v>
      </c>
      <c r="E85" t="s">
        <v>451</v>
      </c>
      <c r="F85" t="s">
        <v>506</v>
      </c>
      <c r="G85" t="s">
        <v>21</v>
      </c>
      <c r="H85" t="s">
        <v>479</v>
      </c>
      <c r="I85" t="s">
        <v>407</v>
      </c>
    </row>
    <row r="86" spans="1:9" x14ac:dyDescent="0.25">
      <c r="A86" t="s">
        <v>495</v>
      </c>
      <c r="B86" t="s">
        <v>526</v>
      </c>
      <c r="C86" t="s">
        <v>12</v>
      </c>
      <c r="D86">
        <v>4</v>
      </c>
      <c r="E86" t="s">
        <v>451</v>
      </c>
      <c r="F86" t="s">
        <v>506</v>
      </c>
      <c r="G86" t="s">
        <v>21</v>
      </c>
      <c r="H86" t="s">
        <v>479</v>
      </c>
      <c r="I86" t="s">
        <v>407</v>
      </c>
    </row>
    <row r="87" spans="1:9" x14ac:dyDescent="0.25">
      <c r="A87" t="s">
        <v>495</v>
      </c>
      <c r="B87" t="s">
        <v>526</v>
      </c>
      <c r="C87" t="s">
        <v>14</v>
      </c>
      <c r="D87" t="s">
        <v>452</v>
      </c>
      <c r="E87" t="s">
        <v>451</v>
      </c>
      <c r="F87" t="s">
        <v>506</v>
      </c>
      <c r="G87" t="s">
        <v>21</v>
      </c>
      <c r="H87" t="s">
        <v>479</v>
      </c>
      <c r="I87" t="s">
        <v>407</v>
      </c>
    </row>
    <row r="88" spans="1:9" x14ac:dyDescent="0.25">
      <c r="A88" t="s">
        <v>495</v>
      </c>
      <c r="B88" t="s">
        <v>526</v>
      </c>
      <c r="C88" t="s">
        <v>17</v>
      </c>
      <c r="D88" t="s">
        <v>138</v>
      </c>
      <c r="E88" t="s">
        <v>451</v>
      </c>
      <c r="F88" t="s">
        <v>506</v>
      </c>
      <c r="G88" t="s">
        <v>21</v>
      </c>
      <c r="H88" t="s">
        <v>479</v>
      </c>
      <c r="I88" t="s">
        <v>407</v>
      </c>
    </row>
    <row r="89" spans="1:9" x14ac:dyDescent="0.25">
      <c r="A89" t="s">
        <v>495</v>
      </c>
      <c r="B89" t="s">
        <v>526</v>
      </c>
      <c r="C89" t="s">
        <v>20</v>
      </c>
      <c r="D89" t="s">
        <v>522</v>
      </c>
      <c r="E89" t="s">
        <v>451</v>
      </c>
      <c r="F89" t="s">
        <v>506</v>
      </c>
      <c r="G89" t="s">
        <v>21</v>
      </c>
      <c r="H89" t="s">
        <v>479</v>
      </c>
      <c r="I89" t="s">
        <v>407</v>
      </c>
    </row>
    <row r="90" spans="1:9" x14ac:dyDescent="0.25">
      <c r="A90" t="s">
        <v>495</v>
      </c>
      <c r="B90" t="s">
        <v>527</v>
      </c>
      <c r="C90" t="s">
        <v>4</v>
      </c>
      <c r="D90" t="s">
        <v>453</v>
      </c>
      <c r="E90" t="s">
        <v>453</v>
      </c>
      <c r="F90" t="s">
        <v>506</v>
      </c>
      <c r="G90" t="s">
        <v>21</v>
      </c>
      <c r="H90" t="s">
        <v>479</v>
      </c>
      <c r="I90" t="s">
        <v>454</v>
      </c>
    </row>
    <row r="91" spans="1:9" x14ac:dyDescent="0.25">
      <c r="A91" t="s">
        <v>495</v>
      </c>
      <c r="B91" t="s">
        <v>527</v>
      </c>
      <c r="C91" t="s">
        <v>6</v>
      </c>
      <c r="D91" t="s">
        <v>454</v>
      </c>
      <c r="E91" t="s">
        <v>453</v>
      </c>
      <c r="F91" t="s">
        <v>506</v>
      </c>
      <c r="G91" t="s">
        <v>21</v>
      </c>
      <c r="H91" t="s">
        <v>479</v>
      </c>
      <c r="I91" t="s">
        <v>454</v>
      </c>
    </row>
    <row r="92" spans="1:9" x14ac:dyDescent="0.25">
      <c r="A92" t="s">
        <v>495</v>
      </c>
      <c r="B92" t="s">
        <v>527</v>
      </c>
      <c r="C92" t="s">
        <v>9</v>
      </c>
      <c r="D92">
        <v>20</v>
      </c>
      <c r="E92" t="s">
        <v>453</v>
      </c>
      <c r="F92" t="s">
        <v>506</v>
      </c>
      <c r="G92" t="s">
        <v>21</v>
      </c>
      <c r="H92" t="s">
        <v>479</v>
      </c>
      <c r="I92" t="s">
        <v>454</v>
      </c>
    </row>
    <row r="93" spans="1:9" x14ac:dyDescent="0.25">
      <c r="A93" t="s">
        <v>495</v>
      </c>
      <c r="B93" t="s">
        <v>527</v>
      </c>
      <c r="C93" t="s">
        <v>10</v>
      </c>
      <c r="D93">
        <v>2</v>
      </c>
      <c r="E93" t="s">
        <v>453</v>
      </c>
      <c r="F93" t="s">
        <v>506</v>
      </c>
      <c r="G93" t="s">
        <v>21</v>
      </c>
      <c r="H93" t="s">
        <v>479</v>
      </c>
      <c r="I93" t="s">
        <v>454</v>
      </c>
    </row>
    <row r="94" spans="1:9" x14ac:dyDescent="0.25">
      <c r="A94" t="s">
        <v>495</v>
      </c>
      <c r="B94" t="s">
        <v>527</v>
      </c>
      <c r="C94" t="s">
        <v>12</v>
      </c>
      <c r="D94">
        <v>5</v>
      </c>
      <c r="E94" t="s">
        <v>453</v>
      </c>
      <c r="F94" t="s">
        <v>506</v>
      </c>
      <c r="G94" t="s">
        <v>21</v>
      </c>
      <c r="H94" t="s">
        <v>479</v>
      </c>
      <c r="I94" t="s">
        <v>454</v>
      </c>
    </row>
    <row r="95" spans="1:9" x14ac:dyDescent="0.25">
      <c r="A95" t="s">
        <v>495</v>
      </c>
      <c r="B95" t="s">
        <v>527</v>
      </c>
      <c r="C95" t="s">
        <v>14</v>
      </c>
      <c r="D95" t="s">
        <v>455</v>
      </c>
      <c r="E95" t="s">
        <v>453</v>
      </c>
      <c r="F95" t="s">
        <v>506</v>
      </c>
      <c r="G95" t="s">
        <v>21</v>
      </c>
      <c r="H95" t="s">
        <v>479</v>
      </c>
      <c r="I95" t="s">
        <v>454</v>
      </c>
    </row>
    <row r="96" spans="1:9" x14ac:dyDescent="0.25">
      <c r="A96" t="s">
        <v>495</v>
      </c>
      <c r="B96" t="s">
        <v>527</v>
      </c>
      <c r="C96" t="s">
        <v>17</v>
      </c>
      <c r="D96" t="s">
        <v>449</v>
      </c>
      <c r="E96" t="s">
        <v>453</v>
      </c>
      <c r="F96" t="s">
        <v>506</v>
      </c>
      <c r="G96" t="s">
        <v>21</v>
      </c>
      <c r="H96" t="s">
        <v>479</v>
      </c>
      <c r="I96" t="s">
        <v>454</v>
      </c>
    </row>
    <row r="97" spans="1:9" x14ac:dyDescent="0.25">
      <c r="A97" t="s">
        <v>495</v>
      </c>
      <c r="B97" t="s">
        <v>527</v>
      </c>
      <c r="C97" t="s">
        <v>20</v>
      </c>
      <c r="D97" t="s">
        <v>517</v>
      </c>
      <c r="E97" t="s">
        <v>453</v>
      </c>
      <c r="F97" t="s">
        <v>506</v>
      </c>
      <c r="G97" t="s">
        <v>21</v>
      </c>
      <c r="H97" t="s">
        <v>479</v>
      </c>
      <c r="I97" t="s">
        <v>454</v>
      </c>
    </row>
    <row r="98" spans="1:9" x14ac:dyDescent="0.25">
      <c r="A98" t="s">
        <v>495</v>
      </c>
      <c r="B98" t="s">
        <v>528</v>
      </c>
      <c r="C98" t="s">
        <v>4</v>
      </c>
      <c r="D98" t="s">
        <v>456</v>
      </c>
      <c r="E98" t="s">
        <v>456</v>
      </c>
      <c r="F98" t="s">
        <v>506</v>
      </c>
      <c r="G98" t="s">
        <v>21</v>
      </c>
      <c r="H98" t="s">
        <v>479</v>
      </c>
      <c r="I98" t="s">
        <v>457</v>
      </c>
    </row>
    <row r="99" spans="1:9" x14ac:dyDescent="0.25">
      <c r="A99" t="s">
        <v>495</v>
      </c>
      <c r="B99" t="s">
        <v>528</v>
      </c>
      <c r="C99" t="s">
        <v>6</v>
      </c>
      <c r="D99" t="s">
        <v>457</v>
      </c>
      <c r="E99" t="s">
        <v>456</v>
      </c>
      <c r="F99" t="s">
        <v>506</v>
      </c>
      <c r="G99" t="s">
        <v>21</v>
      </c>
      <c r="H99" t="s">
        <v>479</v>
      </c>
      <c r="I99" t="s">
        <v>457</v>
      </c>
    </row>
    <row r="100" spans="1:9" x14ac:dyDescent="0.25">
      <c r="A100" t="s">
        <v>495</v>
      </c>
      <c r="B100" t="s">
        <v>528</v>
      </c>
      <c r="C100" t="s">
        <v>9</v>
      </c>
      <c r="D100">
        <v>20</v>
      </c>
      <c r="E100" t="s">
        <v>456</v>
      </c>
      <c r="F100" t="s">
        <v>506</v>
      </c>
      <c r="G100" t="s">
        <v>21</v>
      </c>
      <c r="H100" t="s">
        <v>479</v>
      </c>
      <c r="I100" t="s">
        <v>457</v>
      </c>
    </row>
    <row r="101" spans="1:9" x14ac:dyDescent="0.25">
      <c r="A101" t="s">
        <v>495</v>
      </c>
      <c r="B101" t="s">
        <v>528</v>
      </c>
      <c r="C101" t="s">
        <v>10</v>
      </c>
      <c r="D101">
        <v>2</v>
      </c>
      <c r="E101" t="s">
        <v>456</v>
      </c>
      <c r="F101" t="s">
        <v>506</v>
      </c>
      <c r="G101" t="s">
        <v>21</v>
      </c>
      <c r="H101" t="s">
        <v>479</v>
      </c>
      <c r="I101" t="s">
        <v>457</v>
      </c>
    </row>
    <row r="102" spans="1:9" x14ac:dyDescent="0.25">
      <c r="A102" t="s">
        <v>495</v>
      </c>
      <c r="B102" t="s">
        <v>528</v>
      </c>
      <c r="C102" t="s">
        <v>12</v>
      </c>
      <c r="D102">
        <v>5</v>
      </c>
      <c r="E102" t="s">
        <v>456</v>
      </c>
      <c r="F102" t="s">
        <v>506</v>
      </c>
      <c r="G102" t="s">
        <v>21</v>
      </c>
      <c r="H102" t="s">
        <v>479</v>
      </c>
      <c r="I102" t="s">
        <v>457</v>
      </c>
    </row>
    <row r="103" spans="1:9" x14ac:dyDescent="0.25">
      <c r="A103" t="s">
        <v>495</v>
      </c>
      <c r="B103" t="s">
        <v>528</v>
      </c>
      <c r="C103" t="s">
        <v>14</v>
      </c>
      <c r="D103" t="s">
        <v>458</v>
      </c>
      <c r="E103" t="s">
        <v>456</v>
      </c>
      <c r="F103" t="s">
        <v>506</v>
      </c>
      <c r="G103" t="s">
        <v>21</v>
      </c>
      <c r="H103" t="s">
        <v>479</v>
      </c>
      <c r="I103" t="s">
        <v>457</v>
      </c>
    </row>
    <row r="104" spans="1:9" x14ac:dyDescent="0.25">
      <c r="A104" t="s">
        <v>495</v>
      </c>
      <c r="B104" t="s">
        <v>528</v>
      </c>
      <c r="C104" t="s">
        <v>17</v>
      </c>
      <c r="D104" t="s">
        <v>138</v>
      </c>
      <c r="E104" t="s">
        <v>456</v>
      </c>
      <c r="F104" t="s">
        <v>506</v>
      </c>
      <c r="G104" t="s">
        <v>21</v>
      </c>
      <c r="H104" t="s">
        <v>479</v>
      </c>
      <c r="I104" t="s">
        <v>457</v>
      </c>
    </row>
    <row r="105" spans="1:9" x14ac:dyDescent="0.25">
      <c r="A105" t="s">
        <v>495</v>
      </c>
      <c r="B105" t="s">
        <v>528</v>
      </c>
      <c r="C105" t="s">
        <v>20</v>
      </c>
      <c r="D105" t="s">
        <v>517</v>
      </c>
      <c r="E105" t="s">
        <v>456</v>
      </c>
      <c r="F105" t="s">
        <v>506</v>
      </c>
      <c r="G105" t="s">
        <v>21</v>
      </c>
      <c r="H105" t="s">
        <v>479</v>
      </c>
      <c r="I105" t="s">
        <v>457</v>
      </c>
    </row>
    <row r="106" spans="1:9" x14ac:dyDescent="0.25">
      <c r="A106" t="s">
        <v>495</v>
      </c>
      <c r="B106" t="s">
        <v>529</v>
      </c>
      <c r="C106" t="s">
        <v>4</v>
      </c>
      <c r="D106" t="s">
        <v>459</v>
      </c>
      <c r="E106" t="s">
        <v>459</v>
      </c>
      <c r="F106" t="s">
        <v>506</v>
      </c>
      <c r="G106" t="s">
        <v>21</v>
      </c>
      <c r="H106" t="s">
        <v>479</v>
      </c>
      <c r="I106" t="s">
        <v>460</v>
      </c>
    </row>
    <row r="107" spans="1:9" x14ac:dyDescent="0.25">
      <c r="A107" t="s">
        <v>495</v>
      </c>
      <c r="B107" t="s">
        <v>529</v>
      </c>
      <c r="C107" t="s">
        <v>6</v>
      </c>
      <c r="D107" t="s">
        <v>460</v>
      </c>
      <c r="E107" t="s">
        <v>459</v>
      </c>
      <c r="F107" t="s">
        <v>506</v>
      </c>
      <c r="G107" t="s">
        <v>21</v>
      </c>
      <c r="H107" t="s">
        <v>479</v>
      </c>
      <c r="I107" t="s">
        <v>460</v>
      </c>
    </row>
    <row r="108" spans="1:9" x14ac:dyDescent="0.25">
      <c r="A108" t="s">
        <v>495</v>
      </c>
      <c r="B108" t="s">
        <v>529</v>
      </c>
      <c r="C108" t="s">
        <v>9</v>
      </c>
      <c r="D108">
        <v>40</v>
      </c>
      <c r="E108" t="s">
        <v>459</v>
      </c>
      <c r="F108" t="s">
        <v>506</v>
      </c>
      <c r="G108" t="s">
        <v>21</v>
      </c>
      <c r="H108" t="s">
        <v>479</v>
      </c>
      <c r="I108" t="s">
        <v>460</v>
      </c>
    </row>
    <row r="109" spans="1:9" x14ac:dyDescent="0.25">
      <c r="A109" t="s">
        <v>495</v>
      </c>
      <c r="B109" t="s">
        <v>529</v>
      </c>
      <c r="C109" t="s">
        <v>10</v>
      </c>
      <c r="D109" t="s">
        <v>306</v>
      </c>
      <c r="E109" t="s">
        <v>459</v>
      </c>
      <c r="F109" t="s">
        <v>506</v>
      </c>
      <c r="G109" t="s">
        <v>21</v>
      </c>
      <c r="H109" t="s">
        <v>479</v>
      </c>
      <c r="I109" t="s">
        <v>460</v>
      </c>
    </row>
    <row r="110" spans="1:9" x14ac:dyDescent="0.25">
      <c r="A110" t="s">
        <v>495</v>
      </c>
      <c r="B110" t="s">
        <v>529</v>
      </c>
      <c r="C110" t="s">
        <v>12</v>
      </c>
      <c r="D110">
        <v>6</v>
      </c>
      <c r="E110" t="s">
        <v>459</v>
      </c>
      <c r="F110" t="s">
        <v>506</v>
      </c>
      <c r="G110" t="s">
        <v>21</v>
      </c>
      <c r="H110" t="s">
        <v>479</v>
      </c>
      <c r="I110" t="s">
        <v>460</v>
      </c>
    </row>
    <row r="111" spans="1:9" x14ac:dyDescent="0.25">
      <c r="A111" t="s">
        <v>495</v>
      </c>
      <c r="B111" t="s">
        <v>529</v>
      </c>
      <c r="C111" t="s">
        <v>14</v>
      </c>
      <c r="D111" t="s">
        <v>461</v>
      </c>
      <c r="E111" t="s">
        <v>459</v>
      </c>
      <c r="F111" t="s">
        <v>506</v>
      </c>
      <c r="G111" t="s">
        <v>21</v>
      </c>
      <c r="H111" t="s">
        <v>479</v>
      </c>
      <c r="I111" t="s">
        <v>460</v>
      </c>
    </row>
    <row r="112" spans="1:9" x14ac:dyDescent="0.25">
      <c r="A112" t="s">
        <v>495</v>
      </c>
      <c r="B112" t="s">
        <v>529</v>
      </c>
      <c r="C112" t="s">
        <v>17</v>
      </c>
      <c r="D112" t="s">
        <v>462</v>
      </c>
      <c r="E112" t="s">
        <v>459</v>
      </c>
      <c r="F112" t="s">
        <v>506</v>
      </c>
      <c r="G112" t="s">
        <v>21</v>
      </c>
      <c r="H112" t="s">
        <v>479</v>
      </c>
      <c r="I112" t="s">
        <v>460</v>
      </c>
    </row>
    <row r="113" spans="1:9" x14ac:dyDescent="0.25">
      <c r="A113" t="s">
        <v>495</v>
      </c>
      <c r="B113" t="s">
        <v>529</v>
      </c>
      <c r="C113" t="s">
        <v>20</v>
      </c>
      <c r="D113" t="s">
        <v>517</v>
      </c>
      <c r="E113" t="s">
        <v>459</v>
      </c>
      <c r="F113" t="s">
        <v>506</v>
      </c>
      <c r="G113" t="s">
        <v>21</v>
      </c>
      <c r="H113" t="s">
        <v>479</v>
      </c>
      <c r="I113" t="s">
        <v>460</v>
      </c>
    </row>
    <row r="114" spans="1:9" x14ac:dyDescent="0.25">
      <c r="A114" t="s">
        <v>495</v>
      </c>
      <c r="B114" t="s">
        <v>530</v>
      </c>
      <c r="C114" t="s">
        <v>4</v>
      </c>
      <c r="D114" t="s">
        <v>463</v>
      </c>
      <c r="E114" t="s">
        <v>463</v>
      </c>
      <c r="F114" t="s">
        <v>506</v>
      </c>
      <c r="G114" t="s">
        <v>21</v>
      </c>
      <c r="H114" t="s">
        <v>479</v>
      </c>
      <c r="I114" t="s">
        <v>464</v>
      </c>
    </row>
    <row r="115" spans="1:9" x14ac:dyDescent="0.25">
      <c r="A115" t="s">
        <v>495</v>
      </c>
      <c r="B115" t="s">
        <v>530</v>
      </c>
      <c r="C115" t="s">
        <v>6</v>
      </c>
      <c r="D115" t="s">
        <v>464</v>
      </c>
      <c r="E115" t="s">
        <v>463</v>
      </c>
      <c r="F115" t="s">
        <v>506</v>
      </c>
      <c r="G115" t="s">
        <v>21</v>
      </c>
      <c r="H115" t="s">
        <v>479</v>
      </c>
      <c r="I115" t="s">
        <v>464</v>
      </c>
    </row>
    <row r="116" spans="1:9" x14ac:dyDescent="0.25">
      <c r="A116" t="s">
        <v>495</v>
      </c>
      <c r="B116" t="s">
        <v>530</v>
      </c>
      <c r="C116" t="s">
        <v>9</v>
      </c>
      <c r="D116">
        <v>20</v>
      </c>
      <c r="E116" t="s">
        <v>463</v>
      </c>
      <c r="F116" t="s">
        <v>506</v>
      </c>
      <c r="G116" t="s">
        <v>21</v>
      </c>
      <c r="H116" t="s">
        <v>479</v>
      </c>
      <c r="I116" t="s">
        <v>464</v>
      </c>
    </row>
    <row r="117" spans="1:9" x14ac:dyDescent="0.25">
      <c r="A117" t="s">
        <v>495</v>
      </c>
      <c r="B117" t="s">
        <v>530</v>
      </c>
      <c r="C117" t="s">
        <v>10</v>
      </c>
      <c r="D117">
        <v>1</v>
      </c>
      <c r="E117" t="s">
        <v>463</v>
      </c>
      <c r="F117" t="s">
        <v>506</v>
      </c>
      <c r="G117" t="s">
        <v>21</v>
      </c>
      <c r="H117" t="s">
        <v>479</v>
      </c>
      <c r="I117" t="s">
        <v>464</v>
      </c>
    </row>
    <row r="118" spans="1:9" x14ac:dyDescent="0.25">
      <c r="A118" t="s">
        <v>495</v>
      </c>
      <c r="B118" t="s">
        <v>530</v>
      </c>
      <c r="C118" t="s">
        <v>12</v>
      </c>
      <c r="D118">
        <v>6</v>
      </c>
      <c r="E118" t="s">
        <v>463</v>
      </c>
      <c r="F118" t="s">
        <v>506</v>
      </c>
      <c r="G118" t="s">
        <v>21</v>
      </c>
      <c r="H118" t="s">
        <v>479</v>
      </c>
      <c r="I118" t="s">
        <v>464</v>
      </c>
    </row>
    <row r="119" spans="1:9" x14ac:dyDescent="0.25">
      <c r="A119" t="s">
        <v>495</v>
      </c>
      <c r="B119" t="s">
        <v>530</v>
      </c>
      <c r="C119" t="s">
        <v>14</v>
      </c>
      <c r="D119" t="s">
        <v>465</v>
      </c>
      <c r="E119" t="s">
        <v>463</v>
      </c>
      <c r="F119" t="s">
        <v>506</v>
      </c>
      <c r="G119" t="s">
        <v>21</v>
      </c>
      <c r="H119" t="s">
        <v>479</v>
      </c>
      <c r="I119" t="s">
        <v>464</v>
      </c>
    </row>
    <row r="120" spans="1:9" x14ac:dyDescent="0.25">
      <c r="A120" t="s">
        <v>495</v>
      </c>
      <c r="B120" t="s">
        <v>530</v>
      </c>
      <c r="C120" t="s">
        <v>17</v>
      </c>
      <c r="D120" t="s">
        <v>339</v>
      </c>
      <c r="E120" t="s">
        <v>463</v>
      </c>
      <c r="F120" t="s">
        <v>506</v>
      </c>
      <c r="G120" t="s">
        <v>21</v>
      </c>
      <c r="H120" t="s">
        <v>479</v>
      </c>
      <c r="I120" t="s">
        <v>464</v>
      </c>
    </row>
    <row r="121" spans="1:9" x14ac:dyDescent="0.25">
      <c r="A121" t="s">
        <v>495</v>
      </c>
      <c r="B121" t="s">
        <v>530</v>
      </c>
      <c r="C121" t="s">
        <v>20</v>
      </c>
      <c r="D121" t="s">
        <v>340</v>
      </c>
      <c r="E121" t="s">
        <v>463</v>
      </c>
      <c r="F121" t="s">
        <v>506</v>
      </c>
      <c r="G121" t="s">
        <v>21</v>
      </c>
      <c r="H121" t="s">
        <v>479</v>
      </c>
      <c r="I121" t="s">
        <v>464</v>
      </c>
    </row>
    <row r="122" spans="1:9" x14ac:dyDescent="0.25">
      <c r="A122" t="s">
        <v>495</v>
      </c>
      <c r="B122" t="s">
        <v>531</v>
      </c>
      <c r="C122" t="s">
        <v>4</v>
      </c>
      <c r="D122" t="s">
        <v>466</v>
      </c>
      <c r="E122" t="s">
        <v>466</v>
      </c>
      <c r="F122" t="s">
        <v>506</v>
      </c>
      <c r="G122" t="s">
        <v>21</v>
      </c>
      <c r="H122" t="s">
        <v>479</v>
      </c>
      <c r="I122" t="s">
        <v>412</v>
      </c>
    </row>
    <row r="123" spans="1:9" x14ac:dyDescent="0.25">
      <c r="A123" t="s">
        <v>495</v>
      </c>
      <c r="B123" t="s">
        <v>531</v>
      </c>
      <c r="C123" t="s">
        <v>6</v>
      </c>
      <c r="D123" t="s">
        <v>412</v>
      </c>
      <c r="E123" t="s">
        <v>466</v>
      </c>
      <c r="F123" t="s">
        <v>506</v>
      </c>
      <c r="G123" t="s">
        <v>21</v>
      </c>
      <c r="H123" t="s">
        <v>479</v>
      </c>
      <c r="I123" t="s">
        <v>412</v>
      </c>
    </row>
    <row r="124" spans="1:9" x14ac:dyDescent="0.25">
      <c r="A124" t="s">
        <v>495</v>
      </c>
      <c r="B124" t="s">
        <v>531</v>
      </c>
      <c r="C124" t="s">
        <v>9</v>
      </c>
      <c r="D124">
        <v>20</v>
      </c>
      <c r="E124" t="s">
        <v>466</v>
      </c>
      <c r="F124" t="s">
        <v>506</v>
      </c>
      <c r="G124" t="s">
        <v>21</v>
      </c>
      <c r="H124" t="s">
        <v>479</v>
      </c>
      <c r="I124" t="s">
        <v>412</v>
      </c>
    </row>
    <row r="125" spans="1:9" x14ac:dyDescent="0.25">
      <c r="A125" t="s">
        <v>495</v>
      </c>
      <c r="B125" t="s">
        <v>531</v>
      </c>
      <c r="C125" t="s">
        <v>10</v>
      </c>
      <c r="D125">
        <v>1</v>
      </c>
      <c r="E125" t="s">
        <v>466</v>
      </c>
      <c r="F125" t="s">
        <v>506</v>
      </c>
      <c r="G125" t="s">
        <v>21</v>
      </c>
      <c r="H125" t="s">
        <v>479</v>
      </c>
      <c r="I125" t="s">
        <v>412</v>
      </c>
    </row>
    <row r="126" spans="1:9" x14ac:dyDescent="0.25">
      <c r="A126" t="s">
        <v>495</v>
      </c>
      <c r="B126" t="s">
        <v>531</v>
      </c>
      <c r="C126" t="s">
        <v>12</v>
      </c>
      <c r="D126">
        <v>6</v>
      </c>
      <c r="E126" t="s">
        <v>466</v>
      </c>
      <c r="F126" t="s">
        <v>506</v>
      </c>
      <c r="G126" t="s">
        <v>21</v>
      </c>
      <c r="H126" t="s">
        <v>479</v>
      </c>
      <c r="I126" t="s">
        <v>412</v>
      </c>
    </row>
    <row r="127" spans="1:9" x14ac:dyDescent="0.25">
      <c r="A127" t="s">
        <v>495</v>
      </c>
      <c r="B127" t="s">
        <v>531</v>
      </c>
      <c r="C127" t="s">
        <v>14</v>
      </c>
      <c r="D127" t="s">
        <v>467</v>
      </c>
      <c r="E127" t="s">
        <v>466</v>
      </c>
      <c r="F127" t="s">
        <v>506</v>
      </c>
      <c r="G127" t="s">
        <v>21</v>
      </c>
      <c r="H127" t="s">
        <v>479</v>
      </c>
      <c r="I127" t="s">
        <v>412</v>
      </c>
    </row>
    <row r="128" spans="1:9" x14ac:dyDescent="0.25">
      <c r="A128" t="s">
        <v>495</v>
      </c>
      <c r="B128" t="s">
        <v>531</v>
      </c>
      <c r="C128" t="s">
        <v>17</v>
      </c>
      <c r="D128" t="s">
        <v>339</v>
      </c>
      <c r="E128" t="s">
        <v>466</v>
      </c>
      <c r="F128" t="s">
        <v>506</v>
      </c>
      <c r="G128" t="s">
        <v>21</v>
      </c>
      <c r="H128" t="s">
        <v>479</v>
      </c>
      <c r="I128" t="s">
        <v>412</v>
      </c>
    </row>
    <row r="129" spans="1:9" x14ac:dyDescent="0.25">
      <c r="A129" t="s">
        <v>495</v>
      </c>
      <c r="B129" t="s">
        <v>531</v>
      </c>
      <c r="C129" t="s">
        <v>20</v>
      </c>
      <c r="D129" t="s">
        <v>340</v>
      </c>
      <c r="E129" t="s">
        <v>466</v>
      </c>
      <c r="F129" t="s">
        <v>506</v>
      </c>
      <c r="G129" t="s">
        <v>21</v>
      </c>
      <c r="H129" t="s">
        <v>479</v>
      </c>
      <c r="I129" t="s">
        <v>412</v>
      </c>
    </row>
    <row r="130" spans="1:9" x14ac:dyDescent="0.25">
      <c r="A130" t="s">
        <v>495</v>
      </c>
      <c r="B130" t="s">
        <v>532</v>
      </c>
      <c r="C130" t="s">
        <v>4</v>
      </c>
      <c r="D130" t="s">
        <v>468</v>
      </c>
      <c r="E130" t="s">
        <v>468</v>
      </c>
      <c r="F130" t="s">
        <v>506</v>
      </c>
      <c r="G130" t="s">
        <v>21</v>
      </c>
      <c r="H130" t="s">
        <v>479</v>
      </c>
      <c r="I130" t="s">
        <v>469</v>
      </c>
    </row>
    <row r="131" spans="1:9" x14ac:dyDescent="0.25">
      <c r="A131" t="s">
        <v>495</v>
      </c>
      <c r="B131" t="s">
        <v>532</v>
      </c>
      <c r="C131" t="s">
        <v>6</v>
      </c>
      <c r="D131" t="s">
        <v>469</v>
      </c>
      <c r="E131" t="s">
        <v>468</v>
      </c>
      <c r="F131" t="s">
        <v>506</v>
      </c>
      <c r="G131" t="s">
        <v>21</v>
      </c>
      <c r="H131" t="s">
        <v>479</v>
      </c>
      <c r="I131" t="s">
        <v>469</v>
      </c>
    </row>
    <row r="132" spans="1:9" x14ac:dyDescent="0.25">
      <c r="A132" t="s">
        <v>495</v>
      </c>
      <c r="B132" t="s">
        <v>532</v>
      </c>
      <c r="C132" t="s">
        <v>9</v>
      </c>
      <c r="D132">
        <v>20</v>
      </c>
      <c r="E132" t="s">
        <v>468</v>
      </c>
      <c r="F132" t="s">
        <v>506</v>
      </c>
      <c r="G132" t="s">
        <v>21</v>
      </c>
      <c r="H132" t="s">
        <v>479</v>
      </c>
      <c r="I132" t="s">
        <v>469</v>
      </c>
    </row>
    <row r="133" spans="1:9" x14ac:dyDescent="0.25">
      <c r="A133" t="s">
        <v>495</v>
      </c>
      <c r="B133" t="s">
        <v>532</v>
      </c>
      <c r="C133" t="s">
        <v>10</v>
      </c>
      <c r="D133">
        <v>1</v>
      </c>
      <c r="E133" t="s">
        <v>468</v>
      </c>
      <c r="F133" t="s">
        <v>506</v>
      </c>
      <c r="G133" t="s">
        <v>21</v>
      </c>
      <c r="H133" t="s">
        <v>479</v>
      </c>
      <c r="I133" t="s">
        <v>469</v>
      </c>
    </row>
    <row r="134" spans="1:9" x14ac:dyDescent="0.25">
      <c r="A134" t="s">
        <v>495</v>
      </c>
      <c r="B134" t="s">
        <v>532</v>
      </c>
      <c r="C134" t="s">
        <v>12</v>
      </c>
      <c r="D134">
        <v>6</v>
      </c>
      <c r="E134" t="s">
        <v>468</v>
      </c>
      <c r="F134" t="s">
        <v>506</v>
      </c>
      <c r="G134" t="s">
        <v>21</v>
      </c>
      <c r="H134" t="s">
        <v>479</v>
      </c>
      <c r="I134" t="s">
        <v>469</v>
      </c>
    </row>
    <row r="135" spans="1:9" x14ac:dyDescent="0.25">
      <c r="A135" t="s">
        <v>495</v>
      </c>
      <c r="B135" t="s">
        <v>532</v>
      </c>
      <c r="C135" t="s">
        <v>14</v>
      </c>
      <c r="D135" t="s">
        <v>470</v>
      </c>
      <c r="E135" t="s">
        <v>468</v>
      </c>
      <c r="F135" t="s">
        <v>506</v>
      </c>
      <c r="G135" t="s">
        <v>21</v>
      </c>
      <c r="H135" t="s">
        <v>479</v>
      </c>
      <c r="I135" t="s">
        <v>469</v>
      </c>
    </row>
    <row r="136" spans="1:9" x14ac:dyDescent="0.25">
      <c r="A136" t="s">
        <v>495</v>
      </c>
      <c r="B136" t="s">
        <v>532</v>
      </c>
      <c r="C136" t="s">
        <v>17</v>
      </c>
      <c r="D136" t="s">
        <v>339</v>
      </c>
      <c r="E136" t="s">
        <v>468</v>
      </c>
      <c r="F136" t="s">
        <v>506</v>
      </c>
      <c r="G136" t="s">
        <v>21</v>
      </c>
      <c r="H136" t="s">
        <v>479</v>
      </c>
      <c r="I136" t="s">
        <v>469</v>
      </c>
    </row>
    <row r="137" spans="1:9" x14ac:dyDescent="0.25">
      <c r="A137" t="s">
        <v>495</v>
      </c>
      <c r="B137" t="s">
        <v>532</v>
      </c>
      <c r="C137" t="s">
        <v>20</v>
      </c>
      <c r="D137" t="s">
        <v>340</v>
      </c>
      <c r="E137" t="s">
        <v>468</v>
      </c>
      <c r="F137" t="s">
        <v>506</v>
      </c>
      <c r="G137" t="s">
        <v>21</v>
      </c>
      <c r="H137" t="s">
        <v>479</v>
      </c>
      <c r="I137" t="s">
        <v>469</v>
      </c>
    </row>
    <row r="138" spans="1:9" x14ac:dyDescent="0.25">
      <c r="A138" t="s">
        <v>487</v>
      </c>
      <c r="B138" t="s">
        <v>514</v>
      </c>
      <c r="C138" t="s">
        <v>4</v>
      </c>
      <c r="D138" t="s">
        <v>429</v>
      </c>
      <c r="E138" t="s">
        <v>429</v>
      </c>
      <c r="F138" t="s">
        <v>506</v>
      </c>
      <c r="G138" t="s">
        <v>21</v>
      </c>
      <c r="H138" t="s">
        <v>479</v>
      </c>
      <c r="I138" t="s">
        <v>430</v>
      </c>
    </row>
    <row r="139" spans="1:9" x14ac:dyDescent="0.25">
      <c r="A139" t="s">
        <v>487</v>
      </c>
      <c r="B139" t="s">
        <v>514</v>
      </c>
      <c r="C139" t="s">
        <v>6</v>
      </c>
      <c r="D139" t="s">
        <v>430</v>
      </c>
      <c r="E139" t="s">
        <v>429</v>
      </c>
      <c r="F139" t="s">
        <v>506</v>
      </c>
      <c r="G139" t="s">
        <v>21</v>
      </c>
      <c r="H139" t="s">
        <v>479</v>
      </c>
      <c r="I139" t="s">
        <v>430</v>
      </c>
    </row>
    <row r="140" spans="1:9" x14ac:dyDescent="0.25">
      <c r="A140" t="s">
        <v>487</v>
      </c>
      <c r="B140" t="s">
        <v>514</v>
      </c>
      <c r="C140" t="s">
        <v>9</v>
      </c>
      <c r="D140">
        <v>20</v>
      </c>
      <c r="E140" t="s">
        <v>429</v>
      </c>
      <c r="F140" t="s">
        <v>506</v>
      </c>
      <c r="G140" t="s">
        <v>21</v>
      </c>
      <c r="H140" t="s">
        <v>479</v>
      </c>
      <c r="I140" t="s">
        <v>430</v>
      </c>
    </row>
    <row r="141" spans="1:9" x14ac:dyDescent="0.25">
      <c r="A141" t="s">
        <v>487</v>
      </c>
      <c r="B141" t="s">
        <v>514</v>
      </c>
      <c r="C141" t="s">
        <v>10</v>
      </c>
      <c r="D141">
        <v>2</v>
      </c>
      <c r="E141" t="s">
        <v>429</v>
      </c>
      <c r="F141" t="s">
        <v>506</v>
      </c>
      <c r="G141" t="s">
        <v>21</v>
      </c>
      <c r="H141" t="s">
        <v>479</v>
      </c>
      <c r="I141" t="s">
        <v>430</v>
      </c>
    </row>
    <row r="142" spans="1:9" x14ac:dyDescent="0.25">
      <c r="A142" t="s">
        <v>487</v>
      </c>
      <c r="B142" t="s">
        <v>514</v>
      </c>
      <c r="C142" t="s">
        <v>12</v>
      </c>
      <c r="D142">
        <v>4</v>
      </c>
      <c r="E142" t="s">
        <v>429</v>
      </c>
      <c r="F142" t="s">
        <v>506</v>
      </c>
      <c r="G142" t="s">
        <v>21</v>
      </c>
      <c r="H142" t="s">
        <v>479</v>
      </c>
      <c r="I142" t="s">
        <v>430</v>
      </c>
    </row>
    <row r="143" spans="1:9" x14ac:dyDescent="0.25">
      <c r="A143" t="s">
        <v>487</v>
      </c>
      <c r="B143" t="s">
        <v>514</v>
      </c>
      <c r="C143" t="s">
        <v>14</v>
      </c>
      <c r="D143" t="s">
        <v>431</v>
      </c>
      <c r="E143" t="s">
        <v>429</v>
      </c>
      <c r="F143" t="s">
        <v>506</v>
      </c>
      <c r="G143" t="s">
        <v>21</v>
      </c>
      <c r="H143" t="s">
        <v>479</v>
      </c>
      <c r="I143" t="s">
        <v>430</v>
      </c>
    </row>
    <row r="144" spans="1:9" x14ac:dyDescent="0.25">
      <c r="A144" t="s">
        <v>487</v>
      </c>
      <c r="B144" t="s">
        <v>514</v>
      </c>
      <c r="C144" t="s">
        <v>17</v>
      </c>
      <c r="D144" t="s">
        <v>138</v>
      </c>
      <c r="E144" t="s">
        <v>429</v>
      </c>
      <c r="F144" t="s">
        <v>506</v>
      </c>
      <c r="G144" t="s">
        <v>21</v>
      </c>
      <c r="H144" t="s">
        <v>479</v>
      </c>
      <c r="I144" t="s">
        <v>430</v>
      </c>
    </row>
    <row r="145" spans="1:9" x14ac:dyDescent="0.25">
      <c r="A145" t="s">
        <v>487</v>
      </c>
      <c r="B145" t="s">
        <v>514</v>
      </c>
      <c r="C145" t="s">
        <v>20</v>
      </c>
      <c r="D145" t="s">
        <v>515</v>
      </c>
      <c r="E145" t="s">
        <v>429</v>
      </c>
      <c r="F145" t="s">
        <v>506</v>
      </c>
      <c r="G145" t="s">
        <v>21</v>
      </c>
      <c r="H145" t="s">
        <v>479</v>
      </c>
      <c r="I145" t="s">
        <v>430</v>
      </c>
    </row>
    <row r="146" spans="1:9" x14ac:dyDescent="0.25">
      <c r="A146" t="s">
        <v>487</v>
      </c>
      <c r="B146" t="s">
        <v>520</v>
      </c>
      <c r="C146" t="s">
        <v>4</v>
      </c>
      <c r="D146" t="s">
        <v>437</v>
      </c>
      <c r="E146" t="s">
        <v>437</v>
      </c>
      <c r="F146" t="s">
        <v>506</v>
      </c>
      <c r="G146" t="s">
        <v>21</v>
      </c>
      <c r="H146" t="s">
        <v>479</v>
      </c>
      <c r="I146" t="s">
        <v>438</v>
      </c>
    </row>
    <row r="147" spans="1:9" x14ac:dyDescent="0.25">
      <c r="A147" t="s">
        <v>487</v>
      </c>
      <c r="B147" t="s">
        <v>520</v>
      </c>
      <c r="C147" t="s">
        <v>6</v>
      </c>
      <c r="D147" t="s">
        <v>438</v>
      </c>
      <c r="E147" t="s">
        <v>437</v>
      </c>
      <c r="F147" t="s">
        <v>506</v>
      </c>
      <c r="G147" t="s">
        <v>21</v>
      </c>
      <c r="H147" t="s">
        <v>479</v>
      </c>
      <c r="I147" t="s">
        <v>438</v>
      </c>
    </row>
    <row r="148" spans="1:9" x14ac:dyDescent="0.25">
      <c r="A148" t="s">
        <v>487</v>
      </c>
      <c r="B148" t="s">
        <v>520</v>
      </c>
      <c r="C148" t="s">
        <v>9</v>
      </c>
      <c r="D148">
        <v>20</v>
      </c>
      <c r="E148" t="s">
        <v>437</v>
      </c>
      <c r="F148" t="s">
        <v>506</v>
      </c>
      <c r="G148" t="s">
        <v>21</v>
      </c>
      <c r="H148" t="s">
        <v>479</v>
      </c>
      <c r="I148" t="s">
        <v>438</v>
      </c>
    </row>
    <row r="149" spans="1:9" x14ac:dyDescent="0.25">
      <c r="A149" t="s">
        <v>487</v>
      </c>
      <c r="B149" t="s">
        <v>520</v>
      </c>
      <c r="C149" t="s">
        <v>10</v>
      </c>
      <c r="D149">
        <v>1</v>
      </c>
      <c r="E149" t="s">
        <v>437</v>
      </c>
      <c r="F149" t="s">
        <v>506</v>
      </c>
      <c r="G149" t="s">
        <v>21</v>
      </c>
      <c r="H149" t="s">
        <v>479</v>
      </c>
      <c r="I149" t="s">
        <v>438</v>
      </c>
    </row>
    <row r="150" spans="1:9" x14ac:dyDescent="0.25">
      <c r="A150" t="s">
        <v>487</v>
      </c>
      <c r="B150" t="s">
        <v>520</v>
      </c>
      <c r="C150" t="s">
        <v>12</v>
      </c>
      <c r="D150">
        <v>5</v>
      </c>
      <c r="E150" t="s">
        <v>437</v>
      </c>
      <c r="F150" t="s">
        <v>506</v>
      </c>
      <c r="G150" t="s">
        <v>21</v>
      </c>
      <c r="H150" t="s">
        <v>479</v>
      </c>
      <c r="I150" t="s">
        <v>438</v>
      </c>
    </row>
    <row r="151" spans="1:9" x14ac:dyDescent="0.25">
      <c r="A151" t="s">
        <v>487</v>
      </c>
      <c r="B151" t="s">
        <v>520</v>
      </c>
      <c r="C151" t="s">
        <v>14</v>
      </c>
      <c r="D151" t="s">
        <v>439</v>
      </c>
      <c r="E151" t="s">
        <v>437</v>
      </c>
      <c r="F151" t="s">
        <v>506</v>
      </c>
      <c r="G151" t="s">
        <v>21</v>
      </c>
      <c r="H151" t="s">
        <v>479</v>
      </c>
      <c r="I151" t="s">
        <v>438</v>
      </c>
    </row>
    <row r="152" spans="1:9" x14ac:dyDescent="0.25">
      <c r="A152" t="s">
        <v>487</v>
      </c>
      <c r="B152" t="s">
        <v>520</v>
      </c>
      <c r="C152" t="s">
        <v>17</v>
      </c>
      <c r="D152" t="s">
        <v>138</v>
      </c>
      <c r="E152" t="s">
        <v>437</v>
      </c>
      <c r="F152" t="s">
        <v>506</v>
      </c>
      <c r="G152" t="s">
        <v>21</v>
      </c>
      <c r="H152" t="s">
        <v>479</v>
      </c>
      <c r="I152" t="s">
        <v>438</v>
      </c>
    </row>
    <row r="153" spans="1:9" x14ac:dyDescent="0.25">
      <c r="A153" t="s">
        <v>487</v>
      </c>
      <c r="B153" t="s">
        <v>520</v>
      </c>
      <c r="C153" t="s">
        <v>20</v>
      </c>
      <c r="D153" t="s">
        <v>21</v>
      </c>
      <c r="E153" t="s">
        <v>437</v>
      </c>
      <c r="F153" t="s">
        <v>506</v>
      </c>
      <c r="G153" t="s">
        <v>21</v>
      </c>
      <c r="H153" t="s">
        <v>479</v>
      </c>
      <c r="I153" t="s">
        <v>438</v>
      </c>
    </row>
    <row r="154" spans="1:9" x14ac:dyDescent="0.25">
      <c r="A154" t="s">
        <v>487</v>
      </c>
      <c r="B154" t="s">
        <v>518</v>
      </c>
      <c r="C154" t="s">
        <v>4</v>
      </c>
      <c r="D154" t="s">
        <v>435</v>
      </c>
      <c r="E154" t="s">
        <v>435</v>
      </c>
      <c r="F154" t="s">
        <v>506</v>
      </c>
      <c r="G154" t="s">
        <v>21</v>
      </c>
      <c r="H154" t="s">
        <v>479</v>
      </c>
      <c r="I154" t="s">
        <v>436</v>
      </c>
    </row>
    <row r="155" spans="1:9" x14ac:dyDescent="0.25">
      <c r="A155" t="s">
        <v>487</v>
      </c>
      <c r="B155" t="s">
        <v>518</v>
      </c>
      <c r="C155" t="s">
        <v>6</v>
      </c>
      <c r="D155" t="s">
        <v>519</v>
      </c>
      <c r="E155" t="s">
        <v>435</v>
      </c>
      <c r="F155" t="s">
        <v>506</v>
      </c>
      <c r="G155" t="s">
        <v>21</v>
      </c>
      <c r="H155" t="s">
        <v>479</v>
      </c>
      <c r="I155" t="s">
        <v>436</v>
      </c>
    </row>
    <row r="156" spans="1:9" x14ac:dyDescent="0.25">
      <c r="A156" t="s">
        <v>487</v>
      </c>
      <c r="B156" t="s">
        <v>518</v>
      </c>
      <c r="C156" t="s">
        <v>9</v>
      </c>
      <c r="D156">
        <v>20</v>
      </c>
      <c r="E156" t="s">
        <v>435</v>
      </c>
      <c r="F156" t="s">
        <v>506</v>
      </c>
      <c r="G156" t="s">
        <v>21</v>
      </c>
      <c r="H156" t="s">
        <v>479</v>
      </c>
      <c r="I156" t="s">
        <v>436</v>
      </c>
    </row>
    <row r="157" spans="1:9" x14ac:dyDescent="0.25">
      <c r="A157" t="s">
        <v>487</v>
      </c>
      <c r="B157" t="s">
        <v>518</v>
      </c>
      <c r="C157" t="s">
        <v>10</v>
      </c>
      <c r="E157" t="s">
        <v>435</v>
      </c>
      <c r="F157" t="s">
        <v>506</v>
      </c>
      <c r="G157" t="s">
        <v>21</v>
      </c>
      <c r="H157" t="s">
        <v>479</v>
      </c>
      <c r="I157" t="s">
        <v>436</v>
      </c>
    </row>
    <row r="158" spans="1:9" x14ac:dyDescent="0.25">
      <c r="A158" t="s">
        <v>487</v>
      </c>
      <c r="B158" t="s">
        <v>518</v>
      </c>
      <c r="C158" t="s">
        <v>12</v>
      </c>
      <c r="E158" t="s">
        <v>435</v>
      </c>
      <c r="F158" t="s">
        <v>506</v>
      </c>
      <c r="G158" t="s">
        <v>21</v>
      </c>
      <c r="H158" t="s">
        <v>479</v>
      </c>
      <c r="I158" t="s">
        <v>436</v>
      </c>
    </row>
    <row r="159" spans="1:9" x14ac:dyDescent="0.25">
      <c r="A159" t="s">
        <v>487</v>
      </c>
      <c r="B159" t="s">
        <v>518</v>
      </c>
      <c r="C159" t="s">
        <v>14</v>
      </c>
      <c r="E159" t="s">
        <v>435</v>
      </c>
      <c r="F159" t="s">
        <v>506</v>
      </c>
      <c r="G159" t="s">
        <v>21</v>
      </c>
      <c r="H159" t="s">
        <v>479</v>
      </c>
      <c r="I159" t="s">
        <v>436</v>
      </c>
    </row>
    <row r="160" spans="1:9" x14ac:dyDescent="0.25">
      <c r="A160" t="s">
        <v>487</v>
      </c>
      <c r="B160" t="s">
        <v>518</v>
      </c>
      <c r="C160" t="s">
        <v>17</v>
      </c>
      <c r="E160" t="s">
        <v>435</v>
      </c>
      <c r="F160" t="s">
        <v>506</v>
      </c>
      <c r="G160" t="s">
        <v>21</v>
      </c>
      <c r="H160" t="s">
        <v>479</v>
      </c>
      <c r="I160" t="s">
        <v>436</v>
      </c>
    </row>
    <row r="161" spans="1:9" x14ac:dyDescent="0.25">
      <c r="A161" t="s">
        <v>487</v>
      </c>
      <c r="B161" t="s">
        <v>518</v>
      </c>
      <c r="C161" t="s">
        <v>20</v>
      </c>
      <c r="E161" t="s">
        <v>435</v>
      </c>
      <c r="F161" t="s">
        <v>506</v>
      </c>
      <c r="G161" t="s">
        <v>21</v>
      </c>
      <c r="H161" t="s">
        <v>479</v>
      </c>
      <c r="I161" t="s">
        <v>436</v>
      </c>
    </row>
    <row r="162" spans="1:9" x14ac:dyDescent="0.25">
      <c r="A162" t="s">
        <v>487</v>
      </c>
      <c r="B162" t="s">
        <v>516</v>
      </c>
      <c r="C162" t="s">
        <v>4</v>
      </c>
      <c r="D162" t="s">
        <v>432</v>
      </c>
      <c r="E162" t="s">
        <v>432</v>
      </c>
      <c r="F162" t="s">
        <v>506</v>
      </c>
      <c r="G162" t="s">
        <v>21</v>
      </c>
      <c r="H162" t="s">
        <v>479</v>
      </c>
      <c r="I162" t="s">
        <v>433</v>
      </c>
    </row>
    <row r="163" spans="1:9" x14ac:dyDescent="0.25">
      <c r="A163" t="s">
        <v>487</v>
      </c>
      <c r="B163" t="s">
        <v>516</v>
      </c>
      <c r="C163" t="s">
        <v>6</v>
      </c>
      <c r="D163" t="s">
        <v>433</v>
      </c>
      <c r="E163" t="s">
        <v>432</v>
      </c>
      <c r="F163" t="s">
        <v>506</v>
      </c>
      <c r="G163" t="s">
        <v>21</v>
      </c>
      <c r="H163" t="s">
        <v>479</v>
      </c>
      <c r="I163" t="s">
        <v>433</v>
      </c>
    </row>
    <row r="164" spans="1:9" x14ac:dyDescent="0.25">
      <c r="A164" t="s">
        <v>487</v>
      </c>
      <c r="B164" t="s">
        <v>516</v>
      </c>
      <c r="C164" t="s">
        <v>9</v>
      </c>
      <c r="D164">
        <v>20</v>
      </c>
      <c r="E164" t="s">
        <v>432</v>
      </c>
      <c r="F164" t="s">
        <v>506</v>
      </c>
      <c r="G164" t="s">
        <v>21</v>
      </c>
      <c r="H164" t="s">
        <v>479</v>
      </c>
      <c r="I164" t="s">
        <v>433</v>
      </c>
    </row>
    <row r="165" spans="1:9" x14ac:dyDescent="0.25">
      <c r="A165" t="s">
        <v>487</v>
      </c>
      <c r="B165" t="s">
        <v>516</v>
      </c>
      <c r="C165" t="s">
        <v>10</v>
      </c>
      <c r="D165">
        <v>1</v>
      </c>
      <c r="E165" t="s">
        <v>432</v>
      </c>
      <c r="F165" t="s">
        <v>506</v>
      </c>
      <c r="G165" t="s">
        <v>21</v>
      </c>
      <c r="H165" t="s">
        <v>479</v>
      </c>
      <c r="I165" t="s">
        <v>433</v>
      </c>
    </row>
    <row r="166" spans="1:9" x14ac:dyDescent="0.25">
      <c r="A166" t="s">
        <v>487</v>
      </c>
      <c r="B166" t="s">
        <v>516</v>
      </c>
      <c r="C166" t="s">
        <v>12</v>
      </c>
      <c r="D166">
        <v>6</v>
      </c>
      <c r="E166" t="s">
        <v>432</v>
      </c>
      <c r="F166" t="s">
        <v>506</v>
      </c>
      <c r="G166" t="s">
        <v>21</v>
      </c>
      <c r="H166" t="s">
        <v>479</v>
      </c>
      <c r="I166" t="s">
        <v>433</v>
      </c>
    </row>
    <row r="167" spans="1:9" x14ac:dyDescent="0.25">
      <c r="A167" t="s">
        <v>487</v>
      </c>
      <c r="B167" t="s">
        <v>516</v>
      </c>
      <c r="C167" t="s">
        <v>14</v>
      </c>
      <c r="D167" t="s">
        <v>434</v>
      </c>
      <c r="E167" t="s">
        <v>432</v>
      </c>
      <c r="F167" t="s">
        <v>506</v>
      </c>
      <c r="G167" t="s">
        <v>21</v>
      </c>
      <c r="H167" t="s">
        <v>479</v>
      </c>
      <c r="I167" t="s">
        <v>433</v>
      </c>
    </row>
    <row r="168" spans="1:9" x14ac:dyDescent="0.25">
      <c r="A168" t="s">
        <v>487</v>
      </c>
      <c r="B168" t="s">
        <v>516</v>
      </c>
      <c r="C168" t="s">
        <v>17</v>
      </c>
      <c r="D168" t="s">
        <v>339</v>
      </c>
      <c r="E168" t="s">
        <v>432</v>
      </c>
      <c r="F168" t="s">
        <v>506</v>
      </c>
      <c r="G168" t="s">
        <v>21</v>
      </c>
      <c r="H168" t="s">
        <v>479</v>
      </c>
      <c r="I168" t="s">
        <v>433</v>
      </c>
    </row>
    <row r="169" spans="1:9" x14ac:dyDescent="0.25">
      <c r="A169" t="s">
        <v>487</v>
      </c>
      <c r="B169" t="s">
        <v>516</v>
      </c>
      <c r="C169" t="s">
        <v>20</v>
      </c>
      <c r="D169" t="s">
        <v>517</v>
      </c>
      <c r="E169" t="s">
        <v>432</v>
      </c>
      <c r="F169" t="s">
        <v>506</v>
      </c>
      <c r="G169" t="s">
        <v>21</v>
      </c>
      <c r="H169" t="s">
        <v>479</v>
      </c>
      <c r="I169" t="s">
        <v>433</v>
      </c>
    </row>
    <row r="170" spans="1:9" x14ac:dyDescent="0.25">
      <c r="A170" t="s">
        <v>492</v>
      </c>
      <c r="B170" t="s">
        <v>521</v>
      </c>
      <c r="C170" t="s">
        <v>4</v>
      </c>
      <c r="D170" t="s">
        <v>440</v>
      </c>
      <c r="E170" t="s">
        <v>440</v>
      </c>
      <c r="F170" t="s">
        <v>506</v>
      </c>
      <c r="G170" t="s">
        <v>21</v>
      </c>
      <c r="H170" t="s">
        <v>479</v>
      </c>
      <c r="I170" t="s">
        <v>441</v>
      </c>
    </row>
    <row r="171" spans="1:9" x14ac:dyDescent="0.25">
      <c r="A171" t="s">
        <v>492</v>
      </c>
      <c r="B171" t="s">
        <v>521</v>
      </c>
      <c r="C171" t="s">
        <v>6</v>
      </c>
      <c r="D171" t="s">
        <v>441</v>
      </c>
      <c r="E171" t="s">
        <v>440</v>
      </c>
      <c r="F171" t="s">
        <v>506</v>
      </c>
      <c r="G171" t="s">
        <v>21</v>
      </c>
      <c r="H171" t="s">
        <v>479</v>
      </c>
      <c r="I171" t="s">
        <v>441</v>
      </c>
    </row>
    <row r="172" spans="1:9" x14ac:dyDescent="0.25">
      <c r="A172" t="s">
        <v>492</v>
      </c>
      <c r="B172" t="s">
        <v>521</v>
      </c>
      <c r="C172" t="s">
        <v>9</v>
      </c>
      <c r="D172">
        <v>20</v>
      </c>
      <c r="E172" t="s">
        <v>440</v>
      </c>
      <c r="F172" t="s">
        <v>506</v>
      </c>
      <c r="G172" t="s">
        <v>21</v>
      </c>
      <c r="H172" t="s">
        <v>479</v>
      </c>
      <c r="I172" t="s">
        <v>441</v>
      </c>
    </row>
    <row r="173" spans="1:9" x14ac:dyDescent="0.25">
      <c r="A173" t="s">
        <v>492</v>
      </c>
      <c r="B173" t="s">
        <v>521</v>
      </c>
      <c r="C173" t="s">
        <v>10</v>
      </c>
      <c r="D173">
        <v>1</v>
      </c>
      <c r="E173" t="s">
        <v>440</v>
      </c>
      <c r="F173" t="s">
        <v>506</v>
      </c>
      <c r="G173" t="s">
        <v>21</v>
      </c>
      <c r="H173" t="s">
        <v>479</v>
      </c>
      <c r="I173" t="s">
        <v>441</v>
      </c>
    </row>
    <row r="174" spans="1:9" x14ac:dyDescent="0.25">
      <c r="A174" t="s">
        <v>492</v>
      </c>
      <c r="B174" t="s">
        <v>521</v>
      </c>
      <c r="C174" t="s">
        <v>12</v>
      </c>
      <c r="D174">
        <v>4</v>
      </c>
      <c r="E174" t="s">
        <v>440</v>
      </c>
      <c r="F174" t="s">
        <v>506</v>
      </c>
      <c r="G174" t="s">
        <v>21</v>
      </c>
      <c r="H174" t="s">
        <v>479</v>
      </c>
      <c r="I174" t="s">
        <v>441</v>
      </c>
    </row>
    <row r="175" spans="1:9" x14ac:dyDescent="0.25">
      <c r="A175" t="s">
        <v>492</v>
      </c>
      <c r="B175" t="s">
        <v>521</v>
      </c>
      <c r="C175" t="s">
        <v>14</v>
      </c>
      <c r="D175" t="s">
        <v>442</v>
      </c>
      <c r="E175" t="s">
        <v>440</v>
      </c>
      <c r="F175" t="s">
        <v>506</v>
      </c>
      <c r="G175" t="s">
        <v>21</v>
      </c>
      <c r="H175" t="s">
        <v>479</v>
      </c>
      <c r="I175" t="s">
        <v>441</v>
      </c>
    </row>
    <row r="176" spans="1:9" x14ac:dyDescent="0.25">
      <c r="A176" t="s">
        <v>492</v>
      </c>
      <c r="B176" t="s">
        <v>521</v>
      </c>
      <c r="C176" t="s">
        <v>17</v>
      </c>
      <c r="D176" t="s">
        <v>138</v>
      </c>
      <c r="E176" t="s">
        <v>440</v>
      </c>
      <c r="F176" t="s">
        <v>506</v>
      </c>
      <c r="G176" t="s">
        <v>21</v>
      </c>
      <c r="H176" t="s">
        <v>479</v>
      </c>
      <c r="I176" t="s">
        <v>441</v>
      </c>
    </row>
    <row r="177" spans="1:9" x14ac:dyDescent="0.25">
      <c r="A177" t="s">
        <v>492</v>
      </c>
      <c r="B177" t="s">
        <v>521</v>
      </c>
      <c r="C177" t="s">
        <v>20</v>
      </c>
      <c r="D177" t="s">
        <v>522</v>
      </c>
      <c r="E177" t="s">
        <v>440</v>
      </c>
      <c r="F177" t="s">
        <v>506</v>
      </c>
      <c r="G177" t="s">
        <v>21</v>
      </c>
      <c r="H177" t="s">
        <v>479</v>
      </c>
      <c r="I177" t="s">
        <v>441</v>
      </c>
    </row>
    <row r="178" spans="1:9" x14ac:dyDescent="0.25">
      <c r="A178" t="s">
        <v>492</v>
      </c>
      <c r="B178" t="s">
        <v>523</v>
      </c>
      <c r="C178" t="s">
        <v>4</v>
      </c>
      <c r="D178" t="s">
        <v>443</v>
      </c>
      <c r="E178" t="s">
        <v>443</v>
      </c>
      <c r="F178" t="s">
        <v>506</v>
      </c>
      <c r="G178" t="s">
        <v>21</v>
      </c>
      <c r="H178" t="s">
        <v>479</v>
      </c>
      <c r="I178" t="s">
        <v>444</v>
      </c>
    </row>
    <row r="179" spans="1:9" x14ac:dyDescent="0.25">
      <c r="A179" t="s">
        <v>492</v>
      </c>
      <c r="B179" t="s">
        <v>523</v>
      </c>
      <c r="C179" t="s">
        <v>6</v>
      </c>
      <c r="D179" t="s">
        <v>444</v>
      </c>
      <c r="E179" t="s">
        <v>443</v>
      </c>
      <c r="F179" t="s">
        <v>506</v>
      </c>
      <c r="G179" t="s">
        <v>21</v>
      </c>
      <c r="H179" t="s">
        <v>479</v>
      </c>
      <c r="I179" t="s">
        <v>444</v>
      </c>
    </row>
    <row r="180" spans="1:9" x14ac:dyDescent="0.25">
      <c r="A180" t="s">
        <v>492</v>
      </c>
      <c r="B180" t="s">
        <v>523</v>
      </c>
      <c r="C180" t="s">
        <v>9</v>
      </c>
      <c r="D180">
        <v>20</v>
      </c>
      <c r="E180" t="s">
        <v>443</v>
      </c>
      <c r="F180" t="s">
        <v>506</v>
      </c>
      <c r="G180" t="s">
        <v>21</v>
      </c>
      <c r="H180" t="s">
        <v>479</v>
      </c>
      <c r="I180" t="s">
        <v>444</v>
      </c>
    </row>
    <row r="181" spans="1:9" x14ac:dyDescent="0.25">
      <c r="A181" t="s">
        <v>492</v>
      </c>
      <c r="B181" t="s">
        <v>523</v>
      </c>
      <c r="C181" t="s">
        <v>10</v>
      </c>
      <c r="D181">
        <v>2</v>
      </c>
      <c r="E181" t="s">
        <v>443</v>
      </c>
      <c r="F181" t="s">
        <v>506</v>
      </c>
      <c r="G181" t="s">
        <v>21</v>
      </c>
      <c r="H181" t="s">
        <v>479</v>
      </c>
      <c r="I181" t="s">
        <v>444</v>
      </c>
    </row>
    <row r="182" spans="1:9" x14ac:dyDescent="0.25">
      <c r="A182" t="s">
        <v>492</v>
      </c>
      <c r="B182" t="s">
        <v>523</v>
      </c>
      <c r="C182" t="s">
        <v>12</v>
      </c>
      <c r="D182">
        <v>5</v>
      </c>
      <c r="E182" t="s">
        <v>443</v>
      </c>
      <c r="F182" t="s">
        <v>506</v>
      </c>
      <c r="G182" t="s">
        <v>21</v>
      </c>
      <c r="H182" t="s">
        <v>479</v>
      </c>
      <c r="I182" t="s">
        <v>444</v>
      </c>
    </row>
    <row r="183" spans="1:9" x14ac:dyDescent="0.25">
      <c r="A183" t="s">
        <v>492</v>
      </c>
      <c r="B183" t="s">
        <v>523</v>
      </c>
      <c r="C183" t="s">
        <v>14</v>
      </c>
      <c r="D183" t="s">
        <v>445</v>
      </c>
      <c r="E183" t="s">
        <v>443</v>
      </c>
      <c r="F183" t="s">
        <v>506</v>
      </c>
      <c r="G183" t="s">
        <v>21</v>
      </c>
      <c r="H183" t="s">
        <v>479</v>
      </c>
      <c r="I183" t="s">
        <v>444</v>
      </c>
    </row>
    <row r="184" spans="1:9" x14ac:dyDescent="0.25">
      <c r="A184" t="s">
        <v>492</v>
      </c>
      <c r="B184" t="s">
        <v>523</v>
      </c>
      <c r="C184" t="s">
        <v>17</v>
      </c>
      <c r="D184" t="s">
        <v>138</v>
      </c>
      <c r="E184" t="s">
        <v>443</v>
      </c>
      <c r="F184" t="s">
        <v>506</v>
      </c>
      <c r="G184" t="s">
        <v>21</v>
      </c>
      <c r="H184" t="s">
        <v>479</v>
      </c>
      <c r="I184" t="s">
        <v>444</v>
      </c>
    </row>
    <row r="185" spans="1:9" x14ac:dyDescent="0.25">
      <c r="A185" t="s">
        <v>492</v>
      </c>
      <c r="B185" t="s">
        <v>523</v>
      </c>
      <c r="C185" t="s">
        <v>20</v>
      </c>
      <c r="D185" t="s">
        <v>517</v>
      </c>
      <c r="E185" t="s">
        <v>443</v>
      </c>
      <c r="F185" t="s">
        <v>506</v>
      </c>
      <c r="G185" t="s">
        <v>21</v>
      </c>
      <c r="H185" t="s">
        <v>479</v>
      </c>
      <c r="I185" t="s">
        <v>444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B1DD-F469-4B0C-8EE9-FF16EC784179}">
  <sheetPr codeName="Sheet11"/>
  <dimension ref="C4:T102"/>
  <sheetViews>
    <sheetView workbookViewId="0">
      <selection activeCell="X41" sqref="X41"/>
    </sheetView>
  </sheetViews>
  <sheetFormatPr defaultColWidth="8.85546875" defaultRowHeight="15" x14ac:dyDescent="0.25"/>
  <cols>
    <col min="7" max="7" width="11.28515625" customWidth="1"/>
    <col min="10" max="10" width="19.28515625" bestFit="1" customWidth="1"/>
    <col min="19" max="19" width="28.28515625" customWidth="1"/>
    <col min="20" max="20" width="16.140625" customWidth="1"/>
  </cols>
  <sheetData>
    <row r="4" spans="3:10" x14ac:dyDescent="0.25">
      <c r="C4" t="s">
        <v>667</v>
      </c>
      <c r="E4" t="s">
        <v>668</v>
      </c>
      <c r="G4" t="s">
        <v>668</v>
      </c>
      <c r="J4" t="s">
        <v>669</v>
      </c>
    </row>
    <row r="7" spans="3:10" ht="15.75" customHeight="1" x14ac:dyDescent="0.25">
      <c r="C7" s="27">
        <v>1</v>
      </c>
      <c r="E7" t="s">
        <v>43</v>
      </c>
      <c r="G7" t="s">
        <v>59</v>
      </c>
      <c r="J7" t="s">
        <v>68</v>
      </c>
    </row>
    <row r="8" spans="3:10" x14ac:dyDescent="0.25">
      <c r="C8" s="27">
        <v>2</v>
      </c>
      <c r="E8" t="s">
        <v>45</v>
      </c>
      <c r="G8" t="s">
        <v>567</v>
      </c>
      <c r="J8" t="s">
        <v>121</v>
      </c>
    </row>
    <row r="9" spans="3:10" x14ac:dyDescent="0.25">
      <c r="C9" s="27" t="s">
        <v>306</v>
      </c>
      <c r="E9" t="s">
        <v>47</v>
      </c>
      <c r="G9" t="s">
        <v>116</v>
      </c>
      <c r="J9" t="s">
        <v>74</v>
      </c>
    </row>
    <row r="10" spans="3:10" x14ac:dyDescent="0.25">
      <c r="E10" t="s">
        <v>49</v>
      </c>
      <c r="G10" t="s">
        <v>32</v>
      </c>
      <c r="J10" t="s">
        <v>151</v>
      </c>
    </row>
    <row r="11" spans="3:10" x14ac:dyDescent="0.25">
      <c r="C11" s="27">
        <v>3</v>
      </c>
      <c r="E11" t="s">
        <v>50</v>
      </c>
      <c r="G11" t="s">
        <v>148</v>
      </c>
      <c r="J11" t="s">
        <v>72</v>
      </c>
    </row>
    <row r="12" spans="3:10" x14ac:dyDescent="0.25">
      <c r="C12" s="27">
        <v>4</v>
      </c>
      <c r="G12" t="s">
        <v>350</v>
      </c>
      <c r="J12" t="s">
        <v>154</v>
      </c>
    </row>
    <row r="13" spans="3:10" x14ac:dyDescent="0.25">
      <c r="C13" s="27">
        <v>5</v>
      </c>
      <c r="J13" t="s">
        <v>123</v>
      </c>
    </row>
    <row r="14" spans="3:10" x14ac:dyDescent="0.25">
      <c r="C14" s="27">
        <v>6</v>
      </c>
      <c r="G14" t="s">
        <v>54</v>
      </c>
      <c r="J14" t="s">
        <v>169</v>
      </c>
    </row>
    <row r="15" spans="3:10" x14ac:dyDescent="0.25">
      <c r="C15" s="27">
        <v>7</v>
      </c>
      <c r="G15" t="s">
        <v>570</v>
      </c>
      <c r="J15" t="s">
        <v>157</v>
      </c>
    </row>
    <row r="16" spans="3:10" x14ac:dyDescent="0.25">
      <c r="G16" t="s">
        <v>586</v>
      </c>
      <c r="J16" t="s">
        <v>70</v>
      </c>
    </row>
    <row r="17" spans="3:20" x14ac:dyDescent="0.25">
      <c r="C17" t="s">
        <v>18</v>
      </c>
      <c r="G17" t="s">
        <v>583</v>
      </c>
    </row>
    <row r="18" spans="3:20" x14ac:dyDescent="0.25">
      <c r="C18" t="s">
        <v>449</v>
      </c>
      <c r="G18" t="s">
        <v>350</v>
      </c>
    </row>
    <row r="19" spans="3:20" x14ac:dyDescent="0.25">
      <c r="C19" t="s">
        <v>462</v>
      </c>
      <c r="G19" t="s">
        <v>348</v>
      </c>
      <c r="J19" t="s">
        <v>373</v>
      </c>
      <c r="K19" t="s">
        <v>374</v>
      </c>
    </row>
    <row r="20" spans="3:20" x14ac:dyDescent="0.25">
      <c r="C20" t="s">
        <v>670</v>
      </c>
      <c r="G20" t="s">
        <v>117</v>
      </c>
      <c r="J20" t="s">
        <v>68</v>
      </c>
      <c r="K20" t="s">
        <v>290</v>
      </c>
      <c r="O20" s="57" t="s">
        <v>671</v>
      </c>
      <c r="S20" s="58" t="s">
        <v>672</v>
      </c>
      <c r="T20" s="59" t="s">
        <v>673</v>
      </c>
    </row>
    <row r="21" spans="3:20" x14ac:dyDescent="0.25">
      <c r="C21" t="s">
        <v>339</v>
      </c>
      <c r="G21" t="s">
        <v>674</v>
      </c>
      <c r="J21" t="s">
        <v>68</v>
      </c>
      <c r="K21" t="s">
        <v>69</v>
      </c>
      <c r="O21" t="str" cm="1">
        <f t="array" ref="O21:O26">_xlfn._xlws.FILTER(LISTS_Table[Skill],LISTS_Table[Category]="Scientific Knowledge")</f>
        <v>Critical thinking</v>
      </c>
      <c r="S21" s="60" t="s">
        <v>68</v>
      </c>
      <c r="T21" s="61" t="s">
        <v>675</v>
      </c>
    </row>
    <row r="22" spans="3:20" x14ac:dyDescent="0.25">
      <c r="C22" t="s">
        <v>138</v>
      </c>
      <c r="G22" t="s">
        <v>591</v>
      </c>
      <c r="J22" t="s">
        <v>68</v>
      </c>
      <c r="K22" t="s">
        <v>119</v>
      </c>
      <c r="O22" t="str">
        <v>Scientific literacy</v>
      </c>
      <c r="S22" s="62" t="s">
        <v>121</v>
      </c>
      <c r="T22" s="63" t="s">
        <v>676</v>
      </c>
    </row>
    <row r="23" spans="3:20" x14ac:dyDescent="0.25">
      <c r="G23" t="s">
        <v>576</v>
      </c>
      <c r="J23" t="s">
        <v>68</v>
      </c>
      <c r="K23" t="s">
        <v>289</v>
      </c>
      <c r="O23" t="str">
        <v>Information retrieval</v>
      </c>
      <c r="S23" s="60" t="s">
        <v>74</v>
      </c>
      <c r="T23" s="61" t="s">
        <v>677</v>
      </c>
    </row>
    <row r="24" spans="3:20" x14ac:dyDescent="0.25">
      <c r="G24" t="s">
        <v>678</v>
      </c>
      <c r="J24" t="s">
        <v>68</v>
      </c>
      <c r="K24" t="s">
        <v>417</v>
      </c>
      <c r="O24" t="str">
        <v>Knowledge synthesis</v>
      </c>
      <c r="S24" s="62" t="s">
        <v>151</v>
      </c>
      <c r="T24" s="63" t="s">
        <v>679</v>
      </c>
    </row>
    <row r="25" spans="3:20" x14ac:dyDescent="0.25">
      <c r="G25" t="s">
        <v>60</v>
      </c>
      <c r="J25" t="s">
        <v>68</v>
      </c>
      <c r="K25" t="s">
        <v>378</v>
      </c>
      <c r="O25" t="str">
        <v>Domain-specific analytical skills</v>
      </c>
      <c r="S25" s="60" t="s">
        <v>72</v>
      </c>
      <c r="T25" s="61" t="s">
        <v>680</v>
      </c>
    </row>
    <row r="26" spans="3:20" x14ac:dyDescent="0.25">
      <c r="C26" t="s">
        <v>681</v>
      </c>
      <c r="G26" t="s">
        <v>682</v>
      </c>
      <c r="J26" t="s">
        <v>121</v>
      </c>
      <c r="K26" t="s">
        <v>380</v>
      </c>
      <c r="O26" t="str">
        <v>Evidence evaluation</v>
      </c>
      <c r="S26" s="62" t="s">
        <v>154</v>
      </c>
      <c r="T26" s="63" t="s">
        <v>154</v>
      </c>
    </row>
    <row r="27" spans="3:20" x14ac:dyDescent="0.25">
      <c r="C27" t="s">
        <v>21</v>
      </c>
      <c r="G27" t="s">
        <v>574</v>
      </c>
      <c r="J27" t="s">
        <v>121</v>
      </c>
      <c r="K27" t="s">
        <v>381</v>
      </c>
      <c r="S27" s="60" t="s">
        <v>123</v>
      </c>
      <c r="T27" s="61" t="s">
        <v>683</v>
      </c>
    </row>
    <row r="28" spans="3:20" x14ac:dyDescent="0.25">
      <c r="C28" t="s">
        <v>684</v>
      </c>
      <c r="G28" t="s">
        <v>572</v>
      </c>
      <c r="J28" t="s">
        <v>121</v>
      </c>
      <c r="K28" t="s">
        <v>383</v>
      </c>
      <c r="O28" s="26" t="s">
        <v>685</v>
      </c>
      <c r="S28" s="62" t="s">
        <v>169</v>
      </c>
      <c r="T28" s="63" t="s">
        <v>686</v>
      </c>
    </row>
    <row r="29" spans="3:20" x14ac:dyDescent="0.25">
      <c r="C29" t="s">
        <v>687</v>
      </c>
      <c r="J29" t="s">
        <v>121</v>
      </c>
      <c r="K29" t="s">
        <v>385</v>
      </c>
      <c r="O29" t="str" cm="1">
        <f t="array" ref="O29:O34">_xlfn._xlws.FILTER(LISTS_Table[Skill],LISTS_Table[Category]="Technical Skills")</f>
        <v>Laboratory/clinical techniques</v>
      </c>
      <c r="S29" s="60" t="s">
        <v>157</v>
      </c>
      <c r="T29" s="61" t="s">
        <v>688</v>
      </c>
    </row>
    <row r="30" spans="3:20" x14ac:dyDescent="0.25">
      <c r="C30" t="s">
        <v>689</v>
      </c>
      <c r="J30" t="s">
        <v>121</v>
      </c>
      <c r="K30" t="s">
        <v>122</v>
      </c>
      <c r="O30" t="str">
        <v>Data collection</v>
      </c>
      <c r="S30" s="64" t="s">
        <v>70</v>
      </c>
      <c r="T30" s="65" t="s">
        <v>690</v>
      </c>
    </row>
    <row r="31" spans="3:20" x14ac:dyDescent="0.25">
      <c r="C31" t="s">
        <v>691</v>
      </c>
      <c r="J31" t="s">
        <v>121</v>
      </c>
      <c r="K31" t="s">
        <v>386</v>
      </c>
      <c r="O31" t="str">
        <v>Data analysis</v>
      </c>
    </row>
    <row r="32" spans="3:20" x14ac:dyDescent="0.25">
      <c r="C32" t="s">
        <v>517</v>
      </c>
      <c r="J32" t="s">
        <v>74</v>
      </c>
      <c r="K32" t="s">
        <v>164</v>
      </c>
      <c r="O32" t="str">
        <v>Digital literacy</v>
      </c>
    </row>
    <row r="33" spans="3:15" x14ac:dyDescent="0.25">
      <c r="C33" t="s">
        <v>692</v>
      </c>
      <c r="J33" t="s">
        <v>74</v>
      </c>
      <c r="K33" t="s">
        <v>253</v>
      </c>
      <c r="O33" t="str">
        <v>Equipment and technology utilisation</v>
      </c>
    </row>
    <row r="34" spans="3:15" x14ac:dyDescent="0.25">
      <c r="C34" t="s">
        <v>340</v>
      </c>
      <c r="J34" t="s">
        <v>74</v>
      </c>
      <c r="K34" t="s">
        <v>75</v>
      </c>
      <c r="O34" t="str">
        <v>Technical proficiency</v>
      </c>
    </row>
    <row r="35" spans="3:15" x14ac:dyDescent="0.25">
      <c r="C35" t="s">
        <v>693</v>
      </c>
      <c r="J35" t="s">
        <v>74</v>
      </c>
      <c r="K35" t="s">
        <v>76</v>
      </c>
    </row>
    <row r="36" spans="3:15" x14ac:dyDescent="0.25">
      <c r="C36" t="s">
        <v>515</v>
      </c>
      <c r="J36" t="s">
        <v>74</v>
      </c>
      <c r="K36" t="s">
        <v>165</v>
      </c>
      <c r="O36" s="57" t="s">
        <v>694</v>
      </c>
    </row>
    <row r="37" spans="3:15" x14ac:dyDescent="0.25">
      <c r="C37" t="s">
        <v>522</v>
      </c>
      <c r="J37" t="s">
        <v>74</v>
      </c>
      <c r="K37" t="s">
        <v>166</v>
      </c>
      <c r="O37" t="str" cm="1">
        <f t="array" ref="O37:O42">_xlfn._xlws.FILTER(LISTS_Table[Skill],LISTS_Table[Category]="Application of Knowledge and skills")</f>
        <v>Decision-making</v>
      </c>
    </row>
    <row r="38" spans="3:15" x14ac:dyDescent="0.25">
      <c r="J38" t="s">
        <v>151</v>
      </c>
      <c r="K38" t="s">
        <v>419</v>
      </c>
      <c r="O38" t="str">
        <v>Translational practice</v>
      </c>
    </row>
    <row r="39" spans="3:15" x14ac:dyDescent="0.25">
      <c r="J39" t="s">
        <v>151</v>
      </c>
      <c r="K39" t="s">
        <v>180</v>
      </c>
      <c r="O39" t="str">
        <v>Contextual application</v>
      </c>
    </row>
    <row r="40" spans="3:15" x14ac:dyDescent="0.25">
      <c r="J40" t="s">
        <v>151</v>
      </c>
      <c r="K40" t="s">
        <v>181</v>
      </c>
      <c r="O40" t="str">
        <v>Professional judgement</v>
      </c>
    </row>
    <row r="41" spans="3:15" x14ac:dyDescent="0.25">
      <c r="J41" t="s">
        <v>151</v>
      </c>
      <c r="K41" t="s">
        <v>352</v>
      </c>
      <c r="O41" t="str">
        <v>Adaptability</v>
      </c>
    </row>
    <row r="42" spans="3:15" x14ac:dyDescent="0.25">
      <c r="J42" t="s">
        <v>151</v>
      </c>
      <c r="K42" t="s">
        <v>152</v>
      </c>
      <c r="O42" t="str">
        <v>Risk assessment</v>
      </c>
    </row>
    <row r="43" spans="3:15" x14ac:dyDescent="0.25">
      <c r="J43" t="s">
        <v>151</v>
      </c>
      <c r="K43" t="s">
        <v>395</v>
      </c>
    </row>
    <row r="44" spans="3:15" x14ac:dyDescent="0.25">
      <c r="J44" t="s">
        <v>72</v>
      </c>
      <c r="K44" t="s">
        <v>182</v>
      </c>
      <c r="O44" s="66" t="s">
        <v>151</v>
      </c>
    </row>
    <row r="45" spans="3:15" x14ac:dyDescent="0.25">
      <c r="J45" t="s">
        <v>72</v>
      </c>
      <c r="K45" t="s">
        <v>120</v>
      </c>
      <c r="O45" t="str" cm="1">
        <f t="array" ref="O45:O50">_xlfn._xlws.FILTER(LISTS_Table[Skill],LISTS_Table[Category]="Understanding and use of research")</f>
        <v>Research literacy</v>
      </c>
    </row>
    <row r="46" spans="3:15" x14ac:dyDescent="0.25">
      <c r="J46" t="s">
        <v>72</v>
      </c>
      <c r="K46" t="s">
        <v>153</v>
      </c>
      <c r="O46" t="str">
        <v>Literature searching</v>
      </c>
    </row>
    <row r="47" spans="3:15" x14ac:dyDescent="0.25">
      <c r="J47" t="s">
        <v>72</v>
      </c>
      <c r="K47" t="s">
        <v>73</v>
      </c>
      <c r="O47" t="str">
        <v>Critical appraisal</v>
      </c>
    </row>
    <row r="48" spans="3:15" x14ac:dyDescent="0.25">
      <c r="J48" t="s">
        <v>72</v>
      </c>
      <c r="K48" t="s">
        <v>398</v>
      </c>
      <c r="O48" t="str">
        <v>Data interpretation</v>
      </c>
    </row>
    <row r="49" spans="10:15" x14ac:dyDescent="0.25">
      <c r="J49" t="s">
        <v>72</v>
      </c>
      <c r="K49" t="s">
        <v>399</v>
      </c>
      <c r="O49" t="str">
        <v>Evidence-based practice</v>
      </c>
    </row>
    <row r="50" spans="10:15" x14ac:dyDescent="0.25">
      <c r="J50" t="s">
        <v>72</v>
      </c>
      <c r="K50" t="s">
        <v>400</v>
      </c>
      <c r="O50" t="str">
        <v>Research communication</v>
      </c>
    </row>
    <row r="51" spans="10:15" x14ac:dyDescent="0.25">
      <c r="J51" t="s">
        <v>154</v>
      </c>
      <c r="K51" t="s">
        <v>401</v>
      </c>
    </row>
    <row r="52" spans="10:15" x14ac:dyDescent="0.25">
      <c r="J52" t="s">
        <v>154</v>
      </c>
      <c r="K52" t="s">
        <v>167</v>
      </c>
      <c r="O52" s="66" t="s">
        <v>72</v>
      </c>
    </row>
    <row r="53" spans="10:15" x14ac:dyDescent="0.25">
      <c r="J53" t="s">
        <v>154</v>
      </c>
      <c r="K53" t="s">
        <v>168</v>
      </c>
      <c r="O53" t="str" cm="1">
        <f t="array" ref="O53:O59">_xlfn._xlws.FILTER(LISTS_Table[Skill],LISTS_Table[Category]="Self-evaluation and professional development")</f>
        <v>Reflective practice</v>
      </c>
    </row>
    <row r="54" spans="10:15" x14ac:dyDescent="0.25">
      <c r="J54" t="s">
        <v>154</v>
      </c>
      <c r="K54" t="s">
        <v>404</v>
      </c>
      <c r="O54" t="str">
        <v>Self-awareness</v>
      </c>
    </row>
    <row r="55" spans="10:15" x14ac:dyDescent="0.25">
      <c r="J55" t="s">
        <v>154</v>
      </c>
      <c r="K55" t="s">
        <v>155</v>
      </c>
      <c r="O55" t="str">
        <v>Lifelong learning</v>
      </c>
    </row>
    <row r="56" spans="10:15" x14ac:dyDescent="0.25">
      <c r="J56" t="s">
        <v>154</v>
      </c>
      <c r="K56" t="s">
        <v>406</v>
      </c>
      <c r="O56" t="str">
        <v>Personal development planning</v>
      </c>
    </row>
    <row r="57" spans="10:15" x14ac:dyDescent="0.25">
      <c r="J57" t="s">
        <v>123</v>
      </c>
      <c r="K57" t="s">
        <v>408</v>
      </c>
      <c r="O57" t="str">
        <v>Resilience</v>
      </c>
    </row>
    <row r="58" spans="10:15" x14ac:dyDescent="0.25">
      <c r="J58" t="s">
        <v>123</v>
      </c>
      <c r="K58" t="s">
        <v>178</v>
      </c>
      <c r="O58" t="str">
        <v>Initiative</v>
      </c>
    </row>
    <row r="59" spans="10:15" x14ac:dyDescent="0.25">
      <c r="J59" t="s">
        <v>123</v>
      </c>
      <c r="K59" t="s">
        <v>179</v>
      </c>
      <c r="O59" t="str">
        <v>Accountability</v>
      </c>
    </row>
    <row r="60" spans="10:15" x14ac:dyDescent="0.25">
      <c r="J60" t="s">
        <v>123</v>
      </c>
      <c r="K60" t="s">
        <v>156</v>
      </c>
    </row>
    <row r="61" spans="10:15" x14ac:dyDescent="0.25">
      <c r="J61" t="s">
        <v>123</v>
      </c>
      <c r="K61" t="s">
        <v>124</v>
      </c>
      <c r="O61" s="67" t="s">
        <v>154</v>
      </c>
    </row>
    <row r="62" spans="10:15" x14ac:dyDescent="0.25">
      <c r="J62" t="s">
        <v>123</v>
      </c>
      <c r="K62" t="s">
        <v>409</v>
      </c>
      <c r="O62" t="str" cm="1">
        <f t="array" ref="O62:O67">_xlfn._xlws.FILTER(LISTS_Table[Skill],LISTS_Table[Category]="Communication")</f>
        <v>Written communication</v>
      </c>
    </row>
    <row r="63" spans="10:15" x14ac:dyDescent="0.25">
      <c r="J63" t="s">
        <v>169</v>
      </c>
      <c r="K63" t="s">
        <v>170</v>
      </c>
      <c r="O63" t="str">
        <v>Oral presentation</v>
      </c>
    </row>
    <row r="64" spans="10:15" x14ac:dyDescent="0.25">
      <c r="J64" t="s">
        <v>169</v>
      </c>
      <c r="K64" t="s">
        <v>411</v>
      </c>
      <c r="O64" t="str">
        <v>Active listening</v>
      </c>
    </row>
    <row r="65" spans="10:15" x14ac:dyDescent="0.25">
      <c r="J65" t="s">
        <v>169</v>
      </c>
      <c r="K65" t="s">
        <v>171</v>
      </c>
      <c r="O65" t="str">
        <v>Scientific writing</v>
      </c>
    </row>
    <row r="66" spans="10:15" x14ac:dyDescent="0.25">
      <c r="J66" t="s">
        <v>169</v>
      </c>
      <c r="K66" t="s">
        <v>172</v>
      </c>
      <c r="O66" t="str">
        <v>Interpersonal communication</v>
      </c>
    </row>
    <row r="67" spans="10:15" x14ac:dyDescent="0.25">
      <c r="J67" t="s">
        <v>169</v>
      </c>
      <c r="K67" t="s">
        <v>413</v>
      </c>
      <c r="O67" t="str">
        <v>Digital communication</v>
      </c>
    </row>
    <row r="68" spans="10:15" x14ac:dyDescent="0.25">
      <c r="J68" t="s">
        <v>169</v>
      </c>
      <c r="K68" t="s">
        <v>173</v>
      </c>
    </row>
    <row r="69" spans="10:15" x14ac:dyDescent="0.25">
      <c r="J69" t="s">
        <v>169</v>
      </c>
      <c r="K69" t="s">
        <v>174</v>
      </c>
      <c r="O69" s="67" t="s">
        <v>123</v>
      </c>
    </row>
    <row r="70" spans="10:15" x14ac:dyDescent="0.25">
      <c r="J70" t="s">
        <v>169</v>
      </c>
      <c r="K70" t="s">
        <v>175</v>
      </c>
      <c r="O70" t="str" cm="1">
        <f t="array" ref="O70:O75">_xlfn._xlws.FILTER(LISTS_Table[Skill],LISTS_Table[Category]="Problem solving and impact")</f>
        <v>Analytical thinking</v>
      </c>
    </row>
    <row r="71" spans="10:15" x14ac:dyDescent="0.25">
      <c r="J71" t="s">
        <v>169</v>
      </c>
      <c r="K71" t="s">
        <v>176</v>
      </c>
      <c r="O71" t="str">
        <v>problem identification</v>
      </c>
    </row>
    <row r="72" spans="10:15" x14ac:dyDescent="0.25">
      <c r="J72" t="s">
        <v>157</v>
      </c>
      <c r="K72" t="s">
        <v>353</v>
      </c>
      <c r="O72" t="str">
        <v>Creative thinking</v>
      </c>
    </row>
    <row r="73" spans="10:15" x14ac:dyDescent="0.25">
      <c r="J73" t="s">
        <v>157</v>
      </c>
      <c r="K73" t="s">
        <v>158</v>
      </c>
      <c r="O73" t="str">
        <v>Evidence-based decision making</v>
      </c>
    </row>
    <row r="74" spans="10:15" x14ac:dyDescent="0.25">
      <c r="J74" t="s">
        <v>157</v>
      </c>
      <c r="K74" t="s">
        <v>354</v>
      </c>
      <c r="O74" t="str">
        <v>Innovation</v>
      </c>
    </row>
    <row r="75" spans="10:15" x14ac:dyDescent="0.25">
      <c r="J75" t="s">
        <v>157</v>
      </c>
      <c r="K75" t="s">
        <v>177</v>
      </c>
      <c r="O75" t="str">
        <v>Evaluation of outcomes</v>
      </c>
    </row>
    <row r="76" spans="10:15" x14ac:dyDescent="0.25">
      <c r="J76" t="s">
        <v>157</v>
      </c>
      <c r="K76" t="s">
        <v>159</v>
      </c>
    </row>
    <row r="77" spans="10:15" x14ac:dyDescent="0.25">
      <c r="J77" t="s">
        <v>70</v>
      </c>
      <c r="K77" t="s">
        <v>160</v>
      </c>
      <c r="O77" s="67" t="s">
        <v>169</v>
      </c>
    </row>
    <row r="78" spans="10:15" x14ac:dyDescent="0.25">
      <c r="J78" t="s">
        <v>70</v>
      </c>
      <c r="K78" t="s">
        <v>414</v>
      </c>
      <c r="O78" t="str" cm="1">
        <f t="array" ref="O78:O86">_xlfn._xlws.FILTER(LISTS_Table[Skill],LISTS_Table[Category]="Management of self and others")</f>
        <v>Leadership</v>
      </c>
    </row>
    <row r="79" spans="10:15" x14ac:dyDescent="0.25">
      <c r="J79" t="s">
        <v>70</v>
      </c>
      <c r="K79" t="s">
        <v>161</v>
      </c>
      <c r="O79" t="str">
        <v>Coaching and mentoring</v>
      </c>
    </row>
    <row r="80" spans="10:15" x14ac:dyDescent="0.25">
      <c r="J80" t="s">
        <v>70</v>
      </c>
      <c r="K80" t="s">
        <v>162</v>
      </c>
      <c r="O80" t="str">
        <v>Time management</v>
      </c>
    </row>
    <row r="81" spans="10:15" x14ac:dyDescent="0.25">
      <c r="J81" t="s">
        <v>70</v>
      </c>
      <c r="K81" t="s">
        <v>71</v>
      </c>
      <c r="O81" t="str">
        <v>Organisation</v>
      </c>
    </row>
    <row r="82" spans="10:15" x14ac:dyDescent="0.25">
      <c r="J82" t="s">
        <v>70</v>
      </c>
      <c r="K82" t="s">
        <v>416</v>
      </c>
      <c r="O82" t="str">
        <v>Delegation</v>
      </c>
    </row>
    <row r="83" spans="10:15" x14ac:dyDescent="0.25">
      <c r="J83" t="s">
        <v>70</v>
      </c>
      <c r="K83" t="s">
        <v>163</v>
      </c>
      <c r="O83" t="str">
        <v>Conflict resolution</v>
      </c>
    </row>
    <row r="84" spans="10:15" x14ac:dyDescent="0.25">
      <c r="O84" t="str">
        <v>Empathy</v>
      </c>
    </row>
    <row r="85" spans="10:15" x14ac:dyDescent="0.25">
      <c r="O85" t="str">
        <v>Multi-tasking</v>
      </c>
    </row>
    <row r="86" spans="10:15" x14ac:dyDescent="0.25">
      <c r="O86" t="str">
        <v>Resource management</v>
      </c>
    </row>
    <row r="88" spans="10:15" x14ac:dyDescent="0.25">
      <c r="O88" s="66" t="s">
        <v>157</v>
      </c>
    </row>
    <row r="89" spans="10:15" x14ac:dyDescent="0.25">
      <c r="O89" t="str" cm="1">
        <f t="array" ref="O89:O93">_xlfn._xlws.FILTER(LISTS_Table[Skill],LISTS_Table[Category]="Understanding the delivery environment")</f>
        <v>Organisational awareness</v>
      </c>
    </row>
    <row r="90" spans="10:15" x14ac:dyDescent="0.25">
      <c r="O90" t="str">
        <v>Policy interpretation</v>
      </c>
    </row>
    <row r="91" spans="10:15" x14ac:dyDescent="0.25">
      <c r="O91" t="str">
        <v>Stakeholder awareness</v>
      </c>
    </row>
    <row r="92" spans="10:15" x14ac:dyDescent="0.25">
      <c r="O92" t="str">
        <v>Service delivery</v>
      </c>
    </row>
    <row r="93" spans="10:15" x14ac:dyDescent="0.25">
      <c r="O93" t="str">
        <v>Professional awareness</v>
      </c>
    </row>
    <row r="95" spans="10:15" x14ac:dyDescent="0.25">
      <c r="O95" s="67" t="s">
        <v>695</v>
      </c>
    </row>
    <row r="96" spans="10:15" x14ac:dyDescent="0.25">
      <c r="O96" t="str" cm="1">
        <f t="array" ref="O96:O102">_xlfn._xlws.FILTER(LISTS_Table[Skill],LISTS_Table[Category]="Professional relationships and behaviours")</f>
        <v>Teamwork</v>
      </c>
    </row>
    <row r="97" spans="15:15" x14ac:dyDescent="0.25">
      <c r="O97" t="str">
        <v>Collaboration/multi-disciplinary working</v>
      </c>
    </row>
    <row r="98" spans="15:15" x14ac:dyDescent="0.25">
      <c r="O98" t="str">
        <v>Ethical practice</v>
      </c>
    </row>
    <row r="99" spans="15:15" x14ac:dyDescent="0.25">
      <c r="O99" t="str">
        <v>Professionalism</v>
      </c>
    </row>
    <row r="100" spans="15:15" x14ac:dyDescent="0.25">
      <c r="O100" t="str">
        <v>Cultural awareness and competence</v>
      </c>
    </row>
    <row r="101" spans="15:15" x14ac:dyDescent="0.25">
      <c r="O101" t="str">
        <v>Integrity</v>
      </c>
    </row>
    <row r="102" spans="15:15" x14ac:dyDescent="0.25">
      <c r="O102" t="str">
        <v>Respect</v>
      </c>
    </row>
  </sheetData>
  <sheetProtection sheet="1" objects="1" scenarios="1" formatCells="0" formatColumns="0" formatRows="0" insertHyperlinks="0"/>
  <sortState xmlns:xlrd2="http://schemas.microsoft.com/office/spreadsheetml/2017/richdata2" ref="C26:C31">
    <sortCondition ref="C31"/>
  </sortState>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1436123-e04c-43f8-b7d8-6e3401685a6a">
      <Terms xmlns="http://schemas.microsoft.com/office/infopath/2007/PartnerControls"/>
    </lcf76f155ced4ddcb4097134ff3c332f>
    <TaxCatchAll xmlns="e2acc87f-978a-4c56-9887-574fe2c7e5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5424D8F461E94980DF8EC8486B8636" ma:contentTypeVersion="10" ma:contentTypeDescription="Create a new document." ma:contentTypeScope="" ma:versionID="bcfcf74337161f6441250f8f4cf7d932">
  <xsd:schema xmlns:xsd="http://www.w3.org/2001/XMLSchema" xmlns:xs="http://www.w3.org/2001/XMLSchema" xmlns:p="http://schemas.microsoft.com/office/2006/metadata/properties" xmlns:ns2="f1436123-e04c-43f8-b7d8-6e3401685a6a" xmlns:ns3="e2acc87f-978a-4c56-9887-574fe2c7e53e" targetNamespace="http://schemas.microsoft.com/office/2006/metadata/properties" ma:root="true" ma:fieldsID="c081e04d381fea11733dd13b3c4e862f" ns2:_="" ns3:_="">
    <xsd:import namespace="f1436123-e04c-43f8-b7d8-6e3401685a6a"/>
    <xsd:import namespace="e2acc87f-978a-4c56-9887-574fe2c7e5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36123-e04c-43f8-b7d8-6e3401685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fea976-0fb7-4036-bc8a-08177e9f5879"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acc87f-978a-4c56-9887-574fe2c7e53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c9bdcf-c2d0-47d2-a991-206be5278a68}" ma:internalName="TaxCatchAll" ma:showField="CatchAllData" ma:web="e2acc87f-978a-4c56-9887-574fe2c7e5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1031572F-D994-4D1C-BA99-CBE0E51EA663}">
  <ds:schemaRefs>
    <ds:schemaRef ds:uri="http://purl.org/dc/terms/"/>
    <ds:schemaRef ds:uri="f1436123-e04c-43f8-b7d8-6e3401685a6a"/>
    <ds:schemaRef ds:uri="http://schemas.microsoft.com/office/infopath/2007/PartnerControls"/>
    <ds:schemaRef ds:uri="http://purl.org/dc/dcmitype/"/>
    <ds:schemaRef ds:uri="http://www.w3.org/XML/1998/namespace"/>
    <ds:schemaRef ds:uri="http://schemas.microsoft.com/office/2006/documentManagement/types"/>
    <ds:schemaRef ds:uri="http://purl.org/dc/elements/1.1/"/>
    <ds:schemaRef ds:uri="http://schemas.openxmlformats.org/package/2006/metadata/core-properties"/>
    <ds:schemaRef ds:uri="e2acc87f-978a-4c56-9887-574fe2c7e53e"/>
    <ds:schemaRef ds:uri="http://schemas.microsoft.com/office/2006/metadata/properties"/>
  </ds:schemaRefs>
</ds:datastoreItem>
</file>

<file path=customXml/itemProps2.xml><?xml version="1.0" encoding="utf-8"?>
<ds:datastoreItem xmlns:ds="http://schemas.openxmlformats.org/officeDocument/2006/customXml" ds:itemID="{30CD9834-CD7B-470E-AB49-7E3A258B0400}">
  <ds:schemaRefs>
    <ds:schemaRef ds:uri="http://schemas.microsoft.com/sharepoint/v3/contenttype/forms"/>
  </ds:schemaRefs>
</ds:datastoreItem>
</file>

<file path=customXml/itemProps3.xml><?xml version="1.0" encoding="utf-8"?>
<ds:datastoreItem xmlns:ds="http://schemas.openxmlformats.org/officeDocument/2006/customXml" ds:itemID="{2C69AF36-9A71-44A9-91D8-06EACC9A43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36123-e04c-43f8-b7d8-6e3401685a6a"/>
    <ds:schemaRef ds:uri="e2acc87f-978a-4c56-9887-574fe2c7e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C7876BE-FE17-4DF8-ABB3-DD1B1DB3E3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4201SPS</vt:lpstr>
      <vt:lpstr>5201SPS</vt:lpstr>
      <vt:lpstr>5203SPS</vt:lpstr>
      <vt:lpstr>5204SPS</vt:lpstr>
      <vt:lpstr>6201SPS</vt:lpstr>
      <vt:lpstr>6202SPS</vt:lpstr>
      <vt:lpstr>6203SPS</vt:lpstr>
      <vt:lpstr>6096SPS</vt:lpstr>
      <vt:lpstr>PE_SkillsCoverage</vt:lpstr>
      <vt:lpstr>PE_Module_Overview</vt:lpstr>
      <vt:lpstr>PE_Hours_Wide</vt:lpstr>
      <vt:lpstr>PE_Meta_Wide</vt:lpstr>
      <vt:lpstr>PE_Mapping</vt:lpstr>
      <vt:lpstr>PE_Hours</vt:lpstr>
      <vt:lpstr>PE_Assess</vt:lpstr>
      <vt:lpstr>PE_LO</vt:lpstr>
      <vt:lpstr>PE_Meta</vt:lpstr>
      <vt:lpstr>LISTS</vt:lpstr>
      <vt:lpstr>SkillNameMap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 Mark</dc:creator>
  <cp:keywords/>
  <dc:description/>
  <cp:lastModifiedBy>Robinson, Mark</cp:lastModifiedBy>
  <cp:revision/>
  <dcterms:created xsi:type="dcterms:W3CDTF">2026-07-01T09:36:48Z</dcterms:created>
  <dcterms:modified xsi:type="dcterms:W3CDTF">2026-10-22T06:34:33Z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0x010100AF5424D8F461E94980DF8EC8486B8636</vt:lpwstr>
  </property>
  <property fmtid="{D5CDD505-2E9C-101B-9397-08002B2CF9AE}" pid="3" name="MediaServiceImageTags">
    <vt:lpwstr/>
  </property>
</Properties>
</file>