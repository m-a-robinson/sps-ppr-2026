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queryTables/queryTable1.xml" ContentType="application/vnd.openxmlformats-officedocument.spreadsheetml.queryTable+xml"/>
  <Override PartName="/xl/queryTables/queryTable2.xml" ContentType="application/vnd.openxmlformats-officedocument.spreadsheetml.queryTable+xml"/>
  <Override PartName="/xl/tables/table131.xml" ContentType="application/vnd.openxmlformats-officedocument.spreadsheetml.table+xml"/>
  <Override PartName="/xl/queryTables/queryTable3.xml" ContentType="application/vnd.openxmlformats-officedocument.spreadsheetml.queryTable+xml"/>
  <Override PartName="/xl/tables/table132.xml" ContentType="application/vnd.openxmlformats-officedocument.spreadsheetml.table+xml"/>
  <Override PartName="/xl/queryTables/queryTable4.xml" ContentType="application/vnd.openxmlformats-officedocument.spreadsheetml.queryTable+xml"/>
  <Override PartName="/xl/tables/table133.xml" ContentType="application/vnd.openxmlformats-officedocument.spreadsheetml.table+xml"/>
  <Override PartName="/xl/queryTables/queryTable5.xml" ContentType="application/vnd.openxmlformats-officedocument.spreadsheetml.queryTable+xml"/>
  <Override PartName="/xl/tables/table134.xml" ContentType="application/vnd.openxmlformats-officedocument.spreadsheetml.table+xml"/>
  <Override PartName="/xl/queryTables/queryTable6.xml" ContentType="application/vnd.openxmlformats-officedocument.spreadsheetml.queryTable+xml"/>
  <Override PartName="/xl/tables/table135.xml" ContentType="application/vnd.openxmlformats-officedocument.spreadsheetml.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tables/table136.xml" ContentType="application/vnd.openxmlformats-officedocument.spreadsheetml.table+xml"/>
  <Override PartName="/xl/queryTables/queryTable10.xml" ContentType="application/vnd.openxmlformats-officedocument.spreadsheetml.queryTable+xml"/>
  <Override PartName="/xl/tables/table137.xml" ContentType="application/vnd.openxmlformats-officedocument.spreadsheetml.table+xml"/>
  <Override PartName="/xl/tables/table1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2108" documentId="8_{20AD63D6-7E4E-4EFA-BE5C-A6DF2DDE1EA8}" xr6:coauthVersionLast="47" xr6:coauthVersionMax="47" xr10:uidLastSave="{8AC1162C-5D6E-49C5-89EE-B348E87AD97B}"/>
  <bookViews>
    <workbookView xWindow="21135" yWindow="120" windowWidth="29460" windowHeight="20760" firstSheet="16" activeTab="23" xr2:uid="{8D7B9789-0724-4FF2-A9AF-E462B2920CAC}"/>
  </bookViews>
  <sheets>
    <sheet name="Sheet1" sheetId="87" r:id="rId1"/>
    <sheet name="4202SPS" sheetId="75" r:id="rId2"/>
    <sheet name="4401SPS" sheetId="76" r:id="rId3"/>
    <sheet name="5401SPS" sheetId="79" r:id="rId4"/>
    <sheet name="5402SPS" sheetId="77" r:id="rId5"/>
    <sheet name="5403SPS" sheetId="80" r:id="rId6"/>
    <sheet name="5404SPS" sheetId="78" r:id="rId7"/>
    <sheet name="5405SPS" sheetId="81" r:id="rId8"/>
    <sheet name="6404SPS" sheetId="82" r:id="rId9"/>
    <sheet name="6405SPS" sheetId="83" r:id="rId10"/>
    <sheet name="6403SPS" sheetId="84" r:id="rId11"/>
    <sheet name="6097SPS" sheetId="85" r:id="rId12"/>
    <sheet name="Module (13)" sheetId="86" r:id="rId13"/>
    <sheet name="6401SPS" sheetId="7" r:id="rId14"/>
    <sheet name="SC_SkillsCoverage" sheetId="105" r:id="rId15"/>
    <sheet name="SC_Module_Overview" sheetId="104" r:id="rId16"/>
    <sheet name="SC_Hours_Wide" sheetId="103" r:id="rId17"/>
    <sheet name="SC_Meta_Wide" sheetId="102" r:id="rId18"/>
    <sheet name="SC_Mapping" sheetId="101" r:id="rId19"/>
    <sheet name="SC_Hours" sheetId="100" r:id="rId20"/>
    <sheet name="SC_Assess" sheetId="99" r:id="rId21"/>
    <sheet name="SC_LO" sheetId="98" r:id="rId22"/>
    <sheet name="SC_Meta_Columns" sheetId="107" r:id="rId23"/>
    <sheet name="SC_Meta_Wide (2)" sheetId="106" r:id="rId24"/>
    <sheet name="SC_Meta" sheetId="97" r:id="rId25"/>
    <sheet name="LISTS" sheetId="4" r:id="rId26"/>
  </sheets>
  <definedNames>
    <definedName name="ApplicationofKnowledge">_xlfn.ANCHORARRAY(LISTS!$O$37)</definedName>
    <definedName name="Communication">_xlfn.ANCHORARRAY(LISTS!$O$62)</definedName>
    <definedName name="DeliveryEnvironment">_xlfn.ANCHORARRAY(LISTS!$O$89)</definedName>
    <definedName name="ExternalData_1" localSheetId="24" hidden="1">SC_Meta!$A$1:$I$146</definedName>
    <definedName name="ExternalData_2" localSheetId="21" hidden="1">SC_LO!$A$1:$I$28</definedName>
    <definedName name="ExternalData_2" localSheetId="23">'SC_Meta_Wide (2)'!$A$1</definedName>
    <definedName name="ExternalData_3" localSheetId="20" hidden="1">SC_Assess!$A$1:$M$25</definedName>
    <definedName name="ExternalData_3" localSheetId="22">SC_Meta_Columns!$A$1</definedName>
    <definedName name="ExternalData_4" localSheetId="19" hidden="1">SC_Hours!$A$1:$I$109</definedName>
    <definedName name="ExternalData_5" localSheetId="18" hidden="1">SC_Mapping!$A$1:$K$129</definedName>
    <definedName name="ExternalData_6" localSheetId="17">SC_Meta_Wide!$A$1</definedName>
    <definedName name="ExternalData_7" localSheetId="16" hidden="1">SC_Hours_Wide!$A$1:$M$19</definedName>
    <definedName name="ExternalData_8" localSheetId="15">SC_Module_Overview!$A$1</definedName>
    <definedName name="ExternalData_9" localSheetId="14" hidden="1">SC_SkillsCoverage!$A$1:$E$65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6" l="1"/>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5"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6"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7" xr16:uid="{7DFDF0BF-870C-4C99-91BE-FA8F2F98F425}" keepAlive="1" name="Query - SC_Meta_Columns" type="5" refreshedVersion="0" deleted="1" background="1" saveData="1">
    <dbPr connection="" command=""/>
  </connection>
  <connection id="18" xr16:uid="{14CD6183-8EF2-4969-B36A-19B699511670}" keepAlive="1" name="Query - SC_Meta_Wide" type="5" refreshedVersion="0" deleted="1" background="1" saveData="1">
    <dbPr connection="" command=""/>
  </connection>
  <connection id="19" xr16:uid="{94119C8B-1C92-4B60-8509-F43C4AF76847}" keepAlive="1" name="Query - SC_Meta_Wide(1)" description="Connection to the 'SC_Meta_Wide' query in the workbook." type="5" refreshedVersion="0" background="1" saveData="1">
    <dbPr connection="Provider=Microsoft.Mashup.OleDb.1;Data Source=$Workbook$;Location=SC_Meta_Wide;Extended Properties=&quot;&quot;" command="SELECT * FROM [SC_Meta_Wide]"/>
  </connection>
  <connection id="20" xr16:uid="{4F18CBC8-D491-4D63-A6C3-32558C1DF308}" keepAlive="1" name="Query - SC_Module_Overview" type="5" refreshedVersion="0" deleted="1" background="1" saveData="1">
    <dbPr connection="" command=""/>
  </connection>
  <connection id="21"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2"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3"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4"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<sst xmlns="http://schemas.openxmlformats.org/spreadsheetml/2006/main" count="6012" uniqueCount="501">
  <si>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</si>
  <si>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</si>
  <si>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</si>
  <si>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</si>
  <si>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</si>
  <si>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</si>
  <si>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</si>
  <si>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</si>
  <si>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</si>
  <si>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</si>
  <si>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</si>
  <si>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</si>
  <si>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</si>
  <si>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</si>
  <si>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</si>
  <si>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</si>
  <si>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</si>
  <si>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</si>
  <si>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</si>
  <si>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</si>
  <si>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</si>
  <si>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Sport Coaching</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</si>
  <si>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</si>
  <si>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 xml:space="preserve">Physical Education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</si>
  <si>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</si>
  <si>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</si>
  <si>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</si>
  <si>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</si>
  <si>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</si>
  <si>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</si>
  <si>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</si>
  <si>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</si>
  <si>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</si>
  <si>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</si>
  <si>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</si>
  <si>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</si>
  <si>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</si>
  <si>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</si>
  <si>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</si>
  <si>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</si>
  <si>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</si>
  <si>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</si>
  <si>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</si>
  <si>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</si>
  <si>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</si>
  <si>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</si>
  <si>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</si>
  <si>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</si>
  <si>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</si>
  <si>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</si>
  <si>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</si>
  <si>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</si>
  <si>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</si>
  <si>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</si>
  <si>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</si>
  <si>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</si>
  <si>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</si>
  <si>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</si>
  <si>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</si>
  <si>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</si>
  <si>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</si>
  <si>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</si>
  <si>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</si>
  <si>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</si>
  <si>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</si>
  <si>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Scientific knowledge</t>
  </si>
  <si>
    <t>Contextual application</t>
  </si>
  <si>
    <t>Application of knowledge and skills</t>
  </si>
  <si>
    <t>Professional judgement</t>
  </si>
  <si>
    <t>Understanding and use of research</t>
  </si>
  <si>
    <t>Decision-making</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</si>
  <si>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</si>
  <si>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</si>
  <si>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</si>
  <si>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</si>
  <si>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</si>
  <si>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</si>
  <si>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</si>
  <si>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</si>
  <si>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</si>
  <si>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</si>
  <si>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</si>
  <si>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</si>
  <si>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</si>
  <si>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</si>
  <si>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</si>
  <si>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</si>
  <si>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</si>
  <si>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</si>
  <si>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</si>
  <si>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</si>
  <si>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</si>
  <si>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</si>
  <si>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</si>
  <si>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</si>
  <si>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</si>
  <si>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</si>
  <si>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</si>
  <si>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</si>
  <si>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</si>
  <si>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 xml:space="preserve">Professional Practice in Sport Coaching 1 </t>
  </si>
  <si>
    <t>Presentation</t>
  </si>
  <si>
    <t>Group Presentation</t>
  </si>
  <si>
    <t>Group presentation on biomechanical principles in weightlifting</t>
  </si>
  <si>
    <t>Information retrieval</t>
  </si>
  <si>
    <t>Scientific literacy</t>
  </si>
  <si>
    <t>Communication</t>
  </si>
  <si>
    <t>Oral presentation</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</si>
  <si>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</si>
  <si>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</si>
  <si>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</si>
  <si>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</si>
  <si>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</si>
  <si>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</si>
  <si>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</si>
  <si>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</si>
  <si>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</si>
  <si>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</si>
  <si>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</si>
  <si>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</si>
  <si>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</si>
  <si>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</si>
  <si>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</si>
  <si>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</si>
  <si>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</si>
  <si>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5401SPS</t>
  </si>
  <si>
    <t>Professional Practice in Sport Coaching 2</t>
  </si>
  <si>
    <t>5402SPS</t>
  </si>
  <si>
    <t>Effective Coaching in Paralympic and Disability Sport</t>
  </si>
  <si>
    <t>5403SPS</t>
  </si>
  <si>
    <t>Strength and Conditioning for Coaches</t>
  </si>
  <si>
    <t>5404SPS</t>
  </si>
  <si>
    <t>Learning Theory and Practice</t>
  </si>
  <si>
    <t>5405SPS</t>
  </si>
  <si>
    <t>Youth and Community Football Coaching</t>
  </si>
  <si>
    <t>6404SPS</t>
  </si>
  <si>
    <t xml:space="preserve">Advanced Coaching Practice </t>
  </si>
  <si>
    <t>6405SPS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</si>
  <si>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</si>
  <si>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</si>
  <si>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Colin Lewis</t>
  </si>
  <si>
    <t>Column1</t>
  </si>
  <si>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</si>
  <si>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charset val="1"/>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</si>
  <si>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</si>
  <si>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</si>
  <si>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Report</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</si>
  <si>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</si>
  <si>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</si>
  <si>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</si>
  <si>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</si>
  <si>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</si>
  <si>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</si>
  <si>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</si>
  <si>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</si>
  <si>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</si>
  <si>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</si>
  <si>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</si>
  <si>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Designing Coach Learning </t>
  </si>
  <si>
    <t>Facilitating Communities of Practice  </t>
  </si>
  <si>
    <t>Evaluating Coach Learning </t>
  </si>
  <si>
    <t>Professional Practice </t>
  </si>
  <si>
    <t>Assessment preparation </t>
  </si>
  <si>
    <t>6403SPS</t>
  </si>
  <si>
    <t xml:space="preserve">Placement/Projects in Sport for Professional Development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</si>
  <si>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</si>
  <si>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</si>
  <si>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</si>
  <si>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rPr>
      <t xml:space="preserve">The UK high-performance sport system 
</t>
    </r>
    <r>
      <rPr>
        <sz val="11"/>
        <color rgb="FF000000"/>
        <rFont val="Aptos Narrow"/>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</si>
  <si>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</si>
  <si>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rPr>
      <t xml:space="preserve">Applied interdisciplinary performance sport science support 
</t>
    </r>
    <r>
      <rPr>
        <sz val="11"/>
        <color rgb="FF000000"/>
        <rFont val="Aptos Narrow"/>
      </rPr>
      <t xml:space="preserve">-     What is Take to Win Modelling 
-     Monitoring and evaluation  over a 12 month plan
-     Performance Solutions  </t>
    </r>
  </si>
  <si>
    <t>Option module</t>
  </si>
  <si>
    <r>
      <rPr>
        <b/>
        <sz val="11"/>
        <color rgb="FF000000"/>
        <rFont val="Aptos Narrow"/>
      </rPr>
      <t xml:space="preserve"> Pathway to Performance awareness</t>
    </r>
    <r>
      <rPr>
        <sz val="11"/>
        <color rgb="FF000000"/>
        <rFont val="Aptos Narrow"/>
      </rPr>
      <t xml:space="preserve"> 
- Talent identification and long-term athlete development (LTAD / No Compromise / podium pathways)                                                                                                                            </t>
    </r>
    <r>
      <rPr>
        <b/>
        <sz val="11"/>
        <color rgb="FF000000"/>
        <rFont val="Aptos Narrow"/>
      </rPr>
      <t xml:space="preserve">Leadership and management in high-performance environments: 
</t>
    </r>
    <r>
      <rPr>
        <sz val="11"/>
        <color rgb="FF000000"/>
        <rFont val="Aptos Narrow"/>
      </rPr>
      <t xml:space="preserve">- Culture, communication, conflict management  
- Ethical and welfare considerations: safeguarding, anti-doping, mental health in elite sport 
</t>
    </r>
    <r>
      <rPr>
        <b/>
        <sz val="11"/>
        <color rgb="FF000000"/>
        <rFont val="Aptos Narrow"/>
      </rPr>
      <t>Guest speakers/ High Performance visits:</t>
    </r>
    <r>
      <rPr>
        <sz val="11"/>
        <color rgb="FF000000"/>
        <rFont val="Aptos Narrow"/>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</si>
  <si>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</si>
  <si>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</si>
  <si>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</si>
  <si>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</si>
  <si>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</si>
  <si>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scheme val="minor"/>
      </rPr>
      <t>Group podcast (15 minutes).</t>
    </r>
    <r>
      <rPr>
        <sz val="11"/>
        <color rgb="FF000000"/>
        <rFont val="Aptos Narrow"/>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</si>
  <si>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rPr>
      <t>Annual performance plan .</t>
    </r>
    <r>
      <rPr>
        <sz val="11"/>
        <color rgb="FF000000"/>
        <rFont val="Aptos Narrow"/>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</si>
  <si>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</si>
  <si>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Problem solving and impact</t>
  </si>
  <si>
    <t>Evidence-based decision making</t>
  </si>
  <si>
    <t>Evidne-based practice</t>
  </si>
  <si>
    <t>SEM401</t>
  </si>
  <si>
    <t xml:space="preserve">6401SPS? </t>
  </si>
  <si>
    <t>To develop critically informed, adaptive coaching practitioners who can design and evaluate inclusive and context-sensitive coaching environments using nonlinear pedagogy and universal design principles. </t>
  </si>
  <si>
    <t> </t>
  </si>
  <si>
    <r>
      <t>The outline syllabus consists of three fundamental themes, which are linked and integrated to the module aims (see above) and explicit learning outcomes (see below.  They are:  </t>
    </r>
    <r>
      <rPr>
        <sz val="11"/>
        <color rgb="FF000000"/>
        <rFont val="Aptos Narrow"/>
        <scheme val="minor"/>
      </rPr>
      <t> </t>
    </r>
  </si>
  <si>
    <t xml:space="preserve">Gus Ryrie </t>
  </si>
  <si>
    <r>
      <t>Theme 1:</t>
    </r>
    <r>
      <rPr>
        <i/>
        <sz val="11"/>
        <rFont val="Aptos Narrow"/>
        <scheme val="minor"/>
      </rPr>
      <t xml:space="preserve"> Theory and practice of ecological dynamics and constrains led approaches</t>
    </r>
    <r>
      <rPr>
        <sz val="11"/>
        <rFont val="Aptos Narrow"/>
        <scheme val="minor"/>
      </rPr>
      <t> </t>
    </r>
  </si>
  <si>
    <r>
      <t> </t>
    </r>
    <r>
      <rPr>
        <sz val="12"/>
        <rFont val="Arial"/>
        <charset val="1"/>
      </rPr>
      <t> </t>
    </r>
  </si>
  <si>
    <r>
      <t>Theme 2:</t>
    </r>
    <r>
      <rPr>
        <i/>
        <sz val="11"/>
        <rFont val="Aptos Narrow"/>
        <scheme val="minor"/>
      </rPr>
      <t xml:space="preserve"> Theory and practice of Universal Design</t>
    </r>
    <r>
      <rPr>
        <sz val="11"/>
        <rFont val="Aptos Narrow"/>
        <scheme val="minor"/>
      </rPr>
      <t> </t>
    </r>
  </si>
  <si>
    <r>
      <t>Theme 3:</t>
    </r>
    <r>
      <rPr>
        <i/>
        <sz val="11"/>
        <rFont val="Aptos Narrow"/>
        <scheme val="minor"/>
      </rPr>
      <t xml:space="preserve"> Delivering learning environments to meet the needs of different population </t>
    </r>
  </si>
  <si>
    <r>
      <t>Lectures</t>
    </r>
    <r>
      <rPr>
        <sz val="11"/>
        <color rgb="FF000000"/>
        <rFont val="Aptos Narrow"/>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</si>
  <si>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</si>
  <si>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r>
      <t>Seminar/workshop</t>
    </r>
    <r>
      <rPr>
        <sz val="11"/>
        <color rgb="FF000000"/>
        <rFont val="Aptos Narrow"/>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</si>
  <si>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</si>
  <si>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</si>
  <si>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</si>
  <si>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</si>
  <si>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</si>
  <si>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</si>
  <si>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r>
      <t>Lecture, practical tasks and wider reading</t>
    </r>
    <r>
      <rPr>
        <sz val="11"/>
        <color rgb="FF000000"/>
        <rFont val="Aptos Narrow"/>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</si>
  <si>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</si>
  <si>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</si>
  <si>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</si>
  <si>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</si>
  <si>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Domian-specfic analytical skills</t>
  </si>
  <si>
    <t>Translational practice</t>
  </si>
  <si>
    <t>Analytical thinking</t>
  </si>
  <si>
    <t>Management of self and others</t>
  </si>
  <si>
    <t>Coaching and mentoring</t>
  </si>
  <si>
    <t xml:space="preserve">Module Intergration Leccture </t>
  </si>
  <si>
    <t xml:space="preserve">Practical on subject </t>
  </si>
  <si>
    <r>
      <t>Ecological approach to learning</t>
    </r>
    <r>
      <rPr>
        <b/>
        <sz val="11"/>
        <color rgb="FF000000"/>
        <rFont val="Aptos Narrow"/>
        <scheme val="minor"/>
      </rPr>
      <t> </t>
    </r>
    <r>
      <rPr>
        <sz val="11"/>
        <color rgb="FF000000"/>
        <rFont val="Aptos Narrow"/>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</si>
  <si>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</si>
  <si>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</si>
  <si>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</si>
  <si>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</si>
  <si>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</si>
  <si>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</si>
  <si>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</si>
  <si>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</si>
  <si>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</si>
  <si>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</si>
  <si>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Table 1</t>
  </si>
  <si>
    <t>Table 3</t>
  </si>
  <si>
    <t>Table 5</t>
  </si>
  <si>
    <t>Exam</t>
  </si>
  <si>
    <t>YL</t>
  </si>
  <si>
    <t>Self-evaluation and professional development</t>
  </si>
  <si>
    <t>Lab Report</t>
  </si>
  <si>
    <t>Understanding the delivery environment</t>
  </si>
  <si>
    <t>Viva</t>
  </si>
  <si>
    <t>Professional relationships and behaviours</t>
  </si>
  <si>
    <t>Prof Practice Strand</t>
  </si>
  <si>
    <t>Dissertation</t>
  </si>
  <si>
    <t>Research Strand</t>
  </si>
  <si>
    <t>Essay</t>
  </si>
  <si>
    <t>Research Project</t>
  </si>
  <si>
    <t>Category</t>
  </si>
  <si>
    <t>Skill</t>
  </si>
  <si>
    <t>Placement</t>
  </si>
  <si>
    <t>Individual Presentation</t>
  </si>
  <si>
    <t>Scientific Knowledge</t>
  </si>
  <si>
    <t>Category text shown to user</t>
  </si>
  <si>
    <t>Defined Name</t>
  </si>
  <si>
    <t>Case Study</t>
  </si>
  <si>
    <t>ScientificKnowledge</t>
  </si>
  <si>
    <t>Data Analysis</t>
  </si>
  <si>
    <t>TechnicalSkills</t>
  </si>
  <si>
    <t>Video</t>
  </si>
  <si>
    <t>ApplicationofKnowledge</t>
  </si>
  <si>
    <t>Infographic</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</si>
  <si>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</si>
  <si>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</si>
  <si>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</si>
  <si>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</si>
  <si>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</si>
  <si>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</si>
  <si>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</si>
  <si>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</si>
  <si>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</si>
  <si>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</si>
  <si>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</si>
  <si>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</si>
  <si>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In Person Exam</t>
  </si>
  <si>
    <t>Technical Skills</t>
  </si>
  <si>
    <t>MgmtSelf</t>
  </si>
  <si>
    <t>Digital literacy</t>
  </si>
  <si>
    <t>DeliveryEnvironment</t>
  </si>
  <si>
    <t>Sport Nutrition</t>
  </si>
  <si>
    <t>ProfRelationships</t>
  </si>
  <si>
    <t>Sport Psychology</t>
  </si>
  <si>
    <t>Technical proficiency</t>
  </si>
  <si>
    <t>SES and FS</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</si>
  <si>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</si>
  <si>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</si>
  <si>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</si>
  <si>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</si>
  <si>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</si>
  <si>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</si>
  <si>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</si>
  <si>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</si>
  <si>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</si>
  <si>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</si>
  <si>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</si>
  <si>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Research communication</t>
  </si>
  <si>
    <t>Reflective practice</t>
  </si>
  <si>
    <t>Self-awareness</t>
  </si>
  <si>
    <t>Lifelong learning</t>
  </si>
  <si>
    <t>Personal development planning</t>
  </si>
  <si>
    <t>Resilience</t>
  </si>
  <si>
    <t>Initiative</t>
  </si>
  <si>
    <t>Accountability</t>
  </si>
  <si>
    <t>Written communication</t>
  </si>
  <si>
    <t>Active listening</t>
  </si>
  <si>
    <t>Interpesronal communication</t>
  </si>
  <si>
    <t>Digital communication</t>
  </si>
  <si>
    <t>problem identification</t>
  </si>
  <si>
    <t>Creative thinking</t>
  </si>
  <si>
    <t>Innovation</t>
  </si>
  <si>
    <t>Evaluation of outcomes</t>
  </si>
  <si>
    <t>Leadership</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</si>
  <si>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</si>
  <si>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</si>
  <si>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</si>
  <si>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</si>
  <si>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</si>
  <si>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</si>
  <si>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</si>
  <si>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</si>
  <si>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</si>
  <si>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</si>
  <si>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</si>
  <si>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</si>
  <si>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</si>
  <si>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</si>
  <si>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</si>
  <si>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</si>
  <si>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</si>
  <si>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</si>
  <si>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</si>
  <si>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</si>
  <si>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Modules Covering</t>
  </si>
  <si>
    <t>Module Count</t>
  </si>
  <si>
    <t>Covered</t>
  </si>
  <si>
    <t>Human Movement; Major Project</t>
  </si>
  <si>
    <t>Exercise Phys L4; Human Movement; Major Project</t>
  </si>
  <si>
    <t>Exercise Phys L4</t>
  </si>
  <si>
    <t>Human Movement</t>
  </si>
  <si>
    <t>ModuleCode</t>
  </si>
  <si>
    <t>ModuleTitle</t>
  </si>
  <si>
    <t>4091SPS</t>
  </si>
  <si>
    <t>Research Methods 1</t>
  </si>
  <si>
    <t>4092SPS</t>
  </si>
  <si>
    <t>Gemma Miller (TBC)</t>
  </si>
  <si>
    <t>4093SPS</t>
  </si>
  <si>
    <t>Psychosocial Principles of Sport and Exercise</t>
  </si>
  <si>
    <t>Kathryn Curran</t>
  </si>
  <si>
    <t>4094SPS</t>
  </si>
  <si>
    <t>Katie Fitton Davies</t>
  </si>
  <si>
    <t>5093SPS</t>
  </si>
  <si>
    <t>Sport and Performance Psychology</t>
  </si>
  <si>
    <t>James Roberts</t>
  </si>
  <si>
    <t>6091SPS</t>
  </si>
  <si>
    <t>Major Project</t>
  </si>
  <si>
    <t>6093SPS</t>
  </si>
  <si>
    <t>Strength and Conditioning</t>
  </si>
  <si>
    <t>Chelsea Oxendale</t>
  </si>
  <si>
    <t>SourceWorkbook</t>
  </si>
  <si>
    <t>Programme</t>
  </si>
  <si>
    <t>TableName</t>
  </si>
  <si>
    <t>ProgCode</t>
  </si>
  <si>
    <t>4202SPS_Hours</t>
  </si>
  <si>
    <t>Sport Coaching - AllModuleProformas.xlsx</t>
  </si>
  <si>
    <t>6097SPS_Hours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</si>
  <si>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</si>
  <si>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</si>
  <si>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</si>
  <si>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</si>
  <si>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</si>
  <si>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</si>
  <si>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</si>
  <si>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</si>
  <si>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</si>
  <si>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Meta</t>
  </si>
  <si>
    <t>6093SPS_Meta</t>
  </si>
  <si>
    <t>6091SPS_Meta</t>
  </si>
  <si>
    <t>4094SPS_Meta</t>
  </si>
  <si>
    <t>4092SPS_Meta</t>
  </si>
  <si>
    <t>xxx</t>
  </si>
  <si>
    <t>4091SPS_Meta</t>
  </si>
  <si>
    <t>5093SPS_Meta</t>
  </si>
  <si>
    <t>4093SPS_Meta</t>
  </si>
  <si>
    <t>6097SPS_Meta</t>
  </si>
  <si>
    <t>4202SPS_Meta</t>
  </si>
  <si>
    <t>ItemSuffix</t>
  </si>
  <si>
    <t>Mapping</t>
  </si>
  <si>
    <t>4202SPS_Mapping</t>
  </si>
  <si>
    <t>4091SPS_Mapping</t>
  </si>
  <si>
    <t>4092SPS_Mapping</t>
  </si>
  <si>
    <t>4094SPS_Mapping</t>
  </si>
  <si>
    <t>6093SPS_Mapping</t>
  </si>
  <si>
    <t>6091SPS_Mapping</t>
  </si>
  <si>
    <t>6097SPS_Mapping</t>
  </si>
  <si>
    <t>4093SPS_Mapping</t>
  </si>
  <si>
    <t>5093SPS_Mapping</t>
  </si>
  <si>
    <t>Hours</t>
  </si>
  <si>
    <t>Assess</t>
  </si>
  <si>
    <t>4202SPS_Assess</t>
  </si>
  <si>
    <t>Lab Report Portfolio: Lab Report 1 Submission + Peer Review Activity + Reflection + Lab Report 2 Submission</t>
  </si>
  <si>
    <t>4092SPS_Assess</t>
  </si>
  <si>
    <t xml:space="preserve">In person Online MCQ Exam </t>
  </si>
  <si>
    <t>Online exam where students choose 3 out of 6 possible videos of movement to deconstruct a joint of their choice through MCQ and open text responses</t>
  </si>
  <si>
    <t>4094SPS_Assess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</si>
  <si>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</si>
  <si>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10 minute pre-recorded needs analysis presentation</t>
  </si>
  <si>
    <t>6093SPS_Assess</t>
  </si>
  <si>
    <t>Training Programme and Viva Defence</t>
  </si>
  <si>
    <t xml:space="preserve">Students are required to submit a thesis that describes and reports the major project that they conducted using the scientific method, e.g., Introduction, Methods, Results and Discussion. </t>
  </si>
  <si>
    <t>6091SPS_Assess</t>
  </si>
  <si>
    <t xml:space="preserve">Students are required to manage their own project throughout the year and produce, present and defend their major project </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</si>
  <si>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</si>
  <si>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</si>
  <si>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</si>
  <si>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 xml:space="preserve">90 minute and 60 question MCT to cover material delivered during weeks 1-6 of the module. </t>
  </si>
  <si>
    <t>January Assessment Week 1</t>
  </si>
  <si>
    <t>4093SPS_Assess</t>
  </si>
  <si>
    <t>90 minute and 60 question MCT to cover material delivered during weeks 8-12 of the module. </t>
  </si>
  <si>
    <t>January Assessment Week 2</t>
  </si>
  <si>
    <t>In-class video observation and short-answer questions</t>
  </si>
  <si>
    <t>5093SPS_Assess</t>
  </si>
  <si>
    <t>In-class short- and multi-choice answer questions</t>
  </si>
  <si>
    <t>13-14</t>
  </si>
  <si>
    <t>LO</t>
  </si>
  <si>
    <t>Describe the basic structure and function of key physiological systems and metabolic processes.</t>
  </si>
  <si>
    <t>4092SPS_LO</t>
  </si>
  <si>
    <t>Describe and explain how key physiological systems and metabolic processes respond to acute exercise.</t>
  </si>
  <si>
    <t>Collect, present and interpret physiological data using appropriate scientific methods and conventions.</t>
  </si>
  <si>
    <t>Describe human anatomical structure and function and apply these concepts to sport, exercise and health</t>
  </si>
  <si>
    <t>4094SPS_LO</t>
  </si>
  <si>
    <t>Apply concepts and techniques of biomechanics to sport, exercise, and health</t>
  </si>
  <si>
    <t>Apply concepts and techniques of skill acquisition to sport, exercise, and health</t>
  </si>
  <si>
    <t>Complete an athlete needs analysis and analyse the data against norms found within academic literature</t>
  </si>
  <si>
    <t>6093SPS_LO</t>
  </si>
  <si>
    <t>Design an athlete training programme in consideration of the athlete needs analysis and scientific determinants of performance.</t>
  </si>
  <si>
    <t>Design safe and effective coaching sessions to athletes</t>
  </si>
  <si>
    <t>Apply skills and competencies to conduct research in an area relevant to their programme of study</t>
  </si>
  <si>
    <t>6091SPS_LO</t>
  </si>
  <si>
    <t>Critically appraise the research in a written format as specified by the major project guidelines</t>
  </si>
  <si>
    <t>Present and defend the progress and summary of the project and its findings in a scientific manner</t>
  </si>
  <si>
    <t>6097SPS_LO</t>
  </si>
  <si>
    <t>Outline the importance of psychology, sociology and psychosocial principles in sport and exercise.</t>
  </si>
  <si>
    <t>4093SPS_LO</t>
  </si>
  <si>
    <t>Describe the individual and environmental psychosocial principles associated with sport and exercise.</t>
  </si>
  <si>
    <t>Describe the social processes and behavioural outcomes associated with sport and exercise.</t>
  </si>
  <si>
    <t>Evaluate individual and environmental psychological principles associated with sport performance.</t>
  </si>
  <si>
    <t>5093SPS_LO</t>
  </si>
  <si>
    <t>Evaluate the identification and development of perceptual-cognitive expertise within sport.</t>
  </si>
  <si>
    <t>COACH</t>
  </si>
  <si>
    <t>4401SPS_Meta</t>
  </si>
  <si>
    <t>Professional Practice in Sport Coaching 1</t>
  </si>
  <si>
    <t>5401SPS_Meta</t>
  </si>
  <si>
    <t>5402SPS_Meta</t>
  </si>
  <si>
    <t>5403SPS_Meta</t>
  </si>
  <si>
    <t>5404SPS_Meta</t>
  </si>
  <si>
    <t>5405SPS_Meta</t>
  </si>
  <si>
    <t>6404SPS_Meta</t>
  </si>
  <si>
    <t>Advanced Coaching Practice</t>
  </si>
  <si>
    <t>6405SPS_Meta</t>
  </si>
  <si>
    <t>Coach Development and Learning</t>
  </si>
  <si>
    <t>6403SPS_Meta</t>
  </si>
  <si>
    <t>Placement/Projects in Sport for Professional Development</t>
  </si>
  <si>
    <t>4202SPS_LO</t>
  </si>
  <si>
    <t>6405SPS_LO</t>
  </si>
  <si>
    <t>Critically analyse the role, knowledge, skills and professional behaviours required of effective coach developers across diverse coaching contexts. </t>
  </si>
  <si>
    <t>4401SPS_Assess</t>
  </si>
  <si>
    <t>5401SPS_Assess</t>
  </si>
  <si>
    <t>5402SPS_Assess</t>
  </si>
  <si>
    <t>5403SPS_Assess</t>
  </si>
  <si>
    <t>5404SPS_Assess</t>
  </si>
  <si>
    <t>5405SPS_Assess</t>
  </si>
  <si>
    <t>6404SPS_Assess</t>
  </si>
  <si>
    <t>6405SPS_Assess</t>
  </si>
  <si>
    <t>6403SPS_Assess</t>
  </si>
  <si>
    <t>4401SPS_Hours</t>
  </si>
  <si>
    <t>5401SPS_Hours</t>
  </si>
  <si>
    <t>5402SPS_Hours</t>
  </si>
  <si>
    <t>5403SPS_Hours</t>
  </si>
  <si>
    <t>5404SPS_Hours</t>
  </si>
  <si>
    <t>5405SPS_Hours</t>
  </si>
  <si>
    <t>6404SPS_Hours</t>
  </si>
  <si>
    <t>6405SPS_Hours</t>
  </si>
  <si>
    <t>6403SPS_Hours</t>
  </si>
  <si>
    <t>4401SPS_Mapping</t>
  </si>
  <si>
    <t>5401SPS_Mapping</t>
  </si>
  <si>
    <t>5402SPS_Mapping</t>
  </si>
  <si>
    <t>5403SPS_Mapping</t>
  </si>
  <si>
    <t>5404SPS_Mapping</t>
  </si>
  <si>
    <t>5405SPS_Mapping</t>
  </si>
  <si>
    <t>6404SPS_Mapping</t>
  </si>
  <si>
    <t>6405SPS_Mapping</t>
  </si>
  <si>
    <t>6403SPS_Mapping</t>
  </si>
  <si>
    <t>ExternalData_6</t>
  </si>
  <si>
    <t>ExternalData_8</t>
  </si>
  <si>
    <t>Exercise Phys L4; Strength and Conditioning; Major Project; Coach Development and Learning</t>
  </si>
  <si>
    <t>Research Methods 1; Exercise Phys L4;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</si>
  <si>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Learning Theory and Practice 1; Exercise Phys L4; Major Project; Sport and Performance Psychology</t>
  </si>
  <si>
    <t>Research Methods 1; Human Movement; 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Psychosocial Principles of Sport and Exercise; Sport and Performance Psychology</t>
  </si>
  <si>
    <t>Research Methods 1;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</si>
  <si>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Research Methods 1; Human Movement; Strength and Conditioning; Coach Development and Learning; Working in High Performance Sport</t>
  </si>
  <si>
    <t>Research Methods 1; Exercise Phys L4; Strength and Conditioning; Major Project; Psychosocial Principles of Sport and Exercise</t>
  </si>
  <si>
    <t>Research Methods 1;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Working in High Performance Sport</t>
  </si>
  <si>
    <t>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</si>
  <si>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Research Methods 1; Exercise Phys L4</t>
  </si>
  <si>
    <t>Major Project; Working in High Performance Sport</t>
  </si>
  <si>
    <t>Working in High Performance Sport; Sport and Performance Psychology</t>
  </si>
  <si>
    <t>ExternalData_2</t>
  </si>
  <si>
    <t>ExternalData_3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</si>
</sst>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charset val="1"/>
    </font>
    <font>
      <b/>
      <sz val="11"/>
      <color rgb="FF000000"/>
      <name val="Aptos Narrow"/>
    </font>
    <font>
      <sz val="11"/>
      <color rgb="FF000000"/>
      <name val="Aptos Narrow"/>
    </font>
    <font>
      <b/>
      <sz val="11"/>
      <color rgb="FF000000"/>
      <name val="Aptos Narrow"/>
      <scheme val="minor"/>
    </font>
    <font>
      <sz val="11"/>
      <color rgb="FF000000"/>
      <name val="Aptos Narrow"/>
      <scheme val="minor"/>
    </font>
    <font>
      <sz val="11"/>
      <color rgb="FF000000"/>
      <name val="Calibri"/>
      <charset val="1"/>
    </font>
    <font>
      <sz val="12"/>
      <name val="Arial"/>
      <charset val="1"/>
    </font>
    <font>
      <sz val="11"/>
      <color rgb="FF000000"/>
      <name val="WordVisi_MSFontService"/>
      <charset val="1"/>
    </font>
    <font>
      <sz val="12"/>
      <color rgb="FF000000"/>
      <name val="Arial"/>
      <charset val="1"/>
    </font>
    <font>
      <sz val="12"/>
      <color rgb="FF000000"/>
      <name val="WordVisi_MSFontService"/>
      <charset val="1"/>
    </font>
    <font>
      <sz val="12"/>
      <color rgb="FF273540"/>
      <name val="Lato Extended"/>
      <charset val="1"/>
    </font>
    <font>
      <sz val="12"/>
      <color rgb="FF000000"/>
      <name val="Aptos Narrow"/>
      <scheme val="minor"/>
    </font>
    <font>
      <sz val="11"/>
      <color rgb="FF000000"/>
      <name val="Arial"/>
      <charset val="1"/>
    </font>
    <font>
      <b/>
      <sz val="12"/>
      <name val="Aptos Narrow"/>
      <scheme val="minor"/>
    </font>
    <font>
      <sz val="11"/>
      <name val="Aptos Narrow"/>
      <scheme val="minor"/>
    </font>
    <font>
      <i/>
      <sz val="12"/>
      <name val="Arial"/>
      <charset val="1"/>
    </font>
    <font>
      <i/>
      <sz val="11"/>
      <color rgb="FF000000"/>
      <name val="Aptos Narrow"/>
      <scheme val="minor"/>
    </font>
    <font>
      <b/>
      <i/>
      <sz val="11"/>
      <name val="Aptos Narrow"/>
      <scheme val="minor"/>
    </font>
    <font>
      <i/>
      <sz val="11"/>
      <name val="Aptos Narrow"/>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s>
  <cellStyleXfs count="1">
    <xf numFmtId="0" fontId="0" fillId="0" borderId="0"/>
  </cellStyleXfs>
  <cellXfs count="54">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0" fillId="0" borderId="0" xfId="0" applyAlignment="1" applyProtection="1">
      <alignment wrapText="1"/>
      <protection locked="0"/>
    </xf>
    <xf numFmtId="0" fontId="8" fillId="0" borderId="0" xfId="0" applyFont="1"/>
    <xf numFmtId="0" fontId="10" fillId="0" borderId="0" xfId="0" applyFont="1" applyAlignment="1" applyProtection="1">
      <alignment wrapText="1"/>
      <protection locked="0"/>
    </xf>
    <xf numFmtId="0" fontId="9" fillId="0" borderId="0" xfId="0" applyFont="1"/>
    <xf numFmtId="0" fontId="12" fillId="0" borderId="0" xfId="0" applyFont="1" applyAlignment="1" applyProtection="1">
      <alignment horizontal="left" vertical="center" wrapText="1"/>
      <protection locked="0"/>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0" fontId="14" fillId="0" borderId="5" xfId="0" applyFont="1" applyBorder="1" applyAlignment="1">
      <alignment wrapText="1" readingOrder="1"/>
    </xf>
    <xf numFmtId="0" fontId="14" fillId="0" borderId="6" xfId="0" applyFont="1" applyBorder="1" applyAlignment="1">
      <alignment wrapText="1" readingOrder="1"/>
    </xf>
    <xf numFmtId="0" fontId="16" fillId="0" borderId="0" xfId="0" applyFont="1"/>
    <xf numFmtId="0" fontId="17" fillId="0" borderId="0" xfId="0" applyFont="1"/>
    <xf numFmtId="0" fontId="14" fillId="0" borderId="0" xfId="0" applyFont="1" applyAlignment="1" applyProtection="1">
      <alignment wrapText="1"/>
      <protection locked="0"/>
    </xf>
    <xf numFmtId="0" fontId="15" fillId="0" borderId="0" xfId="0" applyFont="1"/>
    <xf numFmtId="0" fontId="13" fillId="0" borderId="0" xfId="0" applyFont="1"/>
    <xf numFmtId="0" fontId="18" fillId="0" borderId="0" xfId="0" applyFont="1"/>
    <xf numFmtId="0" fontId="19" fillId="0" borderId="0" xfId="0" applyFont="1"/>
    <xf numFmtId="0" fontId="16" fillId="0" borderId="0" xfId="0" applyFont="1" applyAlignment="1">
      <alignment wrapText="1" readingOrder="1"/>
    </xf>
    <xf numFmtId="0" fontId="20" fillId="0" borderId="0" xfId="0" applyFont="1" applyAlignment="1">
      <alignment wrapText="1"/>
    </xf>
    <xf numFmtId="0" fontId="21" fillId="0" borderId="0" xfId="0" applyFont="1" applyAlignment="1">
      <alignment wrapText="1"/>
    </xf>
    <xf numFmtId="0" fontId="12" fillId="0" borderId="0" xfId="0" applyFont="1" applyAlignment="1">
      <alignment wrapText="1"/>
    </xf>
    <xf numFmtId="0" fontId="11" fillId="0" borderId="0" xfId="0" applyFont="1" applyAlignment="1">
      <alignment wrapText="1"/>
    </xf>
    <xf numFmtId="0" fontId="12" fillId="0" borderId="0" xfId="0" applyFont="1"/>
    <xf numFmtId="0" fontId="22" fillId="0" borderId="0" xfId="0" applyFont="1" applyAlignment="1">
      <alignment wrapText="1"/>
    </xf>
    <xf numFmtId="0" fontId="23" fillId="0" borderId="0" xfId="0" applyFont="1" applyAlignment="1">
      <alignment wrapText="1"/>
    </xf>
    <xf numFmtId="0" fontId="24" fillId="0" borderId="0" xfId="0" applyFont="1" applyAlignment="1">
      <alignment wrapText="1"/>
    </xf>
    <xf numFmtId="0" fontId="25" fillId="0" borderId="0" xfId="0" applyFont="1" applyAlignment="1">
      <alignment wrapText="1"/>
    </xf>
  </cellXfs>
  <cellStyles count="1">
    <cellStyle name="Normal" xfId="0" builtinId="0"/>
  </cellStyles>
  <dxfs count="43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font>
        <sz val="11"/>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1" xr16:uid="{F123025E-0852-41F5-9A4E-1AB37B7F146A}"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firstBackgroundRefresh="1" connectionId="20" xr16:uid="{4D529701-0E5C-4793-84D9-2F17C3938D3C}" autoFormatId="16" applyNumberFormats="0" applyBorderFormats="0" applyFontFormats="0" applyPatternFormats="0" applyAlignmentFormats="0" applyWidthHeightFormats="0">
  <queryTableRefresh>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6" firstBackgroundRefresh="1" connectionId="18" xr16:uid="{63359C1A-AB6E-467D-80B7-5CBC9796CC48}" autoFormatId="16" applyNumberFormats="0" applyBorderFormats="0" applyFontFormats="0" applyPatternFormats="0" applyAlignmentFormats="0" applyWidthHeightFormats="0">
  <queryTableRefresh>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connectionId="15" xr16:uid="{93283E74-E10C-4FC0-85F3-B5D3762D09E7}"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13" xr16:uid="{6A88C797-119A-4C85-8851-6E90F51DAF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12" xr16:uid="{0225BB05-8F99-4333-B179-A59151CAB29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14" xr16:uid="{D8AA8730-A7F8-42AF-8F42-1450C5417A81}"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firstBackgroundRefresh="1" connectionId="17" xr16:uid="{37DC8399-1DA4-41D9-8CA3-4D81742528DF}" autoFormatId="16" applyNumberFormats="0" applyBorderFormats="0" applyFontFormats="0" applyPatternFormats="0" applyAlignmentFormats="0" applyWidthHeightFormats="0">
  <queryTableRefresh>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firstBackgroundRefresh="1" connectionId="19" xr16:uid="{F088C3F3-BDA7-436C-BD08-EC6F05CAD90C}" autoFormatId="16" applyNumberFormats="0" applyBorderFormats="0" applyFontFormats="0" applyPatternFormats="0" applyAlignmentFormats="0" applyWidthHeightFormats="0">
  <queryTableRefresh>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16" xr16:uid="{3F56B736-050B-49D3-8258-56A25CB5587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3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32.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33.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4.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3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6.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autoFilter ref="C6:D15" xr:uid="{CD75D2A7-14B1-4ABD-B64D-6E875F9BC652}">
    <filterColumn colId="0" hiddenButton="1"/>
    <filterColumn colId="1" hiddenButton="1"/>
  </autoFilter>
  <tableColumns count="2">
    <tableColumn id="1" xr3:uid="{7B568BCE-928C-447D-BD05-0832B97C0D72}" name="Module Data" dataDxfId="435"/>
    <tableColumn id="2" xr3:uid="{706D7CC6-0EB1-4219-8291-567821A0A5B8}" name="Details" dataDxfId="434"/>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433">
  <autoFilter ref="C28:D33" xr:uid="{22316987-6BEB-4FAF-9619-BF9BE9909CFA}">
    <filterColumn colId="0" hiddenButton="1"/>
    <filterColumn colId="1" hiddenButton="1"/>
  </autoFilter>
  <tableColumns count="2">
    <tableColumn id="1" xr3:uid="{C19B4674-B83E-4A42-A7E5-5468C8752F20}" name="LO Number" dataDxfId="432"/>
    <tableColumn id="2" xr3:uid="{78F135DA-0213-417E-88FD-2F76325B6D58}" name="LO Description" dataDxfId="4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43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429"/>
    <tableColumn id="2" xr3:uid="{43E55016-0B24-4AE6-8341-2CF6FE45EFE0}" name="Assessment Type" dataDxfId="428"/>
    <tableColumn id="7" xr3:uid="{74FB69C4-57FE-4D4F-92C7-425CCB32340D}" name="Assessment Specific" dataDxfId="427"/>
    <tableColumn id="3" xr3:uid="{F392CA10-65BB-49CE-8FEA-065DB3B1250A}" name="Assessment Description" dataDxfId="426"/>
    <tableColumn id="4" xr3:uid="{63105FFB-71CB-4889-BE3D-BA168F2B1D15}" name="Weighting" dataDxfId="425"/>
    <tableColumn id="5" xr3:uid="{942301B1-78DA-47AC-B487-4A82010FBC22}" name="Due Week" dataDxfId="424"/>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23"/>
    <tableColumn id="2" xr3:uid="{D37085D6-4B13-4E18-BF1D-72E1D211C5E2}" name="Week Number" dataDxfId="422"/>
    <tableColumn id="3" xr3:uid="{E63B3791-EF8C-42D0-9D20-9E40C6780395}" name="Weekly Content 1" dataDxfId="421"/>
    <tableColumn id="4" xr3:uid="{B1BA8E95-AF48-472D-8022-4FFD3C39E6FD}" name="Weekly Content 2" dataDxfId="420"/>
    <tableColumn id="5" xr3:uid="{77ED77D2-DF2D-4913-862F-82B54D142645}" name="Weekly Content 3" dataDxfId="419"/>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autoFilter ref="C18:D24" xr:uid="{B71A3569-AA65-4A4E-98A2-885F5C38B46D}">
    <filterColumn colId="0" hiddenButton="1"/>
    <filterColumn colId="1" hiddenButton="1"/>
  </autoFilter>
  <tableColumns count="2">
    <tableColumn id="1" xr3:uid="{A4027C00-55EA-4E91-A17F-FC7D936AA12D}" name="Component" dataDxfId="418"/>
    <tableColumn id="2" xr3:uid="{2B461470-C937-400F-A861-E1EF437460FC}" name="Contact Hours" dataDxfId="4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416" dataDxfId="415">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14"/>
    <tableColumn id="2" xr3:uid="{01ED9B44-AD4B-499E-8D3C-3B9247E57323}" name="LO Number" dataDxfId="413"/>
    <tableColumn id="3" xr3:uid="{D52384A9-63E3-4ABE-86FB-4619A06E02AF}" name="Graduate Skills Category" dataDxfId="412"/>
    <tableColumn id="4" xr3:uid="{B45DCF04-04F9-4B36-A81D-CEBACC18D2E8}" name="Graduate Skill" dataDxfId="411"/>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dataDxfId="410">
  <autoFilter ref="F6:F8" xr:uid="{9552138F-2332-4BC4-A585-0E13162881A5}"/>
  <tableColumns count="1">
    <tableColumn id="1" xr3:uid="{00C11AD8-5667-494A-85B4-23C210D1B918}" name="Aims" dataDxfId="409"/>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dataDxfId="408">
  <autoFilter ref="F10:F14" xr:uid="{94F18F67-3F10-4F6E-A953-4FE3399B07F2}"/>
  <tableColumns count="1">
    <tableColumn id="1" xr3:uid="{8917F32D-2D78-4B3C-93BA-03E82057EA4B}" name="Outline Syllabus" dataDxfId="407"/>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dataDxfId="406">
  <autoFilter ref="F15:F20" xr:uid="{1B2BCD7B-6C15-4B1C-86BC-48FF83D8F225}"/>
  <tableColumns count="1">
    <tableColumn id="1" xr3:uid="{B53F9EDB-3125-4C5C-A219-EFA16F274EFC}" name="Module Overview" dataDxfId="405"/>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dataDxfId="404">
  <autoFilter ref="F22:F33" xr:uid="{D5968C0A-6D7E-4221-87EE-78A85A4039B3}"/>
  <tableColumns count="1">
    <tableColumn id="1" xr3:uid="{2E1C0BC3-8EFB-4AA5-A23B-DEAB35C7DEA7}" name="Additional Information/Notes" dataDxfId="403"/>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autoFilter ref="C6:D14" xr:uid="{CD75D2A7-14B1-4ABD-B64D-6E875F9BC652}">
    <filterColumn colId="0" hiddenButton="1"/>
    <filterColumn colId="1" hiddenButton="1"/>
  </autoFilter>
  <tableColumns count="2">
    <tableColumn id="1" xr3:uid="{644E4444-F68A-4E74-BD5D-8748CD05A7D2}" name="Module Data" dataDxfId="402"/>
    <tableColumn id="2" xr3:uid="{AF6CCCE6-633B-4669-B570-EB4F893B50C4}" name="Details" dataDxfId="401"/>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400">
  <autoFilter ref="C28:D33" xr:uid="{22316987-6BEB-4FAF-9619-BF9BE9909CFA}">
    <filterColumn colId="0" hiddenButton="1"/>
    <filterColumn colId="1" hiddenButton="1"/>
  </autoFilter>
  <tableColumns count="2">
    <tableColumn id="1" xr3:uid="{589112ED-5C99-4CD7-912A-F216AEC245F3}" name="LO Number" dataDxfId="399"/>
    <tableColumn id="2" xr3:uid="{D42319CA-BEAF-49C8-8EC7-B45F24386E7A}" name="LO Description" dataDxfId="39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3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96"/>
    <tableColumn id="2" xr3:uid="{0C168E40-BC62-40F7-8494-D9D585BBF5DD}" name="Assessment Type" dataDxfId="395"/>
    <tableColumn id="7" xr3:uid="{03042C7C-BE5A-4EDB-B18A-F162688CAFDA}" name="Assessment Specific" dataDxfId="394"/>
    <tableColumn id="3" xr3:uid="{B536E57C-91CB-491F-8850-5E1F4FFB6EC2}" name="Assessment Description" dataDxfId="393"/>
    <tableColumn id="4" xr3:uid="{CFEF4DCA-7026-4AB8-9930-965F672B21EC}" name="Weighting" dataDxfId="392"/>
    <tableColumn id="5" xr3:uid="{268A91DF-58B1-43BF-A340-0E1D33705BAA}" name="Due Week" dataDxfId="39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90"/>
    <tableColumn id="2" xr3:uid="{916AD303-2708-4E40-8E0C-DE9D347BA8EA}" name="Week Number" dataDxfId="389"/>
    <tableColumn id="3" xr3:uid="{66580F8A-FF82-4503-9EBF-1B44DD45F9F5}" name="Weekly Content 1" dataDxfId="388"/>
    <tableColumn id="4" xr3:uid="{5E6D35EA-634F-45B1-8A96-068CB99E3BA7}" name="Weekly Content 2" dataDxfId="387"/>
    <tableColumn id="5" xr3:uid="{25F8B45E-A68A-40F6-AADD-D3228D0F228B}" name="Weekly Content 3" dataDxfId="386"/>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autoFilter ref="C18:D24" xr:uid="{B71A3569-AA65-4A4E-98A2-885F5C38B46D}">
    <filterColumn colId="0" hiddenButton="1"/>
    <filterColumn colId="1" hiddenButton="1"/>
  </autoFilter>
  <tableColumns count="2">
    <tableColumn id="1" xr3:uid="{E6DA5AB3-0374-477C-BB37-91CD5B04A8A7}" name="Component" dataDxfId="385"/>
    <tableColumn id="2" xr3:uid="{25171EA2-F360-4480-9A69-30F0637E5E19}" name="Contact Hours" dataDxfId="38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383" dataDxfId="382">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81"/>
    <tableColumn id="2" xr3:uid="{220CCF7F-D01D-41B9-83FA-AB3772B56C47}" name="LO Number" dataDxfId="380"/>
    <tableColumn id="3" xr3:uid="{35876AFA-8C5D-4EB6-A40B-8013521A5A47}" name="Graduate Skills Category" dataDxfId="379"/>
    <tableColumn id="4" xr3:uid="{8CC8B0ED-B11D-43C6-AB11-C69764FE383C}" name="Graduate Skill" dataDxfId="378"/>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dataDxfId="377">
  <autoFilter ref="F6:F8" xr:uid="{9552138F-2332-4BC4-A585-0E13162881A5}"/>
  <tableColumns count="1">
    <tableColumn id="1" xr3:uid="{17C9A3A3-D0C1-421C-8D52-32617D054C2E}" name="Aims" dataDxfId="376"/>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dataDxfId="375">
  <autoFilter ref="F10:F13" xr:uid="{94F18F67-3F10-4F6E-A953-4FE3399B07F2}"/>
  <tableColumns count="1">
    <tableColumn id="1" xr3:uid="{D7FF23A0-D568-4D96-9868-A6319DCE887A}" name="Outline Syllabus" dataDxfId="374"/>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dataDxfId="373">
  <autoFilter ref="F15:F20" xr:uid="{1B2BCD7B-6C15-4B1C-86BC-48FF83D8F225}"/>
  <tableColumns count="1">
    <tableColumn id="1" xr3:uid="{E558D902-00D8-4FEB-8431-38F38D3FD8C5}" name="Module Overview" dataDxfId="372"/>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dataDxfId="371">
  <autoFilter ref="F22:F33" xr:uid="{D5968C0A-6D7E-4221-87EE-78A85A4039B3}"/>
  <tableColumns count="1">
    <tableColumn id="1" xr3:uid="{C6EF2F48-EFDC-40BF-8A10-F2C80BC78705}" name="Additional Information/Notes" dataDxfId="370"/>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autoFilter ref="C6:D14" xr:uid="{CD75D2A7-14B1-4ABD-B64D-6E875F9BC652}">
    <filterColumn colId="0" hiddenButton="1"/>
    <filterColumn colId="1" hiddenButton="1"/>
  </autoFilter>
  <tableColumns count="2">
    <tableColumn id="1" xr3:uid="{7833E623-ED87-40CE-93D2-B78B6A7D7E94}" name="Module Data" dataDxfId="369"/>
    <tableColumn id="2" xr3:uid="{0659839B-A1DA-4204-9267-1A4CC295A6EF}" name="Details" dataDxfId="368"/>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367">
  <autoFilter ref="C28:D33" xr:uid="{22316987-6BEB-4FAF-9619-BF9BE9909CFA}">
    <filterColumn colId="0" hiddenButton="1"/>
    <filterColumn colId="1" hiddenButton="1"/>
  </autoFilter>
  <tableColumns count="2">
    <tableColumn id="1" xr3:uid="{FEDC5FCD-23F6-4532-A565-C979DFEE6452}" name="LO Number" dataDxfId="366"/>
    <tableColumn id="2" xr3:uid="{1F64A8B9-B360-490C-BD12-64A29F9CF82F}" name="LO Description" dataDxfId="36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3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63"/>
    <tableColumn id="2" xr3:uid="{0FE47FA8-B999-4405-B49D-E106E82A7509}" name="Assessment Type" dataDxfId="362"/>
    <tableColumn id="7" xr3:uid="{61D6D411-EDDD-4962-A754-A4B5EEB96263}" name="Assessment Specific" dataDxfId="361"/>
    <tableColumn id="3" xr3:uid="{1A288D47-FFDF-4BA0-94F1-9B647BE04DCC}" name="Assessment Description" dataDxfId="360"/>
    <tableColumn id="4" xr3:uid="{ED08857B-A938-490D-9B30-962DE64252AB}" name="Weighting" dataDxfId="359"/>
    <tableColumn id="5" xr3:uid="{581E13F4-4545-426B-8995-08E09758F5CB}" name="Due Week" dataDxfId="358"/>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57"/>
    <tableColumn id="2" xr3:uid="{BED16F5A-D8C5-4300-A763-C0065F48E598}" name="Week Number" dataDxfId="356"/>
    <tableColumn id="3" xr3:uid="{1C3278D5-9F89-43C0-84A5-ACE6AE3BF8C8}" name="Weekly Content 1" dataDxfId="355"/>
    <tableColumn id="4" xr3:uid="{8ADEF497-35DC-4945-B42C-DCA4C8DB67C9}" name="Weekly Content 2" dataDxfId="354"/>
    <tableColumn id="5" xr3:uid="{E6B69E39-A78E-4994-8E8F-40C76F0002A1}" name="Weekly Content 3" dataDxfId="353"/>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autoFilter ref="C18:D24" xr:uid="{B71A3569-AA65-4A4E-98A2-885F5C38B46D}">
    <filterColumn colId="0" hiddenButton="1"/>
    <filterColumn colId="1" hiddenButton="1"/>
  </autoFilter>
  <tableColumns count="2">
    <tableColumn id="1" xr3:uid="{2FFE33E1-E3D8-499A-B70C-70494FCFC11F}" name="Component" dataDxfId="352"/>
    <tableColumn id="2" xr3:uid="{D8D74B7C-DED1-4107-9D9B-A69709137AF1}" name="Contact Hours" dataDxfId="35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350" dataDxfId="349">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48"/>
    <tableColumn id="2" xr3:uid="{3DE98FE2-3138-46D6-BD99-F2FB47042775}" name="LO Number" dataDxfId="347"/>
    <tableColumn id="3" xr3:uid="{810A03D8-C153-4962-9C3C-D761D27C4A3F}" name="Graduate Skills Category" dataDxfId="346"/>
    <tableColumn id="4" xr3:uid="{C3B0D1F6-1274-4ED1-9705-01F40BB1E2F2}" name="Graduate Skill" dataDxfId="345"/>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8" totalsRowShown="0" dataDxfId="344">
  <autoFilter ref="F6:F8" xr:uid="{9552138F-2332-4BC4-A585-0E13162881A5}"/>
  <tableColumns count="1">
    <tableColumn id="1" xr3:uid="{C445F0C7-61B3-46CB-A56F-67D79AE54D5C}" name="Aims" dataDxfId="343"/>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3" totalsRowShown="0" dataDxfId="342">
  <autoFilter ref="F10:F13" xr:uid="{94F18F67-3F10-4F6E-A953-4FE3399B07F2}"/>
  <tableColumns count="1">
    <tableColumn id="1" xr3:uid="{CAABEA9D-6FBF-459A-AD97-585A17318A01}" name="Outline Syllabus" dataDxfId="341"/>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dataDxfId="340">
  <autoFilter ref="F15:F20" xr:uid="{1B2BCD7B-6C15-4B1C-86BC-48FF83D8F225}"/>
  <tableColumns count="1">
    <tableColumn id="1" xr3:uid="{A14625FC-0807-41B3-BEF3-09E7E979EFED}" name="Module Overview" dataDxfId="339"/>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dataDxfId="338">
  <autoFilter ref="F22:F33" xr:uid="{D5968C0A-6D7E-4221-87EE-78A85A4039B3}"/>
  <tableColumns count="1">
    <tableColumn id="1" xr3:uid="{0F69CA79-BA33-4E25-8FA9-233F7FC95036}" name="Additional Information/Notes" dataDxfId="337"/>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autoFilter ref="C6:D14" xr:uid="{CD75D2A7-14B1-4ABD-B64D-6E875F9BC652}">
    <filterColumn colId="0" hiddenButton="1"/>
    <filterColumn colId="1" hiddenButton="1"/>
  </autoFilter>
  <tableColumns count="2">
    <tableColumn id="1" xr3:uid="{5D38FCD1-7A3F-4025-AC69-E6A90C68A79E}" name="Module Data" dataDxfId="336"/>
    <tableColumn id="2" xr3:uid="{ACE861FD-0C1D-4D19-A0A8-AC83427FA81A}" name="Details" dataDxfId="335"/>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334">
  <autoFilter ref="C28:D33" xr:uid="{22316987-6BEB-4FAF-9619-BF9BE9909CFA}">
    <filterColumn colId="0" hiddenButton="1"/>
    <filterColumn colId="1" hiddenButton="1"/>
  </autoFilter>
  <tableColumns count="2">
    <tableColumn id="1" xr3:uid="{92FDE3DF-EAC0-4CA6-A5B4-E15BAAC4A01D}" name="LO Number" dataDxfId="333"/>
    <tableColumn id="2" xr3:uid="{A384CFCB-55B0-46B7-AF9A-FAAC6022096A}" name="LO Description" dataDxfId="332"/>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3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30"/>
    <tableColumn id="2" xr3:uid="{390EF809-FA62-405F-B84C-B2AD571CEBAA}" name="Assessment Type" dataDxfId="329"/>
    <tableColumn id="7" xr3:uid="{2B1618E6-AA98-4A15-AE0C-79993F1BAFB7}" name="Assessment Specific" dataDxfId="328"/>
    <tableColumn id="3" xr3:uid="{138C3352-0967-40A6-A5BE-4B32DEC01ACB}" name="Assessment Description" dataDxfId="327"/>
    <tableColumn id="4" xr3:uid="{F4B4B6BF-3460-42E3-849C-1BBE242E83C3}" name="Weighting" dataDxfId="326"/>
    <tableColumn id="5" xr3:uid="{E52307F9-F56A-42FC-9A76-6A630F2C5B71}" name="Due Week" dataDxfId="325"/>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24"/>
    <tableColumn id="2" xr3:uid="{1B7B234D-0DD9-4913-9C62-18CC4E0FD5D6}" name="Week Number" dataDxfId="323"/>
    <tableColumn id="3" xr3:uid="{FDA6287D-7D09-41DC-96F1-E9BCD4B11D2E}" name="Weekly Content 1" dataDxfId="322"/>
    <tableColumn id="4" xr3:uid="{C104D628-2E09-432B-BC7A-B7E29838D1BD}" name="Weekly Content 2" dataDxfId="321"/>
    <tableColumn id="5" xr3:uid="{6CD950CC-83A5-4FD3-93FC-B284F6F6350E}" name="Weekly Content 3" dataDxfId="320"/>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autoFilter ref="C18:D24" xr:uid="{B71A3569-AA65-4A4E-98A2-885F5C38B46D}">
    <filterColumn colId="0" hiddenButton="1"/>
    <filterColumn colId="1" hiddenButton="1"/>
  </autoFilter>
  <tableColumns count="2">
    <tableColumn id="1" xr3:uid="{27F817B7-6395-4976-9120-60D5C9775BA5}" name="Component" dataDxfId="319"/>
    <tableColumn id="2" xr3:uid="{D9B68E50-AFDD-4B94-80F2-BAB157C2FF40}" name="Contact Hours" dataDxfId="31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317" dataDxfId="316">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15"/>
    <tableColumn id="2" xr3:uid="{CF29F699-8C1A-4AC4-A563-FCBB128AC8F3}" name="LO Number" dataDxfId="314"/>
    <tableColumn id="3" xr3:uid="{B1082C18-E8C1-42F9-B74D-584EBA4A0A39}" name="Graduate Skills Category" dataDxfId="313"/>
    <tableColumn id="4" xr3:uid="{BD6D6488-ABFD-45B6-B06F-748690280986}" name="Graduate Skill" dataDxfId="312"/>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dataDxfId="311">
  <autoFilter ref="F6:F8" xr:uid="{9552138F-2332-4BC4-A585-0E13162881A5}"/>
  <tableColumns count="1">
    <tableColumn id="1" xr3:uid="{E2B338AF-53C9-469A-B45D-DF4BE4CCBDD0}" name="Aims" dataDxfId="310"/>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dataDxfId="309">
  <autoFilter ref="F10:F13" xr:uid="{94F18F67-3F10-4F6E-A953-4FE3399B07F2}"/>
  <tableColumns count="1">
    <tableColumn id="1" xr3:uid="{0B585185-EFA9-44AB-A953-91DF09E1C8F4}" name="Outline Syllabus" dataDxfId="308"/>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dataDxfId="307">
  <autoFilter ref="F15:F20" xr:uid="{1B2BCD7B-6C15-4B1C-86BC-48FF83D8F225}"/>
  <tableColumns count="1">
    <tableColumn id="1" xr3:uid="{8DA5C005-FC9F-4CBE-A281-B2B92A53526A}" name="Module Overview" dataDxfId="306"/>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dataDxfId="305">
  <autoFilter ref="F22:F33" xr:uid="{D5968C0A-6D7E-4221-87EE-78A85A4039B3}"/>
  <tableColumns count="1">
    <tableColumn id="1" xr3:uid="{D67854B5-D179-408B-A477-7F6E3033D84B}" name="Additional Information/Notes" dataDxfId="304"/>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autoFilter ref="C6:D14" xr:uid="{CD75D2A7-14B1-4ABD-B64D-6E875F9BC652}">
    <filterColumn colId="0" hiddenButton="1"/>
    <filterColumn colId="1" hiddenButton="1"/>
  </autoFilter>
  <tableColumns count="2">
    <tableColumn id="1" xr3:uid="{DC5E8FB2-F1EF-4C76-ADAD-8DF1D4236058}" name="Module Data" dataDxfId="303"/>
    <tableColumn id="2" xr3:uid="{3CEC4644-C90E-484A-BB04-BC7E2522484B}" name="Details" dataDxfId="302"/>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301">
  <autoFilter ref="C28:D33" xr:uid="{22316987-6BEB-4FAF-9619-BF9BE9909CFA}">
    <filterColumn colId="0" hiddenButton="1"/>
    <filterColumn colId="1" hiddenButton="1"/>
  </autoFilter>
  <tableColumns count="2">
    <tableColumn id="1" xr3:uid="{96E1C0A4-F310-4104-877A-16C95A9DF8F8}" name="LO Number" dataDxfId="300"/>
    <tableColumn id="2" xr3:uid="{5193B932-1BB4-4665-BB60-1094CB27D2FB}" name="LO Description" dataDxfId="299"/>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29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97"/>
    <tableColumn id="2" xr3:uid="{F6CC8F23-24C9-49E1-A7E1-F0C42C5E4062}" name="Assessment Type" dataDxfId="296"/>
    <tableColumn id="7" xr3:uid="{23445359-B102-481A-9626-644EC1147971}" name="Assessment Specific" dataDxfId="295"/>
    <tableColumn id="3" xr3:uid="{09F68760-DB1D-47DA-9C3B-991E85819122}" name="Assessment Description" dataDxfId="294"/>
    <tableColumn id="4" xr3:uid="{9C4EFAF0-0549-4906-AB40-C8046612A4D0}" name="Weighting" dataDxfId="293"/>
    <tableColumn id="5" xr3:uid="{6867F2EF-8B96-4C7F-A3F0-4AD115D6B611}" name="Due Week" dataDxfId="292"/>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91"/>
    <tableColumn id="2" xr3:uid="{3DC0D0B8-ED93-4FAA-ACD1-6A257B8D7D8B}" name="Week Number" dataDxfId="290"/>
    <tableColumn id="3" xr3:uid="{396A1CD9-0EA8-4576-AC19-41A37C40C78C}" name="Weekly Content 1" dataDxfId="289"/>
    <tableColumn id="4" xr3:uid="{27E6FFD2-4BB2-4380-B643-929F8059E10C}" name="Weekly Content 2" dataDxfId="288"/>
    <tableColumn id="5" xr3:uid="{5D410880-EC3B-476E-B727-61773B3F1720}" name="Weekly Content 3" dataDxfId="287"/>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autoFilter ref="C18:D24" xr:uid="{B71A3569-AA65-4A4E-98A2-885F5C38B46D}">
    <filterColumn colId="0" hiddenButton="1"/>
    <filterColumn colId="1" hiddenButton="1"/>
  </autoFilter>
  <tableColumns count="2">
    <tableColumn id="1" xr3:uid="{50ADF208-83C1-48D5-9F5C-65E697F266B7}" name="Component" dataDxfId="286"/>
    <tableColumn id="2" xr3:uid="{1EADC3A3-1557-4323-A40A-C84AEA0F188A}" name="Contact Hours" dataDxfId="285"/>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284" dataDxfId="283">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82"/>
    <tableColumn id="2" xr3:uid="{162D175A-F572-46B3-8399-9FF334864C28}" name="LO Number" dataDxfId="281"/>
    <tableColumn id="3" xr3:uid="{4B8F87D6-8076-4256-870F-FFB0D542729A}" name="Graduate Skills Category" dataDxfId="280"/>
    <tableColumn id="4" xr3:uid="{3DB5254F-E5B1-45EA-B3FC-772579673F08}" name="Graduate Skill" dataDxfId="279"/>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dataDxfId="278">
  <autoFilter ref="F6:F8" xr:uid="{9552138F-2332-4BC4-A585-0E13162881A5}"/>
  <tableColumns count="1">
    <tableColumn id="1" xr3:uid="{D5911F00-3A12-4884-94FA-2461F2E6A773}" name="Aims" dataDxfId="277"/>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dataDxfId="276">
  <autoFilter ref="F10:F13" xr:uid="{94F18F67-3F10-4F6E-A953-4FE3399B07F2}"/>
  <tableColumns count="1">
    <tableColumn id="1" xr3:uid="{1984609B-7A7C-44AA-A114-5466EF451351}" name="Outline Syllabus" dataDxfId="275"/>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dataDxfId="274">
  <autoFilter ref="F15:F20" xr:uid="{1B2BCD7B-6C15-4B1C-86BC-48FF83D8F225}"/>
  <tableColumns count="1">
    <tableColumn id="1" xr3:uid="{19A46962-3EFC-4EE2-ACCE-5363E30EDC4F}" name="Module Overview" dataDxfId="273"/>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dataDxfId="272">
  <autoFilter ref="F22:F33" xr:uid="{D5968C0A-6D7E-4221-87EE-78A85A4039B3}"/>
  <tableColumns count="1">
    <tableColumn id="1" xr3:uid="{EEDA3204-13C4-4B95-A550-B650C09B689D}" name="Additional Information/Notes" dataDxfId="271"/>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5404SPS_Meta" displayName="_5404SPS_Meta" ref="C6:D14" totalsRowShown="0">
  <autoFilter ref="C6:D14" xr:uid="{CD75D2A7-14B1-4ABD-B64D-6E875F9BC652}">
    <filterColumn colId="0" hiddenButton="1"/>
    <filterColumn colId="1" hiddenButton="1"/>
  </autoFilter>
  <tableColumns count="2">
    <tableColumn id="1" xr3:uid="{294825A0-B000-4273-A73D-4BDF1B0EEF00}" name="Module Data" dataDxfId="270"/>
    <tableColumn id="2" xr3:uid="{BFFFACD7-D0A7-40F6-BF15-469686406C3F}" name="Details" dataDxfId="269"/>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5404SPS_LO" displayName="_5404SPS_LO" ref="C28:D33" totalsRowShown="0" headerRowDxfId="268">
  <autoFilter ref="C28:D33" xr:uid="{22316987-6BEB-4FAF-9619-BF9BE9909CFA}">
    <filterColumn colId="0" hiddenButton="1"/>
    <filterColumn colId="1" hiddenButton="1"/>
  </autoFilter>
  <tableColumns count="2">
    <tableColumn id="1" xr3:uid="{EB0958A2-9E66-44D9-A8DF-610B48FE0AC6}" name="LO Number" dataDxfId="267"/>
    <tableColumn id="2" xr3:uid="{0F368925-4523-471B-A68D-184E05AABCF7}" name="LO Description" dataDxfId="266"/>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5404SPS_Assess" displayName="_5404SPS_Assess" ref="C37:H41" totalsRowShown="0" headerRowDxfId="26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64"/>
    <tableColumn id="2" xr3:uid="{1FA5C130-1C0E-45D6-8735-EA79A0166F2D}" name="Assessment Type" dataDxfId="263"/>
    <tableColumn id="7" xr3:uid="{34024CC2-5A32-45FD-95BD-978953E7F41B}" name="Assessment Specific" dataDxfId="262"/>
    <tableColumn id="3" xr3:uid="{5DA2B338-CCFE-4568-ACFD-CC8F0B883170}" name="Assessment Description" dataDxfId="261"/>
    <tableColumn id="4" xr3:uid="{597ADF95-B9B9-411B-8079-7F615E89550C}" name="Weighting" dataDxfId="260"/>
    <tableColumn id="5" xr3:uid="{A0D1FD19-8DF8-4595-ADE8-675937B4A7F4}" name="Due Week" dataDxfId="259"/>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5404SPS_Weekly" displayName="_54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58"/>
    <tableColumn id="2" xr3:uid="{633971FF-9E7F-4A44-865E-D409908313D1}" name="Week Number" dataDxfId="257"/>
    <tableColumn id="3" xr3:uid="{77413702-BFB9-4DEA-BF99-C2A188E22509}" name="Weekly Content 1" dataDxfId="256"/>
    <tableColumn id="4" xr3:uid="{DD1B7D42-32B3-4CC2-9308-AD66B052F8DB}" name="Weekly Content 2" dataDxfId="255"/>
    <tableColumn id="5" xr3:uid="{504E9A1A-C43C-49D3-BB42-E4DD5A49EFCE}" name="Weekly Content 3" dataDxfId="254"/>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5404SPS_Hours" displayName="_5404SPS_Hours" ref="C18:D24" totalsRowShown="0">
  <autoFilter ref="C18:D24" xr:uid="{B71A3569-AA65-4A4E-98A2-885F5C38B46D}">
    <filterColumn colId="0" hiddenButton="1"/>
    <filterColumn colId="1" hiddenButton="1"/>
  </autoFilter>
  <tableColumns count="2">
    <tableColumn id="1" xr3:uid="{5D165BDB-09FC-4AAA-91DB-E67A247DFF72}" name="Component" dataDxfId="253"/>
    <tableColumn id="2" xr3:uid="{E28A3B10-E692-47D9-A3AD-18128B6A4794}" name="Contact Hours" dataDxfId="252"/>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5404SPS_Mapping" displayName="_5404SPS_Mapping" ref="C45:F66" totalsRowShown="0" headerRowDxfId="251" dataDxfId="250">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49"/>
    <tableColumn id="2" xr3:uid="{A7D6827C-7020-4950-BD3E-00625169C68E}" name="LO Number" dataDxfId="248"/>
    <tableColumn id="3" xr3:uid="{1F68EB03-6C47-4955-9791-229A42D1A45A}" name="Graduate Skills Category" dataDxfId="247"/>
    <tableColumn id="4" xr3:uid="{1FD832D4-8E97-4B72-9B09-606CF407E6C7}" name="Graduate Skill" dataDxfId="246"/>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5404SPS_Aims" displayName="_5404SPS_Aims" ref="F6:F8" totalsRowShown="0" dataDxfId="245">
  <autoFilter ref="F6:F8" xr:uid="{9552138F-2332-4BC4-A585-0E13162881A5}"/>
  <tableColumns count="1">
    <tableColumn id="1" xr3:uid="{2EE5D059-BB6B-4406-AF24-CB56C5C24856}" name="Aims" dataDxfId="244"/>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5404SPS_Syllabus" displayName="_5404SPS_Syllabus" ref="F10:F13" totalsRowShown="0" dataDxfId="243">
  <autoFilter ref="F10:F13" xr:uid="{94F18F67-3F10-4F6E-A953-4FE3399B07F2}"/>
  <tableColumns count="1">
    <tableColumn id="1" xr3:uid="{CF8ACDF4-0E48-466C-AF99-EC810B28E6AF}" name="Outline Syllabus" dataDxfId="242"/>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5404SPS_Overview" displayName="_5404SPS_Overview" ref="F15:F20" totalsRowShown="0" dataDxfId="241">
  <autoFilter ref="F15:F20" xr:uid="{1B2BCD7B-6C15-4B1C-86BC-48FF83D8F225}"/>
  <tableColumns count="1">
    <tableColumn id="1" xr3:uid="{C16E0E90-DC44-4185-AB55-C39332B32B2D}" name="Module Overview" dataDxfId="240"/>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5404SPS_Notes" displayName="_5404SPS_Notes" ref="F22:F33" totalsRowShown="0" dataDxfId="239">
  <autoFilter ref="F22:F33" xr:uid="{D5968C0A-6D7E-4221-87EE-78A85A4039B3}"/>
  <tableColumns count="1">
    <tableColumn id="1" xr3:uid="{719B4DA9-E67A-4094-A58E-921C645096BE}" name="Additional Information/Notes" dataDxfId="238"/>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autoFilter ref="C6:D14" xr:uid="{CD75D2A7-14B1-4ABD-B64D-6E875F9BC652}">
    <filterColumn colId="0" hiddenButton="1"/>
    <filterColumn colId="1" hiddenButton="1"/>
  </autoFilter>
  <tableColumns count="2">
    <tableColumn id="1" xr3:uid="{4312B193-D095-44A4-B0FA-8864AE0BCBEF}" name="Module Data" dataDxfId="237"/>
    <tableColumn id="2" xr3:uid="{4F08D2F7-88F2-4061-857B-CBAD6623F570}" name="Details" dataDxfId="236"/>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235">
  <autoFilter ref="C28:D33" xr:uid="{22316987-6BEB-4FAF-9619-BF9BE9909CFA}">
    <filterColumn colId="0" hiddenButton="1"/>
    <filterColumn colId="1" hiddenButton="1"/>
  </autoFilter>
  <tableColumns count="2">
    <tableColumn id="1" xr3:uid="{87282965-A2DA-4B4E-8D06-98090F28BEEF}" name="LO Number" dataDxfId="234"/>
    <tableColumn id="2" xr3:uid="{5860F21B-133F-4A88-A61B-07CF39BC7E21}" name="LO Description" dataDxfId="233"/>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23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31"/>
    <tableColumn id="2" xr3:uid="{02E86080-DD71-4108-821B-E566F188DEA2}" name="Assessment Type" dataDxfId="230"/>
    <tableColumn id="7" xr3:uid="{47CA01EB-2FAC-4F47-BB5B-4ACF9B64B490}" name="Assessment Specific" dataDxfId="229"/>
    <tableColumn id="3" xr3:uid="{FBD48AF8-7B7F-4162-9266-C7CCFD60F0E7}" name="Assessment Description" dataDxfId="228"/>
    <tableColumn id="4" xr3:uid="{B1C6A884-1B35-475C-8890-451E2B62B45B}" name="Weighting" dataDxfId="227"/>
    <tableColumn id="5" xr3:uid="{52275FFC-C744-424D-9DA8-F4384F058801}" name="Due Week" dataDxfId="226"/>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25"/>
    <tableColumn id="2" xr3:uid="{F2C231FA-6829-4DDE-AADC-3E8FA43A1138}" name="Week Number" dataDxfId="224"/>
    <tableColumn id="3" xr3:uid="{BF2905C5-0007-47A2-850C-6A3A59009B1B}" name="Weekly Content 1" dataDxfId="223"/>
    <tableColumn id="4" xr3:uid="{87E349A9-C7DB-4B62-AE2D-73DF6FE87FF2}" name="Weekly Content 2" dataDxfId="222"/>
    <tableColumn id="5" xr3:uid="{9335E186-D4FA-4BC9-96F6-48CA2E66C8B8}" name="Weekly Content 3" dataDxfId="221"/>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autoFilter ref="C18:D24" xr:uid="{B71A3569-AA65-4A4E-98A2-885F5C38B46D}">
    <filterColumn colId="0" hiddenButton="1"/>
    <filterColumn colId="1" hiddenButton="1"/>
  </autoFilter>
  <tableColumns count="2">
    <tableColumn id="1" xr3:uid="{9CDDC04F-6E44-4B1D-B2F7-BCFB91288FF8}" name="Component" dataDxfId="220"/>
    <tableColumn id="2" xr3:uid="{0A78BA71-0A43-4908-AD5D-EAD433A8F0CB}" name="Contact Hours" dataDxfId="219"/>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218" dataDxfId="217">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16"/>
    <tableColumn id="2" xr3:uid="{38F835BE-5EB1-4FFA-8259-BEB6E39C8FA1}" name="LO Number" dataDxfId="215"/>
    <tableColumn id="3" xr3:uid="{C6B979A3-0E5A-464F-B5CD-CBA3047E98BE}" name="Graduate Skills Category" dataDxfId="214"/>
    <tableColumn id="4" xr3:uid="{2D7AD4B8-14A9-4533-A3C6-5E7125BAACC7}" name="Graduate Skill" dataDxfId="213"/>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dataDxfId="212">
  <autoFilter ref="F6:F8" xr:uid="{9552138F-2332-4BC4-A585-0E13162881A5}"/>
  <tableColumns count="1">
    <tableColumn id="1" xr3:uid="{9E1F2909-CE11-40D2-90E4-0F2548AB10B2}" name="Aims" dataDxfId="211"/>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dataDxfId="210">
  <autoFilter ref="F10:F13" xr:uid="{94F18F67-3F10-4F6E-A953-4FE3399B07F2}"/>
  <tableColumns count="1">
    <tableColumn id="1" xr3:uid="{454BC257-77E7-4C9C-B231-D65E8EE20325}" name="Outline Syllabus" dataDxfId="209"/>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dataDxfId="208">
  <autoFilter ref="F15:F20" xr:uid="{1B2BCD7B-6C15-4B1C-86BC-48FF83D8F225}"/>
  <tableColumns count="1">
    <tableColumn id="1" xr3:uid="{D37E1C0D-C9AF-4C78-BCFF-8B2CE993F50A}" name="Module Overview" dataDxfId="207"/>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dataDxfId="206">
  <autoFilter ref="F22:F33" xr:uid="{D5968C0A-6D7E-4221-87EE-78A85A4039B3}"/>
  <tableColumns count="1">
    <tableColumn id="1" xr3:uid="{E8342C1A-2B62-4E1C-B80B-B12917066000}" name="Additional Information/Notes" dataDxfId="205"/>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404SPS_Meta" displayName="_6404SPS_Meta" ref="C6:D14" totalsRowShown="0">
  <autoFilter ref="C6:D14" xr:uid="{CD75D2A7-14B1-4ABD-B64D-6E875F9BC652}">
    <filterColumn colId="0" hiddenButton="1"/>
    <filterColumn colId="1" hiddenButton="1"/>
  </autoFilter>
  <tableColumns count="2">
    <tableColumn id="1" xr3:uid="{EB65BA05-1DE9-4FD7-BDBD-BDE47DF298A4}" name="Module Data" dataDxfId="204"/>
    <tableColumn id="2" xr3:uid="{310F2A93-D88D-4CC8-AC0C-C016B97380F6}" name="Details" dataDxfId="203"/>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404SPS_LO" displayName="_6404SPS_LO" ref="C28:D33" totalsRowShown="0" headerRowDxfId="202">
  <autoFilter ref="C28:D33" xr:uid="{22316987-6BEB-4FAF-9619-BF9BE9909CFA}">
    <filterColumn colId="0" hiddenButton="1"/>
    <filterColumn colId="1" hiddenButton="1"/>
  </autoFilter>
  <tableColumns count="2">
    <tableColumn id="1" xr3:uid="{2DA2E0DF-8487-4F48-AD57-6C8EF1F6A824}" name="LO Number" dataDxfId="201"/>
    <tableColumn id="2" xr3:uid="{5F671E3D-DB5F-4A86-A8E8-215D497F640F}" name="LO Description" dataDxfId="200"/>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404SPS_Assess" displayName="_6404SPS_Assess" ref="C37:H41" totalsRowShown="0" headerRowDxfId="1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98"/>
    <tableColumn id="2" xr3:uid="{99037CEE-E227-4DE7-AC0C-42C69784F090}" name="Assessment Type" dataDxfId="197"/>
    <tableColumn id="7" xr3:uid="{EE90A0B1-86AF-42EC-AB37-5E98D709E3E4}" name="Assessment Specific" dataDxfId="196"/>
    <tableColumn id="3" xr3:uid="{8B0C1721-2FDC-4C1A-AECE-975C6F1434A1}" name="Assessment Description" dataDxfId="195"/>
    <tableColumn id="4" xr3:uid="{876D72EC-520F-497B-8AC7-6AF0A5409783}" name="Weighting" dataDxfId="194"/>
    <tableColumn id="5" xr3:uid="{31A1A910-0DF5-428E-806F-6E026C606C3B}" name="Due Week" dataDxfId="193"/>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404SPS_Weekly" displayName="_64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92"/>
    <tableColumn id="2" xr3:uid="{8C49AFEC-B460-42E3-B373-FC0AB260F379}" name="Week Number" dataDxfId="191"/>
    <tableColumn id="3" xr3:uid="{A81B53B3-7EE2-4FDF-9110-0A8C17CA27E0}" name="Weekly Content 1" dataDxfId="190"/>
    <tableColumn id="4" xr3:uid="{362C63E5-C442-416C-9DB4-4F34D3EDDEF3}" name="Weekly Content 2" dataDxfId="189"/>
    <tableColumn id="5" xr3:uid="{E3C14089-4743-4CA8-9480-E777866BAF64}" name="Weekly Content 3" dataDxfId="188"/>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404SPS_Hours" displayName="_6404SPS_Hours" ref="C18:D24" totalsRowShown="0">
  <autoFilter ref="C18:D24" xr:uid="{B71A3569-AA65-4A4E-98A2-885F5C38B46D}">
    <filterColumn colId="0" hiddenButton="1"/>
    <filterColumn colId="1" hiddenButton="1"/>
  </autoFilter>
  <tableColumns count="2">
    <tableColumn id="1" xr3:uid="{7C918E81-2521-4CC2-B784-37E43EEC3CDD}" name="Component" dataDxfId="187"/>
    <tableColumn id="2" xr3:uid="{0D2A69D7-E2F7-4C5C-8E4D-714C66054E76}" name="Contact Hours" dataDxfId="186"/>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404SPS_Mapping" displayName="_6404SPS_Mapping" ref="C45:F66" totalsRowShown="0" headerRowDxfId="185" dataDxfId="184">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83"/>
    <tableColumn id="2" xr3:uid="{8D3D6147-F8A2-4D54-BC97-772B8CE44EA3}" name="LO Number" dataDxfId="182"/>
    <tableColumn id="3" xr3:uid="{C41D8ED0-797F-45E8-B847-5F5796F9B51E}" name="Graduate Skills Category" dataDxfId="181"/>
    <tableColumn id="4" xr3:uid="{28997C86-0364-497D-A258-1C7BA682BCAA}" name="Graduate Skill" dataDxfId="180"/>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404SPS_Aims" displayName="_6404SPS_Aims" ref="F6:F8" totalsRowShown="0" dataDxfId="179">
  <autoFilter ref="F6:F8" xr:uid="{9552138F-2332-4BC4-A585-0E13162881A5}"/>
  <tableColumns count="1">
    <tableColumn id="1" xr3:uid="{3E728AAA-21E1-43D6-98EC-781D610D5B5C}" name="Aims" dataDxfId="178"/>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404SPS_Syllabus" displayName="_6404SPS_Syllabus" ref="F10:F13" totalsRowShown="0" dataDxfId="177">
  <autoFilter ref="F10:F13" xr:uid="{94F18F67-3F10-4F6E-A953-4FE3399B07F2}"/>
  <tableColumns count="1">
    <tableColumn id="1" xr3:uid="{CAFF733E-EEBF-4C10-ACD1-A6DDCD33C63A}" name="Outline Syllabus" dataDxfId="176"/>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404SPS_Overview" displayName="_6404SPS_Overview" ref="F15:F20" totalsRowShown="0" dataDxfId="175">
  <autoFilter ref="F15:F20" xr:uid="{1B2BCD7B-6C15-4B1C-86BC-48FF83D8F225}"/>
  <tableColumns count="1">
    <tableColumn id="1" xr3:uid="{3D131B43-1A6C-42C4-B635-F81D00AEF103}" name="Module Overview" dataDxfId="17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404SPS_Notes" displayName="_6404SPS_Notes" ref="F22:F33" totalsRowShown="0" dataDxfId="173">
  <autoFilter ref="F22:F33" xr:uid="{D5968C0A-6D7E-4221-87EE-78A85A4039B3}"/>
  <tableColumns count="1">
    <tableColumn id="1" xr3:uid="{DBD01D3B-64A5-4A59-96FF-8858AB682507}" name="Additional Information/Notes" dataDxfId="172"/>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6405SPS_Meta" displayName="_6405SPS_Meta" ref="C6:D14" totalsRowShown="0">
  <autoFilter ref="C6:D14" xr:uid="{CD75D2A7-14B1-4ABD-B64D-6E875F9BC652}">
    <filterColumn colId="0" hiddenButton="1"/>
    <filterColumn colId="1" hiddenButton="1"/>
  </autoFilter>
  <tableColumns count="2">
    <tableColumn id="1" xr3:uid="{29D4E0BE-5C0F-4EF3-BF95-85E95BCEF890}" name="Module Data" dataDxfId="171"/>
    <tableColumn id="2" xr3:uid="{8CF62EB8-FFB4-436A-9EE3-575FDB15387F}" name="Details" dataDxfId="170"/>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6405SPS_LO" displayName="_6405SPS_LO" ref="C28:D33" totalsRowShown="0" headerRowDxfId="169">
  <autoFilter ref="C28:D33" xr:uid="{22316987-6BEB-4FAF-9619-BF9BE9909CFA}">
    <filterColumn colId="0" hiddenButton="1"/>
    <filterColumn colId="1" hiddenButton="1"/>
  </autoFilter>
  <tableColumns count="2">
    <tableColumn id="1" xr3:uid="{ABACB5F8-1C23-4668-B7BA-EF2517F6F237}" name="LO Number" dataDxfId="168"/>
    <tableColumn id="2" xr3:uid="{16EFEC94-FB26-48E6-A1CD-F272E329A036}" name="LO Description" dataDxfId="167"/>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6405SPS_Assess" displayName="_6405SPS_Assess" ref="C37:H41" totalsRowShown="0" headerRowDxfId="16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65"/>
    <tableColumn id="2" xr3:uid="{2BC12B11-B6CF-4E7C-B492-9E71A2A4DCFC}" name="Assessment Type" dataDxfId="164"/>
    <tableColumn id="7" xr3:uid="{F22466C0-E91B-4130-82AB-931BDD5DAFD5}" name="Assessment Specific" dataDxfId="163"/>
    <tableColumn id="3" xr3:uid="{A2D2688F-0CD2-442B-B2C4-399FA320B460}" name="Assessment Description" dataDxfId="162"/>
    <tableColumn id="4" xr3:uid="{9C3172F4-207C-490E-A1A4-3782CCE0F62E}" name="Weighting" dataDxfId="161"/>
    <tableColumn id="5" xr3:uid="{5D552087-F8C1-4DC6-AB58-461CAA57A675}" name="Due Week" dataDxfId="160"/>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6405SPS_Weekly" displayName="_6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59"/>
    <tableColumn id="2" xr3:uid="{C3767A97-7DDC-4C9C-BAA0-36AD5C496EEE}" name="Week Number" dataDxfId="158"/>
    <tableColumn id="3" xr3:uid="{ECEBB099-0848-4BF9-A0F1-A91B05144BDE}" name="Weekly Content 1" dataDxfId="157"/>
    <tableColumn id="4" xr3:uid="{C2073020-3A29-4533-9629-7F40A8DD2B8B}" name="Weekly Content 2" dataDxfId="156"/>
    <tableColumn id="5" xr3:uid="{6345D17D-CE7F-4BE7-9354-5B3222EE1FDE}" name="Weekly Content 3" dataDxfId="155"/>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6405SPS_Hours" displayName="_6405SPS_Hours" ref="C18:D24" totalsRowShown="0">
  <autoFilter ref="C18:D24" xr:uid="{B71A3569-AA65-4A4E-98A2-885F5C38B46D}">
    <filterColumn colId="0" hiddenButton="1"/>
    <filterColumn colId="1" hiddenButton="1"/>
  </autoFilter>
  <tableColumns count="2">
    <tableColumn id="1" xr3:uid="{B46B0870-C95C-4D4E-B01A-05CA40485288}" name="Component" dataDxfId="154"/>
    <tableColumn id="2" xr3:uid="{A34E191B-0F4D-40A9-98C4-DFC5C0ED5B03}" name="Contact Hours" dataDxfId="153"/>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6405SPS_Mapping" displayName="_6405SPS_Mapping" ref="C45:F66" totalsRowShown="0" headerRowDxfId="152" dataDxfId="151">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50"/>
    <tableColumn id="2" xr3:uid="{D948967E-B1D8-422E-BC05-E5DE64BFE116}" name="LO Number" dataDxfId="149"/>
    <tableColumn id="3" xr3:uid="{41BBFD1D-FBB9-4518-8884-EB40901F4694}" name="Graduate Skills Category" dataDxfId="148"/>
    <tableColumn id="4" xr3:uid="{913662D7-6EF1-491B-A990-50699C27238F}" name="Graduate Skill" dataDxfId="147"/>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6405SPS_Aims" displayName="_6405SPS_Aims" ref="F6:F8" totalsRowShown="0">
  <autoFilter ref="F6:F8" xr:uid="{9552138F-2332-4BC4-A585-0E13162881A5}"/>
  <tableColumns count="1">
    <tableColumn id="1" xr3:uid="{2CF6523F-40A9-456F-8FAA-4363371E379D}" name="Aims"/>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6405SPS_Overview" displayName="_6405SPS_Overview" ref="F15:F20" totalsRowShown="0" dataDxfId="146">
  <autoFilter ref="F15:F20" xr:uid="{1B2BCD7B-6C15-4B1C-86BC-48FF83D8F225}"/>
  <tableColumns count="1">
    <tableColumn id="1" xr3:uid="{6FA2E212-5F86-4DAE-AF6E-5A52409DCB13}" name="Column1" dataDxfId="145"/>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6405SPS_Notes" displayName="_6405SPS_Notes" ref="F22:F33" totalsRowShown="0" dataDxfId="144">
  <autoFilter ref="F22:F33" xr:uid="{D5968C0A-6D7E-4221-87EE-78A85A4039B3}"/>
  <tableColumns count="1">
    <tableColumn id="1" xr3:uid="{8FE8F154-AB86-4DDE-9840-555725F99393}" name="Additional Information/Notes" dataDxfId="143"/>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autoFilter ref="C6:D14" xr:uid="{CD75D2A7-14B1-4ABD-B64D-6E875F9BC652}">
    <filterColumn colId="0" hiddenButton="1"/>
    <filterColumn colId="1" hiddenButton="1"/>
  </autoFilter>
  <tableColumns count="2">
    <tableColumn id="1" xr3:uid="{259296C2-F94D-4D8E-8A48-375C8B32976A}" name="Module Data" dataDxfId="142"/>
    <tableColumn id="2" xr3:uid="{FBE26AB7-C871-483E-8BF5-3102A6CBA6A9}" name="Details" dataDxfId="141"/>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140">
  <autoFilter ref="C28:D33" xr:uid="{22316987-6BEB-4FAF-9619-BF9BE9909CFA}">
    <filterColumn colId="0" hiddenButton="1"/>
    <filterColumn colId="1" hiddenButton="1"/>
  </autoFilter>
  <tableColumns count="2">
    <tableColumn id="1" xr3:uid="{A4A042E5-B73A-4E95-83BE-374230EAEF75}" name="LO Number" dataDxfId="139"/>
    <tableColumn id="2" xr3:uid="{4CC50DE2-34DC-4FAA-BB54-72EB81C5A918}" name="LO Description" dataDxfId="138"/>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13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36"/>
    <tableColumn id="2" xr3:uid="{846FFE48-B8E8-4A55-98C3-5451769A8EB5}" name="Assessment Type" dataDxfId="135"/>
    <tableColumn id="7" xr3:uid="{82AE06D6-F94C-441D-B6C3-297200BD5794}" name="Assessment Specific" dataDxfId="134"/>
    <tableColumn id="3" xr3:uid="{FEAAD1E7-46DD-4E01-9EEE-AB9037A04A09}" name="Assessment Description" dataDxfId="133"/>
    <tableColumn id="4" xr3:uid="{C4BFD846-DFE3-41AB-966C-3EFB00B2A790}" name="Weighting" dataDxfId="132"/>
    <tableColumn id="5" xr3:uid="{476F5563-CB55-4B33-88F8-D363824819FD}" name="Due Week" dataDxfId="131"/>
  </tableColumns>
  <tableStyleInfo name="TableStyleMedium3"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30"/>
    <tableColumn id="2" xr3:uid="{B9620A06-7C82-4FF4-995F-02655A14B62E}" name="Week Number" dataDxfId="129"/>
    <tableColumn id="3" xr3:uid="{90BEA63A-0B10-4F26-B07B-76B2D9A73B94}" name="Weekly Content 1" dataDxfId="128"/>
    <tableColumn id="4" xr3:uid="{BA0A787E-3BAF-4419-9436-D40693419273}" name="Weekly Content 2" dataDxfId="127"/>
    <tableColumn id="5" xr3:uid="{3E95C25D-5EE2-483B-B9C6-B69D6222BD63}" name="Weekly Content 3" dataDxfId="126"/>
  </tableColumns>
  <tableStyleInfo name="TableStyleMedium4"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autoFilter ref="C18:D24" xr:uid="{B71A3569-AA65-4A4E-98A2-885F5C38B46D}">
    <filterColumn colId="0" hiddenButton="1"/>
    <filterColumn colId="1" hiddenButton="1"/>
  </autoFilter>
  <tableColumns count="2">
    <tableColumn id="1" xr3:uid="{17D1F957-8C58-47BC-9BD8-09011C101FC1}" name="Component" dataDxfId="125"/>
    <tableColumn id="2" xr3:uid="{F76831A8-1692-44D6-9D6D-3D5E7EBE7CB7}" name="Contact Hours" dataDxfId="124"/>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123" dataDxfId="122">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121"/>
    <tableColumn id="2" xr3:uid="{AFA09957-495C-47A6-9409-B82CF20C9FEE}" name="LO Number" dataDxfId="120"/>
    <tableColumn id="3" xr3:uid="{4A6EF506-39E0-4A77-AB9A-A419A13B11BA}" name="Graduate Skills Category" dataDxfId="119"/>
    <tableColumn id="4" xr3:uid="{1CC8553E-650D-4CC9-BCBD-8A5C77CF26BC}" name="Graduate Skill" dataDxfId="118"/>
  </tableColumns>
  <tableStyleInfo name="TableStyleMedium3"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8" totalsRowShown="0" dataDxfId="117">
  <autoFilter ref="F6:F8" xr:uid="{9552138F-2332-4BC4-A585-0E13162881A5}"/>
  <tableColumns count="1">
    <tableColumn id="1" xr3:uid="{8B84DA76-C73A-484B-AB85-93CE53A85FF5}" name="Aims" dataDxfId="116"/>
  </tableColumns>
  <tableStyleInfo name="TableStyleMedium6"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dataDxfId="115">
  <autoFilter ref="F10:F13" xr:uid="{94F18F67-3F10-4F6E-A953-4FE3399B07F2}"/>
  <tableColumns count="1">
    <tableColumn id="1" xr3:uid="{7BB23C35-AB5C-4E42-B2E9-C41B68F5AF1F}" name="Outline Syllabus" dataDxfId="114"/>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dataDxfId="113">
  <autoFilter ref="F15:F20" xr:uid="{1B2BCD7B-6C15-4B1C-86BC-48FF83D8F225}"/>
  <tableColumns count="1">
    <tableColumn id="1" xr3:uid="{A7EAB096-E6DB-40BE-B37B-256679A7DD5C}" name="Module Overview" dataDxfId="11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dataDxfId="111">
  <autoFilter ref="F22:F33" xr:uid="{D5968C0A-6D7E-4221-87EE-78A85A4039B3}"/>
  <tableColumns count="1">
    <tableColumn id="1" xr3:uid="{C72ADE2C-BCB8-499B-B1B7-EDB3A3B2FE5B}" name="Additional Information/Notes" dataDxfId="110"/>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autoFilter ref="C6:D14" xr:uid="{CD75D2A7-14B1-4ABD-B64D-6E875F9BC652}">
    <filterColumn colId="0" hiddenButton="1"/>
    <filterColumn colId="1" hiddenButton="1"/>
  </autoFilter>
  <tableColumns count="2">
    <tableColumn id="1" xr3:uid="{070BBF13-BA41-4DE1-A713-FB0E8630711C}" name="Module Data" dataDxfId="109"/>
    <tableColumn id="2" xr3:uid="{0E3F0926-B28A-4EA7-AAE9-E35BEC0A4DF5}" name="Details" dataDxfId="108"/>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107">
  <autoFilter ref="C28:D33" xr:uid="{22316987-6BEB-4FAF-9619-BF9BE9909CFA}">
    <filterColumn colId="0" hiddenButton="1"/>
    <filterColumn colId="1" hiddenButton="1"/>
  </autoFilter>
  <tableColumns count="2">
    <tableColumn id="1" xr3:uid="{6088F306-C9B4-4ED7-9EEC-A674129ECCC9}" name="LO Number" dataDxfId="106"/>
    <tableColumn id="2" xr3:uid="{43834854-BE01-444E-8E1C-AE64963B358A}" name="LO Description" dataDxfId="10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10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103"/>
    <tableColumn id="2" xr3:uid="{E2407AF6-3C98-4FD1-B31B-CB85A955F2E3}" name="Assessment Type" dataDxfId="102"/>
    <tableColumn id="7" xr3:uid="{803004E8-4057-430E-BD7F-E6A122487416}" name="Assessment Specific" dataDxfId="101"/>
    <tableColumn id="3" xr3:uid="{E82EABFF-0858-4F25-A741-AD63FC636934}" name="Assessment Description" dataDxfId="100"/>
    <tableColumn id="4" xr3:uid="{C435B8B1-D65F-4F43-8C3B-45550CBDD4FC}" name="Weighting" dataDxfId="99"/>
    <tableColumn id="5" xr3:uid="{03FBD12C-63B3-45F3-8CCB-172C1C96BB7E}" name="Due Week" dataDxfId="98"/>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97"/>
    <tableColumn id="2" xr3:uid="{0DEEBD8D-895D-4DB2-9CAB-767B56867428}" name="Week Number" dataDxfId="96"/>
    <tableColumn id="3" xr3:uid="{7E2D8092-2899-4612-BA2F-D50BF49F0F02}" name="Weekly Content 1" dataDxfId="95"/>
    <tableColumn id="4" xr3:uid="{543E0828-8F90-405C-8DC4-A27DEA150475}" name="Weekly Content 2" dataDxfId="94"/>
    <tableColumn id="5" xr3:uid="{CFCB0F41-D4BE-4456-B805-D7551BF9E83C}" name="Weekly Content 3" dataDxfId="93"/>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autoFilter ref="C18:D24" xr:uid="{B71A3569-AA65-4A4E-98A2-885F5C38B46D}">
    <filterColumn colId="0" hiddenButton="1"/>
    <filterColumn colId="1" hiddenButton="1"/>
  </autoFilter>
  <tableColumns count="2">
    <tableColumn id="1" xr3:uid="{A95790DB-8258-4803-8284-4A4A89FC1A81}" name="Component" dataDxfId="92"/>
    <tableColumn id="2" xr3:uid="{F8CDBB8B-28A2-40B8-8AB1-6707537C499B}" name="Contact Hours" dataDxfId="91"/>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90" dataDxfId="89">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88"/>
    <tableColumn id="2" xr3:uid="{0A9CFE48-B3C3-4D3C-9F56-3062488E96D8}" name="LO Number" dataDxfId="87"/>
    <tableColumn id="3" xr3:uid="{F14AC592-27AF-4E15-B730-92515D2D5861}" name="Graduate Skills Category" dataDxfId="86"/>
    <tableColumn id="4" xr3:uid="{33BA90E8-AAD8-435C-9AC1-A549EDBF7228}" name="Graduate Skill" dataDxfId="85"/>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dataDxfId="84">
  <autoFilter ref="F6:F8" xr:uid="{9552138F-2332-4BC4-A585-0E13162881A5}"/>
  <tableColumns count="1">
    <tableColumn id="1" xr3:uid="{95B55738-9EA9-42EF-9542-C1E475114357}" name="Aims" dataDxfId="83"/>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dataDxfId="82">
  <autoFilter ref="F10:F13" xr:uid="{94F18F67-3F10-4F6E-A953-4FE3399B07F2}"/>
  <tableColumns count="1">
    <tableColumn id="1" xr3:uid="{773F3BC1-153C-4CA9-9626-F7014E9C09FC}" name="Outline Syllabus" dataDxfId="81"/>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dataDxfId="80">
  <autoFilter ref="F15:F20" xr:uid="{1B2BCD7B-6C15-4B1C-86BC-48FF83D8F225}"/>
  <tableColumns count="1">
    <tableColumn id="1" xr3:uid="{5AB497BE-0287-4B15-828E-068ECF632096}" name="Module Overview" dataDxfId="79"/>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dataDxfId="78">
  <autoFilter ref="F22:F33" xr:uid="{D5968C0A-6D7E-4221-87EE-78A85A4039B3}"/>
  <tableColumns count="1">
    <tableColumn id="1" xr3:uid="{050403C8-321F-4DA4-B6C6-73EFBF9C2B3A}" name="Additional Information/Notes" dataDxfId="77"/>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Module (13)_Meta" displayName="Module__13__Meta" ref="C6:D14" totalsRowShown="0">
  <autoFilter ref="C6:D14" xr:uid="{CD75D2A7-14B1-4ABD-B64D-6E875F9BC652}">
    <filterColumn colId="0" hiddenButton="1"/>
    <filterColumn colId="1" hiddenButton="1"/>
  </autoFilter>
  <tableColumns count="2">
    <tableColumn id="1" xr3:uid="{F75C39EB-FA62-46B2-BBD7-C15273288588}" name="Module Data" dataDxfId="76"/>
    <tableColumn id="2" xr3:uid="{AFAD978E-7AB7-41A9-B9E1-ABF4834D59E6}" name="Details" dataDxfId="75"/>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Module (13)_LO" displayName="Module__13__LO" ref="C28:D33" totalsRowShown="0" headerRowDxfId="74">
  <autoFilter ref="C28:D33" xr:uid="{22316987-6BEB-4FAF-9619-BF9BE9909CFA}">
    <filterColumn colId="0" hiddenButton="1"/>
    <filterColumn colId="1" hiddenButton="1"/>
  </autoFilter>
  <tableColumns count="2">
    <tableColumn id="1" xr3:uid="{03889838-3692-4CDB-B3C9-843AC2EB8510}" name="LO Number" dataDxfId="73"/>
    <tableColumn id="2" xr3:uid="{EBF4F997-F685-4171-8E33-10C81A9AA6BD}" name="LO Description" dataDxfId="72"/>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Module (13)_Assess" displayName="Module__13__Assess" ref="C37:H41" totalsRowShown="0" headerRowDxfId="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70"/>
    <tableColumn id="2" xr3:uid="{154AA898-EB51-423F-971E-2D54E7AE168D}" name="Assessment Type" dataDxfId="69"/>
    <tableColumn id="7" xr3:uid="{9983984E-B1DF-4F0D-9268-C2C69B7257DE}" name="Assessment Specific" dataDxfId="68"/>
    <tableColumn id="3" xr3:uid="{7393D08E-D15D-482F-94F5-3955E2087F8B}" name="Assessment Description" dataDxfId="67"/>
    <tableColumn id="4" xr3:uid="{A7B8D88B-748B-437A-9A1C-F9ED211ABF56}" name="Weighting" dataDxfId="66"/>
    <tableColumn id="5" xr3:uid="{79ED1616-9922-40C9-8AED-68B6819817F9}" name="Due Week" dataDxfId="65"/>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Module (13)_Weekly" displayName="Module__13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4"/>
    <tableColumn id="2" xr3:uid="{FFEC1971-8BF4-44B8-BD5C-805779F987C9}" name="Week Number" dataDxfId="63"/>
    <tableColumn id="3" xr3:uid="{A9F5297B-ACA7-4D9D-842B-9A24FD16BA05}" name="Weekly Content 1" dataDxfId="62"/>
    <tableColumn id="4" xr3:uid="{B96BEEEA-7F39-4C28-9F20-2E7BAC5D76C4}" name="Weekly Content 2" dataDxfId="61"/>
    <tableColumn id="5" xr3:uid="{6D853DE2-8A0D-4998-B49D-5DECC81696CA}" name="Weekly Content 3" dataDxfId="60"/>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Module (13)_Hours" displayName="Module__13__Hours" ref="C18:D24" totalsRowShown="0">
  <autoFilter ref="C18:D24" xr:uid="{B71A3569-AA65-4A4E-98A2-885F5C38B46D}">
    <filterColumn colId="0" hiddenButton="1"/>
    <filterColumn colId="1" hiddenButton="1"/>
  </autoFilter>
  <tableColumns count="2">
    <tableColumn id="1" xr3:uid="{E1F6A0CE-A0D1-484E-806D-5F1EE294F6C5}" name="Component" dataDxfId="59"/>
    <tableColumn id="2" xr3:uid="{C29C0E16-5D02-4470-B9A3-F33C24B509D3}" name="Contact Hours" dataDxfId="58"/>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Module (13)_Mapping" displayName="Module__13__Mapping" ref="C45:F66" totalsRowShown="0" headerRowDxfId="57" dataDxfId="56">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55"/>
    <tableColumn id="2" xr3:uid="{9CB0238A-1328-4A0D-AAE2-50C376C7235C}" name="LO Number" dataDxfId="54"/>
    <tableColumn id="3" xr3:uid="{96B6D864-B246-4570-9A1C-3387C1ABD880}" name="Graduate Skills Category" dataDxfId="53"/>
    <tableColumn id="4" xr3:uid="{D00C4D9A-F418-40FC-AB6A-A84F0B2A9E4C}" name="Graduate Skill" dataDxfId="52"/>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Module (13)_Aims" displayName="Module__13__Aims" ref="F6:F8" totalsRowShown="0" dataDxfId="51">
  <autoFilter ref="F6:F8" xr:uid="{9552138F-2332-4BC4-A585-0E13162881A5}"/>
  <tableColumns count="1">
    <tableColumn id="1" xr3:uid="{31A9816E-6125-4BB1-B024-023BC57E4CF3}" name="Aims" dataDxfId="50"/>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Module (13)_Syllabus" displayName="Module__13__Syllabus" ref="F10:F13" totalsRowShown="0" dataDxfId="49">
  <autoFilter ref="F10:F13" xr:uid="{94F18F67-3F10-4F6E-A953-4FE3399B07F2}"/>
  <tableColumns count="1">
    <tableColumn id="1" xr3:uid="{6A2A3EA9-0D72-4A0E-A2B5-FF641EDBA034}" name="Outline Syllabus" dataDxfId="48"/>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Module (13)_Overview" displayName="Module__13__Overview" ref="F15:F20" totalsRowShown="0" dataDxfId="47">
  <autoFilter ref="F15:F20" xr:uid="{1B2BCD7B-6C15-4B1C-86BC-48FF83D8F225}"/>
  <tableColumns count="1">
    <tableColumn id="1" xr3:uid="{3ECD395E-FA33-4C57-93BB-6A0232B1FB84}" name="Module Overview" dataDxfId="46"/>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Module (13)_Notes" displayName="Module__13__Notes" ref="F22:F33" totalsRowShown="0" dataDxfId="45">
  <autoFilter ref="F22:F33" xr:uid="{D5968C0A-6D7E-4221-87EE-78A85A4039B3}"/>
  <tableColumns count="1">
    <tableColumn id="1" xr3:uid="{7082D249-848A-49C3-8DF4-B67EE67DF58C}" name="Additional Information/Notes" dataDxfId="44"/>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43"/>
    <tableColumn id="2" xr3:uid="{7CDC44CD-A513-4579-ACC6-09E7304BB1BE}" name="Details" dataDxfId="42"/>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41">
  <autoFilter ref="C28:D33" xr:uid="{22316987-6BEB-4FAF-9619-BF9BE9909CFA}">
    <filterColumn colId="0" hiddenButton="1"/>
    <filterColumn colId="1" hiddenButton="1"/>
  </autoFilter>
  <tableColumns count="2">
    <tableColumn id="1" xr3:uid="{A75FADC5-DEDB-4B6C-9F57-BD04056AC57B}" name="LO Number" dataDxfId="40"/>
    <tableColumn id="2" xr3:uid="{2529C995-9CF3-46B4-B1CE-40C8315EEAF2}" name="LO Description" dataDxfId="39"/>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37"/>
    <tableColumn id="2" xr3:uid="{707D2CCB-425D-48C3-A5FF-A62091BB3A56}" name="Assessment Type" dataDxfId="36"/>
    <tableColumn id="7" xr3:uid="{EB4F45BA-D8C2-4768-9796-02D50E7330DF}" name="Assessment Specific" dataDxfId="35"/>
    <tableColumn id="3" xr3:uid="{5B969136-9DE0-4A71-AF46-BE9B9C988057}" name="Assessment Description" dataDxfId="34"/>
    <tableColumn id="4" xr3:uid="{C51F8C6E-75D1-4D2A-980F-3DFD604FDE94}" name="Weighting" dataDxfId="33"/>
    <tableColumn id="5" xr3:uid="{732B8B1F-0938-4D2E-A221-A6E8EC0CEA2A}" name="Due Week" dataDxfId="32"/>
  </tableColumns>
  <tableStyleInfo name="TableStyleMedium3"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31"/>
    <tableColumn id="2" xr3:uid="{B5886C84-F0E2-476E-B7F8-D50AED341227}" name="Week Number" dataDxfId="30"/>
    <tableColumn id="3" xr3:uid="{E72094EC-2F0A-4C32-8DE0-3CB3CF696309}" name="Weekly Content 1" dataDxfId="29"/>
    <tableColumn id="4" xr3:uid="{15BE7A5A-AEE2-4BE3-9FDF-71CA774FE739}" name="Weekly Content 2" dataDxfId="28"/>
    <tableColumn id="5" xr3:uid="{C4CF9651-D5F8-4074-B5BD-359D74967851}" name="Weekly Content 3" dataDxfId="27"/>
  </tableColumns>
  <tableStyleInfo name="TableStyleMedium4"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26"/>
    <tableColumn id="2" xr3:uid="{C0E95D7F-8DB9-4A30-B523-E4812C2D666C}" name="Contact Hours" dataDxfId="25"/>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24" dataDxfId="23">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22"/>
    <tableColumn id="2" xr3:uid="{2008E8A1-90F0-4A5C-A0CF-4F307DD2E2D8}" name="LO Number" dataDxfId="21"/>
    <tableColumn id="3" xr3:uid="{3A4DD78F-A393-4DAB-8994-3FEC28769F43}" name="Graduate Skills Category" dataDxfId="20"/>
    <tableColumn id="4" xr3:uid="{3CC06E09-AB6C-4DEE-8FEB-FEE7643702C5}" name="Graduate Skill" dataDxfId="19"/>
  </tableColumns>
  <tableStyleInfo name="TableStyleMedium3"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18">
  <autoFilter ref="F6:F8" xr:uid="{9552138F-2332-4BC4-A585-0E13162881A5}"/>
  <tableColumns count="1">
    <tableColumn id="1" xr3:uid="{71044305-7275-4074-BD40-FFAF45A8E291}" name="Aims" dataDxfId="17"/>
  </tableColumns>
  <tableStyleInfo name="TableStyleMedium6"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headerRowDxfId="16">
  <autoFilter ref="F10:F13" xr:uid="{94F18F67-3F10-4F6E-A953-4FE3399B07F2}"/>
  <tableColumns count="1">
    <tableColumn id="1" xr3:uid="{409A0DF2-4B7A-4C37-A61C-CA2805617B9D}" name="Column1"/>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headerRowDxfId="15" dataDxfId="14">
  <autoFilter ref="F15:F20" xr:uid="{1B2BCD7B-6C15-4B1C-86BC-48FF83D8F225}"/>
  <tableColumns count="1">
    <tableColumn id="1" xr3:uid="{5E6F0374-DB3C-4DCF-968A-D7EB3D575A6B}" name="Theme 2: Theory and practice of Universal Design " dataDxfId="13"/>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autoFilter ref="F22:F33" xr:uid="{D5968C0A-6D7E-4221-87EE-78A85A4039B3}"/>
  <tableColumns count="1">
    <tableColumn id="1" xr3:uid="{EBE60D7D-4BB5-4F06-A2E4-CFAAE9F14014}" name="Additional Information/Notes"/>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6BE7A54-5403-488E-B475-82673C262E43}" name="SC_SkillsCoverage" displayName="SC_SkillsCoverage" ref="A1:E65" tableType="queryTable" totalsRowShown="0">
  <autoFilter ref="A1:E65" xr:uid="{36BE7A54-5403-488E-B475-82673C262E43}"/>
  <tableColumns count="5">
    <tableColumn id="1" xr3:uid="{DCF85842-89BD-49A7-A642-2B03539C84B3}" uniqueName="1" name="Category" queryTableFieldId="1"/>
    <tableColumn id="2" xr3:uid="{37F3DD98-8802-4FE1-B25C-193B6E62AE1C}" uniqueName="2" name="Skill" queryTableFieldId="2"/>
    <tableColumn id="3" xr3:uid="{3F6389AB-9013-4C1A-B2A8-D6BCDF598F15}" uniqueName="3" name="Modules Covering" queryTableFieldId="3" dataDxfId="12"/>
    <tableColumn id="4" xr3:uid="{2743EF39-9DDA-4B36-8F8E-83943C24F2E6}" uniqueName="4" name="Module Count" queryTableFieldId="4"/>
    <tableColumn id="5" xr3:uid="{CFCA75B9-8B1F-43F6-9382-CBB0A5C17FD2}" uniqueName="5" name="Covered" queryTableFieldId="5"/>
  </tableColumns>
  <tableStyleInfo name="TableStyleMedium7"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7FF0F07-04BF-4C85-8ECA-FD83887F877D}" name="SC_Hours_Wide" displayName="SC_Hours_Wide" ref="A1:M19" totalsRowShown="0">
  <autoFilter ref="A1:M19" xr:uid="{07FF0F07-04BF-4C85-8ECA-FD83887F877D}"/>
  <tableColumns count="13">
    <tableColumn id="1" xr3:uid="{7E0ABD38-DC76-4E1E-8D18-0E991983BDFA}" name="SourceWorkbook" dataDxfId="11"/>
    <tableColumn id="2" xr3:uid="{90269839-FF35-4AB1-A319-2F690CBE80D8}" name="TableName"/>
    <tableColumn id="3" xr3:uid="{FC3FC24A-6FFF-44B2-8FFF-347EEBCD9C5F}" name="ModuleCode"/>
    <tableColumn id="4" xr3:uid="{7C9430A7-13CC-44A8-A9B9-3FA388FB55A6}" name="ItemSuffix"/>
    <tableColumn id="5" xr3:uid="{E058BD73-DB41-4041-B5D1-837FF15992E7}" name="Programme"/>
    <tableColumn id="6" xr3:uid="{2B4A6276-8888-45B6-9DC7-AE0FD091A9BA}" name="ProgCode"/>
    <tableColumn id="7" xr3:uid="{B58ED5A4-682F-42CF-89F3-A1D46C20846C}" name="ModuleTitle" dataDxfId="10"/>
    <tableColumn id="8" xr3:uid="{F10F4197-D13A-4C7A-A462-C02B59693F3C}" name="Lecture"/>
    <tableColumn id="9" xr3:uid="{15DDEAA8-B0DE-41C8-8E88-F87CE4DFC28B}" name="Seminar"/>
    <tableColumn id="10" xr3:uid="{625DD737-4620-4FA2-96A3-EB1C4DA00E79}" name="Practical"/>
    <tableColumn id="11" xr3:uid="{8BB7C16D-143F-4585-99FC-C6F7CE9F3142}" name="Workshop"/>
    <tableColumn id="12" xr3:uid="{E8D739F2-89D4-4501-ADAD-773598E51347}" name="Online"/>
    <tableColumn id="13" xr3:uid="{272E7496-FB12-4638-A25E-A401782C18DE}" name="Total"/>
  </tableColumns>
  <tableStyleInfo name="TableStyleMedium7"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DC43D38-1AE3-4A39-9006-ED23ED85D022}" name="SC_Mapping" displayName="SC_Mapping" ref="A1:K129" tableType="queryTable" totalsRowShown="0">
  <autoFilter ref="A1:K129" xr:uid="{8DC43D38-1AE3-4A39-9006-ED23ED85D022}"/>
  <tableColumns count="11">
    <tableColumn id="1" xr3:uid="{7917FBCC-EFED-40AC-98DB-AF9767BA522D}" uniqueName="1" name="SourceWorkbook" queryTableFieldId="1" dataDxfId="9"/>
    <tableColumn id="2" xr3:uid="{59FADA73-1753-4A8C-AA2A-51D88412702F}" uniqueName="2" name="TableName" queryTableFieldId="2"/>
    <tableColumn id="3" xr3:uid="{FBB50F55-832F-41D5-B179-1B261D77466A}" uniqueName="3" name="Assessment No" queryTableFieldId="3"/>
    <tableColumn id="4" xr3:uid="{97E54E71-3C58-4E62-B440-185141DE964B}" uniqueName="4" name="LO Number" queryTableFieldId="4"/>
    <tableColumn id="5" xr3:uid="{052DF7BA-199A-43BE-BF2E-21C5970277B8}" uniqueName="5" name="Graduate Skills Category" queryTableFieldId="5"/>
    <tableColumn id="6" xr3:uid="{F51FA32B-C0E9-42A3-83E1-EA0C9142417C}" uniqueName="6" name="Graduate Skill" queryTableFieldId="6"/>
    <tableColumn id="7" xr3:uid="{C79D9941-EFE4-4B38-BB51-41CC71B160FF}" uniqueName="7" name="ModuleCode" queryTableFieldId="7"/>
    <tableColumn id="8" xr3:uid="{0FBF4C4A-3042-4376-8820-41E383F0BA8D}" uniqueName="8" name="ItemSuffix" queryTableFieldId="8"/>
    <tableColumn id="9" xr3:uid="{CC74C07B-E638-455D-A955-E1E879E84E76}" uniqueName="9" name="Programme" queryTableFieldId="9"/>
    <tableColumn id="10" xr3:uid="{F55DF21A-91E6-4809-9EA8-D5E979B9C603}" uniqueName="10" name="ProgCode" queryTableFieldId="10"/>
    <tableColumn id="11" xr3:uid="{05F4F074-B281-48EF-A513-6149319CE272}" uniqueName="11" name="ModuleTitle" queryTableFieldId="11" dataDxfId="8"/>
  </tableColumns>
  <tableStyleInfo name="TableStyleMedium7"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B04D6BF-22A9-4BE4-BD3D-57AD626BF496}" name="SC_Hours" displayName="SC_Hours" ref="A1:I109" tableType="queryTable" totalsRowShown="0">
  <autoFilter ref="A1:I109" xr:uid="{4B04D6BF-22A9-4BE4-BD3D-57AD626BF496}"/>
  <tableColumns count="9">
    <tableColumn id="1" xr3:uid="{29DC5875-8974-43AD-86F0-914588D418DE}" uniqueName="1" name="SourceWorkbook" queryTableFieldId="1" dataDxfId="7"/>
    <tableColumn id="2" xr3:uid="{5A9A382C-5DDE-41C4-9D9C-7BFF1475814D}" uniqueName="2" name="TableName" queryTableFieldId="2"/>
    <tableColumn id="3" xr3:uid="{8C7A0C60-0FB8-4851-87D9-A2F91A6B9E9A}" uniqueName="3" name="Component" queryTableFieldId="3"/>
    <tableColumn id="4" xr3:uid="{C9DAB106-32B9-4EAE-AD23-442DBED7BF23}" uniqueName="4" name="Contact Hours" queryTableFieldId="4"/>
    <tableColumn id="5" xr3:uid="{A9D947F0-2587-4F0A-8F60-7A8406E769E3}" uniqueName="5" name="ModuleCode" queryTableFieldId="5"/>
    <tableColumn id="6" xr3:uid="{1296B76A-7E29-4D09-8301-9BD77819806F}" uniqueName="6" name="ItemSuffix" queryTableFieldId="6"/>
    <tableColumn id="7" xr3:uid="{DDC2F857-6FB0-4083-A908-0E187AF7519A}" uniqueName="7" name="Programme" queryTableFieldId="7"/>
    <tableColumn id="8" xr3:uid="{9111A7BF-242B-4C76-B0EE-1F6098E53617}" uniqueName="8" name="ProgCode" queryTableFieldId="8"/>
    <tableColumn id="9" xr3:uid="{CB2A432F-347A-4083-A101-EE026E2E4C5D}" uniqueName="9" name="ModuleTitle" queryTableFieldId="9" dataDxfId="6"/>
  </tableColumns>
  <tableStyleInfo name="TableStyleMedium7"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D279514-C92B-409B-83B2-8CE99287844C}" name="SC_Assess" displayName="SC_Assess" ref="A1:M25" tableType="queryTable" totalsRowShown="0">
  <autoFilter ref="A1:M25" xr:uid="{FD279514-C92B-409B-83B2-8CE99287844C}"/>
  <tableColumns count="13">
    <tableColumn id="1" xr3:uid="{084C5791-34FB-4F76-88B0-DA65FBF239D3}" uniqueName="1" name="SourceWorkbook" queryTableFieldId="1" dataDxfId="5"/>
    <tableColumn id="2" xr3:uid="{0EAB9AB3-6255-424F-A156-B45702A8E1E8}" uniqueName="2" name="TableName" queryTableFieldId="2"/>
    <tableColumn id="3" xr3:uid="{2D0ECE8A-4166-4DFC-9B9A-DAA0317DD45B}" uniqueName="3" name="Assessment No" queryTableFieldId="3"/>
    <tableColumn id="4" xr3:uid="{0B115320-1065-4E4B-A2C3-23294E067705}" uniqueName="4" name="Assessment Type" queryTableFieldId="4"/>
    <tableColumn id="5" xr3:uid="{985D3B0A-D8E4-4CA9-8E5D-74D7CB262F79}" uniqueName="5" name="Assessment Specific" queryTableFieldId="5"/>
    <tableColumn id="6" xr3:uid="{E8E42D23-55FF-4DE1-93C8-EA59558C18E5}" uniqueName="6" name="Assessment Description" queryTableFieldId="6"/>
    <tableColumn id="7" xr3:uid="{1E081AF8-9D15-4DE3-BBB2-D1BBC7F7A9F5}" uniqueName="7" name="Weighting" queryTableFieldId="7"/>
    <tableColumn id="8" xr3:uid="{BAFBE5B1-76C4-4F90-9DAB-2A99B887A390}" uniqueName="8" name="Due Week" queryTableFieldId="8"/>
    <tableColumn id="9" xr3:uid="{B630E2E9-478D-468D-9E67-1997E414E164}" uniqueName="9" name="ModuleCode" queryTableFieldId="9"/>
    <tableColumn id="10" xr3:uid="{D4FF92D6-3FC9-4A8B-ACCA-ADC6C728C5DA}" uniqueName="10" name="ItemSuffix" queryTableFieldId="10"/>
    <tableColumn id="11" xr3:uid="{69DAC2BC-AC7F-4770-A8C9-E10FD409ED96}" uniqueName="11" name="Programme" queryTableFieldId="11"/>
    <tableColumn id="12" xr3:uid="{108C00F1-9ED8-4355-8983-4705EFBACC43}" uniqueName="12" name="ProgCode" queryTableFieldId="12"/>
    <tableColumn id="13" xr3:uid="{6C93D57C-27F5-434D-8A9F-A651EE50F34F}" uniqueName="13" name="ModuleTitle" queryTableFieldId="13" dataDxfId="4"/>
  </tableColumns>
  <tableStyleInfo name="TableStyleMedium7"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2C2EBF-2869-4F5D-8F09-83086FD430F0}" name="SC_LO" displayName="SC_LO" ref="A1:I28" tableType="queryTable" totalsRowShown="0">
  <autoFilter ref="A1:I28" xr:uid="{0A2C2EBF-2869-4F5D-8F09-83086FD430F0}"/>
  <tableColumns count="9">
    <tableColumn id="1" xr3:uid="{CB89E9B0-8D17-45FF-A451-9E7A619F7DAF}" uniqueName="1" name="SourceWorkbook" queryTableFieldId="1" dataDxfId="3"/>
    <tableColumn id="2" xr3:uid="{98C861FF-2405-458B-8E87-EC1D1EFAE50D}" uniqueName="2" name="TableName" queryTableFieldId="2"/>
    <tableColumn id="3" xr3:uid="{18C7AFCD-DFD0-45E3-A4E3-79DAA0A951ED}" uniqueName="3" name="LO Number" queryTableFieldId="3"/>
    <tableColumn id="4" xr3:uid="{38E48473-F817-4BDB-8DED-8B0ECC03AD95}" uniqueName="4" name="LO Description" queryTableFieldId="4"/>
    <tableColumn id="5" xr3:uid="{6409320D-C097-4EC4-B8D7-364551DB6C9F}" uniqueName="5" name="ModuleCode" queryTableFieldId="5"/>
    <tableColumn id="6" xr3:uid="{B4A2F4F0-6F18-4CD4-AE8B-A7F4D190929C}" uniqueName="6" name="ItemSuffix" queryTableFieldId="6"/>
    <tableColumn id="7" xr3:uid="{413E6969-8361-44E4-96BC-5C8C88EA9E3F}" uniqueName="7" name="Programme" queryTableFieldId="7"/>
    <tableColumn id="8" xr3:uid="{DBCECFFF-810C-4CC5-B327-53E1338267A1}" uniqueName="8" name="ProgCode" queryTableFieldId="8"/>
    <tableColumn id="9" xr3:uid="{C143960D-9CBD-4ED2-BD04-642539BAB152}" uniqueName="9" name="ModuleTitle" queryTableFieldId="9" dataDxfId="2"/>
  </tableColumns>
  <tableStyleInfo name="TableStyleMedium7"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62006E8-E573-4805-ABF4-ABE27A904EDE}" name="SC_Meta" displayName="SC_Meta" ref="A1:I146" tableType="queryTable" totalsRowShown="0">
  <autoFilter ref="A1:I146" xr:uid="{462006E8-E573-4805-ABF4-ABE27A904EDE}"/>
  <tableColumns count="9">
    <tableColumn id="1" xr3:uid="{77A9D54D-F9BE-4F58-BB9A-8AFF3F260E7A}" uniqueName="1" name="SourceWorkbook" queryTableFieldId="1" dataDxfId="1"/>
    <tableColumn id="2" xr3:uid="{CF3FB643-AA4B-4C36-9CD6-B39D4A8F500B}" uniqueName="2" name="TableName" queryTableFieldId="2"/>
    <tableColumn id="3" xr3:uid="{F2DDB1C3-A6D4-4E7D-AE10-D094DC4E9F00}" uniqueName="3" name="Module Data" queryTableFieldId="3"/>
    <tableColumn id="4" xr3:uid="{7849D588-CDA9-421B-9305-6095100ED756}" uniqueName="4" name="Details" queryTableFieldId="4"/>
    <tableColumn id="5" xr3:uid="{11A96833-1CBC-4C6E-BC0B-C8ACFB96A497}" uniqueName="5" name="ModuleCode" queryTableFieldId="5"/>
    <tableColumn id="6" xr3:uid="{A41A5E5C-A369-4890-8A76-113707EB8E28}" uniqueName="6" name="ItemSuffix" queryTableFieldId="6"/>
    <tableColumn id="7" xr3:uid="{78869A19-5F22-4BF1-8830-1D4E9996A360}" uniqueName="7" name="Programme" queryTableFieldId="7"/>
    <tableColumn id="8" xr3:uid="{5110C7DA-0A8B-404A-AEE7-43F1FF56E543}" uniqueName="8" name="ProgCode" queryTableFieldId="8"/>
    <tableColumn id="9" xr3:uid="{19CF57E2-4085-405B-8B86-C555ED4453F0}" uniqueName="9" name="ModuleTitle" queryTableFieldId="9" dataDxfId="0"/>
  </tableColumns>
  <tableStyleInfo name="TableStyleMedium7"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96.xml"/><Relationship Id="rId3" Type="http://schemas.openxmlformats.org/officeDocument/2006/relationships/table" Target="../tables/table91.xml"/><Relationship Id="rId7" Type="http://schemas.openxmlformats.org/officeDocument/2006/relationships/table" Target="../tables/table95.xml"/><Relationship Id="rId2" Type="http://schemas.openxmlformats.org/officeDocument/2006/relationships/table" Target="../tables/table90.xml"/><Relationship Id="rId1" Type="http://schemas.openxmlformats.org/officeDocument/2006/relationships/printerSettings" Target="../printerSettings/printerSettings10.bin"/><Relationship Id="rId6" Type="http://schemas.openxmlformats.org/officeDocument/2006/relationships/table" Target="../tables/table94.xml"/><Relationship Id="rId11" Type="http://schemas.openxmlformats.org/officeDocument/2006/relationships/table" Target="../tables/table99.xml"/><Relationship Id="rId5" Type="http://schemas.openxmlformats.org/officeDocument/2006/relationships/table" Target="../tables/table93.xml"/><Relationship Id="rId10" Type="http://schemas.openxmlformats.org/officeDocument/2006/relationships/table" Target="../tables/table98.xml"/><Relationship Id="rId4" Type="http://schemas.openxmlformats.org/officeDocument/2006/relationships/table" Target="../tables/table92.xml"/><Relationship Id="rId9" Type="http://schemas.openxmlformats.org/officeDocument/2006/relationships/table" Target="../tables/table9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26.xml"/><Relationship Id="rId3" Type="http://schemas.openxmlformats.org/officeDocument/2006/relationships/table" Target="../tables/table121.xml"/><Relationship Id="rId7" Type="http://schemas.openxmlformats.org/officeDocument/2006/relationships/table" Target="../tables/table125.xml"/><Relationship Id="rId2" Type="http://schemas.openxmlformats.org/officeDocument/2006/relationships/table" Target="../tables/table120.x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0.xml"/></Relationships>
</file>

<file path=xl/worksheets/_rels/sheet16.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8.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23.xml.rels><?xml version="1.0" encoding="UTF-8" standalone="yes"?>
<Relationships xmlns="http://schemas.openxmlformats.org/package/2006/relationships"><Relationship Id="rId1" Type="http://schemas.openxmlformats.org/officeDocument/2006/relationships/queryTable" Target="../queryTables/queryTable8.xml"/></Relationships>
</file>

<file path=xl/worksheets/_rels/sheet24.xml.rels><?xml version="1.0" encoding="UTF-8" standalone="yes"?>
<Relationships xmlns="http://schemas.openxmlformats.org/package/2006/relationships"><Relationship Id="rId1" Type="http://schemas.openxmlformats.org/officeDocument/2006/relationships/queryTable" Target="../queryTables/queryTable9.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38.xml"/><Relationship Id="rId1" Type="http://schemas.openxmlformats.org/officeDocument/2006/relationships/table" Target="../tables/table1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95363-EF7C-4B2F-BD8A-006CFEF11B83}">
  <dimension ref="A1"/>
  <sheetViews>
    <sheetView workbookViewId="0">
      <selection activeCell="H11" sqref="H11"/>
    </sheetView>
  </sheetViews>
  <sheetFormatPr defaultRowHeight="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zoomScale="85" zoomScaleNormal="85" workbookViewId="0">
      <selection activeCell="F24" sqref="F2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4202SPS</v>
      </c>
      <c r="D2" s="20" t="str">
        <f>D8</f>
        <v>Learning Theory and Practice 1</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t="s">
        <v>6</v>
      </c>
    </row>
    <row r="8" spans="2:6">
      <c r="B8" s="2"/>
      <c r="C8" s="3" t="s">
        <v>7</v>
      </c>
      <c r="D8" s="21" t="s">
        <v>8</v>
      </c>
      <c r="E8" s="4"/>
      <c r="F8" s="24"/>
    </row>
    <row r="9" spans="2:6">
      <c r="C9" s="3" t="s">
        <v>9</v>
      </c>
      <c r="D9" s="21">
        <v>20</v>
      </c>
      <c r="E9" s="4"/>
    </row>
    <row r="10" spans="2:6">
      <c r="C10" s="3" t="s">
        <v>10</v>
      </c>
      <c r="D10" s="21">
        <v>2</v>
      </c>
      <c r="E10" s="4"/>
      <c r="F10" t="s">
        <v>11</v>
      </c>
    </row>
    <row r="11" spans="2:6" ht="15.75">
      <c r="C11" s="3" t="s">
        <v>12</v>
      </c>
      <c r="D11" s="21">
        <v>4</v>
      </c>
      <c r="E11" s="4"/>
      <c r="F11" s="38" t="s">
        <v>13</v>
      </c>
    </row>
    <row r="12" spans="2:6" ht="15.75">
      <c r="C12" s="3" t="s">
        <v>14</v>
      </c>
      <c r="D12" s="21" t="s">
        <v>15</v>
      </c>
      <c r="E12" s="4"/>
      <c r="F12" s="37" t="s">
        <v>16</v>
      </c>
    </row>
    <row r="13" spans="2:6" ht="30.75">
      <c r="C13" s="3" t="s">
        <v>17</v>
      </c>
      <c r="D13" s="21" t="s">
        <v>18</v>
      </c>
      <c r="E13" s="4"/>
      <c r="F13" s="32" t="s">
        <v>19</v>
      </c>
    </row>
    <row r="14" spans="2:6" ht="165.75">
      <c r="C14" s="3" t="s">
        <v>20</v>
      </c>
      <c r="D14" s="21" t="s">
        <v>21</v>
      </c>
      <c r="E14" s="4"/>
      <c r="F14" s="39" t="s">
        <v>22</v>
      </c>
    </row>
    <row r="15" spans="2:6">
      <c r="C15" s="3"/>
      <c r="D15" s="21" t="s">
        <v>23</v>
      </c>
      <c r="E15" s="4"/>
      <c r="F15" t="s">
        <v>24</v>
      </c>
    </row>
    <row r="16" spans="2:6" ht="15.75">
      <c r="C16" s="3"/>
      <c r="D16" s="4"/>
      <c r="E16" s="4"/>
      <c r="F16" s="42" t="s">
        <v>25</v>
      </c>
    </row>
    <row r="17" spans="3:6" ht="18.75">
      <c r="C17" s="5" t="s">
        <v>26</v>
      </c>
      <c r="D17" s="4"/>
      <c r="E17" s="4"/>
      <c r="F17" s="24"/>
    </row>
    <row r="18" spans="3:6">
      <c r="C18" s="3" t="s">
        <v>27</v>
      </c>
      <c r="D18" s="1" t="s">
        <v>26</v>
      </c>
      <c r="E18" s="4"/>
      <c r="F18" s="24"/>
    </row>
    <row r="19" spans="3:6">
      <c r="C19" s="3" t="s">
        <v>28</v>
      </c>
      <c r="D19" s="22">
        <v>10</v>
      </c>
      <c r="E19" s="4"/>
      <c r="F19" s="24"/>
    </row>
    <row r="20" spans="3:6">
      <c r="C20" s="3" t="s">
        <v>29</v>
      </c>
      <c r="D20" s="22">
        <v>10</v>
      </c>
      <c r="E20" s="4"/>
      <c r="F20" s="24"/>
    </row>
    <row r="21" spans="3:6">
      <c r="C21" s="3" t="s">
        <v>30</v>
      </c>
      <c r="D21" s="22">
        <v>20</v>
      </c>
      <c r="E21" s="4"/>
    </row>
    <row r="22" spans="3:6">
      <c r="C22" s="3" t="s">
        <v>31</v>
      </c>
      <c r="D22" s="22"/>
      <c r="E22" s="4"/>
      <c r="F22" t="s">
        <v>32</v>
      </c>
    </row>
    <row r="23" spans="3:6">
      <c r="C23" s="3" t="s">
        <v>33</v>
      </c>
      <c r="D23" s="22"/>
      <c r="E23" s="4"/>
      <c r="F23" s="24" t="s">
        <v>34</v>
      </c>
    </row>
    <row r="24" spans="3:6">
      <c r="C24" s="3" t="s">
        <v>35</v>
      </c>
      <c r="D24" s="1">
        <f>SUM(D19:D23)</f>
        <v>40</v>
      </c>
      <c r="E24" s="4"/>
      <c r="F24" s="24" t="s">
        <v>36</v>
      </c>
    </row>
    <row r="25" spans="3:6">
      <c r="F25" s="24"/>
    </row>
    <row r="26" spans="3:6">
      <c r="F26" s="24"/>
    </row>
    <row r="27" spans="3:6" ht="18.75">
      <c r="C27" s="5" t="s">
        <v>37</v>
      </c>
      <c r="D27" s="12" t="s">
        <v>38</v>
      </c>
      <c r="F27" s="24"/>
    </row>
    <row r="28" spans="3:6">
      <c r="C28" s="3" t="s">
        <v>39</v>
      </c>
      <c r="D28" s="3" t="s">
        <v>40</v>
      </c>
      <c r="E28" s="3"/>
      <c r="F28" s="24"/>
    </row>
    <row r="29" spans="3:6">
      <c r="C29" s="3" t="s">
        <v>41</v>
      </c>
      <c r="D29" s="40" t="s">
        <v>42</v>
      </c>
      <c r="E29" s="4"/>
      <c r="F29" s="24"/>
    </row>
    <row r="30" spans="3:6">
      <c r="C30" s="3" t="s">
        <v>43</v>
      </c>
      <c r="D30" s="41" t="s">
        <v>44</v>
      </c>
      <c r="E30" s="4"/>
      <c r="F30" s="24"/>
    </row>
    <row r="31" spans="3:6">
      <c r="C31" s="3" t="s">
        <v>45</v>
      </c>
      <c r="D31" s="41" t="s">
        <v>46</v>
      </c>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57</v>
      </c>
      <c r="E38" s="21"/>
      <c r="F38" s="21" t="s">
        <v>58</v>
      </c>
      <c r="G38" s="23">
        <v>1</v>
      </c>
      <c r="H38" s="21">
        <v>12</v>
      </c>
    </row>
    <row r="39" spans="3:8">
      <c r="C39" s="3" t="s">
        <v>59</v>
      </c>
      <c r="D39" s="21"/>
      <c r="E39" s="21"/>
      <c r="F39" s="21"/>
      <c r="G39" s="23"/>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66</v>
      </c>
    </row>
    <row r="47" spans="3:8">
      <c r="C47" s="25" t="s">
        <v>56</v>
      </c>
      <c r="D47" s="24" t="s">
        <v>43</v>
      </c>
      <c r="E47" s="24" t="s">
        <v>67</v>
      </c>
      <c r="F47" s="24" t="s">
        <v>68</v>
      </c>
    </row>
    <row r="48" spans="3:8">
      <c r="C48" s="25" t="s">
        <v>56</v>
      </c>
      <c r="D48" s="24" t="s">
        <v>45</v>
      </c>
      <c r="E48" s="24" t="s">
        <v>69</v>
      </c>
      <c r="F48" s="24" t="s">
        <v>70</v>
      </c>
    </row>
    <row r="49" spans="3:6">
      <c r="C49" s="25" t="s">
        <v>59</v>
      </c>
      <c r="D49" s="24"/>
      <c r="E49" s="24"/>
      <c r="F49" s="24"/>
    </row>
    <row r="50" spans="3:6">
      <c r="C50" s="25" t="s">
        <v>59</v>
      </c>
      <c r="D50" s="24"/>
      <c r="E50" s="24"/>
      <c r="F50" s="24"/>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77</v>
      </c>
      <c r="E83" s="21" t="s">
        <v>78</v>
      </c>
      <c r="F83" s="21" t="s">
        <v>79</v>
      </c>
    </row>
    <row r="84" spans="2:6">
      <c r="B84" s="7">
        <v>2</v>
      </c>
      <c r="C84" s="1">
        <v>2</v>
      </c>
      <c r="D84" s="21" t="s">
        <v>80</v>
      </c>
      <c r="E84" s="21" t="s">
        <v>81</v>
      </c>
      <c r="F84" s="21" t="s">
        <v>79</v>
      </c>
    </row>
    <row r="85" spans="2:6">
      <c r="B85" s="7">
        <v>2</v>
      </c>
      <c r="C85" s="1">
        <v>3</v>
      </c>
      <c r="D85" s="21" t="s">
        <v>82</v>
      </c>
      <c r="E85" s="21" t="s">
        <v>83</v>
      </c>
      <c r="F85" s="21" t="s">
        <v>79</v>
      </c>
    </row>
    <row r="86" spans="2:6">
      <c r="B86" s="7">
        <v>2</v>
      </c>
      <c r="C86" s="1">
        <v>4</v>
      </c>
      <c r="D86" s="21" t="s">
        <v>84</v>
      </c>
      <c r="E86" s="21" t="s">
        <v>85</v>
      </c>
      <c r="F86" s="21" t="s">
        <v>79</v>
      </c>
    </row>
    <row r="87" spans="2:6">
      <c r="B87" s="7">
        <v>2</v>
      </c>
      <c r="C87" s="1">
        <v>5</v>
      </c>
      <c r="D87" s="21" t="s">
        <v>86</v>
      </c>
      <c r="E87" s="21" t="s">
        <v>87</v>
      </c>
      <c r="F87" s="21" t="s">
        <v>79</v>
      </c>
    </row>
    <row r="88" spans="2:6">
      <c r="B88" s="7">
        <v>2</v>
      </c>
      <c r="C88" s="1">
        <v>6</v>
      </c>
      <c r="D88" s="21" t="s">
        <v>88</v>
      </c>
      <c r="E88" s="21" t="s">
        <v>89</v>
      </c>
      <c r="F88" s="21" t="s">
        <v>79</v>
      </c>
    </row>
    <row r="89" spans="2:6">
      <c r="B89" s="7">
        <v>2</v>
      </c>
      <c r="C89" s="1">
        <v>7</v>
      </c>
      <c r="D89" s="21" t="s">
        <v>90</v>
      </c>
      <c r="E89" s="21"/>
      <c r="F89" s="21"/>
    </row>
    <row r="90" spans="2:6">
      <c r="B90" s="7">
        <v>2</v>
      </c>
      <c r="C90" s="1">
        <v>8</v>
      </c>
      <c r="D90" s="21" t="s">
        <v>91</v>
      </c>
      <c r="E90" s="21" t="s">
        <v>89</v>
      </c>
      <c r="F90" s="21" t="s">
        <v>79</v>
      </c>
    </row>
    <row r="91" spans="2:6">
      <c r="B91" s="7">
        <v>2</v>
      </c>
      <c r="C91" s="1">
        <v>9</v>
      </c>
      <c r="D91" s="21" t="s">
        <v>92</v>
      </c>
      <c r="E91" s="21" t="s">
        <v>93</v>
      </c>
      <c r="F91" s="21" t="s">
        <v>79</v>
      </c>
    </row>
    <row r="92" spans="2:6">
      <c r="B92" s="7">
        <v>2</v>
      </c>
      <c r="C92" s="1">
        <v>10</v>
      </c>
      <c r="D92" s="21" t="s">
        <v>94</v>
      </c>
      <c r="E92" s="21" t="s">
        <v>95</v>
      </c>
      <c r="F92" s="21" t="s">
        <v>79</v>
      </c>
    </row>
    <row r="93" spans="2:6">
      <c r="B93" s="7">
        <v>2</v>
      </c>
      <c r="C93" s="1">
        <v>11</v>
      </c>
      <c r="D93" s="21" t="s">
        <v>96</v>
      </c>
      <c r="E93" s="21" t="s">
        <v>97</v>
      </c>
      <c r="F93" s="21" t="s">
        <v>79</v>
      </c>
    </row>
    <row r="94" spans="2:6">
      <c r="B94" s="7">
        <v>2</v>
      </c>
      <c r="C94" s="1">
        <v>12</v>
      </c>
      <c r="D94" s="21" t="s">
        <v>98</v>
      </c>
      <c r="E94" s="21" t="s">
        <v>98</v>
      </c>
      <c r="F94" s="21" t="s">
        <v>98</v>
      </c>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9" sqref="D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4401SPS</v>
      </c>
      <c r="D2" s="20" t="str">
        <f>D8</f>
        <v xml:space="preserve">Professional Practice in Sport Coaching 1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99</v>
      </c>
      <c r="E7" s="4"/>
      <c r="F7" s="24"/>
    </row>
    <row r="8" spans="2:6">
      <c r="B8" s="2"/>
      <c r="C8" s="3" t="s">
        <v>7</v>
      </c>
      <c r="D8" s="26" t="s">
        <v>100</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5401SPS</v>
      </c>
      <c r="D2" s="20" t="str">
        <f>D8</f>
        <v>Professional Practice in Sport Coaching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125</v>
      </c>
      <c r="E7" s="4"/>
      <c r="F7" s="24"/>
    </row>
    <row r="8" spans="2:6">
      <c r="B8" s="2"/>
      <c r="C8" s="3" t="s">
        <v>7</v>
      </c>
      <c r="D8" s="21" t="s">
        <v>126</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topLeftCell="D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5402SPS</v>
      </c>
      <c r="D2" s="20" t="str">
        <f>D8</f>
        <v>Effective Coaching in Paralympic and Disability Sport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127</v>
      </c>
      <c r="E7" s="4"/>
      <c r="F7" s="24"/>
    </row>
    <row r="8" spans="2:6">
      <c r="B8" s="2"/>
      <c r="C8" s="3" t="s">
        <v>7</v>
      </c>
      <c r="D8" s="21" t="s">
        <v>128</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5403SPS</v>
      </c>
      <c r="D2" s="20" t="str">
        <f>D8</f>
        <v>Strength and Conditioning for Coaches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129</v>
      </c>
      <c r="E7" s="4"/>
      <c r="F7" s="24"/>
    </row>
    <row r="8" spans="2:6">
      <c r="B8" s="2"/>
      <c r="C8" s="3" t="s">
        <v>7</v>
      </c>
      <c r="D8" s="21" t="s">
        <v>130</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5404SPS</v>
      </c>
      <c r="D2" s="20" t="str">
        <f>D8</f>
        <v>Learning Theory and Practice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131</v>
      </c>
      <c r="E7" s="4"/>
      <c r="F7" s="24"/>
    </row>
    <row r="8" spans="2:6">
      <c r="B8" s="2"/>
      <c r="C8" s="3" t="s">
        <v>7</v>
      </c>
      <c r="D8" s="21" t="s">
        <v>132</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topLeftCell="B9" zoomScale="85" zoomScaleNormal="85" workbookViewId="0">
      <selection activeCell="D8" sqref="D8"/>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5405SPS</v>
      </c>
      <c r="D2" s="20" t="str">
        <f>D8</f>
        <v>Youth and Community Football Coaching</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133</v>
      </c>
      <c r="E7" s="4"/>
      <c r="F7" s="24"/>
    </row>
    <row r="8" spans="2:6">
      <c r="B8" s="2"/>
      <c r="C8" s="3" t="s">
        <v>7</v>
      </c>
      <c r="D8" s="21" t="s">
        <v>134</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1" zoomScale="85" zoomScaleNormal="85" workbookViewId="0">
      <selection activeCell="D8" sqref="D8"/>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6404SPS</v>
      </c>
      <c r="D2" s="20" t="str">
        <f>D8</f>
        <v xml:space="preserve">Advanced Coaching Practice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135</v>
      </c>
      <c r="E7" s="4"/>
      <c r="F7" s="24"/>
    </row>
    <row r="8" spans="2:6">
      <c r="B8" s="2"/>
      <c r="C8" s="3" t="s">
        <v>7</v>
      </c>
      <c r="D8" s="21" t="s">
        <v>136</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A61" zoomScale="85" zoomScaleNormal="85" workbookViewId="0">
      <selection activeCell="E83" sqref="E83"/>
    </sheetView>
  </sheetViews>
  <sheetFormatPr defaultRowHeight="15"/>
  <cols>
    <col min="3" max="3" width="33.28515625" customWidth="1"/>
    <col min="4" max="4" width="51.5703125" customWidth="1"/>
    <col min="5" max="5" width="67.28515625" customWidth="1"/>
    <col min="6" max="6" width="123" customWidth="1"/>
    <col min="7" max="7" width="12.42578125" customWidth="1"/>
    <col min="8" max="8" width="15.5703125" customWidth="1"/>
    <col min="9" max="9" width="14.7109375" customWidth="1"/>
  </cols>
  <sheetData>
    <row r="2" spans="2:6" ht="26.25">
      <c r="C2" s="20" t="str">
        <f>D7</f>
        <v>6405SPS</v>
      </c>
      <c r="D2" s="20" t="str">
        <f>D8</f>
        <v xml:space="preserve">Coach Development and Learning </v>
      </c>
    </row>
    <row r="3" spans="2:6">
      <c r="B3" s="1"/>
      <c r="C3" s="1"/>
    </row>
    <row r="4" spans="2:6">
      <c r="B4" s="2"/>
      <c r="C4" s="2"/>
    </row>
    <row r="5" spans="2:6" ht="18.75">
      <c r="B5" s="2"/>
      <c r="C5" s="5" t="s">
        <v>0</v>
      </c>
    </row>
    <row r="6" spans="2:6">
      <c r="B6" s="2"/>
      <c r="C6" s="3" t="s">
        <v>1</v>
      </c>
      <c r="D6" s="4" t="s">
        <v>2</v>
      </c>
      <c r="E6" s="4"/>
      <c r="F6" t="s">
        <v>3</v>
      </c>
    </row>
    <row r="7" spans="2:6" ht="13.5" customHeight="1">
      <c r="B7" s="2"/>
      <c r="C7" s="3" t="s">
        <v>4</v>
      </c>
      <c r="D7" s="21" t="s">
        <v>137</v>
      </c>
      <c r="E7" s="4"/>
      <c r="F7" s="32" t="s">
        <v>138</v>
      </c>
    </row>
    <row r="8" spans="2:6" ht="15.75">
      <c r="B8" s="2"/>
      <c r="C8" s="3" t="s">
        <v>7</v>
      </c>
      <c r="D8" s="21" t="s">
        <v>139</v>
      </c>
      <c r="E8" s="4"/>
      <c r="F8" s="32"/>
    </row>
    <row r="9" spans="2:6" ht="15.75">
      <c r="C9" s="3" t="s">
        <v>9</v>
      </c>
      <c r="D9" s="21">
        <v>20</v>
      </c>
      <c r="E9" s="4"/>
      <c r="F9" s="32"/>
    </row>
    <row r="10" spans="2:6" ht="15.75">
      <c r="C10" s="3" t="s">
        <v>10</v>
      </c>
      <c r="D10" s="21">
        <v>1</v>
      </c>
      <c r="E10" s="4"/>
      <c r="F10" s="32"/>
    </row>
    <row r="11" spans="2:6" ht="15.75">
      <c r="C11" s="3" t="s">
        <v>12</v>
      </c>
      <c r="D11" s="21">
        <v>6</v>
      </c>
      <c r="E11" s="4"/>
      <c r="F11" s="32"/>
    </row>
    <row r="12" spans="2:6" ht="15.75">
      <c r="C12" s="3" t="s">
        <v>14</v>
      </c>
      <c r="D12" s="21" t="s">
        <v>140</v>
      </c>
      <c r="E12" s="4"/>
      <c r="F12" s="32"/>
    </row>
    <row r="13" spans="2:6" ht="15.75">
      <c r="C13" s="3" t="s">
        <v>17</v>
      </c>
      <c r="D13" s="21" t="s">
        <v>18</v>
      </c>
      <c r="E13" s="4"/>
      <c r="F13" s="32"/>
    </row>
    <row r="14" spans="2:6" ht="15.75">
      <c r="C14" s="3" t="s">
        <v>20</v>
      </c>
      <c r="D14" s="21" t="s">
        <v>21</v>
      </c>
      <c r="E14" s="4"/>
      <c r="F14" s="32"/>
    </row>
    <row r="15" spans="2:6" ht="15.75">
      <c r="C15" s="3"/>
      <c r="D15" s="4"/>
      <c r="E15" s="4"/>
      <c r="F15" s="32" t="s">
        <v>141</v>
      </c>
    </row>
    <row r="16" spans="2:6" ht="15.75">
      <c r="C16" s="3"/>
      <c r="D16" s="4"/>
      <c r="E16" s="4"/>
      <c r="F16" s="32"/>
    </row>
    <row r="17" spans="3:6" ht="18.75">
      <c r="C17" s="5" t="s">
        <v>26</v>
      </c>
      <c r="D17" s="4"/>
      <c r="E17" s="4"/>
      <c r="F17" s="32"/>
    </row>
    <row r="18" spans="3:6">
      <c r="C18" s="3" t="s">
        <v>27</v>
      </c>
      <c r="D18" s="1" t="s">
        <v>26</v>
      </c>
      <c r="E18" s="4"/>
      <c r="F18" s="24"/>
    </row>
    <row r="19" spans="3:6">
      <c r="C19" s="3" t="s">
        <v>28</v>
      </c>
      <c r="D19" s="22">
        <v>10</v>
      </c>
      <c r="E19" s="4"/>
      <c r="F19" s="24"/>
    </row>
    <row r="20" spans="3:6">
      <c r="C20" s="3" t="s">
        <v>29</v>
      </c>
      <c r="D20" s="22">
        <v>20</v>
      </c>
      <c r="E20" s="4"/>
      <c r="F20" s="24"/>
    </row>
    <row r="21" spans="3:6">
      <c r="C21" s="3" t="s">
        <v>30</v>
      </c>
      <c r="D21" s="22"/>
      <c r="E21" s="4"/>
    </row>
    <row r="22" spans="3:6">
      <c r="C22" s="3" t="s">
        <v>31</v>
      </c>
      <c r="D22" s="22">
        <v>10</v>
      </c>
      <c r="E22" s="4"/>
      <c r="F22" t="s">
        <v>32</v>
      </c>
    </row>
    <row r="23" spans="3:6">
      <c r="C23" s="3" t="s">
        <v>33</v>
      </c>
      <c r="D23" s="22"/>
      <c r="E23" s="4"/>
      <c r="F23" s="24"/>
    </row>
    <row r="24" spans="3:6">
      <c r="C24" s="3" t="s">
        <v>35</v>
      </c>
      <c r="D24" s="1">
        <f>SUM(D19:D23)</f>
        <v>40</v>
      </c>
      <c r="E24" s="4"/>
      <c r="F24" s="24"/>
    </row>
    <row r="25" spans="3:6">
      <c r="F25" s="24"/>
    </row>
    <row r="26" spans="3:6">
      <c r="F26" s="24"/>
    </row>
    <row r="27" spans="3:6" ht="18.75">
      <c r="C27" s="5" t="s">
        <v>37</v>
      </c>
      <c r="D27" s="12" t="s">
        <v>38</v>
      </c>
      <c r="F27" s="24"/>
    </row>
    <row r="28" spans="3:6">
      <c r="C28" s="3" t="s">
        <v>39</v>
      </c>
      <c r="D28" s="3" t="s">
        <v>40</v>
      </c>
      <c r="E28" s="3"/>
      <c r="F28" s="24"/>
    </row>
    <row r="29" spans="3:6" ht="45">
      <c r="C29" s="3" t="s">
        <v>41</v>
      </c>
      <c r="D29" s="33" t="s">
        <v>142</v>
      </c>
      <c r="E29" s="4"/>
      <c r="F29" s="24"/>
    </row>
    <row r="30" spans="3:6" ht="43.5">
      <c r="C30" s="3" t="s">
        <v>43</v>
      </c>
      <c r="D30" s="34" t="s">
        <v>143</v>
      </c>
      <c r="E30" s="4"/>
      <c r="F30" s="24"/>
    </row>
    <row r="31" spans="3:6" ht="60">
      <c r="C31" s="3" t="s">
        <v>45</v>
      </c>
      <c r="D31" s="21" t="s">
        <v>144</v>
      </c>
      <c r="E31" s="4"/>
      <c r="F31" s="24"/>
    </row>
    <row r="32" spans="3:6" ht="57.75">
      <c r="C32" s="3" t="s">
        <v>47</v>
      </c>
      <c r="D32" s="34" t="s">
        <v>145</v>
      </c>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146</v>
      </c>
      <c r="E38" s="21" t="s">
        <v>102</v>
      </c>
      <c r="F38" s="21" t="s">
        <v>147</v>
      </c>
      <c r="G38" s="23">
        <v>1</v>
      </c>
      <c r="H38" s="21">
        <v>12</v>
      </c>
    </row>
    <row r="39" spans="3:8">
      <c r="C39" s="3" t="s">
        <v>59</v>
      </c>
      <c r="D39" s="21"/>
      <c r="E39" s="21"/>
      <c r="F39" s="21"/>
      <c r="G39" s="23"/>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148</v>
      </c>
    </row>
    <row r="47" spans="3:8">
      <c r="C47" s="25" t="s">
        <v>56</v>
      </c>
      <c r="D47" s="24" t="s">
        <v>43</v>
      </c>
      <c r="E47" s="24" t="s">
        <v>65</v>
      </c>
      <c r="F47" s="24" t="s">
        <v>148</v>
      </c>
    </row>
    <row r="48" spans="3:8">
      <c r="C48" s="25" t="s">
        <v>56</v>
      </c>
      <c r="D48" s="24" t="s">
        <v>45</v>
      </c>
      <c r="E48" s="24" t="s">
        <v>67</v>
      </c>
      <c r="F48" s="24" t="s">
        <v>66</v>
      </c>
    </row>
    <row r="49" spans="3:6">
      <c r="C49" s="25" t="s">
        <v>56</v>
      </c>
      <c r="D49" s="24" t="s">
        <v>47</v>
      </c>
      <c r="E49" s="24" t="s">
        <v>67</v>
      </c>
      <c r="F49" s="24" t="s">
        <v>66</v>
      </c>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ht="15.75">
      <c r="B71" s="7">
        <v>1</v>
      </c>
      <c r="C71" s="1">
        <v>1</v>
      </c>
      <c r="D71" s="35" t="s">
        <v>149</v>
      </c>
      <c r="E71" s="21"/>
      <c r="F71" s="21" t="s">
        <v>150</v>
      </c>
    </row>
    <row r="72" spans="2:6" ht="15.75">
      <c r="B72" s="7">
        <v>1</v>
      </c>
      <c r="C72" s="1">
        <v>2</v>
      </c>
      <c r="D72" s="36" t="s">
        <v>151</v>
      </c>
      <c r="E72" s="21"/>
      <c r="F72" s="21" t="s">
        <v>152</v>
      </c>
    </row>
    <row r="73" spans="2:6" ht="15.75">
      <c r="B73" s="7">
        <v>1</v>
      </c>
      <c r="C73" s="1">
        <v>3</v>
      </c>
      <c r="D73" s="36" t="s">
        <v>153</v>
      </c>
      <c r="E73" s="21"/>
      <c r="F73" s="21" t="s">
        <v>152</v>
      </c>
    </row>
    <row r="74" spans="2:6" ht="15.75">
      <c r="B74" s="7">
        <v>1</v>
      </c>
      <c r="C74" s="1">
        <v>4</v>
      </c>
      <c r="D74" s="36" t="s">
        <v>154</v>
      </c>
      <c r="E74" s="21"/>
      <c r="F74" s="21" t="s">
        <v>152</v>
      </c>
    </row>
    <row r="75" spans="2:6" ht="15.75">
      <c r="B75" s="7">
        <v>1</v>
      </c>
      <c r="C75" s="1">
        <v>5</v>
      </c>
      <c r="D75" s="36" t="s">
        <v>155</v>
      </c>
      <c r="E75" s="21"/>
      <c r="F75" s="21" t="s">
        <v>152</v>
      </c>
    </row>
    <row r="76" spans="2:6" ht="15.75">
      <c r="B76" s="7">
        <v>1</v>
      </c>
      <c r="C76" s="1">
        <v>6</v>
      </c>
      <c r="D76" s="36" t="s">
        <v>156</v>
      </c>
      <c r="E76" s="21"/>
      <c r="F76" s="21" t="s">
        <v>152</v>
      </c>
    </row>
    <row r="77" spans="2:6" ht="15.75">
      <c r="B77" s="7">
        <v>1</v>
      </c>
      <c r="C77" s="1">
        <v>7</v>
      </c>
      <c r="D77" s="36" t="s">
        <v>157</v>
      </c>
      <c r="E77" s="21"/>
      <c r="F77" s="21"/>
    </row>
    <row r="78" spans="2:6" ht="15.75">
      <c r="B78" s="7">
        <v>1</v>
      </c>
      <c r="C78" s="1">
        <v>8</v>
      </c>
      <c r="D78" s="35" t="s">
        <v>158</v>
      </c>
      <c r="E78" s="21"/>
      <c r="F78" s="21" t="s">
        <v>150</v>
      </c>
    </row>
    <row r="79" spans="2:6" ht="15.75">
      <c r="B79" s="7">
        <v>1</v>
      </c>
      <c r="C79" s="1">
        <v>9</v>
      </c>
      <c r="D79" s="36" t="s">
        <v>159</v>
      </c>
      <c r="E79" s="21"/>
      <c r="F79" s="21" t="s">
        <v>150</v>
      </c>
    </row>
    <row r="80" spans="2:6" ht="15.75">
      <c r="B80" s="7">
        <v>1</v>
      </c>
      <c r="C80" s="1">
        <v>10</v>
      </c>
      <c r="D80" s="36" t="s">
        <v>160</v>
      </c>
      <c r="E80" s="21"/>
      <c r="F80" s="21" t="s">
        <v>150</v>
      </c>
    </row>
    <row r="81" spans="2:6" ht="15.75">
      <c r="B81" s="7">
        <v>1</v>
      </c>
      <c r="C81" s="1">
        <v>11</v>
      </c>
      <c r="D81" s="36" t="s">
        <v>161</v>
      </c>
      <c r="E81" s="21"/>
      <c r="F81" s="21" t="s">
        <v>150</v>
      </c>
    </row>
    <row r="82" spans="2:6" ht="15.75">
      <c r="B82" s="7">
        <v>1</v>
      </c>
      <c r="C82" s="1">
        <v>12</v>
      </c>
      <c r="D82" s="37" t="s">
        <v>162</v>
      </c>
      <c r="E82" s="21"/>
      <c r="F82" s="21" t="s">
        <v>31</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topLeftCell="B9"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6403SPS</v>
      </c>
      <c r="D2" s="20" t="str">
        <f>D8</f>
        <v xml:space="preserve">Placement/Projects in Sport for Professional Development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163</v>
      </c>
      <c r="E7" s="4"/>
      <c r="F7" s="24"/>
    </row>
    <row r="8" spans="2:6" ht="30">
      <c r="B8" s="2"/>
      <c r="C8" s="3" t="s">
        <v>7</v>
      </c>
      <c r="D8" s="21" t="s">
        <v>164</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topLeftCell="A30" zoomScale="85" zoomScaleNormal="85" workbookViewId="0">
      <selection activeCell="F46" sqref="F46"/>
    </sheetView>
  </sheetViews>
  <sheetFormatPr defaultRowHeight="15"/>
  <cols>
    <col min="3" max="3" width="33.28515625" customWidth="1"/>
    <col min="4" max="4" width="50.28515625" customWidth="1"/>
    <col min="5" max="5" width="34.5703125" customWidth="1"/>
    <col min="6" max="6" width="105" customWidth="1"/>
    <col min="7" max="7" width="12.42578125" customWidth="1"/>
    <col min="8" max="8" width="15.5703125" customWidth="1"/>
    <col min="9" max="9" width="14.7109375" customWidth="1"/>
  </cols>
  <sheetData>
    <row r="2" spans="2:6" ht="26.25">
      <c r="C2" s="20" t="str">
        <f>D7</f>
        <v>6097SPS</v>
      </c>
      <c r="D2" s="20" t="str">
        <f>D8</f>
        <v>Working in High Performance Sport</v>
      </c>
    </row>
    <row r="3" spans="2:6">
      <c r="B3" s="1"/>
      <c r="C3" s="1"/>
    </row>
    <row r="4" spans="2:6">
      <c r="B4" s="2"/>
      <c r="C4" s="2"/>
    </row>
    <row r="5" spans="2:6" ht="18.75">
      <c r="B5" s="2"/>
      <c r="C5" s="5" t="s">
        <v>0</v>
      </c>
    </row>
    <row r="6" spans="2:6">
      <c r="B6" s="2"/>
      <c r="C6" s="3" t="s">
        <v>1</v>
      </c>
      <c r="D6" s="4" t="s">
        <v>2</v>
      </c>
      <c r="E6" s="4"/>
      <c r="F6" t="s">
        <v>3</v>
      </c>
    </row>
    <row r="7" spans="2:6" ht="51" customHeight="1">
      <c r="B7" s="2"/>
      <c r="C7" s="3" t="s">
        <v>4</v>
      </c>
      <c r="D7" s="21" t="s">
        <v>165</v>
      </c>
      <c r="E7" s="4"/>
      <c r="F7" s="27" t="s">
        <v>166</v>
      </c>
    </row>
    <row r="8" spans="2:6">
      <c r="B8" s="2"/>
      <c r="C8" s="3" t="s">
        <v>7</v>
      </c>
      <c r="D8" s="21" t="s">
        <v>167</v>
      </c>
      <c r="E8" s="4"/>
      <c r="F8" s="28"/>
    </row>
    <row r="9" spans="2:6">
      <c r="C9" s="3" t="s">
        <v>9</v>
      </c>
      <c r="D9" s="21">
        <v>20</v>
      </c>
      <c r="E9" s="4"/>
    </row>
    <row r="10" spans="2:6">
      <c r="C10" s="3" t="s">
        <v>10</v>
      </c>
      <c r="D10" s="21">
        <v>1</v>
      </c>
      <c r="E10" s="4"/>
      <c r="F10" t="s">
        <v>11</v>
      </c>
    </row>
    <row r="11" spans="2:6" ht="90">
      <c r="C11" s="3" t="s">
        <v>12</v>
      </c>
      <c r="D11" s="21">
        <v>6</v>
      </c>
      <c r="E11" s="4"/>
      <c r="F11" s="29" t="s">
        <v>168</v>
      </c>
    </row>
    <row r="12" spans="2:6" ht="60">
      <c r="C12" s="3" t="s">
        <v>14</v>
      </c>
      <c r="D12" s="21" t="s">
        <v>169</v>
      </c>
      <c r="E12" s="4"/>
      <c r="F12" s="29" t="s">
        <v>170</v>
      </c>
    </row>
    <row r="13" spans="2:6" ht="105">
      <c r="C13" s="3" t="s">
        <v>17</v>
      </c>
      <c r="D13" s="21" t="s">
        <v>171</v>
      </c>
      <c r="E13" s="4"/>
      <c r="F13" s="29" t="s">
        <v>172</v>
      </c>
    </row>
    <row r="14" spans="2:6">
      <c r="C14" s="3" t="s">
        <v>20</v>
      </c>
      <c r="D14" s="21" t="s">
        <v>173</v>
      </c>
      <c r="E14" s="4"/>
    </row>
    <row r="15" spans="2:6">
      <c r="C15" s="3"/>
      <c r="D15" s="4"/>
      <c r="E15" s="4"/>
      <c r="F15" t="s">
        <v>24</v>
      </c>
    </row>
    <row r="16" spans="2:6">
      <c r="C16" s="3"/>
      <c r="D16" s="4"/>
      <c r="E16" s="4"/>
      <c r="F16" s="24" t="s">
        <v>174</v>
      </c>
    </row>
    <row r="17" spans="3:6" ht="18.75">
      <c r="C17" s="5" t="s">
        <v>26</v>
      </c>
      <c r="D17" s="4"/>
      <c r="E17" s="4"/>
      <c r="F17" s="24"/>
    </row>
    <row r="18" spans="3:6">
      <c r="C18" s="3" t="s">
        <v>27</v>
      </c>
      <c r="D18" s="1" t="s">
        <v>26</v>
      </c>
      <c r="E18" s="4"/>
      <c r="F18" s="24"/>
    </row>
    <row r="19" spans="3:6">
      <c r="C19" s="3" t="s">
        <v>28</v>
      </c>
      <c r="D19" s="22">
        <v>20</v>
      </c>
      <c r="E19" s="4"/>
      <c r="F19" s="24"/>
    </row>
    <row r="20" spans="3:6">
      <c r="C20" s="3" t="s">
        <v>29</v>
      </c>
      <c r="D20" s="22">
        <v>2</v>
      </c>
      <c r="E20" s="4"/>
      <c r="F20" s="24"/>
    </row>
    <row r="21" spans="3:6">
      <c r="C21" s="3" t="s">
        <v>30</v>
      </c>
      <c r="D21" s="22">
        <v>8</v>
      </c>
      <c r="E21" s="4"/>
    </row>
    <row r="22" spans="3:6">
      <c r="C22" s="3" t="s">
        <v>31</v>
      </c>
      <c r="D22" s="22">
        <v>10</v>
      </c>
      <c r="E22" s="4"/>
      <c r="F22" t="s">
        <v>32</v>
      </c>
    </row>
    <row r="23" spans="3:6">
      <c r="C23" s="3" t="s">
        <v>33</v>
      </c>
      <c r="D23" s="22"/>
      <c r="E23" s="4"/>
      <c r="F23" s="24"/>
    </row>
    <row r="24" spans="3:6">
      <c r="C24" s="3" t="s">
        <v>35</v>
      </c>
      <c r="D24" s="1">
        <f>SUM(D19:D23)</f>
        <v>40</v>
      </c>
      <c r="E24" s="4"/>
      <c r="F24" s="24"/>
    </row>
    <row r="25" spans="3:6">
      <c r="F25" s="24"/>
    </row>
    <row r="26" spans="3:6">
      <c r="F26" s="24"/>
    </row>
    <row r="27" spans="3:6" ht="18.75">
      <c r="C27" s="5" t="s">
        <v>37</v>
      </c>
      <c r="D27" s="12" t="s">
        <v>38</v>
      </c>
      <c r="F27" s="24"/>
    </row>
    <row r="28" spans="3:6">
      <c r="C28" s="3" t="s">
        <v>39</v>
      </c>
      <c r="D28" s="3" t="s">
        <v>40</v>
      </c>
      <c r="E28" s="3"/>
      <c r="F28" s="24"/>
    </row>
    <row r="29" spans="3:6" ht="60">
      <c r="C29" s="3" t="s">
        <v>41</v>
      </c>
      <c r="D29" s="21" t="s">
        <v>175</v>
      </c>
      <c r="E29" s="4"/>
      <c r="F29" s="24"/>
    </row>
    <row r="30" spans="3:6" ht="75">
      <c r="C30" s="3" t="s">
        <v>43</v>
      </c>
      <c r="D30" s="21" t="s">
        <v>176</v>
      </c>
      <c r="E30" s="4"/>
      <c r="F30" s="24"/>
    </row>
    <row r="31" spans="3:6" ht="45">
      <c r="C31" s="3" t="s">
        <v>45</v>
      </c>
      <c r="D31" s="21" t="s">
        <v>177</v>
      </c>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ht="195">
      <c r="C38" s="3" t="s">
        <v>56</v>
      </c>
      <c r="D38" s="21" t="s">
        <v>101</v>
      </c>
      <c r="E38" s="21" t="s">
        <v>102</v>
      </c>
      <c r="F38" s="31" t="s">
        <v>178</v>
      </c>
      <c r="G38" s="23">
        <v>0.3</v>
      </c>
      <c r="H38" s="21">
        <v>12</v>
      </c>
    </row>
    <row r="39" spans="3:8">
      <c r="C39" s="3" t="s">
        <v>59</v>
      </c>
      <c r="D39" s="21" t="s">
        <v>146</v>
      </c>
      <c r="E39" s="21"/>
      <c r="F39" s="30" t="s">
        <v>179</v>
      </c>
      <c r="G39" s="23">
        <v>0.7</v>
      </c>
      <c r="H39" s="21">
        <v>17</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67</v>
      </c>
      <c r="F46" s="24" t="s">
        <v>66</v>
      </c>
    </row>
    <row r="47" spans="3:8">
      <c r="C47" s="25" t="s">
        <v>56</v>
      </c>
      <c r="D47" s="24" t="s">
        <v>43</v>
      </c>
      <c r="E47" s="24" t="s">
        <v>106</v>
      </c>
      <c r="F47" s="24" t="s">
        <v>107</v>
      </c>
    </row>
    <row r="48" spans="3:8">
      <c r="C48" s="25" t="s">
        <v>59</v>
      </c>
      <c r="D48" s="24" t="s">
        <v>41</v>
      </c>
      <c r="E48" s="24" t="s">
        <v>106</v>
      </c>
      <c r="F48" s="24" t="s">
        <v>180</v>
      </c>
    </row>
    <row r="49" spans="3:6">
      <c r="C49" s="25" t="s">
        <v>59</v>
      </c>
      <c r="D49" s="24" t="s">
        <v>43</v>
      </c>
      <c r="E49" s="24" t="s">
        <v>181</v>
      </c>
      <c r="F49" s="24" t="s">
        <v>182</v>
      </c>
    </row>
    <row r="50" spans="3:6">
      <c r="C50" s="25" t="s">
        <v>59</v>
      </c>
      <c r="D50" s="24" t="s">
        <v>45</v>
      </c>
      <c r="E50" s="24" t="s">
        <v>69</v>
      </c>
      <c r="F50" s="24" t="s">
        <v>183</v>
      </c>
    </row>
    <row r="51" spans="3:6">
      <c r="C51" s="25" t="s">
        <v>60</v>
      </c>
      <c r="D51" s="24"/>
      <c r="E51" s="24"/>
      <c r="F51" s="24"/>
    </row>
    <row r="52" spans="3:6">
      <c r="C52" s="25" t="s">
        <v>60</v>
      </c>
      <c r="D52" s="24"/>
      <c r="E52" s="24"/>
      <c r="F52" s="24"/>
    </row>
    <row r="53" spans="3:6">
      <c r="C53" s="25" t="s">
        <v>60</v>
      </c>
      <c r="D53" s="24"/>
      <c r="E53" s="24"/>
      <c r="F53" s="24"/>
    </row>
    <row r="54" spans="3:6">
      <c r="C54" s="25" t="s">
        <v>61</v>
      </c>
      <c r="D54" s="24"/>
      <c r="E54" s="24"/>
      <c r="F54" s="24"/>
    </row>
    <row r="55" spans="3:6">
      <c r="C55" s="25" t="s">
        <v>61</v>
      </c>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8" spans="2:6" ht="18.75">
      <c r="C68" s="5" t="s">
        <v>71</v>
      </c>
    </row>
    <row r="69" spans="2:6">
      <c r="B69" t="s">
        <v>72</v>
      </c>
      <c r="C69" s="1" t="s">
        <v>73</v>
      </c>
      <c r="D69" s="1" t="s">
        <v>74</v>
      </c>
      <c r="E69" s="1" t="s">
        <v>75</v>
      </c>
      <c r="F69" s="1" t="s">
        <v>76</v>
      </c>
    </row>
    <row r="70" spans="2:6">
      <c r="B70" s="7">
        <v>1</v>
      </c>
      <c r="C70" s="1">
        <v>1</v>
      </c>
      <c r="D70" s="21"/>
      <c r="E70" s="21"/>
      <c r="F70" s="21"/>
    </row>
    <row r="71" spans="2:6">
      <c r="B71" s="7">
        <v>1</v>
      </c>
      <c r="C71" s="1">
        <v>2</v>
      </c>
      <c r="D71" s="21"/>
      <c r="E71" s="21"/>
      <c r="F71" s="21"/>
    </row>
    <row r="72" spans="2:6">
      <c r="B72" s="7">
        <v>1</v>
      </c>
      <c r="C72" s="1">
        <v>3</v>
      </c>
      <c r="D72" s="21"/>
      <c r="E72" s="21"/>
      <c r="F72" s="21"/>
    </row>
    <row r="73" spans="2:6">
      <c r="B73" s="7">
        <v>1</v>
      </c>
      <c r="C73" s="1">
        <v>4</v>
      </c>
      <c r="D73" s="21"/>
      <c r="E73" s="21"/>
      <c r="F73" s="21"/>
    </row>
    <row r="74" spans="2:6">
      <c r="B74" s="7">
        <v>1</v>
      </c>
      <c r="C74" s="1">
        <v>5</v>
      </c>
      <c r="D74" s="21"/>
      <c r="E74" s="21"/>
      <c r="F74" s="21"/>
    </row>
    <row r="75" spans="2:6">
      <c r="B75" s="7">
        <v>1</v>
      </c>
      <c r="C75" s="1">
        <v>6</v>
      </c>
      <c r="D75" s="21"/>
      <c r="E75" s="21"/>
      <c r="F75" s="21"/>
    </row>
    <row r="76" spans="2:6">
      <c r="B76" s="7">
        <v>1</v>
      </c>
      <c r="C76" s="1">
        <v>7</v>
      </c>
      <c r="D76" s="21"/>
      <c r="E76" s="21"/>
      <c r="F76" s="21"/>
    </row>
    <row r="77" spans="2:6">
      <c r="B77" s="7">
        <v>1</v>
      </c>
      <c r="C77" s="1">
        <v>8</v>
      </c>
      <c r="D77" s="21"/>
      <c r="E77" s="21"/>
      <c r="F77" s="21"/>
    </row>
    <row r="78" spans="2:6">
      <c r="B78" s="7">
        <v>1</v>
      </c>
      <c r="C78" s="1">
        <v>9</v>
      </c>
      <c r="D78" s="21"/>
      <c r="E78" s="21"/>
      <c r="F78" s="21"/>
    </row>
    <row r="79" spans="2:6">
      <c r="B79" s="7">
        <v>1</v>
      </c>
      <c r="C79" s="1">
        <v>10</v>
      </c>
      <c r="D79" s="21"/>
      <c r="E79" s="21"/>
      <c r="F79" s="21"/>
    </row>
    <row r="80" spans="2:6">
      <c r="B80" s="7">
        <v>1</v>
      </c>
      <c r="C80" s="1">
        <v>11</v>
      </c>
      <c r="D80" s="21"/>
      <c r="E80" s="21"/>
      <c r="F80" s="21"/>
    </row>
    <row r="81" spans="2:6">
      <c r="B81" s="7">
        <v>1</v>
      </c>
      <c r="C81" s="1">
        <v>12</v>
      </c>
      <c r="D81" s="21"/>
      <c r="E81" s="21"/>
      <c r="F81" s="21"/>
    </row>
    <row r="82" spans="2:6">
      <c r="B82" s="7">
        <v>2</v>
      </c>
      <c r="C82" s="1">
        <v>1</v>
      </c>
      <c r="D82" s="21"/>
      <c r="E82" s="21"/>
      <c r="F82" s="21"/>
    </row>
    <row r="83" spans="2:6">
      <c r="B83" s="7">
        <v>2</v>
      </c>
      <c r="C83" s="1">
        <v>2</v>
      </c>
      <c r="D83" s="21"/>
      <c r="E83" s="21"/>
      <c r="F83" s="21"/>
    </row>
    <row r="84" spans="2:6">
      <c r="B84" s="7">
        <v>2</v>
      </c>
      <c r="C84" s="1">
        <v>3</v>
      </c>
      <c r="D84" s="21"/>
      <c r="E84" s="21"/>
      <c r="F84" s="21"/>
    </row>
    <row r="85" spans="2:6">
      <c r="B85" s="7">
        <v>2</v>
      </c>
      <c r="C85" s="1">
        <v>4</v>
      </c>
      <c r="D85" s="21"/>
      <c r="E85" s="21"/>
      <c r="F85" s="21"/>
    </row>
    <row r="86" spans="2:6">
      <c r="B86" s="7">
        <v>2</v>
      </c>
      <c r="C86" s="1">
        <v>5</v>
      </c>
      <c r="D86" s="21"/>
      <c r="E86" s="21"/>
      <c r="F86" s="21"/>
    </row>
    <row r="87" spans="2:6">
      <c r="B87" s="7">
        <v>2</v>
      </c>
      <c r="C87" s="1">
        <v>6</v>
      </c>
      <c r="D87" s="21"/>
      <c r="E87" s="21"/>
      <c r="F87" s="21"/>
    </row>
    <row r="88" spans="2:6">
      <c r="B88" s="7">
        <v>2</v>
      </c>
      <c r="C88" s="1">
        <v>7</v>
      </c>
      <c r="D88" s="21"/>
      <c r="E88" s="21"/>
      <c r="F88" s="21"/>
    </row>
    <row r="89" spans="2:6">
      <c r="B89" s="7">
        <v>2</v>
      </c>
      <c r="C89" s="1">
        <v>8</v>
      </c>
      <c r="D89" s="21"/>
      <c r="E89" s="21"/>
      <c r="F89" s="21"/>
    </row>
    <row r="90" spans="2:6">
      <c r="B90" s="7">
        <v>2</v>
      </c>
      <c r="C90" s="1">
        <v>9</v>
      </c>
      <c r="D90" s="21"/>
      <c r="E90" s="21"/>
      <c r="F90" s="21"/>
    </row>
    <row r="91" spans="2:6">
      <c r="B91" s="7">
        <v>2</v>
      </c>
      <c r="C91" s="1">
        <v>10</v>
      </c>
      <c r="D91" s="21"/>
      <c r="E91" s="21"/>
      <c r="F91" s="21"/>
    </row>
    <row r="92" spans="2:6">
      <c r="B92" s="7">
        <v>2</v>
      </c>
      <c r="C92" s="1">
        <v>11</v>
      </c>
      <c r="D92" s="21"/>
      <c r="E92" s="21"/>
      <c r="F92" s="21"/>
    </row>
    <row r="93" spans="2:6">
      <c r="B93" s="7">
        <v>2</v>
      </c>
      <c r="C93" s="1">
        <v>12</v>
      </c>
      <c r="D93" s="21"/>
      <c r="E93" s="21"/>
      <c r="F93" s="21"/>
    </row>
  </sheetData>
  <sheetProtection selectLockedCells="1" sort="0" autoFilter="0" pivotTable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topLeftCell="B1" zoomScale="85" zoomScaleNormal="85" workbookViewId="0">
      <selection activeCell="F54" sqref="F5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184</v>
      </c>
      <c r="E7" s="4"/>
      <c r="F7" s="24"/>
    </row>
    <row r="8" spans="2:6">
      <c r="B8" s="2"/>
      <c r="C8" s="3" t="s">
        <v>7</v>
      </c>
      <c r="D8" s="21" t="s">
        <v>7</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D43" sqref="D43"/>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7" ht="26.25">
      <c r="C2" s="20" t="str">
        <f>D7</f>
        <v xml:space="preserve">6401SPS? </v>
      </c>
      <c r="D2" s="20" t="str">
        <f>D8</f>
        <v xml:space="preserve">Advanced Coaching Practice </v>
      </c>
    </row>
    <row r="3" spans="2:7">
      <c r="B3" s="1"/>
      <c r="C3" s="1"/>
    </row>
    <row r="4" spans="2:7">
      <c r="B4" s="2"/>
      <c r="C4" s="2"/>
    </row>
    <row r="5" spans="2:7" ht="18.75">
      <c r="B5" s="2"/>
      <c r="C5" s="5" t="s">
        <v>0</v>
      </c>
    </row>
    <row r="6" spans="2:7">
      <c r="B6" s="2"/>
      <c r="C6" s="3" t="s">
        <v>1</v>
      </c>
      <c r="D6" s="4" t="s">
        <v>2</v>
      </c>
      <c r="E6" s="4"/>
      <c r="F6" t="s">
        <v>3</v>
      </c>
    </row>
    <row r="7" spans="2:7">
      <c r="B7" s="2"/>
      <c r="C7" s="3" t="s">
        <v>4</v>
      </c>
      <c r="D7" s="21" t="s">
        <v>185</v>
      </c>
      <c r="E7" s="4"/>
      <c r="F7" s="24"/>
    </row>
    <row r="8" spans="2:7" ht="60">
      <c r="B8" s="2"/>
      <c r="C8" s="3" t="s">
        <v>7</v>
      </c>
      <c r="D8" s="21" t="s">
        <v>136</v>
      </c>
      <c r="E8" s="4"/>
      <c r="F8" s="50" t="s">
        <v>186</v>
      </c>
    </row>
    <row r="9" spans="2:7" ht="15.75">
      <c r="C9" s="3" t="s">
        <v>9</v>
      </c>
      <c r="D9" s="21">
        <v>20</v>
      </c>
      <c r="E9" s="4"/>
      <c r="F9" s="32" t="s">
        <v>187</v>
      </c>
    </row>
    <row r="10" spans="2:7" ht="15.75">
      <c r="C10" s="3" t="s">
        <v>10</v>
      </c>
      <c r="D10" s="21">
        <v>2</v>
      </c>
      <c r="E10" s="4"/>
      <c r="F10" s="46" t="s">
        <v>141</v>
      </c>
    </row>
    <row r="11" spans="2:7" ht="45">
      <c r="C11" s="3" t="s">
        <v>12</v>
      </c>
      <c r="D11" s="21">
        <v>6</v>
      </c>
      <c r="E11" s="4"/>
      <c r="F11" s="52" t="s">
        <v>188</v>
      </c>
      <c r="G11" s="32"/>
    </row>
    <row r="12" spans="2:7" ht="15.75">
      <c r="C12" s="3" t="s">
        <v>14</v>
      </c>
      <c r="D12" s="21" t="s">
        <v>189</v>
      </c>
      <c r="E12" s="4"/>
      <c r="F12" s="32" t="s">
        <v>187</v>
      </c>
      <c r="G12" s="32"/>
    </row>
    <row r="13" spans="2:7" ht="30">
      <c r="C13" s="3" t="s">
        <v>17</v>
      </c>
      <c r="D13" s="21" t="s">
        <v>18</v>
      </c>
      <c r="E13" s="4"/>
      <c r="F13" s="53" t="s">
        <v>190</v>
      </c>
    </row>
    <row r="14" spans="2:7" ht="15.75">
      <c r="C14" s="3" t="s">
        <v>20</v>
      </c>
      <c r="D14" s="21" t="s">
        <v>21</v>
      </c>
      <c r="E14" s="4"/>
      <c r="F14" s="51" t="s">
        <v>191</v>
      </c>
      <c r="G14" s="32"/>
    </row>
    <row r="15" spans="2:7" ht="15.75">
      <c r="C15" s="3"/>
      <c r="D15" s="4"/>
      <c r="E15" s="4"/>
      <c r="F15" s="53" t="s">
        <v>192</v>
      </c>
      <c r="G15" s="32"/>
    </row>
    <row r="16" spans="2:7" ht="15.75">
      <c r="C16" s="3"/>
      <c r="D16" s="4"/>
      <c r="E16" s="4"/>
      <c r="F16" s="51" t="s">
        <v>191</v>
      </c>
    </row>
    <row r="17" spans="3:7" ht="30">
      <c r="C17" s="5" t="s">
        <v>26</v>
      </c>
      <c r="D17" s="4"/>
      <c r="E17" s="4"/>
      <c r="F17" s="53" t="s">
        <v>193</v>
      </c>
      <c r="G17" s="32"/>
    </row>
    <row r="18" spans="3:7" ht="15.75">
      <c r="C18" s="3" t="s">
        <v>27</v>
      </c>
      <c r="D18" s="1" t="s">
        <v>26</v>
      </c>
      <c r="E18" s="4"/>
      <c r="F18" s="44">
        <v>6</v>
      </c>
      <c r="G18" s="32"/>
    </row>
    <row r="19" spans="3:7">
      <c r="C19" s="3" t="s">
        <v>28</v>
      </c>
      <c r="D19" s="22">
        <v>20</v>
      </c>
      <c r="E19" s="4"/>
      <c r="F19" s="24"/>
    </row>
    <row r="20" spans="3:7">
      <c r="C20" s="3" t="s">
        <v>29</v>
      </c>
      <c r="D20" s="22"/>
      <c r="E20" s="4"/>
      <c r="F20" s="24"/>
    </row>
    <row r="21" spans="3:7">
      <c r="C21" s="3" t="s">
        <v>30</v>
      </c>
      <c r="D21" s="22">
        <v>20</v>
      </c>
      <c r="E21" s="4"/>
    </row>
    <row r="22" spans="3:7">
      <c r="C22" s="3" t="s">
        <v>31</v>
      </c>
      <c r="D22" s="22"/>
      <c r="E22" s="4"/>
      <c r="F22" t="s">
        <v>32</v>
      </c>
    </row>
    <row r="23" spans="3:7">
      <c r="C23" s="3" t="s">
        <v>33</v>
      </c>
      <c r="D23" s="22">
        <v>0</v>
      </c>
      <c r="E23" s="4"/>
      <c r="F23" s="48" t="s">
        <v>194</v>
      </c>
    </row>
    <row r="24" spans="3:7" ht="150">
      <c r="C24" s="3" t="s">
        <v>35</v>
      </c>
      <c r="D24" s="1">
        <f>SUM(D19:D23)</f>
        <v>40</v>
      </c>
      <c r="E24" s="4"/>
      <c r="F24" s="47" t="s">
        <v>195</v>
      </c>
    </row>
    <row r="25" spans="3:7">
      <c r="F25" s="45" t="s">
        <v>187</v>
      </c>
    </row>
    <row r="26" spans="3:7">
      <c r="F26" s="48" t="s">
        <v>196</v>
      </c>
    </row>
    <row r="27" spans="3:7" ht="45">
      <c r="C27" s="5" t="s">
        <v>37</v>
      </c>
      <c r="D27" s="12" t="s">
        <v>38</v>
      </c>
      <c r="F27" s="47" t="s">
        <v>197</v>
      </c>
    </row>
    <row r="28" spans="3:7">
      <c r="C28" s="3" t="s">
        <v>39</v>
      </c>
      <c r="D28" s="3" t="s">
        <v>40</v>
      </c>
      <c r="E28" s="3"/>
      <c r="F28" s="45" t="s">
        <v>198</v>
      </c>
    </row>
    <row r="29" spans="3:7" ht="15.75">
      <c r="C29" s="3" t="s">
        <v>41</v>
      </c>
      <c r="D29" s="43" t="s">
        <v>199</v>
      </c>
      <c r="E29" s="4"/>
      <c r="F29" s="48" t="s">
        <v>200</v>
      </c>
    </row>
    <row r="30" spans="3:7" ht="75">
      <c r="C30" s="3" t="s">
        <v>43</v>
      </c>
      <c r="D30" s="43" t="s">
        <v>201</v>
      </c>
      <c r="E30" s="4"/>
      <c r="F30" s="47" t="s">
        <v>202</v>
      </c>
    </row>
    <row r="31" spans="3:7">
      <c r="C31" s="3" t="s">
        <v>45</v>
      </c>
      <c r="D31" s="21"/>
      <c r="E31" s="4"/>
      <c r="F31" s="45" t="s">
        <v>187</v>
      </c>
    </row>
    <row r="32" spans="3:7">
      <c r="C32" s="3" t="s">
        <v>47</v>
      </c>
      <c r="D32" s="21"/>
      <c r="E32" s="4"/>
      <c r="F32" s="48" t="s">
        <v>203</v>
      </c>
    </row>
    <row r="33" spans="3:8" ht="60">
      <c r="C33" s="3" t="s">
        <v>48</v>
      </c>
      <c r="D33" s="21"/>
      <c r="E33" s="4"/>
      <c r="F33" s="47" t="s">
        <v>204</v>
      </c>
    </row>
    <row r="36" spans="3:8" ht="18.75">
      <c r="C36" s="5" t="s">
        <v>49</v>
      </c>
    </row>
    <row r="37" spans="3:8">
      <c r="C37" s="3" t="s">
        <v>50</v>
      </c>
      <c r="D37" s="3" t="s">
        <v>51</v>
      </c>
      <c r="E37" s="3" t="s">
        <v>52</v>
      </c>
      <c r="F37" s="3" t="s">
        <v>53</v>
      </c>
      <c r="G37" s="3" t="s">
        <v>54</v>
      </c>
      <c r="H37" s="3" t="s">
        <v>55</v>
      </c>
    </row>
    <row r="38" spans="3:8">
      <c r="C38" s="3" t="s">
        <v>56</v>
      </c>
      <c r="D38" s="21" t="s">
        <v>57</v>
      </c>
      <c r="E38" s="21"/>
      <c r="F38" s="21" t="s">
        <v>205</v>
      </c>
      <c r="G38" s="23">
        <v>0.5</v>
      </c>
      <c r="H38" s="21"/>
    </row>
    <row r="39" spans="3:8">
      <c r="C39" s="3" t="s">
        <v>59</v>
      </c>
      <c r="D39" s="21" t="s">
        <v>30</v>
      </c>
      <c r="E39" s="21"/>
      <c r="F39" s="21" t="s">
        <v>206</v>
      </c>
      <c r="G39" s="23">
        <v>0.5</v>
      </c>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207</v>
      </c>
    </row>
    <row r="47" spans="3:8">
      <c r="C47" s="25" t="s">
        <v>56</v>
      </c>
      <c r="D47" s="24" t="s">
        <v>41</v>
      </c>
      <c r="E47" s="24" t="s">
        <v>65</v>
      </c>
      <c r="F47" s="24" t="s">
        <v>208</v>
      </c>
    </row>
    <row r="48" spans="3:8">
      <c r="C48" s="25" t="s">
        <v>56</v>
      </c>
      <c r="D48" s="24" t="s">
        <v>43</v>
      </c>
      <c r="E48" s="24" t="s">
        <v>67</v>
      </c>
      <c r="F48" s="24" t="s">
        <v>70</v>
      </c>
    </row>
    <row r="49" spans="3:6">
      <c r="C49" s="25" t="s">
        <v>59</v>
      </c>
      <c r="D49" s="24" t="s">
        <v>45</v>
      </c>
      <c r="E49" s="24" t="s">
        <v>67</v>
      </c>
      <c r="F49" s="24" t="s">
        <v>209</v>
      </c>
    </row>
    <row r="50" spans="3:6">
      <c r="C50" s="25" t="s">
        <v>59</v>
      </c>
      <c r="D50" s="24" t="s">
        <v>45</v>
      </c>
      <c r="E50" s="24" t="s">
        <v>181</v>
      </c>
      <c r="F50" s="24" t="s">
        <v>210</v>
      </c>
    </row>
    <row r="51" spans="3:6">
      <c r="C51" s="25" t="s">
        <v>59</v>
      </c>
      <c r="D51" s="24" t="s">
        <v>45</v>
      </c>
      <c r="E51" s="24" t="s">
        <v>211</v>
      </c>
      <c r="F51" s="24" t="s">
        <v>212</v>
      </c>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213</v>
      </c>
      <c r="E83" s="21" t="s">
        <v>214</v>
      </c>
      <c r="F83" s="21"/>
    </row>
    <row r="84" spans="2:6">
      <c r="B84" s="7">
        <v>2</v>
      </c>
      <c r="C84" s="1">
        <v>2</v>
      </c>
      <c r="D84" s="49" t="s">
        <v>215</v>
      </c>
      <c r="E84" s="21" t="s">
        <v>214</v>
      </c>
      <c r="F84" s="21"/>
    </row>
    <row r="85" spans="2:6">
      <c r="B85" s="7">
        <v>2</v>
      </c>
      <c r="C85" s="1">
        <v>3</v>
      </c>
      <c r="D85" s="49" t="s">
        <v>216</v>
      </c>
      <c r="E85" s="21" t="s">
        <v>214</v>
      </c>
      <c r="F85" s="21"/>
    </row>
    <row r="86" spans="2:6">
      <c r="B86" s="7">
        <v>2</v>
      </c>
      <c r="C86" s="1">
        <v>4</v>
      </c>
      <c r="D86" s="49" t="s">
        <v>217</v>
      </c>
      <c r="E86" s="21" t="s">
        <v>214</v>
      </c>
      <c r="F86" s="21"/>
    </row>
    <row r="87" spans="2:6">
      <c r="B87" s="7">
        <v>2</v>
      </c>
      <c r="C87" s="1">
        <v>5</v>
      </c>
      <c r="D87" s="49" t="s">
        <v>218</v>
      </c>
      <c r="E87" s="21" t="s">
        <v>214</v>
      </c>
      <c r="F87" s="21"/>
    </row>
    <row r="88" spans="2:6">
      <c r="B88" s="7">
        <v>2</v>
      </c>
      <c r="C88" s="1">
        <v>6</v>
      </c>
      <c r="D88" s="49" t="s">
        <v>219</v>
      </c>
      <c r="E88" s="21" t="s">
        <v>214</v>
      </c>
      <c r="F88" s="21"/>
    </row>
    <row r="89" spans="2:6">
      <c r="B89" s="7">
        <v>2</v>
      </c>
      <c r="C89" s="1">
        <v>7</v>
      </c>
      <c r="D89" s="49" t="s">
        <v>220</v>
      </c>
      <c r="E89" s="21" t="s">
        <v>214</v>
      </c>
      <c r="F89" s="21"/>
    </row>
    <row r="90" spans="2:6">
      <c r="B90" s="7">
        <v>2</v>
      </c>
      <c r="C90" s="1">
        <v>8</v>
      </c>
      <c r="D90" s="49" t="s">
        <v>221</v>
      </c>
      <c r="E90" s="21" t="s">
        <v>214</v>
      </c>
      <c r="F90" s="21"/>
    </row>
    <row r="91" spans="2:6">
      <c r="B91" s="7">
        <v>2</v>
      </c>
      <c r="C91" s="1">
        <v>9</v>
      </c>
      <c r="D91" s="50" t="s">
        <v>222</v>
      </c>
      <c r="E91" s="21" t="s">
        <v>214</v>
      </c>
      <c r="F91" s="21"/>
    </row>
    <row r="92" spans="2:6">
      <c r="B92" s="7">
        <v>2</v>
      </c>
      <c r="C92" s="1">
        <v>10</v>
      </c>
      <c r="D92" s="50" t="s">
        <v>223</v>
      </c>
      <c r="E92" s="21" t="s">
        <v>214</v>
      </c>
      <c r="F92" s="21"/>
    </row>
    <row r="93" spans="2:6">
      <c r="B93" s="7">
        <v>2</v>
      </c>
      <c r="C93" s="1">
        <v>11</v>
      </c>
      <c r="D93" s="21" t="s">
        <v>224</v>
      </c>
      <c r="E93" s="21" t="s">
        <v>225</v>
      </c>
      <c r="F93" s="21"/>
    </row>
    <row r="94" spans="2:6">
      <c r="B94" s="7">
        <v>2</v>
      </c>
      <c r="C94" s="1">
        <v>12</v>
      </c>
      <c r="D94" s="21" t="s">
        <v>224</v>
      </c>
      <c r="E94" s="21" t="s">
        <v>225</v>
      </c>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EDD8F-9A66-4C0C-88AA-5363F9301F24}">
  <dimension ref="A1:E65"/>
  <sheetViews>
    <sheetView workbookViewId="0"/>
  </sheetViews>
  <sheetFormatPr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241</v>
      </c>
      <c r="B1" t="s">
        <v>242</v>
      </c>
      <c r="C1" t="s">
        <v>325</v>
      </c>
      <c r="D1" t="s">
        <v>326</v>
      </c>
      <c r="E1" t="s">
        <v>327</v>
      </c>
    </row>
    <row r="2" spans="1:5">
      <c r="A2" t="s">
        <v>65</v>
      </c>
      <c r="B2" t="s">
        <v>148</v>
      </c>
      <c r="C2" t="s">
        <v>487</v>
      </c>
      <c r="D2">
        <v>4</v>
      </c>
      <c r="E2" t="b">
        <v>1</v>
      </c>
    </row>
    <row r="3" spans="1:5">
      <c r="A3" t="s">
        <v>65</v>
      </c>
      <c r="B3" t="s">
        <v>105</v>
      </c>
      <c r="C3" t="s">
        <v>488</v>
      </c>
      <c r="D3">
        <v>12</v>
      </c>
      <c r="E3" t="b">
        <v>1</v>
      </c>
    </row>
    <row r="4" spans="1:5">
      <c r="A4" t="s">
        <v>67</v>
      </c>
      <c r="B4" t="s">
        <v>68</v>
      </c>
      <c r="C4" t="s">
        <v>489</v>
      </c>
      <c r="D4">
        <v>4</v>
      </c>
      <c r="E4" t="b">
        <v>1</v>
      </c>
    </row>
    <row r="5" spans="1:5">
      <c r="A5" t="s">
        <v>65</v>
      </c>
      <c r="B5" t="s">
        <v>104</v>
      </c>
      <c r="C5" t="s">
        <v>490</v>
      </c>
      <c r="D5">
        <v>13</v>
      </c>
      <c r="E5" t="b">
        <v>1</v>
      </c>
    </row>
    <row r="6" spans="1:5">
      <c r="A6" t="s">
        <v>65</v>
      </c>
      <c r="B6" t="s">
        <v>207</v>
      </c>
      <c r="C6" t="s">
        <v>328</v>
      </c>
      <c r="D6">
        <v>2</v>
      </c>
      <c r="E6" t="b">
        <v>1</v>
      </c>
    </row>
    <row r="7" spans="1:5">
      <c r="A7" t="s">
        <v>65</v>
      </c>
      <c r="B7" t="s">
        <v>208</v>
      </c>
      <c r="C7" t="s">
        <v>349</v>
      </c>
      <c r="D7">
        <v>1</v>
      </c>
      <c r="E7" t="b">
        <v>1</v>
      </c>
    </row>
    <row r="8" spans="1:5">
      <c r="A8" t="s">
        <v>65</v>
      </c>
      <c r="B8" t="s">
        <v>257</v>
      </c>
      <c r="C8" t="s">
        <v>344</v>
      </c>
      <c r="D8">
        <v>1</v>
      </c>
      <c r="E8" t="b">
        <v>1</v>
      </c>
    </row>
    <row r="9" spans="1:5">
      <c r="A9" t="s">
        <v>108</v>
      </c>
      <c r="B9" t="s">
        <v>261</v>
      </c>
      <c r="D9">
        <v>0</v>
      </c>
      <c r="E9" t="b">
        <v>0</v>
      </c>
    </row>
    <row r="10" spans="1:5">
      <c r="A10" t="s">
        <v>108</v>
      </c>
      <c r="B10" t="s">
        <v>109</v>
      </c>
      <c r="C10" t="s">
        <v>491</v>
      </c>
      <c r="D10">
        <v>9</v>
      </c>
      <c r="E10" t="b">
        <v>1</v>
      </c>
    </row>
    <row r="11" spans="1:5">
      <c r="A11" t="s">
        <v>108</v>
      </c>
      <c r="B11" t="s">
        <v>264</v>
      </c>
      <c r="C11" t="s">
        <v>329</v>
      </c>
      <c r="D11">
        <v>3</v>
      </c>
      <c r="E11" t="b">
        <v>1</v>
      </c>
    </row>
    <row r="12" spans="1:5">
      <c r="A12" t="s">
        <v>67</v>
      </c>
      <c r="B12" t="s">
        <v>66</v>
      </c>
      <c r="C12" t="s">
        <v>492</v>
      </c>
      <c r="D12">
        <v>5</v>
      </c>
      <c r="E12" t="b">
        <v>1</v>
      </c>
    </row>
    <row r="13" spans="1:5">
      <c r="A13" t="s">
        <v>108</v>
      </c>
      <c r="B13" t="s">
        <v>123</v>
      </c>
      <c r="D13">
        <v>0</v>
      </c>
      <c r="E13" t="b">
        <v>0</v>
      </c>
    </row>
    <row r="14" spans="1:5">
      <c r="A14" t="s">
        <v>69</v>
      </c>
      <c r="B14" t="s">
        <v>285</v>
      </c>
      <c r="C14" t="s">
        <v>335</v>
      </c>
      <c r="D14">
        <v>1</v>
      </c>
      <c r="E14" t="b">
        <v>1</v>
      </c>
    </row>
    <row r="15" spans="1:5">
      <c r="A15" t="s">
        <v>108</v>
      </c>
      <c r="B15" t="s">
        <v>270</v>
      </c>
      <c r="D15">
        <v>0</v>
      </c>
      <c r="E15" t="b">
        <v>0</v>
      </c>
    </row>
    <row r="16" spans="1:5">
      <c r="A16" t="s">
        <v>69</v>
      </c>
      <c r="B16" t="s">
        <v>287</v>
      </c>
      <c r="C16" t="s">
        <v>493</v>
      </c>
      <c r="D16">
        <v>5</v>
      </c>
      <c r="E16" t="b">
        <v>1</v>
      </c>
    </row>
    <row r="17" spans="1:5">
      <c r="A17" t="s">
        <v>106</v>
      </c>
      <c r="B17" t="s">
        <v>107</v>
      </c>
      <c r="C17" t="s">
        <v>494</v>
      </c>
      <c r="D17">
        <v>12</v>
      </c>
      <c r="E17" t="b">
        <v>1</v>
      </c>
    </row>
    <row r="18" spans="1:5">
      <c r="A18" t="s">
        <v>108</v>
      </c>
      <c r="B18" t="s">
        <v>275</v>
      </c>
      <c r="C18" t="s">
        <v>347</v>
      </c>
      <c r="D18">
        <v>1</v>
      </c>
      <c r="E18" t="b">
        <v>1</v>
      </c>
    </row>
    <row r="19" spans="1:5">
      <c r="A19" t="s">
        <v>67</v>
      </c>
      <c r="B19" t="s">
        <v>70</v>
      </c>
      <c r="C19" t="s">
        <v>495</v>
      </c>
      <c r="D19">
        <v>9</v>
      </c>
      <c r="E19" t="b">
        <v>1</v>
      </c>
    </row>
    <row r="20" spans="1:5">
      <c r="A20" t="s">
        <v>231</v>
      </c>
      <c r="B20" t="s">
        <v>289</v>
      </c>
      <c r="C20" t="s">
        <v>496</v>
      </c>
      <c r="D20">
        <v>2</v>
      </c>
      <c r="E20" t="b">
        <v>1</v>
      </c>
    </row>
    <row r="21" spans="1:5">
      <c r="A21" t="s">
        <v>67</v>
      </c>
      <c r="B21" t="s">
        <v>209</v>
      </c>
      <c r="D21">
        <v>0</v>
      </c>
      <c r="E21" t="b">
        <v>0</v>
      </c>
    </row>
    <row r="22" spans="1:5">
      <c r="A22" t="s">
        <v>106</v>
      </c>
      <c r="B22" t="s">
        <v>296</v>
      </c>
      <c r="C22" t="s">
        <v>330</v>
      </c>
      <c r="D22">
        <v>1</v>
      </c>
      <c r="E22" t="b">
        <v>1</v>
      </c>
    </row>
    <row r="23" spans="1:5">
      <c r="A23" t="s">
        <v>67</v>
      </c>
      <c r="B23" t="s">
        <v>280</v>
      </c>
      <c r="C23" t="s">
        <v>349</v>
      </c>
      <c r="D23">
        <v>1</v>
      </c>
      <c r="E23" t="b">
        <v>1</v>
      </c>
    </row>
    <row r="24" spans="1:5">
      <c r="A24" t="s">
        <v>67</v>
      </c>
      <c r="B24" t="s">
        <v>283</v>
      </c>
      <c r="C24" t="s">
        <v>347</v>
      </c>
      <c r="D24">
        <v>1</v>
      </c>
      <c r="E24" t="b">
        <v>1</v>
      </c>
    </row>
    <row r="25" spans="1:5">
      <c r="A25" t="s">
        <v>69</v>
      </c>
      <c r="B25" t="s">
        <v>284</v>
      </c>
      <c r="D25">
        <v>0</v>
      </c>
      <c r="E25" t="b">
        <v>0</v>
      </c>
    </row>
    <row r="26" spans="1:5">
      <c r="A26" t="s">
        <v>69</v>
      </c>
      <c r="B26" t="s">
        <v>286</v>
      </c>
      <c r="D26">
        <v>0</v>
      </c>
      <c r="E26" t="b">
        <v>0</v>
      </c>
    </row>
    <row r="27" spans="1:5">
      <c r="A27" t="s">
        <v>69</v>
      </c>
      <c r="B27" t="s">
        <v>183</v>
      </c>
      <c r="C27" t="s">
        <v>167</v>
      </c>
      <c r="D27">
        <v>1</v>
      </c>
      <c r="E27" t="b">
        <v>1</v>
      </c>
    </row>
    <row r="28" spans="1:5">
      <c r="A28" t="s">
        <v>69</v>
      </c>
      <c r="B28" t="s">
        <v>288</v>
      </c>
      <c r="D28">
        <v>0</v>
      </c>
      <c r="E28" t="b">
        <v>0</v>
      </c>
    </row>
    <row r="29" spans="1:5">
      <c r="A29" t="s">
        <v>231</v>
      </c>
      <c r="B29" t="s">
        <v>290</v>
      </c>
      <c r="D29">
        <v>0</v>
      </c>
      <c r="E29" t="b">
        <v>0</v>
      </c>
    </row>
    <row r="30" spans="1:5">
      <c r="A30" t="s">
        <v>231</v>
      </c>
      <c r="B30" t="s">
        <v>291</v>
      </c>
      <c r="D30">
        <v>0</v>
      </c>
      <c r="E30" t="b">
        <v>0</v>
      </c>
    </row>
    <row r="31" spans="1:5">
      <c r="A31" t="s">
        <v>231</v>
      </c>
      <c r="B31" t="s">
        <v>292</v>
      </c>
      <c r="D31">
        <v>0</v>
      </c>
      <c r="E31" t="b">
        <v>0</v>
      </c>
    </row>
    <row r="32" spans="1:5">
      <c r="A32" t="s">
        <v>231</v>
      </c>
      <c r="B32" t="s">
        <v>293</v>
      </c>
      <c r="D32">
        <v>0</v>
      </c>
      <c r="E32" t="b">
        <v>0</v>
      </c>
    </row>
    <row r="33" spans="1:5">
      <c r="A33" t="s">
        <v>231</v>
      </c>
      <c r="B33" t="s">
        <v>294</v>
      </c>
      <c r="D33">
        <v>0</v>
      </c>
      <c r="E33" t="b">
        <v>0</v>
      </c>
    </row>
    <row r="34" spans="1:5">
      <c r="A34" t="s">
        <v>231</v>
      </c>
      <c r="B34" t="s">
        <v>295</v>
      </c>
      <c r="D34">
        <v>0</v>
      </c>
      <c r="E34" t="b">
        <v>0</v>
      </c>
    </row>
    <row r="35" spans="1:5">
      <c r="A35" t="s">
        <v>106</v>
      </c>
      <c r="B35" t="s">
        <v>297</v>
      </c>
      <c r="D35">
        <v>0</v>
      </c>
      <c r="E35" t="b">
        <v>0</v>
      </c>
    </row>
    <row r="36" spans="1:5">
      <c r="A36" t="s">
        <v>106</v>
      </c>
      <c r="B36" t="s">
        <v>180</v>
      </c>
      <c r="C36" t="s">
        <v>497</v>
      </c>
      <c r="D36">
        <v>2</v>
      </c>
      <c r="E36" t="b">
        <v>1</v>
      </c>
    </row>
    <row r="37" spans="1:5">
      <c r="A37" t="s">
        <v>106</v>
      </c>
      <c r="B37" t="s">
        <v>298</v>
      </c>
      <c r="D37">
        <v>0</v>
      </c>
      <c r="E37" t="b">
        <v>0</v>
      </c>
    </row>
    <row r="38" spans="1:5">
      <c r="A38" t="s">
        <v>106</v>
      </c>
      <c r="B38" t="s">
        <v>299</v>
      </c>
      <c r="C38" t="s">
        <v>331</v>
      </c>
      <c r="D38">
        <v>1</v>
      </c>
      <c r="E38" t="b">
        <v>1</v>
      </c>
    </row>
    <row r="39" spans="1:5">
      <c r="A39" t="s">
        <v>181</v>
      </c>
      <c r="B39" t="s">
        <v>210</v>
      </c>
      <c r="D39">
        <v>0</v>
      </c>
      <c r="E39" t="b">
        <v>0</v>
      </c>
    </row>
    <row r="40" spans="1:5">
      <c r="A40" t="s">
        <v>181</v>
      </c>
      <c r="B40" t="s">
        <v>300</v>
      </c>
      <c r="C40" t="s">
        <v>344</v>
      </c>
      <c r="D40">
        <v>1</v>
      </c>
      <c r="E40" t="b">
        <v>1</v>
      </c>
    </row>
    <row r="41" spans="1:5">
      <c r="A41" t="s">
        <v>181</v>
      </c>
      <c r="B41" t="s">
        <v>301</v>
      </c>
      <c r="D41">
        <v>0</v>
      </c>
      <c r="E41" t="b">
        <v>0</v>
      </c>
    </row>
    <row r="42" spans="1:5">
      <c r="A42" t="s">
        <v>181</v>
      </c>
      <c r="B42" t="s">
        <v>182</v>
      </c>
      <c r="C42" t="s">
        <v>498</v>
      </c>
      <c r="D42">
        <v>2</v>
      </c>
      <c r="E42" t="b">
        <v>1</v>
      </c>
    </row>
    <row r="43" spans="1:5">
      <c r="A43" t="s">
        <v>181</v>
      </c>
      <c r="B43" t="s">
        <v>302</v>
      </c>
      <c r="D43">
        <v>0</v>
      </c>
      <c r="E43" t="b">
        <v>0</v>
      </c>
    </row>
    <row r="44" spans="1:5">
      <c r="A44" t="s">
        <v>181</v>
      </c>
      <c r="B44" t="s">
        <v>303</v>
      </c>
      <c r="C44" t="s">
        <v>331</v>
      </c>
      <c r="D44">
        <v>1</v>
      </c>
      <c r="E44" t="b">
        <v>1</v>
      </c>
    </row>
    <row r="45" spans="1:5">
      <c r="A45" t="s">
        <v>211</v>
      </c>
      <c r="B45" t="s">
        <v>304</v>
      </c>
      <c r="C45" t="s">
        <v>331</v>
      </c>
      <c r="D45">
        <v>1</v>
      </c>
      <c r="E45" t="b">
        <v>1</v>
      </c>
    </row>
    <row r="46" spans="1:5">
      <c r="A46" t="s">
        <v>211</v>
      </c>
      <c r="B46" t="s">
        <v>212</v>
      </c>
      <c r="D46">
        <v>0</v>
      </c>
      <c r="E46" t="b">
        <v>0</v>
      </c>
    </row>
    <row r="47" spans="1:5">
      <c r="A47" t="s">
        <v>211</v>
      </c>
      <c r="B47" t="s">
        <v>305</v>
      </c>
      <c r="D47">
        <v>0</v>
      </c>
      <c r="E47" t="b">
        <v>0</v>
      </c>
    </row>
    <row r="48" spans="1:5">
      <c r="A48" t="s">
        <v>211</v>
      </c>
      <c r="B48" t="s">
        <v>306</v>
      </c>
      <c r="C48" t="s">
        <v>328</v>
      </c>
      <c r="D48">
        <v>2</v>
      </c>
      <c r="E48" t="b">
        <v>1</v>
      </c>
    </row>
    <row r="49" spans="1:5">
      <c r="A49" t="s">
        <v>211</v>
      </c>
      <c r="B49" t="s">
        <v>307</v>
      </c>
      <c r="C49" t="s">
        <v>331</v>
      </c>
      <c r="D49">
        <v>1</v>
      </c>
      <c r="E49" t="b">
        <v>1</v>
      </c>
    </row>
    <row r="50" spans="1:5">
      <c r="A50" t="s">
        <v>211</v>
      </c>
      <c r="B50" t="s">
        <v>308</v>
      </c>
      <c r="C50" t="s">
        <v>331</v>
      </c>
      <c r="D50">
        <v>1</v>
      </c>
      <c r="E50" t="b">
        <v>1</v>
      </c>
    </row>
    <row r="51" spans="1:5">
      <c r="A51" t="s">
        <v>211</v>
      </c>
      <c r="B51" t="s">
        <v>309</v>
      </c>
      <c r="D51">
        <v>0</v>
      </c>
      <c r="E51" t="b">
        <v>0</v>
      </c>
    </row>
    <row r="52" spans="1:5">
      <c r="A52" t="s">
        <v>211</v>
      </c>
      <c r="B52" t="s">
        <v>310</v>
      </c>
      <c r="D52">
        <v>0</v>
      </c>
      <c r="E52" t="b">
        <v>0</v>
      </c>
    </row>
    <row r="53" spans="1:5">
      <c r="A53" t="s">
        <v>211</v>
      </c>
      <c r="B53" t="s">
        <v>311</v>
      </c>
      <c r="D53">
        <v>0</v>
      </c>
      <c r="E53" t="b">
        <v>0</v>
      </c>
    </row>
    <row r="54" spans="1:5">
      <c r="A54" t="s">
        <v>233</v>
      </c>
      <c r="B54" t="s">
        <v>312</v>
      </c>
      <c r="D54">
        <v>0</v>
      </c>
      <c r="E54" t="b">
        <v>0</v>
      </c>
    </row>
    <row r="55" spans="1:5">
      <c r="A55" t="s">
        <v>233</v>
      </c>
      <c r="B55" t="s">
        <v>313</v>
      </c>
      <c r="D55">
        <v>0</v>
      </c>
      <c r="E55" t="b">
        <v>0</v>
      </c>
    </row>
    <row r="56" spans="1:5">
      <c r="A56" t="s">
        <v>233</v>
      </c>
      <c r="B56" t="s">
        <v>314</v>
      </c>
      <c r="D56">
        <v>0</v>
      </c>
      <c r="E56" t="b">
        <v>0</v>
      </c>
    </row>
    <row r="57" spans="1:5">
      <c r="A57" t="s">
        <v>233</v>
      </c>
      <c r="B57" t="s">
        <v>315</v>
      </c>
      <c r="D57">
        <v>0</v>
      </c>
      <c r="E57" t="b">
        <v>0</v>
      </c>
    </row>
    <row r="58" spans="1:5">
      <c r="A58" t="s">
        <v>233</v>
      </c>
      <c r="B58" t="s">
        <v>316</v>
      </c>
      <c r="D58">
        <v>0</v>
      </c>
      <c r="E58" t="b">
        <v>0</v>
      </c>
    </row>
    <row r="59" spans="1:5">
      <c r="A59" t="s">
        <v>235</v>
      </c>
      <c r="B59" t="s">
        <v>317</v>
      </c>
      <c r="D59">
        <v>0</v>
      </c>
      <c r="E59" t="b">
        <v>0</v>
      </c>
    </row>
    <row r="60" spans="1:5">
      <c r="A60" t="s">
        <v>235</v>
      </c>
      <c r="B60" t="s">
        <v>318</v>
      </c>
      <c r="D60">
        <v>0</v>
      </c>
      <c r="E60" t="b">
        <v>0</v>
      </c>
    </row>
    <row r="61" spans="1:5">
      <c r="A61" t="s">
        <v>235</v>
      </c>
      <c r="B61" t="s">
        <v>319</v>
      </c>
      <c r="D61">
        <v>0</v>
      </c>
      <c r="E61" t="b">
        <v>0</v>
      </c>
    </row>
    <row r="62" spans="1:5">
      <c r="A62" t="s">
        <v>235</v>
      </c>
      <c r="B62" t="s">
        <v>320</v>
      </c>
      <c r="D62">
        <v>0</v>
      </c>
      <c r="E62" t="b">
        <v>0</v>
      </c>
    </row>
    <row r="63" spans="1:5">
      <c r="A63" t="s">
        <v>235</v>
      </c>
      <c r="B63" t="s">
        <v>321</v>
      </c>
      <c r="D63">
        <v>0</v>
      </c>
      <c r="E63" t="b">
        <v>0</v>
      </c>
    </row>
    <row r="64" spans="1:5">
      <c r="A64" t="s">
        <v>235</v>
      </c>
      <c r="B64" t="s">
        <v>322</v>
      </c>
      <c r="D64">
        <v>0</v>
      </c>
      <c r="E64" t="b">
        <v>0</v>
      </c>
    </row>
    <row r="65" spans="1:5">
      <c r="A65" t="s">
        <v>235</v>
      </c>
      <c r="B65" t="s">
        <v>323</v>
      </c>
      <c r="D65">
        <v>0</v>
      </c>
      <c r="E65" t="b">
        <v>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2475B-BFE7-455B-A65A-CEF9FD98351F}">
  <dimension ref="A1"/>
  <sheetViews>
    <sheetView topLeftCell="A4" workbookViewId="0"/>
  </sheetViews>
  <sheetFormatPr defaultRowHeight="15"/>
  <sheetData>
    <row r="1" spans="1:1">
      <c r="A1" t="s">
        <v>486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C40AC-347E-4723-970F-E6265D0F632D}">
  <dimension ref="A1:M19"/>
  <sheetViews>
    <sheetView workbookViewId="0">
      <selection sqref="A1:M19"/>
    </sheetView>
  </sheetViews>
  <sheetFormatPr defaultRowHeight="15"/>
  <cols>
    <col min="1" max="1" width="49" bestFit="1" customWidth="1"/>
    <col min="2" max="2" width="14.425781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351</v>
      </c>
      <c r="B1" t="s">
        <v>353</v>
      </c>
      <c r="C1" t="s">
        <v>332</v>
      </c>
      <c r="D1" t="s">
        <v>378</v>
      </c>
      <c r="E1" t="s">
        <v>352</v>
      </c>
      <c r="F1" t="s">
        <v>354</v>
      </c>
      <c r="G1" t="s">
        <v>333</v>
      </c>
      <c r="H1" t="s">
        <v>28</v>
      </c>
      <c r="I1" t="s">
        <v>29</v>
      </c>
      <c r="J1" t="s">
        <v>30</v>
      </c>
      <c r="K1" t="s">
        <v>31</v>
      </c>
      <c r="L1" t="s">
        <v>33</v>
      </c>
      <c r="M1" t="s">
        <v>35</v>
      </c>
    </row>
    <row r="2" spans="1:13">
      <c r="A2" t="s">
        <v>356</v>
      </c>
      <c r="B2" t="s">
        <v>355</v>
      </c>
      <c r="C2" t="s">
        <v>5</v>
      </c>
      <c r="D2" t="s">
        <v>389</v>
      </c>
      <c r="E2" t="s">
        <v>21</v>
      </c>
      <c r="F2" t="s">
        <v>441</v>
      </c>
      <c r="G2" t="s">
        <v>8</v>
      </c>
      <c r="H2">
        <v>10</v>
      </c>
      <c r="I2">
        <v>10</v>
      </c>
      <c r="J2">
        <v>20</v>
      </c>
      <c r="M2">
        <v>40</v>
      </c>
    </row>
    <row r="3" spans="1:13">
      <c r="A3" t="s">
        <v>356</v>
      </c>
      <c r="B3" t="s">
        <v>467</v>
      </c>
      <c r="C3" t="s">
        <v>99</v>
      </c>
      <c r="D3" t="s">
        <v>389</v>
      </c>
      <c r="E3" t="s">
        <v>21</v>
      </c>
      <c r="F3" t="s">
        <v>441</v>
      </c>
      <c r="G3" t="s">
        <v>443</v>
      </c>
      <c r="M3">
        <v>0</v>
      </c>
    </row>
    <row r="4" spans="1:13">
      <c r="A4" t="s">
        <v>356</v>
      </c>
      <c r="B4" t="s">
        <v>468</v>
      </c>
      <c r="C4" t="s">
        <v>125</v>
      </c>
      <c r="D4" t="s">
        <v>389</v>
      </c>
      <c r="E4" t="s">
        <v>21</v>
      </c>
      <c r="F4" t="s">
        <v>441</v>
      </c>
      <c r="G4" t="s">
        <v>126</v>
      </c>
      <c r="M4">
        <v>0</v>
      </c>
    </row>
    <row r="5" spans="1:13">
      <c r="A5" t="s">
        <v>356</v>
      </c>
      <c r="B5" t="s">
        <v>469</v>
      </c>
      <c r="C5" t="s">
        <v>127</v>
      </c>
      <c r="D5" t="s">
        <v>389</v>
      </c>
      <c r="E5" t="s">
        <v>21</v>
      </c>
      <c r="F5" t="s">
        <v>441</v>
      </c>
      <c r="G5" t="s">
        <v>128</v>
      </c>
      <c r="M5">
        <v>0</v>
      </c>
    </row>
    <row r="6" spans="1:13">
      <c r="A6" t="s">
        <v>356</v>
      </c>
      <c r="B6" t="s">
        <v>470</v>
      </c>
      <c r="C6" t="s">
        <v>129</v>
      </c>
      <c r="D6" t="s">
        <v>389</v>
      </c>
      <c r="E6" t="s">
        <v>21</v>
      </c>
      <c r="F6" t="s">
        <v>441</v>
      </c>
      <c r="G6" t="s">
        <v>130</v>
      </c>
      <c r="M6">
        <v>0</v>
      </c>
    </row>
    <row r="7" spans="1:13">
      <c r="A7" t="s">
        <v>356</v>
      </c>
      <c r="B7" t="s">
        <v>471</v>
      </c>
      <c r="C7" t="s">
        <v>131</v>
      </c>
      <c r="D7" t="s">
        <v>389</v>
      </c>
      <c r="E7" t="s">
        <v>21</v>
      </c>
      <c r="F7" t="s">
        <v>441</v>
      </c>
      <c r="G7" t="s">
        <v>132</v>
      </c>
      <c r="M7">
        <v>0</v>
      </c>
    </row>
    <row r="8" spans="1:13">
      <c r="A8" t="s">
        <v>356</v>
      </c>
      <c r="B8" t="s">
        <v>472</v>
      </c>
      <c r="C8" t="s">
        <v>133</v>
      </c>
      <c r="D8" t="s">
        <v>389</v>
      </c>
      <c r="E8" t="s">
        <v>21</v>
      </c>
      <c r="F8" t="s">
        <v>441</v>
      </c>
      <c r="G8" t="s">
        <v>134</v>
      </c>
      <c r="M8">
        <v>0</v>
      </c>
    </row>
    <row r="9" spans="1:13">
      <c r="A9" t="s">
        <v>356</v>
      </c>
      <c r="B9" t="s">
        <v>357</v>
      </c>
      <c r="C9" t="s">
        <v>165</v>
      </c>
      <c r="D9" t="s">
        <v>389</v>
      </c>
      <c r="E9" t="s">
        <v>21</v>
      </c>
      <c r="F9" t="s">
        <v>441</v>
      </c>
      <c r="G9" t="s">
        <v>167</v>
      </c>
      <c r="H9">
        <v>20</v>
      </c>
      <c r="I9">
        <v>2</v>
      </c>
      <c r="J9">
        <v>8</v>
      </c>
      <c r="K9">
        <v>10</v>
      </c>
      <c r="M9">
        <v>40</v>
      </c>
    </row>
    <row r="10" spans="1:13">
      <c r="A10" t="s">
        <v>356</v>
      </c>
      <c r="B10" t="s">
        <v>475</v>
      </c>
      <c r="C10" t="s">
        <v>163</v>
      </c>
      <c r="D10" t="s">
        <v>389</v>
      </c>
      <c r="E10" t="s">
        <v>21</v>
      </c>
      <c r="F10" t="s">
        <v>441</v>
      </c>
      <c r="G10" t="s">
        <v>454</v>
      </c>
      <c r="M10">
        <v>0</v>
      </c>
    </row>
    <row r="11" spans="1:13">
      <c r="A11" t="s">
        <v>356</v>
      </c>
      <c r="B11" t="s">
        <v>473</v>
      </c>
      <c r="C11" t="s">
        <v>135</v>
      </c>
      <c r="D11" t="s">
        <v>389</v>
      </c>
      <c r="E11" t="s">
        <v>21</v>
      </c>
      <c r="F11" t="s">
        <v>441</v>
      </c>
      <c r="G11" t="s">
        <v>450</v>
      </c>
      <c r="M11">
        <v>0</v>
      </c>
    </row>
    <row r="12" spans="1:13">
      <c r="A12" t="s">
        <v>356</v>
      </c>
      <c r="B12" t="s">
        <v>474</v>
      </c>
      <c r="C12" t="s">
        <v>137</v>
      </c>
      <c r="D12" t="s">
        <v>389</v>
      </c>
      <c r="E12" t="s">
        <v>21</v>
      </c>
      <c r="F12" t="s">
        <v>441</v>
      </c>
      <c r="G12" t="s">
        <v>452</v>
      </c>
      <c r="H12">
        <v>10</v>
      </c>
      <c r="I12">
        <v>20</v>
      </c>
      <c r="K12">
        <v>10</v>
      </c>
      <c r="M12">
        <v>40</v>
      </c>
    </row>
    <row r="13" spans="1:13">
      <c r="A13" t="s">
        <v>358</v>
      </c>
      <c r="B13" t="s">
        <v>359</v>
      </c>
      <c r="C13" t="s">
        <v>338</v>
      </c>
      <c r="D13" t="s">
        <v>389</v>
      </c>
      <c r="E13" t="s">
        <v>21</v>
      </c>
      <c r="F13" t="s">
        <v>441</v>
      </c>
      <c r="G13" t="s">
        <v>339</v>
      </c>
      <c r="H13">
        <v>22</v>
      </c>
      <c r="L13">
        <v>22</v>
      </c>
      <c r="M13">
        <v>44</v>
      </c>
    </row>
    <row r="14" spans="1:13">
      <c r="A14" t="s">
        <v>358</v>
      </c>
      <c r="B14" t="s">
        <v>360</v>
      </c>
      <c r="C14" t="s">
        <v>343</v>
      </c>
      <c r="D14" t="s">
        <v>389</v>
      </c>
      <c r="E14" t="s">
        <v>21</v>
      </c>
      <c r="F14" t="s">
        <v>441</v>
      </c>
      <c r="G14" t="s">
        <v>344</v>
      </c>
      <c r="H14">
        <v>38</v>
      </c>
      <c r="I14">
        <v>6</v>
      </c>
      <c r="J14">
        <v>0</v>
      </c>
      <c r="K14">
        <v>0</v>
      </c>
      <c r="L14">
        <v>0</v>
      </c>
      <c r="M14">
        <v>44</v>
      </c>
    </row>
    <row r="15" spans="1:13">
      <c r="A15" t="s">
        <v>361</v>
      </c>
      <c r="B15" t="s">
        <v>362</v>
      </c>
      <c r="C15" t="s">
        <v>334</v>
      </c>
      <c r="D15" t="s">
        <v>389</v>
      </c>
      <c r="E15" t="s">
        <v>21</v>
      </c>
      <c r="F15" t="s">
        <v>441</v>
      </c>
      <c r="G15" t="s">
        <v>335</v>
      </c>
      <c r="M15">
        <v>0</v>
      </c>
    </row>
    <row r="16" spans="1:13">
      <c r="A16" t="s">
        <v>361</v>
      </c>
      <c r="B16" t="s">
        <v>363</v>
      </c>
      <c r="C16" t="s">
        <v>336</v>
      </c>
      <c r="D16" t="s">
        <v>389</v>
      </c>
      <c r="E16" t="s">
        <v>21</v>
      </c>
      <c r="F16" t="s">
        <v>441</v>
      </c>
      <c r="G16" t="s">
        <v>330</v>
      </c>
      <c r="H16">
        <v>33</v>
      </c>
      <c r="I16">
        <v>1</v>
      </c>
      <c r="J16">
        <v>6</v>
      </c>
      <c r="K16">
        <v>1</v>
      </c>
      <c r="L16">
        <v>3</v>
      </c>
      <c r="M16">
        <v>44</v>
      </c>
    </row>
    <row r="17" spans="1:13">
      <c r="A17" t="s">
        <v>361</v>
      </c>
      <c r="B17" t="s">
        <v>364</v>
      </c>
      <c r="C17" t="s">
        <v>341</v>
      </c>
      <c r="D17" t="s">
        <v>389</v>
      </c>
      <c r="E17" t="s">
        <v>21</v>
      </c>
      <c r="F17" t="s">
        <v>441</v>
      </c>
      <c r="G17" t="s">
        <v>331</v>
      </c>
      <c r="H17">
        <v>11</v>
      </c>
      <c r="J17">
        <v>6</v>
      </c>
      <c r="K17">
        <v>11</v>
      </c>
      <c r="L17">
        <v>11</v>
      </c>
      <c r="M17">
        <v>39</v>
      </c>
    </row>
    <row r="18" spans="1:13">
      <c r="A18" t="s">
        <v>361</v>
      </c>
      <c r="B18" t="s">
        <v>365</v>
      </c>
      <c r="C18" t="s">
        <v>346</v>
      </c>
      <c r="D18" t="s">
        <v>389</v>
      </c>
      <c r="E18" t="s">
        <v>21</v>
      </c>
      <c r="F18" t="s">
        <v>441</v>
      </c>
      <c r="G18" t="s">
        <v>347</v>
      </c>
      <c r="H18">
        <v>10</v>
      </c>
      <c r="I18">
        <v>26</v>
      </c>
      <c r="M18">
        <v>36</v>
      </c>
    </row>
    <row r="19" spans="1:13">
      <c r="A19" t="s">
        <v>361</v>
      </c>
      <c r="B19" t="s">
        <v>366</v>
      </c>
      <c r="C19" t="s">
        <v>348</v>
      </c>
      <c r="D19" t="s">
        <v>389</v>
      </c>
      <c r="E19" t="s">
        <v>21</v>
      </c>
      <c r="F19" t="s">
        <v>441</v>
      </c>
      <c r="G19" t="s">
        <v>349</v>
      </c>
      <c r="H19">
        <v>22</v>
      </c>
      <c r="I19">
        <v>6</v>
      </c>
      <c r="J19">
        <v>12</v>
      </c>
      <c r="M19">
        <v>40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F260A-1A5E-4459-AD10-029D97DDACF3}">
  <dimension ref="A1"/>
  <sheetViews>
    <sheetView workbookViewId="0"/>
  </sheetViews>
  <sheetFormatPr defaultRowHeight="15"/>
  <sheetData>
    <row r="1" spans="1:1">
      <c r="A1" t="s">
        <v>485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C7819-916E-48D6-B836-47D2D3B23CAA}">
  <dimension ref="A1:K129"/>
  <sheetViews>
    <sheetView workbookViewId="0">
      <selection sqref="A1:K129"/>
    </sheetView>
  </sheetViews>
  <sheetFormatPr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42578125" bestFit="1" customWidth="1"/>
    <col min="10" max="10" width="12.140625" bestFit="1" customWidth="1"/>
    <col min="11" max="11" width="53" bestFit="1" customWidth="1"/>
  </cols>
  <sheetData>
    <row r="1" spans="1:11">
      <c r="A1" t="s">
        <v>351</v>
      </c>
      <c r="B1" t="s">
        <v>353</v>
      </c>
      <c r="C1" t="s">
        <v>50</v>
      </c>
      <c r="D1" t="s">
        <v>39</v>
      </c>
      <c r="E1" t="s">
        <v>63</v>
      </c>
      <c r="F1" t="s">
        <v>64</v>
      </c>
      <c r="G1" t="s">
        <v>332</v>
      </c>
      <c r="H1" t="s">
        <v>378</v>
      </c>
      <c r="I1" t="s">
        <v>352</v>
      </c>
      <c r="J1" t="s">
        <v>354</v>
      </c>
      <c r="K1" t="s">
        <v>333</v>
      </c>
    </row>
    <row r="2" spans="1:11">
      <c r="A2" t="s">
        <v>356</v>
      </c>
      <c r="B2" t="s">
        <v>380</v>
      </c>
      <c r="C2" t="s">
        <v>56</v>
      </c>
      <c r="D2" t="s">
        <v>41</v>
      </c>
      <c r="E2" t="s">
        <v>65</v>
      </c>
      <c r="F2" t="s">
        <v>66</v>
      </c>
      <c r="G2" t="s">
        <v>5</v>
      </c>
      <c r="H2" t="s">
        <v>379</v>
      </c>
      <c r="I2" t="s">
        <v>21</v>
      </c>
      <c r="J2" t="s">
        <v>441</v>
      </c>
      <c r="K2" t="s">
        <v>8</v>
      </c>
    </row>
    <row r="3" spans="1:11">
      <c r="A3" t="s">
        <v>356</v>
      </c>
      <c r="B3" t="s">
        <v>380</v>
      </c>
      <c r="C3" t="s">
        <v>56</v>
      </c>
      <c r="D3" t="s">
        <v>43</v>
      </c>
      <c r="E3" t="s">
        <v>67</v>
      </c>
      <c r="F3" t="s">
        <v>68</v>
      </c>
      <c r="G3" t="s">
        <v>5</v>
      </c>
      <c r="H3" t="s">
        <v>379</v>
      </c>
      <c r="I3" t="s">
        <v>21</v>
      </c>
      <c r="J3" t="s">
        <v>441</v>
      </c>
      <c r="K3" t="s">
        <v>8</v>
      </c>
    </row>
    <row r="4" spans="1:11">
      <c r="A4" t="s">
        <v>356</v>
      </c>
      <c r="B4" t="s">
        <v>380</v>
      </c>
      <c r="C4" t="s">
        <v>56</v>
      </c>
      <c r="D4" t="s">
        <v>45</v>
      </c>
      <c r="E4" t="s">
        <v>69</v>
      </c>
      <c r="F4" t="s">
        <v>70</v>
      </c>
      <c r="G4" t="s">
        <v>5</v>
      </c>
      <c r="H4" t="s">
        <v>379</v>
      </c>
      <c r="I4" t="s">
        <v>21</v>
      </c>
      <c r="J4" t="s">
        <v>441</v>
      </c>
      <c r="K4" t="s">
        <v>8</v>
      </c>
    </row>
    <row r="5" spans="1:11">
      <c r="A5" t="s">
        <v>361</v>
      </c>
      <c r="B5" t="s">
        <v>381</v>
      </c>
      <c r="C5" t="s">
        <v>56</v>
      </c>
      <c r="D5" t="s">
        <v>41</v>
      </c>
      <c r="E5" t="s">
        <v>65</v>
      </c>
      <c r="F5" t="s">
        <v>104</v>
      </c>
      <c r="G5" t="s">
        <v>334</v>
      </c>
      <c r="H5" t="s">
        <v>379</v>
      </c>
      <c r="I5" t="s">
        <v>21</v>
      </c>
      <c r="J5" t="s">
        <v>441</v>
      </c>
      <c r="K5" t="s">
        <v>335</v>
      </c>
    </row>
    <row r="6" spans="1:11">
      <c r="A6" t="s">
        <v>361</v>
      </c>
      <c r="B6" t="s">
        <v>381</v>
      </c>
      <c r="C6" t="s">
        <v>56</v>
      </c>
      <c r="D6" t="s">
        <v>41</v>
      </c>
      <c r="E6" t="s">
        <v>65</v>
      </c>
      <c r="F6" t="s">
        <v>105</v>
      </c>
      <c r="G6" t="s">
        <v>334</v>
      </c>
      <c r="H6" t="s">
        <v>379</v>
      </c>
      <c r="I6" t="s">
        <v>21</v>
      </c>
      <c r="J6" t="s">
        <v>441</v>
      </c>
      <c r="K6" t="s">
        <v>335</v>
      </c>
    </row>
    <row r="7" spans="1:11">
      <c r="A7" t="s">
        <v>361</v>
      </c>
      <c r="B7" t="s">
        <v>381</v>
      </c>
      <c r="C7" t="s">
        <v>56</v>
      </c>
      <c r="D7" t="s">
        <v>43</v>
      </c>
      <c r="E7" t="s">
        <v>65</v>
      </c>
      <c r="F7" t="s">
        <v>104</v>
      </c>
      <c r="G7" t="s">
        <v>334</v>
      </c>
      <c r="H7" t="s">
        <v>379</v>
      </c>
      <c r="I7" t="s">
        <v>21</v>
      </c>
      <c r="J7" t="s">
        <v>441</v>
      </c>
      <c r="K7" t="s">
        <v>335</v>
      </c>
    </row>
    <row r="8" spans="1:11">
      <c r="A8" t="s">
        <v>361</v>
      </c>
      <c r="B8" t="s">
        <v>381</v>
      </c>
      <c r="C8" t="s">
        <v>59</v>
      </c>
      <c r="D8" t="s">
        <v>43</v>
      </c>
      <c r="E8" t="s">
        <v>108</v>
      </c>
      <c r="F8" t="s">
        <v>107</v>
      </c>
      <c r="G8" t="s">
        <v>334</v>
      </c>
      <c r="H8" t="s">
        <v>379</v>
      </c>
      <c r="I8" t="s">
        <v>21</v>
      </c>
      <c r="J8" t="s">
        <v>441</v>
      </c>
      <c r="K8" t="s">
        <v>335</v>
      </c>
    </row>
    <row r="9" spans="1:11">
      <c r="A9" t="s">
        <v>361</v>
      </c>
      <c r="B9" t="s">
        <v>381</v>
      </c>
      <c r="C9" t="s">
        <v>59</v>
      </c>
      <c r="D9" t="s">
        <v>43</v>
      </c>
      <c r="E9" t="s">
        <v>108</v>
      </c>
      <c r="F9" t="s">
        <v>109</v>
      </c>
      <c r="G9" t="s">
        <v>334</v>
      </c>
      <c r="H9" t="s">
        <v>379</v>
      </c>
      <c r="I9" t="s">
        <v>21</v>
      </c>
      <c r="J9" t="s">
        <v>441</v>
      </c>
      <c r="K9" t="s">
        <v>335</v>
      </c>
    </row>
    <row r="10" spans="1:11">
      <c r="A10" t="s">
        <v>361</v>
      </c>
      <c r="B10" t="s">
        <v>381</v>
      </c>
      <c r="C10" t="s">
        <v>59</v>
      </c>
      <c r="D10" t="s">
        <v>43</v>
      </c>
      <c r="E10" t="s">
        <v>67</v>
      </c>
      <c r="F10" t="s">
        <v>66</v>
      </c>
      <c r="G10" t="s">
        <v>334</v>
      </c>
      <c r="H10" t="s">
        <v>379</v>
      </c>
      <c r="I10" t="s">
        <v>21</v>
      </c>
      <c r="J10" t="s">
        <v>441</v>
      </c>
      <c r="K10" t="s">
        <v>335</v>
      </c>
    </row>
    <row r="11" spans="1:11">
      <c r="A11" t="s">
        <v>361</v>
      </c>
      <c r="B11" t="s">
        <v>381</v>
      </c>
      <c r="C11" t="s">
        <v>60</v>
      </c>
      <c r="D11" t="s">
        <v>43</v>
      </c>
      <c r="E11" t="s">
        <v>69</v>
      </c>
      <c r="F11" t="s">
        <v>285</v>
      </c>
      <c r="G11" t="s">
        <v>334</v>
      </c>
      <c r="H11" t="s">
        <v>379</v>
      </c>
      <c r="I11" t="s">
        <v>21</v>
      </c>
      <c r="J11" t="s">
        <v>441</v>
      </c>
      <c r="K11" t="s">
        <v>335</v>
      </c>
    </row>
    <row r="12" spans="1:11">
      <c r="A12" t="s">
        <v>361</v>
      </c>
      <c r="B12" t="s">
        <v>381</v>
      </c>
      <c r="C12" t="s">
        <v>60</v>
      </c>
      <c r="D12" t="s">
        <v>43</v>
      </c>
      <c r="E12" t="s">
        <v>69</v>
      </c>
      <c r="F12" t="s">
        <v>287</v>
      </c>
      <c r="G12" t="s">
        <v>334</v>
      </c>
      <c r="H12" t="s">
        <v>379</v>
      </c>
      <c r="I12" t="s">
        <v>21</v>
      </c>
      <c r="J12" t="s">
        <v>441</v>
      </c>
      <c r="K12" t="s">
        <v>335</v>
      </c>
    </row>
    <row r="13" spans="1:11">
      <c r="A13" t="s">
        <v>361</v>
      </c>
      <c r="B13" t="s">
        <v>381</v>
      </c>
      <c r="C13" t="s">
        <v>60</v>
      </c>
      <c r="D13" t="s">
        <v>43</v>
      </c>
      <c r="E13" t="s">
        <v>106</v>
      </c>
      <c r="F13" t="s">
        <v>107</v>
      </c>
      <c r="G13" t="s">
        <v>334</v>
      </c>
      <c r="H13" t="s">
        <v>379</v>
      </c>
      <c r="I13" t="s">
        <v>21</v>
      </c>
      <c r="J13" t="s">
        <v>441</v>
      </c>
      <c r="K13" t="s">
        <v>335</v>
      </c>
    </row>
    <row r="14" spans="1:11">
      <c r="A14" t="s">
        <v>361</v>
      </c>
      <c r="B14" t="s">
        <v>381</v>
      </c>
      <c r="C14" t="s">
        <v>61</v>
      </c>
      <c r="D14" t="s">
        <v>43</v>
      </c>
      <c r="E14" t="s">
        <v>211</v>
      </c>
      <c r="G14" t="s">
        <v>334</v>
      </c>
      <c r="H14" t="s">
        <v>379</v>
      </c>
      <c r="I14" t="s">
        <v>21</v>
      </c>
      <c r="J14" t="s">
        <v>441</v>
      </c>
      <c r="K14" t="s">
        <v>335</v>
      </c>
    </row>
    <row r="15" spans="1:11">
      <c r="A15" t="s">
        <v>361</v>
      </c>
      <c r="B15" t="s">
        <v>381</v>
      </c>
      <c r="C15" t="s">
        <v>61</v>
      </c>
      <c r="D15" t="s">
        <v>43</v>
      </c>
      <c r="E15" t="s">
        <v>231</v>
      </c>
      <c r="F15" t="s">
        <v>289</v>
      </c>
      <c r="G15" t="s">
        <v>334</v>
      </c>
      <c r="H15" t="s">
        <v>379</v>
      </c>
      <c r="I15" t="s">
        <v>21</v>
      </c>
      <c r="J15" t="s">
        <v>441</v>
      </c>
      <c r="K15" t="s">
        <v>335</v>
      </c>
    </row>
    <row r="16" spans="1:11">
      <c r="A16" t="s">
        <v>361</v>
      </c>
      <c r="B16" t="s">
        <v>382</v>
      </c>
      <c r="C16" t="s">
        <v>56</v>
      </c>
      <c r="D16" t="s">
        <v>41</v>
      </c>
      <c r="E16" t="s">
        <v>65</v>
      </c>
      <c r="F16" t="s">
        <v>105</v>
      </c>
      <c r="G16" t="s">
        <v>336</v>
      </c>
      <c r="H16" t="s">
        <v>379</v>
      </c>
      <c r="I16" t="s">
        <v>21</v>
      </c>
      <c r="J16" t="s">
        <v>441</v>
      </c>
      <c r="K16" t="s">
        <v>330</v>
      </c>
    </row>
    <row r="17" spans="1:11">
      <c r="A17" t="s">
        <v>361</v>
      </c>
      <c r="B17" t="s">
        <v>382</v>
      </c>
      <c r="C17" t="s">
        <v>56</v>
      </c>
      <c r="D17" t="s">
        <v>41</v>
      </c>
      <c r="E17" t="s">
        <v>65</v>
      </c>
      <c r="F17" t="s">
        <v>148</v>
      </c>
      <c r="G17" t="s">
        <v>336</v>
      </c>
      <c r="H17" t="s">
        <v>379</v>
      </c>
      <c r="I17" t="s">
        <v>21</v>
      </c>
      <c r="J17" t="s">
        <v>441</v>
      </c>
      <c r="K17" t="s">
        <v>330</v>
      </c>
    </row>
    <row r="18" spans="1:11">
      <c r="A18" t="s">
        <v>361</v>
      </c>
      <c r="B18" t="s">
        <v>382</v>
      </c>
      <c r="C18" t="s">
        <v>56</v>
      </c>
      <c r="D18" t="s">
        <v>43</v>
      </c>
      <c r="E18" t="s">
        <v>108</v>
      </c>
      <c r="F18" t="s">
        <v>264</v>
      </c>
      <c r="G18" t="s">
        <v>336</v>
      </c>
      <c r="H18" t="s">
        <v>379</v>
      </c>
      <c r="I18" t="s">
        <v>21</v>
      </c>
      <c r="J18" t="s">
        <v>441</v>
      </c>
      <c r="K18" t="s">
        <v>330</v>
      </c>
    </row>
    <row r="19" spans="1:11">
      <c r="A19" t="s">
        <v>361</v>
      </c>
      <c r="B19" t="s">
        <v>382</v>
      </c>
      <c r="C19" t="s">
        <v>56</v>
      </c>
      <c r="D19" t="s">
        <v>43</v>
      </c>
      <c r="E19" t="s">
        <v>69</v>
      </c>
      <c r="F19" t="s">
        <v>287</v>
      </c>
      <c r="G19" t="s">
        <v>336</v>
      </c>
      <c r="H19" t="s">
        <v>379</v>
      </c>
      <c r="I19" t="s">
        <v>21</v>
      </c>
      <c r="J19" t="s">
        <v>441</v>
      </c>
      <c r="K19" t="s">
        <v>330</v>
      </c>
    </row>
    <row r="20" spans="1:11">
      <c r="A20" t="s">
        <v>361</v>
      </c>
      <c r="B20" t="s">
        <v>382</v>
      </c>
      <c r="C20" t="s">
        <v>56</v>
      </c>
      <c r="D20" t="s">
        <v>43</v>
      </c>
      <c r="E20" t="s">
        <v>106</v>
      </c>
      <c r="F20" t="s">
        <v>296</v>
      </c>
      <c r="G20" t="s">
        <v>336</v>
      </c>
      <c r="H20" t="s">
        <v>379</v>
      </c>
      <c r="I20" t="s">
        <v>21</v>
      </c>
      <c r="J20" t="s">
        <v>441</v>
      </c>
      <c r="K20" t="s">
        <v>330</v>
      </c>
    </row>
    <row r="21" spans="1:11">
      <c r="A21" t="s">
        <v>361</v>
      </c>
      <c r="B21" t="s">
        <v>382</v>
      </c>
      <c r="C21" t="s">
        <v>56</v>
      </c>
      <c r="D21" t="s">
        <v>45</v>
      </c>
      <c r="E21" t="s">
        <v>231</v>
      </c>
      <c r="F21" t="s">
        <v>289</v>
      </c>
      <c r="G21" t="s">
        <v>336</v>
      </c>
      <c r="H21" t="s">
        <v>379</v>
      </c>
      <c r="I21" t="s">
        <v>21</v>
      </c>
      <c r="J21" t="s">
        <v>441</v>
      </c>
      <c r="K21" t="s">
        <v>330</v>
      </c>
    </row>
    <row r="22" spans="1:11">
      <c r="A22" t="s">
        <v>361</v>
      </c>
      <c r="B22" t="s">
        <v>382</v>
      </c>
      <c r="C22" t="s">
        <v>59</v>
      </c>
      <c r="D22" t="s">
        <v>41</v>
      </c>
      <c r="E22" t="s">
        <v>65</v>
      </c>
      <c r="F22" t="s">
        <v>105</v>
      </c>
      <c r="G22" t="s">
        <v>336</v>
      </c>
      <c r="H22" t="s">
        <v>379</v>
      </c>
      <c r="I22" t="s">
        <v>21</v>
      </c>
      <c r="J22" t="s">
        <v>441</v>
      </c>
      <c r="K22" t="s">
        <v>330</v>
      </c>
    </row>
    <row r="23" spans="1:11">
      <c r="A23" t="s">
        <v>361</v>
      </c>
      <c r="B23" t="s">
        <v>382</v>
      </c>
      <c r="C23" t="s">
        <v>59</v>
      </c>
      <c r="D23" t="s">
        <v>43</v>
      </c>
      <c r="E23" t="s">
        <v>65</v>
      </c>
      <c r="F23" t="s">
        <v>105</v>
      </c>
      <c r="G23" t="s">
        <v>336</v>
      </c>
      <c r="H23" t="s">
        <v>379</v>
      </c>
      <c r="I23" t="s">
        <v>21</v>
      </c>
      <c r="J23" t="s">
        <v>441</v>
      </c>
      <c r="K23" t="s">
        <v>330</v>
      </c>
    </row>
    <row r="24" spans="1:11">
      <c r="A24" t="s">
        <v>361</v>
      </c>
      <c r="B24" t="s">
        <v>382</v>
      </c>
      <c r="C24" t="s">
        <v>59</v>
      </c>
      <c r="D24" t="s">
        <v>43</v>
      </c>
      <c r="E24" t="s">
        <v>65</v>
      </c>
      <c r="F24" t="s">
        <v>148</v>
      </c>
      <c r="G24" t="s">
        <v>336</v>
      </c>
      <c r="H24" t="s">
        <v>379</v>
      </c>
      <c r="I24" t="s">
        <v>21</v>
      </c>
      <c r="J24" t="s">
        <v>441</v>
      </c>
      <c r="K24" t="s">
        <v>330</v>
      </c>
    </row>
    <row r="25" spans="1:11">
      <c r="A25" t="s">
        <v>361</v>
      </c>
      <c r="B25" t="s">
        <v>382</v>
      </c>
      <c r="C25" t="s">
        <v>59</v>
      </c>
      <c r="D25" t="s">
        <v>45</v>
      </c>
      <c r="E25" t="s">
        <v>67</v>
      </c>
      <c r="F25" t="s">
        <v>68</v>
      </c>
      <c r="G25" t="s">
        <v>336</v>
      </c>
      <c r="H25" t="s">
        <v>379</v>
      </c>
      <c r="I25" t="s">
        <v>21</v>
      </c>
      <c r="J25" t="s">
        <v>441</v>
      </c>
      <c r="K25" t="s">
        <v>330</v>
      </c>
    </row>
    <row r="26" spans="1:11">
      <c r="A26" t="s">
        <v>361</v>
      </c>
      <c r="B26" t="s">
        <v>383</v>
      </c>
      <c r="C26" t="s">
        <v>56</v>
      </c>
      <c r="D26" t="s">
        <v>41</v>
      </c>
      <c r="E26" t="s">
        <v>65</v>
      </c>
      <c r="F26" t="s">
        <v>104</v>
      </c>
      <c r="G26" t="s">
        <v>341</v>
      </c>
      <c r="H26" t="s">
        <v>379</v>
      </c>
      <c r="I26" t="s">
        <v>21</v>
      </c>
      <c r="J26" t="s">
        <v>441</v>
      </c>
      <c r="K26" t="s">
        <v>331</v>
      </c>
    </row>
    <row r="27" spans="1:11">
      <c r="A27" t="s">
        <v>361</v>
      </c>
      <c r="B27" t="s">
        <v>383</v>
      </c>
      <c r="C27" t="s">
        <v>56</v>
      </c>
      <c r="D27" t="s">
        <v>41</v>
      </c>
      <c r="E27" t="s">
        <v>67</v>
      </c>
      <c r="F27" t="s">
        <v>66</v>
      </c>
      <c r="G27" t="s">
        <v>341</v>
      </c>
      <c r="H27" t="s">
        <v>379</v>
      </c>
      <c r="I27" t="s">
        <v>21</v>
      </c>
      <c r="J27" t="s">
        <v>441</v>
      </c>
      <c r="K27" t="s">
        <v>331</v>
      </c>
    </row>
    <row r="28" spans="1:11">
      <c r="A28" t="s">
        <v>361</v>
      </c>
      <c r="B28" t="s">
        <v>383</v>
      </c>
      <c r="C28" t="s">
        <v>59</v>
      </c>
      <c r="D28" t="s">
        <v>43</v>
      </c>
      <c r="E28" t="s">
        <v>65</v>
      </c>
      <c r="F28" t="s">
        <v>207</v>
      </c>
      <c r="G28" t="s">
        <v>341</v>
      </c>
      <c r="H28" t="s">
        <v>379</v>
      </c>
      <c r="I28" t="s">
        <v>21</v>
      </c>
      <c r="J28" t="s">
        <v>441</v>
      </c>
      <c r="K28" t="s">
        <v>331</v>
      </c>
    </row>
    <row r="29" spans="1:11">
      <c r="A29" t="s">
        <v>361</v>
      </c>
      <c r="B29" t="s">
        <v>383</v>
      </c>
      <c r="C29" t="s">
        <v>59</v>
      </c>
      <c r="D29" t="s">
        <v>43</v>
      </c>
      <c r="E29" t="s">
        <v>106</v>
      </c>
      <c r="F29" t="s">
        <v>299</v>
      </c>
      <c r="G29" t="s">
        <v>341</v>
      </c>
      <c r="H29" t="s">
        <v>379</v>
      </c>
      <c r="I29" t="s">
        <v>21</v>
      </c>
      <c r="J29" t="s">
        <v>441</v>
      </c>
      <c r="K29" t="s">
        <v>331</v>
      </c>
    </row>
    <row r="30" spans="1:11">
      <c r="A30" t="s">
        <v>361</v>
      </c>
      <c r="B30" t="s">
        <v>383</v>
      </c>
      <c r="C30" t="s">
        <v>59</v>
      </c>
      <c r="D30" t="s">
        <v>43</v>
      </c>
      <c r="E30" t="s">
        <v>108</v>
      </c>
      <c r="F30" t="s">
        <v>264</v>
      </c>
      <c r="G30" t="s">
        <v>341</v>
      </c>
      <c r="H30" t="s">
        <v>379</v>
      </c>
      <c r="I30" t="s">
        <v>21</v>
      </c>
      <c r="J30" t="s">
        <v>441</v>
      </c>
      <c r="K30" t="s">
        <v>331</v>
      </c>
    </row>
    <row r="31" spans="1:11">
      <c r="A31" t="s">
        <v>361</v>
      </c>
      <c r="B31" t="s">
        <v>383</v>
      </c>
      <c r="C31" t="s">
        <v>59</v>
      </c>
      <c r="D31" t="s">
        <v>43</v>
      </c>
      <c r="E31" t="s">
        <v>67</v>
      </c>
      <c r="F31" t="s">
        <v>66</v>
      </c>
      <c r="G31" t="s">
        <v>341</v>
      </c>
      <c r="H31" t="s">
        <v>379</v>
      </c>
      <c r="I31" t="s">
        <v>21</v>
      </c>
      <c r="J31" t="s">
        <v>441</v>
      </c>
      <c r="K31" t="s">
        <v>331</v>
      </c>
    </row>
    <row r="32" spans="1:11">
      <c r="A32" t="s">
        <v>361</v>
      </c>
      <c r="B32" t="s">
        <v>383</v>
      </c>
      <c r="C32" t="s">
        <v>59</v>
      </c>
      <c r="D32" t="s">
        <v>43</v>
      </c>
      <c r="E32" t="s">
        <v>211</v>
      </c>
      <c r="F32" t="s">
        <v>306</v>
      </c>
      <c r="G32" t="s">
        <v>341</v>
      </c>
      <c r="H32" t="s">
        <v>379</v>
      </c>
      <c r="I32" t="s">
        <v>21</v>
      </c>
      <c r="J32" t="s">
        <v>441</v>
      </c>
      <c r="K32" t="s">
        <v>331</v>
      </c>
    </row>
    <row r="33" spans="1:11">
      <c r="A33" t="s">
        <v>361</v>
      </c>
      <c r="B33" t="s">
        <v>383</v>
      </c>
      <c r="C33" t="s">
        <v>59</v>
      </c>
      <c r="D33" t="s">
        <v>43</v>
      </c>
      <c r="E33" t="s">
        <v>211</v>
      </c>
      <c r="F33" t="s">
        <v>304</v>
      </c>
      <c r="G33" t="s">
        <v>341</v>
      </c>
      <c r="H33" t="s">
        <v>379</v>
      </c>
      <c r="I33" t="s">
        <v>21</v>
      </c>
      <c r="J33" t="s">
        <v>441</v>
      </c>
      <c r="K33" t="s">
        <v>331</v>
      </c>
    </row>
    <row r="34" spans="1:11">
      <c r="A34" t="s">
        <v>361</v>
      </c>
      <c r="B34" t="s">
        <v>383</v>
      </c>
      <c r="C34" t="s">
        <v>59</v>
      </c>
      <c r="D34" t="s">
        <v>43</v>
      </c>
      <c r="E34" t="s">
        <v>211</v>
      </c>
      <c r="F34" t="s">
        <v>307</v>
      </c>
      <c r="G34" t="s">
        <v>341</v>
      </c>
      <c r="H34" t="s">
        <v>379</v>
      </c>
      <c r="I34" t="s">
        <v>21</v>
      </c>
      <c r="J34" t="s">
        <v>441</v>
      </c>
      <c r="K34" t="s">
        <v>331</v>
      </c>
    </row>
    <row r="35" spans="1:11">
      <c r="A35" t="s">
        <v>361</v>
      </c>
      <c r="B35" t="s">
        <v>383</v>
      </c>
      <c r="C35" t="s">
        <v>59</v>
      </c>
      <c r="D35" t="s">
        <v>43</v>
      </c>
      <c r="E35" t="s">
        <v>211</v>
      </c>
      <c r="F35" t="s">
        <v>308</v>
      </c>
      <c r="G35" t="s">
        <v>341</v>
      </c>
      <c r="H35" t="s">
        <v>379</v>
      </c>
      <c r="I35" t="s">
        <v>21</v>
      </c>
      <c r="J35" t="s">
        <v>441</v>
      </c>
      <c r="K35" t="s">
        <v>331</v>
      </c>
    </row>
    <row r="36" spans="1:11">
      <c r="A36" t="s">
        <v>361</v>
      </c>
      <c r="B36" t="s">
        <v>383</v>
      </c>
      <c r="C36" t="s">
        <v>59</v>
      </c>
      <c r="D36" t="s">
        <v>43</v>
      </c>
      <c r="E36" t="s">
        <v>181</v>
      </c>
      <c r="F36" t="s">
        <v>303</v>
      </c>
      <c r="G36" t="s">
        <v>341</v>
      </c>
      <c r="H36" t="s">
        <v>379</v>
      </c>
      <c r="I36" t="s">
        <v>21</v>
      </c>
      <c r="J36" t="s">
        <v>441</v>
      </c>
      <c r="K36" t="s">
        <v>331</v>
      </c>
    </row>
    <row r="37" spans="1:11">
      <c r="A37" t="s">
        <v>361</v>
      </c>
      <c r="B37" t="s">
        <v>383</v>
      </c>
      <c r="C37" t="s">
        <v>59</v>
      </c>
      <c r="D37" t="s">
        <v>45</v>
      </c>
      <c r="E37" t="s">
        <v>65</v>
      </c>
      <c r="F37" t="s">
        <v>207</v>
      </c>
      <c r="G37" t="s">
        <v>341</v>
      </c>
      <c r="H37" t="s">
        <v>379</v>
      </c>
      <c r="I37" t="s">
        <v>21</v>
      </c>
      <c r="J37" t="s">
        <v>441</v>
      </c>
      <c r="K37" t="s">
        <v>331</v>
      </c>
    </row>
    <row r="38" spans="1:11">
      <c r="A38" t="s">
        <v>361</v>
      </c>
      <c r="B38" t="s">
        <v>383</v>
      </c>
      <c r="C38" t="s">
        <v>59</v>
      </c>
      <c r="D38" t="s">
        <v>45</v>
      </c>
      <c r="E38" t="s">
        <v>106</v>
      </c>
      <c r="F38" t="s">
        <v>299</v>
      </c>
      <c r="G38" t="s">
        <v>341</v>
      </c>
      <c r="H38" t="s">
        <v>379</v>
      </c>
      <c r="I38" t="s">
        <v>21</v>
      </c>
      <c r="J38" t="s">
        <v>441</v>
      </c>
      <c r="K38" t="s">
        <v>331</v>
      </c>
    </row>
    <row r="39" spans="1:11">
      <c r="A39" t="s">
        <v>361</v>
      </c>
      <c r="B39" t="s">
        <v>383</v>
      </c>
      <c r="C39" t="s">
        <v>59</v>
      </c>
      <c r="D39" t="s">
        <v>45</v>
      </c>
      <c r="E39" t="s">
        <v>108</v>
      </c>
      <c r="F39" t="s">
        <v>264</v>
      </c>
      <c r="G39" t="s">
        <v>341</v>
      </c>
      <c r="H39" t="s">
        <v>379</v>
      </c>
      <c r="I39" t="s">
        <v>21</v>
      </c>
      <c r="J39" t="s">
        <v>441</v>
      </c>
      <c r="K39" t="s">
        <v>331</v>
      </c>
    </row>
    <row r="40" spans="1:11">
      <c r="A40" t="s">
        <v>361</v>
      </c>
      <c r="B40" t="s">
        <v>383</v>
      </c>
      <c r="C40" t="s">
        <v>59</v>
      </c>
      <c r="D40" t="s">
        <v>45</v>
      </c>
      <c r="E40" t="s">
        <v>67</v>
      </c>
      <c r="F40" t="s">
        <v>66</v>
      </c>
      <c r="G40" t="s">
        <v>341</v>
      </c>
      <c r="H40" t="s">
        <v>379</v>
      </c>
      <c r="I40" t="s">
        <v>21</v>
      </c>
      <c r="J40" t="s">
        <v>441</v>
      </c>
      <c r="K40" t="s">
        <v>331</v>
      </c>
    </row>
    <row r="41" spans="1:11">
      <c r="A41" t="s">
        <v>361</v>
      </c>
      <c r="B41" t="s">
        <v>383</v>
      </c>
      <c r="C41" t="s">
        <v>59</v>
      </c>
      <c r="D41" t="s">
        <v>45</v>
      </c>
      <c r="E41" t="s">
        <v>211</v>
      </c>
      <c r="F41" t="s">
        <v>306</v>
      </c>
      <c r="G41" t="s">
        <v>341</v>
      </c>
      <c r="H41" t="s">
        <v>379</v>
      </c>
      <c r="I41" t="s">
        <v>21</v>
      </c>
      <c r="J41" t="s">
        <v>441</v>
      </c>
      <c r="K41" t="s">
        <v>331</v>
      </c>
    </row>
    <row r="42" spans="1:11">
      <c r="A42" t="s">
        <v>361</v>
      </c>
      <c r="B42" t="s">
        <v>383</v>
      </c>
      <c r="C42" t="s">
        <v>59</v>
      </c>
      <c r="D42" t="s">
        <v>45</v>
      </c>
      <c r="E42" t="s">
        <v>211</v>
      </c>
      <c r="F42" t="s">
        <v>304</v>
      </c>
      <c r="G42" t="s">
        <v>341</v>
      </c>
      <c r="H42" t="s">
        <v>379</v>
      </c>
      <c r="I42" t="s">
        <v>21</v>
      </c>
      <c r="J42" t="s">
        <v>441</v>
      </c>
      <c r="K42" t="s">
        <v>331</v>
      </c>
    </row>
    <row r="43" spans="1:11">
      <c r="A43" t="s">
        <v>361</v>
      </c>
      <c r="B43" t="s">
        <v>383</v>
      </c>
      <c r="C43" t="s">
        <v>59</v>
      </c>
      <c r="D43" t="s">
        <v>45</v>
      </c>
      <c r="E43" t="s">
        <v>211</v>
      </c>
      <c r="F43" t="s">
        <v>307</v>
      </c>
      <c r="G43" t="s">
        <v>341</v>
      </c>
      <c r="H43" t="s">
        <v>379</v>
      </c>
      <c r="I43" t="s">
        <v>21</v>
      </c>
      <c r="J43" t="s">
        <v>441</v>
      </c>
      <c r="K43" t="s">
        <v>331</v>
      </c>
    </row>
    <row r="44" spans="1:11">
      <c r="A44" t="s">
        <v>361</v>
      </c>
      <c r="B44" t="s">
        <v>383</v>
      </c>
      <c r="C44" t="s">
        <v>59</v>
      </c>
      <c r="D44" t="s">
        <v>45</v>
      </c>
      <c r="E44" t="s">
        <v>211</v>
      </c>
      <c r="F44" t="s">
        <v>308</v>
      </c>
      <c r="G44" t="s">
        <v>341</v>
      </c>
      <c r="H44" t="s">
        <v>379</v>
      </c>
      <c r="I44" t="s">
        <v>21</v>
      </c>
      <c r="J44" t="s">
        <v>441</v>
      </c>
      <c r="K44" t="s">
        <v>331</v>
      </c>
    </row>
    <row r="45" spans="1:11">
      <c r="A45" t="s">
        <v>361</v>
      </c>
      <c r="B45" t="s">
        <v>383</v>
      </c>
      <c r="C45" t="s">
        <v>59</v>
      </c>
      <c r="D45" t="s">
        <v>45</v>
      </c>
      <c r="E45" t="s">
        <v>181</v>
      </c>
      <c r="F45" t="s">
        <v>303</v>
      </c>
      <c r="G45" t="s">
        <v>341</v>
      </c>
      <c r="H45" t="s">
        <v>379</v>
      </c>
      <c r="I45" t="s">
        <v>21</v>
      </c>
      <c r="J45" t="s">
        <v>441</v>
      </c>
      <c r="K45" t="s">
        <v>331</v>
      </c>
    </row>
    <row r="46" spans="1:11">
      <c r="A46" t="s">
        <v>361</v>
      </c>
      <c r="B46" t="s">
        <v>384</v>
      </c>
      <c r="C46" t="s">
        <v>56</v>
      </c>
      <c r="D46" t="s">
        <v>41</v>
      </c>
      <c r="E46" t="s">
        <v>65</v>
      </c>
      <c r="F46" t="s">
        <v>104</v>
      </c>
      <c r="G46" t="s">
        <v>348</v>
      </c>
      <c r="H46" t="s">
        <v>379</v>
      </c>
      <c r="I46" t="s">
        <v>21</v>
      </c>
      <c r="J46" t="s">
        <v>441</v>
      </c>
      <c r="K46" t="s">
        <v>349</v>
      </c>
    </row>
    <row r="47" spans="1:11">
      <c r="A47" t="s">
        <v>361</v>
      </c>
      <c r="B47" t="s">
        <v>384</v>
      </c>
      <c r="C47" t="s">
        <v>56</v>
      </c>
      <c r="D47" t="s">
        <v>41</v>
      </c>
      <c r="E47" t="s">
        <v>65</v>
      </c>
      <c r="F47" t="s">
        <v>105</v>
      </c>
      <c r="G47" t="s">
        <v>348</v>
      </c>
      <c r="H47" t="s">
        <v>379</v>
      </c>
      <c r="I47" t="s">
        <v>21</v>
      </c>
      <c r="J47" t="s">
        <v>441</v>
      </c>
      <c r="K47" t="s">
        <v>349</v>
      </c>
    </row>
    <row r="48" spans="1:11">
      <c r="A48" t="s">
        <v>361</v>
      </c>
      <c r="B48" t="s">
        <v>384</v>
      </c>
      <c r="C48" t="s">
        <v>56</v>
      </c>
      <c r="D48" t="s">
        <v>41</v>
      </c>
      <c r="E48" t="s">
        <v>69</v>
      </c>
      <c r="F48" t="s">
        <v>287</v>
      </c>
      <c r="G48" t="s">
        <v>348</v>
      </c>
      <c r="H48" t="s">
        <v>379</v>
      </c>
      <c r="I48" t="s">
        <v>21</v>
      </c>
      <c r="J48" t="s">
        <v>441</v>
      </c>
      <c r="K48" t="s">
        <v>349</v>
      </c>
    </row>
    <row r="49" spans="1:11">
      <c r="A49" t="s">
        <v>361</v>
      </c>
      <c r="B49" t="s">
        <v>384</v>
      </c>
      <c r="C49" t="s">
        <v>56</v>
      </c>
      <c r="D49" t="s">
        <v>41</v>
      </c>
      <c r="E49" t="s">
        <v>106</v>
      </c>
      <c r="F49" t="s">
        <v>107</v>
      </c>
      <c r="G49" t="s">
        <v>348</v>
      </c>
      <c r="H49" t="s">
        <v>379</v>
      </c>
      <c r="I49" t="s">
        <v>21</v>
      </c>
      <c r="J49" t="s">
        <v>441</v>
      </c>
      <c r="K49" t="s">
        <v>349</v>
      </c>
    </row>
    <row r="50" spans="1:11">
      <c r="A50" t="s">
        <v>361</v>
      </c>
      <c r="B50" t="s">
        <v>384</v>
      </c>
      <c r="C50" t="s">
        <v>59</v>
      </c>
      <c r="D50" t="s">
        <v>43</v>
      </c>
      <c r="E50" t="s">
        <v>65</v>
      </c>
      <c r="F50" t="s">
        <v>208</v>
      </c>
      <c r="G50" t="s">
        <v>348</v>
      </c>
      <c r="H50" t="s">
        <v>379</v>
      </c>
      <c r="I50" t="s">
        <v>21</v>
      </c>
      <c r="J50" t="s">
        <v>441</v>
      </c>
      <c r="K50" t="s">
        <v>349</v>
      </c>
    </row>
    <row r="51" spans="1:11">
      <c r="A51" t="s">
        <v>361</v>
      </c>
      <c r="B51" t="s">
        <v>384</v>
      </c>
      <c r="C51" t="s">
        <v>59</v>
      </c>
      <c r="D51" t="s">
        <v>43</v>
      </c>
      <c r="E51" t="s">
        <v>67</v>
      </c>
      <c r="F51" t="s">
        <v>70</v>
      </c>
      <c r="G51" t="s">
        <v>348</v>
      </c>
      <c r="H51" t="s">
        <v>379</v>
      </c>
      <c r="I51" t="s">
        <v>21</v>
      </c>
      <c r="J51" t="s">
        <v>441</v>
      </c>
      <c r="K51" t="s">
        <v>349</v>
      </c>
    </row>
    <row r="52" spans="1:11">
      <c r="A52" t="s">
        <v>361</v>
      </c>
      <c r="B52" t="s">
        <v>384</v>
      </c>
      <c r="C52" t="s">
        <v>59</v>
      </c>
      <c r="D52" t="s">
        <v>43</v>
      </c>
      <c r="E52" t="s">
        <v>65</v>
      </c>
      <c r="F52" t="s">
        <v>148</v>
      </c>
      <c r="G52" t="s">
        <v>348</v>
      </c>
      <c r="H52" t="s">
        <v>379</v>
      </c>
      <c r="I52" t="s">
        <v>21</v>
      </c>
      <c r="J52" t="s">
        <v>441</v>
      </c>
      <c r="K52" t="s">
        <v>349</v>
      </c>
    </row>
    <row r="53" spans="1:11">
      <c r="A53" t="s">
        <v>361</v>
      </c>
      <c r="B53" t="s">
        <v>384</v>
      </c>
      <c r="C53" t="s">
        <v>59</v>
      </c>
      <c r="D53" t="s">
        <v>45</v>
      </c>
      <c r="E53" t="s">
        <v>65</v>
      </c>
      <c r="F53" t="s">
        <v>208</v>
      </c>
      <c r="G53" t="s">
        <v>348</v>
      </c>
      <c r="H53" t="s">
        <v>379</v>
      </c>
      <c r="I53" t="s">
        <v>21</v>
      </c>
      <c r="J53" t="s">
        <v>441</v>
      </c>
      <c r="K53" t="s">
        <v>349</v>
      </c>
    </row>
    <row r="54" spans="1:11">
      <c r="A54" t="s">
        <v>361</v>
      </c>
      <c r="B54" t="s">
        <v>384</v>
      </c>
      <c r="C54" t="s">
        <v>59</v>
      </c>
      <c r="D54" t="s">
        <v>45</v>
      </c>
      <c r="E54" t="s">
        <v>67</v>
      </c>
      <c r="F54" t="s">
        <v>66</v>
      </c>
      <c r="G54" t="s">
        <v>348</v>
      </c>
      <c r="H54" t="s">
        <v>379</v>
      </c>
      <c r="I54" t="s">
        <v>21</v>
      </c>
      <c r="J54" t="s">
        <v>441</v>
      </c>
      <c r="K54" t="s">
        <v>349</v>
      </c>
    </row>
    <row r="55" spans="1:11">
      <c r="A55" t="s">
        <v>361</v>
      </c>
      <c r="B55" t="s">
        <v>384</v>
      </c>
      <c r="C55" t="s">
        <v>61</v>
      </c>
      <c r="D55" t="s">
        <v>45</v>
      </c>
      <c r="E55" t="s">
        <v>67</v>
      </c>
      <c r="F55" t="s">
        <v>280</v>
      </c>
      <c r="G55" t="s">
        <v>348</v>
      </c>
      <c r="H55" t="s">
        <v>379</v>
      </c>
      <c r="I55" t="s">
        <v>21</v>
      </c>
      <c r="J55" t="s">
        <v>441</v>
      </c>
      <c r="K55" t="s">
        <v>349</v>
      </c>
    </row>
    <row r="56" spans="1:11">
      <c r="A56" t="s">
        <v>361</v>
      </c>
      <c r="B56" t="s">
        <v>385</v>
      </c>
      <c r="C56" t="s">
        <v>56</v>
      </c>
      <c r="D56" t="s">
        <v>41</v>
      </c>
      <c r="E56" t="s">
        <v>108</v>
      </c>
      <c r="F56" t="s">
        <v>264</v>
      </c>
      <c r="G56" t="s">
        <v>346</v>
      </c>
      <c r="H56" t="s">
        <v>379</v>
      </c>
      <c r="I56" t="s">
        <v>21</v>
      </c>
      <c r="J56" t="s">
        <v>441</v>
      </c>
      <c r="K56" t="s">
        <v>347</v>
      </c>
    </row>
    <row r="57" spans="1:11">
      <c r="A57" t="s">
        <v>361</v>
      </c>
      <c r="B57" t="s">
        <v>385</v>
      </c>
      <c r="C57" t="s">
        <v>56</v>
      </c>
      <c r="D57" t="s">
        <v>41</v>
      </c>
      <c r="E57" t="s">
        <v>108</v>
      </c>
      <c r="F57" t="s">
        <v>275</v>
      </c>
      <c r="G57" t="s">
        <v>346</v>
      </c>
      <c r="H57" t="s">
        <v>379</v>
      </c>
      <c r="I57" t="s">
        <v>21</v>
      </c>
      <c r="J57" t="s">
        <v>441</v>
      </c>
      <c r="K57" t="s">
        <v>347</v>
      </c>
    </row>
    <row r="58" spans="1:11">
      <c r="A58" t="s">
        <v>361</v>
      </c>
      <c r="B58" t="s">
        <v>385</v>
      </c>
      <c r="C58" t="s">
        <v>56</v>
      </c>
      <c r="D58" t="s">
        <v>41</v>
      </c>
      <c r="E58" t="s">
        <v>67</v>
      </c>
      <c r="F58" t="s">
        <v>283</v>
      </c>
      <c r="G58" t="s">
        <v>346</v>
      </c>
      <c r="H58" t="s">
        <v>379</v>
      </c>
      <c r="I58" t="s">
        <v>21</v>
      </c>
      <c r="J58" t="s">
        <v>441</v>
      </c>
      <c r="K58" t="s">
        <v>347</v>
      </c>
    </row>
    <row r="59" spans="1:11">
      <c r="A59" t="s">
        <v>361</v>
      </c>
      <c r="B59" t="s">
        <v>385</v>
      </c>
      <c r="C59" t="s">
        <v>59</v>
      </c>
      <c r="D59" t="s">
        <v>41</v>
      </c>
      <c r="E59" t="s">
        <v>67</v>
      </c>
      <c r="F59" t="s">
        <v>68</v>
      </c>
      <c r="G59" t="s">
        <v>346</v>
      </c>
      <c r="H59" t="s">
        <v>379</v>
      </c>
      <c r="I59" t="s">
        <v>21</v>
      </c>
      <c r="J59" t="s">
        <v>441</v>
      </c>
      <c r="K59" t="s">
        <v>347</v>
      </c>
    </row>
    <row r="60" spans="1:11">
      <c r="A60" t="s">
        <v>361</v>
      </c>
      <c r="B60" t="s">
        <v>385</v>
      </c>
      <c r="C60" t="s">
        <v>59</v>
      </c>
      <c r="D60" t="s">
        <v>43</v>
      </c>
      <c r="E60" t="s">
        <v>65</v>
      </c>
      <c r="F60" t="s">
        <v>105</v>
      </c>
      <c r="G60" t="s">
        <v>346</v>
      </c>
      <c r="H60" t="s">
        <v>379</v>
      </c>
      <c r="I60" t="s">
        <v>21</v>
      </c>
      <c r="J60" t="s">
        <v>441</v>
      </c>
      <c r="K60" t="s">
        <v>347</v>
      </c>
    </row>
    <row r="61" spans="1:11">
      <c r="A61" t="s">
        <v>361</v>
      </c>
      <c r="B61" t="s">
        <v>385</v>
      </c>
      <c r="C61" t="s">
        <v>59</v>
      </c>
      <c r="D61" t="s">
        <v>43</v>
      </c>
      <c r="E61" t="s">
        <v>65</v>
      </c>
      <c r="F61" t="s">
        <v>148</v>
      </c>
      <c r="G61" t="s">
        <v>346</v>
      </c>
      <c r="H61" t="s">
        <v>379</v>
      </c>
      <c r="I61" t="s">
        <v>21</v>
      </c>
      <c r="J61" t="s">
        <v>441</v>
      </c>
      <c r="K61" t="s">
        <v>347</v>
      </c>
    </row>
    <row r="62" spans="1:11">
      <c r="A62" t="s">
        <v>361</v>
      </c>
      <c r="B62" t="s">
        <v>385</v>
      </c>
      <c r="C62" t="s">
        <v>60</v>
      </c>
      <c r="D62" t="s">
        <v>43</v>
      </c>
      <c r="E62" t="s">
        <v>65</v>
      </c>
      <c r="F62" t="s">
        <v>207</v>
      </c>
      <c r="G62" t="s">
        <v>346</v>
      </c>
      <c r="H62" t="s">
        <v>379</v>
      </c>
      <c r="I62" t="s">
        <v>21</v>
      </c>
      <c r="J62" t="s">
        <v>441</v>
      </c>
      <c r="K62" t="s">
        <v>347</v>
      </c>
    </row>
    <row r="63" spans="1:11">
      <c r="A63" t="s">
        <v>361</v>
      </c>
      <c r="B63" t="s">
        <v>385</v>
      </c>
      <c r="C63" t="s">
        <v>60</v>
      </c>
      <c r="D63" t="s">
        <v>43</v>
      </c>
      <c r="E63" t="s">
        <v>106</v>
      </c>
      <c r="F63" t="s">
        <v>180</v>
      </c>
      <c r="G63" t="s">
        <v>346</v>
      </c>
      <c r="H63" t="s">
        <v>379</v>
      </c>
      <c r="I63" t="s">
        <v>21</v>
      </c>
      <c r="J63" t="s">
        <v>441</v>
      </c>
      <c r="K63" t="s">
        <v>347</v>
      </c>
    </row>
    <row r="64" spans="1:11">
      <c r="A64" t="s">
        <v>361</v>
      </c>
      <c r="B64" t="s">
        <v>385</v>
      </c>
      <c r="C64" t="s">
        <v>60</v>
      </c>
      <c r="D64" t="s">
        <v>45</v>
      </c>
      <c r="E64" t="s">
        <v>69</v>
      </c>
      <c r="F64" t="s">
        <v>287</v>
      </c>
      <c r="G64" t="s">
        <v>346</v>
      </c>
      <c r="H64" t="s">
        <v>379</v>
      </c>
      <c r="I64" t="s">
        <v>21</v>
      </c>
      <c r="J64" t="s">
        <v>441</v>
      </c>
      <c r="K64" t="s">
        <v>347</v>
      </c>
    </row>
    <row r="65" spans="1:11">
      <c r="A65" t="s">
        <v>361</v>
      </c>
      <c r="B65" t="s">
        <v>385</v>
      </c>
      <c r="C65" t="s">
        <v>61</v>
      </c>
      <c r="D65" t="s">
        <v>45</v>
      </c>
      <c r="E65" t="s">
        <v>106</v>
      </c>
      <c r="F65" t="s">
        <v>107</v>
      </c>
      <c r="G65" t="s">
        <v>346</v>
      </c>
      <c r="H65" t="s">
        <v>379</v>
      </c>
      <c r="I65" t="s">
        <v>21</v>
      </c>
      <c r="J65" t="s">
        <v>441</v>
      </c>
      <c r="K65" t="s">
        <v>347</v>
      </c>
    </row>
    <row r="66" spans="1:11">
      <c r="A66" t="s">
        <v>361</v>
      </c>
      <c r="B66" t="s">
        <v>385</v>
      </c>
      <c r="C66" t="s">
        <v>61</v>
      </c>
      <c r="D66" t="s">
        <v>45</v>
      </c>
      <c r="E66" t="s">
        <v>211</v>
      </c>
      <c r="F66" t="s">
        <v>306</v>
      </c>
      <c r="G66" t="s">
        <v>346</v>
      </c>
      <c r="H66" t="s">
        <v>379</v>
      </c>
      <c r="I66" t="s">
        <v>21</v>
      </c>
      <c r="J66" t="s">
        <v>441</v>
      </c>
      <c r="K66" t="s">
        <v>347</v>
      </c>
    </row>
    <row r="67" spans="1:11">
      <c r="A67" t="s">
        <v>356</v>
      </c>
      <c r="B67" t="s">
        <v>476</v>
      </c>
      <c r="C67" t="s">
        <v>56</v>
      </c>
      <c r="D67" t="s">
        <v>41</v>
      </c>
      <c r="E67" t="s">
        <v>65</v>
      </c>
      <c r="F67" t="s">
        <v>104</v>
      </c>
      <c r="G67" t="s">
        <v>99</v>
      </c>
      <c r="H67" t="s">
        <v>379</v>
      </c>
      <c r="I67" t="s">
        <v>21</v>
      </c>
      <c r="J67" t="s">
        <v>441</v>
      </c>
      <c r="K67" t="s">
        <v>443</v>
      </c>
    </row>
    <row r="68" spans="1:11">
      <c r="A68" t="s">
        <v>356</v>
      </c>
      <c r="B68" t="s">
        <v>476</v>
      </c>
      <c r="C68" t="s">
        <v>56</v>
      </c>
      <c r="D68" t="s">
        <v>41</v>
      </c>
      <c r="E68" t="s">
        <v>65</v>
      </c>
      <c r="F68" t="s">
        <v>105</v>
      </c>
      <c r="G68" t="s">
        <v>99</v>
      </c>
      <c r="H68" t="s">
        <v>379</v>
      </c>
      <c r="I68" t="s">
        <v>21</v>
      </c>
      <c r="J68" t="s">
        <v>441</v>
      </c>
      <c r="K68" t="s">
        <v>443</v>
      </c>
    </row>
    <row r="69" spans="1:11">
      <c r="A69" t="s">
        <v>356</v>
      </c>
      <c r="B69" t="s">
        <v>476</v>
      </c>
      <c r="C69" t="s">
        <v>56</v>
      </c>
      <c r="D69" t="s">
        <v>41</v>
      </c>
      <c r="E69" t="s">
        <v>67</v>
      </c>
      <c r="F69" t="s">
        <v>70</v>
      </c>
      <c r="G69" t="s">
        <v>99</v>
      </c>
      <c r="H69" t="s">
        <v>379</v>
      </c>
      <c r="I69" t="s">
        <v>21</v>
      </c>
      <c r="J69" t="s">
        <v>441</v>
      </c>
      <c r="K69" t="s">
        <v>443</v>
      </c>
    </row>
    <row r="70" spans="1:11">
      <c r="A70" t="s">
        <v>356</v>
      </c>
      <c r="B70" t="s">
        <v>476</v>
      </c>
      <c r="C70" t="s">
        <v>59</v>
      </c>
      <c r="D70" t="s">
        <v>43</v>
      </c>
      <c r="E70" t="s">
        <v>106</v>
      </c>
      <c r="F70" t="s">
        <v>107</v>
      </c>
      <c r="G70" t="s">
        <v>99</v>
      </c>
      <c r="H70" t="s">
        <v>379</v>
      </c>
      <c r="I70" t="s">
        <v>21</v>
      </c>
      <c r="J70" t="s">
        <v>441</v>
      </c>
      <c r="K70" t="s">
        <v>443</v>
      </c>
    </row>
    <row r="71" spans="1:11">
      <c r="A71" t="s">
        <v>356</v>
      </c>
      <c r="B71" t="s">
        <v>476</v>
      </c>
      <c r="C71" t="s">
        <v>59</v>
      </c>
      <c r="D71" t="s">
        <v>43</v>
      </c>
      <c r="E71" t="s">
        <v>108</v>
      </c>
      <c r="F71" t="s">
        <v>109</v>
      </c>
      <c r="G71" t="s">
        <v>99</v>
      </c>
      <c r="H71" t="s">
        <v>379</v>
      </c>
      <c r="I71" t="s">
        <v>21</v>
      </c>
      <c r="J71" t="s">
        <v>441</v>
      </c>
      <c r="K71" t="s">
        <v>443</v>
      </c>
    </row>
    <row r="72" spans="1:11">
      <c r="A72" t="s">
        <v>356</v>
      </c>
      <c r="B72" t="s">
        <v>477</v>
      </c>
      <c r="C72" t="s">
        <v>56</v>
      </c>
      <c r="D72" t="s">
        <v>41</v>
      </c>
      <c r="E72" t="s">
        <v>65</v>
      </c>
      <c r="F72" t="s">
        <v>104</v>
      </c>
      <c r="G72" t="s">
        <v>125</v>
      </c>
      <c r="H72" t="s">
        <v>379</v>
      </c>
      <c r="I72" t="s">
        <v>21</v>
      </c>
      <c r="J72" t="s">
        <v>441</v>
      </c>
      <c r="K72" t="s">
        <v>126</v>
      </c>
    </row>
    <row r="73" spans="1:11">
      <c r="A73" t="s">
        <v>356</v>
      </c>
      <c r="B73" t="s">
        <v>477</v>
      </c>
      <c r="C73" t="s">
        <v>56</v>
      </c>
      <c r="D73" t="s">
        <v>41</v>
      </c>
      <c r="E73" t="s">
        <v>65</v>
      </c>
      <c r="F73" t="s">
        <v>105</v>
      </c>
      <c r="G73" t="s">
        <v>125</v>
      </c>
      <c r="H73" t="s">
        <v>379</v>
      </c>
      <c r="I73" t="s">
        <v>21</v>
      </c>
      <c r="J73" t="s">
        <v>441</v>
      </c>
      <c r="K73" t="s">
        <v>126</v>
      </c>
    </row>
    <row r="74" spans="1:11">
      <c r="A74" t="s">
        <v>356</v>
      </c>
      <c r="B74" t="s">
        <v>477</v>
      </c>
      <c r="C74" t="s">
        <v>56</v>
      </c>
      <c r="D74" t="s">
        <v>41</v>
      </c>
      <c r="E74" t="s">
        <v>67</v>
      </c>
      <c r="F74" t="s">
        <v>70</v>
      </c>
      <c r="G74" t="s">
        <v>125</v>
      </c>
      <c r="H74" t="s">
        <v>379</v>
      </c>
      <c r="I74" t="s">
        <v>21</v>
      </c>
      <c r="J74" t="s">
        <v>441</v>
      </c>
      <c r="K74" t="s">
        <v>126</v>
      </c>
    </row>
    <row r="75" spans="1:11">
      <c r="A75" t="s">
        <v>356</v>
      </c>
      <c r="B75" t="s">
        <v>477</v>
      </c>
      <c r="C75" t="s">
        <v>59</v>
      </c>
      <c r="D75" t="s">
        <v>43</v>
      </c>
      <c r="E75" t="s">
        <v>106</v>
      </c>
      <c r="F75" t="s">
        <v>107</v>
      </c>
      <c r="G75" t="s">
        <v>125</v>
      </c>
      <c r="H75" t="s">
        <v>379</v>
      </c>
      <c r="I75" t="s">
        <v>21</v>
      </c>
      <c r="J75" t="s">
        <v>441</v>
      </c>
      <c r="K75" t="s">
        <v>126</v>
      </c>
    </row>
    <row r="76" spans="1:11">
      <c r="A76" t="s">
        <v>356</v>
      </c>
      <c r="B76" t="s">
        <v>477</v>
      </c>
      <c r="C76" t="s">
        <v>59</v>
      </c>
      <c r="D76" t="s">
        <v>43</v>
      </c>
      <c r="E76" t="s">
        <v>108</v>
      </c>
      <c r="F76" t="s">
        <v>109</v>
      </c>
      <c r="G76" t="s">
        <v>125</v>
      </c>
      <c r="H76" t="s">
        <v>379</v>
      </c>
      <c r="I76" t="s">
        <v>21</v>
      </c>
      <c r="J76" t="s">
        <v>441</v>
      </c>
      <c r="K76" t="s">
        <v>126</v>
      </c>
    </row>
    <row r="77" spans="1:11">
      <c r="A77" t="s">
        <v>356</v>
      </c>
      <c r="B77" t="s">
        <v>478</v>
      </c>
      <c r="C77" t="s">
        <v>56</v>
      </c>
      <c r="D77" t="s">
        <v>41</v>
      </c>
      <c r="E77" t="s">
        <v>65</v>
      </c>
      <c r="F77" t="s">
        <v>104</v>
      </c>
      <c r="G77" t="s">
        <v>127</v>
      </c>
      <c r="H77" t="s">
        <v>379</v>
      </c>
      <c r="I77" t="s">
        <v>21</v>
      </c>
      <c r="J77" t="s">
        <v>441</v>
      </c>
      <c r="K77" t="s">
        <v>128</v>
      </c>
    </row>
    <row r="78" spans="1:11">
      <c r="A78" t="s">
        <v>356</v>
      </c>
      <c r="B78" t="s">
        <v>478</v>
      </c>
      <c r="C78" t="s">
        <v>56</v>
      </c>
      <c r="D78" t="s">
        <v>41</v>
      </c>
      <c r="E78" t="s">
        <v>65</v>
      </c>
      <c r="F78" t="s">
        <v>105</v>
      </c>
      <c r="G78" t="s">
        <v>127</v>
      </c>
      <c r="H78" t="s">
        <v>379</v>
      </c>
      <c r="I78" t="s">
        <v>21</v>
      </c>
      <c r="J78" t="s">
        <v>441</v>
      </c>
      <c r="K78" t="s">
        <v>128</v>
      </c>
    </row>
    <row r="79" spans="1:11">
      <c r="A79" t="s">
        <v>356</v>
      </c>
      <c r="B79" t="s">
        <v>478</v>
      </c>
      <c r="C79" t="s">
        <v>56</v>
      </c>
      <c r="D79" t="s">
        <v>41</v>
      </c>
      <c r="E79" t="s">
        <v>67</v>
      </c>
      <c r="F79" t="s">
        <v>70</v>
      </c>
      <c r="G79" t="s">
        <v>127</v>
      </c>
      <c r="H79" t="s">
        <v>379</v>
      </c>
      <c r="I79" t="s">
        <v>21</v>
      </c>
      <c r="J79" t="s">
        <v>441</v>
      </c>
      <c r="K79" t="s">
        <v>128</v>
      </c>
    </row>
    <row r="80" spans="1:11">
      <c r="A80" t="s">
        <v>356</v>
      </c>
      <c r="B80" t="s">
        <v>478</v>
      </c>
      <c r="C80" t="s">
        <v>59</v>
      </c>
      <c r="D80" t="s">
        <v>43</v>
      </c>
      <c r="E80" t="s">
        <v>106</v>
      </c>
      <c r="F80" t="s">
        <v>107</v>
      </c>
      <c r="G80" t="s">
        <v>127</v>
      </c>
      <c r="H80" t="s">
        <v>379</v>
      </c>
      <c r="I80" t="s">
        <v>21</v>
      </c>
      <c r="J80" t="s">
        <v>441</v>
      </c>
      <c r="K80" t="s">
        <v>128</v>
      </c>
    </row>
    <row r="81" spans="1:11">
      <c r="A81" t="s">
        <v>356</v>
      </c>
      <c r="B81" t="s">
        <v>478</v>
      </c>
      <c r="C81" t="s">
        <v>59</v>
      </c>
      <c r="D81" t="s">
        <v>43</v>
      </c>
      <c r="E81" t="s">
        <v>108</v>
      </c>
      <c r="F81" t="s">
        <v>109</v>
      </c>
      <c r="G81" t="s">
        <v>127</v>
      </c>
      <c r="H81" t="s">
        <v>379</v>
      </c>
      <c r="I81" t="s">
        <v>21</v>
      </c>
      <c r="J81" t="s">
        <v>441</v>
      </c>
      <c r="K81" t="s">
        <v>128</v>
      </c>
    </row>
    <row r="82" spans="1:11">
      <c r="A82" t="s">
        <v>356</v>
      </c>
      <c r="B82" t="s">
        <v>479</v>
      </c>
      <c r="C82" t="s">
        <v>56</v>
      </c>
      <c r="D82" t="s">
        <v>41</v>
      </c>
      <c r="E82" t="s">
        <v>65</v>
      </c>
      <c r="F82" t="s">
        <v>104</v>
      </c>
      <c r="G82" t="s">
        <v>129</v>
      </c>
      <c r="H82" t="s">
        <v>379</v>
      </c>
      <c r="I82" t="s">
        <v>21</v>
      </c>
      <c r="J82" t="s">
        <v>441</v>
      </c>
      <c r="K82" t="s">
        <v>130</v>
      </c>
    </row>
    <row r="83" spans="1:11">
      <c r="A83" t="s">
        <v>356</v>
      </c>
      <c r="B83" t="s">
        <v>479</v>
      </c>
      <c r="C83" t="s">
        <v>56</v>
      </c>
      <c r="D83" t="s">
        <v>41</v>
      </c>
      <c r="E83" t="s">
        <v>65</v>
      </c>
      <c r="F83" t="s">
        <v>105</v>
      </c>
      <c r="G83" t="s">
        <v>129</v>
      </c>
      <c r="H83" t="s">
        <v>379</v>
      </c>
      <c r="I83" t="s">
        <v>21</v>
      </c>
      <c r="J83" t="s">
        <v>441</v>
      </c>
      <c r="K83" t="s">
        <v>130</v>
      </c>
    </row>
    <row r="84" spans="1:11">
      <c r="A84" t="s">
        <v>356</v>
      </c>
      <c r="B84" t="s">
        <v>479</v>
      </c>
      <c r="C84" t="s">
        <v>56</v>
      </c>
      <c r="D84" t="s">
        <v>41</v>
      </c>
      <c r="E84" t="s">
        <v>67</v>
      </c>
      <c r="F84" t="s">
        <v>70</v>
      </c>
      <c r="G84" t="s">
        <v>129</v>
      </c>
      <c r="H84" t="s">
        <v>379</v>
      </c>
      <c r="I84" t="s">
        <v>21</v>
      </c>
      <c r="J84" t="s">
        <v>441</v>
      </c>
      <c r="K84" t="s">
        <v>130</v>
      </c>
    </row>
    <row r="85" spans="1:11">
      <c r="A85" t="s">
        <v>356</v>
      </c>
      <c r="B85" t="s">
        <v>479</v>
      </c>
      <c r="C85" t="s">
        <v>59</v>
      </c>
      <c r="D85" t="s">
        <v>43</v>
      </c>
      <c r="E85" t="s">
        <v>106</v>
      </c>
      <c r="F85" t="s">
        <v>107</v>
      </c>
      <c r="G85" t="s">
        <v>129</v>
      </c>
      <c r="H85" t="s">
        <v>379</v>
      </c>
      <c r="I85" t="s">
        <v>21</v>
      </c>
      <c r="J85" t="s">
        <v>441</v>
      </c>
      <c r="K85" t="s">
        <v>130</v>
      </c>
    </row>
    <row r="86" spans="1:11">
      <c r="A86" t="s">
        <v>356</v>
      </c>
      <c r="B86" t="s">
        <v>479</v>
      </c>
      <c r="C86" t="s">
        <v>59</v>
      </c>
      <c r="D86" t="s">
        <v>43</v>
      </c>
      <c r="E86" t="s">
        <v>108</v>
      </c>
      <c r="F86" t="s">
        <v>109</v>
      </c>
      <c r="G86" t="s">
        <v>129</v>
      </c>
      <c r="H86" t="s">
        <v>379</v>
      </c>
      <c r="I86" t="s">
        <v>21</v>
      </c>
      <c r="J86" t="s">
        <v>441</v>
      </c>
      <c r="K86" t="s">
        <v>130</v>
      </c>
    </row>
    <row r="87" spans="1:11">
      <c r="A87" t="s">
        <v>356</v>
      </c>
      <c r="B87" t="s">
        <v>480</v>
      </c>
      <c r="C87" t="s">
        <v>56</v>
      </c>
      <c r="D87" t="s">
        <v>41</v>
      </c>
      <c r="E87" t="s">
        <v>65</v>
      </c>
      <c r="F87" t="s">
        <v>104</v>
      </c>
      <c r="G87" t="s">
        <v>131</v>
      </c>
      <c r="H87" t="s">
        <v>379</v>
      </c>
      <c r="I87" t="s">
        <v>21</v>
      </c>
      <c r="J87" t="s">
        <v>441</v>
      </c>
      <c r="K87" t="s">
        <v>132</v>
      </c>
    </row>
    <row r="88" spans="1:11">
      <c r="A88" t="s">
        <v>356</v>
      </c>
      <c r="B88" t="s">
        <v>480</v>
      </c>
      <c r="C88" t="s">
        <v>56</v>
      </c>
      <c r="D88" t="s">
        <v>41</v>
      </c>
      <c r="E88" t="s">
        <v>65</v>
      </c>
      <c r="F88" t="s">
        <v>105</v>
      </c>
      <c r="G88" t="s">
        <v>131</v>
      </c>
      <c r="H88" t="s">
        <v>379</v>
      </c>
      <c r="I88" t="s">
        <v>21</v>
      </c>
      <c r="J88" t="s">
        <v>441</v>
      </c>
      <c r="K88" t="s">
        <v>132</v>
      </c>
    </row>
    <row r="89" spans="1:11">
      <c r="A89" t="s">
        <v>356</v>
      </c>
      <c r="B89" t="s">
        <v>480</v>
      </c>
      <c r="C89" t="s">
        <v>56</v>
      </c>
      <c r="D89" t="s">
        <v>41</v>
      </c>
      <c r="E89" t="s">
        <v>67</v>
      </c>
      <c r="F89" t="s">
        <v>70</v>
      </c>
      <c r="G89" t="s">
        <v>131</v>
      </c>
      <c r="H89" t="s">
        <v>379</v>
      </c>
      <c r="I89" t="s">
        <v>21</v>
      </c>
      <c r="J89" t="s">
        <v>441</v>
      </c>
      <c r="K89" t="s">
        <v>132</v>
      </c>
    </row>
    <row r="90" spans="1:11">
      <c r="A90" t="s">
        <v>356</v>
      </c>
      <c r="B90" t="s">
        <v>480</v>
      </c>
      <c r="C90" t="s">
        <v>59</v>
      </c>
      <c r="D90" t="s">
        <v>43</v>
      </c>
      <c r="E90" t="s">
        <v>106</v>
      </c>
      <c r="F90" t="s">
        <v>107</v>
      </c>
      <c r="G90" t="s">
        <v>131</v>
      </c>
      <c r="H90" t="s">
        <v>379</v>
      </c>
      <c r="I90" t="s">
        <v>21</v>
      </c>
      <c r="J90" t="s">
        <v>441</v>
      </c>
      <c r="K90" t="s">
        <v>132</v>
      </c>
    </row>
    <row r="91" spans="1:11">
      <c r="A91" t="s">
        <v>356</v>
      </c>
      <c r="B91" t="s">
        <v>480</v>
      </c>
      <c r="C91" t="s">
        <v>59</v>
      </c>
      <c r="D91" t="s">
        <v>43</v>
      </c>
      <c r="E91" t="s">
        <v>108</v>
      </c>
      <c r="F91" t="s">
        <v>109</v>
      </c>
      <c r="G91" t="s">
        <v>131</v>
      </c>
      <c r="H91" t="s">
        <v>379</v>
      </c>
      <c r="I91" t="s">
        <v>21</v>
      </c>
      <c r="J91" t="s">
        <v>441</v>
      </c>
      <c r="K91" t="s">
        <v>132</v>
      </c>
    </row>
    <row r="92" spans="1:11">
      <c r="A92" t="s">
        <v>356</v>
      </c>
      <c r="B92" t="s">
        <v>481</v>
      </c>
      <c r="C92" t="s">
        <v>56</v>
      </c>
      <c r="D92" t="s">
        <v>41</v>
      </c>
      <c r="E92" t="s">
        <v>65</v>
      </c>
      <c r="F92" t="s">
        <v>104</v>
      </c>
      <c r="G92" t="s">
        <v>133</v>
      </c>
      <c r="H92" t="s">
        <v>379</v>
      </c>
      <c r="I92" t="s">
        <v>21</v>
      </c>
      <c r="J92" t="s">
        <v>441</v>
      </c>
      <c r="K92" t="s">
        <v>134</v>
      </c>
    </row>
    <row r="93" spans="1:11">
      <c r="A93" t="s">
        <v>356</v>
      </c>
      <c r="B93" t="s">
        <v>481</v>
      </c>
      <c r="C93" t="s">
        <v>56</v>
      </c>
      <c r="D93" t="s">
        <v>41</v>
      </c>
      <c r="E93" t="s">
        <v>65</v>
      </c>
      <c r="F93" t="s">
        <v>105</v>
      </c>
      <c r="G93" t="s">
        <v>133</v>
      </c>
      <c r="H93" t="s">
        <v>379</v>
      </c>
      <c r="I93" t="s">
        <v>21</v>
      </c>
      <c r="J93" t="s">
        <v>441</v>
      </c>
      <c r="K93" t="s">
        <v>134</v>
      </c>
    </row>
    <row r="94" spans="1:11">
      <c r="A94" t="s">
        <v>356</v>
      </c>
      <c r="B94" t="s">
        <v>481</v>
      </c>
      <c r="C94" t="s">
        <v>56</v>
      </c>
      <c r="D94" t="s">
        <v>41</v>
      </c>
      <c r="E94" t="s">
        <v>67</v>
      </c>
      <c r="F94" t="s">
        <v>70</v>
      </c>
      <c r="G94" t="s">
        <v>133</v>
      </c>
      <c r="H94" t="s">
        <v>379</v>
      </c>
      <c r="I94" t="s">
        <v>21</v>
      </c>
      <c r="J94" t="s">
        <v>441</v>
      </c>
      <c r="K94" t="s">
        <v>134</v>
      </c>
    </row>
    <row r="95" spans="1:11">
      <c r="A95" t="s">
        <v>356</v>
      </c>
      <c r="B95" t="s">
        <v>481</v>
      </c>
      <c r="C95" t="s">
        <v>59</v>
      </c>
      <c r="D95" t="s">
        <v>43</v>
      </c>
      <c r="E95" t="s">
        <v>106</v>
      </c>
      <c r="F95" t="s">
        <v>107</v>
      </c>
      <c r="G95" t="s">
        <v>133</v>
      </c>
      <c r="H95" t="s">
        <v>379</v>
      </c>
      <c r="I95" t="s">
        <v>21</v>
      </c>
      <c r="J95" t="s">
        <v>441</v>
      </c>
      <c r="K95" t="s">
        <v>134</v>
      </c>
    </row>
    <row r="96" spans="1:11">
      <c r="A96" t="s">
        <v>356</v>
      </c>
      <c r="B96" t="s">
        <v>481</v>
      </c>
      <c r="C96" t="s">
        <v>59</v>
      </c>
      <c r="D96" t="s">
        <v>43</v>
      </c>
      <c r="E96" t="s">
        <v>108</v>
      </c>
      <c r="F96" t="s">
        <v>109</v>
      </c>
      <c r="G96" t="s">
        <v>133</v>
      </c>
      <c r="H96" t="s">
        <v>379</v>
      </c>
      <c r="I96" t="s">
        <v>21</v>
      </c>
      <c r="J96" t="s">
        <v>441</v>
      </c>
      <c r="K96" t="s">
        <v>134</v>
      </c>
    </row>
    <row r="97" spans="1:11">
      <c r="A97" t="s">
        <v>356</v>
      </c>
      <c r="B97" t="s">
        <v>482</v>
      </c>
      <c r="C97" t="s">
        <v>56</v>
      </c>
      <c r="D97" t="s">
        <v>41</v>
      </c>
      <c r="E97" t="s">
        <v>65</v>
      </c>
      <c r="F97" t="s">
        <v>104</v>
      </c>
      <c r="G97" t="s">
        <v>135</v>
      </c>
      <c r="H97" t="s">
        <v>379</v>
      </c>
      <c r="I97" t="s">
        <v>21</v>
      </c>
      <c r="J97" t="s">
        <v>441</v>
      </c>
      <c r="K97" t="s">
        <v>450</v>
      </c>
    </row>
    <row r="98" spans="1:11">
      <c r="A98" t="s">
        <v>356</v>
      </c>
      <c r="B98" t="s">
        <v>482</v>
      </c>
      <c r="C98" t="s">
        <v>56</v>
      </c>
      <c r="D98" t="s">
        <v>41</v>
      </c>
      <c r="E98" t="s">
        <v>65</v>
      </c>
      <c r="F98" t="s">
        <v>105</v>
      </c>
      <c r="G98" t="s">
        <v>135</v>
      </c>
      <c r="H98" t="s">
        <v>379</v>
      </c>
      <c r="I98" t="s">
        <v>21</v>
      </c>
      <c r="J98" t="s">
        <v>441</v>
      </c>
      <c r="K98" t="s">
        <v>450</v>
      </c>
    </row>
    <row r="99" spans="1:11">
      <c r="A99" t="s">
        <v>356</v>
      </c>
      <c r="B99" t="s">
        <v>482</v>
      </c>
      <c r="C99" t="s">
        <v>56</v>
      </c>
      <c r="D99" t="s">
        <v>41</v>
      </c>
      <c r="E99" t="s">
        <v>67</v>
      </c>
      <c r="F99" t="s">
        <v>70</v>
      </c>
      <c r="G99" t="s">
        <v>135</v>
      </c>
      <c r="H99" t="s">
        <v>379</v>
      </c>
      <c r="I99" t="s">
        <v>21</v>
      </c>
      <c r="J99" t="s">
        <v>441</v>
      </c>
      <c r="K99" t="s">
        <v>450</v>
      </c>
    </row>
    <row r="100" spans="1:11">
      <c r="A100" t="s">
        <v>356</v>
      </c>
      <c r="B100" t="s">
        <v>482</v>
      </c>
      <c r="C100" t="s">
        <v>59</v>
      </c>
      <c r="D100" t="s">
        <v>43</v>
      </c>
      <c r="E100" t="s">
        <v>106</v>
      </c>
      <c r="F100" t="s">
        <v>107</v>
      </c>
      <c r="G100" t="s">
        <v>135</v>
      </c>
      <c r="H100" t="s">
        <v>379</v>
      </c>
      <c r="I100" t="s">
        <v>21</v>
      </c>
      <c r="J100" t="s">
        <v>441</v>
      </c>
      <c r="K100" t="s">
        <v>450</v>
      </c>
    </row>
    <row r="101" spans="1:11">
      <c r="A101" t="s">
        <v>356</v>
      </c>
      <c r="B101" t="s">
        <v>482</v>
      </c>
      <c r="C101" t="s">
        <v>59</v>
      </c>
      <c r="D101" t="s">
        <v>43</v>
      </c>
      <c r="E101" t="s">
        <v>108</v>
      </c>
      <c r="F101" t="s">
        <v>109</v>
      </c>
      <c r="G101" t="s">
        <v>135</v>
      </c>
      <c r="H101" t="s">
        <v>379</v>
      </c>
      <c r="I101" t="s">
        <v>21</v>
      </c>
      <c r="J101" t="s">
        <v>441</v>
      </c>
      <c r="K101" t="s">
        <v>450</v>
      </c>
    </row>
    <row r="102" spans="1:11">
      <c r="A102" t="s">
        <v>356</v>
      </c>
      <c r="B102" t="s">
        <v>483</v>
      </c>
      <c r="C102" t="s">
        <v>56</v>
      </c>
      <c r="D102" t="s">
        <v>41</v>
      </c>
      <c r="E102" t="s">
        <v>65</v>
      </c>
      <c r="F102" t="s">
        <v>148</v>
      </c>
      <c r="G102" t="s">
        <v>137</v>
      </c>
      <c r="H102" t="s">
        <v>379</v>
      </c>
      <c r="I102" t="s">
        <v>21</v>
      </c>
      <c r="J102" t="s">
        <v>441</v>
      </c>
      <c r="K102" t="s">
        <v>452</v>
      </c>
    </row>
    <row r="103" spans="1:11">
      <c r="A103" t="s">
        <v>356</v>
      </c>
      <c r="B103" t="s">
        <v>483</v>
      </c>
      <c r="C103" t="s">
        <v>56</v>
      </c>
      <c r="D103" t="s">
        <v>43</v>
      </c>
      <c r="E103" t="s">
        <v>65</v>
      </c>
      <c r="F103" t="s">
        <v>148</v>
      </c>
      <c r="G103" t="s">
        <v>137</v>
      </c>
      <c r="H103" t="s">
        <v>379</v>
      </c>
      <c r="I103" t="s">
        <v>21</v>
      </c>
      <c r="J103" t="s">
        <v>441</v>
      </c>
      <c r="K103" t="s">
        <v>452</v>
      </c>
    </row>
    <row r="104" spans="1:11">
      <c r="A104" t="s">
        <v>356</v>
      </c>
      <c r="B104" t="s">
        <v>483</v>
      </c>
      <c r="C104" t="s">
        <v>56</v>
      </c>
      <c r="D104" t="s">
        <v>45</v>
      </c>
      <c r="E104" t="s">
        <v>67</v>
      </c>
      <c r="F104" t="s">
        <v>66</v>
      </c>
      <c r="G104" t="s">
        <v>137</v>
      </c>
      <c r="H104" t="s">
        <v>379</v>
      </c>
      <c r="I104" t="s">
        <v>21</v>
      </c>
      <c r="J104" t="s">
        <v>441</v>
      </c>
      <c r="K104" t="s">
        <v>452</v>
      </c>
    </row>
    <row r="105" spans="1:11">
      <c r="A105" t="s">
        <v>356</v>
      </c>
      <c r="B105" t="s">
        <v>483</v>
      </c>
      <c r="C105" t="s">
        <v>56</v>
      </c>
      <c r="D105" t="s">
        <v>47</v>
      </c>
      <c r="E105" t="s">
        <v>67</v>
      </c>
      <c r="F105" t="s">
        <v>66</v>
      </c>
      <c r="G105" t="s">
        <v>137</v>
      </c>
      <c r="H105" t="s">
        <v>379</v>
      </c>
      <c r="I105" t="s">
        <v>21</v>
      </c>
      <c r="J105" t="s">
        <v>441</v>
      </c>
      <c r="K105" t="s">
        <v>452</v>
      </c>
    </row>
    <row r="106" spans="1:11">
      <c r="A106" t="s">
        <v>356</v>
      </c>
      <c r="B106" t="s">
        <v>484</v>
      </c>
      <c r="C106" t="s">
        <v>56</v>
      </c>
      <c r="D106" t="s">
        <v>41</v>
      </c>
      <c r="E106" t="s">
        <v>65</v>
      </c>
      <c r="F106" t="s">
        <v>104</v>
      </c>
      <c r="G106" t="s">
        <v>163</v>
      </c>
      <c r="H106" t="s">
        <v>379</v>
      </c>
      <c r="I106" t="s">
        <v>21</v>
      </c>
      <c r="J106" t="s">
        <v>441</v>
      </c>
      <c r="K106" t="s">
        <v>454</v>
      </c>
    </row>
    <row r="107" spans="1:11">
      <c r="A107" t="s">
        <v>356</v>
      </c>
      <c r="B107" t="s">
        <v>484</v>
      </c>
      <c r="C107" t="s">
        <v>56</v>
      </c>
      <c r="D107" t="s">
        <v>41</v>
      </c>
      <c r="E107" t="s">
        <v>65</v>
      </c>
      <c r="F107" t="s">
        <v>105</v>
      </c>
      <c r="G107" t="s">
        <v>163</v>
      </c>
      <c r="H107" t="s">
        <v>379</v>
      </c>
      <c r="I107" t="s">
        <v>21</v>
      </c>
      <c r="J107" t="s">
        <v>441</v>
      </c>
      <c r="K107" t="s">
        <v>454</v>
      </c>
    </row>
    <row r="108" spans="1:11">
      <c r="A108" t="s">
        <v>356</v>
      </c>
      <c r="B108" t="s">
        <v>484</v>
      </c>
      <c r="C108" t="s">
        <v>56</v>
      </c>
      <c r="D108" t="s">
        <v>41</v>
      </c>
      <c r="E108" t="s">
        <v>67</v>
      </c>
      <c r="F108" t="s">
        <v>70</v>
      </c>
      <c r="G108" t="s">
        <v>163</v>
      </c>
      <c r="H108" t="s">
        <v>379</v>
      </c>
      <c r="I108" t="s">
        <v>21</v>
      </c>
      <c r="J108" t="s">
        <v>441</v>
      </c>
      <c r="K108" t="s">
        <v>454</v>
      </c>
    </row>
    <row r="109" spans="1:11">
      <c r="A109" t="s">
        <v>356</v>
      </c>
      <c r="B109" t="s">
        <v>484</v>
      </c>
      <c r="C109" t="s">
        <v>59</v>
      </c>
      <c r="D109" t="s">
        <v>43</v>
      </c>
      <c r="E109" t="s">
        <v>106</v>
      </c>
      <c r="F109" t="s">
        <v>107</v>
      </c>
      <c r="G109" t="s">
        <v>163</v>
      </c>
      <c r="H109" t="s">
        <v>379</v>
      </c>
      <c r="I109" t="s">
        <v>21</v>
      </c>
      <c r="J109" t="s">
        <v>441</v>
      </c>
      <c r="K109" t="s">
        <v>454</v>
      </c>
    </row>
    <row r="110" spans="1:11">
      <c r="A110" t="s">
        <v>356</v>
      </c>
      <c r="B110" t="s">
        <v>484</v>
      </c>
      <c r="C110" t="s">
        <v>59</v>
      </c>
      <c r="D110" t="s">
        <v>43</v>
      </c>
      <c r="E110" t="s">
        <v>108</v>
      </c>
      <c r="F110" t="s">
        <v>109</v>
      </c>
      <c r="G110" t="s">
        <v>163</v>
      </c>
      <c r="H110" t="s">
        <v>379</v>
      </c>
      <c r="I110" t="s">
        <v>21</v>
      </c>
      <c r="J110" t="s">
        <v>441</v>
      </c>
      <c r="K110" t="s">
        <v>454</v>
      </c>
    </row>
    <row r="111" spans="1:11">
      <c r="A111" t="s">
        <v>356</v>
      </c>
      <c r="B111" t="s">
        <v>386</v>
      </c>
      <c r="C111" t="s">
        <v>56</v>
      </c>
      <c r="D111" t="s">
        <v>41</v>
      </c>
      <c r="E111" t="s">
        <v>67</v>
      </c>
      <c r="F111" t="s">
        <v>66</v>
      </c>
      <c r="G111" t="s">
        <v>165</v>
      </c>
      <c r="H111" t="s">
        <v>379</v>
      </c>
      <c r="I111" t="s">
        <v>21</v>
      </c>
      <c r="J111" t="s">
        <v>441</v>
      </c>
      <c r="K111" t="s">
        <v>167</v>
      </c>
    </row>
    <row r="112" spans="1:11">
      <c r="A112" t="s">
        <v>356</v>
      </c>
      <c r="B112" t="s">
        <v>386</v>
      </c>
      <c r="C112" t="s">
        <v>56</v>
      </c>
      <c r="D112" t="s">
        <v>43</v>
      </c>
      <c r="E112" t="s">
        <v>106</v>
      </c>
      <c r="F112" t="s">
        <v>107</v>
      </c>
      <c r="G112" t="s">
        <v>165</v>
      </c>
      <c r="H112" t="s">
        <v>379</v>
      </c>
      <c r="I112" t="s">
        <v>21</v>
      </c>
      <c r="J112" t="s">
        <v>441</v>
      </c>
      <c r="K112" t="s">
        <v>167</v>
      </c>
    </row>
    <row r="113" spans="1:11">
      <c r="A113" t="s">
        <v>356</v>
      </c>
      <c r="B113" t="s">
        <v>386</v>
      </c>
      <c r="C113" t="s">
        <v>59</v>
      </c>
      <c r="D113" t="s">
        <v>41</v>
      </c>
      <c r="E113" t="s">
        <v>106</v>
      </c>
      <c r="F113" t="s">
        <v>180</v>
      </c>
      <c r="G113" t="s">
        <v>165</v>
      </c>
      <c r="H113" t="s">
        <v>379</v>
      </c>
      <c r="I113" t="s">
        <v>21</v>
      </c>
      <c r="J113" t="s">
        <v>441</v>
      </c>
      <c r="K113" t="s">
        <v>167</v>
      </c>
    </row>
    <row r="114" spans="1:11">
      <c r="A114" t="s">
        <v>356</v>
      </c>
      <c r="B114" t="s">
        <v>386</v>
      </c>
      <c r="C114" t="s">
        <v>59</v>
      </c>
      <c r="D114" t="s">
        <v>43</v>
      </c>
      <c r="E114" t="s">
        <v>181</v>
      </c>
      <c r="F114" t="s">
        <v>182</v>
      </c>
      <c r="G114" t="s">
        <v>165</v>
      </c>
      <c r="H114" t="s">
        <v>379</v>
      </c>
      <c r="I114" t="s">
        <v>21</v>
      </c>
      <c r="J114" t="s">
        <v>441</v>
      </c>
      <c r="K114" t="s">
        <v>167</v>
      </c>
    </row>
    <row r="115" spans="1:11">
      <c r="A115" t="s">
        <v>356</v>
      </c>
      <c r="B115" t="s">
        <v>386</v>
      </c>
      <c r="C115" t="s">
        <v>59</v>
      </c>
      <c r="D115" t="s">
        <v>45</v>
      </c>
      <c r="E115" t="s">
        <v>69</v>
      </c>
      <c r="F115" t="s">
        <v>183</v>
      </c>
      <c r="G115" t="s">
        <v>165</v>
      </c>
      <c r="H115" t="s">
        <v>379</v>
      </c>
      <c r="I115" t="s">
        <v>21</v>
      </c>
      <c r="J115" t="s">
        <v>441</v>
      </c>
      <c r="K115" t="s">
        <v>167</v>
      </c>
    </row>
    <row r="116" spans="1:11">
      <c r="A116" t="s">
        <v>358</v>
      </c>
      <c r="B116" t="s">
        <v>387</v>
      </c>
      <c r="C116" t="s">
        <v>56</v>
      </c>
      <c r="D116" t="s">
        <v>41</v>
      </c>
      <c r="E116" t="s">
        <v>65</v>
      </c>
      <c r="F116" t="s">
        <v>104</v>
      </c>
      <c r="G116" t="s">
        <v>338</v>
      </c>
      <c r="H116" t="s">
        <v>379</v>
      </c>
      <c r="I116" t="s">
        <v>21</v>
      </c>
      <c r="J116" t="s">
        <v>441</v>
      </c>
      <c r="K116" t="s">
        <v>339</v>
      </c>
    </row>
    <row r="117" spans="1:11">
      <c r="A117" t="s">
        <v>358</v>
      </c>
      <c r="B117" t="s">
        <v>387</v>
      </c>
      <c r="C117" t="s">
        <v>56</v>
      </c>
      <c r="D117" t="s">
        <v>41</v>
      </c>
      <c r="E117" t="s">
        <v>69</v>
      </c>
      <c r="F117" t="s">
        <v>287</v>
      </c>
      <c r="G117" t="s">
        <v>338</v>
      </c>
      <c r="H117" t="s">
        <v>379</v>
      </c>
      <c r="I117" t="s">
        <v>21</v>
      </c>
      <c r="J117" t="s">
        <v>441</v>
      </c>
      <c r="K117" t="s">
        <v>339</v>
      </c>
    </row>
    <row r="118" spans="1:11">
      <c r="A118" t="s">
        <v>358</v>
      </c>
      <c r="B118" t="s">
        <v>387</v>
      </c>
      <c r="C118" t="s">
        <v>59</v>
      </c>
      <c r="D118" t="s">
        <v>43</v>
      </c>
      <c r="E118" t="s">
        <v>65</v>
      </c>
      <c r="F118" t="s">
        <v>104</v>
      </c>
      <c r="G118" t="s">
        <v>338</v>
      </c>
      <c r="H118" t="s">
        <v>379</v>
      </c>
      <c r="I118" t="s">
        <v>21</v>
      </c>
      <c r="J118" t="s">
        <v>441</v>
      </c>
      <c r="K118" t="s">
        <v>339</v>
      </c>
    </row>
    <row r="119" spans="1:11">
      <c r="A119" t="s">
        <v>358</v>
      </c>
      <c r="B119" t="s">
        <v>387</v>
      </c>
      <c r="C119" t="s">
        <v>59</v>
      </c>
      <c r="D119" t="s">
        <v>43</v>
      </c>
      <c r="E119" t="s">
        <v>69</v>
      </c>
      <c r="F119" t="s">
        <v>287</v>
      </c>
      <c r="G119" t="s">
        <v>338</v>
      </c>
      <c r="H119" t="s">
        <v>379</v>
      </c>
      <c r="I119" t="s">
        <v>21</v>
      </c>
      <c r="J119" t="s">
        <v>441</v>
      </c>
      <c r="K119" t="s">
        <v>339</v>
      </c>
    </row>
    <row r="120" spans="1:11">
      <c r="A120" t="s">
        <v>358</v>
      </c>
      <c r="B120" t="s">
        <v>388</v>
      </c>
      <c r="C120" t="s">
        <v>56</v>
      </c>
      <c r="D120" t="s">
        <v>41</v>
      </c>
      <c r="E120" t="s">
        <v>67</v>
      </c>
      <c r="F120" t="s">
        <v>68</v>
      </c>
      <c r="G120" t="s">
        <v>343</v>
      </c>
      <c r="H120" t="s">
        <v>379</v>
      </c>
      <c r="I120" t="s">
        <v>21</v>
      </c>
      <c r="J120" t="s">
        <v>441</v>
      </c>
      <c r="K120" t="s">
        <v>344</v>
      </c>
    </row>
    <row r="121" spans="1:11">
      <c r="A121" t="s">
        <v>358</v>
      </c>
      <c r="B121" t="s">
        <v>388</v>
      </c>
      <c r="C121" t="s">
        <v>56</v>
      </c>
      <c r="D121" t="s">
        <v>41</v>
      </c>
      <c r="E121" t="s">
        <v>181</v>
      </c>
      <c r="F121" t="s">
        <v>182</v>
      </c>
      <c r="G121" t="s">
        <v>343</v>
      </c>
      <c r="H121" t="s">
        <v>379</v>
      </c>
      <c r="I121" t="s">
        <v>21</v>
      </c>
      <c r="J121" t="s">
        <v>441</v>
      </c>
      <c r="K121" t="s">
        <v>344</v>
      </c>
    </row>
    <row r="122" spans="1:11">
      <c r="A122" t="s">
        <v>358</v>
      </c>
      <c r="B122" t="s">
        <v>388</v>
      </c>
      <c r="C122" t="s">
        <v>56</v>
      </c>
      <c r="D122" t="s">
        <v>41</v>
      </c>
      <c r="E122" t="s">
        <v>181</v>
      </c>
      <c r="F122" t="s">
        <v>300</v>
      </c>
      <c r="G122" t="s">
        <v>343</v>
      </c>
      <c r="H122" t="s">
        <v>379</v>
      </c>
      <c r="I122" t="s">
        <v>21</v>
      </c>
      <c r="J122" t="s">
        <v>441</v>
      </c>
      <c r="K122" t="s">
        <v>344</v>
      </c>
    </row>
    <row r="123" spans="1:11">
      <c r="A123" t="s">
        <v>358</v>
      </c>
      <c r="B123" t="s">
        <v>388</v>
      </c>
      <c r="C123" t="s">
        <v>59</v>
      </c>
      <c r="D123" t="s">
        <v>41</v>
      </c>
      <c r="E123" t="s">
        <v>65</v>
      </c>
      <c r="F123" t="s">
        <v>104</v>
      </c>
      <c r="G123" t="s">
        <v>343</v>
      </c>
      <c r="H123" t="s">
        <v>379</v>
      </c>
      <c r="I123" t="s">
        <v>21</v>
      </c>
      <c r="J123" t="s">
        <v>441</v>
      </c>
      <c r="K123" t="s">
        <v>344</v>
      </c>
    </row>
    <row r="124" spans="1:11">
      <c r="A124" t="s">
        <v>358</v>
      </c>
      <c r="B124" t="s">
        <v>388</v>
      </c>
      <c r="C124" t="s">
        <v>59</v>
      </c>
      <c r="D124" t="s">
        <v>41</v>
      </c>
      <c r="E124" t="s">
        <v>65</v>
      </c>
      <c r="F124" t="s">
        <v>257</v>
      </c>
      <c r="G124" t="s">
        <v>343</v>
      </c>
      <c r="H124" t="s">
        <v>379</v>
      </c>
      <c r="I124" t="s">
        <v>21</v>
      </c>
      <c r="J124" t="s">
        <v>441</v>
      </c>
      <c r="K124" t="s">
        <v>344</v>
      </c>
    </row>
    <row r="125" spans="1:11">
      <c r="A125" t="s">
        <v>358</v>
      </c>
      <c r="B125" t="s">
        <v>388</v>
      </c>
      <c r="C125" t="s">
        <v>59</v>
      </c>
      <c r="D125" t="s">
        <v>43</v>
      </c>
      <c r="E125" t="s">
        <v>67</v>
      </c>
      <c r="F125" t="s">
        <v>68</v>
      </c>
      <c r="G125" t="s">
        <v>343</v>
      </c>
      <c r="H125" t="s">
        <v>379</v>
      </c>
      <c r="I125" t="s">
        <v>21</v>
      </c>
      <c r="J125" t="s">
        <v>441</v>
      </c>
      <c r="K125" t="s">
        <v>344</v>
      </c>
    </row>
    <row r="126" spans="1:11">
      <c r="A126" t="s">
        <v>358</v>
      </c>
      <c r="B126" t="s">
        <v>388</v>
      </c>
      <c r="C126" t="s">
        <v>59</v>
      </c>
      <c r="D126" t="s">
        <v>43</v>
      </c>
      <c r="E126" t="s">
        <v>181</v>
      </c>
      <c r="F126" t="s">
        <v>182</v>
      </c>
      <c r="G126" t="s">
        <v>343</v>
      </c>
      <c r="H126" t="s">
        <v>379</v>
      </c>
      <c r="I126" t="s">
        <v>21</v>
      </c>
      <c r="J126" t="s">
        <v>441</v>
      </c>
      <c r="K126" t="s">
        <v>344</v>
      </c>
    </row>
    <row r="127" spans="1:11">
      <c r="A127" t="s">
        <v>358</v>
      </c>
      <c r="B127" t="s">
        <v>388</v>
      </c>
      <c r="C127" t="s">
        <v>59</v>
      </c>
      <c r="D127" t="s">
        <v>43</v>
      </c>
      <c r="E127" t="s">
        <v>181</v>
      </c>
      <c r="F127" t="s">
        <v>300</v>
      </c>
      <c r="G127" t="s">
        <v>343</v>
      </c>
      <c r="H127" t="s">
        <v>379</v>
      </c>
      <c r="I127" t="s">
        <v>21</v>
      </c>
      <c r="J127" t="s">
        <v>441</v>
      </c>
      <c r="K127" t="s">
        <v>344</v>
      </c>
    </row>
    <row r="128" spans="1:11">
      <c r="A128" t="s">
        <v>358</v>
      </c>
      <c r="B128" t="s">
        <v>388</v>
      </c>
      <c r="C128" t="s">
        <v>59</v>
      </c>
      <c r="D128" t="s">
        <v>43</v>
      </c>
      <c r="E128" t="s">
        <v>65</v>
      </c>
      <c r="F128" t="s">
        <v>104</v>
      </c>
      <c r="G128" t="s">
        <v>343</v>
      </c>
      <c r="H128" t="s">
        <v>379</v>
      </c>
      <c r="I128" t="s">
        <v>21</v>
      </c>
      <c r="J128" t="s">
        <v>441</v>
      </c>
      <c r="K128" t="s">
        <v>344</v>
      </c>
    </row>
    <row r="129" spans="1:11">
      <c r="A129" t="s">
        <v>358</v>
      </c>
      <c r="B129" t="s">
        <v>388</v>
      </c>
      <c r="C129" t="s">
        <v>59</v>
      </c>
      <c r="D129" t="s">
        <v>43</v>
      </c>
      <c r="E129" t="s">
        <v>65</v>
      </c>
      <c r="F129" t="s">
        <v>257</v>
      </c>
      <c r="G129" t="s">
        <v>343</v>
      </c>
      <c r="H129" t="s">
        <v>379</v>
      </c>
      <c r="I129" t="s">
        <v>21</v>
      </c>
      <c r="J129" t="s">
        <v>441</v>
      </c>
      <c r="K129" t="s">
        <v>344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3098B-BBF1-4A7B-8536-92C82853526D}">
  <dimension ref="A1:I109"/>
  <sheetViews>
    <sheetView workbookViewId="0">
      <selection sqref="A1:I109"/>
    </sheetView>
  </sheetViews>
  <sheetFormatPr defaultRowHeight="1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351</v>
      </c>
      <c r="B1" t="s">
        <v>353</v>
      </c>
      <c r="C1" t="s">
        <v>27</v>
      </c>
      <c r="D1" t="s">
        <v>26</v>
      </c>
      <c r="E1" t="s">
        <v>332</v>
      </c>
      <c r="F1" t="s">
        <v>378</v>
      </c>
      <c r="G1" t="s">
        <v>352</v>
      </c>
      <c r="H1" t="s">
        <v>354</v>
      </c>
      <c r="I1" t="s">
        <v>333</v>
      </c>
    </row>
    <row r="2" spans="1:9">
      <c r="A2" t="s">
        <v>356</v>
      </c>
      <c r="B2" t="s">
        <v>355</v>
      </c>
      <c r="C2" t="s">
        <v>28</v>
      </c>
      <c r="D2">
        <v>10</v>
      </c>
      <c r="E2" t="s">
        <v>5</v>
      </c>
      <c r="F2" t="s">
        <v>389</v>
      </c>
      <c r="G2" t="s">
        <v>21</v>
      </c>
      <c r="H2" t="s">
        <v>441</v>
      </c>
      <c r="I2" t="s">
        <v>8</v>
      </c>
    </row>
    <row r="3" spans="1:9">
      <c r="A3" t="s">
        <v>356</v>
      </c>
      <c r="B3" t="s">
        <v>355</v>
      </c>
      <c r="C3" t="s">
        <v>29</v>
      </c>
      <c r="D3">
        <v>10</v>
      </c>
      <c r="E3" t="s">
        <v>5</v>
      </c>
      <c r="F3" t="s">
        <v>389</v>
      </c>
      <c r="G3" t="s">
        <v>21</v>
      </c>
      <c r="H3" t="s">
        <v>441</v>
      </c>
      <c r="I3" t="s">
        <v>8</v>
      </c>
    </row>
    <row r="4" spans="1:9">
      <c r="A4" t="s">
        <v>356</v>
      </c>
      <c r="B4" t="s">
        <v>355</v>
      </c>
      <c r="C4" t="s">
        <v>30</v>
      </c>
      <c r="D4">
        <v>20</v>
      </c>
      <c r="E4" t="s">
        <v>5</v>
      </c>
      <c r="F4" t="s">
        <v>389</v>
      </c>
      <c r="G4" t="s">
        <v>21</v>
      </c>
      <c r="H4" t="s">
        <v>441</v>
      </c>
      <c r="I4" t="s">
        <v>8</v>
      </c>
    </row>
    <row r="5" spans="1:9">
      <c r="A5" t="s">
        <v>356</v>
      </c>
      <c r="B5" t="s">
        <v>355</v>
      </c>
      <c r="C5" t="s">
        <v>31</v>
      </c>
      <c r="E5" t="s">
        <v>5</v>
      </c>
      <c r="F5" t="s">
        <v>389</v>
      </c>
      <c r="G5" t="s">
        <v>21</v>
      </c>
      <c r="H5" t="s">
        <v>441</v>
      </c>
      <c r="I5" t="s">
        <v>8</v>
      </c>
    </row>
    <row r="6" spans="1:9">
      <c r="A6" t="s">
        <v>356</v>
      </c>
      <c r="B6" t="s">
        <v>355</v>
      </c>
      <c r="C6" t="s">
        <v>33</v>
      </c>
      <c r="E6" t="s">
        <v>5</v>
      </c>
      <c r="F6" t="s">
        <v>389</v>
      </c>
      <c r="G6" t="s">
        <v>21</v>
      </c>
      <c r="H6" t="s">
        <v>441</v>
      </c>
      <c r="I6" t="s">
        <v>8</v>
      </c>
    </row>
    <row r="7" spans="1:9">
      <c r="A7" t="s">
        <v>356</v>
      </c>
      <c r="B7" t="s">
        <v>355</v>
      </c>
      <c r="C7" t="s">
        <v>35</v>
      </c>
      <c r="D7">
        <v>40</v>
      </c>
      <c r="E7" t="s">
        <v>5</v>
      </c>
      <c r="F7" t="s">
        <v>389</v>
      </c>
      <c r="G7" t="s">
        <v>21</v>
      </c>
      <c r="H7" t="s">
        <v>441</v>
      </c>
      <c r="I7" t="s">
        <v>8</v>
      </c>
    </row>
    <row r="8" spans="1:9">
      <c r="A8" t="s">
        <v>361</v>
      </c>
      <c r="B8" t="s">
        <v>362</v>
      </c>
      <c r="C8" t="s">
        <v>28</v>
      </c>
      <c r="E8" t="s">
        <v>334</v>
      </c>
      <c r="F8" t="s">
        <v>389</v>
      </c>
      <c r="G8" t="s">
        <v>21</v>
      </c>
      <c r="H8" t="s">
        <v>441</v>
      </c>
      <c r="I8" t="s">
        <v>335</v>
      </c>
    </row>
    <row r="9" spans="1:9">
      <c r="A9" t="s">
        <v>361</v>
      </c>
      <c r="B9" t="s">
        <v>362</v>
      </c>
      <c r="C9" t="s">
        <v>29</v>
      </c>
      <c r="E9" t="s">
        <v>334</v>
      </c>
      <c r="F9" t="s">
        <v>389</v>
      </c>
      <c r="G9" t="s">
        <v>21</v>
      </c>
      <c r="H9" t="s">
        <v>441</v>
      </c>
      <c r="I9" t="s">
        <v>335</v>
      </c>
    </row>
    <row r="10" spans="1:9">
      <c r="A10" t="s">
        <v>361</v>
      </c>
      <c r="B10" t="s">
        <v>362</v>
      </c>
      <c r="C10" t="s">
        <v>30</v>
      </c>
      <c r="E10" t="s">
        <v>334</v>
      </c>
      <c r="F10" t="s">
        <v>389</v>
      </c>
      <c r="G10" t="s">
        <v>21</v>
      </c>
      <c r="H10" t="s">
        <v>441</v>
      </c>
      <c r="I10" t="s">
        <v>335</v>
      </c>
    </row>
    <row r="11" spans="1:9">
      <c r="A11" t="s">
        <v>361</v>
      </c>
      <c r="B11" t="s">
        <v>362</v>
      </c>
      <c r="C11" t="s">
        <v>31</v>
      </c>
      <c r="E11" t="s">
        <v>334</v>
      </c>
      <c r="F11" t="s">
        <v>389</v>
      </c>
      <c r="G11" t="s">
        <v>21</v>
      </c>
      <c r="H11" t="s">
        <v>441</v>
      </c>
      <c r="I11" t="s">
        <v>335</v>
      </c>
    </row>
    <row r="12" spans="1:9">
      <c r="A12" t="s">
        <v>361</v>
      </c>
      <c r="B12" t="s">
        <v>362</v>
      </c>
      <c r="C12" t="s">
        <v>33</v>
      </c>
      <c r="E12" t="s">
        <v>334</v>
      </c>
      <c r="F12" t="s">
        <v>389</v>
      </c>
      <c r="G12" t="s">
        <v>21</v>
      </c>
      <c r="H12" t="s">
        <v>441</v>
      </c>
      <c r="I12" t="s">
        <v>335</v>
      </c>
    </row>
    <row r="13" spans="1:9">
      <c r="A13" t="s">
        <v>361</v>
      </c>
      <c r="B13" t="s">
        <v>362</v>
      </c>
      <c r="C13" t="s">
        <v>35</v>
      </c>
      <c r="D13">
        <v>0</v>
      </c>
      <c r="E13" t="s">
        <v>334</v>
      </c>
      <c r="F13" t="s">
        <v>389</v>
      </c>
      <c r="G13" t="s">
        <v>21</v>
      </c>
      <c r="H13" t="s">
        <v>441</v>
      </c>
      <c r="I13" t="s">
        <v>335</v>
      </c>
    </row>
    <row r="14" spans="1:9">
      <c r="A14" t="s">
        <v>361</v>
      </c>
      <c r="B14" t="s">
        <v>363</v>
      </c>
      <c r="C14" t="s">
        <v>28</v>
      </c>
      <c r="D14">
        <v>33</v>
      </c>
      <c r="E14" t="s">
        <v>336</v>
      </c>
      <c r="F14" t="s">
        <v>389</v>
      </c>
      <c r="G14" t="s">
        <v>21</v>
      </c>
      <c r="H14" t="s">
        <v>441</v>
      </c>
      <c r="I14" t="s">
        <v>330</v>
      </c>
    </row>
    <row r="15" spans="1:9">
      <c r="A15" t="s">
        <v>361</v>
      </c>
      <c r="B15" t="s">
        <v>363</v>
      </c>
      <c r="C15" t="s">
        <v>29</v>
      </c>
      <c r="D15">
        <v>1</v>
      </c>
      <c r="E15" t="s">
        <v>336</v>
      </c>
      <c r="F15" t="s">
        <v>389</v>
      </c>
      <c r="G15" t="s">
        <v>21</v>
      </c>
      <c r="H15" t="s">
        <v>441</v>
      </c>
      <c r="I15" t="s">
        <v>330</v>
      </c>
    </row>
    <row r="16" spans="1:9">
      <c r="A16" t="s">
        <v>361</v>
      </c>
      <c r="B16" t="s">
        <v>363</v>
      </c>
      <c r="C16" t="s">
        <v>30</v>
      </c>
      <c r="D16">
        <v>6</v>
      </c>
      <c r="E16" t="s">
        <v>336</v>
      </c>
      <c r="F16" t="s">
        <v>389</v>
      </c>
      <c r="G16" t="s">
        <v>21</v>
      </c>
      <c r="H16" t="s">
        <v>441</v>
      </c>
      <c r="I16" t="s">
        <v>330</v>
      </c>
    </row>
    <row r="17" spans="1:9">
      <c r="A17" t="s">
        <v>361</v>
      </c>
      <c r="B17" t="s">
        <v>363</v>
      </c>
      <c r="C17" t="s">
        <v>31</v>
      </c>
      <c r="D17">
        <v>1</v>
      </c>
      <c r="E17" t="s">
        <v>336</v>
      </c>
      <c r="F17" t="s">
        <v>389</v>
      </c>
      <c r="G17" t="s">
        <v>21</v>
      </c>
      <c r="H17" t="s">
        <v>441</v>
      </c>
      <c r="I17" t="s">
        <v>330</v>
      </c>
    </row>
    <row r="18" spans="1:9">
      <c r="A18" t="s">
        <v>361</v>
      </c>
      <c r="B18" t="s">
        <v>363</v>
      </c>
      <c r="C18" t="s">
        <v>33</v>
      </c>
      <c r="D18">
        <v>3</v>
      </c>
      <c r="E18" t="s">
        <v>336</v>
      </c>
      <c r="F18" t="s">
        <v>389</v>
      </c>
      <c r="G18" t="s">
        <v>21</v>
      </c>
      <c r="H18" t="s">
        <v>441</v>
      </c>
      <c r="I18" t="s">
        <v>330</v>
      </c>
    </row>
    <row r="19" spans="1:9">
      <c r="A19" t="s">
        <v>361</v>
      </c>
      <c r="B19" t="s">
        <v>363</v>
      </c>
      <c r="C19" t="s">
        <v>35</v>
      </c>
      <c r="D19">
        <v>44</v>
      </c>
      <c r="E19" t="s">
        <v>336</v>
      </c>
      <c r="F19" t="s">
        <v>389</v>
      </c>
      <c r="G19" t="s">
        <v>21</v>
      </c>
      <c r="H19" t="s">
        <v>441</v>
      </c>
      <c r="I19" t="s">
        <v>330</v>
      </c>
    </row>
    <row r="20" spans="1:9">
      <c r="A20" t="s">
        <v>361</v>
      </c>
      <c r="B20" t="s">
        <v>364</v>
      </c>
      <c r="C20" t="s">
        <v>28</v>
      </c>
      <c r="D20">
        <v>11</v>
      </c>
      <c r="E20" t="s">
        <v>341</v>
      </c>
      <c r="F20" t="s">
        <v>389</v>
      </c>
      <c r="G20" t="s">
        <v>21</v>
      </c>
      <c r="H20" t="s">
        <v>441</v>
      </c>
      <c r="I20" t="s">
        <v>331</v>
      </c>
    </row>
    <row r="21" spans="1:9">
      <c r="A21" t="s">
        <v>361</v>
      </c>
      <c r="B21" t="s">
        <v>364</v>
      </c>
      <c r="C21" t="s">
        <v>29</v>
      </c>
      <c r="E21" t="s">
        <v>341</v>
      </c>
      <c r="F21" t="s">
        <v>389</v>
      </c>
      <c r="G21" t="s">
        <v>21</v>
      </c>
      <c r="H21" t="s">
        <v>441</v>
      </c>
      <c r="I21" t="s">
        <v>331</v>
      </c>
    </row>
    <row r="22" spans="1:9">
      <c r="A22" t="s">
        <v>361</v>
      </c>
      <c r="B22" t="s">
        <v>364</v>
      </c>
      <c r="C22" t="s">
        <v>30</v>
      </c>
      <c r="D22">
        <v>6</v>
      </c>
      <c r="E22" t="s">
        <v>341</v>
      </c>
      <c r="F22" t="s">
        <v>389</v>
      </c>
      <c r="G22" t="s">
        <v>21</v>
      </c>
      <c r="H22" t="s">
        <v>441</v>
      </c>
      <c r="I22" t="s">
        <v>331</v>
      </c>
    </row>
    <row r="23" spans="1:9">
      <c r="A23" t="s">
        <v>361</v>
      </c>
      <c r="B23" t="s">
        <v>364</v>
      </c>
      <c r="C23" t="s">
        <v>31</v>
      </c>
      <c r="D23">
        <v>11</v>
      </c>
      <c r="E23" t="s">
        <v>341</v>
      </c>
      <c r="F23" t="s">
        <v>389</v>
      </c>
      <c r="G23" t="s">
        <v>21</v>
      </c>
      <c r="H23" t="s">
        <v>441</v>
      </c>
      <c r="I23" t="s">
        <v>331</v>
      </c>
    </row>
    <row r="24" spans="1:9">
      <c r="A24" t="s">
        <v>361</v>
      </c>
      <c r="B24" t="s">
        <v>364</v>
      </c>
      <c r="C24" t="s">
        <v>33</v>
      </c>
      <c r="D24">
        <v>11</v>
      </c>
      <c r="E24" t="s">
        <v>341</v>
      </c>
      <c r="F24" t="s">
        <v>389</v>
      </c>
      <c r="G24" t="s">
        <v>21</v>
      </c>
      <c r="H24" t="s">
        <v>441</v>
      </c>
      <c r="I24" t="s">
        <v>331</v>
      </c>
    </row>
    <row r="25" spans="1:9">
      <c r="A25" t="s">
        <v>361</v>
      </c>
      <c r="B25" t="s">
        <v>364</v>
      </c>
      <c r="C25" t="s">
        <v>35</v>
      </c>
      <c r="D25">
        <v>39</v>
      </c>
      <c r="E25" t="s">
        <v>341</v>
      </c>
      <c r="F25" t="s">
        <v>389</v>
      </c>
      <c r="G25" t="s">
        <v>21</v>
      </c>
      <c r="H25" t="s">
        <v>441</v>
      </c>
      <c r="I25" t="s">
        <v>331</v>
      </c>
    </row>
    <row r="26" spans="1:9">
      <c r="A26" t="s">
        <v>361</v>
      </c>
      <c r="B26" t="s">
        <v>366</v>
      </c>
      <c r="C26" t="s">
        <v>28</v>
      </c>
      <c r="D26">
        <v>22</v>
      </c>
      <c r="E26" t="s">
        <v>348</v>
      </c>
      <c r="F26" t="s">
        <v>389</v>
      </c>
      <c r="G26" t="s">
        <v>21</v>
      </c>
      <c r="H26" t="s">
        <v>441</v>
      </c>
      <c r="I26" t="s">
        <v>349</v>
      </c>
    </row>
    <row r="27" spans="1:9">
      <c r="A27" t="s">
        <v>361</v>
      </c>
      <c r="B27" t="s">
        <v>366</v>
      </c>
      <c r="C27" t="s">
        <v>29</v>
      </c>
      <c r="D27">
        <v>6</v>
      </c>
      <c r="E27" t="s">
        <v>348</v>
      </c>
      <c r="F27" t="s">
        <v>389</v>
      </c>
      <c r="G27" t="s">
        <v>21</v>
      </c>
      <c r="H27" t="s">
        <v>441</v>
      </c>
      <c r="I27" t="s">
        <v>349</v>
      </c>
    </row>
    <row r="28" spans="1:9">
      <c r="A28" t="s">
        <v>361</v>
      </c>
      <c r="B28" t="s">
        <v>366</v>
      </c>
      <c r="C28" t="s">
        <v>30</v>
      </c>
      <c r="D28">
        <v>12</v>
      </c>
      <c r="E28" t="s">
        <v>348</v>
      </c>
      <c r="F28" t="s">
        <v>389</v>
      </c>
      <c r="G28" t="s">
        <v>21</v>
      </c>
      <c r="H28" t="s">
        <v>441</v>
      </c>
      <c r="I28" t="s">
        <v>349</v>
      </c>
    </row>
    <row r="29" spans="1:9">
      <c r="A29" t="s">
        <v>361</v>
      </c>
      <c r="B29" t="s">
        <v>366</v>
      </c>
      <c r="C29" t="s">
        <v>31</v>
      </c>
      <c r="E29" t="s">
        <v>348</v>
      </c>
      <c r="F29" t="s">
        <v>389</v>
      </c>
      <c r="G29" t="s">
        <v>21</v>
      </c>
      <c r="H29" t="s">
        <v>441</v>
      </c>
      <c r="I29" t="s">
        <v>349</v>
      </c>
    </row>
    <row r="30" spans="1:9">
      <c r="A30" t="s">
        <v>361</v>
      </c>
      <c r="B30" t="s">
        <v>366</v>
      </c>
      <c r="C30" t="s">
        <v>33</v>
      </c>
      <c r="E30" t="s">
        <v>348</v>
      </c>
      <c r="F30" t="s">
        <v>389</v>
      </c>
      <c r="G30" t="s">
        <v>21</v>
      </c>
      <c r="H30" t="s">
        <v>441</v>
      </c>
      <c r="I30" t="s">
        <v>349</v>
      </c>
    </row>
    <row r="31" spans="1:9">
      <c r="A31" t="s">
        <v>361</v>
      </c>
      <c r="B31" t="s">
        <v>366</v>
      </c>
      <c r="C31" t="s">
        <v>35</v>
      </c>
      <c r="D31">
        <v>40</v>
      </c>
      <c r="E31" t="s">
        <v>348</v>
      </c>
      <c r="F31" t="s">
        <v>389</v>
      </c>
      <c r="G31" t="s">
        <v>21</v>
      </c>
      <c r="H31" t="s">
        <v>441</v>
      </c>
      <c r="I31" t="s">
        <v>349</v>
      </c>
    </row>
    <row r="32" spans="1:9">
      <c r="A32" t="s">
        <v>361</v>
      </c>
      <c r="B32" t="s">
        <v>365</v>
      </c>
      <c r="C32" t="s">
        <v>28</v>
      </c>
      <c r="D32">
        <v>10</v>
      </c>
      <c r="E32" t="s">
        <v>346</v>
      </c>
      <c r="F32" t="s">
        <v>389</v>
      </c>
      <c r="G32" t="s">
        <v>21</v>
      </c>
      <c r="H32" t="s">
        <v>441</v>
      </c>
      <c r="I32" t="s">
        <v>347</v>
      </c>
    </row>
    <row r="33" spans="1:9">
      <c r="A33" t="s">
        <v>361</v>
      </c>
      <c r="B33" t="s">
        <v>365</v>
      </c>
      <c r="C33" t="s">
        <v>29</v>
      </c>
      <c r="D33">
        <v>26</v>
      </c>
      <c r="E33" t="s">
        <v>346</v>
      </c>
      <c r="F33" t="s">
        <v>389</v>
      </c>
      <c r="G33" t="s">
        <v>21</v>
      </c>
      <c r="H33" t="s">
        <v>441</v>
      </c>
      <c r="I33" t="s">
        <v>347</v>
      </c>
    </row>
    <row r="34" spans="1:9">
      <c r="A34" t="s">
        <v>361</v>
      </c>
      <c r="B34" t="s">
        <v>365</v>
      </c>
      <c r="C34" t="s">
        <v>30</v>
      </c>
      <c r="E34" t="s">
        <v>346</v>
      </c>
      <c r="F34" t="s">
        <v>389</v>
      </c>
      <c r="G34" t="s">
        <v>21</v>
      </c>
      <c r="H34" t="s">
        <v>441</v>
      </c>
      <c r="I34" t="s">
        <v>347</v>
      </c>
    </row>
    <row r="35" spans="1:9">
      <c r="A35" t="s">
        <v>361</v>
      </c>
      <c r="B35" t="s">
        <v>365</v>
      </c>
      <c r="C35" t="s">
        <v>31</v>
      </c>
      <c r="E35" t="s">
        <v>346</v>
      </c>
      <c r="F35" t="s">
        <v>389</v>
      </c>
      <c r="G35" t="s">
        <v>21</v>
      </c>
      <c r="H35" t="s">
        <v>441</v>
      </c>
      <c r="I35" t="s">
        <v>347</v>
      </c>
    </row>
    <row r="36" spans="1:9">
      <c r="A36" t="s">
        <v>361</v>
      </c>
      <c r="B36" t="s">
        <v>365</v>
      </c>
      <c r="C36" t="s">
        <v>33</v>
      </c>
      <c r="E36" t="s">
        <v>346</v>
      </c>
      <c r="F36" t="s">
        <v>389</v>
      </c>
      <c r="G36" t="s">
        <v>21</v>
      </c>
      <c r="H36" t="s">
        <v>441</v>
      </c>
      <c r="I36" t="s">
        <v>347</v>
      </c>
    </row>
    <row r="37" spans="1:9">
      <c r="A37" t="s">
        <v>361</v>
      </c>
      <c r="B37" t="s">
        <v>365</v>
      </c>
      <c r="C37" t="s">
        <v>35</v>
      </c>
      <c r="D37">
        <v>36</v>
      </c>
      <c r="E37" t="s">
        <v>346</v>
      </c>
      <c r="F37" t="s">
        <v>389</v>
      </c>
      <c r="G37" t="s">
        <v>21</v>
      </c>
      <c r="H37" t="s">
        <v>441</v>
      </c>
      <c r="I37" t="s">
        <v>347</v>
      </c>
    </row>
    <row r="38" spans="1:9">
      <c r="A38" t="s">
        <v>356</v>
      </c>
      <c r="B38" t="s">
        <v>467</v>
      </c>
      <c r="C38" t="s">
        <v>28</v>
      </c>
      <c r="E38" t="s">
        <v>99</v>
      </c>
      <c r="F38" t="s">
        <v>389</v>
      </c>
      <c r="G38" t="s">
        <v>21</v>
      </c>
      <c r="H38" t="s">
        <v>441</v>
      </c>
      <c r="I38" t="s">
        <v>443</v>
      </c>
    </row>
    <row r="39" spans="1:9">
      <c r="A39" t="s">
        <v>356</v>
      </c>
      <c r="B39" t="s">
        <v>467</v>
      </c>
      <c r="C39" t="s">
        <v>29</v>
      </c>
      <c r="E39" t="s">
        <v>99</v>
      </c>
      <c r="F39" t="s">
        <v>389</v>
      </c>
      <c r="G39" t="s">
        <v>21</v>
      </c>
      <c r="H39" t="s">
        <v>441</v>
      </c>
      <c r="I39" t="s">
        <v>443</v>
      </c>
    </row>
    <row r="40" spans="1:9">
      <c r="A40" t="s">
        <v>356</v>
      </c>
      <c r="B40" t="s">
        <v>467</v>
      </c>
      <c r="C40" t="s">
        <v>30</v>
      </c>
      <c r="E40" t="s">
        <v>99</v>
      </c>
      <c r="F40" t="s">
        <v>389</v>
      </c>
      <c r="G40" t="s">
        <v>21</v>
      </c>
      <c r="H40" t="s">
        <v>441</v>
      </c>
      <c r="I40" t="s">
        <v>443</v>
      </c>
    </row>
    <row r="41" spans="1:9">
      <c r="A41" t="s">
        <v>356</v>
      </c>
      <c r="B41" t="s">
        <v>467</v>
      </c>
      <c r="C41" t="s">
        <v>31</v>
      </c>
      <c r="E41" t="s">
        <v>99</v>
      </c>
      <c r="F41" t="s">
        <v>389</v>
      </c>
      <c r="G41" t="s">
        <v>21</v>
      </c>
      <c r="H41" t="s">
        <v>441</v>
      </c>
      <c r="I41" t="s">
        <v>443</v>
      </c>
    </row>
    <row r="42" spans="1:9">
      <c r="A42" t="s">
        <v>356</v>
      </c>
      <c r="B42" t="s">
        <v>467</v>
      </c>
      <c r="C42" t="s">
        <v>33</v>
      </c>
      <c r="E42" t="s">
        <v>99</v>
      </c>
      <c r="F42" t="s">
        <v>389</v>
      </c>
      <c r="G42" t="s">
        <v>21</v>
      </c>
      <c r="H42" t="s">
        <v>441</v>
      </c>
      <c r="I42" t="s">
        <v>443</v>
      </c>
    </row>
    <row r="43" spans="1:9">
      <c r="A43" t="s">
        <v>356</v>
      </c>
      <c r="B43" t="s">
        <v>467</v>
      </c>
      <c r="C43" t="s">
        <v>35</v>
      </c>
      <c r="D43">
        <v>0</v>
      </c>
      <c r="E43" t="s">
        <v>99</v>
      </c>
      <c r="F43" t="s">
        <v>389</v>
      </c>
      <c r="G43" t="s">
        <v>21</v>
      </c>
      <c r="H43" t="s">
        <v>441</v>
      </c>
      <c r="I43" t="s">
        <v>443</v>
      </c>
    </row>
    <row r="44" spans="1:9">
      <c r="A44" t="s">
        <v>356</v>
      </c>
      <c r="B44" t="s">
        <v>468</v>
      </c>
      <c r="C44" t="s">
        <v>28</v>
      </c>
      <c r="E44" t="s">
        <v>125</v>
      </c>
      <c r="F44" t="s">
        <v>389</v>
      </c>
      <c r="G44" t="s">
        <v>21</v>
      </c>
      <c r="H44" t="s">
        <v>441</v>
      </c>
      <c r="I44" t="s">
        <v>126</v>
      </c>
    </row>
    <row r="45" spans="1:9">
      <c r="A45" t="s">
        <v>356</v>
      </c>
      <c r="B45" t="s">
        <v>468</v>
      </c>
      <c r="C45" t="s">
        <v>29</v>
      </c>
      <c r="E45" t="s">
        <v>125</v>
      </c>
      <c r="F45" t="s">
        <v>389</v>
      </c>
      <c r="G45" t="s">
        <v>21</v>
      </c>
      <c r="H45" t="s">
        <v>441</v>
      </c>
      <c r="I45" t="s">
        <v>126</v>
      </c>
    </row>
    <row r="46" spans="1:9">
      <c r="A46" t="s">
        <v>356</v>
      </c>
      <c r="B46" t="s">
        <v>468</v>
      </c>
      <c r="C46" t="s">
        <v>30</v>
      </c>
      <c r="E46" t="s">
        <v>125</v>
      </c>
      <c r="F46" t="s">
        <v>389</v>
      </c>
      <c r="G46" t="s">
        <v>21</v>
      </c>
      <c r="H46" t="s">
        <v>441</v>
      </c>
      <c r="I46" t="s">
        <v>126</v>
      </c>
    </row>
    <row r="47" spans="1:9">
      <c r="A47" t="s">
        <v>356</v>
      </c>
      <c r="B47" t="s">
        <v>468</v>
      </c>
      <c r="C47" t="s">
        <v>31</v>
      </c>
      <c r="E47" t="s">
        <v>125</v>
      </c>
      <c r="F47" t="s">
        <v>389</v>
      </c>
      <c r="G47" t="s">
        <v>21</v>
      </c>
      <c r="H47" t="s">
        <v>441</v>
      </c>
      <c r="I47" t="s">
        <v>126</v>
      </c>
    </row>
    <row r="48" spans="1:9">
      <c r="A48" t="s">
        <v>356</v>
      </c>
      <c r="B48" t="s">
        <v>468</v>
      </c>
      <c r="C48" t="s">
        <v>33</v>
      </c>
      <c r="E48" t="s">
        <v>125</v>
      </c>
      <c r="F48" t="s">
        <v>389</v>
      </c>
      <c r="G48" t="s">
        <v>21</v>
      </c>
      <c r="H48" t="s">
        <v>441</v>
      </c>
      <c r="I48" t="s">
        <v>126</v>
      </c>
    </row>
    <row r="49" spans="1:9">
      <c r="A49" t="s">
        <v>356</v>
      </c>
      <c r="B49" t="s">
        <v>468</v>
      </c>
      <c r="C49" t="s">
        <v>35</v>
      </c>
      <c r="D49">
        <v>0</v>
      </c>
      <c r="E49" t="s">
        <v>125</v>
      </c>
      <c r="F49" t="s">
        <v>389</v>
      </c>
      <c r="G49" t="s">
        <v>21</v>
      </c>
      <c r="H49" t="s">
        <v>441</v>
      </c>
      <c r="I49" t="s">
        <v>126</v>
      </c>
    </row>
    <row r="50" spans="1:9">
      <c r="A50" t="s">
        <v>356</v>
      </c>
      <c r="B50" t="s">
        <v>469</v>
      </c>
      <c r="C50" t="s">
        <v>28</v>
      </c>
      <c r="E50" t="s">
        <v>127</v>
      </c>
      <c r="F50" t="s">
        <v>389</v>
      </c>
      <c r="G50" t="s">
        <v>21</v>
      </c>
      <c r="H50" t="s">
        <v>441</v>
      </c>
      <c r="I50" t="s">
        <v>128</v>
      </c>
    </row>
    <row r="51" spans="1:9">
      <c r="A51" t="s">
        <v>356</v>
      </c>
      <c r="B51" t="s">
        <v>469</v>
      </c>
      <c r="C51" t="s">
        <v>29</v>
      </c>
      <c r="E51" t="s">
        <v>127</v>
      </c>
      <c r="F51" t="s">
        <v>389</v>
      </c>
      <c r="G51" t="s">
        <v>21</v>
      </c>
      <c r="H51" t="s">
        <v>441</v>
      </c>
      <c r="I51" t="s">
        <v>128</v>
      </c>
    </row>
    <row r="52" spans="1:9">
      <c r="A52" t="s">
        <v>356</v>
      </c>
      <c r="B52" t="s">
        <v>469</v>
      </c>
      <c r="C52" t="s">
        <v>30</v>
      </c>
      <c r="E52" t="s">
        <v>127</v>
      </c>
      <c r="F52" t="s">
        <v>389</v>
      </c>
      <c r="G52" t="s">
        <v>21</v>
      </c>
      <c r="H52" t="s">
        <v>441</v>
      </c>
      <c r="I52" t="s">
        <v>128</v>
      </c>
    </row>
    <row r="53" spans="1:9">
      <c r="A53" t="s">
        <v>356</v>
      </c>
      <c r="B53" t="s">
        <v>469</v>
      </c>
      <c r="C53" t="s">
        <v>31</v>
      </c>
      <c r="E53" t="s">
        <v>127</v>
      </c>
      <c r="F53" t="s">
        <v>389</v>
      </c>
      <c r="G53" t="s">
        <v>21</v>
      </c>
      <c r="H53" t="s">
        <v>441</v>
      </c>
      <c r="I53" t="s">
        <v>128</v>
      </c>
    </row>
    <row r="54" spans="1:9">
      <c r="A54" t="s">
        <v>356</v>
      </c>
      <c r="B54" t="s">
        <v>469</v>
      </c>
      <c r="C54" t="s">
        <v>33</v>
      </c>
      <c r="E54" t="s">
        <v>127</v>
      </c>
      <c r="F54" t="s">
        <v>389</v>
      </c>
      <c r="G54" t="s">
        <v>21</v>
      </c>
      <c r="H54" t="s">
        <v>441</v>
      </c>
      <c r="I54" t="s">
        <v>128</v>
      </c>
    </row>
    <row r="55" spans="1:9">
      <c r="A55" t="s">
        <v>356</v>
      </c>
      <c r="B55" t="s">
        <v>469</v>
      </c>
      <c r="C55" t="s">
        <v>35</v>
      </c>
      <c r="D55">
        <v>0</v>
      </c>
      <c r="E55" t="s">
        <v>127</v>
      </c>
      <c r="F55" t="s">
        <v>389</v>
      </c>
      <c r="G55" t="s">
        <v>21</v>
      </c>
      <c r="H55" t="s">
        <v>441</v>
      </c>
      <c r="I55" t="s">
        <v>128</v>
      </c>
    </row>
    <row r="56" spans="1:9">
      <c r="A56" t="s">
        <v>356</v>
      </c>
      <c r="B56" t="s">
        <v>470</v>
      </c>
      <c r="C56" t="s">
        <v>28</v>
      </c>
      <c r="E56" t="s">
        <v>129</v>
      </c>
      <c r="F56" t="s">
        <v>389</v>
      </c>
      <c r="G56" t="s">
        <v>21</v>
      </c>
      <c r="H56" t="s">
        <v>441</v>
      </c>
      <c r="I56" t="s">
        <v>130</v>
      </c>
    </row>
    <row r="57" spans="1:9">
      <c r="A57" t="s">
        <v>356</v>
      </c>
      <c r="B57" t="s">
        <v>470</v>
      </c>
      <c r="C57" t="s">
        <v>29</v>
      </c>
      <c r="E57" t="s">
        <v>129</v>
      </c>
      <c r="F57" t="s">
        <v>389</v>
      </c>
      <c r="G57" t="s">
        <v>21</v>
      </c>
      <c r="H57" t="s">
        <v>441</v>
      </c>
      <c r="I57" t="s">
        <v>130</v>
      </c>
    </row>
    <row r="58" spans="1:9">
      <c r="A58" t="s">
        <v>356</v>
      </c>
      <c r="B58" t="s">
        <v>470</v>
      </c>
      <c r="C58" t="s">
        <v>30</v>
      </c>
      <c r="E58" t="s">
        <v>129</v>
      </c>
      <c r="F58" t="s">
        <v>389</v>
      </c>
      <c r="G58" t="s">
        <v>21</v>
      </c>
      <c r="H58" t="s">
        <v>441</v>
      </c>
      <c r="I58" t="s">
        <v>130</v>
      </c>
    </row>
    <row r="59" spans="1:9">
      <c r="A59" t="s">
        <v>356</v>
      </c>
      <c r="B59" t="s">
        <v>470</v>
      </c>
      <c r="C59" t="s">
        <v>31</v>
      </c>
      <c r="E59" t="s">
        <v>129</v>
      </c>
      <c r="F59" t="s">
        <v>389</v>
      </c>
      <c r="G59" t="s">
        <v>21</v>
      </c>
      <c r="H59" t="s">
        <v>441</v>
      </c>
      <c r="I59" t="s">
        <v>130</v>
      </c>
    </row>
    <row r="60" spans="1:9">
      <c r="A60" t="s">
        <v>356</v>
      </c>
      <c r="B60" t="s">
        <v>470</v>
      </c>
      <c r="C60" t="s">
        <v>33</v>
      </c>
      <c r="E60" t="s">
        <v>129</v>
      </c>
      <c r="F60" t="s">
        <v>389</v>
      </c>
      <c r="G60" t="s">
        <v>21</v>
      </c>
      <c r="H60" t="s">
        <v>441</v>
      </c>
      <c r="I60" t="s">
        <v>130</v>
      </c>
    </row>
    <row r="61" spans="1:9">
      <c r="A61" t="s">
        <v>356</v>
      </c>
      <c r="B61" t="s">
        <v>470</v>
      </c>
      <c r="C61" t="s">
        <v>35</v>
      </c>
      <c r="D61">
        <v>0</v>
      </c>
      <c r="E61" t="s">
        <v>129</v>
      </c>
      <c r="F61" t="s">
        <v>389</v>
      </c>
      <c r="G61" t="s">
        <v>21</v>
      </c>
      <c r="H61" t="s">
        <v>441</v>
      </c>
      <c r="I61" t="s">
        <v>130</v>
      </c>
    </row>
    <row r="62" spans="1:9">
      <c r="A62" t="s">
        <v>356</v>
      </c>
      <c r="B62" t="s">
        <v>471</v>
      </c>
      <c r="C62" t="s">
        <v>28</v>
      </c>
      <c r="E62" t="s">
        <v>131</v>
      </c>
      <c r="F62" t="s">
        <v>389</v>
      </c>
      <c r="G62" t="s">
        <v>21</v>
      </c>
      <c r="H62" t="s">
        <v>441</v>
      </c>
      <c r="I62" t="s">
        <v>132</v>
      </c>
    </row>
    <row r="63" spans="1:9">
      <c r="A63" t="s">
        <v>356</v>
      </c>
      <c r="B63" t="s">
        <v>471</v>
      </c>
      <c r="C63" t="s">
        <v>29</v>
      </c>
      <c r="E63" t="s">
        <v>131</v>
      </c>
      <c r="F63" t="s">
        <v>389</v>
      </c>
      <c r="G63" t="s">
        <v>21</v>
      </c>
      <c r="H63" t="s">
        <v>441</v>
      </c>
      <c r="I63" t="s">
        <v>132</v>
      </c>
    </row>
    <row r="64" spans="1:9">
      <c r="A64" t="s">
        <v>356</v>
      </c>
      <c r="B64" t="s">
        <v>471</v>
      </c>
      <c r="C64" t="s">
        <v>30</v>
      </c>
      <c r="E64" t="s">
        <v>131</v>
      </c>
      <c r="F64" t="s">
        <v>389</v>
      </c>
      <c r="G64" t="s">
        <v>21</v>
      </c>
      <c r="H64" t="s">
        <v>441</v>
      </c>
      <c r="I64" t="s">
        <v>132</v>
      </c>
    </row>
    <row r="65" spans="1:9">
      <c r="A65" t="s">
        <v>356</v>
      </c>
      <c r="B65" t="s">
        <v>471</v>
      </c>
      <c r="C65" t="s">
        <v>31</v>
      </c>
      <c r="E65" t="s">
        <v>131</v>
      </c>
      <c r="F65" t="s">
        <v>389</v>
      </c>
      <c r="G65" t="s">
        <v>21</v>
      </c>
      <c r="H65" t="s">
        <v>441</v>
      </c>
      <c r="I65" t="s">
        <v>132</v>
      </c>
    </row>
    <row r="66" spans="1:9">
      <c r="A66" t="s">
        <v>356</v>
      </c>
      <c r="B66" t="s">
        <v>471</v>
      </c>
      <c r="C66" t="s">
        <v>33</v>
      </c>
      <c r="E66" t="s">
        <v>131</v>
      </c>
      <c r="F66" t="s">
        <v>389</v>
      </c>
      <c r="G66" t="s">
        <v>21</v>
      </c>
      <c r="H66" t="s">
        <v>441</v>
      </c>
      <c r="I66" t="s">
        <v>132</v>
      </c>
    </row>
    <row r="67" spans="1:9">
      <c r="A67" t="s">
        <v>356</v>
      </c>
      <c r="B67" t="s">
        <v>471</v>
      </c>
      <c r="C67" t="s">
        <v>35</v>
      </c>
      <c r="D67">
        <v>0</v>
      </c>
      <c r="E67" t="s">
        <v>131</v>
      </c>
      <c r="F67" t="s">
        <v>389</v>
      </c>
      <c r="G67" t="s">
        <v>21</v>
      </c>
      <c r="H67" t="s">
        <v>441</v>
      </c>
      <c r="I67" t="s">
        <v>132</v>
      </c>
    </row>
    <row r="68" spans="1:9">
      <c r="A68" t="s">
        <v>356</v>
      </c>
      <c r="B68" t="s">
        <v>472</v>
      </c>
      <c r="C68" t="s">
        <v>28</v>
      </c>
      <c r="E68" t="s">
        <v>133</v>
      </c>
      <c r="F68" t="s">
        <v>389</v>
      </c>
      <c r="G68" t="s">
        <v>21</v>
      </c>
      <c r="H68" t="s">
        <v>441</v>
      </c>
      <c r="I68" t="s">
        <v>134</v>
      </c>
    </row>
    <row r="69" spans="1:9">
      <c r="A69" t="s">
        <v>356</v>
      </c>
      <c r="B69" t="s">
        <v>472</v>
      </c>
      <c r="C69" t="s">
        <v>29</v>
      </c>
      <c r="E69" t="s">
        <v>133</v>
      </c>
      <c r="F69" t="s">
        <v>389</v>
      </c>
      <c r="G69" t="s">
        <v>21</v>
      </c>
      <c r="H69" t="s">
        <v>441</v>
      </c>
      <c r="I69" t="s">
        <v>134</v>
      </c>
    </row>
    <row r="70" spans="1:9">
      <c r="A70" t="s">
        <v>356</v>
      </c>
      <c r="B70" t="s">
        <v>472</v>
      </c>
      <c r="C70" t="s">
        <v>30</v>
      </c>
      <c r="E70" t="s">
        <v>133</v>
      </c>
      <c r="F70" t="s">
        <v>389</v>
      </c>
      <c r="G70" t="s">
        <v>21</v>
      </c>
      <c r="H70" t="s">
        <v>441</v>
      </c>
      <c r="I70" t="s">
        <v>134</v>
      </c>
    </row>
    <row r="71" spans="1:9">
      <c r="A71" t="s">
        <v>356</v>
      </c>
      <c r="B71" t="s">
        <v>472</v>
      </c>
      <c r="C71" t="s">
        <v>31</v>
      </c>
      <c r="E71" t="s">
        <v>133</v>
      </c>
      <c r="F71" t="s">
        <v>389</v>
      </c>
      <c r="G71" t="s">
        <v>21</v>
      </c>
      <c r="H71" t="s">
        <v>441</v>
      </c>
      <c r="I71" t="s">
        <v>134</v>
      </c>
    </row>
    <row r="72" spans="1:9">
      <c r="A72" t="s">
        <v>356</v>
      </c>
      <c r="B72" t="s">
        <v>472</v>
      </c>
      <c r="C72" t="s">
        <v>33</v>
      </c>
      <c r="E72" t="s">
        <v>133</v>
      </c>
      <c r="F72" t="s">
        <v>389</v>
      </c>
      <c r="G72" t="s">
        <v>21</v>
      </c>
      <c r="H72" t="s">
        <v>441</v>
      </c>
      <c r="I72" t="s">
        <v>134</v>
      </c>
    </row>
    <row r="73" spans="1:9">
      <c r="A73" t="s">
        <v>356</v>
      </c>
      <c r="B73" t="s">
        <v>472</v>
      </c>
      <c r="C73" t="s">
        <v>35</v>
      </c>
      <c r="D73">
        <v>0</v>
      </c>
      <c r="E73" t="s">
        <v>133</v>
      </c>
      <c r="F73" t="s">
        <v>389</v>
      </c>
      <c r="G73" t="s">
        <v>21</v>
      </c>
      <c r="H73" t="s">
        <v>441</v>
      </c>
      <c r="I73" t="s">
        <v>134</v>
      </c>
    </row>
    <row r="74" spans="1:9">
      <c r="A74" t="s">
        <v>356</v>
      </c>
      <c r="B74" t="s">
        <v>473</v>
      </c>
      <c r="C74" t="s">
        <v>28</v>
      </c>
      <c r="E74" t="s">
        <v>135</v>
      </c>
      <c r="F74" t="s">
        <v>389</v>
      </c>
      <c r="G74" t="s">
        <v>21</v>
      </c>
      <c r="H74" t="s">
        <v>441</v>
      </c>
      <c r="I74" t="s">
        <v>450</v>
      </c>
    </row>
    <row r="75" spans="1:9">
      <c r="A75" t="s">
        <v>356</v>
      </c>
      <c r="B75" t="s">
        <v>473</v>
      </c>
      <c r="C75" t="s">
        <v>29</v>
      </c>
      <c r="E75" t="s">
        <v>135</v>
      </c>
      <c r="F75" t="s">
        <v>389</v>
      </c>
      <c r="G75" t="s">
        <v>21</v>
      </c>
      <c r="H75" t="s">
        <v>441</v>
      </c>
      <c r="I75" t="s">
        <v>450</v>
      </c>
    </row>
    <row r="76" spans="1:9">
      <c r="A76" t="s">
        <v>356</v>
      </c>
      <c r="B76" t="s">
        <v>473</v>
      </c>
      <c r="C76" t="s">
        <v>30</v>
      </c>
      <c r="E76" t="s">
        <v>135</v>
      </c>
      <c r="F76" t="s">
        <v>389</v>
      </c>
      <c r="G76" t="s">
        <v>21</v>
      </c>
      <c r="H76" t="s">
        <v>441</v>
      </c>
      <c r="I76" t="s">
        <v>450</v>
      </c>
    </row>
    <row r="77" spans="1:9">
      <c r="A77" t="s">
        <v>356</v>
      </c>
      <c r="B77" t="s">
        <v>473</v>
      </c>
      <c r="C77" t="s">
        <v>31</v>
      </c>
      <c r="E77" t="s">
        <v>135</v>
      </c>
      <c r="F77" t="s">
        <v>389</v>
      </c>
      <c r="G77" t="s">
        <v>21</v>
      </c>
      <c r="H77" t="s">
        <v>441</v>
      </c>
      <c r="I77" t="s">
        <v>450</v>
      </c>
    </row>
    <row r="78" spans="1:9">
      <c r="A78" t="s">
        <v>356</v>
      </c>
      <c r="B78" t="s">
        <v>473</v>
      </c>
      <c r="C78" t="s">
        <v>33</v>
      </c>
      <c r="E78" t="s">
        <v>135</v>
      </c>
      <c r="F78" t="s">
        <v>389</v>
      </c>
      <c r="G78" t="s">
        <v>21</v>
      </c>
      <c r="H78" t="s">
        <v>441</v>
      </c>
      <c r="I78" t="s">
        <v>450</v>
      </c>
    </row>
    <row r="79" spans="1:9">
      <c r="A79" t="s">
        <v>356</v>
      </c>
      <c r="B79" t="s">
        <v>473</v>
      </c>
      <c r="C79" t="s">
        <v>35</v>
      </c>
      <c r="D79">
        <v>0</v>
      </c>
      <c r="E79" t="s">
        <v>135</v>
      </c>
      <c r="F79" t="s">
        <v>389</v>
      </c>
      <c r="G79" t="s">
        <v>21</v>
      </c>
      <c r="H79" t="s">
        <v>441</v>
      </c>
      <c r="I79" t="s">
        <v>450</v>
      </c>
    </row>
    <row r="80" spans="1:9">
      <c r="A80" t="s">
        <v>356</v>
      </c>
      <c r="B80" t="s">
        <v>474</v>
      </c>
      <c r="C80" t="s">
        <v>28</v>
      </c>
      <c r="D80">
        <v>10</v>
      </c>
      <c r="E80" t="s">
        <v>137</v>
      </c>
      <c r="F80" t="s">
        <v>389</v>
      </c>
      <c r="G80" t="s">
        <v>21</v>
      </c>
      <c r="H80" t="s">
        <v>441</v>
      </c>
      <c r="I80" t="s">
        <v>452</v>
      </c>
    </row>
    <row r="81" spans="1:9">
      <c r="A81" t="s">
        <v>356</v>
      </c>
      <c r="B81" t="s">
        <v>474</v>
      </c>
      <c r="C81" t="s">
        <v>29</v>
      </c>
      <c r="D81">
        <v>20</v>
      </c>
      <c r="E81" t="s">
        <v>137</v>
      </c>
      <c r="F81" t="s">
        <v>389</v>
      </c>
      <c r="G81" t="s">
        <v>21</v>
      </c>
      <c r="H81" t="s">
        <v>441</v>
      </c>
      <c r="I81" t="s">
        <v>452</v>
      </c>
    </row>
    <row r="82" spans="1:9">
      <c r="A82" t="s">
        <v>356</v>
      </c>
      <c r="B82" t="s">
        <v>474</v>
      </c>
      <c r="C82" t="s">
        <v>30</v>
      </c>
      <c r="E82" t="s">
        <v>137</v>
      </c>
      <c r="F82" t="s">
        <v>389</v>
      </c>
      <c r="G82" t="s">
        <v>21</v>
      </c>
      <c r="H82" t="s">
        <v>441</v>
      </c>
      <c r="I82" t="s">
        <v>452</v>
      </c>
    </row>
    <row r="83" spans="1:9">
      <c r="A83" t="s">
        <v>356</v>
      </c>
      <c r="B83" t="s">
        <v>474</v>
      </c>
      <c r="C83" t="s">
        <v>31</v>
      </c>
      <c r="D83">
        <v>10</v>
      </c>
      <c r="E83" t="s">
        <v>137</v>
      </c>
      <c r="F83" t="s">
        <v>389</v>
      </c>
      <c r="G83" t="s">
        <v>21</v>
      </c>
      <c r="H83" t="s">
        <v>441</v>
      </c>
      <c r="I83" t="s">
        <v>452</v>
      </c>
    </row>
    <row r="84" spans="1:9">
      <c r="A84" t="s">
        <v>356</v>
      </c>
      <c r="B84" t="s">
        <v>474</v>
      </c>
      <c r="C84" t="s">
        <v>33</v>
      </c>
      <c r="E84" t="s">
        <v>137</v>
      </c>
      <c r="F84" t="s">
        <v>389</v>
      </c>
      <c r="G84" t="s">
        <v>21</v>
      </c>
      <c r="H84" t="s">
        <v>441</v>
      </c>
      <c r="I84" t="s">
        <v>452</v>
      </c>
    </row>
    <row r="85" spans="1:9">
      <c r="A85" t="s">
        <v>356</v>
      </c>
      <c r="B85" t="s">
        <v>474</v>
      </c>
      <c r="C85" t="s">
        <v>35</v>
      </c>
      <c r="D85">
        <v>40</v>
      </c>
      <c r="E85" t="s">
        <v>137</v>
      </c>
      <c r="F85" t="s">
        <v>389</v>
      </c>
      <c r="G85" t="s">
        <v>21</v>
      </c>
      <c r="H85" t="s">
        <v>441</v>
      </c>
      <c r="I85" t="s">
        <v>452</v>
      </c>
    </row>
    <row r="86" spans="1:9">
      <c r="A86" t="s">
        <v>356</v>
      </c>
      <c r="B86" t="s">
        <v>475</v>
      </c>
      <c r="C86" t="s">
        <v>28</v>
      </c>
      <c r="E86" t="s">
        <v>163</v>
      </c>
      <c r="F86" t="s">
        <v>389</v>
      </c>
      <c r="G86" t="s">
        <v>21</v>
      </c>
      <c r="H86" t="s">
        <v>441</v>
      </c>
      <c r="I86" t="s">
        <v>454</v>
      </c>
    </row>
    <row r="87" spans="1:9">
      <c r="A87" t="s">
        <v>356</v>
      </c>
      <c r="B87" t="s">
        <v>475</v>
      </c>
      <c r="C87" t="s">
        <v>29</v>
      </c>
      <c r="E87" t="s">
        <v>163</v>
      </c>
      <c r="F87" t="s">
        <v>389</v>
      </c>
      <c r="G87" t="s">
        <v>21</v>
      </c>
      <c r="H87" t="s">
        <v>441</v>
      </c>
      <c r="I87" t="s">
        <v>454</v>
      </c>
    </row>
    <row r="88" spans="1:9">
      <c r="A88" t="s">
        <v>356</v>
      </c>
      <c r="B88" t="s">
        <v>475</v>
      </c>
      <c r="C88" t="s">
        <v>30</v>
      </c>
      <c r="E88" t="s">
        <v>163</v>
      </c>
      <c r="F88" t="s">
        <v>389</v>
      </c>
      <c r="G88" t="s">
        <v>21</v>
      </c>
      <c r="H88" t="s">
        <v>441</v>
      </c>
      <c r="I88" t="s">
        <v>454</v>
      </c>
    </row>
    <row r="89" spans="1:9">
      <c r="A89" t="s">
        <v>356</v>
      </c>
      <c r="B89" t="s">
        <v>475</v>
      </c>
      <c r="C89" t="s">
        <v>31</v>
      </c>
      <c r="E89" t="s">
        <v>163</v>
      </c>
      <c r="F89" t="s">
        <v>389</v>
      </c>
      <c r="G89" t="s">
        <v>21</v>
      </c>
      <c r="H89" t="s">
        <v>441</v>
      </c>
      <c r="I89" t="s">
        <v>454</v>
      </c>
    </row>
    <row r="90" spans="1:9">
      <c r="A90" t="s">
        <v>356</v>
      </c>
      <c r="B90" t="s">
        <v>475</v>
      </c>
      <c r="C90" t="s">
        <v>33</v>
      </c>
      <c r="E90" t="s">
        <v>163</v>
      </c>
      <c r="F90" t="s">
        <v>389</v>
      </c>
      <c r="G90" t="s">
        <v>21</v>
      </c>
      <c r="H90" t="s">
        <v>441</v>
      </c>
      <c r="I90" t="s">
        <v>454</v>
      </c>
    </row>
    <row r="91" spans="1:9">
      <c r="A91" t="s">
        <v>356</v>
      </c>
      <c r="B91" t="s">
        <v>475</v>
      </c>
      <c r="C91" t="s">
        <v>35</v>
      </c>
      <c r="D91">
        <v>0</v>
      </c>
      <c r="E91" t="s">
        <v>163</v>
      </c>
      <c r="F91" t="s">
        <v>389</v>
      </c>
      <c r="G91" t="s">
        <v>21</v>
      </c>
      <c r="H91" t="s">
        <v>441</v>
      </c>
      <c r="I91" t="s">
        <v>454</v>
      </c>
    </row>
    <row r="92" spans="1:9">
      <c r="A92" t="s">
        <v>356</v>
      </c>
      <c r="B92" t="s">
        <v>357</v>
      </c>
      <c r="C92" t="s">
        <v>28</v>
      </c>
      <c r="D92">
        <v>20</v>
      </c>
      <c r="E92" t="s">
        <v>165</v>
      </c>
      <c r="F92" t="s">
        <v>389</v>
      </c>
      <c r="G92" t="s">
        <v>21</v>
      </c>
      <c r="H92" t="s">
        <v>441</v>
      </c>
      <c r="I92" t="s">
        <v>167</v>
      </c>
    </row>
    <row r="93" spans="1:9">
      <c r="A93" t="s">
        <v>356</v>
      </c>
      <c r="B93" t="s">
        <v>357</v>
      </c>
      <c r="C93" t="s">
        <v>29</v>
      </c>
      <c r="D93">
        <v>2</v>
      </c>
      <c r="E93" t="s">
        <v>165</v>
      </c>
      <c r="F93" t="s">
        <v>389</v>
      </c>
      <c r="G93" t="s">
        <v>21</v>
      </c>
      <c r="H93" t="s">
        <v>441</v>
      </c>
      <c r="I93" t="s">
        <v>167</v>
      </c>
    </row>
    <row r="94" spans="1:9">
      <c r="A94" t="s">
        <v>356</v>
      </c>
      <c r="B94" t="s">
        <v>357</v>
      </c>
      <c r="C94" t="s">
        <v>30</v>
      </c>
      <c r="D94">
        <v>8</v>
      </c>
      <c r="E94" t="s">
        <v>165</v>
      </c>
      <c r="F94" t="s">
        <v>389</v>
      </c>
      <c r="G94" t="s">
        <v>21</v>
      </c>
      <c r="H94" t="s">
        <v>441</v>
      </c>
      <c r="I94" t="s">
        <v>167</v>
      </c>
    </row>
    <row r="95" spans="1:9">
      <c r="A95" t="s">
        <v>356</v>
      </c>
      <c r="B95" t="s">
        <v>357</v>
      </c>
      <c r="C95" t="s">
        <v>31</v>
      </c>
      <c r="D95">
        <v>10</v>
      </c>
      <c r="E95" t="s">
        <v>165</v>
      </c>
      <c r="F95" t="s">
        <v>389</v>
      </c>
      <c r="G95" t="s">
        <v>21</v>
      </c>
      <c r="H95" t="s">
        <v>441</v>
      </c>
      <c r="I95" t="s">
        <v>167</v>
      </c>
    </row>
    <row r="96" spans="1:9">
      <c r="A96" t="s">
        <v>356</v>
      </c>
      <c r="B96" t="s">
        <v>357</v>
      </c>
      <c r="C96" t="s">
        <v>33</v>
      </c>
      <c r="E96" t="s">
        <v>165</v>
      </c>
      <c r="F96" t="s">
        <v>389</v>
      </c>
      <c r="G96" t="s">
        <v>21</v>
      </c>
      <c r="H96" t="s">
        <v>441</v>
      </c>
      <c r="I96" t="s">
        <v>167</v>
      </c>
    </row>
    <row r="97" spans="1:9">
      <c r="A97" t="s">
        <v>356</v>
      </c>
      <c r="B97" t="s">
        <v>357</v>
      </c>
      <c r="C97" t="s">
        <v>35</v>
      </c>
      <c r="D97">
        <v>40</v>
      </c>
      <c r="E97" t="s">
        <v>165</v>
      </c>
      <c r="F97" t="s">
        <v>389</v>
      </c>
      <c r="G97" t="s">
        <v>21</v>
      </c>
      <c r="H97" t="s">
        <v>441</v>
      </c>
      <c r="I97" t="s">
        <v>167</v>
      </c>
    </row>
    <row r="98" spans="1:9">
      <c r="A98" t="s">
        <v>358</v>
      </c>
      <c r="B98" t="s">
        <v>359</v>
      </c>
      <c r="C98" t="s">
        <v>28</v>
      </c>
      <c r="D98">
        <v>22</v>
      </c>
      <c r="E98" t="s">
        <v>338</v>
      </c>
      <c r="F98" t="s">
        <v>389</v>
      </c>
      <c r="G98" t="s">
        <v>21</v>
      </c>
      <c r="H98" t="s">
        <v>441</v>
      </c>
      <c r="I98" t="s">
        <v>339</v>
      </c>
    </row>
    <row r="99" spans="1:9">
      <c r="A99" t="s">
        <v>358</v>
      </c>
      <c r="B99" t="s">
        <v>359</v>
      </c>
      <c r="C99" t="s">
        <v>29</v>
      </c>
      <c r="E99" t="s">
        <v>338</v>
      </c>
      <c r="F99" t="s">
        <v>389</v>
      </c>
      <c r="G99" t="s">
        <v>21</v>
      </c>
      <c r="H99" t="s">
        <v>441</v>
      </c>
      <c r="I99" t="s">
        <v>339</v>
      </c>
    </row>
    <row r="100" spans="1:9">
      <c r="A100" t="s">
        <v>358</v>
      </c>
      <c r="B100" t="s">
        <v>359</v>
      </c>
      <c r="C100" t="s">
        <v>30</v>
      </c>
      <c r="E100" t="s">
        <v>338</v>
      </c>
      <c r="F100" t="s">
        <v>389</v>
      </c>
      <c r="G100" t="s">
        <v>21</v>
      </c>
      <c r="H100" t="s">
        <v>441</v>
      </c>
      <c r="I100" t="s">
        <v>339</v>
      </c>
    </row>
    <row r="101" spans="1:9">
      <c r="A101" t="s">
        <v>358</v>
      </c>
      <c r="B101" t="s">
        <v>359</v>
      </c>
      <c r="C101" t="s">
        <v>31</v>
      </c>
      <c r="E101" t="s">
        <v>338</v>
      </c>
      <c r="F101" t="s">
        <v>389</v>
      </c>
      <c r="G101" t="s">
        <v>21</v>
      </c>
      <c r="H101" t="s">
        <v>441</v>
      </c>
      <c r="I101" t="s">
        <v>339</v>
      </c>
    </row>
    <row r="102" spans="1:9">
      <c r="A102" t="s">
        <v>358</v>
      </c>
      <c r="B102" t="s">
        <v>359</v>
      </c>
      <c r="C102" t="s">
        <v>33</v>
      </c>
      <c r="D102">
        <v>22</v>
      </c>
      <c r="E102" t="s">
        <v>338</v>
      </c>
      <c r="F102" t="s">
        <v>389</v>
      </c>
      <c r="G102" t="s">
        <v>21</v>
      </c>
      <c r="H102" t="s">
        <v>441</v>
      </c>
      <c r="I102" t="s">
        <v>339</v>
      </c>
    </row>
    <row r="103" spans="1:9">
      <c r="A103" t="s">
        <v>358</v>
      </c>
      <c r="B103" t="s">
        <v>359</v>
      </c>
      <c r="C103" t="s">
        <v>35</v>
      </c>
      <c r="D103">
        <v>44</v>
      </c>
      <c r="E103" t="s">
        <v>338</v>
      </c>
      <c r="F103" t="s">
        <v>389</v>
      </c>
      <c r="G103" t="s">
        <v>21</v>
      </c>
      <c r="H103" t="s">
        <v>441</v>
      </c>
      <c r="I103" t="s">
        <v>339</v>
      </c>
    </row>
    <row r="104" spans="1:9">
      <c r="A104" t="s">
        <v>358</v>
      </c>
      <c r="B104" t="s">
        <v>360</v>
      </c>
      <c r="C104" t="s">
        <v>28</v>
      </c>
      <c r="D104">
        <v>38</v>
      </c>
      <c r="E104" t="s">
        <v>343</v>
      </c>
      <c r="F104" t="s">
        <v>389</v>
      </c>
      <c r="G104" t="s">
        <v>21</v>
      </c>
      <c r="H104" t="s">
        <v>441</v>
      </c>
      <c r="I104" t="s">
        <v>344</v>
      </c>
    </row>
    <row r="105" spans="1:9">
      <c r="A105" t="s">
        <v>358</v>
      </c>
      <c r="B105" t="s">
        <v>360</v>
      </c>
      <c r="C105" t="s">
        <v>29</v>
      </c>
      <c r="D105">
        <v>6</v>
      </c>
      <c r="E105" t="s">
        <v>343</v>
      </c>
      <c r="F105" t="s">
        <v>389</v>
      </c>
      <c r="G105" t="s">
        <v>21</v>
      </c>
      <c r="H105" t="s">
        <v>441</v>
      </c>
      <c r="I105" t="s">
        <v>344</v>
      </c>
    </row>
    <row r="106" spans="1:9">
      <c r="A106" t="s">
        <v>358</v>
      </c>
      <c r="B106" t="s">
        <v>360</v>
      </c>
      <c r="C106" t="s">
        <v>30</v>
      </c>
      <c r="D106">
        <v>0</v>
      </c>
      <c r="E106" t="s">
        <v>343</v>
      </c>
      <c r="F106" t="s">
        <v>389</v>
      </c>
      <c r="G106" t="s">
        <v>21</v>
      </c>
      <c r="H106" t="s">
        <v>441</v>
      </c>
      <c r="I106" t="s">
        <v>344</v>
      </c>
    </row>
    <row r="107" spans="1:9">
      <c r="A107" t="s">
        <v>358</v>
      </c>
      <c r="B107" t="s">
        <v>360</v>
      </c>
      <c r="C107" t="s">
        <v>31</v>
      </c>
      <c r="D107">
        <v>0</v>
      </c>
      <c r="E107" t="s">
        <v>343</v>
      </c>
      <c r="F107" t="s">
        <v>389</v>
      </c>
      <c r="G107" t="s">
        <v>21</v>
      </c>
      <c r="H107" t="s">
        <v>441</v>
      </c>
      <c r="I107" t="s">
        <v>344</v>
      </c>
    </row>
    <row r="108" spans="1:9">
      <c r="A108" t="s">
        <v>358</v>
      </c>
      <c r="B108" t="s">
        <v>360</v>
      </c>
      <c r="C108" t="s">
        <v>33</v>
      </c>
      <c r="D108">
        <v>0</v>
      </c>
      <c r="E108" t="s">
        <v>343</v>
      </c>
      <c r="F108" t="s">
        <v>389</v>
      </c>
      <c r="G108" t="s">
        <v>21</v>
      </c>
      <c r="H108" t="s">
        <v>441</v>
      </c>
      <c r="I108" t="s">
        <v>344</v>
      </c>
    </row>
    <row r="109" spans="1:9">
      <c r="A109" t="s">
        <v>358</v>
      </c>
      <c r="B109" t="s">
        <v>360</v>
      </c>
      <c r="C109" t="s">
        <v>35</v>
      </c>
      <c r="D109">
        <v>44</v>
      </c>
      <c r="E109" t="s">
        <v>343</v>
      </c>
      <c r="F109" t="s">
        <v>389</v>
      </c>
      <c r="G109" t="s">
        <v>21</v>
      </c>
      <c r="H109" t="s">
        <v>441</v>
      </c>
      <c r="I109" t="s">
        <v>344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A352C-A902-4577-93C4-1E3CF64DBAB1}">
  <dimension ref="A1:M25"/>
  <sheetViews>
    <sheetView workbookViewId="0">
      <selection activeCell="G47" sqref="G47"/>
    </sheetView>
  </sheetViews>
  <sheetFormatPr defaultRowHeight="1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6" bestFit="1" customWidth="1"/>
    <col min="9" max="9" width="14.85546875" bestFit="1" customWidth="1"/>
    <col min="10" max="10" width="12.7109375" bestFit="1" customWidth="1"/>
    <col min="11" max="11" width="14.42578125" bestFit="1" customWidth="1"/>
    <col min="12" max="12" width="12.140625" bestFit="1" customWidth="1"/>
    <col min="13" max="13" width="53" bestFit="1" customWidth="1"/>
  </cols>
  <sheetData>
    <row r="1" spans="1:13">
      <c r="A1" t="s">
        <v>351</v>
      </c>
      <c r="B1" t="s">
        <v>353</v>
      </c>
      <c r="C1" t="s">
        <v>50</v>
      </c>
      <c r="D1" t="s">
        <v>51</v>
      </c>
      <c r="E1" t="s">
        <v>52</v>
      </c>
      <c r="F1" t="s">
        <v>53</v>
      </c>
      <c r="G1" t="s">
        <v>54</v>
      </c>
      <c r="H1" t="s">
        <v>55</v>
      </c>
      <c r="I1" t="s">
        <v>332</v>
      </c>
      <c r="J1" t="s">
        <v>378</v>
      </c>
      <c r="K1" t="s">
        <v>352</v>
      </c>
      <c r="L1" t="s">
        <v>354</v>
      </c>
      <c r="M1" t="s">
        <v>333</v>
      </c>
    </row>
    <row r="2" spans="1:13">
      <c r="A2" t="s">
        <v>356</v>
      </c>
      <c r="B2" t="s">
        <v>391</v>
      </c>
      <c r="C2" t="s">
        <v>56</v>
      </c>
      <c r="D2" t="s">
        <v>57</v>
      </c>
      <c r="F2" t="s">
        <v>58</v>
      </c>
      <c r="G2">
        <v>1</v>
      </c>
      <c r="H2">
        <v>12</v>
      </c>
      <c r="I2" t="s">
        <v>5</v>
      </c>
      <c r="J2" t="s">
        <v>390</v>
      </c>
      <c r="K2" t="s">
        <v>21</v>
      </c>
      <c r="L2" t="s">
        <v>441</v>
      </c>
      <c r="M2" t="s">
        <v>8</v>
      </c>
    </row>
    <row r="3" spans="1:13">
      <c r="A3" t="s">
        <v>361</v>
      </c>
      <c r="B3" t="s">
        <v>393</v>
      </c>
      <c r="C3" t="s">
        <v>56</v>
      </c>
      <c r="D3" t="s">
        <v>57</v>
      </c>
      <c r="E3" t="s">
        <v>232</v>
      </c>
      <c r="F3" t="s">
        <v>392</v>
      </c>
      <c r="G3">
        <v>0.5</v>
      </c>
      <c r="H3">
        <v>6</v>
      </c>
      <c r="I3" t="s">
        <v>336</v>
      </c>
      <c r="J3" t="s">
        <v>390</v>
      </c>
      <c r="K3" t="s">
        <v>21</v>
      </c>
      <c r="L3" t="s">
        <v>441</v>
      </c>
      <c r="M3" t="s">
        <v>330</v>
      </c>
    </row>
    <row r="4" spans="1:13">
      <c r="A4" t="s">
        <v>361</v>
      </c>
      <c r="B4" t="s">
        <v>393</v>
      </c>
      <c r="C4" t="s">
        <v>59</v>
      </c>
      <c r="D4" t="s">
        <v>229</v>
      </c>
      <c r="E4" t="s">
        <v>267</v>
      </c>
      <c r="F4" t="s">
        <v>394</v>
      </c>
      <c r="G4">
        <v>0.5</v>
      </c>
      <c r="H4">
        <v>12</v>
      </c>
      <c r="I4" t="s">
        <v>336</v>
      </c>
      <c r="J4" t="s">
        <v>390</v>
      </c>
      <c r="K4" t="s">
        <v>21</v>
      </c>
      <c r="L4" t="s">
        <v>441</v>
      </c>
      <c r="M4" t="s">
        <v>330</v>
      </c>
    </row>
    <row r="5" spans="1:13">
      <c r="A5" t="s">
        <v>361</v>
      </c>
      <c r="B5" t="s">
        <v>396</v>
      </c>
      <c r="C5" t="s">
        <v>56</v>
      </c>
      <c r="D5" t="s">
        <v>229</v>
      </c>
      <c r="E5" t="s">
        <v>263</v>
      </c>
      <c r="F5" t="s">
        <v>395</v>
      </c>
      <c r="G5">
        <v>0.35</v>
      </c>
      <c r="H5">
        <v>6</v>
      </c>
      <c r="I5" t="s">
        <v>341</v>
      </c>
      <c r="J5" t="s">
        <v>390</v>
      </c>
      <c r="K5" t="s">
        <v>21</v>
      </c>
      <c r="L5" t="s">
        <v>441</v>
      </c>
      <c r="M5" t="s">
        <v>331</v>
      </c>
    </row>
    <row r="6" spans="1:13">
      <c r="A6" t="s">
        <v>361</v>
      </c>
      <c r="B6" t="s">
        <v>396</v>
      </c>
      <c r="C6" t="s">
        <v>59</v>
      </c>
      <c r="D6" t="s">
        <v>101</v>
      </c>
      <c r="E6" t="s">
        <v>252</v>
      </c>
      <c r="F6" t="s">
        <v>397</v>
      </c>
      <c r="G6">
        <v>0.65</v>
      </c>
      <c r="H6">
        <v>13</v>
      </c>
      <c r="I6" t="s">
        <v>341</v>
      </c>
      <c r="J6" t="s">
        <v>390</v>
      </c>
      <c r="K6" t="s">
        <v>21</v>
      </c>
      <c r="L6" t="s">
        <v>441</v>
      </c>
      <c r="M6" t="s">
        <v>331</v>
      </c>
    </row>
    <row r="7" spans="1:13">
      <c r="A7" t="s">
        <v>361</v>
      </c>
      <c r="B7" t="s">
        <v>399</v>
      </c>
      <c r="C7" t="s">
        <v>56</v>
      </c>
      <c r="D7" t="s">
        <v>101</v>
      </c>
      <c r="E7" t="s">
        <v>244</v>
      </c>
      <c r="F7" t="s">
        <v>398</v>
      </c>
      <c r="G7">
        <v>0.5</v>
      </c>
      <c r="H7">
        <v>6</v>
      </c>
      <c r="I7" t="s">
        <v>348</v>
      </c>
      <c r="J7" t="s">
        <v>390</v>
      </c>
      <c r="K7" t="s">
        <v>21</v>
      </c>
      <c r="L7" t="s">
        <v>441</v>
      </c>
      <c r="M7" t="s">
        <v>349</v>
      </c>
    </row>
    <row r="8" spans="1:13">
      <c r="A8" t="s">
        <v>361</v>
      </c>
      <c r="B8" t="s">
        <v>399</v>
      </c>
      <c r="C8" t="s">
        <v>59</v>
      </c>
      <c r="D8" t="s">
        <v>57</v>
      </c>
      <c r="E8" t="s">
        <v>234</v>
      </c>
      <c r="F8" t="s">
        <v>400</v>
      </c>
      <c r="G8">
        <v>0.5</v>
      </c>
      <c r="H8">
        <v>12</v>
      </c>
      <c r="I8" t="s">
        <v>348</v>
      </c>
      <c r="J8" t="s">
        <v>390</v>
      </c>
      <c r="K8" t="s">
        <v>21</v>
      </c>
      <c r="L8" t="s">
        <v>441</v>
      </c>
      <c r="M8" t="s">
        <v>349</v>
      </c>
    </row>
    <row r="9" spans="1:13">
      <c r="A9" t="s">
        <v>361</v>
      </c>
      <c r="B9" t="s">
        <v>402</v>
      </c>
      <c r="C9" t="s">
        <v>56</v>
      </c>
      <c r="D9" t="s">
        <v>146</v>
      </c>
      <c r="E9" t="s">
        <v>237</v>
      </c>
      <c r="F9" t="s">
        <v>401</v>
      </c>
      <c r="G9">
        <v>0.6</v>
      </c>
      <c r="H9">
        <v>28</v>
      </c>
      <c r="I9" t="s">
        <v>346</v>
      </c>
      <c r="J9" t="s">
        <v>390</v>
      </c>
      <c r="K9" t="s">
        <v>21</v>
      </c>
      <c r="L9" t="s">
        <v>441</v>
      </c>
      <c r="M9" t="s">
        <v>347</v>
      </c>
    </row>
    <row r="10" spans="1:13">
      <c r="A10" t="s">
        <v>361</v>
      </c>
      <c r="B10" t="s">
        <v>402</v>
      </c>
      <c r="C10" t="s">
        <v>59</v>
      </c>
      <c r="D10" t="s">
        <v>101</v>
      </c>
      <c r="E10" t="s">
        <v>244</v>
      </c>
      <c r="F10" t="s">
        <v>403</v>
      </c>
      <c r="G10">
        <v>0.4</v>
      </c>
      <c r="H10">
        <v>28</v>
      </c>
      <c r="I10" t="s">
        <v>346</v>
      </c>
      <c r="J10" t="s">
        <v>390</v>
      </c>
      <c r="K10" t="s">
        <v>21</v>
      </c>
      <c r="L10" t="s">
        <v>441</v>
      </c>
      <c r="M10" t="s">
        <v>347</v>
      </c>
    </row>
    <row r="11" spans="1:13">
      <c r="A11" t="s">
        <v>356</v>
      </c>
      <c r="B11" t="s">
        <v>458</v>
      </c>
      <c r="C11" t="s">
        <v>56</v>
      </c>
      <c r="D11" t="s">
        <v>101</v>
      </c>
      <c r="E11" t="s">
        <v>102</v>
      </c>
      <c r="F11" t="s">
        <v>103</v>
      </c>
      <c r="G11">
        <v>0.5</v>
      </c>
      <c r="H11">
        <v>6</v>
      </c>
      <c r="I11" t="s">
        <v>99</v>
      </c>
      <c r="J11" t="s">
        <v>390</v>
      </c>
      <c r="K11" t="s">
        <v>21</v>
      </c>
      <c r="L11" t="s">
        <v>441</v>
      </c>
      <c r="M11" t="s">
        <v>443</v>
      </c>
    </row>
    <row r="12" spans="1:13">
      <c r="A12" t="s">
        <v>356</v>
      </c>
      <c r="B12" t="s">
        <v>459</v>
      </c>
      <c r="C12" t="s">
        <v>56</v>
      </c>
      <c r="D12" t="s">
        <v>101</v>
      </c>
      <c r="E12" t="s">
        <v>102</v>
      </c>
      <c r="F12" t="s">
        <v>103</v>
      </c>
      <c r="G12">
        <v>0.5</v>
      </c>
      <c r="H12">
        <v>6</v>
      </c>
      <c r="I12" t="s">
        <v>125</v>
      </c>
      <c r="J12" t="s">
        <v>390</v>
      </c>
      <c r="K12" t="s">
        <v>21</v>
      </c>
      <c r="L12" t="s">
        <v>441</v>
      </c>
      <c r="M12" t="s">
        <v>126</v>
      </c>
    </row>
    <row r="13" spans="1:13">
      <c r="A13" t="s">
        <v>356</v>
      </c>
      <c r="B13" t="s">
        <v>460</v>
      </c>
      <c r="C13" t="s">
        <v>56</v>
      </c>
      <c r="D13" t="s">
        <v>101</v>
      </c>
      <c r="E13" t="s">
        <v>102</v>
      </c>
      <c r="F13" t="s">
        <v>103</v>
      </c>
      <c r="G13">
        <v>0.5</v>
      </c>
      <c r="H13">
        <v>6</v>
      </c>
      <c r="I13" t="s">
        <v>127</v>
      </c>
      <c r="J13" t="s">
        <v>390</v>
      </c>
      <c r="K13" t="s">
        <v>21</v>
      </c>
      <c r="L13" t="s">
        <v>441</v>
      </c>
      <c r="M13" t="s">
        <v>128</v>
      </c>
    </row>
    <row r="14" spans="1:13">
      <c r="A14" t="s">
        <v>356</v>
      </c>
      <c r="B14" t="s">
        <v>461</v>
      </c>
      <c r="C14" t="s">
        <v>56</v>
      </c>
      <c r="D14" t="s">
        <v>101</v>
      </c>
      <c r="E14" t="s">
        <v>102</v>
      </c>
      <c r="F14" t="s">
        <v>103</v>
      </c>
      <c r="G14">
        <v>0.5</v>
      </c>
      <c r="H14">
        <v>6</v>
      </c>
      <c r="I14" t="s">
        <v>129</v>
      </c>
      <c r="J14" t="s">
        <v>390</v>
      </c>
      <c r="K14" t="s">
        <v>21</v>
      </c>
      <c r="L14" t="s">
        <v>441</v>
      </c>
      <c r="M14" t="s">
        <v>130</v>
      </c>
    </row>
    <row r="15" spans="1:13">
      <c r="A15" t="s">
        <v>356</v>
      </c>
      <c r="B15" t="s">
        <v>462</v>
      </c>
      <c r="C15" t="s">
        <v>56</v>
      </c>
      <c r="D15" t="s">
        <v>101</v>
      </c>
      <c r="E15" t="s">
        <v>102</v>
      </c>
      <c r="F15" t="s">
        <v>103</v>
      </c>
      <c r="G15">
        <v>0.5</v>
      </c>
      <c r="H15">
        <v>6</v>
      </c>
      <c r="I15" t="s">
        <v>131</v>
      </c>
      <c r="J15" t="s">
        <v>390</v>
      </c>
      <c r="K15" t="s">
        <v>21</v>
      </c>
      <c r="L15" t="s">
        <v>441</v>
      </c>
      <c r="M15" t="s">
        <v>132</v>
      </c>
    </row>
    <row r="16" spans="1:13">
      <c r="A16" t="s">
        <v>356</v>
      </c>
      <c r="B16" t="s">
        <v>463</v>
      </c>
      <c r="C16" t="s">
        <v>56</v>
      </c>
      <c r="D16" t="s">
        <v>101</v>
      </c>
      <c r="E16" t="s">
        <v>102</v>
      </c>
      <c r="F16" t="s">
        <v>103</v>
      </c>
      <c r="G16">
        <v>0.5</v>
      </c>
      <c r="H16">
        <v>6</v>
      </c>
      <c r="I16" t="s">
        <v>133</v>
      </c>
      <c r="J16" t="s">
        <v>390</v>
      </c>
      <c r="K16" t="s">
        <v>21</v>
      </c>
      <c r="L16" t="s">
        <v>441</v>
      </c>
      <c r="M16" t="s">
        <v>134</v>
      </c>
    </row>
    <row r="17" spans="1:13">
      <c r="A17" t="s">
        <v>356</v>
      </c>
      <c r="B17" t="s">
        <v>464</v>
      </c>
      <c r="C17" t="s">
        <v>56</v>
      </c>
      <c r="D17" t="s">
        <v>101</v>
      </c>
      <c r="E17" t="s">
        <v>102</v>
      </c>
      <c r="F17" t="s">
        <v>103</v>
      </c>
      <c r="G17">
        <v>0.5</v>
      </c>
      <c r="H17">
        <v>6</v>
      </c>
      <c r="I17" t="s">
        <v>135</v>
      </c>
      <c r="J17" t="s">
        <v>390</v>
      </c>
      <c r="K17" t="s">
        <v>21</v>
      </c>
      <c r="L17" t="s">
        <v>441</v>
      </c>
      <c r="M17" t="s">
        <v>450</v>
      </c>
    </row>
    <row r="18" spans="1:13">
      <c r="A18" t="s">
        <v>356</v>
      </c>
      <c r="B18" t="s">
        <v>465</v>
      </c>
      <c r="C18" t="s">
        <v>56</v>
      </c>
      <c r="D18" t="s">
        <v>146</v>
      </c>
      <c r="E18" t="s">
        <v>102</v>
      </c>
      <c r="F18" t="s">
        <v>147</v>
      </c>
      <c r="G18">
        <v>1</v>
      </c>
      <c r="H18">
        <v>12</v>
      </c>
      <c r="I18" t="s">
        <v>137</v>
      </c>
      <c r="J18" t="s">
        <v>390</v>
      </c>
      <c r="K18" t="s">
        <v>21</v>
      </c>
      <c r="L18" t="s">
        <v>441</v>
      </c>
      <c r="M18" t="s">
        <v>452</v>
      </c>
    </row>
    <row r="19" spans="1:13">
      <c r="A19" t="s">
        <v>356</v>
      </c>
      <c r="B19" t="s">
        <v>466</v>
      </c>
      <c r="C19" t="s">
        <v>56</v>
      </c>
      <c r="D19" t="s">
        <v>101</v>
      </c>
      <c r="E19" t="s">
        <v>102</v>
      </c>
      <c r="F19" t="s">
        <v>103</v>
      </c>
      <c r="G19">
        <v>0.5</v>
      </c>
      <c r="H19">
        <v>6</v>
      </c>
      <c r="I19" t="s">
        <v>163</v>
      </c>
      <c r="J19" t="s">
        <v>390</v>
      </c>
      <c r="K19" t="s">
        <v>21</v>
      </c>
      <c r="L19" t="s">
        <v>441</v>
      </c>
      <c r="M19" t="s">
        <v>454</v>
      </c>
    </row>
    <row r="20" spans="1:13">
      <c r="A20" t="s">
        <v>356</v>
      </c>
      <c r="B20" t="s">
        <v>405</v>
      </c>
      <c r="C20" t="s">
        <v>56</v>
      </c>
      <c r="D20" t="s">
        <v>101</v>
      </c>
      <c r="E20" t="s">
        <v>102</v>
      </c>
      <c r="F20" t="s">
        <v>404</v>
      </c>
      <c r="G20">
        <v>0.3</v>
      </c>
      <c r="H20">
        <v>12</v>
      </c>
      <c r="I20" t="s">
        <v>165</v>
      </c>
      <c r="J20" t="s">
        <v>390</v>
      </c>
      <c r="K20" t="s">
        <v>21</v>
      </c>
      <c r="L20" t="s">
        <v>441</v>
      </c>
      <c r="M20" t="s">
        <v>167</v>
      </c>
    </row>
    <row r="21" spans="1:13">
      <c r="A21" t="s">
        <v>356</v>
      </c>
      <c r="B21" t="s">
        <v>405</v>
      </c>
      <c r="C21" t="s">
        <v>59</v>
      </c>
      <c r="D21" t="s">
        <v>146</v>
      </c>
      <c r="F21" t="s">
        <v>406</v>
      </c>
      <c r="G21">
        <v>0.7</v>
      </c>
      <c r="H21">
        <v>17</v>
      </c>
      <c r="I21" t="s">
        <v>165</v>
      </c>
      <c r="J21" t="s">
        <v>390</v>
      </c>
      <c r="K21" t="s">
        <v>21</v>
      </c>
      <c r="L21" t="s">
        <v>441</v>
      </c>
      <c r="M21" t="s">
        <v>167</v>
      </c>
    </row>
    <row r="22" spans="1:13">
      <c r="A22" t="s">
        <v>358</v>
      </c>
      <c r="B22" t="s">
        <v>409</v>
      </c>
      <c r="C22" t="s">
        <v>56</v>
      </c>
      <c r="D22" t="s">
        <v>229</v>
      </c>
      <c r="E22" t="s">
        <v>267</v>
      </c>
      <c r="F22" t="s">
        <v>407</v>
      </c>
      <c r="G22">
        <v>0.5</v>
      </c>
      <c r="H22" t="s">
        <v>408</v>
      </c>
      <c r="I22" t="s">
        <v>338</v>
      </c>
      <c r="J22" t="s">
        <v>390</v>
      </c>
      <c r="K22" t="s">
        <v>21</v>
      </c>
      <c r="L22" t="s">
        <v>441</v>
      </c>
      <c r="M22" t="s">
        <v>339</v>
      </c>
    </row>
    <row r="23" spans="1:13">
      <c r="A23" t="s">
        <v>358</v>
      </c>
      <c r="B23" t="s">
        <v>409</v>
      </c>
      <c r="C23" t="s">
        <v>59</v>
      </c>
      <c r="D23" t="s">
        <v>229</v>
      </c>
      <c r="E23" t="s">
        <v>267</v>
      </c>
      <c r="F23" t="s">
        <v>410</v>
      </c>
      <c r="G23">
        <v>0.5</v>
      </c>
      <c r="H23" t="s">
        <v>411</v>
      </c>
      <c r="I23" t="s">
        <v>338</v>
      </c>
      <c r="J23" t="s">
        <v>390</v>
      </c>
      <c r="K23" t="s">
        <v>21</v>
      </c>
      <c r="L23" t="s">
        <v>441</v>
      </c>
      <c r="M23" t="s">
        <v>339</v>
      </c>
    </row>
    <row r="24" spans="1:13">
      <c r="A24" t="s">
        <v>358</v>
      </c>
      <c r="B24" t="s">
        <v>413</v>
      </c>
      <c r="C24" t="s">
        <v>56</v>
      </c>
      <c r="D24" t="s">
        <v>229</v>
      </c>
      <c r="E24" t="s">
        <v>267</v>
      </c>
      <c r="F24" t="s">
        <v>412</v>
      </c>
      <c r="G24">
        <v>0.5</v>
      </c>
      <c r="H24">
        <v>8</v>
      </c>
      <c r="I24" t="s">
        <v>343</v>
      </c>
      <c r="J24" t="s">
        <v>390</v>
      </c>
      <c r="K24" t="s">
        <v>21</v>
      </c>
      <c r="L24" t="s">
        <v>441</v>
      </c>
      <c r="M24" t="s">
        <v>344</v>
      </c>
    </row>
    <row r="25" spans="1:13">
      <c r="A25" t="s">
        <v>358</v>
      </c>
      <c r="B25" t="s">
        <v>413</v>
      </c>
      <c r="C25" t="s">
        <v>59</v>
      </c>
      <c r="D25" t="s">
        <v>229</v>
      </c>
      <c r="E25" t="s">
        <v>267</v>
      </c>
      <c r="F25" t="s">
        <v>414</v>
      </c>
      <c r="G25">
        <v>0.5</v>
      </c>
      <c r="H25" t="s">
        <v>415</v>
      </c>
      <c r="I25" t="s">
        <v>343</v>
      </c>
      <c r="J25" t="s">
        <v>390</v>
      </c>
      <c r="K25" t="s">
        <v>21</v>
      </c>
      <c r="L25" t="s">
        <v>441</v>
      </c>
      <c r="M25" t="s">
        <v>344</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F914E-31CF-4993-8E2A-E76472D7E275}">
  <dimension ref="A1:I28"/>
  <sheetViews>
    <sheetView workbookViewId="0">
      <selection sqref="A1:I28"/>
    </sheetView>
  </sheetViews>
  <sheetFormatPr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4.42578125" bestFit="1" customWidth="1"/>
    <col min="8" max="8" width="12.140625" bestFit="1" customWidth="1"/>
    <col min="9" max="9" width="41.5703125" bestFit="1" customWidth="1"/>
  </cols>
  <sheetData>
    <row r="1" spans="1:9">
      <c r="A1" t="s">
        <v>351</v>
      </c>
      <c r="B1" t="s">
        <v>353</v>
      </c>
      <c r="C1" t="s">
        <v>39</v>
      </c>
      <c r="D1" t="s">
        <v>40</v>
      </c>
      <c r="E1" t="s">
        <v>332</v>
      </c>
      <c r="F1" t="s">
        <v>378</v>
      </c>
      <c r="G1" t="s">
        <v>352</v>
      </c>
      <c r="H1" t="s">
        <v>354</v>
      </c>
      <c r="I1" t="s">
        <v>333</v>
      </c>
    </row>
    <row r="2" spans="1:9">
      <c r="A2" t="s">
        <v>356</v>
      </c>
      <c r="B2" t="s">
        <v>455</v>
      </c>
      <c r="C2" t="s">
        <v>41</v>
      </c>
      <c r="D2" t="s">
        <v>42</v>
      </c>
      <c r="E2" t="s">
        <v>5</v>
      </c>
      <c r="F2" t="s">
        <v>416</v>
      </c>
      <c r="G2" t="s">
        <v>21</v>
      </c>
      <c r="H2" t="s">
        <v>441</v>
      </c>
      <c r="I2" t="s">
        <v>8</v>
      </c>
    </row>
    <row r="3" spans="1:9">
      <c r="A3" t="s">
        <v>356</v>
      </c>
      <c r="B3" t="s">
        <v>455</v>
      </c>
      <c r="C3" t="s">
        <v>43</v>
      </c>
      <c r="D3" t="s">
        <v>44</v>
      </c>
      <c r="E3" t="s">
        <v>5</v>
      </c>
      <c r="F3" t="s">
        <v>416</v>
      </c>
      <c r="G3" t="s">
        <v>21</v>
      </c>
      <c r="H3" t="s">
        <v>441</v>
      </c>
      <c r="I3" t="s">
        <v>8</v>
      </c>
    </row>
    <row r="4" spans="1:9">
      <c r="A4" t="s">
        <v>356</v>
      </c>
      <c r="B4" t="s">
        <v>455</v>
      </c>
      <c r="C4" t="s">
        <v>45</v>
      </c>
      <c r="D4" t="s">
        <v>46</v>
      </c>
      <c r="E4" t="s">
        <v>5</v>
      </c>
      <c r="F4" t="s">
        <v>416</v>
      </c>
      <c r="G4" t="s">
        <v>21</v>
      </c>
      <c r="H4" t="s">
        <v>441</v>
      </c>
      <c r="I4" t="s">
        <v>8</v>
      </c>
    </row>
    <row r="5" spans="1:9">
      <c r="A5" t="s">
        <v>361</v>
      </c>
      <c r="B5" t="s">
        <v>418</v>
      </c>
      <c r="C5" t="s">
        <v>41</v>
      </c>
      <c r="D5" t="s">
        <v>417</v>
      </c>
      <c r="E5" t="s">
        <v>336</v>
      </c>
      <c r="F5" t="s">
        <v>416</v>
      </c>
      <c r="G5" t="s">
        <v>21</v>
      </c>
      <c r="H5" t="s">
        <v>441</v>
      </c>
      <c r="I5" t="s">
        <v>330</v>
      </c>
    </row>
    <row r="6" spans="1:9">
      <c r="A6" t="s">
        <v>361</v>
      </c>
      <c r="B6" t="s">
        <v>418</v>
      </c>
      <c r="C6" t="s">
        <v>43</v>
      </c>
      <c r="D6" t="s">
        <v>419</v>
      </c>
      <c r="E6" t="s">
        <v>336</v>
      </c>
      <c r="F6" t="s">
        <v>416</v>
      </c>
      <c r="G6" t="s">
        <v>21</v>
      </c>
      <c r="H6" t="s">
        <v>441</v>
      </c>
      <c r="I6" t="s">
        <v>330</v>
      </c>
    </row>
    <row r="7" spans="1:9">
      <c r="A7" t="s">
        <v>361</v>
      </c>
      <c r="B7" t="s">
        <v>418</v>
      </c>
      <c r="C7" t="s">
        <v>45</v>
      </c>
      <c r="D7" t="s">
        <v>420</v>
      </c>
      <c r="E7" t="s">
        <v>336</v>
      </c>
      <c r="F7" t="s">
        <v>416</v>
      </c>
      <c r="G7" t="s">
        <v>21</v>
      </c>
      <c r="H7" t="s">
        <v>441</v>
      </c>
      <c r="I7" t="s">
        <v>330</v>
      </c>
    </row>
    <row r="8" spans="1:9">
      <c r="A8" t="s">
        <v>361</v>
      </c>
      <c r="B8" t="s">
        <v>422</v>
      </c>
      <c r="C8" t="s">
        <v>41</v>
      </c>
      <c r="D8" t="s">
        <v>421</v>
      </c>
      <c r="E8" t="s">
        <v>341</v>
      </c>
      <c r="F8" t="s">
        <v>416</v>
      </c>
      <c r="G8" t="s">
        <v>21</v>
      </c>
      <c r="H8" t="s">
        <v>441</v>
      </c>
      <c r="I8" t="s">
        <v>331</v>
      </c>
    </row>
    <row r="9" spans="1:9">
      <c r="A9" t="s">
        <v>361</v>
      </c>
      <c r="B9" t="s">
        <v>422</v>
      </c>
      <c r="C9" t="s">
        <v>43</v>
      </c>
      <c r="D9" t="s">
        <v>423</v>
      </c>
      <c r="E9" t="s">
        <v>341</v>
      </c>
      <c r="F9" t="s">
        <v>416</v>
      </c>
      <c r="G9" t="s">
        <v>21</v>
      </c>
      <c r="H9" t="s">
        <v>441</v>
      </c>
      <c r="I9" t="s">
        <v>331</v>
      </c>
    </row>
    <row r="10" spans="1:9">
      <c r="A10" t="s">
        <v>361</v>
      </c>
      <c r="B10" t="s">
        <v>422</v>
      </c>
      <c r="C10" t="s">
        <v>45</v>
      </c>
      <c r="D10" t="s">
        <v>424</v>
      </c>
      <c r="E10" t="s">
        <v>341</v>
      </c>
      <c r="F10" t="s">
        <v>416</v>
      </c>
      <c r="G10" t="s">
        <v>21</v>
      </c>
      <c r="H10" t="s">
        <v>441</v>
      </c>
      <c r="I10" t="s">
        <v>331</v>
      </c>
    </row>
    <row r="11" spans="1:9">
      <c r="A11" t="s">
        <v>361</v>
      </c>
      <c r="B11" t="s">
        <v>426</v>
      </c>
      <c r="C11" t="s">
        <v>41</v>
      </c>
      <c r="D11" t="s">
        <v>425</v>
      </c>
      <c r="E11" t="s">
        <v>348</v>
      </c>
      <c r="F11" t="s">
        <v>416</v>
      </c>
      <c r="G11" t="s">
        <v>21</v>
      </c>
      <c r="H11" t="s">
        <v>441</v>
      </c>
      <c r="I11" t="s">
        <v>349</v>
      </c>
    </row>
    <row r="12" spans="1:9">
      <c r="A12" t="s">
        <v>361</v>
      </c>
      <c r="B12" t="s">
        <v>426</v>
      </c>
      <c r="C12" t="s">
        <v>43</v>
      </c>
      <c r="D12" t="s">
        <v>427</v>
      </c>
      <c r="E12" t="s">
        <v>348</v>
      </c>
      <c r="F12" t="s">
        <v>416</v>
      </c>
      <c r="G12" t="s">
        <v>21</v>
      </c>
      <c r="H12" t="s">
        <v>441</v>
      </c>
      <c r="I12" t="s">
        <v>349</v>
      </c>
    </row>
    <row r="13" spans="1:9">
      <c r="A13" t="s">
        <v>361</v>
      </c>
      <c r="B13" t="s">
        <v>426</v>
      </c>
      <c r="C13" t="s">
        <v>45</v>
      </c>
      <c r="D13" t="s">
        <v>428</v>
      </c>
      <c r="E13" t="s">
        <v>348</v>
      </c>
      <c r="F13" t="s">
        <v>416</v>
      </c>
      <c r="G13" t="s">
        <v>21</v>
      </c>
      <c r="H13" t="s">
        <v>441</v>
      </c>
      <c r="I13" t="s">
        <v>349</v>
      </c>
    </row>
    <row r="14" spans="1:9">
      <c r="A14" t="s">
        <v>361</v>
      </c>
      <c r="B14" t="s">
        <v>430</v>
      </c>
      <c r="C14" t="s">
        <v>41</v>
      </c>
      <c r="D14" t="s">
        <v>429</v>
      </c>
      <c r="E14" t="s">
        <v>346</v>
      </c>
      <c r="F14" t="s">
        <v>416</v>
      </c>
      <c r="G14" t="s">
        <v>21</v>
      </c>
      <c r="H14" t="s">
        <v>441</v>
      </c>
      <c r="I14" t="s">
        <v>347</v>
      </c>
    </row>
    <row r="15" spans="1:9">
      <c r="A15" t="s">
        <v>361</v>
      </c>
      <c r="B15" t="s">
        <v>430</v>
      </c>
      <c r="C15" t="s">
        <v>43</v>
      </c>
      <c r="D15" t="s">
        <v>431</v>
      </c>
      <c r="E15" t="s">
        <v>346</v>
      </c>
      <c r="F15" t="s">
        <v>416</v>
      </c>
      <c r="G15" t="s">
        <v>21</v>
      </c>
      <c r="H15" t="s">
        <v>441</v>
      </c>
      <c r="I15" t="s">
        <v>347</v>
      </c>
    </row>
    <row r="16" spans="1:9">
      <c r="A16" t="s">
        <v>361</v>
      </c>
      <c r="B16" t="s">
        <v>430</v>
      </c>
      <c r="C16" t="s">
        <v>45</v>
      </c>
      <c r="D16" t="s">
        <v>432</v>
      </c>
      <c r="E16" t="s">
        <v>346</v>
      </c>
      <c r="F16" t="s">
        <v>416</v>
      </c>
      <c r="G16" t="s">
        <v>21</v>
      </c>
      <c r="H16" t="s">
        <v>441</v>
      </c>
      <c r="I16" t="s">
        <v>347</v>
      </c>
    </row>
    <row r="17" spans="1:9">
      <c r="A17" t="s">
        <v>356</v>
      </c>
      <c r="B17" t="s">
        <v>456</v>
      </c>
      <c r="C17" t="s">
        <v>41</v>
      </c>
      <c r="D17" t="s">
        <v>142</v>
      </c>
      <c r="E17" t="s">
        <v>137</v>
      </c>
      <c r="F17" t="s">
        <v>416</v>
      </c>
      <c r="G17" t="s">
        <v>21</v>
      </c>
      <c r="H17" t="s">
        <v>441</v>
      </c>
      <c r="I17" t="s">
        <v>452</v>
      </c>
    </row>
    <row r="18" spans="1:9">
      <c r="A18" t="s">
        <v>356</v>
      </c>
      <c r="B18" t="s">
        <v>456</v>
      </c>
      <c r="C18" t="s">
        <v>43</v>
      </c>
      <c r="D18" t="s">
        <v>457</v>
      </c>
      <c r="E18" t="s">
        <v>137</v>
      </c>
      <c r="F18" t="s">
        <v>416</v>
      </c>
      <c r="G18" t="s">
        <v>21</v>
      </c>
      <c r="H18" t="s">
        <v>441</v>
      </c>
      <c r="I18" t="s">
        <v>452</v>
      </c>
    </row>
    <row r="19" spans="1:9">
      <c r="A19" t="s">
        <v>356</v>
      </c>
      <c r="B19" t="s">
        <v>456</v>
      </c>
      <c r="C19" t="s">
        <v>45</v>
      </c>
      <c r="D19" t="s">
        <v>144</v>
      </c>
      <c r="E19" t="s">
        <v>137</v>
      </c>
      <c r="F19" t="s">
        <v>416</v>
      </c>
      <c r="G19" t="s">
        <v>21</v>
      </c>
      <c r="H19" t="s">
        <v>441</v>
      </c>
      <c r="I19" t="s">
        <v>452</v>
      </c>
    </row>
    <row r="20" spans="1:9">
      <c r="A20" t="s">
        <v>356</v>
      </c>
      <c r="B20" t="s">
        <v>456</v>
      </c>
      <c r="C20" t="s">
        <v>47</v>
      </c>
      <c r="D20" t="s">
        <v>145</v>
      </c>
      <c r="E20" t="s">
        <v>137</v>
      </c>
      <c r="F20" t="s">
        <v>416</v>
      </c>
      <c r="G20" t="s">
        <v>21</v>
      </c>
      <c r="H20" t="s">
        <v>441</v>
      </c>
      <c r="I20" t="s">
        <v>452</v>
      </c>
    </row>
    <row r="21" spans="1:9">
      <c r="A21" t="s">
        <v>356</v>
      </c>
      <c r="B21" t="s">
        <v>433</v>
      </c>
      <c r="C21" t="s">
        <v>41</v>
      </c>
      <c r="D21" t="s">
        <v>175</v>
      </c>
      <c r="E21" t="s">
        <v>165</v>
      </c>
      <c r="F21" t="s">
        <v>416</v>
      </c>
      <c r="G21" t="s">
        <v>21</v>
      </c>
      <c r="H21" t="s">
        <v>441</v>
      </c>
      <c r="I21" t="s">
        <v>167</v>
      </c>
    </row>
    <row r="22" spans="1:9">
      <c r="A22" t="s">
        <v>356</v>
      </c>
      <c r="B22" t="s">
        <v>433</v>
      </c>
      <c r="C22" t="s">
        <v>43</v>
      </c>
      <c r="D22" t="s">
        <v>176</v>
      </c>
      <c r="E22" t="s">
        <v>165</v>
      </c>
      <c r="F22" t="s">
        <v>416</v>
      </c>
      <c r="G22" t="s">
        <v>21</v>
      </c>
      <c r="H22" t="s">
        <v>441</v>
      </c>
      <c r="I22" t="s">
        <v>167</v>
      </c>
    </row>
    <row r="23" spans="1:9">
      <c r="A23" t="s">
        <v>356</v>
      </c>
      <c r="B23" t="s">
        <v>433</v>
      </c>
      <c r="C23" t="s">
        <v>45</v>
      </c>
      <c r="D23" t="s">
        <v>177</v>
      </c>
      <c r="E23" t="s">
        <v>165</v>
      </c>
      <c r="F23" t="s">
        <v>416</v>
      </c>
      <c r="G23" t="s">
        <v>21</v>
      </c>
      <c r="H23" t="s">
        <v>441</v>
      </c>
      <c r="I23" t="s">
        <v>167</v>
      </c>
    </row>
    <row r="24" spans="1:9">
      <c r="A24" t="s">
        <v>358</v>
      </c>
      <c r="B24" t="s">
        <v>435</v>
      </c>
      <c r="C24" t="s">
        <v>41</v>
      </c>
      <c r="D24" t="s">
        <v>434</v>
      </c>
      <c r="E24" t="s">
        <v>338</v>
      </c>
      <c r="F24" t="s">
        <v>416</v>
      </c>
      <c r="G24" t="s">
        <v>21</v>
      </c>
      <c r="H24" t="s">
        <v>441</v>
      </c>
      <c r="I24" t="s">
        <v>339</v>
      </c>
    </row>
    <row r="25" spans="1:9">
      <c r="A25" t="s">
        <v>358</v>
      </c>
      <c r="B25" t="s">
        <v>435</v>
      </c>
      <c r="C25" t="s">
        <v>43</v>
      </c>
      <c r="D25" t="s">
        <v>436</v>
      </c>
      <c r="E25" t="s">
        <v>338</v>
      </c>
      <c r="F25" t="s">
        <v>416</v>
      </c>
      <c r="G25" t="s">
        <v>21</v>
      </c>
      <c r="H25" t="s">
        <v>441</v>
      </c>
      <c r="I25" t="s">
        <v>339</v>
      </c>
    </row>
    <row r="26" spans="1:9">
      <c r="A26" t="s">
        <v>358</v>
      </c>
      <c r="B26" t="s">
        <v>435</v>
      </c>
      <c r="C26" t="s">
        <v>45</v>
      </c>
      <c r="D26" t="s">
        <v>437</v>
      </c>
      <c r="E26" t="s">
        <v>338</v>
      </c>
      <c r="F26" t="s">
        <v>416</v>
      </c>
      <c r="G26" t="s">
        <v>21</v>
      </c>
      <c r="H26" t="s">
        <v>441</v>
      </c>
      <c r="I26" t="s">
        <v>339</v>
      </c>
    </row>
    <row r="27" spans="1:9">
      <c r="A27" t="s">
        <v>358</v>
      </c>
      <c r="B27" t="s">
        <v>439</v>
      </c>
      <c r="C27" t="s">
        <v>41</v>
      </c>
      <c r="D27" t="s">
        <v>438</v>
      </c>
      <c r="E27" t="s">
        <v>343</v>
      </c>
      <c r="F27" t="s">
        <v>416</v>
      </c>
      <c r="G27" t="s">
        <v>21</v>
      </c>
      <c r="H27" t="s">
        <v>441</v>
      </c>
      <c r="I27" t="s">
        <v>344</v>
      </c>
    </row>
    <row r="28" spans="1:9">
      <c r="A28" t="s">
        <v>358</v>
      </c>
      <c r="B28" t="s">
        <v>439</v>
      </c>
      <c r="C28" t="s">
        <v>43</v>
      </c>
      <c r="D28" t="s">
        <v>440</v>
      </c>
      <c r="E28" t="s">
        <v>343</v>
      </c>
      <c r="F28" t="s">
        <v>416</v>
      </c>
      <c r="G28" t="s">
        <v>21</v>
      </c>
      <c r="H28" t="s">
        <v>441</v>
      </c>
      <c r="I28" t="s">
        <v>344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87193-B695-4623-9220-FE4108D3F013}">
  <dimension ref="A1"/>
  <sheetViews>
    <sheetView workbookViewId="0"/>
  </sheetViews>
  <sheetFormatPr defaultRowHeight="15"/>
  <sheetData>
    <row r="1" spans="1:1">
      <c r="A1" t="s">
        <v>500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EC77B-2A67-47F6-9771-3662DF634A0F}">
  <dimension ref="A1"/>
  <sheetViews>
    <sheetView tabSelected="1" workbookViewId="0"/>
  </sheetViews>
  <sheetFormatPr defaultRowHeight="15"/>
  <sheetData>
    <row r="1" spans="1:1">
      <c r="A1" t="s">
        <v>499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6F8E5-F015-46BA-A5C7-C5ADD6624BDC}">
  <dimension ref="A1:I146"/>
  <sheetViews>
    <sheetView workbookViewId="0">
      <selection activeCell="K11" sqref="K11"/>
    </sheetView>
  </sheetViews>
  <sheetFormatPr defaultRowHeight="15"/>
  <cols>
    <col min="1" max="1" width="49" bestFit="1" customWidth="1"/>
    <col min="2" max="2" width="13.42578125" bestFit="1" customWidth="1"/>
    <col min="3" max="3" width="14.5703125" bestFit="1" customWidth="1"/>
    <col min="4" max="4" width="53.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 min="12" max="12" width="28.85546875" customWidth="1"/>
  </cols>
  <sheetData>
    <row r="1" spans="1:9">
      <c r="A1" t="s">
        <v>351</v>
      </c>
      <c r="B1" t="s">
        <v>353</v>
      </c>
      <c r="C1" t="s">
        <v>1</v>
      </c>
      <c r="D1" t="s">
        <v>2</v>
      </c>
      <c r="E1" t="s">
        <v>332</v>
      </c>
      <c r="F1" t="s">
        <v>378</v>
      </c>
      <c r="G1" t="s">
        <v>352</v>
      </c>
      <c r="H1" t="s">
        <v>354</v>
      </c>
      <c r="I1" t="s">
        <v>333</v>
      </c>
    </row>
    <row r="2" spans="1:9">
      <c r="A2" t="s">
        <v>356</v>
      </c>
      <c r="B2" t="s">
        <v>377</v>
      </c>
      <c r="C2" t="s">
        <v>4</v>
      </c>
      <c r="D2" t="s">
        <v>5</v>
      </c>
      <c r="E2" t="s">
        <v>5</v>
      </c>
      <c r="F2" t="s">
        <v>367</v>
      </c>
      <c r="G2" t="s">
        <v>21</v>
      </c>
      <c r="H2" t="s">
        <v>441</v>
      </c>
      <c r="I2" t="s">
        <v>8</v>
      </c>
    </row>
    <row r="3" spans="1:9">
      <c r="A3" t="s">
        <v>356</v>
      </c>
      <c r="B3" t="s">
        <v>377</v>
      </c>
      <c r="C3" t="s">
        <v>7</v>
      </c>
      <c r="D3" t="s">
        <v>8</v>
      </c>
      <c r="E3" t="s">
        <v>5</v>
      </c>
      <c r="F3" t="s">
        <v>367</v>
      </c>
      <c r="G3" t="s">
        <v>21</v>
      </c>
      <c r="H3" t="s">
        <v>441</v>
      </c>
      <c r="I3" t="s">
        <v>8</v>
      </c>
    </row>
    <row r="4" spans="1:9">
      <c r="A4" t="s">
        <v>356</v>
      </c>
      <c r="B4" t="s">
        <v>377</v>
      </c>
      <c r="C4" t="s">
        <v>9</v>
      </c>
      <c r="D4">
        <v>20</v>
      </c>
      <c r="E4" t="s">
        <v>5</v>
      </c>
      <c r="F4" t="s">
        <v>367</v>
      </c>
      <c r="G4" t="s">
        <v>21</v>
      </c>
      <c r="H4" t="s">
        <v>441</v>
      </c>
      <c r="I4" t="s">
        <v>8</v>
      </c>
    </row>
    <row r="5" spans="1:9">
      <c r="A5" t="s">
        <v>356</v>
      </c>
      <c r="B5" t="s">
        <v>377</v>
      </c>
      <c r="C5" t="s">
        <v>10</v>
      </c>
      <c r="D5">
        <v>2</v>
      </c>
      <c r="E5" t="s">
        <v>5</v>
      </c>
      <c r="F5" t="s">
        <v>367</v>
      </c>
      <c r="G5" t="s">
        <v>21</v>
      </c>
      <c r="H5" t="s">
        <v>441</v>
      </c>
      <c r="I5" t="s">
        <v>8</v>
      </c>
    </row>
    <row r="6" spans="1:9">
      <c r="A6" t="s">
        <v>356</v>
      </c>
      <c r="B6" t="s">
        <v>377</v>
      </c>
      <c r="C6" t="s">
        <v>12</v>
      </c>
      <c r="D6">
        <v>4</v>
      </c>
      <c r="E6" t="s">
        <v>5</v>
      </c>
      <c r="F6" t="s">
        <v>367</v>
      </c>
      <c r="G6" t="s">
        <v>21</v>
      </c>
      <c r="H6" t="s">
        <v>441</v>
      </c>
      <c r="I6" t="s">
        <v>8</v>
      </c>
    </row>
    <row r="7" spans="1:9">
      <c r="A7" t="s">
        <v>356</v>
      </c>
      <c r="B7" t="s">
        <v>377</v>
      </c>
      <c r="C7" t="s">
        <v>14</v>
      </c>
      <c r="D7" t="s">
        <v>15</v>
      </c>
      <c r="E7" t="s">
        <v>5</v>
      </c>
      <c r="F7" t="s">
        <v>367</v>
      </c>
      <c r="G7" t="s">
        <v>21</v>
      </c>
      <c r="H7" t="s">
        <v>441</v>
      </c>
      <c r="I7" t="s">
        <v>8</v>
      </c>
    </row>
    <row r="8" spans="1:9">
      <c r="A8" t="s">
        <v>356</v>
      </c>
      <c r="B8" t="s">
        <v>377</v>
      </c>
      <c r="C8" t="s">
        <v>17</v>
      </c>
      <c r="D8" t="s">
        <v>18</v>
      </c>
      <c r="E8" t="s">
        <v>5</v>
      </c>
      <c r="F8" t="s">
        <v>367</v>
      </c>
      <c r="G8" t="s">
        <v>21</v>
      </c>
      <c r="H8" t="s">
        <v>441</v>
      </c>
      <c r="I8" t="s">
        <v>8</v>
      </c>
    </row>
    <row r="9" spans="1:9">
      <c r="A9" t="s">
        <v>356</v>
      </c>
      <c r="B9" t="s">
        <v>377</v>
      </c>
      <c r="C9" t="s">
        <v>20</v>
      </c>
      <c r="D9" t="s">
        <v>21</v>
      </c>
      <c r="E9" t="s">
        <v>5</v>
      </c>
      <c r="F9" t="s">
        <v>367</v>
      </c>
      <c r="G9" t="s">
        <v>21</v>
      </c>
      <c r="H9" t="s">
        <v>441</v>
      </c>
      <c r="I9" t="s">
        <v>8</v>
      </c>
    </row>
    <row r="10" spans="1:9">
      <c r="A10" t="s">
        <v>356</v>
      </c>
      <c r="B10" t="s">
        <v>377</v>
      </c>
      <c r="D10" t="s">
        <v>23</v>
      </c>
      <c r="E10" t="s">
        <v>5</v>
      </c>
      <c r="F10" t="s">
        <v>367</v>
      </c>
      <c r="G10" t="s">
        <v>21</v>
      </c>
      <c r="H10" t="s">
        <v>441</v>
      </c>
      <c r="I10" t="s">
        <v>8</v>
      </c>
    </row>
    <row r="11" spans="1:9">
      <c r="A11" t="s">
        <v>361</v>
      </c>
      <c r="B11" t="s">
        <v>373</v>
      </c>
      <c r="C11" t="s">
        <v>4</v>
      </c>
      <c r="D11" t="s">
        <v>334</v>
      </c>
      <c r="E11" t="s">
        <v>334</v>
      </c>
      <c r="F11" t="s">
        <v>367</v>
      </c>
      <c r="G11" t="s">
        <v>21</v>
      </c>
      <c r="H11" t="s">
        <v>441</v>
      </c>
      <c r="I11" t="s">
        <v>335</v>
      </c>
    </row>
    <row r="12" spans="1:9">
      <c r="A12" t="s">
        <v>361</v>
      </c>
      <c r="B12" t="s">
        <v>373</v>
      </c>
      <c r="C12" t="s">
        <v>7</v>
      </c>
      <c r="D12" t="s">
        <v>335</v>
      </c>
      <c r="E12" t="s">
        <v>334</v>
      </c>
      <c r="F12" t="s">
        <v>367</v>
      </c>
      <c r="G12" t="s">
        <v>21</v>
      </c>
      <c r="H12" t="s">
        <v>441</v>
      </c>
      <c r="I12" t="s">
        <v>335</v>
      </c>
    </row>
    <row r="13" spans="1:9">
      <c r="A13" t="s">
        <v>361</v>
      </c>
      <c r="B13" t="s">
        <v>373</v>
      </c>
      <c r="C13" t="s">
        <v>9</v>
      </c>
      <c r="E13" t="s">
        <v>334</v>
      </c>
      <c r="F13" t="s">
        <v>367</v>
      </c>
      <c r="G13" t="s">
        <v>21</v>
      </c>
      <c r="H13" t="s">
        <v>441</v>
      </c>
      <c r="I13" t="s">
        <v>335</v>
      </c>
    </row>
    <row r="14" spans="1:9">
      <c r="A14" t="s">
        <v>361</v>
      </c>
      <c r="B14" t="s">
        <v>373</v>
      </c>
      <c r="C14" t="s">
        <v>10</v>
      </c>
      <c r="E14" t="s">
        <v>334</v>
      </c>
      <c r="F14" t="s">
        <v>367</v>
      </c>
      <c r="G14" t="s">
        <v>21</v>
      </c>
      <c r="H14" t="s">
        <v>441</v>
      </c>
      <c r="I14" t="s">
        <v>335</v>
      </c>
    </row>
    <row r="15" spans="1:9">
      <c r="A15" t="s">
        <v>361</v>
      </c>
      <c r="B15" t="s">
        <v>373</v>
      </c>
      <c r="C15" t="s">
        <v>12</v>
      </c>
      <c r="E15" t="s">
        <v>334</v>
      </c>
      <c r="F15" t="s">
        <v>367</v>
      </c>
      <c r="G15" t="s">
        <v>21</v>
      </c>
      <c r="H15" t="s">
        <v>441</v>
      </c>
      <c r="I15" t="s">
        <v>335</v>
      </c>
    </row>
    <row r="16" spans="1:9">
      <c r="A16" t="s">
        <v>361</v>
      </c>
      <c r="B16" t="s">
        <v>373</v>
      </c>
      <c r="C16" t="s">
        <v>14</v>
      </c>
      <c r="E16" t="s">
        <v>334</v>
      </c>
      <c r="F16" t="s">
        <v>367</v>
      </c>
      <c r="G16" t="s">
        <v>21</v>
      </c>
      <c r="H16" t="s">
        <v>441</v>
      </c>
      <c r="I16" t="s">
        <v>335</v>
      </c>
    </row>
    <row r="17" spans="1:9">
      <c r="A17" t="s">
        <v>361</v>
      </c>
      <c r="B17" t="s">
        <v>373</v>
      </c>
      <c r="C17" t="s">
        <v>17</v>
      </c>
      <c r="D17" t="s">
        <v>238</v>
      </c>
      <c r="E17" t="s">
        <v>334</v>
      </c>
      <c r="F17" t="s">
        <v>367</v>
      </c>
      <c r="G17" t="s">
        <v>21</v>
      </c>
      <c r="H17" t="s">
        <v>441</v>
      </c>
      <c r="I17" t="s">
        <v>335</v>
      </c>
    </row>
    <row r="18" spans="1:9">
      <c r="A18" t="s">
        <v>361</v>
      </c>
      <c r="B18" t="s">
        <v>373</v>
      </c>
      <c r="C18" t="s">
        <v>20</v>
      </c>
      <c r="E18" t="s">
        <v>334</v>
      </c>
      <c r="F18" t="s">
        <v>367</v>
      </c>
      <c r="G18" t="s">
        <v>21</v>
      </c>
      <c r="H18" t="s">
        <v>441</v>
      </c>
      <c r="I18" t="s">
        <v>335</v>
      </c>
    </row>
    <row r="19" spans="1:9">
      <c r="A19" t="s">
        <v>361</v>
      </c>
      <c r="B19" t="s">
        <v>371</v>
      </c>
      <c r="C19" t="s">
        <v>4</v>
      </c>
      <c r="D19" t="s">
        <v>336</v>
      </c>
      <c r="E19" t="s">
        <v>336</v>
      </c>
      <c r="F19" t="s">
        <v>367</v>
      </c>
      <c r="G19" t="s">
        <v>21</v>
      </c>
      <c r="H19" t="s">
        <v>441</v>
      </c>
      <c r="I19" t="s">
        <v>330</v>
      </c>
    </row>
    <row r="20" spans="1:9">
      <c r="A20" t="s">
        <v>361</v>
      </c>
      <c r="B20" t="s">
        <v>371</v>
      </c>
      <c r="C20" t="s">
        <v>7</v>
      </c>
      <c r="D20" t="s">
        <v>372</v>
      </c>
      <c r="E20" t="s">
        <v>336</v>
      </c>
      <c r="F20" t="s">
        <v>367</v>
      </c>
      <c r="G20" t="s">
        <v>21</v>
      </c>
      <c r="H20" t="s">
        <v>441</v>
      </c>
      <c r="I20" t="s">
        <v>330</v>
      </c>
    </row>
    <row r="21" spans="1:9">
      <c r="A21" t="s">
        <v>361</v>
      </c>
      <c r="B21" t="s">
        <v>371</v>
      </c>
      <c r="C21" t="s">
        <v>9</v>
      </c>
      <c r="D21">
        <v>20</v>
      </c>
      <c r="E21" t="s">
        <v>336</v>
      </c>
      <c r="F21" t="s">
        <v>367</v>
      </c>
      <c r="G21" t="s">
        <v>21</v>
      </c>
      <c r="H21" t="s">
        <v>441</v>
      </c>
      <c r="I21" t="s">
        <v>330</v>
      </c>
    </row>
    <row r="22" spans="1:9">
      <c r="A22" t="s">
        <v>361</v>
      </c>
      <c r="B22" t="s">
        <v>371</v>
      </c>
      <c r="C22" t="s">
        <v>10</v>
      </c>
      <c r="D22">
        <v>1</v>
      </c>
      <c r="E22" t="s">
        <v>336</v>
      </c>
      <c r="F22" t="s">
        <v>367</v>
      </c>
      <c r="G22" t="s">
        <v>21</v>
      </c>
      <c r="H22" t="s">
        <v>441</v>
      </c>
      <c r="I22" t="s">
        <v>330</v>
      </c>
    </row>
    <row r="23" spans="1:9">
      <c r="A23" t="s">
        <v>361</v>
      </c>
      <c r="B23" t="s">
        <v>371</v>
      </c>
      <c r="C23" t="s">
        <v>12</v>
      </c>
      <c r="D23">
        <v>4</v>
      </c>
      <c r="E23" t="s">
        <v>336</v>
      </c>
      <c r="F23" t="s">
        <v>367</v>
      </c>
      <c r="G23" t="s">
        <v>21</v>
      </c>
      <c r="H23" t="s">
        <v>441</v>
      </c>
      <c r="I23" t="s">
        <v>330</v>
      </c>
    </row>
    <row r="24" spans="1:9">
      <c r="A24" t="s">
        <v>361</v>
      </c>
      <c r="B24" t="s">
        <v>371</v>
      </c>
      <c r="C24" t="s">
        <v>14</v>
      </c>
      <c r="D24" t="s">
        <v>337</v>
      </c>
      <c r="E24" t="s">
        <v>336</v>
      </c>
      <c r="F24" t="s">
        <v>367</v>
      </c>
      <c r="G24" t="s">
        <v>21</v>
      </c>
      <c r="H24" t="s">
        <v>441</v>
      </c>
      <c r="I24" t="s">
        <v>330</v>
      </c>
    </row>
    <row r="25" spans="1:9">
      <c r="A25" t="s">
        <v>361</v>
      </c>
      <c r="B25" t="s">
        <v>371</v>
      </c>
      <c r="C25" t="s">
        <v>17</v>
      </c>
      <c r="D25" t="s">
        <v>18</v>
      </c>
      <c r="E25" t="s">
        <v>336</v>
      </c>
      <c r="F25" t="s">
        <v>367</v>
      </c>
      <c r="G25" t="s">
        <v>21</v>
      </c>
      <c r="H25" t="s">
        <v>441</v>
      </c>
      <c r="I25" t="s">
        <v>330</v>
      </c>
    </row>
    <row r="26" spans="1:9">
      <c r="A26" t="s">
        <v>361</v>
      </c>
      <c r="B26" t="s">
        <v>371</v>
      </c>
      <c r="C26" t="s">
        <v>20</v>
      </c>
      <c r="D26" t="s">
        <v>173</v>
      </c>
      <c r="E26" t="s">
        <v>336</v>
      </c>
      <c r="F26" t="s">
        <v>367</v>
      </c>
      <c r="G26" t="s">
        <v>21</v>
      </c>
      <c r="H26" t="s">
        <v>441</v>
      </c>
      <c r="I26" t="s">
        <v>330</v>
      </c>
    </row>
    <row r="27" spans="1:9">
      <c r="A27" t="s">
        <v>361</v>
      </c>
      <c r="B27" t="s">
        <v>370</v>
      </c>
      <c r="C27" t="s">
        <v>4</v>
      </c>
      <c r="D27" t="s">
        <v>341</v>
      </c>
      <c r="E27" t="s">
        <v>341</v>
      </c>
      <c r="F27" t="s">
        <v>367</v>
      </c>
      <c r="G27" t="s">
        <v>21</v>
      </c>
      <c r="H27" t="s">
        <v>441</v>
      </c>
      <c r="I27" t="s">
        <v>331</v>
      </c>
    </row>
    <row r="28" spans="1:9">
      <c r="A28" t="s">
        <v>361</v>
      </c>
      <c r="B28" t="s">
        <v>370</v>
      </c>
      <c r="C28" t="s">
        <v>7</v>
      </c>
      <c r="D28" t="s">
        <v>331</v>
      </c>
      <c r="E28" t="s">
        <v>341</v>
      </c>
      <c r="F28" t="s">
        <v>367</v>
      </c>
      <c r="G28" t="s">
        <v>21</v>
      </c>
      <c r="H28" t="s">
        <v>441</v>
      </c>
      <c r="I28" t="s">
        <v>331</v>
      </c>
    </row>
    <row r="29" spans="1:9">
      <c r="A29" t="s">
        <v>361</v>
      </c>
      <c r="B29" t="s">
        <v>370</v>
      </c>
      <c r="C29" t="s">
        <v>9</v>
      </c>
      <c r="D29">
        <v>20</v>
      </c>
      <c r="E29" t="s">
        <v>341</v>
      </c>
      <c r="F29" t="s">
        <v>367</v>
      </c>
      <c r="G29" t="s">
        <v>21</v>
      </c>
      <c r="H29" t="s">
        <v>441</v>
      </c>
      <c r="I29" t="s">
        <v>331</v>
      </c>
    </row>
    <row r="30" spans="1:9">
      <c r="A30" t="s">
        <v>361</v>
      </c>
      <c r="B30" t="s">
        <v>370</v>
      </c>
      <c r="C30" t="s">
        <v>10</v>
      </c>
      <c r="D30">
        <v>2</v>
      </c>
      <c r="E30" t="s">
        <v>341</v>
      </c>
      <c r="F30" t="s">
        <v>367</v>
      </c>
      <c r="G30" t="s">
        <v>21</v>
      </c>
      <c r="H30" t="s">
        <v>441</v>
      </c>
      <c r="I30" t="s">
        <v>331</v>
      </c>
    </row>
    <row r="31" spans="1:9">
      <c r="A31" t="s">
        <v>361</v>
      </c>
      <c r="B31" t="s">
        <v>370</v>
      </c>
      <c r="C31" t="s">
        <v>12</v>
      </c>
      <c r="D31">
        <v>4</v>
      </c>
      <c r="E31" t="s">
        <v>341</v>
      </c>
      <c r="F31" t="s">
        <v>367</v>
      </c>
      <c r="G31" t="s">
        <v>21</v>
      </c>
      <c r="H31" t="s">
        <v>441</v>
      </c>
      <c r="I31" t="s">
        <v>331</v>
      </c>
    </row>
    <row r="32" spans="1:9">
      <c r="A32" t="s">
        <v>361</v>
      </c>
      <c r="B32" t="s">
        <v>370</v>
      </c>
      <c r="C32" t="s">
        <v>14</v>
      </c>
      <c r="D32" t="s">
        <v>342</v>
      </c>
      <c r="E32" t="s">
        <v>341</v>
      </c>
      <c r="F32" t="s">
        <v>367</v>
      </c>
      <c r="G32" t="s">
        <v>21</v>
      </c>
      <c r="H32" t="s">
        <v>441</v>
      </c>
      <c r="I32" t="s">
        <v>331</v>
      </c>
    </row>
    <row r="33" spans="1:9">
      <c r="A33" t="s">
        <v>361</v>
      </c>
      <c r="B33" t="s">
        <v>370</v>
      </c>
      <c r="C33" t="s">
        <v>17</v>
      </c>
      <c r="D33" t="s">
        <v>18</v>
      </c>
      <c r="E33" t="s">
        <v>341</v>
      </c>
      <c r="F33" t="s">
        <v>367</v>
      </c>
      <c r="G33" t="s">
        <v>21</v>
      </c>
      <c r="H33" t="s">
        <v>441</v>
      </c>
      <c r="I33" t="s">
        <v>331</v>
      </c>
    </row>
    <row r="34" spans="1:9">
      <c r="A34" t="s">
        <v>361</v>
      </c>
      <c r="B34" t="s">
        <v>370</v>
      </c>
      <c r="C34" t="s">
        <v>20</v>
      </c>
      <c r="D34" t="s">
        <v>282</v>
      </c>
      <c r="E34" t="s">
        <v>341</v>
      </c>
      <c r="F34" t="s">
        <v>367</v>
      </c>
      <c r="G34" t="s">
        <v>21</v>
      </c>
      <c r="H34" t="s">
        <v>441</v>
      </c>
      <c r="I34" t="s">
        <v>331</v>
      </c>
    </row>
    <row r="35" spans="1:9">
      <c r="A35" t="s">
        <v>361</v>
      </c>
      <c r="B35" t="s">
        <v>368</v>
      </c>
      <c r="C35" t="s">
        <v>4</v>
      </c>
      <c r="D35" t="s">
        <v>348</v>
      </c>
      <c r="E35" t="s">
        <v>348</v>
      </c>
      <c r="F35" t="s">
        <v>367</v>
      </c>
      <c r="G35" t="s">
        <v>21</v>
      </c>
      <c r="H35" t="s">
        <v>441</v>
      </c>
      <c r="I35" t="s">
        <v>349</v>
      </c>
    </row>
    <row r="36" spans="1:9">
      <c r="A36" t="s">
        <v>361</v>
      </c>
      <c r="B36" t="s">
        <v>368</v>
      </c>
      <c r="C36" t="s">
        <v>7</v>
      </c>
      <c r="D36" t="s">
        <v>349</v>
      </c>
      <c r="E36" t="s">
        <v>348</v>
      </c>
      <c r="F36" t="s">
        <v>367</v>
      </c>
      <c r="G36" t="s">
        <v>21</v>
      </c>
      <c r="H36" t="s">
        <v>441</v>
      </c>
      <c r="I36" t="s">
        <v>349</v>
      </c>
    </row>
    <row r="37" spans="1:9">
      <c r="A37" t="s">
        <v>361</v>
      </c>
      <c r="B37" t="s">
        <v>368</v>
      </c>
      <c r="C37" t="s">
        <v>9</v>
      </c>
      <c r="D37">
        <v>20</v>
      </c>
      <c r="E37" t="s">
        <v>348</v>
      </c>
      <c r="F37" t="s">
        <v>367</v>
      </c>
      <c r="G37" t="s">
        <v>21</v>
      </c>
      <c r="H37" t="s">
        <v>441</v>
      </c>
      <c r="I37" t="s">
        <v>349</v>
      </c>
    </row>
    <row r="38" spans="1:9">
      <c r="A38" t="s">
        <v>361</v>
      </c>
      <c r="B38" t="s">
        <v>368</v>
      </c>
      <c r="C38" t="s">
        <v>10</v>
      </c>
      <c r="D38">
        <v>1</v>
      </c>
      <c r="E38" t="s">
        <v>348</v>
      </c>
      <c r="F38" t="s">
        <v>367</v>
      </c>
      <c r="G38" t="s">
        <v>21</v>
      </c>
      <c r="H38" t="s">
        <v>441</v>
      </c>
      <c r="I38" t="s">
        <v>349</v>
      </c>
    </row>
    <row r="39" spans="1:9">
      <c r="A39" t="s">
        <v>361</v>
      </c>
      <c r="B39" t="s">
        <v>368</v>
      </c>
      <c r="C39" t="s">
        <v>12</v>
      </c>
      <c r="D39">
        <v>6</v>
      </c>
      <c r="E39" t="s">
        <v>348</v>
      </c>
      <c r="F39" t="s">
        <v>367</v>
      </c>
      <c r="G39" t="s">
        <v>21</v>
      </c>
      <c r="H39" t="s">
        <v>441</v>
      </c>
      <c r="I39" t="s">
        <v>349</v>
      </c>
    </row>
    <row r="40" spans="1:9">
      <c r="A40" t="s">
        <v>361</v>
      </c>
      <c r="B40" t="s">
        <v>368</v>
      </c>
      <c r="C40" t="s">
        <v>14</v>
      </c>
      <c r="D40" t="s">
        <v>350</v>
      </c>
      <c r="E40" t="s">
        <v>348</v>
      </c>
      <c r="F40" t="s">
        <v>367</v>
      </c>
      <c r="G40" t="s">
        <v>21</v>
      </c>
      <c r="H40" t="s">
        <v>441</v>
      </c>
      <c r="I40" t="s">
        <v>349</v>
      </c>
    </row>
    <row r="41" spans="1:9">
      <c r="A41" t="s">
        <v>361</v>
      </c>
      <c r="B41" t="s">
        <v>368</v>
      </c>
      <c r="C41" t="s">
        <v>17</v>
      </c>
      <c r="D41" t="s">
        <v>171</v>
      </c>
      <c r="E41" t="s">
        <v>348</v>
      </c>
      <c r="F41" t="s">
        <v>367</v>
      </c>
      <c r="G41" t="s">
        <v>21</v>
      </c>
      <c r="H41" t="s">
        <v>441</v>
      </c>
      <c r="I41" t="s">
        <v>349</v>
      </c>
    </row>
    <row r="42" spans="1:9">
      <c r="A42" t="s">
        <v>361</v>
      </c>
      <c r="B42" t="s">
        <v>368</v>
      </c>
      <c r="C42" t="s">
        <v>20</v>
      </c>
      <c r="D42" t="s">
        <v>277</v>
      </c>
      <c r="E42" t="s">
        <v>348</v>
      </c>
      <c r="F42" t="s">
        <v>367</v>
      </c>
      <c r="G42" t="s">
        <v>21</v>
      </c>
      <c r="H42" t="s">
        <v>441</v>
      </c>
      <c r="I42" t="s">
        <v>349</v>
      </c>
    </row>
    <row r="43" spans="1:9">
      <c r="A43" t="s">
        <v>361</v>
      </c>
      <c r="B43" t="s">
        <v>369</v>
      </c>
      <c r="C43" t="s">
        <v>4</v>
      </c>
      <c r="D43" t="s">
        <v>346</v>
      </c>
      <c r="E43" t="s">
        <v>346</v>
      </c>
      <c r="F43" t="s">
        <v>367</v>
      </c>
      <c r="G43" t="s">
        <v>21</v>
      </c>
      <c r="H43" t="s">
        <v>441</v>
      </c>
      <c r="I43" t="s">
        <v>347</v>
      </c>
    </row>
    <row r="44" spans="1:9">
      <c r="A44" t="s">
        <v>361</v>
      </c>
      <c r="B44" t="s">
        <v>369</v>
      </c>
      <c r="C44" t="s">
        <v>7</v>
      </c>
      <c r="D44" t="s">
        <v>347</v>
      </c>
      <c r="E44" t="s">
        <v>346</v>
      </c>
      <c r="F44" t="s">
        <v>367</v>
      </c>
      <c r="G44" t="s">
        <v>21</v>
      </c>
      <c r="H44" t="s">
        <v>441</v>
      </c>
      <c r="I44" t="s">
        <v>347</v>
      </c>
    </row>
    <row r="45" spans="1:9">
      <c r="A45" t="s">
        <v>361</v>
      </c>
      <c r="B45" t="s">
        <v>369</v>
      </c>
      <c r="C45" t="s">
        <v>9</v>
      </c>
      <c r="D45">
        <v>40</v>
      </c>
      <c r="E45" t="s">
        <v>346</v>
      </c>
      <c r="F45" t="s">
        <v>367</v>
      </c>
      <c r="G45" t="s">
        <v>21</v>
      </c>
      <c r="H45" t="s">
        <v>441</v>
      </c>
      <c r="I45" t="s">
        <v>347</v>
      </c>
    </row>
    <row r="46" spans="1:9">
      <c r="A46" t="s">
        <v>361</v>
      </c>
      <c r="B46" t="s">
        <v>369</v>
      </c>
      <c r="C46" t="s">
        <v>10</v>
      </c>
      <c r="D46" t="s">
        <v>230</v>
      </c>
      <c r="E46" t="s">
        <v>346</v>
      </c>
      <c r="F46" t="s">
        <v>367</v>
      </c>
      <c r="G46" t="s">
        <v>21</v>
      </c>
      <c r="H46" t="s">
        <v>441</v>
      </c>
      <c r="I46" t="s">
        <v>347</v>
      </c>
    </row>
    <row r="47" spans="1:9">
      <c r="A47" t="s">
        <v>361</v>
      </c>
      <c r="B47" t="s">
        <v>369</v>
      </c>
      <c r="C47" t="s">
        <v>12</v>
      </c>
      <c r="D47">
        <v>6</v>
      </c>
      <c r="E47" t="s">
        <v>346</v>
      </c>
      <c r="F47" t="s">
        <v>367</v>
      </c>
      <c r="G47" t="s">
        <v>21</v>
      </c>
      <c r="H47" t="s">
        <v>441</v>
      </c>
      <c r="I47" t="s">
        <v>347</v>
      </c>
    </row>
    <row r="48" spans="1:9">
      <c r="A48" t="s">
        <v>361</v>
      </c>
      <c r="B48" t="s">
        <v>369</v>
      </c>
      <c r="C48" t="s">
        <v>14</v>
      </c>
      <c r="E48" t="s">
        <v>346</v>
      </c>
      <c r="F48" t="s">
        <v>367</v>
      </c>
      <c r="G48" t="s">
        <v>21</v>
      </c>
      <c r="H48" t="s">
        <v>441</v>
      </c>
      <c r="I48" t="s">
        <v>347</v>
      </c>
    </row>
    <row r="49" spans="1:9">
      <c r="A49" t="s">
        <v>361</v>
      </c>
      <c r="B49" t="s">
        <v>369</v>
      </c>
      <c r="C49" t="s">
        <v>17</v>
      </c>
      <c r="D49" t="s">
        <v>240</v>
      </c>
      <c r="E49" t="s">
        <v>346</v>
      </c>
      <c r="F49" t="s">
        <v>367</v>
      </c>
      <c r="G49" t="s">
        <v>21</v>
      </c>
      <c r="H49" t="s">
        <v>441</v>
      </c>
      <c r="I49" t="s">
        <v>347</v>
      </c>
    </row>
    <row r="50" spans="1:9">
      <c r="A50" t="s">
        <v>361</v>
      </c>
      <c r="B50" t="s">
        <v>369</v>
      </c>
      <c r="C50" t="s">
        <v>20</v>
      </c>
      <c r="D50" t="s">
        <v>173</v>
      </c>
      <c r="E50" t="s">
        <v>346</v>
      </c>
      <c r="F50" t="s">
        <v>367</v>
      </c>
      <c r="G50" t="s">
        <v>21</v>
      </c>
      <c r="H50" t="s">
        <v>441</v>
      </c>
      <c r="I50" t="s">
        <v>347</v>
      </c>
    </row>
    <row r="51" spans="1:9">
      <c r="A51" t="s">
        <v>356</v>
      </c>
      <c r="B51" t="s">
        <v>442</v>
      </c>
      <c r="C51" t="s">
        <v>4</v>
      </c>
      <c r="D51" t="s">
        <v>99</v>
      </c>
      <c r="E51" t="s">
        <v>99</v>
      </c>
      <c r="F51" t="s">
        <v>367</v>
      </c>
      <c r="G51" t="s">
        <v>21</v>
      </c>
      <c r="H51" t="s">
        <v>441</v>
      </c>
      <c r="I51" t="s">
        <v>443</v>
      </c>
    </row>
    <row r="52" spans="1:9">
      <c r="A52" t="s">
        <v>356</v>
      </c>
      <c r="B52" t="s">
        <v>442</v>
      </c>
      <c r="C52" t="s">
        <v>7</v>
      </c>
      <c r="D52" t="s">
        <v>100</v>
      </c>
      <c r="E52" t="s">
        <v>99</v>
      </c>
      <c r="F52" t="s">
        <v>367</v>
      </c>
      <c r="G52" t="s">
        <v>21</v>
      </c>
      <c r="H52" t="s">
        <v>441</v>
      </c>
      <c r="I52" t="s">
        <v>443</v>
      </c>
    </row>
    <row r="53" spans="1:9">
      <c r="A53" t="s">
        <v>356</v>
      </c>
      <c r="B53" t="s">
        <v>442</v>
      </c>
      <c r="C53" t="s">
        <v>9</v>
      </c>
      <c r="E53" t="s">
        <v>99</v>
      </c>
      <c r="F53" t="s">
        <v>367</v>
      </c>
      <c r="G53" t="s">
        <v>21</v>
      </c>
      <c r="H53" t="s">
        <v>441</v>
      </c>
      <c r="I53" t="s">
        <v>443</v>
      </c>
    </row>
    <row r="54" spans="1:9">
      <c r="A54" t="s">
        <v>356</v>
      </c>
      <c r="B54" t="s">
        <v>442</v>
      </c>
      <c r="C54" t="s">
        <v>10</v>
      </c>
      <c r="E54" t="s">
        <v>99</v>
      </c>
      <c r="F54" t="s">
        <v>367</v>
      </c>
      <c r="G54" t="s">
        <v>21</v>
      </c>
      <c r="H54" t="s">
        <v>441</v>
      </c>
      <c r="I54" t="s">
        <v>443</v>
      </c>
    </row>
    <row r="55" spans="1:9">
      <c r="A55" t="s">
        <v>356</v>
      </c>
      <c r="B55" t="s">
        <v>442</v>
      </c>
      <c r="C55" t="s">
        <v>12</v>
      </c>
      <c r="E55" t="s">
        <v>99</v>
      </c>
      <c r="F55" t="s">
        <v>367</v>
      </c>
      <c r="G55" t="s">
        <v>21</v>
      </c>
      <c r="H55" t="s">
        <v>441</v>
      </c>
      <c r="I55" t="s">
        <v>443</v>
      </c>
    </row>
    <row r="56" spans="1:9">
      <c r="A56" t="s">
        <v>356</v>
      </c>
      <c r="B56" t="s">
        <v>442</v>
      </c>
      <c r="C56" t="s">
        <v>14</v>
      </c>
      <c r="E56" t="s">
        <v>99</v>
      </c>
      <c r="F56" t="s">
        <v>367</v>
      </c>
      <c r="G56" t="s">
        <v>21</v>
      </c>
      <c r="H56" t="s">
        <v>441</v>
      </c>
      <c r="I56" t="s">
        <v>443</v>
      </c>
    </row>
    <row r="57" spans="1:9">
      <c r="A57" t="s">
        <v>356</v>
      </c>
      <c r="B57" t="s">
        <v>442</v>
      </c>
      <c r="C57" t="s">
        <v>17</v>
      </c>
      <c r="E57" t="s">
        <v>99</v>
      </c>
      <c r="F57" t="s">
        <v>367</v>
      </c>
      <c r="G57" t="s">
        <v>21</v>
      </c>
      <c r="H57" t="s">
        <v>441</v>
      </c>
      <c r="I57" t="s">
        <v>443</v>
      </c>
    </row>
    <row r="58" spans="1:9">
      <c r="A58" t="s">
        <v>356</v>
      </c>
      <c r="B58" t="s">
        <v>442</v>
      </c>
      <c r="C58" t="s">
        <v>20</v>
      </c>
      <c r="E58" t="s">
        <v>99</v>
      </c>
      <c r="F58" t="s">
        <v>367</v>
      </c>
      <c r="G58" t="s">
        <v>21</v>
      </c>
      <c r="H58" t="s">
        <v>441</v>
      </c>
      <c r="I58" t="s">
        <v>443</v>
      </c>
    </row>
    <row r="59" spans="1:9">
      <c r="A59" t="s">
        <v>356</v>
      </c>
      <c r="B59" t="s">
        <v>444</v>
      </c>
      <c r="C59" t="s">
        <v>4</v>
      </c>
      <c r="D59" t="s">
        <v>125</v>
      </c>
      <c r="E59" t="s">
        <v>125</v>
      </c>
      <c r="F59" t="s">
        <v>367</v>
      </c>
      <c r="G59" t="s">
        <v>21</v>
      </c>
      <c r="H59" t="s">
        <v>441</v>
      </c>
      <c r="I59" t="s">
        <v>126</v>
      </c>
    </row>
    <row r="60" spans="1:9">
      <c r="A60" t="s">
        <v>356</v>
      </c>
      <c r="B60" t="s">
        <v>444</v>
      </c>
      <c r="C60" t="s">
        <v>7</v>
      </c>
      <c r="D60" t="s">
        <v>126</v>
      </c>
      <c r="E60" t="s">
        <v>125</v>
      </c>
      <c r="F60" t="s">
        <v>367</v>
      </c>
      <c r="G60" t="s">
        <v>21</v>
      </c>
      <c r="H60" t="s">
        <v>441</v>
      </c>
      <c r="I60" t="s">
        <v>126</v>
      </c>
    </row>
    <row r="61" spans="1:9">
      <c r="A61" t="s">
        <v>356</v>
      </c>
      <c r="B61" t="s">
        <v>444</v>
      </c>
      <c r="C61" t="s">
        <v>9</v>
      </c>
      <c r="E61" t="s">
        <v>125</v>
      </c>
      <c r="F61" t="s">
        <v>367</v>
      </c>
      <c r="G61" t="s">
        <v>21</v>
      </c>
      <c r="H61" t="s">
        <v>441</v>
      </c>
      <c r="I61" t="s">
        <v>126</v>
      </c>
    </row>
    <row r="62" spans="1:9">
      <c r="A62" t="s">
        <v>356</v>
      </c>
      <c r="B62" t="s">
        <v>444</v>
      </c>
      <c r="C62" t="s">
        <v>10</v>
      </c>
      <c r="E62" t="s">
        <v>125</v>
      </c>
      <c r="F62" t="s">
        <v>367</v>
      </c>
      <c r="G62" t="s">
        <v>21</v>
      </c>
      <c r="H62" t="s">
        <v>441</v>
      </c>
      <c r="I62" t="s">
        <v>126</v>
      </c>
    </row>
    <row r="63" spans="1:9">
      <c r="A63" t="s">
        <v>356</v>
      </c>
      <c r="B63" t="s">
        <v>444</v>
      </c>
      <c r="C63" t="s">
        <v>12</v>
      </c>
      <c r="E63" t="s">
        <v>125</v>
      </c>
      <c r="F63" t="s">
        <v>367</v>
      </c>
      <c r="G63" t="s">
        <v>21</v>
      </c>
      <c r="H63" t="s">
        <v>441</v>
      </c>
      <c r="I63" t="s">
        <v>126</v>
      </c>
    </row>
    <row r="64" spans="1:9">
      <c r="A64" t="s">
        <v>356</v>
      </c>
      <c r="B64" t="s">
        <v>444</v>
      </c>
      <c r="C64" t="s">
        <v>14</v>
      </c>
      <c r="E64" t="s">
        <v>125</v>
      </c>
      <c r="F64" t="s">
        <v>367</v>
      </c>
      <c r="G64" t="s">
        <v>21</v>
      </c>
      <c r="H64" t="s">
        <v>441</v>
      </c>
      <c r="I64" t="s">
        <v>126</v>
      </c>
    </row>
    <row r="65" spans="1:9">
      <c r="A65" t="s">
        <v>356</v>
      </c>
      <c r="B65" t="s">
        <v>444</v>
      </c>
      <c r="C65" t="s">
        <v>17</v>
      </c>
      <c r="E65" t="s">
        <v>125</v>
      </c>
      <c r="F65" t="s">
        <v>367</v>
      </c>
      <c r="G65" t="s">
        <v>21</v>
      </c>
      <c r="H65" t="s">
        <v>441</v>
      </c>
      <c r="I65" t="s">
        <v>126</v>
      </c>
    </row>
    <row r="66" spans="1:9">
      <c r="A66" t="s">
        <v>356</v>
      </c>
      <c r="B66" t="s">
        <v>444</v>
      </c>
      <c r="C66" t="s">
        <v>20</v>
      </c>
      <c r="E66" t="s">
        <v>125</v>
      </c>
      <c r="F66" t="s">
        <v>367</v>
      </c>
      <c r="G66" t="s">
        <v>21</v>
      </c>
      <c r="H66" t="s">
        <v>441</v>
      </c>
      <c r="I66" t="s">
        <v>126</v>
      </c>
    </row>
    <row r="67" spans="1:9">
      <c r="A67" t="s">
        <v>356</v>
      </c>
      <c r="B67" t="s">
        <v>445</v>
      </c>
      <c r="C67" t="s">
        <v>4</v>
      </c>
      <c r="D67" t="s">
        <v>127</v>
      </c>
      <c r="E67" t="s">
        <v>127</v>
      </c>
      <c r="F67" t="s">
        <v>367</v>
      </c>
      <c r="G67" t="s">
        <v>21</v>
      </c>
      <c r="H67" t="s">
        <v>441</v>
      </c>
      <c r="I67" t="s">
        <v>128</v>
      </c>
    </row>
    <row r="68" spans="1:9">
      <c r="A68" t="s">
        <v>356</v>
      </c>
      <c r="B68" t="s">
        <v>445</v>
      </c>
      <c r="C68" t="s">
        <v>7</v>
      </c>
      <c r="D68" t="s">
        <v>128</v>
      </c>
      <c r="E68" t="s">
        <v>127</v>
      </c>
      <c r="F68" t="s">
        <v>367</v>
      </c>
      <c r="G68" t="s">
        <v>21</v>
      </c>
      <c r="H68" t="s">
        <v>441</v>
      </c>
      <c r="I68" t="s">
        <v>128</v>
      </c>
    </row>
    <row r="69" spans="1:9">
      <c r="A69" t="s">
        <v>356</v>
      </c>
      <c r="B69" t="s">
        <v>445</v>
      </c>
      <c r="C69" t="s">
        <v>9</v>
      </c>
      <c r="E69" t="s">
        <v>127</v>
      </c>
      <c r="F69" t="s">
        <v>367</v>
      </c>
      <c r="G69" t="s">
        <v>21</v>
      </c>
      <c r="H69" t="s">
        <v>441</v>
      </c>
      <c r="I69" t="s">
        <v>128</v>
      </c>
    </row>
    <row r="70" spans="1:9">
      <c r="A70" t="s">
        <v>356</v>
      </c>
      <c r="B70" t="s">
        <v>445</v>
      </c>
      <c r="C70" t="s">
        <v>10</v>
      </c>
      <c r="E70" t="s">
        <v>127</v>
      </c>
      <c r="F70" t="s">
        <v>367</v>
      </c>
      <c r="G70" t="s">
        <v>21</v>
      </c>
      <c r="H70" t="s">
        <v>441</v>
      </c>
      <c r="I70" t="s">
        <v>128</v>
      </c>
    </row>
    <row r="71" spans="1:9">
      <c r="A71" t="s">
        <v>356</v>
      </c>
      <c r="B71" t="s">
        <v>445</v>
      </c>
      <c r="C71" t="s">
        <v>12</v>
      </c>
      <c r="E71" t="s">
        <v>127</v>
      </c>
      <c r="F71" t="s">
        <v>367</v>
      </c>
      <c r="G71" t="s">
        <v>21</v>
      </c>
      <c r="H71" t="s">
        <v>441</v>
      </c>
      <c r="I71" t="s">
        <v>128</v>
      </c>
    </row>
    <row r="72" spans="1:9">
      <c r="A72" t="s">
        <v>356</v>
      </c>
      <c r="B72" t="s">
        <v>445</v>
      </c>
      <c r="C72" t="s">
        <v>14</v>
      </c>
      <c r="E72" t="s">
        <v>127</v>
      </c>
      <c r="F72" t="s">
        <v>367</v>
      </c>
      <c r="G72" t="s">
        <v>21</v>
      </c>
      <c r="H72" t="s">
        <v>441</v>
      </c>
      <c r="I72" t="s">
        <v>128</v>
      </c>
    </row>
    <row r="73" spans="1:9">
      <c r="A73" t="s">
        <v>356</v>
      </c>
      <c r="B73" t="s">
        <v>445</v>
      </c>
      <c r="C73" t="s">
        <v>17</v>
      </c>
      <c r="E73" t="s">
        <v>127</v>
      </c>
      <c r="F73" t="s">
        <v>367</v>
      </c>
      <c r="G73" t="s">
        <v>21</v>
      </c>
      <c r="H73" t="s">
        <v>441</v>
      </c>
      <c r="I73" t="s">
        <v>128</v>
      </c>
    </row>
    <row r="74" spans="1:9">
      <c r="A74" t="s">
        <v>356</v>
      </c>
      <c r="B74" t="s">
        <v>445</v>
      </c>
      <c r="C74" t="s">
        <v>20</v>
      </c>
      <c r="E74" t="s">
        <v>127</v>
      </c>
      <c r="F74" t="s">
        <v>367</v>
      </c>
      <c r="G74" t="s">
        <v>21</v>
      </c>
      <c r="H74" t="s">
        <v>441</v>
      </c>
      <c r="I74" t="s">
        <v>128</v>
      </c>
    </row>
    <row r="75" spans="1:9">
      <c r="A75" t="s">
        <v>356</v>
      </c>
      <c r="B75" t="s">
        <v>446</v>
      </c>
      <c r="C75" t="s">
        <v>4</v>
      </c>
      <c r="D75" t="s">
        <v>129</v>
      </c>
      <c r="E75" t="s">
        <v>129</v>
      </c>
      <c r="F75" t="s">
        <v>367</v>
      </c>
      <c r="G75" t="s">
        <v>21</v>
      </c>
      <c r="H75" t="s">
        <v>441</v>
      </c>
      <c r="I75" t="s">
        <v>130</v>
      </c>
    </row>
    <row r="76" spans="1:9">
      <c r="A76" t="s">
        <v>356</v>
      </c>
      <c r="B76" t="s">
        <v>446</v>
      </c>
      <c r="C76" t="s">
        <v>7</v>
      </c>
      <c r="D76" t="s">
        <v>130</v>
      </c>
      <c r="E76" t="s">
        <v>129</v>
      </c>
      <c r="F76" t="s">
        <v>367</v>
      </c>
      <c r="G76" t="s">
        <v>21</v>
      </c>
      <c r="H76" t="s">
        <v>441</v>
      </c>
      <c r="I76" t="s">
        <v>130</v>
      </c>
    </row>
    <row r="77" spans="1:9">
      <c r="A77" t="s">
        <v>356</v>
      </c>
      <c r="B77" t="s">
        <v>446</v>
      </c>
      <c r="C77" t="s">
        <v>9</v>
      </c>
      <c r="E77" t="s">
        <v>129</v>
      </c>
      <c r="F77" t="s">
        <v>367</v>
      </c>
      <c r="G77" t="s">
        <v>21</v>
      </c>
      <c r="H77" t="s">
        <v>441</v>
      </c>
      <c r="I77" t="s">
        <v>130</v>
      </c>
    </row>
    <row r="78" spans="1:9">
      <c r="A78" t="s">
        <v>356</v>
      </c>
      <c r="B78" t="s">
        <v>446</v>
      </c>
      <c r="C78" t="s">
        <v>10</v>
      </c>
      <c r="E78" t="s">
        <v>129</v>
      </c>
      <c r="F78" t="s">
        <v>367</v>
      </c>
      <c r="G78" t="s">
        <v>21</v>
      </c>
      <c r="H78" t="s">
        <v>441</v>
      </c>
      <c r="I78" t="s">
        <v>130</v>
      </c>
    </row>
    <row r="79" spans="1:9">
      <c r="A79" t="s">
        <v>356</v>
      </c>
      <c r="B79" t="s">
        <v>446</v>
      </c>
      <c r="C79" t="s">
        <v>12</v>
      </c>
      <c r="E79" t="s">
        <v>129</v>
      </c>
      <c r="F79" t="s">
        <v>367</v>
      </c>
      <c r="G79" t="s">
        <v>21</v>
      </c>
      <c r="H79" t="s">
        <v>441</v>
      </c>
      <c r="I79" t="s">
        <v>130</v>
      </c>
    </row>
    <row r="80" spans="1:9">
      <c r="A80" t="s">
        <v>356</v>
      </c>
      <c r="B80" t="s">
        <v>446</v>
      </c>
      <c r="C80" t="s">
        <v>14</v>
      </c>
      <c r="E80" t="s">
        <v>129</v>
      </c>
      <c r="F80" t="s">
        <v>367</v>
      </c>
      <c r="G80" t="s">
        <v>21</v>
      </c>
      <c r="H80" t="s">
        <v>441</v>
      </c>
      <c r="I80" t="s">
        <v>130</v>
      </c>
    </row>
    <row r="81" spans="1:9">
      <c r="A81" t="s">
        <v>356</v>
      </c>
      <c r="B81" t="s">
        <v>446</v>
      </c>
      <c r="C81" t="s">
        <v>17</v>
      </c>
      <c r="E81" t="s">
        <v>129</v>
      </c>
      <c r="F81" t="s">
        <v>367</v>
      </c>
      <c r="G81" t="s">
        <v>21</v>
      </c>
      <c r="H81" t="s">
        <v>441</v>
      </c>
      <c r="I81" t="s">
        <v>130</v>
      </c>
    </row>
    <row r="82" spans="1:9">
      <c r="A82" t="s">
        <v>356</v>
      </c>
      <c r="B82" t="s">
        <v>446</v>
      </c>
      <c r="C82" t="s">
        <v>20</v>
      </c>
      <c r="E82" t="s">
        <v>129</v>
      </c>
      <c r="F82" t="s">
        <v>367</v>
      </c>
      <c r="G82" t="s">
        <v>21</v>
      </c>
      <c r="H82" t="s">
        <v>441</v>
      </c>
      <c r="I82" t="s">
        <v>130</v>
      </c>
    </row>
    <row r="83" spans="1:9">
      <c r="A83" t="s">
        <v>356</v>
      </c>
      <c r="B83" t="s">
        <v>447</v>
      </c>
      <c r="C83" t="s">
        <v>4</v>
      </c>
      <c r="D83" t="s">
        <v>131</v>
      </c>
      <c r="E83" t="s">
        <v>131</v>
      </c>
      <c r="F83" t="s">
        <v>367</v>
      </c>
      <c r="G83" t="s">
        <v>21</v>
      </c>
      <c r="H83" t="s">
        <v>441</v>
      </c>
      <c r="I83" t="s">
        <v>132</v>
      </c>
    </row>
    <row r="84" spans="1:9">
      <c r="A84" t="s">
        <v>356</v>
      </c>
      <c r="B84" t="s">
        <v>447</v>
      </c>
      <c r="C84" t="s">
        <v>7</v>
      </c>
      <c r="D84" t="s">
        <v>132</v>
      </c>
      <c r="E84" t="s">
        <v>131</v>
      </c>
      <c r="F84" t="s">
        <v>367</v>
      </c>
      <c r="G84" t="s">
        <v>21</v>
      </c>
      <c r="H84" t="s">
        <v>441</v>
      </c>
      <c r="I84" t="s">
        <v>132</v>
      </c>
    </row>
    <row r="85" spans="1:9">
      <c r="A85" t="s">
        <v>356</v>
      </c>
      <c r="B85" t="s">
        <v>447</v>
      </c>
      <c r="C85" t="s">
        <v>9</v>
      </c>
      <c r="E85" t="s">
        <v>131</v>
      </c>
      <c r="F85" t="s">
        <v>367</v>
      </c>
      <c r="G85" t="s">
        <v>21</v>
      </c>
      <c r="H85" t="s">
        <v>441</v>
      </c>
      <c r="I85" t="s">
        <v>132</v>
      </c>
    </row>
    <row r="86" spans="1:9">
      <c r="A86" t="s">
        <v>356</v>
      </c>
      <c r="B86" t="s">
        <v>447</v>
      </c>
      <c r="C86" t="s">
        <v>10</v>
      </c>
      <c r="E86" t="s">
        <v>131</v>
      </c>
      <c r="F86" t="s">
        <v>367</v>
      </c>
      <c r="G86" t="s">
        <v>21</v>
      </c>
      <c r="H86" t="s">
        <v>441</v>
      </c>
      <c r="I86" t="s">
        <v>132</v>
      </c>
    </row>
    <row r="87" spans="1:9">
      <c r="A87" t="s">
        <v>356</v>
      </c>
      <c r="B87" t="s">
        <v>447</v>
      </c>
      <c r="C87" t="s">
        <v>12</v>
      </c>
      <c r="E87" t="s">
        <v>131</v>
      </c>
      <c r="F87" t="s">
        <v>367</v>
      </c>
      <c r="G87" t="s">
        <v>21</v>
      </c>
      <c r="H87" t="s">
        <v>441</v>
      </c>
      <c r="I87" t="s">
        <v>132</v>
      </c>
    </row>
    <row r="88" spans="1:9">
      <c r="A88" t="s">
        <v>356</v>
      </c>
      <c r="B88" t="s">
        <v>447</v>
      </c>
      <c r="C88" t="s">
        <v>14</v>
      </c>
      <c r="E88" t="s">
        <v>131</v>
      </c>
      <c r="F88" t="s">
        <v>367</v>
      </c>
      <c r="G88" t="s">
        <v>21</v>
      </c>
      <c r="H88" t="s">
        <v>441</v>
      </c>
      <c r="I88" t="s">
        <v>132</v>
      </c>
    </row>
    <row r="89" spans="1:9">
      <c r="A89" t="s">
        <v>356</v>
      </c>
      <c r="B89" t="s">
        <v>447</v>
      </c>
      <c r="C89" t="s">
        <v>17</v>
      </c>
      <c r="E89" t="s">
        <v>131</v>
      </c>
      <c r="F89" t="s">
        <v>367</v>
      </c>
      <c r="G89" t="s">
        <v>21</v>
      </c>
      <c r="H89" t="s">
        <v>441</v>
      </c>
      <c r="I89" t="s">
        <v>132</v>
      </c>
    </row>
    <row r="90" spans="1:9">
      <c r="A90" t="s">
        <v>356</v>
      </c>
      <c r="B90" t="s">
        <v>447</v>
      </c>
      <c r="C90" t="s">
        <v>20</v>
      </c>
      <c r="E90" t="s">
        <v>131</v>
      </c>
      <c r="F90" t="s">
        <v>367</v>
      </c>
      <c r="G90" t="s">
        <v>21</v>
      </c>
      <c r="H90" t="s">
        <v>441</v>
      </c>
      <c r="I90" t="s">
        <v>132</v>
      </c>
    </row>
    <row r="91" spans="1:9">
      <c r="A91" t="s">
        <v>356</v>
      </c>
      <c r="B91" t="s">
        <v>448</v>
      </c>
      <c r="C91" t="s">
        <v>4</v>
      </c>
      <c r="D91" t="s">
        <v>133</v>
      </c>
      <c r="E91" t="s">
        <v>133</v>
      </c>
      <c r="F91" t="s">
        <v>367</v>
      </c>
      <c r="G91" t="s">
        <v>21</v>
      </c>
      <c r="H91" t="s">
        <v>441</v>
      </c>
      <c r="I91" t="s">
        <v>134</v>
      </c>
    </row>
    <row r="92" spans="1:9">
      <c r="A92" t="s">
        <v>356</v>
      </c>
      <c r="B92" t="s">
        <v>448</v>
      </c>
      <c r="C92" t="s">
        <v>7</v>
      </c>
      <c r="D92" t="s">
        <v>134</v>
      </c>
      <c r="E92" t="s">
        <v>133</v>
      </c>
      <c r="F92" t="s">
        <v>367</v>
      </c>
      <c r="G92" t="s">
        <v>21</v>
      </c>
      <c r="H92" t="s">
        <v>441</v>
      </c>
      <c r="I92" t="s">
        <v>134</v>
      </c>
    </row>
    <row r="93" spans="1:9">
      <c r="A93" t="s">
        <v>356</v>
      </c>
      <c r="B93" t="s">
        <v>448</v>
      </c>
      <c r="C93" t="s">
        <v>9</v>
      </c>
      <c r="E93" t="s">
        <v>133</v>
      </c>
      <c r="F93" t="s">
        <v>367</v>
      </c>
      <c r="G93" t="s">
        <v>21</v>
      </c>
      <c r="H93" t="s">
        <v>441</v>
      </c>
      <c r="I93" t="s">
        <v>134</v>
      </c>
    </row>
    <row r="94" spans="1:9">
      <c r="A94" t="s">
        <v>356</v>
      </c>
      <c r="B94" t="s">
        <v>448</v>
      </c>
      <c r="C94" t="s">
        <v>10</v>
      </c>
      <c r="E94" t="s">
        <v>133</v>
      </c>
      <c r="F94" t="s">
        <v>367</v>
      </c>
      <c r="G94" t="s">
        <v>21</v>
      </c>
      <c r="H94" t="s">
        <v>441</v>
      </c>
      <c r="I94" t="s">
        <v>134</v>
      </c>
    </row>
    <row r="95" spans="1:9">
      <c r="A95" t="s">
        <v>356</v>
      </c>
      <c r="B95" t="s">
        <v>448</v>
      </c>
      <c r="C95" t="s">
        <v>12</v>
      </c>
      <c r="E95" t="s">
        <v>133</v>
      </c>
      <c r="F95" t="s">
        <v>367</v>
      </c>
      <c r="G95" t="s">
        <v>21</v>
      </c>
      <c r="H95" t="s">
        <v>441</v>
      </c>
      <c r="I95" t="s">
        <v>134</v>
      </c>
    </row>
    <row r="96" spans="1:9">
      <c r="A96" t="s">
        <v>356</v>
      </c>
      <c r="B96" t="s">
        <v>448</v>
      </c>
      <c r="C96" t="s">
        <v>14</v>
      </c>
      <c r="E96" t="s">
        <v>133</v>
      </c>
      <c r="F96" t="s">
        <v>367</v>
      </c>
      <c r="G96" t="s">
        <v>21</v>
      </c>
      <c r="H96" t="s">
        <v>441</v>
      </c>
      <c r="I96" t="s">
        <v>134</v>
      </c>
    </row>
    <row r="97" spans="1:9">
      <c r="A97" t="s">
        <v>356</v>
      </c>
      <c r="B97" t="s">
        <v>448</v>
      </c>
      <c r="C97" t="s">
        <v>17</v>
      </c>
      <c r="E97" t="s">
        <v>133</v>
      </c>
      <c r="F97" t="s">
        <v>367</v>
      </c>
      <c r="G97" t="s">
        <v>21</v>
      </c>
      <c r="H97" t="s">
        <v>441</v>
      </c>
      <c r="I97" t="s">
        <v>134</v>
      </c>
    </row>
    <row r="98" spans="1:9">
      <c r="A98" t="s">
        <v>356</v>
      </c>
      <c r="B98" t="s">
        <v>448</v>
      </c>
      <c r="C98" t="s">
        <v>20</v>
      </c>
      <c r="E98" t="s">
        <v>133</v>
      </c>
      <c r="F98" t="s">
        <v>367</v>
      </c>
      <c r="G98" t="s">
        <v>21</v>
      </c>
      <c r="H98" t="s">
        <v>441</v>
      </c>
      <c r="I98" t="s">
        <v>134</v>
      </c>
    </row>
    <row r="99" spans="1:9">
      <c r="A99" t="s">
        <v>356</v>
      </c>
      <c r="B99" t="s">
        <v>449</v>
      </c>
      <c r="C99" t="s">
        <v>4</v>
      </c>
      <c r="D99" t="s">
        <v>135</v>
      </c>
      <c r="E99" t="s">
        <v>135</v>
      </c>
      <c r="F99" t="s">
        <v>367</v>
      </c>
      <c r="G99" t="s">
        <v>21</v>
      </c>
      <c r="H99" t="s">
        <v>441</v>
      </c>
      <c r="I99" t="s">
        <v>450</v>
      </c>
    </row>
    <row r="100" spans="1:9">
      <c r="A100" t="s">
        <v>356</v>
      </c>
      <c r="B100" t="s">
        <v>449</v>
      </c>
      <c r="C100" t="s">
        <v>7</v>
      </c>
      <c r="D100" t="s">
        <v>136</v>
      </c>
      <c r="E100" t="s">
        <v>135</v>
      </c>
      <c r="F100" t="s">
        <v>367</v>
      </c>
      <c r="G100" t="s">
        <v>21</v>
      </c>
      <c r="H100" t="s">
        <v>441</v>
      </c>
      <c r="I100" t="s">
        <v>450</v>
      </c>
    </row>
    <row r="101" spans="1:9">
      <c r="A101" t="s">
        <v>356</v>
      </c>
      <c r="B101" t="s">
        <v>449</v>
      </c>
      <c r="C101" t="s">
        <v>9</v>
      </c>
      <c r="E101" t="s">
        <v>135</v>
      </c>
      <c r="F101" t="s">
        <v>367</v>
      </c>
      <c r="G101" t="s">
        <v>21</v>
      </c>
      <c r="H101" t="s">
        <v>441</v>
      </c>
      <c r="I101" t="s">
        <v>450</v>
      </c>
    </row>
    <row r="102" spans="1:9">
      <c r="A102" t="s">
        <v>356</v>
      </c>
      <c r="B102" t="s">
        <v>449</v>
      </c>
      <c r="C102" t="s">
        <v>10</v>
      </c>
      <c r="E102" t="s">
        <v>135</v>
      </c>
      <c r="F102" t="s">
        <v>367</v>
      </c>
      <c r="G102" t="s">
        <v>21</v>
      </c>
      <c r="H102" t="s">
        <v>441</v>
      </c>
      <c r="I102" t="s">
        <v>450</v>
      </c>
    </row>
    <row r="103" spans="1:9">
      <c r="A103" t="s">
        <v>356</v>
      </c>
      <c r="B103" t="s">
        <v>449</v>
      </c>
      <c r="C103" t="s">
        <v>12</v>
      </c>
      <c r="E103" t="s">
        <v>135</v>
      </c>
      <c r="F103" t="s">
        <v>367</v>
      </c>
      <c r="G103" t="s">
        <v>21</v>
      </c>
      <c r="H103" t="s">
        <v>441</v>
      </c>
      <c r="I103" t="s">
        <v>450</v>
      </c>
    </row>
    <row r="104" spans="1:9">
      <c r="A104" t="s">
        <v>356</v>
      </c>
      <c r="B104" t="s">
        <v>449</v>
      </c>
      <c r="C104" t="s">
        <v>14</v>
      </c>
      <c r="E104" t="s">
        <v>135</v>
      </c>
      <c r="F104" t="s">
        <v>367</v>
      </c>
      <c r="G104" t="s">
        <v>21</v>
      </c>
      <c r="H104" t="s">
        <v>441</v>
      </c>
      <c r="I104" t="s">
        <v>450</v>
      </c>
    </row>
    <row r="105" spans="1:9">
      <c r="A105" t="s">
        <v>356</v>
      </c>
      <c r="B105" t="s">
        <v>449</v>
      </c>
      <c r="C105" t="s">
        <v>17</v>
      </c>
      <c r="E105" t="s">
        <v>135</v>
      </c>
      <c r="F105" t="s">
        <v>367</v>
      </c>
      <c r="G105" t="s">
        <v>21</v>
      </c>
      <c r="H105" t="s">
        <v>441</v>
      </c>
      <c r="I105" t="s">
        <v>450</v>
      </c>
    </row>
    <row r="106" spans="1:9">
      <c r="A106" t="s">
        <v>356</v>
      </c>
      <c r="B106" t="s">
        <v>449</v>
      </c>
      <c r="C106" t="s">
        <v>20</v>
      </c>
      <c r="E106" t="s">
        <v>135</v>
      </c>
      <c r="F106" t="s">
        <v>367</v>
      </c>
      <c r="G106" t="s">
        <v>21</v>
      </c>
      <c r="H106" t="s">
        <v>441</v>
      </c>
      <c r="I106" t="s">
        <v>450</v>
      </c>
    </row>
    <row r="107" spans="1:9">
      <c r="A107" t="s">
        <v>356</v>
      </c>
      <c r="B107" t="s">
        <v>451</v>
      </c>
      <c r="C107" t="s">
        <v>4</v>
      </c>
      <c r="D107" t="s">
        <v>137</v>
      </c>
      <c r="E107" t="s">
        <v>137</v>
      </c>
      <c r="F107" t="s">
        <v>367</v>
      </c>
      <c r="G107" t="s">
        <v>21</v>
      </c>
      <c r="H107" t="s">
        <v>441</v>
      </c>
      <c r="I107" t="s">
        <v>452</v>
      </c>
    </row>
    <row r="108" spans="1:9">
      <c r="A108" t="s">
        <v>356</v>
      </c>
      <c r="B108" t="s">
        <v>451</v>
      </c>
      <c r="C108" t="s">
        <v>7</v>
      </c>
      <c r="D108" t="s">
        <v>139</v>
      </c>
      <c r="E108" t="s">
        <v>137</v>
      </c>
      <c r="F108" t="s">
        <v>367</v>
      </c>
      <c r="G108" t="s">
        <v>21</v>
      </c>
      <c r="H108" t="s">
        <v>441</v>
      </c>
      <c r="I108" t="s">
        <v>452</v>
      </c>
    </row>
    <row r="109" spans="1:9">
      <c r="A109" t="s">
        <v>356</v>
      </c>
      <c r="B109" t="s">
        <v>451</v>
      </c>
      <c r="C109" t="s">
        <v>9</v>
      </c>
      <c r="D109">
        <v>20</v>
      </c>
      <c r="E109" t="s">
        <v>137</v>
      </c>
      <c r="F109" t="s">
        <v>367</v>
      </c>
      <c r="G109" t="s">
        <v>21</v>
      </c>
      <c r="H109" t="s">
        <v>441</v>
      </c>
      <c r="I109" t="s">
        <v>452</v>
      </c>
    </row>
    <row r="110" spans="1:9">
      <c r="A110" t="s">
        <v>356</v>
      </c>
      <c r="B110" t="s">
        <v>451</v>
      </c>
      <c r="C110" t="s">
        <v>10</v>
      </c>
      <c r="D110">
        <v>1</v>
      </c>
      <c r="E110" t="s">
        <v>137</v>
      </c>
      <c r="F110" t="s">
        <v>367</v>
      </c>
      <c r="G110" t="s">
        <v>21</v>
      </c>
      <c r="H110" t="s">
        <v>441</v>
      </c>
      <c r="I110" t="s">
        <v>452</v>
      </c>
    </row>
    <row r="111" spans="1:9">
      <c r="A111" t="s">
        <v>356</v>
      </c>
      <c r="B111" t="s">
        <v>451</v>
      </c>
      <c r="C111" t="s">
        <v>12</v>
      </c>
      <c r="D111">
        <v>6</v>
      </c>
      <c r="E111" t="s">
        <v>137</v>
      </c>
      <c r="F111" t="s">
        <v>367</v>
      </c>
      <c r="G111" t="s">
        <v>21</v>
      </c>
      <c r="H111" t="s">
        <v>441</v>
      </c>
      <c r="I111" t="s">
        <v>452</v>
      </c>
    </row>
    <row r="112" spans="1:9">
      <c r="A112" t="s">
        <v>356</v>
      </c>
      <c r="B112" t="s">
        <v>451</v>
      </c>
      <c r="C112" t="s">
        <v>14</v>
      </c>
      <c r="D112" t="s">
        <v>140</v>
      </c>
      <c r="E112" t="s">
        <v>137</v>
      </c>
      <c r="F112" t="s">
        <v>367</v>
      </c>
      <c r="G112" t="s">
        <v>21</v>
      </c>
      <c r="H112" t="s">
        <v>441</v>
      </c>
      <c r="I112" t="s">
        <v>452</v>
      </c>
    </row>
    <row r="113" spans="1:9">
      <c r="A113" t="s">
        <v>356</v>
      </c>
      <c r="B113" t="s">
        <v>451</v>
      </c>
      <c r="C113" t="s">
        <v>17</v>
      </c>
      <c r="D113" t="s">
        <v>18</v>
      </c>
      <c r="E113" t="s">
        <v>137</v>
      </c>
      <c r="F113" t="s">
        <v>367</v>
      </c>
      <c r="G113" t="s">
        <v>21</v>
      </c>
      <c r="H113" t="s">
        <v>441</v>
      </c>
      <c r="I113" t="s">
        <v>452</v>
      </c>
    </row>
    <row r="114" spans="1:9">
      <c r="A114" t="s">
        <v>356</v>
      </c>
      <c r="B114" t="s">
        <v>451</v>
      </c>
      <c r="C114" t="s">
        <v>20</v>
      </c>
      <c r="D114" t="s">
        <v>21</v>
      </c>
      <c r="E114" t="s">
        <v>137</v>
      </c>
      <c r="F114" t="s">
        <v>367</v>
      </c>
      <c r="G114" t="s">
        <v>21</v>
      </c>
      <c r="H114" t="s">
        <v>441</v>
      </c>
      <c r="I114" t="s">
        <v>452</v>
      </c>
    </row>
    <row r="115" spans="1:9">
      <c r="A115" t="s">
        <v>356</v>
      </c>
      <c r="B115" t="s">
        <v>453</v>
      </c>
      <c r="C115" t="s">
        <v>4</v>
      </c>
      <c r="D115" t="s">
        <v>163</v>
      </c>
      <c r="E115" t="s">
        <v>163</v>
      </c>
      <c r="F115" t="s">
        <v>367</v>
      </c>
      <c r="G115" t="s">
        <v>21</v>
      </c>
      <c r="H115" t="s">
        <v>441</v>
      </c>
      <c r="I115" t="s">
        <v>454</v>
      </c>
    </row>
    <row r="116" spans="1:9">
      <c r="A116" t="s">
        <v>356</v>
      </c>
      <c r="B116" t="s">
        <v>453</v>
      </c>
      <c r="C116" t="s">
        <v>7</v>
      </c>
      <c r="D116" t="s">
        <v>164</v>
      </c>
      <c r="E116" t="s">
        <v>163</v>
      </c>
      <c r="F116" t="s">
        <v>367</v>
      </c>
      <c r="G116" t="s">
        <v>21</v>
      </c>
      <c r="H116" t="s">
        <v>441</v>
      </c>
      <c r="I116" t="s">
        <v>454</v>
      </c>
    </row>
    <row r="117" spans="1:9">
      <c r="A117" t="s">
        <v>356</v>
      </c>
      <c r="B117" t="s">
        <v>453</v>
      </c>
      <c r="C117" t="s">
        <v>9</v>
      </c>
      <c r="E117" t="s">
        <v>163</v>
      </c>
      <c r="F117" t="s">
        <v>367</v>
      </c>
      <c r="G117" t="s">
        <v>21</v>
      </c>
      <c r="H117" t="s">
        <v>441</v>
      </c>
      <c r="I117" t="s">
        <v>454</v>
      </c>
    </row>
    <row r="118" spans="1:9">
      <c r="A118" t="s">
        <v>356</v>
      </c>
      <c r="B118" t="s">
        <v>453</v>
      </c>
      <c r="C118" t="s">
        <v>10</v>
      </c>
      <c r="E118" t="s">
        <v>163</v>
      </c>
      <c r="F118" t="s">
        <v>367</v>
      </c>
      <c r="G118" t="s">
        <v>21</v>
      </c>
      <c r="H118" t="s">
        <v>441</v>
      </c>
      <c r="I118" t="s">
        <v>454</v>
      </c>
    </row>
    <row r="119" spans="1:9">
      <c r="A119" t="s">
        <v>356</v>
      </c>
      <c r="B119" t="s">
        <v>453</v>
      </c>
      <c r="C119" t="s">
        <v>12</v>
      </c>
      <c r="E119" t="s">
        <v>163</v>
      </c>
      <c r="F119" t="s">
        <v>367</v>
      </c>
      <c r="G119" t="s">
        <v>21</v>
      </c>
      <c r="H119" t="s">
        <v>441</v>
      </c>
      <c r="I119" t="s">
        <v>454</v>
      </c>
    </row>
    <row r="120" spans="1:9">
      <c r="A120" t="s">
        <v>356</v>
      </c>
      <c r="B120" t="s">
        <v>453</v>
      </c>
      <c r="C120" t="s">
        <v>14</v>
      </c>
      <c r="E120" t="s">
        <v>163</v>
      </c>
      <c r="F120" t="s">
        <v>367</v>
      </c>
      <c r="G120" t="s">
        <v>21</v>
      </c>
      <c r="H120" t="s">
        <v>441</v>
      </c>
      <c r="I120" t="s">
        <v>454</v>
      </c>
    </row>
    <row r="121" spans="1:9">
      <c r="A121" t="s">
        <v>356</v>
      </c>
      <c r="B121" t="s">
        <v>453</v>
      </c>
      <c r="C121" t="s">
        <v>17</v>
      </c>
      <c r="E121" t="s">
        <v>163</v>
      </c>
      <c r="F121" t="s">
        <v>367</v>
      </c>
      <c r="G121" t="s">
        <v>21</v>
      </c>
      <c r="H121" t="s">
        <v>441</v>
      </c>
      <c r="I121" t="s">
        <v>454</v>
      </c>
    </row>
    <row r="122" spans="1:9">
      <c r="A122" t="s">
        <v>356</v>
      </c>
      <c r="B122" t="s">
        <v>453</v>
      </c>
      <c r="C122" t="s">
        <v>20</v>
      </c>
      <c r="E122" t="s">
        <v>163</v>
      </c>
      <c r="F122" t="s">
        <v>367</v>
      </c>
      <c r="G122" t="s">
        <v>21</v>
      </c>
      <c r="H122" t="s">
        <v>441</v>
      </c>
      <c r="I122" t="s">
        <v>454</v>
      </c>
    </row>
    <row r="123" spans="1:9">
      <c r="A123" t="s">
        <v>356</v>
      </c>
      <c r="B123" t="s">
        <v>376</v>
      </c>
      <c r="C123" t="s">
        <v>4</v>
      </c>
      <c r="D123" t="s">
        <v>165</v>
      </c>
      <c r="E123" t="s">
        <v>165</v>
      </c>
      <c r="F123" t="s">
        <v>367</v>
      </c>
      <c r="G123" t="s">
        <v>21</v>
      </c>
      <c r="H123" t="s">
        <v>441</v>
      </c>
      <c r="I123" t="s">
        <v>167</v>
      </c>
    </row>
    <row r="124" spans="1:9">
      <c r="A124" t="s">
        <v>356</v>
      </c>
      <c r="B124" t="s">
        <v>376</v>
      </c>
      <c r="C124" t="s">
        <v>7</v>
      </c>
      <c r="D124" t="s">
        <v>167</v>
      </c>
      <c r="E124" t="s">
        <v>165</v>
      </c>
      <c r="F124" t="s">
        <v>367</v>
      </c>
      <c r="G124" t="s">
        <v>21</v>
      </c>
      <c r="H124" t="s">
        <v>441</v>
      </c>
      <c r="I124" t="s">
        <v>167</v>
      </c>
    </row>
    <row r="125" spans="1:9">
      <c r="A125" t="s">
        <v>356</v>
      </c>
      <c r="B125" t="s">
        <v>376</v>
      </c>
      <c r="C125" t="s">
        <v>9</v>
      </c>
      <c r="D125">
        <v>20</v>
      </c>
      <c r="E125" t="s">
        <v>165</v>
      </c>
      <c r="F125" t="s">
        <v>367</v>
      </c>
      <c r="G125" t="s">
        <v>21</v>
      </c>
      <c r="H125" t="s">
        <v>441</v>
      </c>
      <c r="I125" t="s">
        <v>167</v>
      </c>
    </row>
    <row r="126" spans="1:9">
      <c r="A126" t="s">
        <v>356</v>
      </c>
      <c r="B126" t="s">
        <v>376</v>
      </c>
      <c r="C126" t="s">
        <v>10</v>
      </c>
      <c r="D126">
        <v>1</v>
      </c>
      <c r="E126" t="s">
        <v>165</v>
      </c>
      <c r="F126" t="s">
        <v>367</v>
      </c>
      <c r="G126" t="s">
        <v>21</v>
      </c>
      <c r="H126" t="s">
        <v>441</v>
      </c>
      <c r="I126" t="s">
        <v>167</v>
      </c>
    </row>
    <row r="127" spans="1:9">
      <c r="A127" t="s">
        <v>356</v>
      </c>
      <c r="B127" t="s">
        <v>376</v>
      </c>
      <c r="C127" t="s">
        <v>12</v>
      </c>
      <c r="D127">
        <v>6</v>
      </c>
      <c r="E127" t="s">
        <v>165</v>
      </c>
      <c r="F127" t="s">
        <v>367</v>
      </c>
      <c r="G127" t="s">
        <v>21</v>
      </c>
      <c r="H127" t="s">
        <v>441</v>
      </c>
      <c r="I127" t="s">
        <v>167</v>
      </c>
    </row>
    <row r="128" spans="1:9">
      <c r="A128" t="s">
        <v>356</v>
      </c>
      <c r="B128" t="s">
        <v>376</v>
      </c>
      <c r="C128" t="s">
        <v>14</v>
      </c>
      <c r="D128" t="s">
        <v>169</v>
      </c>
      <c r="E128" t="s">
        <v>165</v>
      </c>
      <c r="F128" t="s">
        <v>367</v>
      </c>
      <c r="G128" t="s">
        <v>21</v>
      </c>
      <c r="H128" t="s">
        <v>441</v>
      </c>
      <c r="I128" t="s">
        <v>167</v>
      </c>
    </row>
    <row r="129" spans="1:9">
      <c r="A129" t="s">
        <v>356</v>
      </c>
      <c r="B129" t="s">
        <v>376</v>
      </c>
      <c r="C129" t="s">
        <v>17</v>
      </c>
      <c r="D129" t="s">
        <v>171</v>
      </c>
      <c r="E129" t="s">
        <v>165</v>
      </c>
      <c r="F129" t="s">
        <v>367</v>
      </c>
      <c r="G129" t="s">
        <v>21</v>
      </c>
      <c r="H129" t="s">
        <v>441</v>
      </c>
      <c r="I129" t="s">
        <v>167</v>
      </c>
    </row>
    <row r="130" spans="1:9">
      <c r="A130" t="s">
        <v>356</v>
      </c>
      <c r="B130" t="s">
        <v>376</v>
      </c>
      <c r="C130" t="s">
        <v>20</v>
      </c>
      <c r="D130" t="s">
        <v>173</v>
      </c>
      <c r="E130" t="s">
        <v>165</v>
      </c>
      <c r="F130" t="s">
        <v>367</v>
      </c>
      <c r="G130" t="s">
        <v>21</v>
      </c>
      <c r="H130" t="s">
        <v>441</v>
      </c>
      <c r="I130" t="s">
        <v>167</v>
      </c>
    </row>
    <row r="131" spans="1:9">
      <c r="A131" t="s">
        <v>358</v>
      </c>
      <c r="B131" t="s">
        <v>375</v>
      </c>
      <c r="C131" t="s">
        <v>4</v>
      </c>
      <c r="D131" t="s">
        <v>338</v>
      </c>
      <c r="E131" t="s">
        <v>338</v>
      </c>
      <c r="F131" t="s">
        <v>367</v>
      </c>
      <c r="G131" t="s">
        <v>21</v>
      </c>
      <c r="H131" t="s">
        <v>441</v>
      </c>
      <c r="I131" t="s">
        <v>339</v>
      </c>
    </row>
    <row r="132" spans="1:9">
      <c r="A132" t="s">
        <v>358</v>
      </c>
      <c r="B132" t="s">
        <v>375</v>
      </c>
      <c r="C132" t="s">
        <v>7</v>
      </c>
      <c r="D132" t="s">
        <v>339</v>
      </c>
      <c r="E132" t="s">
        <v>338</v>
      </c>
      <c r="F132" t="s">
        <v>367</v>
      </c>
      <c r="G132" t="s">
        <v>21</v>
      </c>
      <c r="H132" t="s">
        <v>441</v>
      </c>
      <c r="I132" t="s">
        <v>339</v>
      </c>
    </row>
    <row r="133" spans="1:9">
      <c r="A133" t="s">
        <v>358</v>
      </c>
      <c r="B133" t="s">
        <v>375</v>
      </c>
      <c r="C133" t="s">
        <v>9</v>
      </c>
      <c r="D133">
        <v>20</v>
      </c>
      <c r="E133" t="s">
        <v>338</v>
      </c>
      <c r="F133" t="s">
        <v>367</v>
      </c>
      <c r="G133" t="s">
        <v>21</v>
      </c>
      <c r="H133" t="s">
        <v>441</v>
      </c>
      <c r="I133" t="s">
        <v>339</v>
      </c>
    </row>
    <row r="134" spans="1:9">
      <c r="A134" t="s">
        <v>358</v>
      </c>
      <c r="B134" t="s">
        <v>375</v>
      </c>
      <c r="C134" t="s">
        <v>10</v>
      </c>
      <c r="D134">
        <v>1</v>
      </c>
      <c r="E134" t="s">
        <v>338</v>
      </c>
      <c r="F134" t="s">
        <v>367</v>
      </c>
      <c r="G134" t="s">
        <v>21</v>
      </c>
      <c r="H134" t="s">
        <v>441</v>
      </c>
      <c r="I134" t="s">
        <v>339</v>
      </c>
    </row>
    <row r="135" spans="1:9">
      <c r="A135" t="s">
        <v>358</v>
      </c>
      <c r="B135" t="s">
        <v>375</v>
      </c>
      <c r="C135" t="s">
        <v>12</v>
      </c>
      <c r="D135">
        <v>4</v>
      </c>
      <c r="E135" t="s">
        <v>338</v>
      </c>
      <c r="F135" t="s">
        <v>367</v>
      </c>
      <c r="G135" t="s">
        <v>21</v>
      </c>
      <c r="H135" t="s">
        <v>441</v>
      </c>
      <c r="I135" t="s">
        <v>339</v>
      </c>
    </row>
    <row r="136" spans="1:9">
      <c r="A136" t="s">
        <v>358</v>
      </c>
      <c r="B136" t="s">
        <v>375</v>
      </c>
      <c r="C136" t="s">
        <v>14</v>
      </c>
      <c r="D136" t="s">
        <v>340</v>
      </c>
      <c r="E136" t="s">
        <v>338</v>
      </c>
      <c r="F136" t="s">
        <v>367</v>
      </c>
      <c r="G136" t="s">
        <v>21</v>
      </c>
      <c r="H136" t="s">
        <v>441</v>
      </c>
      <c r="I136" t="s">
        <v>339</v>
      </c>
    </row>
    <row r="137" spans="1:9">
      <c r="A137" t="s">
        <v>358</v>
      </c>
      <c r="B137" t="s">
        <v>375</v>
      </c>
      <c r="C137" t="s">
        <v>17</v>
      </c>
      <c r="D137" t="s">
        <v>18</v>
      </c>
      <c r="E137" t="s">
        <v>338</v>
      </c>
      <c r="F137" t="s">
        <v>367</v>
      </c>
      <c r="G137" t="s">
        <v>21</v>
      </c>
      <c r="H137" t="s">
        <v>441</v>
      </c>
      <c r="I137" t="s">
        <v>339</v>
      </c>
    </row>
    <row r="138" spans="1:9">
      <c r="A138" t="s">
        <v>358</v>
      </c>
      <c r="B138" t="s">
        <v>375</v>
      </c>
      <c r="C138" t="s">
        <v>20</v>
      </c>
      <c r="D138" t="s">
        <v>282</v>
      </c>
      <c r="E138" t="s">
        <v>338</v>
      </c>
      <c r="F138" t="s">
        <v>367</v>
      </c>
      <c r="G138" t="s">
        <v>21</v>
      </c>
      <c r="H138" t="s">
        <v>441</v>
      </c>
      <c r="I138" t="s">
        <v>339</v>
      </c>
    </row>
    <row r="139" spans="1:9">
      <c r="A139" t="s">
        <v>358</v>
      </c>
      <c r="B139" t="s">
        <v>374</v>
      </c>
      <c r="C139" t="s">
        <v>4</v>
      </c>
      <c r="D139" t="s">
        <v>343</v>
      </c>
      <c r="E139" t="s">
        <v>343</v>
      </c>
      <c r="F139" t="s">
        <v>367</v>
      </c>
      <c r="G139" t="s">
        <v>21</v>
      </c>
      <c r="H139" t="s">
        <v>441</v>
      </c>
      <c r="I139" t="s">
        <v>344</v>
      </c>
    </row>
    <row r="140" spans="1:9">
      <c r="A140" t="s">
        <v>358</v>
      </c>
      <c r="B140" t="s">
        <v>374</v>
      </c>
      <c r="C140" t="s">
        <v>7</v>
      </c>
      <c r="D140" t="s">
        <v>344</v>
      </c>
      <c r="E140" t="s">
        <v>343</v>
      </c>
      <c r="F140" t="s">
        <v>367</v>
      </c>
      <c r="G140" t="s">
        <v>21</v>
      </c>
      <c r="H140" t="s">
        <v>441</v>
      </c>
      <c r="I140" t="s">
        <v>344</v>
      </c>
    </row>
    <row r="141" spans="1:9">
      <c r="A141" t="s">
        <v>358</v>
      </c>
      <c r="B141" t="s">
        <v>374</v>
      </c>
      <c r="C141" t="s">
        <v>9</v>
      </c>
      <c r="D141">
        <v>20</v>
      </c>
      <c r="E141" t="s">
        <v>343</v>
      </c>
      <c r="F141" t="s">
        <v>367</v>
      </c>
      <c r="G141" t="s">
        <v>21</v>
      </c>
      <c r="H141" t="s">
        <v>441</v>
      </c>
      <c r="I141" t="s">
        <v>344</v>
      </c>
    </row>
    <row r="142" spans="1:9">
      <c r="A142" t="s">
        <v>358</v>
      </c>
      <c r="B142" t="s">
        <v>374</v>
      </c>
      <c r="C142" t="s">
        <v>10</v>
      </c>
      <c r="D142">
        <v>2</v>
      </c>
      <c r="E142" t="s">
        <v>343</v>
      </c>
      <c r="F142" t="s">
        <v>367</v>
      </c>
      <c r="G142" t="s">
        <v>21</v>
      </c>
      <c r="H142" t="s">
        <v>441</v>
      </c>
      <c r="I142" t="s">
        <v>344</v>
      </c>
    </row>
    <row r="143" spans="1:9">
      <c r="A143" t="s">
        <v>358</v>
      </c>
      <c r="B143" t="s">
        <v>374</v>
      </c>
      <c r="C143" t="s">
        <v>12</v>
      </c>
      <c r="D143">
        <v>5</v>
      </c>
      <c r="E143" t="s">
        <v>343</v>
      </c>
      <c r="F143" t="s">
        <v>367</v>
      </c>
      <c r="G143" t="s">
        <v>21</v>
      </c>
      <c r="H143" t="s">
        <v>441</v>
      </c>
      <c r="I143" t="s">
        <v>344</v>
      </c>
    </row>
    <row r="144" spans="1:9">
      <c r="A144" t="s">
        <v>358</v>
      </c>
      <c r="B144" t="s">
        <v>374</v>
      </c>
      <c r="C144" t="s">
        <v>14</v>
      </c>
      <c r="D144" t="s">
        <v>345</v>
      </c>
      <c r="E144" t="s">
        <v>343</v>
      </c>
      <c r="F144" t="s">
        <v>367</v>
      </c>
      <c r="G144" t="s">
        <v>21</v>
      </c>
      <c r="H144" t="s">
        <v>441</v>
      </c>
      <c r="I144" t="s">
        <v>344</v>
      </c>
    </row>
    <row r="145" spans="1:9">
      <c r="A145" t="s">
        <v>358</v>
      </c>
      <c r="B145" t="s">
        <v>374</v>
      </c>
      <c r="C145" t="s">
        <v>17</v>
      </c>
      <c r="D145" t="s">
        <v>18</v>
      </c>
      <c r="E145" t="s">
        <v>343</v>
      </c>
      <c r="F145" t="s">
        <v>367</v>
      </c>
      <c r="G145" t="s">
        <v>21</v>
      </c>
      <c r="H145" t="s">
        <v>441</v>
      </c>
      <c r="I145" t="s">
        <v>344</v>
      </c>
    </row>
    <row r="146" spans="1:9">
      <c r="A146" t="s">
        <v>358</v>
      </c>
      <c r="B146" t="s">
        <v>374</v>
      </c>
      <c r="C146" t="s">
        <v>20</v>
      </c>
      <c r="D146" t="s">
        <v>173</v>
      </c>
      <c r="E146" t="s">
        <v>343</v>
      </c>
      <c r="F146" t="s">
        <v>367</v>
      </c>
      <c r="G146" t="s">
        <v>21</v>
      </c>
      <c r="H146" t="s">
        <v>441</v>
      </c>
      <c r="I146" t="s">
        <v>344</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defaultRowHeight="15"/>
  <cols>
    <col min="7" max="7" width="11.28515625" customWidth="1"/>
    <col min="10" max="10" width="19.28515625" bestFit="1" customWidth="1"/>
    <col min="19" max="19" width="28.28515625" customWidth="1"/>
    <col min="20" max="20" width="16.140625" customWidth="1"/>
  </cols>
  <sheetData>
    <row r="4" spans="3:10">
      <c r="C4" t="s">
        <v>226</v>
      </c>
      <c r="E4" t="s">
        <v>227</v>
      </c>
      <c r="G4" t="s">
        <v>227</v>
      </c>
      <c r="J4" t="s">
        <v>228</v>
      </c>
    </row>
    <row r="7" spans="3:10" ht="15.75" customHeight="1">
      <c r="C7" s="7">
        <v>1</v>
      </c>
      <c r="E7" t="s">
        <v>41</v>
      </c>
      <c r="G7" t="s">
        <v>146</v>
      </c>
      <c r="J7" t="s">
        <v>65</v>
      </c>
    </row>
    <row r="8" spans="3:10">
      <c r="C8" s="7">
        <v>2</v>
      </c>
      <c r="E8" t="s">
        <v>43</v>
      </c>
      <c r="G8" t="s">
        <v>229</v>
      </c>
      <c r="J8" t="s">
        <v>108</v>
      </c>
    </row>
    <row r="9" spans="3:10">
      <c r="C9" s="7" t="s">
        <v>230</v>
      </c>
      <c r="E9" t="s">
        <v>45</v>
      </c>
      <c r="G9" t="s">
        <v>101</v>
      </c>
      <c r="J9" t="s">
        <v>67</v>
      </c>
    </row>
    <row r="10" spans="3:10">
      <c r="E10" t="s">
        <v>47</v>
      </c>
      <c r="G10" t="s">
        <v>30</v>
      </c>
      <c r="J10" t="s">
        <v>69</v>
      </c>
    </row>
    <row r="11" spans="3:10">
      <c r="C11" s="7">
        <v>3</v>
      </c>
      <c r="E11" t="s">
        <v>48</v>
      </c>
      <c r="G11" t="s">
        <v>57</v>
      </c>
      <c r="J11" t="s">
        <v>231</v>
      </c>
    </row>
    <row r="12" spans="3:10">
      <c r="C12" s="7">
        <v>4</v>
      </c>
      <c r="J12" t="s">
        <v>106</v>
      </c>
    </row>
    <row r="13" spans="3:10">
      <c r="C13" s="7">
        <v>5</v>
      </c>
      <c r="J13" t="s">
        <v>181</v>
      </c>
    </row>
    <row r="14" spans="3:10">
      <c r="C14" s="7">
        <v>6</v>
      </c>
      <c r="G14" t="s">
        <v>52</v>
      </c>
      <c r="J14" t="s">
        <v>211</v>
      </c>
    </row>
    <row r="15" spans="3:10">
      <c r="C15" s="7">
        <v>7</v>
      </c>
      <c r="G15" t="s">
        <v>232</v>
      </c>
      <c r="J15" t="s">
        <v>233</v>
      </c>
    </row>
    <row r="16" spans="3:10">
      <c r="G16" t="s">
        <v>234</v>
      </c>
      <c r="J16" t="s">
        <v>235</v>
      </c>
    </row>
    <row r="17" spans="3:20">
      <c r="C17" t="s">
        <v>236</v>
      </c>
      <c r="G17" t="s">
        <v>237</v>
      </c>
    </row>
    <row r="18" spans="3:20">
      <c r="C18" t="s">
        <v>238</v>
      </c>
      <c r="G18" t="s">
        <v>239</v>
      </c>
    </row>
    <row r="19" spans="3:20">
      <c r="C19" t="s">
        <v>240</v>
      </c>
      <c r="G19" t="s">
        <v>102</v>
      </c>
      <c r="J19" t="s">
        <v>241</v>
      </c>
      <c r="K19" t="s">
        <v>242</v>
      </c>
    </row>
    <row r="20" spans="3:20">
      <c r="C20" t="s">
        <v>243</v>
      </c>
      <c r="G20" t="s">
        <v>244</v>
      </c>
      <c r="J20" t="s">
        <v>65</v>
      </c>
      <c r="K20" t="s">
        <v>148</v>
      </c>
      <c r="O20" s="9" t="s">
        <v>245</v>
      </c>
      <c r="S20" s="14" t="s">
        <v>246</v>
      </c>
      <c r="T20" s="15" t="s">
        <v>247</v>
      </c>
    </row>
    <row r="21" spans="3:20">
      <c r="C21" t="s">
        <v>171</v>
      </c>
      <c r="G21" t="s">
        <v>248</v>
      </c>
      <c r="J21" t="s">
        <v>65</v>
      </c>
      <c r="K21" t="s">
        <v>105</v>
      </c>
      <c r="O21" t="str" cm="1">
        <f t="array" ref="O21:O26">_xlfn._xlws.FILTER(LISTS_Table[Skill],LISTS_Table[Category]="Scientific Knowledge")</f>
        <v>Critical thinking</v>
      </c>
      <c r="S21" s="16" t="s">
        <v>65</v>
      </c>
      <c r="T21" s="17" t="s">
        <v>249</v>
      </c>
    </row>
    <row r="22" spans="3:20">
      <c r="C22" t="s">
        <v>18</v>
      </c>
      <c r="G22" t="s">
        <v>250</v>
      </c>
      <c r="J22" t="s">
        <v>65</v>
      </c>
      <c r="K22" t="s">
        <v>104</v>
      </c>
      <c r="O22" t="str">
        <v>Scientific literacy</v>
      </c>
      <c r="S22" s="18" t="s">
        <v>108</v>
      </c>
      <c r="T22" s="19" t="s">
        <v>251</v>
      </c>
    </row>
    <row r="23" spans="3:20">
      <c r="G23" t="s">
        <v>252</v>
      </c>
      <c r="J23" t="s">
        <v>65</v>
      </c>
      <c r="K23" t="s">
        <v>207</v>
      </c>
      <c r="O23" t="str">
        <v>Information retrieval</v>
      </c>
      <c r="S23" s="16" t="s">
        <v>67</v>
      </c>
      <c r="T23" s="17" t="s">
        <v>253</v>
      </c>
    </row>
    <row r="24" spans="3:20">
      <c r="G24" t="s">
        <v>254</v>
      </c>
      <c r="J24" t="s">
        <v>65</v>
      </c>
      <c r="K24" t="s">
        <v>208</v>
      </c>
      <c r="O24" t="str">
        <v>Knowledge synthesis</v>
      </c>
      <c r="S24" s="18" t="s">
        <v>69</v>
      </c>
      <c r="T24" s="19" t="s">
        <v>255</v>
      </c>
    </row>
    <row r="25" spans="3:20">
      <c r="G25" t="s">
        <v>256</v>
      </c>
      <c r="J25" t="s">
        <v>65</v>
      </c>
      <c r="K25" t="s">
        <v>257</v>
      </c>
      <c r="O25" t="str">
        <v>Domian-specfic analytical skills</v>
      </c>
      <c r="S25" s="16" t="s">
        <v>231</v>
      </c>
      <c r="T25" s="17" t="s">
        <v>258</v>
      </c>
    </row>
    <row r="26" spans="3:20">
      <c r="C26" t="s">
        <v>259</v>
      </c>
      <c r="G26" t="s">
        <v>260</v>
      </c>
      <c r="J26" t="s">
        <v>108</v>
      </c>
      <c r="K26" t="s">
        <v>261</v>
      </c>
      <c r="O26" t="str">
        <v>Evidence evaluation</v>
      </c>
      <c r="S26" s="18" t="s">
        <v>106</v>
      </c>
      <c r="T26" s="19" t="s">
        <v>106</v>
      </c>
    </row>
    <row r="27" spans="3:20">
      <c r="C27" t="s">
        <v>262</v>
      </c>
      <c r="G27" t="s">
        <v>263</v>
      </c>
      <c r="J27" t="s">
        <v>108</v>
      </c>
      <c r="K27" t="s">
        <v>264</v>
      </c>
      <c r="S27" s="16" t="s">
        <v>181</v>
      </c>
      <c r="T27" s="17" t="s">
        <v>265</v>
      </c>
    </row>
    <row r="28" spans="3:20">
      <c r="C28" t="s">
        <v>266</v>
      </c>
      <c r="G28" t="s">
        <v>267</v>
      </c>
      <c r="J28" t="s">
        <v>108</v>
      </c>
      <c r="K28" t="s">
        <v>123</v>
      </c>
      <c r="O28" s="6" t="s">
        <v>268</v>
      </c>
      <c r="S28" s="18" t="s">
        <v>211</v>
      </c>
      <c r="T28" s="19" t="s">
        <v>269</v>
      </c>
    </row>
    <row r="29" spans="3:20">
      <c r="C29" t="s">
        <v>21</v>
      </c>
      <c r="J29" t="s">
        <v>108</v>
      </c>
      <c r="K29" t="s">
        <v>270</v>
      </c>
      <c r="O29" t="str" cm="1">
        <f t="array" ref="O29:O34">_xlfn._xlws.FILTER(LISTS_Table[Skill],LISTS_Table[Category]="Technical Skills")</f>
        <v>Laboratory/clinical techniques</v>
      </c>
      <c r="S29" s="16" t="s">
        <v>233</v>
      </c>
      <c r="T29" s="17" t="s">
        <v>271</v>
      </c>
    </row>
    <row r="30" spans="3:20">
      <c r="C30" t="s">
        <v>272</v>
      </c>
      <c r="J30" t="s">
        <v>108</v>
      </c>
      <c r="K30" t="s">
        <v>109</v>
      </c>
      <c r="O30" t="str">
        <v>Data collection</v>
      </c>
      <c r="S30" s="13" t="s">
        <v>235</v>
      </c>
      <c r="T30" s="11" t="s">
        <v>273</v>
      </c>
    </row>
    <row r="31" spans="3:20">
      <c r="C31" t="s">
        <v>274</v>
      </c>
      <c r="J31" t="s">
        <v>108</v>
      </c>
      <c r="K31" t="s">
        <v>275</v>
      </c>
      <c r="O31" t="str">
        <v>Data analysis</v>
      </c>
    </row>
    <row r="32" spans="3:20">
      <c r="C32" t="s">
        <v>173</v>
      </c>
      <c r="J32" t="s">
        <v>67</v>
      </c>
      <c r="K32" t="s">
        <v>70</v>
      </c>
      <c r="O32" t="str">
        <v>Digital literacy</v>
      </c>
    </row>
    <row r="33" spans="3:15">
      <c r="C33" t="s">
        <v>276</v>
      </c>
      <c r="J33" t="s">
        <v>67</v>
      </c>
      <c r="K33" t="s">
        <v>209</v>
      </c>
      <c r="O33" t="str">
        <v>Equipment and technology utilisation</v>
      </c>
    </row>
    <row r="34" spans="3:15">
      <c r="C34" t="s">
        <v>277</v>
      </c>
      <c r="J34" t="s">
        <v>67</v>
      </c>
      <c r="K34" t="s">
        <v>66</v>
      </c>
      <c r="O34" t="str">
        <v>Technical proficiency</v>
      </c>
    </row>
    <row r="35" spans="3:15">
      <c r="C35" t="s">
        <v>278</v>
      </c>
      <c r="J35" t="s">
        <v>67</v>
      </c>
      <c r="K35" t="s">
        <v>68</v>
      </c>
    </row>
    <row r="36" spans="3:15">
      <c r="C36" t="s">
        <v>279</v>
      </c>
      <c r="J36" t="s">
        <v>67</v>
      </c>
      <c r="K36" t="s">
        <v>280</v>
      </c>
      <c r="O36" s="9" t="s">
        <v>281</v>
      </c>
    </row>
    <row r="37" spans="3:15">
      <c r="C37" t="s">
        <v>282</v>
      </c>
      <c r="J37" t="s">
        <v>67</v>
      </c>
      <c r="K37" t="s">
        <v>283</v>
      </c>
      <c r="O37" t="str" cm="1">
        <f t="array" ref="O37:O42">_xlfn._xlws.FILTER(LISTS_Table[Skill],LISTS_Table[Category]="Application of Knowledge and skills")</f>
        <v>Decision-making</v>
      </c>
    </row>
    <row r="38" spans="3:15">
      <c r="J38" t="s">
        <v>69</v>
      </c>
      <c r="K38" t="s">
        <v>284</v>
      </c>
      <c r="O38" t="str">
        <v>Translational practice</v>
      </c>
    </row>
    <row r="39" spans="3:15">
      <c r="J39" t="s">
        <v>69</v>
      </c>
      <c r="K39" t="s">
        <v>285</v>
      </c>
      <c r="O39" t="str">
        <v>Contextual application</v>
      </c>
    </row>
    <row r="40" spans="3:15">
      <c r="J40" t="s">
        <v>69</v>
      </c>
      <c r="K40" t="s">
        <v>286</v>
      </c>
      <c r="O40" t="str">
        <v>Professional judgement</v>
      </c>
    </row>
    <row r="41" spans="3:15">
      <c r="J41" t="s">
        <v>69</v>
      </c>
      <c r="K41" t="s">
        <v>287</v>
      </c>
      <c r="O41" t="str">
        <v>Adaptability</v>
      </c>
    </row>
    <row r="42" spans="3:15">
      <c r="J42" t="s">
        <v>69</v>
      </c>
      <c r="K42" t="s">
        <v>183</v>
      </c>
      <c r="O42" t="str">
        <v>Risk assessment</v>
      </c>
    </row>
    <row r="43" spans="3:15">
      <c r="J43" t="s">
        <v>69</v>
      </c>
      <c r="K43" t="s">
        <v>288</v>
      </c>
    </row>
    <row r="44" spans="3:15">
      <c r="J44" t="s">
        <v>231</v>
      </c>
      <c r="K44" t="s">
        <v>289</v>
      </c>
      <c r="O44" s="8" t="s">
        <v>69</v>
      </c>
    </row>
    <row r="45" spans="3:15">
      <c r="J45" t="s">
        <v>231</v>
      </c>
      <c r="K45" t="s">
        <v>290</v>
      </c>
      <c r="O45" t="str" cm="1">
        <f t="array" ref="O45:O50">_xlfn._xlws.FILTER(LISTS_Table[Skill],LISTS_Table[Category]="Understanding and use of research")</f>
        <v>Reserch literacy</v>
      </c>
    </row>
    <row r="46" spans="3:15">
      <c r="J46" t="s">
        <v>231</v>
      </c>
      <c r="K46" t="s">
        <v>291</v>
      </c>
      <c r="O46" t="str">
        <v>Literature searching</v>
      </c>
    </row>
    <row r="47" spans="3:15">
      <c r="J47" t="s">
        <v>231</v>
      </c>
      <c r="K47" t="s">
        <v>292</v>
      </c>
      <c r="O47" t="str">
        <v>Critical appraisal</v>
      </c>
    </row>
    <row r="48" spans="3:15">
      <c r="J48" t="s">
        <v>231</v>
      </c>
      <c r="K48" t="s">
        <v>293</v>
      </c>
      <c r="O48" t="str">
        <v>Data interpretation</v>
      </c>
    </row>
    <row r="49" spans="10:15">
      <c r="J49" t="s">
        <v>231</v>
      </c>
      <c r="K49" t="s">
        <v>294</v>
      </c>
      <c r="O49" t="str">
        <v>Evidne-based practice</v>
      </c>
    </row>
    <row r="50" spans="10:15">
      <c r="J50" t="s">
        <v>231</v>
      </c>
      <c r="K50" t="s">
        <v>295</v>
      </c>
      <c r="O50" t="str">
        <v>Research communication</v>
      </c>
    </row>
    <row r="51" spans="10:15">
      <c r="J51" t="s">
        <v>106</v>
      </c>
      <c r="K51" t="s">
        <v>296</v>
      </c>
    </row>
    <row r="52" spans="10:15">
      <c r="J52" t="s">
        <v>106</v>
      </c>
      <c r="K52" t="s">
        <v>107</v>
      </c>
      <c r="O52" s="8" t="s">
        <v>231</v>
      </c>
    </row>
    <row r="53" spans="10:15">
      <c r="J53" t="s">
        <v>106</v>
      </c>
      <c r="K53" t="s">
        <v>297</v>
      </c>
      <c r="O53" t="str" cm="1">
        <f t="array" ref="O53:O59">_xlfn._xlws.FILTER(LISTS_Table[Skill],LISTS_Table[Category]="Self-evaluation and professional development")</f>
        <v>Reflective practice</v>
      </c>
    </row>
    <row r="54" spans="10:15">
      <c r="J54" t="s">
        <v>106</v>
      </c>
      <c r="K54" t="s">
        <v>180</v>
      </c>
      <c r="O54" t="str">
        <v>Self-awareness</v>
      </c>
    </row>
    <row r="55" spans="10:15">
      <c r="J55" t="s">
        <v>106</v>
      </c>
      <c r="K55" t="s">
        <v>298</v>
      </c>
      <c r="O55" t="str">
        <v>Lifelong learning</v>
      </c>
    </row>
    <row r="56" spans="10:15">
      <c r="J56" t="s">
        <v>106</v>
      </c>
      <c r="K56" t="s">
        <v>299</v>
      </c>
      <c r="O56" t="str">
        <v>Personal development planning</v>
      </c>
    </row>
    <row r="57" spans="10:15">
      <c r="J57" t="s">
        <v>181</v>
      </c>
      <c r="K57" t="s">
        <v>210</v>
      </c>
      <c r="O57" t="str">
        <v>Resilience</v>
      </c>
    </row>
    <row r="58" spans="10:15">
      <c r="J58" t="s">
        <v>181</v>
      </c>
      <c r="K58" t="s">
        <v>300</v>
      </c>
      <c r="O58" t="str">
        <v>Initiative</v>
      </c>
    </row>
    <row r="59" spans="10:15">
      <c r="J59" t="s">
        <v>181</v>
      </c>
      <c r="K59" t="s">
        <v>301</v>
      </c>
      <c r="O59" t="str">
        <v>Accountability</v>
      </c>
    </row>
    <row r="60" spans="10:15">
      <c r="J60" t="s">
        <v>181</v>
      </c>
      <c r="K60" t="s">
        <v>182</v>
      </c>
    </row>
    <row r="61" spans="10:15">
      <c r="J61" t="s">
        <v>181</v>
      </c>
      <c r="K61" t="s">
        <v>302</v>
      </c>
      <c r="O61" s="10" t="s">
        <v>106</v>
      </c>
    </row>
    <row r="62" spans="10:15">
      <c r="J62" t="s">
        <v>181</v>
      </c>
      <c r="K62" t="s">
        <v>303</v>
      </c>
      <c r="O62" t="str" cm="1">
        <f t="array" ref="O62:O67">_xlfn._xlws.FILTER(LISTS_Table[Skill],LISTS_Table[Category]="Communication")</f>
        <v>Written communication</v>
      </c>
    </row>
    <row r="63" spans="10:15">
      <c r="J63" t="s">
        <v>211</v>
      </c>
      <c r="K63" t="s">
        <v>304</v>
      </c>
      <c r="O63" t="str">
        <v>Oral presentation</v>
      </c>
    </row>
    <row r="64" spans="10:15">
      <c r="J64" t="s">
        <v>211</v>
      </c>
      <c r="K64" t="s">
        <v>212</v>
      </c>
      <c r="O64" t="str">
        <v>Active listening</v>
      </c>
    </row>
    <row r="65" spans="10:15">
      <c r="J65" t="s">
        <v>211</v>
      </c>
      <c r="K65" t="s">
        <v>305</v>
      </c>
      <c r="O65" t="str">
        <v>Scientific writing</v>
      </c>
    </row>
    <row r="66" spans="10:15">
      <c r="J66" t="s">
        <v>211</v>
      </c>
      <c r="K66" t="s">
        <v>306</v>
      </c>
      <c r="O66" t="str">
        <v>Interpesronal communication</v>
      </c>
    </row>
    <row r="67" spans="10:15">
      <c r="J67" t="s">
        <v>211</v>
      </c>
      <c r="K67" t="s">
        <v>307</v>
      </c>
      <c r="O67" t="str">
        <v>Digital communication</v>
      </c>
    </row>
    <row r="68" spans="10:15">
      <c r="J68" t="s">
        <v>211</v>
      </c>
      <c r="K68" t="s">
        <v>308</v>
      </c>
    </row>
    <row r="69" spans="10:15">
      <c r="J69" t="s">
        <v>211</v>
      </c>
      <c r="K69" t="s">
        <v>309</v>
      </c>
      <c r="O69" s="10" t="s">
        <v>181</v>
      </c>
    </row>
    <row r="70" spans="10:15">
      <c r="J70" t="s">
        <v>211</v>
      </c>
      <c r="K70" t="s">
        <v>310</v>
      </c>
      <c r="O70" t="str" cm="1">
        <f t="array" ref="O70:O75">_xlfn._xlws.FILTER(LISTS_Table[Skill],LISTS_Table[Category]="Problem solving and impact")</f>
        <v>Analytical thinking</v>
      </c>
    </row>
    <row r="71" spans="10:15">
      <c r="J71" t="s">
        <v>211</v>
      </c>
      <c r="K71" t="s">
        <v>311</v>
      </c>
      <c r="O71" t="str">
        <v>problem identification</v>
      </c>
    </row>
    <row r="72" spans="10:15">
      <c r="J72" t="s">
        <v>233</v>
      </c>
      <c r="K72" t="s">
        <v>312</v>
      </c>
      <c r="O72" t="str">
        <v>Creative thinking</v>
      </c>
    </row>
    <row r="73" spans="10:15">
      <c r="J73" t="s">
        <v>233</v>
      </c>
      <c r="K73" t="s">
        <v>313</v>
      </c>
      <c r="O73" t="str">
        <v>Evidence-based decision making</v>
      </c>
    </row>
    <row r="74" spans="10:15">
      <c r="J74" t="s">
        <v>233</v>
      </c>
      <c r="K74" t="s">
        <v>314</v>
      </c>
      <c r="O74" t="str">
        <v>Innovation</v>
      </c>
    </row>
    <row r="75" spans="10:15">
      <c r="J75" t="s">
        <v>233</v>
      </c>
      <c r="K75" t="s">
        <v>315</v>
      </c>
      <c r="O75" t="str">
        <v>Evaluation of outcomes</v>
      </c>
    </row>
    <row r="76" spans="10:15">
      <c r="J76" t="s">
        <v>233</v>
      </c>
      <c r="K76" t="s">
        <v>316</v>
      </c>
    </row>
    <row r="77" spans="10:15">
      <c r="J77" t="s">
        <v>235</v>
      </c>
      <c r="K77" t="s">
        <v>317</v>
      </c>
      <c r="O77" s="10" t="s">
        <v>211</v>
      </c>
    </row>
    <row r="78" spans="10:15">
      <c r="J78" t="s">
        <v>235</v>
      </c>
      <c r="K78" t="s">
        <v>318</v>
      </c>
      <c r="O78" t="str" cm="1">
        <f t="array" ref="O78:O86">_xlfn._xlws.FILTER(LISTS_Table[Skill],LISTS_Table[Category]="Management of self and others")</f>
        <v>Leadership</v>
      </c>
    </row>
    <row r="79" spans="10:15">
      <c r="J79" t="s">
        <v>235</v>
      </c>
      <c r="K79" t="s">
        <v>319</v>
      </c>
      <c r="O79" t="str">
        <v>Coaching and mentoring</v>
      </c>
    </row>
    <row r="80" spans="10:15">
      <c r="J80" t="s">
        <v>235</v>
      </c>
      <c r="K80" t="s">
        <v>320</v>
      </c>
      <c r="O80" t="str">
        <v>Time management</v>
      </c>
    </row>
    <row r="81" spans="10:15">
      <c r="J81" t="s">
        <v>235</v>
      </c>
      <c r="K81" t="s">
        <v>321</v>
      </c>
      <c r="O81" t="str">
        <v>Organisation</v>
      </c>
    </row>
    <row r="82" spans="10:15">
      <c r="J82" t="s">
        <v>235</v>
      </c>
      <c r="K82" t="s">
        <v>322</v>
      </c>
      <c r="O82" t="str">
        <v>Delegation</v>
      </c>
    </row>
    <row r="83" spans="10:15">
      <c r="J83" t="s">
        <v>235</v>
      </c>
      <c r="K83" t="s">
        <v>323</v>
      </c>
      <c r="O83" t="str">
        <v>Conflict resolution</v>
      </c>
    </row>
    <row r="84" spans="10:15">
      <c r="O84" t="str">
        <v>Empathy</v>
      </c>
    </row>
    <row r="85" spans="10:15">
      <c r="O85" t="str">
        <v>Multi-tasking</v>
      </c>
    </row>
    <row r="86" spans="10:15">
      <c r="O86" t="str">
        <v>Resource management</v>
      </c>
    </row>
    <row r="88" spans="10:15">
      <c r="O88" s="8" t="s">
        <v>233</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324</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4E3FA4C3-DC25-462F-8805-09E7A0CA0332}">
  <ds:schemaRefs>
    <ds:schemaRef ds:uri="http://schemas.microsoft.com/office/2006/documentManagement/types"/>
    <ds:schemaRef ds:uri="http://purl.org/dc/terms/"/>
    <ds:schemaRef ds:uri="http://purl.org/dc/elements/1.1/"/>
    <ds:schemaRef ds:uri="http://purl.org/dc/dcmitype/"/>
    <ds:schemaRef ds:uri="http://schemas.microsoft.com/office/2006/metadata/properties"/>
    <ds:schemaRef ds:uri="e2acc87f-978a-4c56-9887-574fe2c7e53e"/>
    <ds:schemaRef ds:uri="f1436123-e04c-43f8-b7d8-6e3401685a6a"/>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07968BB-CDD0-4B21-8494-8F158966F0D1}">
  <ds:schemaRefs>
    <ds:schemaRef ds:uri="http://schemas.microsoft.com/sharepoint/v3/contenttype/forms"/>
  </ds:schemaRefs>
</ds:datastoreItem>
</file>

<file path=customXml/itemProps3.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AFB4C9A-7163-4267-A6CC-09970556B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26</vt:i4>
      </vt:variant>
      <vt:variant>
        <vt:lpstr>Named Ranges</vt:lpstr>
      </vt:variant>
      <vt:variant>
        <vt:i4>5</vt:i4>
      </vt:variant>
    </vt:vector>
  </HeadingPairs>
  <TitlesOfParts>
    <vt:vector size="31" baseType="lpstr">
      <vt:lpstr>Sheet1</vt:lpstr>
      <vt:lpstr>4202SPS</vt:lpstr>
      <vt:lpstr>4401SPS</vt:lpstr>
      <vt:lpstr>5401SPS</vt:lpstr>
      <vt:lpstr>5402SPS</vt:lpstr>
      <vt:lpstr>5403SPS</vt:lpstr>
      <vt:lpstr>5404SPS</vt:lpstr>
      <vt:lpstr>5405SPS</vt:lpstr>
      <vt:lpstr>6404SPS</vt:lpstr>
      <vt:lpstr>6405SPS</vt:lpstr>
      <vt:lpstr>6403SPS</vt:lpstr>
      <vt:lpstr>6097SPS</vt:lpstr>
      <vt:lpstr>Module (13)</vt:lpstr>
      <vt:lpstr>6401SPS</vt:lpstr>
      <vt:lpstr>SC_SkillsCoverage</vt:lpstr>
      <vt:lpstr>SC_Module_Overview</vt:lpstr>
      <vt:lpstr>SC_Hours_Wide</vt:lpstr>
      <vt:lpstr>SC_Meta_Wide</vt:lpstr>
      <vt:lpstr>SC_Mapping</vt:lpstr>
      <vt:lpstr>SC_Hours</vt:lpstr>
      <vt:lpstr>SC_Assess</vt:lpstr>
      <vt:lpstr>SC_LO</vt:lpstr>
      <vt:lpstr>SC_Meta_Columns</vt:lpstr>
      <vt:lpstr>SC_Meta_Wide (2)</vt:lpstr>
      <vt:lpstr>SC_Meta</vt:lpstr>
      <vt:lpstr>LISTS</vt:lpstr>
      <vt:lpstr>'SC_Meta_Wide (2)'!ExternalData_2</vt:lpstr>
      <vt:lpstr>SC_Meta_Columns!ExternalData_3</vt:lpstr>
      <vt:lpstr>SC_Meta_Wide!ExternalData_6</vt:lpstr>
      <vt:lpstr>SC_Module_Overview!ExternalData_8</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2026-09-30T15:31:12Z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