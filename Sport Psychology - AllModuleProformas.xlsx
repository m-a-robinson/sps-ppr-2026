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tables/table129.xml" ContentType="application/vnd.openxmlformats-officedocument.spreadsheetml.table+xml"/>
  <Override PartName="/xl/tables/table130.xml" ContentType="application/vnd.openxmlformats-officedocument.spreadsheetml.table+xml"/>
  <Override PartName="/xl/tables/table131.xml" ContentType="application/vnd.openxmlformats-officedocument.spreadsheetml.table+xml"/>
  <Override PartName="/xl/tables/table132.xml" ContentType="application/vnd.openxmlformats-officedocument.spreadsheetml.table+xml"/>
  <Override PartName="/xl/tables/table133.xml" ContentType="application/vnd.openxmlformats-officedocument.spreadsheetml.table+xml"/>
  <Override PartName="/xl/tables/table134.xml" ContentType="application/vnd.openxmlformats-officedocument.spreadsheetml.table+xml"/>
  <Override PartName="/xl/tables/table135.xml" ContentType="application/vnd.openxmlformats-officedocument.spreadsheetml.table+xml"/>
  <Override PartName="/xl/tables/table136.xml" ContentType="application/vnd.openxmlformats-officedocument.spreadsheetml.table+xml"/>
  <Override PartName="/xl/tables/table137.xml" ContentType="application/vnd.openxmlformats-officedocument.spreadsheetml.table+xml"/>
  <Override PartName="/xl/tables/table138.xml" ContentType="application/vnd.openxmlformats-officedocument.spreadsheetml.table+xml"/>
  <Override PartName="/xl/tables/table139.xml" ContentType="application/vnd.openxmlformats-officedocument.spreadsheetml.table+xml"/>
  <Override PartName="/xl/tables/table140.xml" ContentType="application/vnd.openxmlformats-officedocument.spreadsheetml.table+xml"/>
  <Override PartName="/xl/tables/table141.xml" ContentType="application/vnd.openxmlformats-officedocument.spreadsheetml.table+xml"/>
  <Override PartName="/xl/tables/table142.xml" ContentType="application/vnd.openxmlformats-officedocument.spreadsheetml.table+xml"/>
  <Override PartName="/xl/tables/table143.xml" ContentType="application/vnd.openxmlformats-officedocument.spreadsheetml.table+xml"/>
  <Override PartName="/xl/tables/table144.xml" ContentType="application/vnd.openxmlformats-officedocument.spreadsheetml.table+xml"/>
  <Override PartName="/xl/tables/table145.xml" ContentType="application/vnd.openxmlformats-officedocument.spreadsheetml.table+xml"/>
  <Override PartName="/xl/tables/table146.xml" ContentType="application/vnd.openxmlformats-officedocument.spreadsheetml.table+xml"/>
  <Override PartName="/xl/tables/table147.xml" ContentType="application/vnd.openxmlformats-officedocument.spreadsheetml.table+xml"/>
  <Override PartName="/xl/tables/table148.xml" ContentType="application/vnd.openxmlformats-officedocument.spreadsheetml.table+xml"/>
  <Override PartName="/xl/tables/table149.xml" ContentType="application/vnd.openxmlformats-officedocument.spreadsheetml.table+xml"/>
  <Override PartName="/xl/tables/table150.xml" ContentType="application/vnd.openxmlformats-officedocument.spreadsheetml.table+xml"/>
  <Override PartName="/xl/tables/table151.xml" ContentType="application/vnd.openxmlformats-officedocument.spreadsheetml.table+xml"/>
  <Override PartName="/xl/queryTables/queryTable1.xml" ContentType="application/vnd.openxmlformats-officedocument.spreadsheetml.queryTable+xml"/>
  <Override PartName="/xl/tables/table152.xml" ContentType="application/vnd.openxmlformats-officedocument.spreadsheetml.table+xml"/>
  <Override PartName="/xl/queryTables/queryTable2.xml" ContentType="application/vnd.openxmlformats-officedocument.spreadsheetml.queryTable+xml"/>
  <Override PartName="/xl/tables/table153.xml" ContentType="application/vnd.openxmlformats-officedocument.spreadsheetml.table+xml"/>
  <Override PartName="/xl/queryTables/queryTable3.xml" ContentType="application/vnd.openxmlformats-officedocument.spreadsheetml.queryTable+xml"/>
  <Override PartName="/xl/tables/table154.xml" ContentType="application/vnd.openxmlformats-officedocument.spreadsheetml.table+xml"/>
  <Override PartName="/xl/queryTables/queryTable4.xml" ContentType="application/vnd.openxmlformats-officedocument.spreadsheetml.queryTable+xml"/>
  <Override PartName="/xl/tables/table155.xml" ContentType="application/vnd.openxmlformats-officedocument.spreadsheetml.table+xml"/>
  <Override PartName="/xl/queryTables/queryTable5.xml" ContentType="application/vnd.openxmlformats-officedocument.spreadsheetml.queryTable+xml"/>
  <Override PartName="/xl/tables/table156.xml" ContentType="application/vnd.openxmlformats-officedocument.spreadsheetml.table+xml"/>
  <Override PartName="/xl/queryTables/queryTable6.xml" ContentType="application/vnd.openxmlformats-officedocument.spreadsheetml.queryTable+xml"/>
  <Override PartName="/xl/tables/table157.xml" ContentType="application/vnd.openxmlformats-officedocument.spreadsheetml.table+xml"/>
  <Override PartName="/xl/queryTables/queryTable7.xml" ContentType="application/vnd.openxmlformats-officedocument.spreadsheetml.queryTable+xml"/>
  <Override PartName="/xl/tables/table158.xml" ContentType="application/vnd.openxmlformats-officedocument.spreadsheetml.table+xml"/>
  <Override PartName="/xl/queryTables/queryTable8.xml" ContentType="application/vnd.openxmlformats-officedocument.spreadsheetml.queryTable+xml"/>
  <Override PartName="/xl/tables/table159.xml" ContentType="application/vnd.openxmlformats-officedocument.spreadsheetml.table+xml"/>
  <Override PartName="/xl/queryTables/queryTable9.xml" ContentType="application/vnd.openxmlformats-officedocument.spreadsheetml.queryTable+xml"/>
  <Override PartName="/xl/tables/table160.xml" ContentType="application/vnd.openxmlformats-officedocument.spreadsheetml.table+xml"/>
  <Override PartName="/xl/tables/table16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202300"/>
  <mc:AlternateContent xmlns:mc="http://schemas.openxmlformats.org/markup-compatibility/2006">
    <mc:Choice Requires="x15">
      <x15ac:absPath xmlns:x15ac="http://schemas.microsoft.com/office/spreadsheetml/2010/11/ac" url="https://ljmu.sharepoint.com/teams/SPSRe-validation2026Team/Shared Documents/Sport Psychology/Module Documents/"/>
    </mc:Choice>
  </mc:AlternateContent>
  <xr:revisionPtr revIDLastSave="4311" documentId="8_{20AD63D6-7E4E-4EFA-BE5C-A6DF2DDE1EA8}" xr6:coauthVersionLast="47" xr6:coauthVersionMax="47" xr10:uidLastSave="{0292260B-2B2D-47FC-9C6C-DADC447F21AF}"/>
  <bookViews>
    <workbookView xWindow="-21645" yWindow="0" windowWidth="21630" windowHeight="15585" firstSheet="15" activeTab="13" xr2:uid="{8D7B9789-0724-4FF2-A9AF-E462B2920CAC}"/>
  </bookViews>
  <sheets>
    <sheet name="4051SPS" sheetId="84" r:id="rId1"/>
    <sheet name="4052SPS" sheetId="77" r:id="rId2"/>
    <sheet name="4053SPS" sheetId="79" r:id="rId3"/>
    <sheet name="4054SPS" sheetId="86" r:id="rId4"/>
    <sheet name="4093SPS" sheetId="81" r:id="rId5"/>
    <sheet name="5051SPS" sheetId="85" r:id="rId6"/>
    <sheet name="5052SPS" sheetId="82" r:id="rId7"/>
    <sheet name="5053SPS" sheetId="87" r:id="rId8"/>
    <sheet name="5054SPS" sheetId="76" r:id="rId9"/>
    <sheet name="5093SPS" sheetId="83" r:id="rId10"/>
    <sheet name="6052SPS" sheetId="80" r:id="rId11"/>
    <sheet name="6051SPS" sheetId="75" r:id="rId12"/>
    <sheet name="6053SPS" sheetId="78" r:id="rId13"/>
    <sheet name="6054SPS" sheetId="68" r:id="rId14"/>
    <sheet name="Template" sheetId="7" r:id="rId15"/>
    <sheet name="PSYC_SkillsCoverage" sheetId="96" r:id="rId16"/>
    <sheet name="PSYC_Module_Overview" sheetId="95" state="hidden" r:id="rId17"/>
    <sheet name="PSYC_Hours_Wide" sheetId="94" r:id="rId18"/>
    <sheet name="PSYC_Meta_Wide" sheetId="93" state="hidden" r:id="rId19"/>
    <sheet name="PSYC_Mapping" sheetId="92" state="hidden" r:id="rId20"/>
    <sheet name="PSYC_Hours" sheetId="91" state="hidden" r:id="rId21"/>
    <sheet name="PSYC_Assess" sheetId="90" r:id="rId22"/>
    <sheet name="PSYC_LO" sheetId="89" state="hidden" r:id="rId23"/>
    <sheet name="PSYC_Meta" sheetId="88" state="hidden" r:id="rId24"/>
    <sheet name="LISTS" sheetId="4" state="hidden" r:id="rId25"/>
  </sheets>
  <definedNames>
    <definedName name="ApplicationofKnowledge">_xlfn.ANCHORARRAY(LISTS!$O$37)</definedName>
    <definedName name="Communication">_xlfn.ANCHORARRAY(LISTS!$O$62)</definedName>
    <definedName name="DeliveryEnvironment">_xlfn.ANCHORARRAY(LISTS!$O$89)</definedName>
    <definedName name="ExternalData_1" localSheetId="23" hidden="1">PSYC_Meta!$A$1:$I$137</definedName>
    <definedName name="ExternalData_2" localSheetId="22" hidden="1">PSYC_LO!$A$1:$I$52</definedName>
    <definedName name="ExternalData_3" localSheetId="21" hidden="1">PSYC_Assess!$A$1:$M$35</definedName>
    <definedName name="ExternalData_4" localSheetId="20" hidden="1">PSYC_Hours!$A$1:$I$103</definedName>
    <definedName name="ExternalData_5" localSheetId="19" hidden="1">PSYC_Mapping!$A$1:$K$231</definedName>
    <definedName name="ExternalData_6" localSheetId="18" hidden="1">PSYC_Meta_Wide!$A$1:$N$18</definedName>
    <definedName name="ExternalData_7" localSheetId="17" hidden="1">PSYC_Hours_Wide!$A$1:$L$18</definedName>
    <definedName name="ExternalData_8" localSheetId="16" hidden="1">PSYC_Module_Overview!$A$1:$I$18</definedName>
    <definedName name="ExternalData_9" localSheetId="15" hidden="1">PSYC_SkillsCoverage!$A$1:$E$65</definedName>
    <definedName name="MgmtSelf">_xlfn.ANCHORARRAY(LISTS!$O$78)</definedName>
    <definedName name="ProblemSolving">_xlfn.ANCHORARRAY(LISTS!$O$70)</definedName>
    <definedName name="ProfRelationships">_xlfn.ANCHORARRAY(LISTS!$O$96)</definedName>
    <definedName name="ScientificKnowledge">_xlfn.ANCHORARRAY(LISTS!$O$21)</definedName>
    <definedName name="SelfEvaluation">_xlfn.ANCHORARRAY(LISTS!$O$53)</definedName>
    <definedName name="SkillNameMap">LISTS!$S$20:$T$30</definedName>
    <definedName name="TechnicalSkills">_xlfn.ANCHORARRAY(LISTS!$O$29)</definedName>
    <definedName name="UnderstandingResearch">_xlfn.ANCHORARRAY(LISTS!$O$45)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24" i="81" l="1"/>
  <c r="D24" i="87"/>
  <c r="D2" i="87"/>
  <c r="C2" i="87"/>
  <c r="D24" i="86"/>
  <c r="D2" i="86"/>
  <c r="C2" i="86"/>
  <c r="D24" i="85"/>
  <c r="D2" i="85"/>
  <c r="C2" i="85"/>
  <c r="D24" i="84"/>
  <c r="D2" i="84"/>
  <c r="C2" i="84"/>
  <c r="D24" i="83"/>
  <c r="D2" i="83"/>
  <c r="C2" i="83"/>
  <c r="D24" i="82"/>
  <c r="D2" i="82"/>
  <c r="C2" i="82"/>
  <c r="D2" i="81"/>
  <c r="C2" i="81"/>
  <c r="D24" i="80"/>
  <c r="D2" i="80"/>
  <c r="C2" i="80"/>
  <c r="D24" i="79"/>
  <c r="D2" i="79"/>
  <c r="C2" i="79"/>
  <c r="D24" i="78"/>
  <c r="D2" i="78"/>
  <c r="C2" i="78"/>
  <c r="D24" i="77"/>
  <c r="D2" i="77"/>
  <c r="C2" i="77"/>
  <c r="D24" i="76"/>
  <c r="D2" i="76"/>
  <c r="C2" i="76"/>
  <c r="D24" i="75"/>
  <c r="D2" i="75"/>
  <c r="C2" i="75"/>
  <c r="D24" i="68"/>
  <c r="D2" i="68"/>
  <c r="C2" i="68"/>
  <c r="D24" i="7"/>
  <c r="D2" i="7"/>
  <c r="C2" i="7"/>
  <c r="O96" i="4" a="1"/>
  <c r="O89" i="4" a="1"/>
  <c r="O78" i="4" a="1"/>
  <c r="O70" i="4" a="1"/>
  <c r="O62" i="4" a="1"/>
  <c r="O53" i="4" a="1"/>
  <c r="O45" i="4" a="1"/>
  <c r="O37" i="4" a="1"/>
  <c r="O29" i="4" a="1"/>
  <c r="O21" i="4" a="1"/>
  <c r="O96" i="4"/>
  <c r="O89" i="4"/>
  <c r="O78" i="4"/>
  <c r="O70" i="4"/>
  <c r="O62" i="4"/>
  <c r="O53" i="4"/>
  <c r="O45" i="4"/>
  <c r="O37" i="4"/>
  <c r="O29" i="4"/>
  <c r="O21"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8A784F6-B89C-4FBA-A426-8CC7EBD74B50}" keepAlive="1" name="Query - fnItemTable" description="Connection to the 'fnItemTable' query in the workbook." type="5" refreshedVersion="0" background="1">
    <dbPr connection="Provider=Microsoft.Mashup.OleDb.1;Data Source=$Workbook$;Location=fnItemTable;Extended Properties=&quot;&quot;" command="SELECT * FROM [fnItemTable]"/>
  </connection>
  <connection id="2" xr16:uid="{A0698847-D2F3-452F-BE0C-2AE1D0865C7B}" keepAlive="1" name="Query - fnModuleOverview" description="Connection to the 'fnModuleOverview' query in the workbook." type="5" refreshedVersion="0" background="1">
    <dbPr connection="Provider=Microsoft.Mashup.OleDb.1;Data Source=$Workbook$;Location=fnModuleOverview;Extended Properties=&quot;&quot;" command="SELECT * FROM [fnModuleOverview]"/>
  </connection>
  <connection id="3" xr16:uid="{2304563F-3907-4101-AA79-2E0594432A5D}" keepAlive="1" name="Query - fnParseTableName" description="Connection to the 'fnParseTableName' query in the workbook." type="5" refreshedVersion="0" background="1">
    <dbPr connection="Provider=Microsoft.Mashup.OleDb.1;Data Source=$Workbook$;Location=fnParseTableName;Extended Properties=&quot;&quot;" command="SELECT * FROM [fnParseTableName]"/>
  </connection>
  <connection id="4" xr16:uid="{CA13B73A-5133-4797-8BA4-551E46E5A264}" keepAlive="1" name="Query - fnPivotKeyValue" description="Connection to the 'fnPivotKeyValue' query in the workbook." type="5" refreshedVersion="0" background="1">
    <dbPr connection="Provider=Microsoft.Mashup.OleDb.1;Data Source=$Workbook$;Location=fnPivotKeyValue;Extended Properties=&quot;&quot;" command="SELECT * FROM [fnPivotKeyValue]"/>
  </connection>
  <connection id="5" xr16:uid="{3F80C362-13B9-4BA4-90CF-386A6DC91734}" keepAlive="1" name="Query - fnSkillsCoverage" description="Connection to the 'fnSkillsCoverage' query in the workbook." type="5" refreshedVersion="0" background="1">
    <dbPr connection="Provider=Microsoft.Mashup.OleDb.1;Data Source=$Workbook$;Location=fnSkillsCoverage;Extended Properties=&quot;&quot;" command="SELECT * FROM [fnSkillsCoverage]"/>
  </connection>
  <connection id="6" xr16:uid="{65B94C55-2A32-4306-AF69-818C8D875BDC}" keepAlive="1" name="Query - GetRegisterFileContent" description="Connection to the 'GetRegisterFileContent' query in the workbook." type="5" refreshedVersion="0" background="1">
    <dbPr connection="Provider=Microsoft.Mashup.OleDb.1;Data Source=$Workbook$;Location=GetRegisterFileContent;Extended Properties=&quot;&quot;" command="SELECT * FROM [GetRegisterFileContent]"/>
  </connection>
  <connection id="7" xr16:uid="{08B19247-AB4A-4FA4-AD00-EC6032B7F104}" keepAlive="1" name="Query - GetWorkbookFiles" description="Connection to the 'GetWorkbookFiles' query in the workbook." type="5" refreshedVersion="0" background="1">
    <dbPr connection="Provider=Microsoft.Mashup.OleDb.1;Data Source=$Workbook$;Location=GetWorkbookFiles;Extended Properties=&quot;&quot;" command="SELECT * FROM [GetWorkbookFiles]"/>
  </connection>
  <connection id="8" xr16:uid="{73DC4346-4462-44FF-A2B6-044CFD5E29BC}" keepAlive="1" name="Query - GraduateSkillsCatalogue" description="Connection to the 'GraduateSkillsCatalogue' query in the workbook." type="5" refreshedVersion="0" background="1">
    <dbPr connection="Provider=Microsoft.Mashup.OleDb.1;Data Source=$Workbook$;Location=GraduateSkillsCatalogue;Extended Properties=&quot;&quot;" command="SELECT * FROM [GraduateSkillsCatalogue]"/>
  </connection>
  <connection id="9" xr16:uid="{21FDA894-6F64-4829-A201-1F59B2E713FB}" keepAlive="1" name="Query - ModuleRegister" description="Connection to the 'ModuleRegister' query in the workbook." type="5" refreshedVersion="0" background="1">
    <dbPr connection="Provider=Microsoft.Mashup.OleDb.1;Data Source=$Workbook$;Location=ModuleRegister;Extended Properties=&quot;&quot;" command="SELECT * FROM [ModuleRegister]"/>
  </connection>
  <connection id="10" xr16:uid="{2124B3AF-8188-45D4-9573-028BC4CEBCFA}" keepAlive="1" name="Query - PSYC_Assess" description="Connection to the 'PSYC_Assess' query in the workbook." type="5" refreshedVersion="8" background="1" saveData="1">
    <dbPr connection="Provider=Microsoft.Mashup.OleDb.1;Data Source=$Workbook$;Location=PSYC_Assess;Extended Properties=&quot;&quot;" command="SELECT * FROM [PSYC_Assess]"/>
  </connection>
  <connection id="11" xr16:uid="{A3FD1174-AC76-4266-8015-F4FA0C0D4F86}" keepAlive="1" name="Query - PSYC_Hours" description="Connection to the 'PSYC_Hours' query in the workbook." type="5" refreshedVersion="8" background="1" saveData="1">
    <dbPr connection="Provider=Microsoft.Mashup.OleDb.1;Data Source=$Workbook$;Location=PSYC_Hours;Extended Properties=&quot;&quot;" command="SELECT * FROM [PSYC_Hours]"/>
  </connection>
  <connection id="12" xr16:uid="{9EFC14EC-EA51-47B1-BAA8-F951BE500BD6}" keepAlive="1" name="Query - PSYC_Hours_Wide" description="Connection to the 'PSYC_Hours_Wide' query in the workbook." type="5" refreshedVersion="8" background="1" saveData="1">
    <dbPr connection="Provider=Microsoft.Mashup.OleDb.1;Data Source=$Workbook$;Location=PSYC_Hours_Wide;Extended Properties=&quot;&quot;" command="SELECT * FROM [PSYC_Hours_Wide]"/>
  </connection>
  <connection id="13" xr16:uid="{249D68D7-6AF2-4E92-8533-786B57AA5330}" keepAlive="1" name="Query - PSYC_LO" description="Connection to the 'PSYC_LO' query in the workbook." type="5" refreshedVersion="8" background="1" saveData="1">
    <dbPr connection="Provider=Microsoft.Mashup.OleDb.1;Data Source=$Workbook$;Location=PSYC_LO;Extended Properties=&quot;&quot;" command="SELECT * FROM [PSYC_LO]"/>
  </connection>
  <connection id="14" xr16:uid="{F65D1992-D277-4731-92C5-979090A3E385}" keepAlive="1" name="Query - PSYC_Mapping" description="Connection to the 'PSYC_Mapping' query in the workbook." type="5" refreshedVersion="8" background="1" saveData="1">
    <dbPr connection="Provider=Microsoft.Mashup.OleDb.1;Data Source=$Workbook$;Location=PSYC_Mapping;Extended Properties=&quot;&quot;" command="SELECT * FROM [PSYC_Mapping]"/>
  </connection>
  <connection id="15" xr16:uid="{7F994826-8676-4F40-AC98-4AAAFA400F39}" keepAlive="1" name="Query - PSYC_Meta" description="Connection to the 'PSYC_Meta' query in the workbook." type="5" refreshedVersion="8" background="1" saveData="1">
    <dbPr connection="Provider=Microsoft.Mashup.OleDb.1;Data Source=$Workbook$;Location=PSYC_Meta;Extended Properties=&quot;&quot;" command="SELECT * FROM [PSYC_Meta]"/>
  </connection>
  <connection id="16" xr16:uid="{C38EC675-AF9B-4E2D-BAEC-EF9A49952F2B}" keepAlive="1" name="Query - PSYC_Meta_Wide" description="Connection to the 'PSYC_Meta_Wide' query in the workbook." type="5" refreshedVersion="8" background="1" saveData="1">
    <dbPr connection="Provider=Microsoft.Mashup.OleDb.1;Data Source=$Workbook$;Location=PSYC_Meta_Wide;Extended Properties=&quot;&quot;" command="SELECT * FROM [PSYC_Meta_Wide]"/>
  </connection>
  <connection id="17" xr16:uid="{92A9E5D4-56AF-41FF-9DF4-B1DC43EAC905}" keepAlive="1" name="Query - PSYC_Module_Overview" description="Connection to the 'PSYC_Module_Overview' query in the workbook." type="5" refreshedVersion="8" background="1" saveData="1">
    <dbPr connection="Provider=Microsoft.Mashup.OleDb.1;Data Source=$Workbook$;Location=PSYC_Module_Overview;Extended Properties=&quot;&quot;" command="SELECT * FROM [PSYC_Module_Overview]"/>
  </connection>
  <connection id="18" xr16:uid="{E60D8AE4-9DC3-44E5-B937-6F6DDBB2D7DF}" keepAlive="1" name="Query - PSYC_SkillsCoverage" description="Connection to the 'PSYC_SkillsCoverage' query in the workbook." type="5" refreshedVersion="8" background="1" saveData="1">
    <dbPr connection="Provider=Microsoft.Mashup.OleDb.1;Data Source=$Workbook$;Location=PSYC_SkillsCoverage;Extended Properties=&quot;&quot;" command="SELECT * FROM [PSYC_SkillsCoverage]"/>
  </connection>
  <connection id="19" xr16:uid="{E803F494-7C61-4FA2-A777-1DFC9D5327AD}" keepAlive="1" name="Query - RegisterBlocks" description="Connection to the 'RegisterBlocks' query in the workbook." type="5" refreshedVersion="0" background="1">
    <dbPr connection="Provider=Microsoft.Mashup.OleDb.1;Data Source=$Workbook$;Location=RegisterBlocks;Extended Properties=&quot;&quot;" command="SELECT * FROM [RegisterBlocks]"/>
  </connection>
  <connection id="20" xr16:uid="{A08D93AD-DD9B-4D0F-922A-16698563A453}" keepAlive="1" name="Query - RelevantItems" description="Connection to the 'RelevantItems' query in the workbook." type="5" refreshedVersion="0" background="1">
    <dbPr connection="Provider=Microsoft.Mashup.OleDb.1;Data Source=$Workbook$;Location=RelevantItems;Extended Properties=&quot;&quot;" command="SELECT * FROM [RelevantItems]"/>
  </connection>
  <connection id="21" xr16:uid="{39A0D128-24F2-4557-8A04-21B91C2B704C}" keepAlive="1" name="Query - SharePointSiteRoot" description="Connection to the 'SharePointSiteRoot' query in the workbook." type="5" refreshedVersion="0" background="1">
    <dbPr connection="Provider=Microsoft.Mashup.OleDb.1;Data Source=$Workbook$;Location=SharePointSiteRoot;Extended Properties=&quot;&quot;" command="SELECT * FROM [SharePointSiteRoot]"/>
  </connection>
  <connection id="22" xr16:uid="{98C8170D-F9A9-43D0-877C-5D37AFF985F2}" keepAlive="1" name="Query - SourceTables" description="Connection to the 'SourceTables' query in the workbook." type="5" refreshedVersion="0" background="1">
    <dbPr connection="Provider=Microsoft.Mashup.OleDb.1;Data Source=$Workbook$;Location=SourceTables;Extended Properties=&quot;&quot;" command="SELECT * FROM [SourceTables]"/>
  </connection>
  <connection id="23" xr16:uid="{1C70FC98-DABD-457D-B27B-68662600AA62}" keepAlive="1" name="Query - SourceTablesParsed" description="Connection to the 'SourceTablesParsed' query in the workbook." type="5" refreshedVersion="0" background="1">
    <dbPr connection="Provider=Microsoft.Mashup.OleDb.1;Data Source=$Workbook$;Location=SourceTablesParsed;Extended Properties=&quot;&quot;" command="SELECT * FROM [SourceTablesParsed]"/>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<sst xmlns="http://schemas.openxmlformats.org/spreadsheetml/2006/main" count="8482" uniqueCount="798">
  <si>
    <t>Module Information</t>
  </si>
  <si>
    <t>Module Data</t>
  </si>
  <si>
    <t>Details</t>
  </si>
  <si>
    <t>Aims</t>
  </si>
  <si>
    <t>Module Code</t>
  </si>
  <si>
    <t>4051SPS</t>
  </si>
  <si>
    <t>To introduce students to the contemporary scope, evidence base and professional practice of sport and exercise psychology, including its history, philosophies, professional pathways, ethical standards and diverse delivery contexts.</t>
  </si>
  <si>
    <t>Module Title</t>
  </si>
  <si>
    <t>PROFESSIONAL PRACTICE IN SPORT PSYCHOLOGY 1</t>
  </si>
  <si>
    <t>To develop students' professional identity and graduate competencies through authentic, evidence-informed learning that promotes ethical decision-making, inclusive practice, effective communication, reflective practice and career readiness.</t>
  </si>
  <si>
    <t>Credits</t>
  </si>
  <si>
    <t>Semester</t>
  </si>
  <si>
    <t>Outline Syllabus</t>
  </si>
  <si>
    <t>Level</t>
  </si>
  <si>
    <t>Professional practice and identity: indicative content inlcudes professional identity, contemporary sport and exercise psychology practice, professional pathways, ethics, safeguarding, mental health literacy, professional boundaries, and multidisciplinary working.</t>
  </si>
  <si>
    <t>Module Leader</t>
  </si>
  <si>
    <t>Joe Causer</t>
  </si>
  <si>
    <t>Inclusive and effective practice: indicative content inlcudes working with diverse populations and stakeholders through culturally competent, ethical and evidence-informed practice, including communication, digital professionalism, and responsible use of emerging technologies.</t>
  </si>
  <si>
    <t>Module Type</t>
  </si>
  <si>
    <t>Prof Practice Strand</t>
  </si>
  <si>
    <t>Professional development and employability: indicative content inlcudes reflective practice, self-evaluation, career planning, continuing professional development, and the application of evidence to professional decision-making.</t>
  </si>
  <si>
    <t>Programme(s)</t>
  </si>
  <si>
    <t>Sport Psychology</t>
  </si>
  <si>
    <t>Module Overview</t>
  </si>
  <si>
    <t>This module introduces students to the contemporary profession of sport and exercise psychology and the role of psychologists in supporting performance, health and wellbeing across a range of settings. Students will explore the evidence base underpinning professional practice, ethical and inclusive working, professional pathways, and the responsibilities associated with working alongside athletes, exercisers and multidisciplinary teams. Through authentic learning activities and contemporary case studies, students will begin to develop their professional identity, graduate competencies and reflective practice, equipping them with the knowledge, skills and behaviours required for future study, supervised practice and graduate employment.</t>
  </si>
  <si>
    <t>Contact Hours</t>
  </si>
  <si>
    <t>Component</t>
  </si>
  <si>
    <t>Lecture</t>
  </si>
  <si>
    <t>Seminar</t>
  </si>
  <si>
    <t>Practical</t>
  </si>
  <si>
    <t>Workshop</t>
  </si>
  <si>
    <t>Additional Information/Notes</t>
  </si>
  <si>
    <t>Online</t>
  </si>
  <si>
    <t>Formative tasks will be set weekly to support the taught content each weeks. These will be a mix of quizzes, worksheets and directed tasks</t>
  </si>
  <si>
    <t>Total</t>
  </si>
  <si>
    <t>Learning Outcomes</t>
  </si>
  <si>
    <t>After completing the module the student should be able to:</t>
  </si>
  <si>
    <t>LO Number</t>
  </si>
  <si>
    <t>LO Description</t>
  </si>
  <si>
    <t>LO1</t>
  </si>
  <si>
    <t>Explain the contemporary scope, professional roles and boundaries of sport and exercise psychology across a range of populations and delivery settings.</t>
  </si>
  <si>
    <t>LO2</t>
  </si>
  <si>
    <t>Describe the principal UK professional development and regulatory routes relevant to sport and exercise psychology, including the distinct roles of BPS, CASES and HCPC.</t>
  </si>
  <si>
    <t>LO3</t>
  </si>
  <si>
    <t>Apply introductory ethical, safeguarding, inclusion and scope-of-practice principles to realistic professional scenarios, identifying when consultation, referral or escalation is required.</t>
  </si>
  <si>
    <t>LO4</t>
  </si>
  <si>
    <t>Communicate an evidence-informed analysis of a contemporary professional issue to a defined audience using appropriate academic and digital conventions.</t>
  </si>
  <si>
    <t>LO5</t>
  </si>
  <si>
    <t>Evaluate their developing graduate competencies and produce a realistic professional-development plan informed by reflection, feedback and career goals.</t>
  </si>
  <si>
    <t>Assessment</t>
  </si>
  <si>
    <t>Assessment No</t>
  </si>
  <si>
    <t>Assessment Type</t>
  </si>
  <si>
    <t>Assessment Specific</t>
  </si>
  <si>
    <t>Assessment Description</t>
  </si>
  <si>
    <t>Weighting</t>
  </si>
  <si>
    <t>Due Week</t>
  </si>
  <si>
    <t>A1</t>
  </si>
  <si>
    <t>Portfolio</t>
  </si>
  <si>
    <t>Video</t>
  </si>
  <si>
    <t>Professional issue briefing (recorded video or narrated presentation)</t>
  </si>
  <si>
    <t>A2</t>
  </si>
  <si>
    <t>Case Study</t>
  </si>
  <si>
    <t>Individual written professional practice portfolio and scenario response, 2000 words</t>
  </si>
  <si>
    <t>A3</t>
  </si>
  <si>
    <t>A4</t>
  </si>
  <si>
    <t>Assessment Mapping</t>
  </si>
  <si>
    <t>Graduate Skills Category</t>
  </si>
  <si>
    <t>Graduate Skill</t>
  </si>
  <si>
    <t>Scientific knowledge</t>
  </si>
  <si>
    <t>Critical thinking</t>
  </si>
  <si>
    <t>Understanding and use of research</t>
  </si>
  <si>
    <t>Critical appraisal</t>
  </si>
  <si>
    <t>Communication</t>
  </si>
  <si>
    <t>Oral presentation</t>
  </si>
  <si>
    <t>Technical skills</t>
  </si>
  <si>
    <t>Digital literacy</t>
  </si>
  <si>
    <t>Understanding the delivery environment</t>
  </si>
  <si>
    <t>Professional awareness</t>
  </si>
  <si>
    <t>Application of knowledge and skills</t>
  </si>
  <si>
    <t>Professional judgement</t>
  </si>
  <si>
    <t>Professional relationships and behaviours</t>
  </si>
  <si>
    <t>Ethical practice</t>
  </si>
  <si>
    <t>Problem solving and impact</t>
  </si>
  <si>
    <t>Evidence-based decision making</t>
  </si>
  <si>
    <t>Self-evaluation and professional development</t>
  </si>
  <si>
    <t>Reflective practice</t>
  </si>
  <si>
    <t>Management of self and others</t>
  </si>
  <si>
    <t>Organisation</t>
  </si>
  <si>
    <t>Personal development planning</t>
  </si>
  <si>
    <t>Lifelong learning</t>
  </si>
  <si>
    <t>Weekly Content</t>
  </si>
  <si>
    <t xml:space="preserve">Semester </t>
  </si>
  <si>
    <t>Week Number</t>
  </si>
  <si>
    <t>Weekly Content 1</t>
  </si>
  <si>
    <t>Weekly Content 2</t>
  </si>
  <si>
    <t>Weekly Content 3</t>
  </si>
  <si>
    <t>Becoming a sport and exercise psychology professional</t>
  </si>
  <si>
    <t>Lecture + workshop</t>
  </si>
  <si>
    <t>Histories, philosophies and evidence-informed practice</t>
  </si>
  <si>
    <t>Lecture + seminar</t>
  </si>
  <si>
    <t>Professional routes and regulation</t>
  </si>
  <si>
    <t>Ethics, consent, confidentiality and professional boundaries</t>
  </si>
  <si>
    <t>Safeguarding, duty of care and referral</t>
  </si>
  <si>
    <t>Communication and helping skills</t>
  </si>
  <si>
    <t>Lecture + practical</t>
  </si>
  <si>
    <t>Assessment development and Personal Tutor appraisal</t>
  </si>
  <si>
    <t>Independent study / formative checkpoint</t>
  </si>
  <si>
    <t>Mental health literacy and practitioner wellbeing</t>
  </si>
  <si>
    <t>Inclusive and culturally responsive practice</t>
  </si>
  <si>
    <t>Working in systems and multidisciplinary teams</t>
  </si>
  <si>
    <t>Digital professionalism, social media, data and AI</t>
  </si>
  <si>
    <t>From reflection to professional development</t>
  </si>
  <si>
    <t>Workshop + assessment feedforward</t>
  </si>
  <si>
    <t>4052SPS</t>
  </si>
  <si>
    <t>To present a range of topics in developmental psychology and individual differences research. To introduce the methods applied to understanding key issues in developmental psychology and individual differences research. To enable students to consult and summarise appropriate sources to explain key issues in developmental psychology and individual differences research. </t>
  </si>
  <si>
    <t xml:space="preserve">Introduction to Developmental Psychology and Individual Differences </t>
  </si>
  <si>
    <t>Theme 1: Developmental Psychology. Within the area of developmental psychology students will consider issues across attachment, cognitive development, language development, and social development.   </t>
  </si>
  <si>
    <t>Dr Gillian Cook</t>
  </si>
  <si>
    <r>
      <t>Theme 2: Individual Differences. Within the area of individual differences students will consider issues across personality, intelligence, aspects of dynamic emotions, motivations and moods, and psychometrics.</t>
    </r>
    <r>
      <rPr>
        <i/>
        <sz val="11"/>
        <color rgb="FF000000"/>
        <rFont val="Aptos Narrow"/>
        <family val="2"/>
        <scheme val="minor"/>
      </rPr>
      <t> </t>
    </r>
    <r>
      <rPr>
        <sz val="11"/>
        <color rgb="FF000000"/>
        <rFont val="Aptos Narrow"/>
        <family val="2"/>
        <scheme val="minor"/>
      </rPr>
      <t> </t>
    </r>
  </si>
  <si>
    <t>Core module</t>
  </si>
  <si>
    <t>In this module you will learn about a range of topics in these two areas of psychology.  This module will introduce you to a number of historical issues in developmental psychology and individual differences research. </t>
  </si>
  <si>
    <t xml:space="preserve">Formative assessments: Multiple Choice Test (MCT) per topic </t>
  </si>
  <si>
    <t xml:space="preserve">Summarise and explain key issues in developmental psychology and individual differences concepts, with reference to historical and contemporary perspectives. </t>
  </si>
  <si>
    <t xml:space="preserve">Discuss key stages in developmental processes, and key concepts in individual differences processes </t>
  </si>
  <si>
    <t xml:space="preserve">Describe the methodology underpinning developmental psychology and individual differences research. </t>
  </si>
  <si>
    <t>Presentation</t>
  </si>
  <si>
    <t>Paired presentation: 10 slides in 10 minutes (2 x 5 in 5) on developmental topic and individual differences</t>
  </si>
  <si>
    <t>Exam</t>
  </si>
  <si>
    <t xml:space="preserve"> 2 hour exam: short answer exam on developmental psychology and individual differences</t>
  </si>
  <si>
    <t>Assessment window (33-34)</t>
  </si>
  <si>
    <t>Knowledge synthesis</t>
  </si>
  <si>
    <t>Written communication</t>
  </si>
  <si>
    <t>Research communication</t>
  </si>
  <si>
    <t xml:space="preserve">Introduction to Developmental Psychology and Individual Differences; and Attachment </t>
  </si>
  <si>
    <t>Attachment</t>
  </si>
  <si>
    <t xml:space="preserve">Social Development </t>
  </si>
  <si>
    <t>Language Development</t>
  </si>
  <si>
    <t>Curriculum Enrichment Week</t>
  </si>
  <si>
    <t xml:space="preserve">Cognitive Development </t>
  </si>
  <si>
    <t>Dynamics: Emotions</t>
  </si>
  <si>
    <t>Dynamics: Motivation</t>
  </si>
  <si>
    <t>Personality</t>
  </si>
  <si>
    <t>Intelligence</t>
  </si>
  <si>
    <t xml:space="preserve">Psychometrics </t>
  </si>
  <si>
    <t>4053SPS</t>
  </si>
  <si>
    <t>To explore theories and processes within cognitive and biological psychology; to learn about the neuroanatomy and components of the nervous system; and to develop an appreciation of the behavioural and neuroscientific evidence underpinning cognitive and biological psychology.</t>
  </si>
  <si>
    <t>Introduction to Cognitive and Biological Psychology</t>
  </si>
  <si>
    <t>Indicative content inlcudes: Field of study and module introduction; Anatomy of the central nervous system; Neurotransmission; Senses; Attention; Memory; Consciousness; Learning and behaviour; Drugs and behaviour; Evolution and genetics; Judgement, problem solving and decision-making; Assessment preparation</t>
  </si>
  <si>
    <t>Mark Hollands</t>
  </si>
  <si>
    <t>This module explores theories and processes in cognitive and biological psychology. It includes studying the neuroanatomy and components of the nervous system and gaining an understanding of the behavioural and neuroscientific evidence that underpins cognitive and biological psychology.</t>
  </si>
  <si>
    <t xml:space="preserve">Module content is covered by lectures provding core theoreitical content,  laboratory practicals and demonstrations to reinforce theory, and workshops developing group-working skills and database searching. </t>
  </si>
  <si>
    <t>MH to take over from JR as module lead. Module will run as previously but with addition of pratical elements and workshops ro reinforce learning and guide assessments</t>
  </si>
  <si>
    <t>Fotive assessment: Feedforward and feedback seminars for assessment support</t>
  </si>
  <si>
    <t>A1: In-person assessment comprising multiple-choice and short-answer questions designed to assess students' understanding of key concepts covered during Weeks 1-6, including the anatomy and function of the nervous system, neurotransmission, and sensory systems. Students will demonstrate knowledge and understanding of fundamental principles in cognitive and biological psychology and their relationship to behaviour.</t>
  </si>
  <si>
    <t>A2: Students will work in small groups to analyse a cognitive or biological psychology case study and produce a mind map and summary sheet identifying relevant concepts, evidence and solutions. The group activity will evaluate students' ability to collaborate, share knowledge and apply psychological principles to a complex problem.
Following the activity, each student will submit an individual reflective report. The report should explain and justify the group's analysis, discuss how psychological concepts and evidence informed decision-making, evaluate the strengths and limitations of the proposed solution, and reflect on the development of the final mind map. Students may draw upon the group-generated materials when preparing their report. Equal weightings in mark allocation will be applied to group mind map and reflective report.
This assessment combines collaborative problem-solving with individual reflection, allowing students to benefit from peer discussion while independently demonstrating understanding of module content. By linking the individual report directly to the group's discussion and output, the assessment reduces the likelihood that performance is determined solely by writing abilities or external support, while encouraging critical engagement with the collaborative learning process.</t>
  </si>
  <si>
    <t>Describe and discuss the structure and function of the nervous system and sensory systems and their contribution to behaviour.</t>
  </si>
  <si>
    <t>Demonstrate the ability to work collaboratively to analyse problems and develop evidence-informed explanations.</t>
  </si>
  <si>
    <t>Formative assessments   -        A1: Weekly practice MCQs and short-answer questions during practical sessions, with feedback provided to support understanding of lecture material and preparation for the summative test.
A2: Students will undertake a formative group problem-solving activity during a workshop session. This activity will mirror the format of the summative assessment and provide opportunities to practise collaborative decision-making, role allocation and application of psychological evidence. Detailed feedback will be provided to support preparation for the summative task.</t>
  </si>
  <si>
    <t>Apply knowledge of cognitive and biological psychology to interpret behavioural presentations and explain the potential effects of neurological dysfunction.</t>
  </si>
  <si>
    <t>AI considerations: A1: exam conditions with no AI availability A2: By requiring students to reflect on and justify the development of a group-produced mind map arising from a live collaborative activity under exam conditions, the assessment focuses on authentic participation and context-specific reasoning. This limits the extent to which AI can generate substantive content independently of the student's own learning experience.</t>
  </si>
  <si>
    <t>Identify and explain key theories and processes within cognitive and biological psychology</t>
  </si>
  <si>
    <t>In-class MCQ/short answer test covering nervous system and sensation (exam conditions)</t>
  </si>
  <si>
    <t>Assessed group problem-solving activity (exam conditions) + individual reflective report</t>
  </si>
  <si>
    <t>Scientific literacy</t>
  </si>
  <si>
    <t>Information retrieval</t>
  </si>
  <si>
    <t>Evidence evaluation</t>
  </si>
  <si>
    <t>Scientific writing</t>
  </si>
  <si>
    <t>Interpersonal communication</t>
  </si>
  <si>
    <t>Time management</t>
  </si>
  <si>
    <t>Decision-making</t>
  </si>
  <si>
    <t>Teamwork</t>
  </si>
  <si>
    <t>Analytical thinking</t>
  </si>
  <si>
    <t>Lecture: Introduction and module overview</t>
  </si>
  <si>
    <t>Lecture: Nervous system</t>
  </si>
  <si>
    <t>Lecture: Neurotransmission</t>
  </si>
  <si>
    <t>Practical: Afferent and efferent nerves in action</t>
  </si>
  <si>
    <t>Lecture: Senses: Vision</t>
  </si>
  <si>
    <t>Practical: Vision in action</t>
  </si>
  <si>
    <t>Lecture: Senses: touch and hearing</t>
  </si>
  <si>
    <t>AS1 feedforward</t>
  </si>
  <si>
    <t>Lecture: Senses: Muscle sense and balance</t>
  </si>
  <si>
    <t>Practical: Proprioception in action</t>
  </si>
  <si>
    <t>curriculum enrichment week</t>
  </si>
  <si>
    <t>Lecture: memory</t>
  </si>
  <si>
    <t>Seminar: assessment 1 feedback</t>
  </si>
  <si>
    <t>Lecture: attention</t>
  </si>
  <si>
    <t>Practical: Psychological tests of cognitive function</t>
  </si>
  <si>
    <t>Lecture: Consciousness</t>
  </si>
  <si>
    <t>Seminar: AS2 feedforward</t>
  </si>
  <si>
    <t>Lecture: Learning</t>
  </si>
  <si>
    <t>Workshop: AS2 group work mock assessment</t>
  </si>
  <si>
    <t>Lecture: Psychopharmacology</t>
  </si>
  <si>
    <t>Seminar: Assessment help drop-in</t>
  </si>
  <si>
    <t>4054SPS</t>
  </si>
  <si>
    <t>To develop students' academic, digital and information literacy skills required to locate, evaluate, communicate and present evidence effectively within sport and exercise science.</t>
  </si>
  <si>
    <t>Academic Skills</t>
  </si>
  <si>
    <t>To develop independent learners who demonstrate academic integrity, critical thinking, responsible use of artificial intelligence, effective study strategies and reflective approaches to learning.</t>
  </si>
  <si>
    <t>Written skills: indicative conetnt inlcudes information searching, evidence evaluation, academic reading, note-taking, critical thinking, referencing, academic writing, and academic integrity.</t>
  </si>
  <si>
    <t>IT skills: indictaive content inlcudes microsoft 365, Excel, data visualisation, presentation design, infographics, digital communication, AI literacy, prompt engineering, ethical AI use, fact-checking and verification.</t>
  </si>
  <si>
    <t>wider skills: Indictive conetnt includes study strategies, time management, feedback literacy, reflection, wellbeing, employability, collaborative learning and professional digital identity.</t>
  </si>
  <si>
    <t>This module supports students' transition into higher education by developing the academic, digital and professional skills required for success at university and within the sport and exercise sciences. Students will develop skills in information literacy, academic writing, critical thinking, data management, digital communication and responsible use of artificial intelligence (AI). Through authentic workshops and applied activities, students will learn how to locate, evaluate and communicate evidence while developing effective study habits, reflective practice and graduate competencies.</t>
  </si>
  <si>
    <t>Locate, evaluate and appropriately use academic, professional and digital sources to support evidence-informed learning.</t>
  </si>
  <si>
    <t>Produce clear academic communications that demonstrate effective writing, referencing, critical thinking and appropriate use of digital technologies, including generative AI.</t>
  </si>
  <si>
    <t>Apply data management, presentation and reflective learning skills to communicate information effectively across a range of academic and professional formats.</t>
  </si>
  <si>
    <t>Data Analysis</t>
  </si>
  <si>
    <t>Academic Skills Portfolio incorporating literature searching, critical reading, referencing, academic writing tasks, an AI reflection and a personal study plan.</t>
  </si>
  <si>
    <t>Report</t>
  </si>
  <si>
    <t>Infographic</t>
  </si>
  <si>
    <t>Digital Communication Portfolio including Excel data management, APA figures and tables, an infographic, a short narrated presentation and a reflective commentary on the use of AI and digital tools.</t>
  </si>
  <si>
    <t>Literature searching</t>
  </si>
  <si>
    <t>Data analysis</t>
  </si>
  <si>
    <t>Digital communication</t>
  </si>
  <si>
    <t>Contextual application</t>
  </si>
  <si>
    <t>Transition to HE and becoming an independent learner</t>
  </si>
  <si>
    <t>Canvas, library induction and study planning</t>
  </si>
  <si>
    <t>Finding quality evidence</t>
  </si>
  <si>
    <t>Library search challenge</t>
  </si>
  <si>
    <t>Critical reading</t>
  </si>
  <si>
    <t>Journal club activity</t>
  </si>
  <si>
    <t>Academic writing</t>
  </si>
  <si>
    <t>Writing clinic</t>
  </si>
  <si>
    <t>Referencing and academic integrity</t>
  </si>
  <si>
    <t>Reference management workshop</t>
  </si>
  <si>
    <t>Artificial Intelligence for Learning in HE</t>
  </si>
  <si>
    <t>Prompt engineering and ethical AI workshop</t>
  </si>
  <si>
    <t>Reading Week</t>
  </si>
  <si>
    <t>Data management (Excel)</t>
  </si>
  <si>
    <t>Excel practical</t>
  </si>
  <si>
    <t>Data visualisation</t>
  </si>
  <si>
    <t>APA tables and figures practical</t>
  </si>
  <si>
    <t>Presenting information</t>
  </si>
  <si>
    <t>Presentation coaching</t>
  </si>
  <si>
    <t>Infographics and science communication</t>
  </si>
  <si>
    <t>Canva workshop</t>
  </si>
  <si>
    <t>Feedback literacy and reflection</t>
  </si>
  <si>
    <t>Portfolio completion workshop</t>
  </si>
  <si>
    <t>4093SPS</t>
  </si>
  <si>
    <t>Psychosocial Principles of Sport and Exercise</t>
  </si>
  <si>
    <t>The module aims to develop knowledge and understanding of the psychosocial concepts that underpin the sport and exercise environment.</t>
  </si>
  <si>
    <t xml:space="preserve">The module will recognise the importance of psychology, sociology and psychosocial principles in sport and exercise. </t>
  </si>
  <si>
    <t>Kathryn Curran</t>
  </si>
  <si>
    <t>Theme 1 explores how psychological factors influence behaviour, performance and participation in sport and exercise</t>
  </si>
  <si>
    <t>Theme 2 explores how social, cultural, and structural factors influence participation, behaviour and experiences in sport and exercise.</t>
  </si>
  <si>
    <t>Other combination</t>
  </si>
  <si>
    <t>Formative Tasks: Pre and Post Lecture Activities every week posted on Canvas</t>
  </si>
  <si>
    <t>Formative Assessment: MCT practice test available from Week 6 onwards</t>
  </si>
  <si>
    <t>Sport Sociology content in particular will link to UN Sustainable Development Goals</t>
  </si>
  <si>
    <t xml:space="preserve">Recognise the importance of psychology, sociology and psychosocial principles in sport and exercise. </t>
  </si>
  <si>
    <t>Recall how psychological factors influence behaviour, performance and participation in sport and exercise</t>
  </si>
  <si>
    <t>Recall how social, cultural, and structural factors influence participation, behaviour and experiences in sport and exercise.</t>
  </si>
  <si>
    <t>In Person Exam</t>
  </si>
  <si>
    <t xml:space="preserve">60 minute and 50 question MCT to cover material delivered during weeks 1-6 of the module. </t>
  </si>
  <si>
    <t>Week 8</t>
  </si>
  <si>
    <t>60 minute and 50 question MCT to cover material delivered during weeks 8-12 of the module. </t>
  </si>
  <si>
    <t>January Assessment Weeks</t>
  </si>
  <si>
    <t>problem identification</t>
  </si>
  <si>
    <t>Lecture: Module Introduction</t>
  </si>
  <si>
    <t>Lecture: Sport and Exercise Psychology 1</t>
  </si>
  <si>
    <t>Lecture: Sport and Exercise Psychology 2</t>
  </si>
  <si>
    <t>Lecture: Sport and Exercise Psychology 3</t>
  </si>
  <si>
    <t>Lecture: Sport and Exercise Psychology 4</t>
  </si>
  <si>
    <t>Lecture: Sport and Exercise Psychology 5</t>
  </si>
  <si>
    <t>Lecture: Sport Sociology 1</t>
  </si>
  <si>
    <t>Lecture: Sport Sociology 2</t>
  </si>
  <si>
    <t>Lecture: Sport Sociology 3</t>
  </si>
  <si>
    <t>Lecture: Sport Sociology 4</t>
  </si>
  <si>
    <t>Lecture: Sport Sociology 5</t>
  </si>
  <si>
    <t>5051SPS</t>
  </si>
  <si>
    <t>To develop students' understanding of the consultancy process within sport and exercise psychology, including client assessment, needs analysis, intervention planning, delivery and evaluation using evidence-informed practice.</t>
  </si>
  <si>
    <t>PROFESSIONAL PRACTICE IN SPORT PSYCHOLOGY 2</t>
  </si>
  <si>
    <t>To enhance students' professional identity and graduate competencies through authentic consultancy experiences that promote ethical practice, effective communication, reflective practice and collaborative working with diverse client groups.</t>
  </si>
  <si>
    <r>
      <t>A</t>
    </r>
    <r>
      <rPr>
        <sz val="11"/>
        <color theme="1"/>
        <rFont val="Cambria"/>
        <family val="1"/>
      </rPr>
      <t>pplied consultancy process: client engagement, contracting, rapport building, needs analysis, assessment methods, case formulation, intervention planning and consultancy documentation.</t>
    </r>
  </si>
  <si>
    <t>Professional delivery: psychological skills training, behaviour change, educational workshops, communication, stakeholder engagement, multidisciplinary working, digital delivery and inclusive practice.</t>
  </si>
  <si>
    <t>Professional evaluation: reflective practice, practitioner effectiveness, client evaluation, evidence-informed decision making, supervision, professional development and employability.</t>
  </si>
  <si>
    <t>This module develops students' applied consultancy skills through the planning, delivery and evaluation of sport and exercise psychology support. Students learn how to conduct needs analyses, design evidence-informed interventions, communicate effectively with clients and stakeholders, and evaluate professional practice using reflective approaches. Authentic consultancy scenarios enable students to develop professional identity, graduate competencies and readiness for supervised practice and graduate employment.</t>
  </si>
  <si>
    <t>Conduct an evidence-informed psychological needs analysis using multiple sources of information to identify client priorities and justify intervention goals.</t>
  </si>
  <si>
    <t>Design and communicate appropriate psychological support strategies that are tailored to individual clients, groups and performance environments.</t>
  </si>
  <si>
    <t>Evaluate consultancy decisions using ethical reasoning, reflective practice and professional standards to support continuing professional development.</t>
  </si>
  <si>
    <t>Group Presentation</t>
  </si>
  <si>
    <t xml:space="preserve">Professional Client Workshop </t>
  </si>
  <si>
    <t xml:space="preserve">Consultancy Portfolio </t>
  </si>
  <si>
    <t>Collaboration/multi-disciplinary working</t>
  </si>
  <si>
    <t>Self-awareness</t>
  </si>
  <si>
    <t>Introduction to consultancy practice</t>
  </si>
  <si>
    <t>Building rapport and contracting</t>
  </si>
  <si>
    <t>Needs analysis and assessment methods</t>
  </si>
  <si>
    <t>Case formulation and intervention planning</t>
  </si>
  <si>
    <t>Designing educational workshops</t>
  </si>
  <si>
    <t>Delivering psychological skills interventions</t>
  </si>
  <si>
    <t>Behaviour change and motivation</t>
  </si>
  <si>
    <t>Working with coaches, parents and MDTs</t>
  </si>
  <si>
    <t>Evaluating intervention effectiveness</t>
  </si>
  <si>
    <t>Reflective practice and supervision</t>
  </si>
  <si>
    <t>Consultancy showcase and assessment support</t>
  </si>
  <si>
    <t>5052SPS</t>
  </si>
  <si>
    <t>Application of contemporary, state-of-the-art experimental techniques or paradigms within cognitive and biological psychology.</t>
  </si>
  <si>
    <t>Advances in Cognitive and Biological Psychology</t>
  </si>
  <si>
    <t>Analyse original research data and adapt findings to derive broader theoretical implications within cognitive and biological psychology</t>
  </si>
  <si>
    <t>Study within visual science will form a core aspect including concepts such as the basic visual system, visual neuroscience, eye movements and visual-action coupling.</t>
  </si>
  <si>
    <t>James Roberts</t>
  </si>
  <si>
    <t>Study within everyday or applied contemporary issues pertaining to cognitive and biological psychology including face and object recognition, social cognition, emotion, multisensory processing, and sleep and circadian rhythms.</t>
  </si>
  <si>
    <t xml:space="preserve">This module builds upon the allied foundational module at L4 on cognitive and biological psychology. Here, state-of-the art techniques will be addressed with a view to exploring more contemporary or emerging empirical research surrounding cognitive and biological psychology. This research will be adapted to derive key theoretical implications subject to further discussion or evaluation. There will be an initial emphasis on the visual system before students have the opportunity to freely explore other diverse areas within cognitive and biological psychology (e.g., emotion and social cognition, multisensory perception, etc).  </t>
  </si>
  <si>
    <t>Formative task assessments include a combination of weekly online quizzes/tests and lab practical skills assessments</t>
  </si>
  <si>
    <t>Analyse and interpret original research data relating to contemporary topics within cognitive and biological psychology</t>
  </si>
  <si>
    <t>Understand and demonstrate broader theoretical implications based on empirical research findings within cognitive and biological psychology</t>
  </si>
  <si>
    <t>Evaluate research practices and findings, including strengths and weakness, within cognitive and biological psychology.</t>
  </si>
  <si>
    <t>Data collection, illustration/presentation and interpretation on cognitive psychology and biological psychology</t>
  </si>
  <si>
    <t>Individual report and viva</t>
  </si>
  <si>
    <t>Written quant report on cognitive and biological psychology (1500 words), and follow-up viva (5 min)</t>
  </si>
  <si>
    <t>13-14</t>
  </si>
  <si>
    <t>Laboratory/clinical techniques</t>
  </si>
  <si>
    <t>Equipment and technology utilisation</t>
  </si>
  <si>
    <t>Data interpretation</t>
  </si>
  <si>
    <t>Domain-specific analytical skills</t>
  </si>
  <si>
    <t>Data collection</t>
  </si>
  <si>
    <t>Introduction (Lecture)</t>
  </si>
  <si>
    <t>Assessment 1 Feedforward (Seminar)</t>
  </si>
  <si>
    <t>Visual Neuroscience (Lecture)</t>
  </si>
  <si>
    <t xml:space="preserve"> Assessment 1 Methodology and Data Collection (Practical)</t>
  </si>
  <si>
    <t>Eye Movement and Stereoscopic Vision (Lecture)</t>
  </si>
  <si>
    <t>Oculomanual and Visuomotor Control (Lecture)</t>
  </si>
  <si>
    <t>Shared Representations: Action-Observation (Lecture)</t>
  </si>
  <si>
    <t>Shared Representations: Imagery (Lecture)</t>
  </si>
  <si>
    <t>Assessment 1 Support (Online)</t>
  </si>
  <si>
    <t>Assessment 1</t>
  </si>
  <si>
    <t>Assessment 2 Feedforward (Seminar)</t>
  </si>
  <si>
    <t>Face and Object Recognition (Lecture)</t>
  </si>
  <si>
    <t>Assessment 2 Methodology and Data Collection (Practical</t>
  </si>
  <si>
    <t>Emotion and Social Cognition (Lecture)</t>
  </si>
  <si>
    <t>Multisensory Perception (Lecture)</t>
  </si>
  <si>
    <t>Assessment 2 Support (Online)</t>
  </si>
  <si>
    <t>Assessment 2</t>
  </si>
  <si>
    <t>5053SPS</t>
  </si>
  <si>
    <t>This module aims to develop knowledge and understanding of the role of psychology in promoting physical activity and exercise for health.</t>
  </si>
  <si>
    <t>Exercise and Health Psychology</t>
  </si>
  <si>
    <t>The exercise/physical activity landscape: indicative conetnt includes physiological and psychological benefits, population differences, the type/setting of exercise/physical activity. Designing and evaluating exercise/physical activity health promotion campaigns including the use of behaviour change theories.</t>
  </si>
  <si>
    <t>Laura Thomas</t>
  </si>
  <si>
    <t>This module aims to explore psychology's role in promoting physical activity and exercise for health. It covers the exercise landscape, including its benefits and population differences, as well as the design and evaluation of health promotion campaigns using behaviour change theories.</t>
  </si>
  <si>
    <t>Analyse the relationship between physicalactivity/exercise and health (physical and psychological).</t>
  </si>
  <si>
    <t>Evaluate and apply behaviour change theories, in people living with long-term conditions, for physical activity/exercise uptake and adherence.</t>
  </si>
  <si>
    <t>Apply qualitative research skills to understanding exercise and health psychology.</t>
  </si>
  <si>
    <t>Lab Report</t>
  </si>
  <si>
    <t>A 1000 word individual qualitative report that presents and discusses interview findings</t>
  </si>
  <si>
    <t>A paired poster presentation with 5 minutes of Q&amp;A that proposes an exercise and health promotion campaign to treat a chosen health issue</t>
  </si>
  <si>
    <t>Evidence-based practice</t>
  </si>
  <si>
    <t>Active listening</t>
  </si>
  <si>
    <t>Module introduction</t>
  </si>
  <si>
    <t>Mental health and physical activity</t>
  </si>
  <si>
    <t>Technology and green exercise</t>
  </si>
  <si>
    <t>Lifespan, gender and sociocultural perspectives</t>
  </si>
  <si>
    <t>Qualitative skills in exercise and health psychology</t>
  </si>
  <si>
    <t>The dark side of exercise and physical activity</t>
  </si>
  <si>
    <t>CEW</t>
  </si>
  <si>
    <t>Formative task to receive feedback for assignment 1</t>
  </si>
  <si>
    <t>Designing effective health promotion campaigns</t>
  </si>
  <si>
    <t>Theories of behaviour change 1 - TRA/TPB/Self-efficacy</t>
  </si>
  <si>
    <t>Theories of behaviour change 2- TTM</t>
  </si>
  <si>
    <t>Theories of behaviour change 3- SDT</t>
  </si>
  <si>
    <t>Conclusion lecture and assignment feedforward</t>
  </si>
  <si>
    <t>Formative task to receive feedback for assignment 2</t>
  </si>
  <si>
    <t>5054SPS</t>
  </si>
  <si>
    <t>1) To critically evaluate theoretical and philosophical frameworks underpinning developmental and social psychology</t>
  </si>
  <si>
    <t xml:space="preserve">Developmental and Social Psychology </t>
  </si>
  <si>
    <t>2) To examine developmental processes and change across the full lifespan
3) To critically analyse developmental and social psychological processes that influence individual differences, group behaviour, and the social self in society</t>
  </si>
  <si>
    <r>
      <rPr>
        <u/>
        <sz val="11"/>
        <color rgb="FF000000"/>
        <rFont val="Aptos"/>
      </rPr>
      <t>Developmental Psychology</t>
    </r>
    <r>
      <rPr>
        <sz val="11"/>
        <color rgb="FF000000"/>
        <rFont val="Aptos"/>
      </rPr>
      <t>: Indicative content includes lifespan development (infancy, adolescence, emerging adulthood, late adulthood, death), psychosocial stages of development</t>
    </r>
  </si>
  <si>
    <t>Laura Swettenham</t>
  </si>
  <si>
    <r>
      <rPr>
        <u/>
        <sz val="11"/>
        <color rgb="FF000000"/>
        <rFont val="Aptos"/>
      </rPr>
      <t>Individual Differences:</t>
    </r>
    <r>
      <rPr>
        <sz val="11"/>
        <color rgb="FF000000"/>
        <rFont val="Aptos"/>
      </rPr>
      <t xml:space="preserve"> Indicative content includes subjective well-being, personality, gender, neurodiversity</t>
    </r>
  </si>
  <si>
    <r>
      <rPr>
        <u/>
        <sz val="11"/>
        <color rgb="FF000000"/>
        <rFont val="Aptos"/>
      </rPr>
      <t>Social Psychology:</t>
    </r>
    <r>
      <rPr>
        <sz val="11"/>
        <color rgb="FF000000"/>
        <rFont val="Aptos"/>
      </rPr>
      <t xml:space="preserve"> Indicative content includes social constructionism, socio-ecological theories, group processes and intergroup relations, Prejudice and discrimination.</t>
    </r>
  </si>
  <si>
    <t>This module explores developmental and social psychology across the lifespan, integrating developmental and social psychological perspectives on identity, well-being, and individual differences within social and cultural contexts. Students engage with core theoretical frameworks, including lifespan theory, social constructionism, and socio-ecological theory as well as exploring social psychological processes such as prejudice, group relations, and the current understandings of personality, gender, and neurodiversity.</t>
  </si>
  <si>
    <t>Formative tasks: pre-seminar tasks to build skills and knowledge for assessments, discussion and feedback time in seminar</t>
  </si>
  <si>
    <t xml:space="preserve">AI: will be built into the infographic assessment </t>
  </si>
  <si>
    <t>Evaluate and communicate key stages in developmental processes, including the development of cognitive, emotional, and social skills through the life span.</t>
  </si>
  <si>
    <t>Discuss social influences on individual differences and group behaviours.</t>
  </si>
  <si>
    <t>Analyse and evaluate methodological approaches and research underpinning developmental, individual differences and social psychology.</t>
  </si>
  <si>
    <t>1 x infographics on lifespan stages and associated 1 x 1000 essay. AI transparancy element (short 300 word reflective statement)</t>
  </si>
  <si>
    <t>Essay</t>
  </si>
  <si>
    <t>Essay based exam, 2 hours</t>
  </si>
  <si>
    <t>Assessment week</t>
  </si>
  <si>
    <t xml:space="preserve">Theoretical underpinnings of developmental psychology </t>
  </si>
  <si>
    <t>Infancy and adolescence</t>
  </si>
  <si>
    <t>Identity development</t>
  </si>
  <si>
    <t>Emerging adulthood</t>
  </si>
  <si>
    <t>-</t>
  </si>
  <si>
    <t xml:space="preserve">Ageing and death </t>
  </si>
  <si>
    <t>Subjective well-being across the lifespan</t>
  </si>
  <si>
    <t>Directed study week</t>
  </si>
  <si>
    <t>Gender as a social construct</t>
  </si>
  <si>
    <t>Neurodiversity</t>
  </si>
  <si>
    <t>Prejudice and discrimination</t>
  </si>
  <si>
    <t>Group processes and intergroup relations</t>
  </si>
  <si>
    <t>5093SPS</t>
  </si>
  <si>
    <t>Develop the ability to evaluate the individual and environmental psychological principles that underpin elite sport and performance.</t>
  </si>
  <si>
    <t>Sport and Performance Psychology</t>
  </si>
  <si>
    <t>Develop the ability to evaluate the underlying identification and development of expertise within sport and performance settings.</t>
  </si>
  <si>
    <t>Understanding individuals: Indicative content includes resilience and thriving, anxiety, confidence, personality and choking/clutching under pressure. Understanding environments: indicative content performance sport culture and competitive, organisation and personal stress.</t>
  </si>
  <si>
    <t>Study of perceptual and cognitive expertise: Indicative content includes athlete brain and cognition, visual perceptual and gaze search, anticipation, decision-making, talent pathways, and training.</t>
  </si>
  <si>
    <t>All Programmes</t>
  </si>
  <si>
    <t>This module will focus on the understanding and evaluation of two key strands within the area of sport and performance psychology: understanding individuals and environments, and perceptual-cognitive expertise. Students will explore a variety of topics within each of these key strands with a view to assessing their basic understanding and capacity to adapt this understanding within applied contexts.</t>
  </si>
  <si>
    <t>Formative tasks will encompass weekly post-session online tests/quizzes</t>
  </si>
  <si>
    <t xml:space="preserve">A1 = groups of ~5, 5 in 5 part requires everyone to speak about a slide each </t>
  </si>
  <si>
    <t>Evaluate individual and environmental psychological principles associated with sport performance.</t>
  </si>
  <si>
    <t>Evaluate the identification and development of perceptual-cognitive expertise within sport.</t>
  </si>
  <si>
    <t>Video presentation</t>
  </si>
  <si>
    <t xml:space="preserve">Group presentation (5 in 5 mins academeic + AI-generated lay audiance video)  </t>
  </si>
  <si>
    <t>In-class short and multi-choice answer questions</t>
  </si>
  <si>
    <t>Translational practice</t>
  </si>
  <si>
    <t>Creative thinking</t>
  </si>
  <si>
    <t>Innovation</t>
  </si>
  <si>
    <t>Assessment Feedforward (Seminar)</t>
  </si>
  <si>
    <t>Understanding Organisational Culture in Sport (Lecture)</t>
  </si>
  <si>
    <t>Constructing an Environment for Elite Performance (Lecture)</t>
  </si>
  <si>
    <t>Psychological Characteristics of Elite Performers 1 (Lecture)</t>
  </si>
  <si>
    <t>Psychological Characteristics of Elite Performers 2 (Lecture)</t>
  </si>
  <si>
    <t>Understanding the Role of Personality in Sport (Lecture)</t>
  </si>
  <si>
    <t>Perfectionism and Performance in Sport (Lecture)</t>
  </si>
  <si>
    <t>Impact of the Athlete-Coach Relationship in Performance (Lecture)</t>
  </si>
  <si>
    <t>Developing Psychologically Informed Coaches (Lecture)</t>
  </si>
  <si>
    <t>Psychological Skills Training to Improve Performance (Lecture)</t>
  </si>
  <si>
    <t>Assessment 1 Support (Seminar)</t>
  </si>
  <si>
    <t>Direct Study Week</t>
  </si>
  <si>
    <t>Visual Abilities (Lecture)</t>
  </si>
  <si>
    <t>Visual Search (Lecture)</t>
  </si>
  <si>
    <t>Domain-Specific Perceptual-Cognitive Skills (Lecture)</t>
  </si>
  <si>
    <t>Cognition and Neurophysiology (Lecture)</t>
  </si>
  <si>
    <t>Talent ID and Development Pathways (Lecture)</t>
  </si>
  <si>
    <t>Perceptual-Cognitive Training (Lecture)</t>
  </si>
  <si>
    <t>Representative Practice and Practice Structure (Lecture)</t>
  </si>
  <si>
    <t>Use of Feeback and Instruction (Lecture)</t>
  </si>
  <si>
    <t>Use of Technology (Lecture)</t>
  </si>
  <si>
    <t>Assessment 2 Support (Seminar)</t>
  </si>
  <si>
    <t>6052SPS</t>
  </si>
  <si>
    <t>To develop a critical understanding of contemporary issues in motor behaviour, and the ability to synthesise and apply research findings to sport, exercise and health settings</t>
  </si>
  <si>
    <t>Applied Motor Behaviour</t>
  </si>
  <si>
    <r>
      <rPr>
        <i/>
        <sz val="11"/>
        <color rgb="FF000000"/>
        <rFont val="Aptos Narrow"/>
        <scheme val="minor"/>
      </rPr>
      <t xml:space="preserve">Theme 1: </t>
    </r>
    <r>
      <rPr>
        <sz val="11"/>
        <color rgb="FF000000"/>
        <rFont val="Aptos Narrow"/>
        <scheme val="minor"/>
      </rPr>
      <t>Motor</t>
    </r>
    <r>
      <rPr>
        <i/>
        <sz val="11"/>
        <color rgb="FF000000"/>
        <rFont val="Aptos Narrow"/>
        <scheme val="minor"/>
      </rPr>
      <t xml:space="preserve"> </t>
    </r>
    <r>
      <rPr>
        <sz val="11"/>
        <color rgb="FF000000"/>
        <rFont val="Aptos Narrow"/>
        <scheme val="minor"/>
      </rPr>
      <t>learning mechanisms: The content will reflect current understanding of motor learning theory, with research-informed application of learning protocols to sport, exercise and health settings.</t>
    </r>
  </si>
  <si>
    <t>Simon Bennett</t>
  </si>
  <si>
    <r>
      <rPr>
        <i/>
        <sz val="11"/>
        <color rgb="FF000000"/>
        <rFont val="Aptos Narrow"/>
        <scheme val="minor"/>
      </rPr>
      <t xml:space="preserve">Theme 2: </t>
    </r>
    <r>
      <rPr>
        <sz val="11"/>
        <color rgb="FF000000"/>
        <rFont val="Aptos Narrow"/>
        <scheme val="minor"/>
      </rPr>
      <t>Control and learning of interceptive actions: This will reflect contemporary, research-informed content on interceptive actions, including: fundamentals of vision and eye movements, visual control of interceptive action, VR learning protocols</t>
    </r>
  </si>
  <si>
    <t>In this module, we will consider motor behaviour in sports and exercise context (e.g., interception or avoidance in football, rugby, golf and cricket), as well as applied health settings (e.g., everyday tasks of descending a stairway or walking over uneven ground). In doing so, you will learn about fundamental processes related to visual perception, eye movements, location of attention, action representation and cognition, and how these impact upon motor learning protocols</t>
  </si>
  <si>
    <t>Each week a formative assessment will be available in the form of a quizz that allows students to determine how much of the content they have understood. In addition, a quiz regarding each assessment will be available at the end of each block (week 6 and week 12). This will enable students to determine if they know what the assessment involves and if they have understood the related teaching material.</t>
  </si>
  <si>
    <r>
      <rPr>
        <sz val="11"/>
        <color rgb="FF000000"/>
        <rFont val="Aptos"/>
      </rPr>
      <t>The use of GenAI is permitted for this assessment in an assistive role, and the following use is considered appropriate: Background research (e.g., searching for relevant texts); Planning and structuring (e.g., providing advice on paragraph progression but not details on specific content); Summarising material (e.g., providing summary of texts before detailed reading); Concept explanation (e.g., assisting your own understanding of concepts). If you use GenAI, add a short statement at the end saying which tool you used, what for, and what you checked or changed. Also, please keep a record of the prompts you used in case you are asked about them</t>
    </r>
    <r>
      <rPr>
        <i/>
        <sz val="11"/>
        <color rgb="FF000000"/>
        <rFont val="Aptos"/>
      </rPr>
      <t>. </t>
    </r>
  </si>
  <si>
    <t>Critically evaluate protocols, research findings, and models of motor learning in sport, exercise and health</t>
  </si>
  <si>
    <t>Critically evaluate and integrate research findings, perspectives and models of interceptive actions in sport, exercise and health</t>
  </si>
  <si>
    <t>Apply quantitative research skills to understanding applied motor behaviour</t>
  </si>
  <si>
    <t>Individually-written report on motor learning protocols followed by viva</t>
  </si>
  <si>
    <t>Interpret statistical outputs to independently produce a summary of key findings, followed by discussion that considers findings relative to research and conceptual/theoretical perspectives</t>
  </si>
  <si>
    <t>Introduction to applied motor behaviour</t>
  </si>
  <si>
    <t>Assessment tasks and criteria</t>
  </si>
  <si>
    <t>How we use our senses to control movement</t>
  </si>
  <si>
    <t>Practical - Sensory contributions to motor control</t>
  </si>
  <si>
    <t>Brain, spinal cord and neural basis of motor learning</t>
  </si>
  <si>
    <t>Workshop - Reflections on Waterman’s story</t>
  </si>
  <si>
    <t>Introduction to motor learning and core theories</t>
  </si>
  <si>
    <t>Practical - Learning protocols</t>
  </si>
  <si>
    <t>The use of augmented information to facilitate motor learning</t>
  </si>
  <si>
    <t xml:space="preserve">Workshop - Data interpretation </t>
  </si>
  <si>
    <t>Planning optimal practice environments for motor learning</t>
  </si>
  <si>
    <t>Workshop - Optimal practice settings</t>
  </si>
  <si>
    <t>Visual control of action: introduction and theory</t>
  </si>
  <si>
    <t>Practical - Predictive mechanisms in interceptive actions</t>
  </si>
  <si>
    <t>Visual control of action: monocular and binocular contributions</t>
  </si>
  <si>
    <t>Workshop - Unpacking the visual information for interceptive action</t>
  </si>
  <si>
    <t>Eye movements during interceptive action</t>
  </si>
  <si>
    <t>Workshop - Data and output interpretation</t>
  </si>
  <si>
    <t>VR and interceptive action</t>
  </si>
  <si>
    <t>Practical - VR protocols</t>
  </si>
  <si>
    <t>Quantitative assessment of interceptive action</t>
  </si>
  <si>
    <t>6051SPS</t>
  </si>
  <si>
    <t>Professional Practice 3</t>
  </si>
  <si>
    <t>The module prepares the student for the placement or work related activity housed in 6054SPS. The module aims to develop student's ability to plan, prepare, initiate and reflect upon effective applied sport and exercise psychology practice with a client or service. The module will address topics such as safeguarding and ethical requirements of placement/practice, personal conduct, working in effective project teams and some requisite skills for applied sport and exercise psychology practice</t>
  </si>
  <si>
    <r>
      <rPr>
        <i/>
        <sz val="11"/>
        <color rgb="FF000000"/>
        <rFont val="Aptos Narrow"/>
        <scheme val="minor"/>
      </rPr>
      <t>Theme 1 Knowledge and skills for applied sport psychology practice: Indicative content inlcudes safeguarding, ethics, values, EDI, reflective practice, working with supervision, communication ,and working in teams </t>
    </r>
    <r>
      <rPr>
        <sz val="11"/>
        <color rgb="FF000000"/>
        <rFont val="Aptos Narrow"/>
        <scheme val="minor"/>
      </rPr>
      <t> </t>
    </r>
  </si>
  <si>
    <t>Prof Zoe Knowles and Dr Laura Swettenham</t>
  </si>
  <si>
    <r>
      <rPr>
        <i/>
        <sz val="11"/>
        <color rgb="FF000000"/>
        <rFont val="Aptos Narrow"/>
        <scheme val="minor"/>
      </rPr>
      <t>Theme 2 Modes of applied practice: indicative content includes individual consultancy, MDT’s, technology in practice, and psychoeducational workshops </t>
    </r>
    <r>
      <rPr>
        <sz val="11"/>
        <color rgb="FF000000"/>
        <rFont val="Aptos Narrow"/>
        <scheme val="minor"/>
      </rPr>
      <t> </t>
    </r>
  </si>
  <si>
    <t>The module content is focused on preparing the students knowledge and skills for working with a placement and work related learning project brief in an applied sport and exercise psychology. Taight sessions, skills workshops and supervision meeting will ensure students are able to apply knowledge and skills in preparedness for  that of thier specific placement/work related learning. These will be allocated by way of application where students can offer a CV and covering letter to the placement.work related project brief, all of which are group based and pre sourced</t>
  </si>
  <si>
    <t xml:space="preserve">Supervison tutorials when in placement groups will include consolidation tasks from session content and formative tasks for assessment </t>
  </si>
  <si>
    <t>Consider the relevant ethical and professional requirements for undertaking applied practice with an identified client group/service.</t>
  </si>
  <si>
    <t>Apply practice principles, methods and techniques to a case study</t>
  </si>
  <si>
    <t xml:space="preserve">Reflect on knowledge, skills and experiences related to professional practice </t>
  </si>
  <si>
    <t>15 minute group presentation in placement / project groups</t>
  </si>
  <si>
    <t>Viva</t>
  </si>
  <si>
    <t>Individual spoken viva on content from presentation, individual learning on module, reflective practice to date, and response to short case study</t>
  </si>
  <si>
    <t>Policy interpretation</t>
  </si>
  <si>
    <t>Cultural awareness and competence</t>
  </si>
  <si>
    <t>Professionalism</t>
  </si>
  <si>
    <t>Stakeholder awareness</t>
  </si>
  <si>
    <t>Organisational awareness</t>
  </si>
  <si>
    <t>Integrity</t>
  </si>
  <si>
    <t>Respect</t>
  </si>
  <si>
    <t>Professionalism and ethics for applied practice </t>
  </si>
  <si>
    <t>Codes of conduct and behaviour contract</t>
  </si>
  <si>
    <t>Formative task for Assessment 2: Linked In task worksheet</t>
  </si>
  <si>
    <t>Safeguarding</t>
  </si>
  <si>
    <t>Case studies</t>
  </si>
  <si>
    <t>Formative task for Assessment 2: Safeguarding worksheet</t>
  </si>
  <si>
    <t>Interrogating reflective writing</t>
  </si>
  <si>
    <t>Formative task for Assessment 1 and 2: Reflective practice literacy check</t>
  </si>
  <si>
    <t>EDI</t>
  </si>
  <si>
    <t>Formative task for Assessment 2: Responding to case studies</t>
  </si>
  <si>
    <t>Communication skills</t>
  </si>
  <si>
    <t>Skills workshop</t>
  </si>
  <si>
    <t>Formative task for Assessment  1 and 2: Communication</t>
  </si>
  <si>
    <t>Working effectively in teams</t>
  </si>
  <si>
    <t>Formative task for Assessment 2: Group working</t>
  </si>
  <si>
    <t>Individual consultancy</t>
  </si>
  <si>
    <t>Case notes workshop from video/live demonstration  </t>
  </si>
  <si>
    <t>Supervision tutorial - elevator pitch formative task, LinkedIn profiles and working in groups</t>
  </si>
  <si>
    <t>Working with other disciplines</t>
  </si>
  <si>
    <t xml:space="preserve">Supervision tutorial - Safeguarding and EDI considerations for placment/WRL project </t>
  </si>
  <si>
    <t>Technology in sport psychology</t>
  </si>
  <si>
    <t>Intervention examples workshop 1</t>
  </si>
  <si>
    <t>Supervision tutorial - Considerations on Directed Study Weektasks</t>
  </si>
  <si>
    <t xml:space="preserve">Psychoeducational workshop design incl group formative task on workshop design </t>
  </si>
  <si>
    <t>Intervention examples workshop 2</t>
  </si>
  <si>
    <t xml:space="preserve">Supervision tutorial: work with other disciplines and technology </t>
  </si>
  <si>
    <t>6053SPS</t>
  </si>
  <si>
    <t>Current Issues in Sport and Exercise Psychology</t>
  </si>
  <si>
    <t>The module aims to develop student's ability to critically evaluate contemporary issues in sport and exercise psychology that shape participants' performance, physical activity, wellbeing, health, or development.</t>
  </si>
  <si>
    <t>Theme 1: Current issues in psychology attached to sport: The content will reflect current issues underpinned by relevant research.</t>
  </si>
  <si>
    <t>Luke Olsson</t>
  </si>
  <si>
    <t xml:space="preserve">Theme 2: Current issues in psychology attached to exercise: The content will reflect current issues underpinned by relevant research. </t>
  </si>
  <si>
    <t>This module will help to develop your ability to critically evaluate contemporary issues in sport and/or exercise psychology that influence participants' performance, physical activity, wellbeing, health, and development.</t>
  </si>
  <si>
    <t>Formative activities include session quizes to check understanding for exam questions. The case report formative wiil take place in a teaching session to aid understanding of the case, and work on finding appropriate literature on the subject matter.</t>
  </si>
  <si>
    <t>Critically evaluate the research, perspectives, and models underpinning current issues in sport or exercise psychology</t>
  </si>
  <si>
    <t>Examine the underpinning considerations relating to current issues in sport or exercise psychology.</t>
  </si>
  <si>
    <t xml:space="preserve">2500 word report on a case study attached to a current issue in sport or exercise psychology. </t>
  </si>
  <si>
    <t xml:space="preserve">essay based, 2-hour exam attached to current issues in sport and/or exercise psychology.  </t>
  </si>
  <si>
    <t>exam period</t>
  </si>
  <si>
    <t>Research literacy</t>
  </si>
  <si>
    <t>Module intro and athlete burnout</t>
  </si>
  <si>
    <t>follow up seminar</t>
  </si>
  <si>
    <t>Mental wellbeing and ill health in athletes</t>
  </si>
  <si>
    <t xml:space="preserve">Psychological predictors of performance </t>
  </si>
  <si>
    <t>Athelte perfectionism</t>
  </si>
  <si>
    <t>Psychological coach climates</t>
  </si>
  <si>
    <t>The role of parents</t>
  </si>
  <si>
    <t>Postive emotions in exercise</t>
  </si>
  <si>
    <t>Please enhancing strategies in exercise</t>
  </si>
  <si>
    <t xml:space="preserve">Goal setting within a physical activity context </t>
  </si>
  <si>
    <t>Green exercise</t>
  </si>
  <si>
    <t>A systems based approach to phyical activity intervention</t>
  </si>
  <si>
    <t>6054SPS</t>
  </si>
  <si>
    <t>The module aims to apply student's skills and knowledge to work in applied practice through a programme sourced group placement or work-related learning project and supervision processes akin to that of professional training.</t>
  </si>
  <si>
    <t xml:space="preserve">Professional placement or work related learning project </t>
  </si>
  <si>
    <t xml:space="preserve">Placement or work related project </t>
  </si>
  <si>
    <r>
      <rPr>
        <i/>
        <sz val="11"/>
        <color rgb="FF000000"/>
        <rFont val="Arial"/>
      </rPr>
      <t>Theme 1: Reflection on semester 1 feedback, reflecting on practice of early career practitioners, careers support (Event 1) </t>
    </r>
    <r>
      <rPr>
        <sz val="11"/>
        <color rgb="FF000000"/>
        <rFont val="Arial"/>
      </rPr>
      <t> </t>
    </r>
  </si>
  <si>
    <t>Placement</t>
  </si>
  <si>
    <r>
      <rPr>
        <i/>
        <sz val="11"/>
        <color rgb="FF000000"/>
        <rFont val="Arial"/>
      </rPr>
      <t>Theme 2: On-site event with external speakers from the sport and exercise and allied fields compiled by student preference (Event 2)</t>
    </r>
    <r>
      <rPr>
        <sz val="11"/>
        <color rgb="FF000000"/>
        <rFont val="Arial"/>
      </rPr>
      <t> </t>
    </r>
  </si>
  <si>
    <t>The module has 3 contact points of half day events and is primarily delivered through placement/WRL project activity and supervision seminars. The module will allow the student to apply group working skills, create an effective product/service related to applied sport and exercise psychology, appraise thier own professional practice skill development  and utilise reflective practice skills.  </t>
  </si>
  <si>
    <t>AI may be used in product based work by way of  creating resources/formatting determined by the project brief/client demand</t>
  </si>
  <si>
    <t>Formative review of product: Scheduled in accordance with the timeline of the group project delivery ther will be an opportunity to present a formative product for feedback when 50% of anticipated placement hours are completed</t>
  </si>
  <si>
    <t xml:space="preserve">Contact hours: 10 hours group supervision meetings (seminar}; 20 hours placement provider or project contact/delivery and 10 hours independent associated group work (practical); 6 hours for 2 half day events (workshop) </t>
  </si>
  <si>
    <t>Design an effective group-based product/service appropriate to the placement/project and client group. </t>
  </si>
  <si>
    <t>Critically appraise the design, delivery, and impact of the applied sport and exercise psychology provision for the client group. </t>
  </si>
  <si>
    <t>Reflect on placement experience, skills, and knowledge relevant to applied sport and exercise psychology practice </t>
  </si>
  <si>
    <t>Group product as per that specified in the Placement or Work Related Project Factfile each group is working to</t>
  </si>
  <si>
    <t>Reflective and professional skills audit essay (1500 words)</t>
  </si>
  <si>
    <t>Leadership</t>
  </si>
  <si>
    <t>Service delivery</t>
  </si>
  <si>
    <t>Evaluation of outcomes</t>
  </si>
  <si>
    <t>Module induction session</t>
  </si>
  <si>
    <t>Applied practice and careers advice half day event</t>
  </si>
  <si>
    <t>Potential placement activity</t>
  </si>
  <si>
    <t>Supervision meeting</t>
  </si>
  <si>
    <t>SEM401</t>
  </si>
  <si>
    <t>Applied Biomechanics</t>
  </si>
  <si>
    <t>Jane Smith</t>
  </si>
  <si>
    <t>Explain the fundamental principles of biomechanics</t>
  </si>
  <si>
    <t>Analyse human movement using quantitative methods</t>
  </si>
  <si>
    <t>Apply biomechanical concepts to practical scenarios</t>
  </si>
  <si>
    <t>Group presentation on biomechanical principles in weightlifting</t>
  </si>
  <si>
    <t>Introduction to biomechanics</t>
  </si>
  <si>
    <t>Linear kinematics</t>
  </si>
  <si>
    <t>2D motion analysis practical</t>
  </si>
  <si>
    <t>Angular kinematics</t>
  </si>
  <si>
    <t>Forces and Newton’s laws</t>
  </si>
  <si>
    <t>Force platform practical</t>
  </si>
  <si>
    <t>Work, energy, and power</t>
  </si>
  <si>
    <t>Momentum and impulse</t>
  </si>
  <si>
    <t>Fluid mechanics</t>
  </si>
  <si>
    <t>Tissue mechanics</t>
  </si>
  <si>
    <t>Biomechanical modelling</t>
  </si>
  <si>
    <t>Measurement techniques</t>
  </si>
  <si>
    <t xml:space="preserve">Markerless practical </t>
  </si>
  <si>
    <t>Revision / assessment preparation</t>
  </si>
  <si>
    <t>Category</t>
  </si>
  <si>
    <t>Skill</t>
  </si>
  <si>
    <t>Modules Covering</t>
  </si>
  <si>
    <t>Module Count</t>
  </si>
  <si>
    <t>Covered</t>
  </si>
  <si>
    <t>Research Methods 1; Research Methods 2; Major Project; Introduction to Cognitive and Biological Psychology; Advances in Cognitive and Biological Psychology; Exercise and Health Psychology; Applied Motor Behaviour; Current Issues in Sport and Exercise Psychology</t>
  </si>
  <si>
    <t>Research Methods 1; Research Methods 2; Advances in Cognitive and Biological Psychology</t>
  </si>
  <si>
    <t>Research Methods 1; Research Methods 2; Major Project; Advances in Cognitive and Biological Psychology; Exercise and Health Psychology; Applied Motor Behaviour</t>
  </si>
  <si>
    <t>Introduction to Cognitive and Biological Psychology; Academic Skills; Psychosocial Principles of Sport and Exercise; PROFESSIONAL PRACTICE IN SPORT PSYCHOLOGY 2; Advances in Cognitive and Biological Psychology; Exercise and Health Psychology; Sport and Performance Psychology; Current Issues in Sport and Exercise Psychology</t>
  </si>
  <si>
    <t>Research Methods 1; PROFESSIONAL PRACTICE IN SPORT PSYCHOLOGY 1; Academic Skills; PROFESSIONAL PRACTICE IN SPORT PSYCHOLOGY 2; Professional Practice 3; Professional placement or work related learning project</t>
  </si>
  <si>
    <t>Technical proficiency</t>
  </si>
  <si>
    <t>Major Project</t>
  </si>
  <si>
    <t>Risk assessment</t>
  </si>
  <si>
    <t>Adaptability</t>
  </si>
  <si>
    <t>Major Project; PROFESSIONAL PRACTICE IN SPORT PSYCHOLOGY 1; Introduction to Cognitive and Biological Psychology; PROFESSIONAL PRACTICE IN SPORT PSYCHOLOGY 2; Professional Practice 3</t>
  </si>
  <si>
    <t>Exercise and Health Psychology; Current Issues in Sport and Exercise Psychology</t>
  </si>
  <si>
    <t>Delegation</t>
  </si>
  <si>
    <t>Resilience</t>
  </si>
  <si>
    <t>Initiative</t>
  </si>
  <si>
    <t>Accountability</t>
  </si>
  <si>
    <t>Psychosocial Principles of Sport and Exercise; Sport and Performance Psychology; Current Issues in Sport and Exercise Psychology</t>
  </si>
  <si>
    <t>Professional placement or work related learning project</t>
  </si>
  <si>
    <t>Coaching and mentoring</t>
  </si>
  <si>
    <t>Conflict resolution</t>
  </si>
  <si>
    <t>Empathy</t>
  </si>
  <si>
    <t>Multi-tasking</t>
  </si>
  <si>
    <t>Resource management</t>
  </si>
  <si>
    <t>ModuleCode</t>
  </si>
  <si>
    <t>ModuleTitle</t>
  </si>
  <si>
    <t>Total Contact Hours</t>
  </si>
  <si>
    <t>Hours per Credit</t>
  </si>
  <si>
    <t>Introduction to Developmental Psychology and Individual Differences</t>
  </si>
  <si>
    <t>Developmental and Social Psychology</t>
  </si>
  <si>
    <t>4091SPS</t>
  </si>
  <si>
    <t>Research Methods 1</t>
  </si>
  <si>
    <t>Theodoors Bampouras</t>
  </si>
  <si>
    <t>Research Strand</t>
  </si>
  <si>
    <t>5091SPS</t>
  </si>
  <si>
    <t>Research Methods 2</t>
  </si>
  <si>
    <t>Jonathan Foulkes</t>
  </si>
  <si>
    <t>6091SPS</t>
  </si>
  <si>
    <t>Dave Low</t>
  </si>
  <si>
    <t>Research Project</t>
  </si>
  <si>
    <t>SourceWorkbook</t>
  </si>
  <si>
    <t>Programme</t>
  </si>
  <si>
    <t>TableName</t>
  </si>
  <si>
    <t>ProgCode</t>
  </si>
  <si>
    <t>Sport Psychology - AllModuleProformas.xlsx</t>
  </si>
  <si>
    <t>4051SPS_Hours</t>
  </si>
  <si>
    <t>PSYC</t>
  </si>
  <si>
    <t>4052SPS_Hours</t>
  </si>
  <si>
    <t>4053SPS_Hours</t>
  </si>
  <si>
    <t>4054SPS_Hours</t>
  </si>
  <si>
    <t>4093SPS_Hours</t>
  </si>
  <si>
    <t>5051SPS_Hours</t>
  </si>
  <si>
    <t>5052SPS_Hours</t>
  </si>
  <si>
    <t>5053SPS_Hours</t>
  </si>
  <si>
    <t>5054SPS_Hours</t>
  </si>
  <si>
    <t>5093SPS_Hours</t>
  </si>
  <si>
    <t>6051SPS_Hours</t>
  </si>
  <si>
    <t>6052SPS_Hours</t>
  </si>
  <si>
    <t>6053SPS_Hours</t>
  </si>
  <si>
    <t>6054SPS_Hours</t>
  </si>
  <si>
    <t>Sport and Exercise Science - AllModuleProformas.xlsx</t>
  </si>
  <si>
    <t>4091SPS_Hours</t>
  </si>
  <si>
    <t>5091SPS_Hours</t>
  </si>
  <si>
    <t>6091SPS_Hours</t>
  </si>
  <si>
    <t>ItemSuffix</t>
  </si>
  <si>
    <t>4051SPS_Meta</t>
  </si>
  <si>
    <t>Meta</t>
  </si>
  <si>
    <t>4052SPS_Meta</t>
  </si>
  <si>
    <t>4053SPS_Meta</t>
  </si>
  <si>
    <t>4054SPS_Meta</t>
  </si>
  <si>
    <t>4093SPS_Meta</t>
  </si>
  <si>
    <t>5051SPS_Meta</t>
  </si>
  <si>
    <t>5052SPS_Meta</t>
  </si>
  <si>
    <t>5053SPS_Meta</t>
  </si>
  <si>
    <t>5054SPS_Meta</t>
  </si>
  <si>
    <t>5093SPS_Meta</t>
  </si>
  <si>
    <t>6051SPS_Meta</t>
  </si>
  <si>
    <t>6052SPS_Meta</t>
  </si>
  <si>
    <t>6053SPS_Meta</t>
  </si>
  <si>
    <t>6054SPS_Meta</t>
  </si>
  <si>
    <t>4091SPS_Meta</t>
  </si>
  <si>
    <t>5091SPS_Meta</t>
  </si>
  <si>
    <t>YL</t>
  </si>
  <si>
    <t>6091SPS_Meta</t>
  </si>
  <si>
    <t>4091SPS_Mapping</t>
  </si>
  <si>
    <t>Mapping</t>
  </si>
  <si>
    <t>5091SPS_Mapping</t>
  </si>
  <si>
    <t>6091SPS_Mapping</t>
  </si>
  <si>
    <t>4051SPS_Mapping</t>
  </si>
  <si>
    <t>4052SPS_Mapping</t>
  </si>
  <si>
    <t>4053SPS_Mapping</t>
  </si>
  <si>
    <t>4054SPS_Mapping</t>
  </si>
  <si>
    <t>4093SPS_Mapping</t>
  </si>
  <si>
    <t>5051SPS_Mapping</t>
  </si>
  <si>
    <t>5052SPS_Mapping</t>
  </si>
  <si>
    <t>5053SPS_Mapping</t>
  </si>
  <si>
    <t>5054SPS_Mapping</t>
  </si>
  <si>
    <t>5093SPS_Mapping</t>
  </si>
  <si>
    <t>6051SPS_Mapping</t>
  </si>
  <si>
    <t>6052SPS_Mapping</t>
  </si>
  <si>
    <t>6053SPS_Mapping</t>
  </si>
  <si>
    <t>6054SPS_Mapping</t>
  </si>
  <si>
    <t>Hours</t>
  </si>
  <si>
    <t>4091SPS_Assess</t>
  </si>
  <si>
    <t>Assess</t>
  </si>
  <si>
    <t>Assessment period</t>
  </si>
  <si>
    <t>5091SPS_Assess</t>
  </si>
  <si>
    <t>Dissertation</t>
  </si>
  <si>
    <t>6091SPS_Assess</t>
  </si>
  <si>
    <t>Individual Presentation</t>
  </si>
  <si>
    <t xml:space="preserve">Students are required to manage their own project throughout the year and produce, present and defend their major project </t>
  </si>
  <si>
    <t>4051SPS_Assess</t>
  </si>
  <si>
    <t>4052SPS_Assess</t>
  </si>
  <si>
    <t>4053SPS_Assess</t>
  </si>
  <si>
    <t>4054SPS_Assess</t>
  </si>
  <si>
    <t>4093SPS_Assess</t>
  </si>
  <si>
    <t>5051SPS_Assess</t>
  </si>
  <si>
    <t>5052SPS_Assess</t>
  </si>
  <si>
    <t>5053SPS_Assess</t>
  </si>
  <si>
    <t>5054SPS_Assess</t>
  </si>
  <si>
    <t>5093SPS_Assess</t>
  </si>
  <si>
    <t>6051SPS_Assess</t>
  </si>
  <si>
    <t>6052SPS_Assess</t>
  </si>
  <si>
    <t>6053SPS_Assess</t>
  </si>
  <si>
    <t>6054SPS_Assess</t>
  </si>
  <si>
    <t>Identify characteristics of different research designs</t>
  </si>
  <si>
    <t>4091SPS_LO</t>
  </si>
  <si>
    <t>LO</t>
  </si>
  <si>
    <t>Apply, interpret and report quantitative and qualitative techniques</t>
  </si>
  <si>
    <t>Deploy accurately established techniques of analysis and enquiry within a discipline</t>
  </si>
  <si>
    <t>5091SPS_LO</t>
  </si>
  <si>
    <t>Manage their own learning, and to make use of scholarly reviews and primary sources (for example, refereed research articles and/or original materials appropriate to the discipline).</t>
  </si>
  <si>
    <t>Apply skills and competencies to conduct research in an area relevant to their programme of study</t>
  </si>
  <si>
    <t>6091SPS_LO</t>
  </si>
  <si>
    <t>Critically appraise the research in a written format as specified by the major project guidelines</t>
  </si>
  <si>
    <t>Present and defend the progress and summary of the project and its findings in a scientific manner</t>
  </si>
  <si>
    <t>4051SPS_LO</t>
  </si>
  <si>
    <t>4052SPS_LO</t>
  </si>
  <si>
    <t>4053SPS_LO</t>
  </si>
  <si>
    <t>4054SPS_LO</t>
  </si>
  <si>
    <t>4093SPS_LO</t>
  </si>
  <si>
    <t>5051SPS_LO</t>
  </si>
  <si>
    <t>5052SPS_LO</t>
  </si>
  <si>
    <t>5053SPS_LO</t>
  </si>
  <si>
    <t>5054SPS_LO</t>
  </si>
  <si>
    <t>5093SPS_LO</t>
  </si>
  <si>
    <t>6051SPS_LO</t>
  </si>
  <si>
    <t>6052SPS_LO</t>
  </si>
  <si>
    <t>6053SPS_LO</t>
  </si>
  <si>
    <t>6054SPS_LO</t>
  </si>
  <si>
    <t>Table 1</t>
  </si>
  <si>
    <t>Table 3</t>
  </si>
  <si>
    <t>Table 5</t>
  </si>
  <si>
    <t>Scientific Knowledge</t>
  </si>
  <si>
    <t>Category text shown to user</t>
  </si>
  <si>
    <t>Defined Name</t>
  </si>
  <si>
    <t>Option module</t>
  </si>
  <si>
    <t>ScientificKnowledge</t>
  </si>
  <si>
    <t>TechnicalSkills</t>
  </si>
  <si>
    <t>ApplicationofKnowledge</t>
  </si>
  <si>
    <t>UnderstandingResearch</t>
  </si>
  <si>
    <t>Reflection</t>
  </si>
  <si>
    <t>SelfEvaluation</t>
  </si>
  <si>
    <t>Football Science</t>
  </si>
  <si>
    <t>Journal</t>
  </si>
  <si>
    <t>Physical Education</t>
  </si>
  <si>
    <t>MCQ Online Test</t>
  </si>
  <si>
    <t>ProblemSolving</t>
  </si>
  <si>
    <t>Sport and Exercise Science</t>
  </si>
  <si>
    <t>Technical Skills</t>
  </si>
  <si>
    <t>MgmtSelf</t>
  </si>
  <si>
    <t>Sport Coaching</t>
  </si>
  <si>
    <t>DeliveryEnvironment</t>
  </si>
  <si>
    <t>Sport Nutrition</t>
  </si>
  <si>
    <t>ProfRelationships</t>
  </si>
  <si>
    <t>SES and FS</t>
  </si>
  <si>
    <t>SES, SC, PE</t>
  </si>
  <si>
    <t>SES and SN</t>
  </si>
  <si>
    <t>SC and PE</t>
  </si>
  <si>
    <t>Application of Knowledge &amp; Skills</t>
  </si>
  <si>
    <t>Professional relationships &amp; behaviours</t>
  </si>
  <si>
    <t>Online test with multiple-choice, fill in the gap or true/false questions. The test is not invigilated but taken within a specific time-window. The questions are based around the content of the first 4 weeks. Practice questions will be available on Canvas. [NB: The restriction of not being able to take the test on site, and thus invigilate it, is imposed by the University]</t>
  </si>
  <si>
    <t>Online exam, in-person and on campus, invigilated. Multiple-choice, fill in the gap or true/false questions. The questions are based around the remaining content (after 4 weeks) of the module. Practice questions will be available on Canvas.</t>
  </si>
  <si>
    <t>Portfolio (2500 words)Group presentation demonstrating their analysis of a mixed-methods data set i.e. both qualitative and quantitative data. Assessment Criteria will include an individual mark to help differentiate grades between students alongside Peer Review i.e. Buddycheck.</t>
  </si>
  <si>
    <t>Research Proposal outlining the design and methodology of a feasible study the student could undertake at L6 i.e. Dissertation Major Project</t>
  </si>
  <si>
    <t>Assessment Period</t>
  </si>
  <si>
    <t>Students are required to submit a thesis that describes and reports the major project that they conducted using the scientific method, e.g., Introduction, Methods, Results and Discussion. This could be in the format of an Empirical type project or a Systeamtic Review type project. AI use will be allowed and will be assessed.</t>
  </si>
  <si>
    <t>Major Project; PROFESSIONAL PRACTICE IN SPORT PSYCHOLOGY 1; Introduction to Developmental Psychology and Individual Differences; Exercise and Health Psychology; Developmental and Social Psychology; Sport and Performance Psychology; Applied Motor Behaviour; Current Issues in Sport and Exercise Psychology</t>
  </si>
  <si>
    <t>Research Methods 1; Research Methods 2; Introduction to Cognitive and Biological Psychology; Psychosocial Principles of Sport and Exercise; Advances in Cognitive and Biological Psychology; Sport and Performance Psychology; Professional Practice 3; Current Issues in Sport and Exercise Psychology</t>
  </si>
  <si>
    <t>Major Project; Introduction to Developmental Psychology and Individual Differences; Academic Skills; Exercise and Health Psychology; Developmental and Social Psychology; Sport and Performance Psychology; Current Issues in Sport and Exercise Psychology</t>
  </si>
  <si>
    <t>Research Methods 1; Academic Skills; PROFESSIONAL PRACTICE IN SPORT PSYCHOLOGY 2; Sport and Performance Psychology; Applied Motor Behaviour; Professional Practice 3; Current Issues in Sport and Exercise Psychology; Professional placement or work related learning project</t>
  </si>
  <si>
    <t>Advances in Cognitive and Biological Psychology; Applied Motor Behaviour</t>
  </si>
  <si>
    <t>Research Methods 2; Introduction to Cognitive and Biological Psychology; Exercise and Health Psychology</t>
  </si>
  <si>
    <t>Major Project; Advances in Cognitive and Biological Psychology; Exercise and Health Psychology</t>
  </si>
  <si>
    <t>Research Methods 2; Major Project; PROFESSIONAL PRACTICE IN SPORT PSYCHOLOGY 1; Introduction to Developmental Psychology and Individual Differences; PROFESSIONAL PRACTICE IN SPORT PSYCHOLOGY 2; Advances in Cognitive and Biological Psychology; Exercise and Health Psychology; Professional Practice 3</t>
  </si>
  <si>
    <t>Academic Skills; Advances in Cognitive and Biological Psychology; Exercise and Health Psychology; Professional Practice 3</t>
  </si>
  <si>
    <t>Research Methods 2; Academic Skills; Developmental and Social Psychology</t>
  </si>
  <si>
    <t>PROFESSIONAL PRACTICE IN SPORT PSYCHOLOGY 1; Academic Skills; PROFESSIONAL PRACTICE IN SPORT PSYCHOLOGY 2; Advances in Cognitive and Biological Psychology; Exercise and Health Psychology; Developmental and Social Psychology; Sport and Performance Psychology</t>
  </si>
  <si>
    <t>Research Methods 2; Major Project; Introduction to Cognitive and Biological Psychology; Academic Skills; Advances in Cognitive and Biological Psychology; Exercise and Health Psychology; Developmental and Social Psychology</t>
  </si>
  <si>
    <t>Major Project; PROFESSIONAL PRACTICE IN SPORT PSYCHOLOGY 1; Psychosocial Principles of Sport and Exercise; PROFESSIONAL PRACTICE IN SPORT PSYCHOLOGY 2</t>
  </si>
  <si>
    <t>PROFESSIONAL PRACTICE IN SPORT PSYCHOLOGY 1; PROFESSIONAL PRACTICE IN SPORT PSYCHOLOGY 2; Advances in Cognitive and Biological Psychology; Developmental and Social Psychology; Sport and Performance Psychology; Applied Motor Behaviour; Professional placement or work related learning project</t>
  </si>
  <si>
    <t>PROFESSIONAL PRACTICE IN SPORT PSYCHOLOGY 1; Introduction to Cognitive and Biological Psychology; Psychosocial Principles of Sport and Exercise; PROFESSIONAL PRACTICE IN SPORT PSYCHOLOGY 2; Sport and Performance Psychology; Professional Practice 3; Current Issues in Sport and Exercise Psychology</t>
  </si>
  <si>
    <t>Introduction to Developmental Psychology and Individual Differences; Exercise and Health Psychology</t>
  </si>
  <si>
    <t>Introduction to Developmental Psychology and Individual Differences; Exercise and Health Psychology; Developmental and Social Psychology; Current Issues in Sport and Exercise Psychology</t>
  </si>
  <si>
    <t>Introduction to Cognitive and Biological Psychology; Advances in Cognitive and Biological Psychology; Exercise and Health Psychology; Applied Motor Behaviour</t>
  </si>
  <si>
    <t>Introduction to Cognitive and Biological Psychology; Advances in Cognitive and Biological Psychology; Current Issues in Sport and Exercise Psychology</t>
  </si>
  <si>
    <t>Introduction to Cognitive and Biological Psychology; Advances in Cognitive and Biological Psychology; Sport and Performance Psychology; Current Issues in Sport and Exercise Psychology</t>
  </si>
  <si>
    <t>Academic Skills; Exercise and Health Psychology; Developmental and Social Psychology; Sport and Performance Psychology</t>
  </si>
  <si>
    <t>Professional Practice 3; Professional placement or work related learning project</t>
  </si>
  <si>
    <t>PROFESSIONAL PRACTICE IN SPORT PSYCHOLOGY 1; Professional Practice 3; Professional placement or work related learning project</t>
  </si>
  <si>
    <t>Introduction to Cognitive and Biological Psychology; Advances in Cognitive and Biological Psychology; Sport and Performance Psychology; Professional Practice 3; Professional placement or work related learning project</t>
  </si>
  <si>
    <t>PROFESSIONAL PRACTICE IN SPORT PSYCHOLOGY 2; Professional placement or work related learning project</t>
  </si>
  <si>
    <t>Describe and analyse aspects of current research, or equivalent advanced scholarship, in the discipline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</si>
</sst>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x14ac:knownFonts="1">
    <font>
      <sz val="11"/>
      <color theme="1"/>
      <name val="Aptos Narrow"/>
      <family val="2"/>
      <scheme val="minor"/>
    </font>
    <font>
      <b/>
      <sz val="11"/>
      <color theme="1"/>
      <name val="Aptos Narrow"/>
      <family val="2"/>
      <scheme val="minor"/>
    </font>
    <font>
      <sz val="8"/>
      <name val="Aptos Narrow"/>
      <family val="2"/>
      <scheme val="minor"/>
    </font>
    <font>
      <b/>
      <sz val="14"/>
      <color theme="1"/>
      <name val="Aptos Narrow"/>
      <family val="2"/>
      <scheme val="minor"/>
    </font>
    <font>
      <b/>
      <sz val="20"/>
      <color theme="1"/>
      <name val="Aptos Narrow"/>
      <family val="2"/>
      <scheme val="minor"/>
    </font>
    <font>
      <b/>
      <sz val="11"/>
      <color theme="0"/>
      <name val="Aptos Narrow"/>
      <family val="2"/>
      <scheme val="minor"/>
    </font>
    <font>
      <i/>
      <sz val="12"/>
      <color theme="1"/>
      <name val="Aptos Narrow"/>
      <family val="2"/>
    </font>
    <font>
      <sz val="11"/>
      <color theme="1"/>
      <name val="Calibri"/>
      <family val="2"/>
      <charset val="1"/>
    </font>
    <font>
      <sz val="11"/>
      <color rgb="FF000000"/>
      <name val="Arial"/>
      <family val="2"/>
      <charset val="1"/>
    </font>
    <font>
      <sz val="11"/>
      <color rgb="FF000000"/>
      <name val="Aptos Narrow"/>
      <family val="2"/>
    </font>
    <font>
      <sz val="11"/>
      <color rgb="FF000000"/>
      <name val="Aptos Narrow"/>
      <family val="2"/>
      <scheme val="minor"/>
    </font>
    <font>
      <sz val="11"/>
      <color theme="1"/>
      <name val="Aptos Narrow"/>
      <family val="2"/>
      <scheme val="minor"/>
    </font>
    <font>
      <i/>
      <sz val="11"/>
      <color rgb="FF000000"/>
      <name val="Aptos Narrow"/>
      <family val="2"/>
      <scheme val="minor"/>
    </font>
    <font>
      <sz val="11"/>
      <color rgb="FF000000"/>
      <name val="Aptos"/>
      <family val="2"/>
      <charset val="1"/>
    </font>
    <font>
      <sz val="11"/>
      <color theme="1"/>
      <name val="Aptos"/>
      <family val="2"/>
    </font>
    <font>
      <sz val="11"/>
      <color rgb="FF000000"/>
      <name val="Aptos"/>
      <family val="2"/>
    </font>
    <font>
      <sz val="11"/>
      <color rgb="FF000000"/>
      <name val="Arial"/>
      <family val="2"/>
    </font>
    <font>
      <sz val="10.5"/>
      <color theme="1"/>
      <name val="Roboto"/>
    </font>
    <font>
      <sz val="9"/>
      <color rgb="FF525252"/>
      <name val="Roboto"/>
      <family val="2"/>
      <charset val="1"/>
    </font>
    <font>
      <sz val="11"/>
      <color rgb="FF525252"/>
      <name val="Aptos Narrow"/>
      <family val="2"/>
      <scheme val="minor"/>
    </font>
    <font>
      <sz val="12"/>
      <color theme="1"/>
      <name val="Arial"/>
      <family val="2"/>
      <charset val="1"/>
    </font>
    <font>
      <sz val="12"/>
      <color theme="1"/>
      <name val="Aptos Narrow"/>
      <family val="2"/>
      <scheme val="minor"/>
    </font>
    <font>
      <sz val="12"/>
      <color theme="1"/>
      <name val="Symbol"/>
      <family val="1"/>
      <charset val="2"/>
    </font>
    <font>
      <sz val="12"/>
      <color rgb="FF000000"/>
      <name val="Aptos Display"/>
      <family val="2"/>
      <scheme val="major"/>
    </font>
    <font>
      <sz val="12"/>
      <color rgb="FF000000"/>
      <name val="Symbol"/>
      <family val="1"/>
      <charset val="2"/>
    </font>
    <font>
      <i/>
      <sz val="11"/>
      <color theme="1"/>
      <name val="Aptos Narrow"/>
      <family val="2"/>
      <scheme val="minor"/>
    </font>
    <font>
      <sz val="12"/>
      <color theme="1"/>
      <name val="Calibri"/>
      <family val="2"/>
      <charset val="1"/>
    </font>
    <font>
      <sz val="11"/>
      <color rgb="FF242424"/>
      <name val="Aptos Narrow"/>
      <family val="2"/>
    </font>
    <font>
      <sz val="11"/>
      <color rgb="FF273540"/>
      <name val="Aptos Narrow"/>
      <family val="2"/>
      <scheme val="minor"/>
    </font>
    <font>
      <sz val="11"/>
      <color theme="1"/>
      <name val="Cambria"/>
      <family val="1"/>
    </font>
    <font>
      <sz val="11"/>
      <color theme="1"/>
      <name val="Symbol"/>
      <family val="1"/>
      <charset val="2"/>
    </font>
    <font>
      <sz val="11"/>
      <color rgb="FF525252"/>
      <name val="Roboto"/>
      <family val="2"/>
      <charset val="1"/>
    </font>
    <font>
      <sz val="11"/>
      <color rgb="FF000000"/>
      <name val="Calibri"/>
      <family val="2"/>
    </font>
    <font>
      <sz val="12"/>
      <color theme="1"/>
      <name val="Calibri"/>
      <family val="2"/>
    </font>
    <font>
      <i/>
      <sz val="11"/>
      <color rgb="FF000000"/>
      <name val="Aptos Narrow"/>
      <charset val="1"/>
    </font>
    <font>
      <sz val="11"/>
      <color theme="1"/>
      <name val="Segoe UI"/>
      <charset val="1"/>
    </font>
    <font>
      <i/>
      <sz val="11"/>
      <color rgb="FF000000"/>
      <name val="Aptos Narrow"/>
      <family val="2"/>
      <charset val="1"/>
    </font>
    <font>
      <sz val="11"/>
      <color rgb="FF242424"/>
      <name val="Aptos Narrow"/>
      <charset val="1"/>
    </font>
    <font>
      <i/>
      <sz val="11"/>
      <color theme="1"/>
      <name val="Arial"/>
    </font>
    <font>
      <sz val="11"/>
      <color rgb="FF000000"/>
      <name val="Aptos"/>
    </font>
    <font>
      <i/>
      <sz val="11"/>
      <color rgb="FF000000"/>
      <name val="Aptos"/>
    </font>
    <font>
      <u/>
      <sz val="11"/>
      <color rgb="FF000000"/>
      <name val="Aptos"/>
    </font>
    <font>
      <i/>
      <sz val="11"/>
      <color rgb="FF000000"/>
      <name val="Aptos Narrow"/>
      <scheme val="minor"/>
    </font>
    <font>
      <sz val="11"/>
      <color rgb="FF000000"/>
      <name val="Aptos Narrow"/>
      <scheme val="minor"/>
    </font>
    <font>
      <sz val="11"/>
      <color theme="1"/>
      <name val="Aptos Narrow"/>
    </font>
    <font>
      <i/>
      <sz val="11"/>
      <color rgb="FF000000"/>
      <name val="Arial"/>
    </font>
    <font>
      <sz val="11"/>
      <color rgb="FF000000"/>
      <name val="Arial"/>
    </font>
  </fonts>
  <fills count="7">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
      <patternFill patternType="solid">
        <fgColor theme="0" tint="-0.14999847407452621"/>
        <bgColor indexed="64"/>
      </patternFill>
    </fill>
    <fill>
      <patternFill patternType="solid">
        <fgColor rgb="FFFFFFFF"/>
        <bgColor indexed="64"/>
      </patternFill>
    </fill>
    <fill>
      <patternFill patternType="solid">
        <fgColor theme="7" tint="0.79998168889431442"/>
        <bgColor indexed="64"/>
      </patternFill>
    </fill>
  </fills>
  <borders count="7">
    <border>
      <left/>
      <right/>
      <top/>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8">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horizontal="left" vertical="center" wrapText="1"/>
    </xf>
    <xf numFmtId="0" fontId="0" fillId="0" borderId="0" xfId="0" applyAlignment="1">
      <alignment horizontal="left" vertical="center" wrapText="1"/>
    </xf>
    <xf numFmtId="0" fontId="3" fillId="0" borderId="0" xfId="0" applyFont="1" applyAlignment="1">
      <alignment vertical="center" wrapText="1"/>
    </xf>
    <xf numFmtId="0" fontId="0" fillId="0" borderId="0" xfId="0" applyAlignment="1">
      <alignment horizontal="center"/>
    </xf>
    <xf numFmtId="0" fontId="6" fillId="0" borderId="0" xfId="0" applyFont="1"/>
    <xf numFmtId="0" fontId="4" fillId="4" borderId="0" xfId="0" applyFont="1" applyFill="1"/>
    <xf numFmtId="0" fontId="0" fillId="0" borderId="0" xfId="0" applyAlignment="1" applyProtection="1">
      <alignment horizontal="left" vertical="center" wrapText="1"/>
      <protection locked="0"/>
    </xf>
    <xf numFmtId="0" fontId="0" fillId="0" borderId="0" xfId="0" applyAlignment="1" applyProtection="1">
      <alignment horizontal="center" vertical="center" wrapText="1"/>
      <protection locked="0"/>
    </xf>
    <xf numFmtId="9" fontId="0" fillId="0" borderId="0" xfId="0" applyNumberFormat="1" applyAlignment="1" applyProtection="1">
      <alignment horizontal="left" vertical="center" wrapText="1"/>
      <protection locked="0"/>
    </xf>
    <xf numFmtId="0" fontId="0" fillId="0" borderId="0" xfId="0" applyProtection="1">
      <protection locked="0"/>
    </xf>
    <xf numFmtId="0" fontId="1" fillId="0" borderId="0" xfId="0" applyFont="1" applyProtection="1">
      <protection locked="0"/>
    </xf>
    <xf numFmtId="0" fontId="8" fillId="0" borderId="0" xfId="0" applyFont="1" applyProtection="1">
      <protection locked="0"/>
    </xf>
    <xf numFmtId="0" fontId="9" fillId="0" borderId="0" xfId="0" applyFont="1" applyProtection="1">
      <protection locked="0"/>
    </xf>
    <xf numFmtId="0" fontId="10" fillId="0" borderId="0" xfId="0" applyFont="1" applyAlignment="1" applyProtection="1">
      <alignment wrapText="1"/>
      <protection locked="0"/>
    </xf>
    <xf numFmtId="0" fontId="11" fillId="0" borderId="0" xfId="0" applyFont="1" applyAlignment="1" applyProtection="1">
      <alignment horizontal="left" vertical="center" wrapText="1"/>
      <protection locked="0"/>
    </xf>
    <xf numFmtId="0" fontId="11" fillId="0" borderId="0" xfId="0" applyFont="1" applyAlignment="1" applyProtection="1">
      <alignment wrapText="1"/>
      <protection locked="0"/>
    </xf>
    <xf numFmtId="0" fontId="7" fillId="0" borderId="0" xfId="0" applyFont="1" applyAlignment="1" applyProtection="1">
      <alignment wrapText="1"/>
      <protection locked="0"/>
    </xf>
    <xf numFmtId="0" fontId="7" fillId="0" borderId="5" xfId="0" applyFont="1" applyBorder="1" applyAlignment="1" applyProtection="1">
      <alignment wrapText="1"/>
      <protection locked="0"/>
    </xf>
    <xf numFmtId="0" fontId="0" fillId="0" borderId="0" xfId="0" applyAlignment="1" applyProtection="1">
      <alignment wrapText="1"/>
      <protection locked="0"/>
    </xf>
    <xf numFmtId="0" fontId="13" fillId="5" borderId="6" xfId="0" applyFont="1" applyFill="1" applyBorder="1" applyAlignment="1" applyProtection="1">
      <alignment wrapText="1"/>
      <protection locked="0"/>
    </xf>
    <xf numFmtId="0" fontId="13" fillId="6" borderId="6" xfId="0" applyFont="1" applyFill="1" applyBorder="1" applyAlignment="1" applyProtection="1">
      <alignment wrapText="1"/>
      <protection locked="0"/>
    </xf>
    <xf numFmtId="0" fontId="14" fillId="0" borderId="0" xfId="0" applyFont="1" applyAlignment="1" applyProtection="1">
      <alignment horizontal="left" vertical="center" wrapText="1"/>
      <protection locked="0"/>
    </xf>
    <xf numFmtId="0" fontId="15" fillId="0" borderId="0" xfId="0" applyFont="1" applyAlignment="1" applyProtection="1">
      <alignment wrapText="1"/>
      <protection locked="0"/>
    </xf>
    <xf numFmtId="0" fontId="16" fillId="0" borderId="0" xfId="0" applyFont="1" applyProtection="1">
      <protection locked="0"/>
    </xf>
    <xf numFmtId="0" fontId="17" fillId="0" borderId="0" xfId="0" applyFont="1" applyAlignment="1" applyProtection="1">
      <alignment wrapText="1"/>
      <protection locked="0"/>
    </xf>
    <xf numFmtId="0" fontId="18" fillId="0" borderId="0" xfId="0" applyFont="1" applyAlignment="1" applyProtection="1">
      <alignment wrapText="1"/>
      <protection locked="0"/>
    </xf>
    <xf numFmtId="0" fontId="19" fillId="0" borderId="0" xfId="0" applyFont="1" applyAlignment="1" applyProtection="1">
      <alignment wrapText="1"/>
      <protection locked="0"/>
    </xf>
    <xf numFmtId="0" fontId="20" fillId="0" borderId="0" xfId="0" applyFont="1" applyProtection="1">
      <protection locked="0"/>
    </xf>
    <xf numFmtId="0" fontId="21" fillId="0" borderId="0" xfId="0" applyFont="1" applyAlignment="1" applyProtection="1">
      <alignment horizontal="left" vertical="center" wrapText="1"/>
      <protection locked="0"/>
    </xf>
    <xf numFmtId="0" fontId="22" fillId="0" borderId="0" xfId="0" applyFont="1" applyProtection="1">
      <protection locked="0"/>
    </xf>
    <xf numFmtId="0" fontId="20" fillId="0" borderId="0" xfId="0" applyFont="1" applyAlignment="1" applyProtection="1">
      <alignment wrapText="1"/>
      <protection locked="0"/>
    </xf>
    <xf numFmtId="0" fontId="23" fillId="0" borderId="0" xfId="0" applyFont="1" applyAlignment="1" applyProtection="1">
      <alignment wrapText="1"/>
      <protection locked="0"/>
    </xf>
    <xf numFmtId="0" fontId="11" fillId="0" borderId="0" xfId="0" applyFont="1" applyProtection="1">
      <protection locked="0"/>
    </xf>
    <xf numFmtId="0" fontId="25" fillId="0" borderId="0" xfId="0" applyFont="1" applyAlignment="1" applyProtection="1">
      <alignment wrapText="1"/>
      <protection locked="0"/>
    </xf>
    <xf numFmtId="0" fontId="26" fillId="0" borderId="0" xfId="0" applyFont="1" applyProtection="1">
      <protection locked="0"/>
    </xf>
    <xf numFmtId="0" fontId="27" fillId="0" borderId="0" xfId="0" applyFont="1" applyProtection="1">
      <protection locked="0"/>
    </xf>
    <xf numFmtId="0" fontId="28" fillId="0" borderId="0" xfId="0" applyFont="1" applyProtection="1">
      <protection locked="0"/>
    </xf>
    <xf numFmtId="0" fontId="0" fillId="0" borderId="0" xfId="0" applyAlignment="1" applyProtection="1">
      <alignment horizontal="left" vertical="center"/>
      <protection locked="0"/>
    </xf>
    <xf numFmtId="0" fontId="26" fillId="0" borderId="0" xfId="0" applyFont="1" applyAlignment="1" applyProtection="1">
      <alignment wrapText="1"/>
      <protection locked="0"/>
    </xf>
    <xf numFmtId="0" fontId="30" fillId="0" borderId="0" xfId="0" applyFont="1" applyAlignment="1" applyProtection="1">
      <alignment horizontal="left" vertical="center" wrapText="1"/>
      <protection locked="0"/>
    </xf>
    <xf numFmtId="0" fontId="24" fillId="0" borderId="0" xfId="0" applyFont="1" applyAlignment="1" applyProtection="1">
      <alignment wrapText="1"/>
      <protection locked="0"/>
    </xf>
    <xf numFmtId="0" fontId="11" fillId="0" borderId="5" xfId="0" applyFont="1" applyBorder="1" applyProtection="1">
      <protection locked="0"/>
    </xf>
    <xf numFmtId="0" fontId="32" fillId="0" borderId="0" xfId="0" applyFont="1" applyProtection="1">
      <protection locked="0"/>
    </xf>
    <xf numFmtId="0" fontId="33" fillId="0" borderId="0" xfId="0" applyFont="1" applyProtection="1">
      <protection locked="0"/>
    </xf>
    <xf numFmtId="0" fontId="1" fillId="0" borderId="0" xfId="0" applyFont="1"/>
    <xf numFmtId="0" fontId="1" fillId="0" borderId="0" xfId="0" applyFont="1" applyAlignment="1" applyProtection="1">
      <alignment horizontal="left" vertical="center" wrapText="1"/>
      <protection locked="0"/>
    </xf>
    <xf numFmtId="0" fontId="0" fillId="0" borderId="0" xfId="0" applyAlignment="1" applyProtection="1">
      <alignment horizontal="center"/>
      <protection locked="0"/>
    </xf>
    <xf numFmtId="0" fontId="1" fillId="0" borderId="0" xfId="0" applyFont="1" applyAlignment="1" applyProtection="1">
      <alignment horizontal="center" vertical="center" wrapText="1"/>
      <protection locked="0"/>
    </xf>
    <xf numFmtId="0" fontId="1" fillId="2" borderId="1" xfId="0" applyFont="1" applyFill="1" applyBorder="1"/>
    <xf numFmtId="0" fontId="5" fillId="3" borderId="3" xfId="0" applyFont="1" applyFill="1" applyBorder="1"/>
    <xf numFmtId="0" fontId="5" fillId="3" borderId="4" xfId="0" applyFont="1" applyFill="1" applyBorder="1"/>
    <xf numFmtId="0" fontId="0" fillId="2" borderId="3" xfId="0" applyFill="1" applyBorder="1"/>
    <xf numFmtId="0" fontId="0" fillId="2" borderId="4" xfId="0" applyFill="1" applyBorder="1"/>
    <xf numFmtId="0" fontId="0" fillId="0" borderId="3" xfId="0" applyBorder="1"/>
    <xf numFmtId="0" fontId="0" fillId="0" borderId="4" xfId="0" applyBorder="1"/>
    <xf numFmtId="0" fontId="0" fillId="0" borderId="1" xfId="0" applyBorder="1"/>
    <xf numFmtId="0" fontId="0" fillId="0" borderId="2" xfId="0" applyBorder="1"/>
    <xf numFmtId="0" fontId="0" fillId="2" borderId="1" xfId="0" applyFill="1" applyBorder="1"/>
    <xf numFmtId="0" fontId="1" fillId="0" borderId="1" xfId="0" applyFont="1" applyBorder="1"/>
    <xf numFmtId="0" fontId="35" fillId="0" borderId="0" xfId="0" applyFont="1" applyAlignment="1" applyProtection="1">
      <alignment wrapText="1"/>
      <protection locked="0"/>
    </xf>
    <xf numFmtId="0" fontId="36" fillId="0" borderId="0" xfId="0" applyFont="1" applyProtection="1">
      <protection locked="0"/>
    </xf>
    <xf numFmtId="0" fontId="37" fillId="0" borderId="0" xfId="0" applyFont="1" applyAlignment="1" applyProtection="1">
      <alignment wrapText="1"/>
      <protection locked="0"/>
    </xf>
    <xf numFmtId="0" fontId="34" fillId="0" borderId="0" xfId="0" applyFont="1" applyAlignment="1" applyProtection="1">
      <alignment wrapText="1"/>
      <protection locked="0"/>
    </xf>
    <xf numFmtId="0" fontId="38" fillId="0" borderId="0" xfId="0" applyFont="1" applyProtection="1">
      <protection locked="0"/>
    </xf>
    <xf numFmtId="0" fontId="31" fillId="0" borderId="0" xfId="0" applyFont="1" applyAlignment="1" applyProtection="1">
      <alignment wrapText="1"/>
      <protection locked="0"/>
    </xf>
    <xf numFmtId="0" fontId="39" fillId="0" borderId="0" xfId="0" applyFont="1" applyAlignment="1" applyProtection="1">
      <alignment vertical="top" wrapText="1"/>
      <protection locked="0"/>
    </xf>
    <xf numFmtId="0" fontId="28" fillId="0" borderId="0" xfId="0" applyFont="1" applyAlignment="1" applyProtection="1">
      <alignment wrapText="1"/>
      <protection locked="0"/>
    </xf>
    <xf numFmtId="0" fontId="41" fillId="0" borderId="0" xfId="0" applyFont="1" applyAlignment="1" applyProtection="1">
      <alignment wrapText="1"/>
      <protection locked="0"/>
    </xf>
    <xf numFmtId="0" fontId="42" fillId="0" borderId="0" xfId="0" applyFont="1" applyAlignment="1" applyProtection="1">
      <alignment wrapText="1"/>
      <protection locked="0"/>
    </xf>
    <xf numFmtId="0" fontId="37" fillId="0" borderId="0" xfId="0" applyFont="1" applyProtection="1">
      <protection locked="0"/>
    </xf>
    <xf numFmtId="0" fontId="43" fillId="0" borderId="0" xfId="0" applyFont="1" applyAlignment="1" applyProtection="1">
      <alignment wrapText="1"/>
      <protection locked="0"/>
    </xf>
    <xf numFmtId="0" fontId="44" fillId="0" borderId="0" xfId="0" applyFont="1" applyAlignment="1" applyProtection="1">
      <alignment horizontal="left" vertical="center" wrapText="1"/>
      <protection locked="0"/>
    </xf>
    <xf numFmtId="0" fontId="0" fillId="0" borderId="0" xfId="0" applyAlignment="1">
      <alignment wrapText="1"/>
    </xf>
    <xf numFmtId="0" fontId="45" fillId="0" borderId="0" xfId="0" applyFont="1" applyAlignment="1" applyProtection="1">
      <alignment wrapText="1"/>
      <protection locked="0"/>
    </xf>
    <xf numFmtId="0" fontId="0" fillId="0" borderId="0" xfId="0" applyNumberFormat="1"/>
  </cellXfs>
  <cellStyles count="1">
    <cellStyle name="Normal" xfId="0" builtinId="0"/>
  </cellStyles>
  <dxfs count="686">
    <dxf>
      <numFmt numFmtId="0" formatCode="General"/>
    </dxf>
    <dxf>
      <numFmt numFmtId="0" formatCode="General"/>
    </dxf>
    <dxf>
      <numFmt numFmtId="0" formatCode="General"/>
    </dxf>
    <dxf>
      <numFmt numFmtId="0" formatCode="General"/>
    </dxf>
    <dxf>
      <numFmt numFmtId="0" formatCode="General"/>
    </dxf>
    <dxf>
      <protection locked="1" hidden="0"/>
    </dxf>
    <dxf>
      <protection locked="1" hidden="0"/>
    </dxf>
    <dxf>
      <protection locked="1" hidden="0"/>
    </dxf>
    <dxf>
      <protection locked="1" hidden="0"/>
    </dxf>
    <dxf>
      <protection locked="1" hidden="0"/>
    </dxf>
    <dxf>
      <protection locked="1" hidden="0"/>
    </dxf>
    <dxf>
      <protection locked="1" hidden="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font>
        <b/>
      </font>
      <protection locked="0" hidden="0"/>
    </dxf>
    <dxf>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alignment horizontal="center"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alignment horizontal="center" vertical="bottom" textRotation="0" wrapText="0" indent="0" justifyLastLine="0" shrinkToFit="0" readingOrder="0"/>
    </dxf>
    <dxf>
      <protection locked="0" hidden="0"/>
    </dxf>
    <dxf>
      <protection locked="0" hidden="0"/>
    </dxf>
    <dxf>
      <protection locked="0" hidden="0"/>
    </dxf>
    <dxf>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0" hidden="0"/>
    </dxf>
    <dxf>
      <font>
        <b/>
      </font>
      <protection locked="0" hidden="0"/>
    </dxf>
    <dxf>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0" hidden="0"/>
    </dxf>
    <dxf>
      <alignment horizontal="center" vertical="bottom" textRotation="0" wrapText="0" indent="0" justifyLastLine="0" shrinkToFit="0" readingOrder="0"/>
      <protection locked="0" hidden="0"/>
    </dxf>
    <dxf>
      <protection locked="0" hidden="0"/>
    </dxf>
    <dxf>
      <protection locked="1" hidden="0"/>
    </dxf>
    <dxf>
      <protection locked="0" hidden="0"/>
    </dxf>
    <dxf>
      <protection locked="0" hidden="0"/>
    </dxf>
    <dxf>
      <protection locked="0" hidden="0"/>
    </dxf>
    <dxf>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0" hidden="0"/>
    </dxf>
    <dxf>
      <font>
        <b/>
      </font>
      <protection locked="0" hidden="0"/>
    </dxf>
    <dxf>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0" hidden="0"/>
    </dxf>
    <dxf>
      <alignment horizontal="center" vertical="bottom" textRotation="0" wrapText="0" indent="0" justifyLastLine="0" shrinkToFit="0" readingOrder="0"/>
      <protection locked="0" hidden="0"/>
    </dxf>
    <dxf>
      <protection locked="0" hidden="0"/>
    </dxf>
    <dxf>
      <protection locked="1" hidden="0"/>
    </dxf>
    <dxf>
      <protection locked="0" hidden="0"/>
    </dxf>
    <dxf>
      <protection locked="0" hidden="0"/>
    </dxf>
    <dxf>
      <protection locked="0" hidden="0"/>
    </dxf>
    <dxf>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0" hidden="0"/>
    </dxf>
    <dxf>
      <font>
        <b/>
      </font>
      <protection locked="0" hidden="0"/>
    </dxf>
    <dxf>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0" hidden="0"/>
    </dxf>
    <dxf>
      <alignment horizontal="center" vertical="bottom" textRotation="0" wrapText="0" indent="0" justifyLastLine="0" shrinkToFit="0" readingOrder="0"/>
      <protection locked="0" hidden="0"/>
    </dxf>
    <dxf>
      <protection locked="0" hidden="0"/>
    </dxf>
    <dxf>
      <protection locked="1" hidden="0"/>
    </dxf>
    <dxf>
      <protection locked="0" hidden="0"/>
    </dxf>
    <dxf>
      <protection locked="0" hidden="0"/>
    </dxf>
    <dxf>
      <protection locked="0" hidden="0"/>
    </dxf>
    <dxf>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0" hidden="0"/>
    </dxf>
    <dxf>
      <font>
        <b/>
      </font>
      <protection locked="0" hidden="0"/>
    </dxf>
    <dxf>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0" hidden="0"/>
    </dxf>
    <dxf>
      <alignment horizontal="center" vertical="bottom" textRotation="0" wrapText="0" indent="0" justifyLastLine="0" shrinkToFit="0" readingOrder="0"/>
      <protection locked="0" hidden="0"/>
    </dxf>
    <dxf>
      <protection locked="0" hidden="0"/>
    </dxf>
    <dxf>
      <protection locked="1" hidden="0"/>
    </dxf>
    <dxf>
      <protection locked="0" hidden="0"/>
    </dxf>
    <dxf>
      <protection locked="0" hidden="0"/>
    </dxf>
    <dxf>
      <protection locked="0" hidden="0"/>
    </dxf>
    <dxf>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alignment wrapText="1"/>
      <protection locked="0" hidden="0"/>
    </dxf>
    <dxf>
      <alignment wrapText="1"/>
      <protection locked="0" hidden="0"/>
    </dxf>
    <dxf>
      <protection locked="1" hidden="0"/>
    </dxf>
    <dxf>
      <font>
        <sz val="11"/>
      </font>
      <alignment wrapText="1"/>
      <protection locked="0" hidden="0"/>
    </dxf>
    <dxf>
      <font>
        <sz val="11"/>
      </font>
      <alignment wrapText="1"/>
      <protection locked="0" hidden="0"/>
    </dxf>
    <dxf>
      <protection locked="1" hidden="0"/>
    </dxf>
    <dxf>
      <protection locked="0" hidden="0"/>
    </dxf>
    <dxf>
      <protection locked="0" hidden="0"/>
    </dxf>
    <dxf>
      <protection locked="0" hidden="0"/>
    </dxf>
    <dxf>
      <font>
        <b/>
      </font>
      <protection locked="0" hidden="0"/>
    </dxf>
    <dxf>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0" hidden="0"/>
    </dxf>
    <dxf>
      <alignment horizontal="center" vertical="bottom" textRotation="0" wrapText="0" indent="0" justifyLastLine="0" shrinkToFit="0" readingOrder="0"/>
      <protection locked="0" hidden="0"/>
    </dxf>
    <dxf>
      <protection locked="0" hidden="0"/>
    </dxf>
    <dxf>
      <protection locked="1" hidden="0"/>
    </dxf>
    <dxf>
      <protection locked="0" hidden="0"/>
    </dxf>
    <dxf>
      <protection locked="0" hidden="0"/>
    </dxf>
    <dxf>
      <protection locked="0" hidden="0"/>
    </dxf>
    <dxf>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0" hidden="0"/>
    </dxf>
    <dxf>
      <font>
        <b/>
      </font>
      <protection locked="0" hidden="0"/>
    </dxf>
    <dxf>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0" hidden="0"/>
    </dxf>
    <dxf>
      <alignment horizontal="center" vertical="bottom" textRotation="0" wrapText="0" indent="0" justifyLastLine="0" shrinkToFit="0" readingOrder="0"/>
      <protection locked="0" hidden="0"/>
    </dxf>
    <dxf>
      <protection locked="0" hidden="0"/>
    </dxf>
    <dxf>
      <protection locked="1" hidden="0"/>
    </dxf>
    <dxf>
      <protection locked="0" hidden="0"/>
    </dxf>
    <dxf>
      <protection locked="0" hidden="0"/>
    </dxf>
    <dxf>
      <protection locked="0" hidden="0"/>
    </dxf>
    <dxf>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0" hidden="0"/>
    </dxf>
    <dxf>
      <font>
        <b/>
      </font>
      <protection locked="0" hidden="0"/>
    </dxf>
    <dxf>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0" hidden="0"/>
    </dxf>
    <dxf>
      <alignment horizontal="center" vertical="bottom" textRotation="0" wrapText="0" indent="0" justifyLastLine="0" shrinkToFit="0" readingOrder="0"/>
      <protection locked="0" hidden="0"/>
    </dxf>
    <dxf>
      <protection locked="0" hidden="0"/>
    </dxf>
    <dxf>
      <protection locked="1" hidden="0"/>
    </dxf>
    <dxf>
      <protection locked="0" hidden="0"/>
    </dxf>
    <dxf>
      <protection locked="0" hidden="0"/>
    </dxf>
    <dxf>
      <protection locked="0" hidden="0"/>
    </dxf>
    <dxf>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alignment textRotation="0" wrapText="1" indent="0" justifyLastLine="0" shrinkToFit="0" readingOrder="0"/>
      <protection locked="0" hidden="0"/>
    </dxf>
    <dxf>
      <alignment textRotation="0" wrapText="1" indent="0" justifyLastLine="0" shrinkToFit="0" readingOrder="0"/>
      <protection locked="0" hidden="0"/>
    </dxf>
    <dxf>
      <protection locked="1" hidden="0"/>
    </dxf>
    <dxf>
      <alignment horizontal="general" vertical="bottom" textRotation="0" wrapText="1" indent="0" justifyLastLine="0" shrinkToFit="0" readingOrder="0"/>
      <protection locked="0" hidden="0"/>
    </dxf>
    <dxf>
      <alignment horizontal="general" vertical="bottom" textRotation="0" wrapText="1" indent="0" justifyLastLine="0" shrinkToFit="0" readingOrder="0"/>
      <protection locked="0" hidden="0"/>
    </dxf>
    <dxf>
      <protection locked="1" hidden="0"/>
    </dxf>
    <dxf>
      <protection locked="0" hidden="0"/>
    </dxf>
    <dxf>
      <protection locked="0" hidden="0"/>
    </dxf>
    <dxf>
      <protection locked="0" hidden="0"/>
    </dxf>
    <dxf>
      <font>
        <b/>
      </font>
      <protection locked="0" hidden="0"/>
    </dxf>
    <dxf>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0" hidden="0"/>
    </dxf>
    <dxf>
      <alignment horizontal="center" vertical="bottom" textRotation="0" wrapText="0" indent="0" justifyLastLine="0" shrinkToFit="0" readingOrder="0"/>
      <protection locked="0" hidden="0"/>
    </dxf>
    <dxf>
      <protection locked="0" hidden="0"/>
    </dxf>
    <dxf>
      <protection locked="1" hidden="0"/>
    </dxf>
    <dxf>
      <protection locked="0" hidden="0"/>
    </dxf>
    <dxf>
      <protection locked="0" hidden="0"/>
    </dxf>
    <dxf>
      <protection locked="0" hidden="0"/>
    </dxf>
    <dxf>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0" hidden="0"/>
    </dxf>
    <dxf>
      <font>
        <b/>
      </font>
      <protection locked="0" hidden="0"/>
    </dxf>
    <dxf>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0" hidden="0"/>
    </dxf>
    <dxf>
      <alignment horizontal="center" vertical="bottom" textRotation="0" wrapText="0" indent="0" justifyLastLine="0" shrinkToFit="0" readingOrder="0"/>
      <protection locked="0" hidden="0"/>
    </dxf>
    <dxf>
      <protection locked="0" hidden="0"/>
    </dxf>
    <dxf>
      <protection locked="1" hidden="0"/>
    </dxf>
    <dxf>
      <protection locked="0" hidden="0"/>
    </dxf>
    <dxf>
      <protection locked="0" hidden="0"/>
    </dxf>
    <dxf>
      <protection locked="0" hidden="0"/>
    </dxf>
    <dxf>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alignment horizontal="general" vertical="bottom" textRotation="0" wrapText="1" indent="0" justifyLastLine="0" shrinkToFit="0" readingOrder="0"/>
      <protection locked="0" hidden="0"/>
    </dxf>
    <dxf>
      <alignment horizontal="general" vertical="bottom" textRotation="0" wrapText="1" indent="0" justifyLastLine="0" shrinkToFit="0" readingOrder="0"/>
      <protection locked="0" hidden="0"/>
    </dxf>
    <dxf>
      <protection locked="1" hidden="0"/>
    </dxf>
    <dxf>
      <alignment horizontal="general" vertical="bottom" textRotation="0" wrapText="1" indent="0" justifyLastLine="0" shrinkToFit="0" readingOrder="0"/>
      <protection locked="0" hidden="0"/>
    </dxf>
    <dxf>
      <alignment horizontal="general" vertical="bottom" textRotation="0" wrapText="1" indent="0" justifyLastLine="0" shrinkToFit="0" readingOrder="0"/>
      <protection locked="0" hidden="0"/>
    </dxf>
    <dxf>
      <protection locked="1" hidden="0"/>
    </dxf>
    <dxf>
      <protection locked="0" hidden="0"/>
    </dxf>
    <dxf>
      <protection locked="0" hidden="0"/>
    </dxf>
    <dxf>
      <protection locked="0" hidden="0"/>
    </dxf>
    <dxf>
      <font>
        <b/>
      </font>
      <protection locked="0" hidden="0"/>
    </dxf>
    <dxf>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0" hidden="0"/>
    </dxf>
    <dxf>
      <alignment horizontal="center" vertical="bottom" textRotation="0" wrapText="0" indent="0" justifyLastLine="0" shrinkToFit="0" readingOrder="0"/>
      <protection locked="0" hidden="0"/>
    </dxf>
    <dxf>
      <protection locked="0" hidden="0"/>
    </dxf>
    <dxf>
      <protection locked="1" hidden="0"/>
    </dxf>
    <dxf>
      <protection locked="0" hidden="0"/>
    </dxf>
    <dxf>
      <protection locked="0" hidden="0"/>
    </dxf>
    <dxf>
      <protection locked="0" hidden="0"/>
    </dxf>
    <dxf>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0" hidden="0"/>
    </dxf>
    <dxf>
      <font>
        <b/>
      </font>
      <protection locked="0" hidden="0"/>
    </dxf>
    <dxf>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0" hidden="0"/>
    </dxf>
    <dxf>
      <alignment horizontal="center" vertical="bottom" textRotation="0" wrapText="0" indent="0" justifyLastLine="0" shrinkToFit="0" readingOrder="0"/>
      <protection locked="0" hidden="0"/>
    </dxf>
    <dxf>
      <protection locked="0" hidden="0"/>
    </dxf>
    <dxf>
      <protection locked="1" hidden="0"/>
    </dxf>
    <dxf>
      <protection locked="0" hidden="0"/>
    </dxf>
    <dxf>
      <protection locked="0" hidden="0"/>
    </dxf>
    <dxf>
      <protection locked="0" hidden="0"/>
    </dxf>
    <dxf>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0" hidden="0"/>
    </dxf>
    <dxf>
      <font>
        <b/>
      </font>
      <protection locked="0" hidden="0"/>
    </dxf>
    <dxf>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0" hidden="0"/>
    </dxf>
    <dxf>
      <alignment horizontal="center" vertical="bottom" textRotation="0" wrapText="0" indent="0" justifyLastLine="0" shrinkToFit="0" readingOrder="0"/>
      <protection locked="0" hidden="0"/>
    </dxf>
    <dxf>
      <protection locked="0" hidden="0"/>
    </dxf>
    <dxf>
      <protection locked="1" hidden="0"/>
    </dxf>
    <dxf>
      <protection locked="0" hidden="0"/>
    </dxf>
    <dxf>
      <protection locked="0" hidden="0"/>
    </dxf>
    <dxf>
      <protection locked="0" hidden="0"/>
    </dxf>
    <dxf>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numFmt numFmtId="0" formatCode="General"/>
      <alignment horizontal="general" vertical="bottom" textRotation="0" wrapText="1" indent="0" justifyLastLine="0" shrinkToFit="0" readingOrder="0"/>
      <protection locked="0" hidden="0"/>
    </dxf>
    <dxf>
      <numFmt numFmtId="0" formatCode="General"/>
      <alignment horizontal="general" vertical="bottom" textRotation="0" wrapText="1" indent="0" justifyLastLine="0" shrinkToFit="0" readingOrder="0"/>
      <protection locked="0" hidden="0"/>
    </dxf>
    <dxf>
      <protection locked="1" hidden="0"/>
    </dxf>
    <dxf>
      <alignment horizontal="general" vertical="bottom" textRotation="0" wrapText="1" indent="0" justifyLastLine="0" shrinkToFit="0" readingOrder="0"/>
      <protection locked="0" hidden="0"/>
    </dxf>
    <dxf>
      <alignment horizontal="general" vertical="bottom" textRotation="0" wrapText="1" indent="0" justifyLastLine="0" shrinkToFit="0" readingOrder="0"/>
      <protection locked="0" hidden="0"/>
    </dxf>
    <dxf>
      <protection locked="1" hidden="0"/>
    </dxf>
    <dxf>
      <protection locked="0" hidden="0"/>
    </dxf>
    <dxf>
      <protection locked="0" hidden="0"/>
    </dxf>
    <dxf>
      <protection locked="0" hidden="0"/>
    </dxf>
    <dxf>
      <font>
        <b/>
      </font>
      <protection locked="0" hidden="0"/>
    </dxf>
    <dxf>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0" hidden="0"/>
    </dxf>
    <dxf>
      <alignment horizontal="center" vertical="bottom" textRotation="0" wrapText="0" indent="0" justifyLastLine="0" shrinkToFit="0" readingOrder="0"/>
      <protection locked="0" hidden="0"/>
    </dxf>
    <dxf>
      <protection locked="0" hidden="0"/>
    </dxf>
    <dxf>
      <protection locked="1" hidden="0"/>
    </dxf>
    <dxf>
      <protection locked="0" hidden="0"/>
    </dxf>
    <dxf>
      <protection locked="0" hidden="0"/>
    </dxf>
    <dxf>
      <protection locked="0" hidden="0"/>
    </dxf>
    <dxf>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0" hidden="0"/>
    </dxf>
    <dxf>
      <font>
        <b/>
      </font>
      <protection locked="0" hidden="0"/>
    </dxf>
    <dxf>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0" hidden="0"/>
    </dxf>
    <dxf>
      <alignment horizontal="center" vertical="bottom" textRotation="0" wrapText="0" indent="0" justifyLastLine="0" shrinkToFit="0" readingOrder="0"/>
      <protection locked="0" hidden="0"/>
    </dxf>
    <dxf>
      <protection locked="0" hidden="0"/>
    </dxf>
    <dxf>
      <protection locked="1" hidden="0"/>
    </dxf>
    <dxf>
      <protection locked="0" hidden="0"/>
    </dxf>
    <dxf>
      <protection locked="0" hidden="0"/>
    </dxf>
    <dxf>
      <protection locked="0" hidden="0"/>
    </dxf>
    <dxf>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onnections" Target="connections.xml"/><Relationship Id="rId30" Type="http://schemas.openxmlformats.org/officeDocument/2006/relationships/sheetMetadata" Target="metadata.xml"/><Relationship Id="rId35" Type="http://schemas.openxmlformats.org/officeDocument/2006/relationships/customXml" Target="../customXml/item4.xml"/><Relationship Id="rId8" Type="http://schemas.openxmlformats.org/officeDocument/2006/relationships/worksheet" Target="worksheets/sheet8.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9" connectionId="18" xr16:uid="{B3A7859A-DC3C-438A-8EE0-706B716E2CB0}" autoFormatId="16" applyNumberFormats="0" applyBorderFormats="0" applyFontFormats="0" applyPatternFormats="0" applyAlignmentFormats="0" applyWidthHeightFormats="0">
  <queryTableRefresh nextId="6">
    <queryTableFields count="5">
      <queryTableField id="1" name="Category" tableColumnId="1"/>
      <queryTableField id="2" name="Skill" tableColumnId="2"/>
      <queryTableField id="3" name="Modules Covering" tableColumnId="3"/>
      <queryTableField id="4" name="Module Count" tableColumnId="4"/>
      <queryTableField id="5" name="Covered"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8" connectionId="17" xr16:uid="{22497176-1A16-412E-BBE2-DCC8D0A81640}" autoFormatId="16" applyNumberFormats="0" applyBorderFormats="0" applyFontFormats="0" applyPatternFormats="0" applyAlignmentFormats="0" applyWidthHeightFormats="0">
  <queryTableRefresh nextId="10">
    <queryTableFields count="9">
      <queryTableField id="1" name="ModuleCode" tableColumnId="1"/>
      <queryTableField id="2" name="ModuleTitle" tableColumnId="2"/>
      <queryTableField id="3" name="Level" tableColumnId="3"/>
      <queryTableField id="4" name="Semester" tableColumnId="4"/>
      <queryTableField id="5" name="Credits" tableColumnId="5"/>
      <queryTableField id="6" name="Module Leader" tableColumnId="6"/>
      <queryTableField id="7" name="Module Type" tableColumnId="7"/>
      <queryTableField id="8" name="Total Contact Hours" tableColumnId="8"/>
      <queryTableField id="9" name="Hours per Credit" tableColumnId="9"/>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7" connectionId="12" xr16:uid="{B6A2DDB0-C5BA-4EF1-A9BB-CD0CCF2B048E}" autoFormatId="16" applyNumberFormats="0" applyBorderFormats="0" applyFontFormats="0" applyPatternFormats="0" applyAlignmentFormats="0" applyWidthHeightFormats="0">
  <queryTableRefresh nextId="13">
    <queryTableFields count="12">
      <queryTableField id="1" name="SourceWorkbook" tableColumnId="1"/>
      <queryTableField id="2" name="ModuleCode" tableColumnId="2"/>
      <queryTableField id="3" name="ModuleTitle" tableColumnId="3"/>
      <queryTableField id="4" name="Programme" tableColumnId="4"/>
      <queryTableField id="5" name="TableName" tableColumnId="5"/>
      <queryTableField id="6" name="ProgCode" tableColumnId="6"/>
      <queryTableField id="7" name="Lecture" tableColumnId="7"/>
      <queryTableField id="8" name="Seminar" tableColumnId="8"/>
      <queryTableField id="9" name="Practical" tableColumnId="9"/>
      <queryTableField id="10" name="Workshop" tableColumnId="10"/>
      <queryTableField id="11" name="Online" tableColumnId="11"/>
      <queryTableField id="12" name="Total" tableColumnId="1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6" connectionId="16" xr16:uid="{1D492EBB-8EE3-48ED-B783-3FF102F02123}" autoFormatId="16" applyNumberFormats="0" applyBorderFormats="0" applyFontFormats="0" applyPatternFormats="0" applyAlignmentFormats="0" applyWidthHeightFormats="0">
  <queryTableRefresh nextId="15">
    <queryTableFields count="14">
      <queryTableField id="1" name="SourceWorkbook" tableColumnId="1"/>
      <queryTableField id="2" name="ModuleCode" tableColumnId="2"/>
      <queryTableField id="3" name="ModuleTitle" tableColumnId="3"/>
      <queryTableField id="4" name="Module Title" tableColumnId="4"/>
      <queryTableField id="5" name="Credits" tableColumnId="5"/>
      <queryTableField id="6" name="Semester" tableColumnId="6"/>
      <queryTableField id="7" name="Level" tableColumnId="7"/>
      <queryTableField id="8" name="Module Leader" tableColumnId="8"/>
      <queryTableField id="9" name="Module Type" tableColumnId="9"/>
      <queryTableField id="10" name="Programme(s)" tableColumnId="10"/>
      <queryTableField id="11" name="TableName" tableColumnId="11"/>
      <queryTableField id="12" name="ItemSuffix" tableColumnId="12"/>
      <queryTableField id="13" name="Programme" tableColumnId="13"/>
      <queryTableField id="14" name="ProgCode" tableColumnId="14"/>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5" connectionId="14" xr16:uid="{696D642D-A177-437C-BEEC-4EBCFEF09464}" autoFormatId="16" applyNumberFormats="0" applyBorderFormats="0" applyFontFormats="0" applyPatternFormats="0" applyAlignmentFormats="0" applyWidthHeightFormats="0">
  <queryTableRefresh nextId="12">
    <queryTableFields count="11">
      <queryTableField id="1" name="SourceWorkbook" tableColumnId="1"/>
      <queryTableField id="2" name="TableName" tableColumnId="2"/>
      <queryTableField id="3" name="Assessment No" tableColumnId="3"/>
      <queryTableField id="4" name="LO Number" tableColumnId="4"/>
      <queryTableField id="5" name="Graduate Skills Category" tableColumnId="5"/>
      <queryTableField id="6" name="Graduate Skill" tableColumnId="6"/>
      <queryTableField id="7" name="ModuleCode" tableColumnId="7"/>
      <queryTableField id="8" name="ItemSuffix" tableColumnId="8"/>
      <queryTableField id="9" name="Programme" tableColumnId="9"/>
      <queryTableField id="10" name="ProgCode" tableColumnId="10"/>
      <queryTableField id="11" name="ModuleTitle" tableColumnId="11"/>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4" connectionId="11" xr16:uid="{A57B6EF7-3070-4F84-87CE-F86AEB6BEFF2}" autoFormatId="16" applyNumberFormats="0" applyBorderFormats="0" applyFontFormats="0" applyPatternFormats="0" applyAlignmentFormats="0" applyWidthHeightFormats="0">
  <queryTableRefresh nextId="10">
    <queryTableFields count="9">
      <queryTableField id="1" name="SourceWorkbook" tableColumnId="1"/>
      <queryTableField id="2" name="ModuleCode" tableColumnId="2"/>
      <queryTableField id="3" name="ModuleTitle" tableColumnId="3"/>
      <queryTableField id="4" name="Component" tableColumnId="4"/>
      <queryTableField id="5" name="Contact Hours" tableColumnId="5"/>
      <queryTableField id="6" name="ItemSuffix" tableColumnId="6"/>
      <queryTableField id="7" name="Programme" tableColumnId="7"/>
      <queryTableField id="8" name="TableName" tableColumnId="8"/>
      <queryTableField id="9" name="ProgCode" tableColumnId="9"/>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3" connectionId="10" xr16:uid="{481B4AC7-7F25-45E4-8DD2-5D7FA9F1F6C7}" autoFormatId="16" applyNumberFormats="0" applyBorderFormats="0" applyFontFormats="0" applyPatternFormats="0" applyAlignmentFormats="0" applyWidthHeightFormats="0">
  <queryTableRefresh nextId="14">
    <queryTableFields count="13">
      <queryTableField id="1" name="SourceWorkbook" tableColumnId="1"/>
      <queryTableField id="2" name="ModuleCode" tableColumnId="2"/>
      <queryTableField id="3" name="ModuleTitle" tableColumnId="3"/>
      <queryTableField id="4" name="Assessment No" tableColumnId="4"/>
      <queryTableField id="5" name="Assessment Type" tableColumnId="5"/>
      <queryTableField id="6" name="Assessment Specific" tableColumnId="6"/>
      <queryTableField id="7" name="Assessment Description" tableColumnId="7"/>
      <queryTableField id="8" name="Weighting" tableColumnId="8"/>
      <queryTableField id="9" name="Due Week" tableColumnId="9"/>
      <queryTableField id="10" name="TableName" tableColumnId="10"/>
      <queryTableField id="11" name="ItemSuffix" tableColumnId="11"/>
      <queryTableField id="12" name="Programme" tableColumnId="12"/>
      <queryTableField id="13" name="ProgCode" tableColumnId="13"/>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2" connectionId="13" xr16:uid="{F790C67F-69CC-4E59-8967-04DCC3E11AD0}" autoFormatId="16" applyNumberFormats="0" applyBorderFormats="0" applyFontFormats="0" applyPatternFormats="0" applyAlignmentFormats="0" applyWidthHeightFormats="0">
  <queryTableRefresh nextId="10">
    <queryTableFields count="9">
      <queryTableField id="1" name="SourceWorkbook" tableColumnId="1"/>
      <queryTableField id="2" name="Programme" tableColumnId="2"/>
      <queryTableField id="3" name="ModuleCode" tableColumnId="3"/>
      <queryTableField id="4" name="ModuleTitle" tableColumnId="4"/>
      <queryTableField id="5" name="LO Number" tableColumnId="5"/>
      <queryTableField id="6" name="LO Description" tableColumnId="6"/>
      <queryTableField id="7" name="TableName" tableColumnId="7"/>
      <queryTableField id="8" name="ItemSuffix" tableColumnId="8"/>
      <queryTableField id="9" name="ProgCode" tableColumnId="9"/>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connectionId="15" xr16:uid="{A771A3F8-175D-46F8-BE0C-F28B560F361A}" autoFormatId="16" applyNumberFormats="0" applyBorderFormats="0" applyFontFormats="0" applyPatternFormats="0" applyAlignmentFormats="0" applyWidthHeightFormats="0">
  <queryTableRefresh nextId="10">
    <queryTableFields count="9">
      <queryTableField id="1" name="SourceWorkbook" tableColumnId="1"/>
      <queryTableField id="2" name="TableName" tableColumnId="2"/>
      <queryTableField id="3" name="Module Data" tableColumnId="3"/>
      <queryTableField id="4" name="Details" tableColumnId="4"/>
      <queryTableField id="5" name="ModuleCode" tableColumnId="5"/>
      <queryTableField id="6" name="ItemSuffix" tableColumnId="6"/>
      <queryTableField id="7" name="Programme" tableColumnId="7"/>
      <queryTableField id="8" name="ProgCode" tableColumnId="8"/>
      <queryTableField id="9" name="ModuleTitle" tableColumnId="9"/>
    </queryTableFields>
  </queryTableRefresh>
</queryTable>
</file>

<file path=xl/tables/_rels/table15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15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15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15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15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15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15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15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15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4" xr:uid="{EB3195DA-61BF-4DC3-AA26-8375196AC911}" name="4051SPS_Meta" displayName="_4051SPS_Meta" ref="C6:D14" totalsRowShown="0" headerRowDxfId="640" dataDxfId="639">
  <autoFilter ref="C6:D14" xr:uid="{CD75D2A7-14B1-4ABD-B64D-6E875F9BC652}">
    <filterColumn colId="0" hiddenButton="1"/>
    <filterColumn colId="1" hiddenButton="1"/>
  </autoFilter>
  <tableColumns count="2">
    <tableColumn id="1" xr3:uid="{259296C2-F94D-4D8E-8A48-375C8B32976A}" name="Module Data" dataDxfId="638"/>
    <tableColumn id="2" xr3:uid="{FBE26AB7-C871-483E-8BF5-3102A6CBA6A9}" name="Details" dataDxfId="637"/>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5" xr:uid="{0B0C6758-C764-42DF-8334-275486F59160}" name="4051SPS_LO" displayName="_4051SPS_LO" ref="C28:D33" totalsRowShown="0" headerRowDxfId="636" dataDxfId="635">
  <autoFilter ref="C28:D33" xr:uid="{22316987-6BEB-4FAF-9619-BF9BE9909CFA}">
    <filterColumn colId="0" hiddenButton="1"/>
    <filterColumn colId="1" hiddenButton="1"/>
  </autoFilter>
  <tableColumns count="2">
    <tableColumn id="1" xr3:uid="{A4A042E5-B73A-4E95-83BE-374230EAEF75}" name="LO Number" dataDxfId="634"/>
    <tableColumn id="2" xr3:uid="{4CC50DE2-34DC-4FAA-BB54-72EB81C5A918}" name="LO Description" dataDxfId="63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6" xr:uid="{3825F8F9-FE98-45C9-AC62-4DE90913B2D5}" name="4051SPS_Assess" displayName="_4051SPS_Assess" ref="C37:H41" totalsRowShown="0" headerRowDxfId="632" dataDxfId="631">
  <autoFilter ref="C37:H41" xr:uid="{39DE2F1F-0A9B-4873-A230-1AA954198F52}">
    <filterColumn colId="0" hiddenButton="1"/>
    <filterColumn colId="1" hiddenButton="1"/>
    <filterColumn colId="2" hiddenButton="1"/>
    <filterColumn colId="3" hiddenButton="1"/>
    <filterColumn colId="4" hiddenButton="1"/>
    <filterColumn colId="5" hiddenButton="1"/>
  </autoFilter>
  <tableColumns count="6">
    <tableColumn id="1" xr3:uid="{B86A69A5-1E61-43A0-B8A8-D409B7E2AEA6}" name="Assessment No" dataDxfId="630"/>
    <tableColumn id="2" xr3:uid="{846FFE48-B8E8-4A55-98C3-5451769A8EB5}" name="Assessment Type" dataDxfId="629"/>
    <tableColumn id="7" xr3:uid="{82AE06D6-F94C-441D-B6C3-297200BD5794}" name="Assessment Specific" dataDxfId="628"/>
    <tableColumn id="3" xr3:uid="{FEAAD1E7-46DD-4E01-9EEE-AB9037A04A09}" name="Assessment Description" dataDxfId="627"/>
    <tableColumn id="4" xr3:uid="{C4BFD846-DFE3-41AB-966C-3EFB00B2A790}" name="Weighting" dataDxfId="626"/>
    <tableColumn id="5" xr3:uid="{476F5563-CB55-4B33-88F8-D363824819FD}" name="Due Week" dataDxfId="625"/>
  </tableColumns>
  <tableStyleInfo name="TableStyleMedium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7" xr:uid="{D46EDFDA-9AB0-4331-B17D-30F807C2D6D5}" name="4051SPS_Weekly" displayName="_4051SPS_Weekly" ref="B70:F94" totalsRowShown="0" headerRowDxfId="624" dataDxfId="623">
  <autoFilter ref="B70:F94" xr:uid="{3A41AF80-1AD3-44F6-93D1-6C4A16CCF943}">
    <filterColumn colId="0" hiddenButton="1"/>
    <filterColumn colId="1" hiddenButton="1"/>
    <filterColumn colId="2" hiddenButton="1"/>
    <filterColumn colId="3" hiddenButton="1"/>
    <filterColumn colId="4" hiddenButton="1"/>
  </autoFilter>
  <tableColumns count="5">
    <tableColumn id="1" xr3:uid="{A68B6C85-E233-4451-9163-94A920B533E6}" name="Semester " dataDxfId="622"/>
    <tableColumn id="2" xr3:uid="{B9620A06-7C82-4FF4-995F-02655A14B62E}" name="Week Number" dataDxfId="621"/>
    <tableColumn id="3" xr3:uid="{90BEA63A-0B10-4F26-B07B-76B2D9A73B94}" name="Weekly Content 1" dataDxfId="620"/>
    <tableColumn id="4" xr3:uid="{BA0A787E-3BAF-4419-9436-D40693419273}" name="Weekly Content 2" dataDxfId="619"/>
    <tableColumn id="5" xr3:uid="{3E95C25D-5EE2-483B-B9C6-B69D6222BD63}" name="Weekly Content 3" dataDxfId="618"/>
  </tableColumns>
  <tableStyleInfo name="TableStyleMedium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8" xr:uid="{B7F0130C-63E7-417A-B41E-9C3A0D03AD17}" name="4051SPS_Hours" displayName="_4051SPS_Hours" ref="C18:D24" totalsRowShown="0" headerRowDxfId="617" dataDxfId="616">
  <autoFilter ref="C18:D24" xr:uid="{B71A3569-AA65-4A4E-98A2-885F5C38B46D}">
    <filterColumn colId="0" hiddenButton="1"/>
    <filterColumn colId="1" hiddenButton="1"/>
  </autoFilter>
  <tableColumns count="2">
    <tableColumn id="1" xr3:uid="{17D1F957-8C58-47BC-9BD8-09011C101FC1}" name="Component" dataDxfId="615"/>
    <tableColumn id="2" xr3:uid="{F76831A8-1692-44D6-9D6D-3D5E7EBE7CB7}" name="Contact Hours" dataDxfId="61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9" xr:uid="{6E2263C1-7862-4289-A529-F692C072B024}" name="4051SPS_Mapping" displayName="_4051SPS_Mapping" ref="C45:F66" totalsRowShown="0" headerRowDxfId="613" dataDxfId="612">
  <autoFilter ref="C45:F66" xr:uid="{E0A841BB-B6D5-4048-B5F2-18CF9F502EBA}">
    <filterColumn colId="0" hiddenButton="1"/>
    <filterColumn colId="1" hiddenButton="1"/>
    <filterColumn colId="2" hiddenButton="1"/>
    <filterColumn colId="3" hiddenButton="1"/>
  </autoFilter>
  <tableColumns count="4">
    <tableColumn id="1" xr3:uid="{5FF07F7A-0B59-4A66-94E8-2AA6F3FABE01}" name="Assessment No" dataDxfId="611"/>
    <tableColumn id="2" xr3:uid="{AFA09957-495C-47A6-9409-B82CF20C9FEE}" name="LO Number" dataDxfId="610"/>
    <tableColumn id="3" xr3:uid="{4A6EF506-39E0-4A77-AB9A-A419A13B11BA}" name="Graduate Skills Category" dataDxfId="609"/>
    <tableColumn id="4" xr3:uid="{1CC8553E-650D-4CC9-BCBD-8A5C77CF26BC}" name="Graduate Skill" dataDxfId="608"/>
  </tableColumns>
  <tableStyleInfo name="TableStyleMedium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0" xr:uid="{F218F218-BF90-416D-B952-D9393923801D}" name="4051SPS_Aims" displayName="_4051SPS_Aims" ref="F6:F8" totalsRowShown="0" headerRowDxfId="607" dataDxfId="606">
  <autoFilter ref="F6:F8" xr:uid="{9552138F-2332-4BC4-A585-0E13162881A5}"/>
  <tableColumns count="1">
    <tableColumn id="1" xr3:uid="{8B84DA76-C73A-484B-AB85-93CE53A85FF5}" name="Aims" dataDxfId="605"/>
  </tableColumns>
  <tableStyleInfo name="TableStyleMedium6"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1" xr:uid="{9405DABE-6D82-46AB-84E5-8BBBD87BD0BB}" name="4051SPS_Syllabus" displayName="_4051SPS_Syllabus" ref="F10:F13" totalsRowShown="0" headerRowDxfId="604" dataDxfId="603">
  <autoFilter ref="F10:F13" xr:uid="{94F18F67-3F10-4F6E-A953-4FE3399B07F2}"/>
  <tableColumns count="1">
    <tableColumn id="1" xr3:uid="{7BB23C35-AB5C-4E42-B2E9-C41B68F5AF1F}" name="Outline Syllabus" dataDxfId="602"/>
  </tableColumns>
  <tableStyleInfo name="TableStyleMedium6"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2" xr:uid="{7AFB107C-53D3-4975-A4F4-CAB65BC99D03}" name="4051SPS_Overview" displayName="_4051SPS_Overview" ref="F15:F20" totalsRowShown="0" headerRowDxfId="601" dataDxfId="600">
  <autoFilter ref="F15:F20" xr:uid="{1B2BCD7B-6C15-4B1C-86BC-48FF83D8F225}"/>
  <tableColumns count="1">
    <tableColumn id="1" xr3:uid="{A7EAB096-E6DB-40BE-B37B-256679A7DD5C}" name="Module Overview" dataDxfId="599"/>
  </tableColumns>
  <tableStyleInfo name="TableStyleMedium6"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3" xr:uid="{D37E2A52-3152-415A-95CE-C4D6FD7B7CAC}" name="4051SPS_Notes" displayName="_4051SPS_Notes" ref="F22:F33" totalsRowShown="0" headerRowDxfId="598" dataDxfId="597">
  <autoFilter ref="F22:F33" xr:uid="{D5968C0A-6D7E-4221-87EE-78A85A4039B3}"/>
  <tableColumns count="1">
    <tableColumn id="1" xr3:uid="{C72ADE2C-BCB8-499B-B1B7-EDB3A3B2FE5B}" name="Additional Information/Notes" dataDxfId="596"/>
  </tableColumns>
  <tableStyleInfo name="TableStyleMedium6"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6C1815BC-3D96-4CE2-A3C0-E524ED84C584}" name="4052SPS_Meta" displayName="_4052SPS_Meta" ref="C6:D14" totalsRowShown="0" headerRowDxfId="595" dataDxfId="594">
  <autoFilter ref="C6:D14" xr:uid="{CD75D2A7-14B1-4ABD-B64D-6E875F9BC652}">
    <filterColumn colId="0" hiddenButton="1"/>
    <filterColumn colId="1" hiddenButton="1"/>
  </autoFilter>
  <tableColumns count="2">
    <tableColumn id="1" xr3:uid="{5D38FCD1-7A3F-4025-AC69-E6A90C68A79E}" name="Module Data" dataDxfId="593"/>
    <tableColumn id="2" xr3:uid="{ACE861FD-0C1D-4D19-A0A8-AC83427FA81A}" name="Details" dataDxfId="592"/>
  </tableColumns>
  <tableStyleInfo name="TableStyleMedium6"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D5D2633F-A72A-4EBD-BB0D-2D2560E496A6}" name="4052SPS_LO" displayName="_4052SPS_LO" ref="C28:D33" totalsRowShown="0" headerRowDxfId="591" dataDxfId="590">
  <autoFilter ref="C28:D33" xr:uid="{22316987-6BEB-4FAF-9619-BF9BE9909CFA}">
    <filterColumn colId="0" hiddenButton="1"/>
    <filterColumn colId="1" hiddenButton="1"/>
  </autoFilter>
  <tableColumns count="2">
    <tableColumn id="1" xr3:uid="{92FDE3DF-EAC0-4CA6-A5B4-E15BAAC4A01D}" name="LO Number" dataDxfId="589"/>
    <tableColumn id="2" xr3:uid="{A384CFCB-55B0-46B7-AF9A-FAAC6022096A}" name="LO Description" dataDxfId="588"/>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F820147B-082B-4FA1-97BA-0F1A0D69376D}" name="4052SPS_Assess" displayName="_4052SPS_Assess" ref="C37:H41" totalsRowShown="0" headerRowDxfId="587" dataDxfId="586">
  <autoFilter ref="C37:H41" xr:uid="{39DE2F1F-0A9B-4873-A230-1AA954198F52}">
    <filterColumn colId="0" hiddenButton="1"/>
    <filterColumn colId="1" hiddenButton="1"/>
    <filterColumn colId="2" hiddenButton="1"/>
    <filterColumn colId="3" hiddenButton="1"/>
    <filterColumn colId="4" hiddenButton="1"/>
    <filterColumn colId="5" hiddenButton="1"/>
  </autoFilter>
  <tableColumns count="6">
    <tableColumn id="1" xr3:uid="{2063B804-9290-4363-A24F-BA34F88A89EF}" name="Assessment No" dataDxfId="585"/>
    <tableColumn id="2" xr3:uid="{390EF809-FA62-405F-B84C-B2AD571CEBAA}" name="Assessment Type" dataDxfId="584"/>
    <tableColumn id="7" xr3:uid="{2B1618E6-AA98-4A15-AE0C-79993F1BAFB7}" name="Assessment Specific" dataDxfId="583"/>
    <tableColumn id="3" xr3:uid="{138C3352-0967-40A6-A5BE-4B32DEC01ACB}" name="Assessment Description" dataDxfId="582"/>
    <tableColumn id="4" xr3:uid="{F4B4B6BF-3460-42E3-849C-1BBE242E83C3}" name="Weighting" dataDxfId="581"/>
    <tableColumn id="5" xr3:uid="{E52307F9-F56A-42FC-9A76-6A630F2C5B71}" name="Due Week" dataDxfId="580"/>
  </tableColumns>
  <tableStyleInfo name="TableStyleMedium3"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036DF56C-F5DF-42FA-9C3E-466BEB6A9B25}" name="4052SPS_Weekly" displayName="_4052SPS_Weekly" ref="B70:F94" totalsRowShown="0" headerRowDxfId="579" dataDxfId="578">
  <autoFilter ref="B70:F94" xr:uid="{3A41AF80-1AD3-44F6-93D1-6C4A16CCF943}">
    <filterColumn colId="0" hiddenButton="1"/>
    <filterColumn colId="1" hiddenButton="1"/>
    <filterColumn colId="2" hiddenButton="1"/>
    <filterColumn colId="3" hiddenButton="1"/>
    <filterColumn colId="4" hiddenButton="1"/>
  </autoFilter>
  <tableColumns count="5">
    <tableColumn id="1" xr3:uid="{A5D23D0B-4E1E-44F9-A154-416BAE9F0E6A}" name="Semester " dataDxfId="577"/>
    <tableColumn id="2" xr3:uid="{1B7B234D-0DD9-4913-9C62-18CC4E0FD5D6}" name="Week Number" dataDxfId="576"/>
    <tableColumn id="3" xr3:uid="{FDA6287D-7D09-41DC-96F1-E9BCD4B11D2E}" name="Weekly Content 1" dataDxfId="575"/>
    <tableColumn id="4" xr3:uid="{C104D628-2E09-432B-BC7A-B7E29838D1BD}" name="Weekly Content 2" dataDxfId="574"/>
    <tableColumn id="5" xr3:uid="{6CD950CC-83A5-4FD3-93FC-B284F6F6350E}" name="Weekly Content 3" dataDxfId="573"/>
  </tableColumns>
  <tableStyleInfo name="TableStyleMedium4"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92B2FE4A-AD2A-4354-81FF-92DECA27A716}" name="4052SPS_Hours" displayName="_4052SPS_Hours" ref="C18:D24" totalsRowShown="0" headerRowDxfId="572" dataDxfId="571">
  <autoFilter ref="C18:D24" xr:uid="{B71A3569-AA65-4A4E-98A2-885F5C38B46D}">
    <filterColumn colId="0" hiddenButton="1"/>
    <filterColumn colId="1" hiddenButton="1"/>
  </autoFilter>
  <tableColumns count="2">
    <tableColumn id="1" xr3:uid="{27F817B7-6395-4976-9120-60D5C9775BA5}" name="Component" dataDxfId="570"/>
    <tableColumn id="2" xr3:uid="{D9B68E50-AFDD-4B94-80F2-BAB157C2FF40}" name="Contact Hours" dataDxfId="569"/>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BACD4F23-19CD-490A-863B-D357A075F62D}" name="4052SPS_Mapping" displayName="_4052SPS_Mapping" ref="C45:F66" totalsRowShown="0" headerRowDxfId="568" dataDxfId="567">
  <autoFilter ref="C45:F66" xr:uid="{E0A841BB-B6D5-4048-B5F2-18CF9F502EBA}">
    <filterColumn colId="0" hiddenButton="1"/>
    <filterColumn colId="1" hiddenButton="1"/>
    <filterColumn colId="2" hiddenButton="1"/>
    <filterColumn colId="3" hiddenButton="1"/>
  </autoFilter>
  <tableColumns count="4">
    <tableColumn id="1" xr3:uid="{4320F17F-7532-4CD6-9873-A1CBAAFA9F7C}" name="Assessment No" dataDxfId="566"/>
    <tableColumn id="2" xr3:uid="{CF29F699-8C1A-4AC4-A563-FCBB128AC8F3}" name="LO Number" dataDxfId="565"/>
    <tableColumn id="3" xr3:uid="{B1082C18-E8C1-42F9-B74D-584EBA4A0A39}" name="Graduate Skills Category" dataDxfId="564"/>
    <tableColumn id="4" xr3:uid="{BD6D6488-ABFD-45B6-B06F-748690280986}" name="Graduate Skill" dataDxfId="563"/>
  </tableColumns>
  <tableStyleInfo name="TableStyleMedium3"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0BD2BE49-9025-454E-A9D0-BE88D8AF0F0B}" name="4052SPS_Aims" displayName="_4052SPS_Aims" ref="F6:F8" totalsRowShown="0" headerRowDxfId="562" dataDxfId="561">
  <autoFilter ref="F6:F8" xr:uid="{9552138F-2332-4BC4-A585-0E13162881A5}"/>
  <tableColumns count="1">
    <tableColumn id="1" xr3:uid="{E2B338AF-53C9-469A-B45D-DF4BE4CCBDD0}" name="Aims" dataDxfId="560"/>
  </tableColumns>
  <tableStyleInfo name="TableStyleMedium6"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963A62B5-6BD6-4FF7-AC53-AE2CCA7AF0AD}" name="4052SPS_Syllabus" displayName="_4052SPS_Syllabus" ref="F10:F13" totalsRowShown="0" headerRowDxfId="559" dataDxfId="558">
  <autoFilter ref="F10:F13" xr:uid="{94F18F67-3F10-4F6E-A953-4FE3399B07F2}"/>
  <tableColumns count="1">
    <tableColumn id="1" xr3:uid="{0B585185-EFA9-44AB-A953-91DF09E1C8F4}" name="Outline Syllabus" dataDxfId="557"/>
  </tableColumns>
  <tableStyleInfo name="TableStyleMedium6"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49D78F64-BBE3-4F16-BBE6-34802F612A15}" name="4052SPS_Overview" displayName="_4052SPS_Overview" ref="F15:F20" totalsRowShown="0" headerRowDxfId="556" dataDxfId="555">
  <autoFilter ref="F15:F20" xr:uid="{1B2BCD7B-6C15-4B1C-86BC-48FF83D8F225}"/>
  <tableColumns count="1">
    <tableColumn id="1" xr3:uid="{8DA5C005-FC9F-4CBE-A281-B2B92A53526A}" name="Module Overview" dataDxfId="554"/>
  </tableColumns>
  <tableStyleInfo name="TableStyleMedium6"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3BE2516B-A7EA-432E-92EE-6643A09A6407}" name="4052SPS_Notes" displayName="_4052SPS_Notes" ref="F22:F33" totalsRowShown="0" headerRowDxfId="553" dataDxfId="552">
  <autoFilter ref="F22:F33" xr:uid="{D5968C0A-6D7E-4221-87EE-78A85A4039B3}"/>
  <tableColumns count="1">
    <tableColumn id="1" xr3:uid="{D67854B5-D179-408B-A477-7F6E3033D84B}" name="Additional Information/Notes" dataDxfId="551"/>
  </tableColumns>
  <tableStyleInfo name="TableStyleMedium6"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C86E48D9-F82B-402B-A44C-BC8F8F7303D0}" name="4053SPS_Meta" displayName="_4053SPS_Meta" ref="C6:D14" totalsRowShown="0" headerRowDxfId="550" dataDxfId="549">
  <autoFilter ref="C6:D14" xr:uid="{CD75D2A7-14B1-4ABD-B64D-6E875F9BC652}">
    <filterColumn colId="0" hiddenButton="1"/>
    <filterColumn colId="1" hiddenButton="1"/>
  </autoFilter>
  <tableColumns count="2">
    <tableColumn id="1" xr3:uid="{7833E623-ED87-40CE-93D2-B78B6A7D7E94}" name="Module Data" dataDxfId="548"/>
    <tableColumn id="2" xr3:uid="{0659839B-A1DA-4204-9267-1A4CC295A6EF}" name="Details" dataDxfId="547"/>
  </tableColumns>
  <tableStyleInfo name="TableStyleMedium6"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E32A9936-076B-4BC2-B13B-069BFBBB1804}" name="4053SPS_LO" displayName="_4053SPS_LO" ref="C28:D33" totalsRowShown="0" headerRowDxfId="546" dataDxfId="545">
  <autoFilter ref="C28:D33" xr:uid="{22316987-6BEB-4FAF-9619-BF9BE9909CFA}">
    <filterColumn colId="0" hiddenButton="1"/>
    <filterColumn colId="1" hiddenButton="1"/>
  </autoFilter>
  <tableColumns count="2">
    <tableColumn id="1" xr3:uid="{FEDC5FCD-23F6-4532-A565-C979DFEE6452}" name="LO Number" dataDxfId="544"/>
    <tableColumn id="2" xr3:uid="{1F64A8B9-B360-490C-BD12-64A29F9CF82F}" name="LO Description" dataDxfId="543"/>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A199E17E-33E1-438A-8DFD-E5E7B9D9B6AD}" name="4053SPS_Assess" displayName="_4053SPS_Assess" ref="C37:H41" totalsRowShown="0" headerRowDxfId="542" dataDxfId="541">
  <autoFilter ref="C37:H41" xr:uid="{39DE2F1F-0A9B-4873-A230-1AA954198F52}">
    <filterColumn colId="0" hiddenButton="1"/>
    <filterColumn colId="1" hiddenButton="1"/>
    <filterColumn colId="2" hiddenButton="1"/>
    <filterColumn colId="3" hiddenButton="1"/>
    <filterColumn colId="4" hiddenButton="1"/>
    <filterColumn colId="5" hiddenButton="1"/>
  </autoFilter>
  <tableColumns count="6">
    <tableColumn id="1" xr3:uid="{9257FCD3-320E-4A09-882E-104641C1FD58}" name="Assessment No" dataDxfId="540"/>
    <tableColumn id="2" xr3:uid="{0FE47FA8-B999-4405-B49D-E106E82A7509}" name="Assessment Type" dataDxfId="539"/>
    <tableColumn id="7" xr3:uid="{61D6D411-EDDD-4962-A754-A4B5EEB96263}" name="Assessment Specific" dataDxfId="538"/>
    <tableColumn id="3" xr3:uid="{1A288D47-FFDF-4BA0-94F1-9B647BE04DCC}" name="Assessment Description" dataDxfId="537"/>
    <tableColumn id="4" xr3:uid="{ED08857B-A938-490D-9B30-962DE64252AB}" name="Weighting" dataDxfId="536"/>
    <tableColumn id="5" xr3:uid="{581E13F4-4545-426B-8995-08E09758F5CB}" name="Due Week" dataDxfId="535"/>
  </tableColumns>
  <tableStyleInfo name="TableStyleMedium3"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CBF4AD49-2241-4DE3-B6F1-0E1C2F3DE17D}" name="4053SPS_Weekly" displayName="_4053SPS_Weekly" ref="B70:F94" totalsRowShown="0" headerRowDxfId="534" dataDxfId="533">
  <autoFilter ref="B70:F94" xr:uid="{3A41AF80-1AD3-44F6-93D1-6C4A16CCF943}">
    <filterColumn colId="0" hiddenButton="1"/>
    <filterColumn colId="1" hiddenButton="1"/>
    <filterColumn colId="2" hiddenButton="1"/>
    <filterColumn colId="3" hiddenButton="1"/>
    <filterColumn colId="4" hiddenButton="1"/>
  </autoFilter>
  <tableColumns count="5">
    <tableColumn id="1" xr3:uid="{D1DA16D2-1087-49A1-9BB0-8496A2968E4A}" name="Semester " dataDxfId="532"/>
    <tableColumn id="2" xr3:uid="{BED16F5A-D8C5-4300-A763-C0065F48E598}" name="Week Number" dataDxfId="531"/>
    <tableColumn id="3" xr3:uid="{1C3278D5-9F89-43C0-84A5-ACE6AE3BF8C8}" name="Weekly Content 1" dataDxfId="530"/>
    <tableColumn id="4" xr3:uid="{8ADEF497-35DC-4945-B42C-DCA4C8DB67C9}" name="Weekly Content 2" dataDxfId="529"/>
    <tableColumn id="5" xr3:uid="{E6B69E39-A78E-4994-8E8F-40C76F0002A1}" name="Weekly Content 3" dataDxfId="528"/>
  </tableColumns>
  <tableStyleInfo name="TableStyleMedium4"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2E7FD2E5-9819-4DDA-9192-9962A61B1C4E}" name="4053SPS_Hours" displayName="_4053SPS_Hours" ref="C18:D24" totalsRowShown="0" headerRowDxfId="527" dataDxfId="526">
  <autoFilter ref="C18:D24" xr:uid="{B71A3569-AA65-4A4E-98A2-885F5C38B46D}">
    <filterColumn colId="0" hiddenButton="1"/>
    <filterColumn colId="1" hiddenButton="1"/>
  </autoFilter>
  <tableColumns count="2">
    <tableColumn id="1" xr3:uid="{2FFE33E1-E3D8-499A-B70C-70494FCFC11F}" name="Component" dataDxfId="525"/>
    <tableColumn id="2" xr3:uid="{D8D74B7C-DED1-4107-9D9B-A69709137AF1}" name="Contact Hours" dataDxfId="524"/>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568775CE-CA9A-402A-A796-7C84FDD56B4E}" name="4053SPS_Mapping" displayName="_4053SPS_Mapping" ref="C45:F66" totalsRowShown="0" headerRowDxfId="523" dataDxfId="522">
  <autoFilter ref="C45:F66" xr:uid="{E0A841BB-B6D5-4048-B5F2-18CF9F502EBA}">
    <filterColumn colId="0" hiddenButton="1"/>
    <filterColumn colId="1" hiddenButton="1"/>
    <filterColumn colId="2" hiddenButton="1"/>
    <filterColumn colId="3" hiddenButton="1"/>
  </autoFilter>
  <tableColumns count="4">
    <tableColumn id="1" xr3:uid="{1EFBBED1-A4EE-4381-813E-E578917BA7ED}" name="Assessment No" dataDxfId="521"/>
    <tableColumn id="2" xr3:uid="{3DE98FE2-3138-46D6-BD99-F2FB47042775}" name="LO Number" dataDxfId="520"/>
    <tableColumn id="3" xr3:uid="{810A03D8-C153-4962-9C3C-D761D27C4A3F}" name="Graduate Skills Category" dataDxfId="519"/>
    <tableColumn id="4" xr3:uid="{C3B0D1F6-1274-4ED1-9705-01F40BB1E2F2}" name="Graduate Skill" dataDxfId="518"/>
  </tableColumns>
  <tableStyleInfo name="TableStyleMedium3"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DF6D575A-6B50-40E0-9195-2B0B7EBAA31D}" name="4053SPS_Aims" displayName="_4053SPS_Aims" ref="F6:F8" totalsRowShown="0" headerRowDxfId="517" dataDxfId="516">
  <autoFilter ref="F6:F8" xr:uid="{9552138F-2332-4BC4-A585-0E13162881A5}"/>
  <tableColumns count="1">
    <tableColumn id="1" xr3:uid="{C445F0C7-61B3-46CB-A56F-67D79AE54D5C}" name="Aims" dataDxfId="515"/>
  </tableColumns>
  <tableStyleInfo name="TableStyleMedium6"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4737D9A0-1182-4F4B-8A02-69208479CE71}" name="4053SPS_Syllabus" displayName="_4053SPS_Syllabus" ref="F10:F13" totalsRowShown="0" headerRowDxfId="514" dataDxfId="513">
  <autoFilter ref="F10:F13" xr:uid="{94F18F67-3F10-4F6E-A953-4FE3399B07F2}"/>
  <tableColumns count="1">
    <tableColumn id="1" xr3:uid="{CAABEA9D-6FBF-459A-AD97-585A17318A01}" name="Outline Syllabus" dataDxfId="512"/>
  </tableColumns>
  <tableStyleInfo name="TableStyleMedium6"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235D63BF-CDCE-4B35-AC53-8391B5EC5408}" name="4053SPS_Overview" displayName="_4053SPS_Overview" ref="F15:F20" totalsRowShown="0" headerRowDxfId="511" dataDxfId="510">
  <autoFilter ref="F15:F20" xr:uid="{1B2BCD7B-6C15-4B1C-86BC-48FF83D8F225}"/>
  <tableColumns count="1">
    <tableColumn id="1" xr3:uid="{A14625FC-0807-41B3-BEF3-09E7E979EFED}" name="Module Overview" dataDxfId="509"/>
  </tableColumns>
  <tableStyleInfo name="TableStyleMedium6"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3" xr:uid="{69E4EB89-A002-43BB-BD42-A6CBE09A1C1C}" name="4053SPS_Notes" displayName="_4053SPS_Notes" ref="F22:F33" totalsRowShown="0" headerRowDxfId="508" dataDxfId="507">
  <autoFilter ref="F22:F33" xr:uid="{D5968C0A-6D7E-4221-87EE-78A85A4039B3}"/>
  <tableColumns count="1">
    <tableColumn id="1" xr3:uid="{0F69CA79-BA33-4E25-8FA9-233F7FC95036}" name="Additional Information/Notes" dataDxfId="506"/>
  </tableColumns>
  <tableStyleInfo name="TableStyleMedium6"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4" xr:uid="{624550D8-3246-406D-9203-C76D3E1169A8}" name="4054SPS_Meta" displayName="_4054SPS_Meta" ref="C6:D14" totalsRowShown="0" headerRowDxfId="505" dataDxfId="504">
  <autoFilter ref="C6:D14" xr:uid="{CD75D2A7-14B1-4ABD-B64D-6E875F9BC652}">
    <filterColumn colId="0" hiddenButton="1"/>
    <filterColumn colId="1" hiddenButton="1"/>
  </autoFilter>
  <tableColumns count="2">
    <tableColumn id="1" xr3:uid="{F75C39EB-FA62-46B2-BBD7-C15273288588}" name="Module Data" dataDxfId="503"/>
    <tableColumn id="2" xr3:uid="{AFAD978E-7AB7-41A9-B9E1-ABF4834D59E6}" name="Details" dataDxfId="502"/>
  </tableColumns>
  <tableStyleInfo name="TableStyleMedium6"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5" xr:uid="{B3A0DF70-76CC-43CC-B01A-C5B9F6018DA1}" name="4054SPS_LO" displayName="_4054SPS_LO" ref="C28:D33" totalsRowShown="0" headerRowDxfId="501" dataDxfId="500">
  <autoFilter ref="C28:D33" xr:uid="{22316987-6BEB-4FAF-9619-BF9BE9909CFA}">
    <filterColumn colId="0" hiddenButton="1"/>
    <filterColumn colId="1" hiddenButton="1"/>
  </autoFilter>
  <tableColumns count="2">
    <tableColumn id="1" xr3:uid="{03889838-3692-4CDB-B3C9-843AC2EB8510}" name="LO Number" dataDxfId="499"/>
    <tableColumn id="2" xr3:uid="{EBF4F997-F685-4171-8E33-10C81A9AA6BD}" name="LO Description" dataDxfId="498"/>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6" xr:uid="{D5DD12BE-6599-42D1-AC02-0B9161A223C5}" name="4054SPS_Assess" displayName="_4054SPS_Assess" ref="C37:H41" totalsRowShown="0" headerRowDxfId="497" dataDxfId="496">
  <autoFilter ref="C37:H41" xr:uid="{39DE2F1F-0A9B-4873-A230-1AA954198F52}">
    <filterColumn colId="0" hiddenButton="1"/>
    <filterColumn colId="1" hiddenButton="1"/>
    <filterColumn colId="2" hiddenButton="1"/>
    <filterColumn colId="3" hiddenButton="1"/>
    <filterColumn colId="4" hiddenButton="1"/>
    <filterColumn colId="5" hiddenButton="1"/>
  </autoFilter>
  <tableColumns count="6">
    <tableColumn id="1" xr3:uid="{94894FCF-0035-4C97-A904-AD8F7449DA67}" name="Assessment No" dataDxfId="495"/>
    <tableColumn id="2" xr3:uid="{154AA898-EB51-423F-971E-2D54E7AE168D}" name="Assessment Type" dataDxfId="494"/>
    <tableColumn id="7" xr3:uid="{9983984E-B1DF-4F0D-9268-C2C69B7257DE}" name="Assessment Specific" dataDxfId="493"/>
    <tableColumn id="3" xr3:uid="{7393D08E-D15D-482F-94F5-3955E2087F8B}" name="Assessment Description" dataDxfId="492"/>
    <tableColumn id="4" xr3:uid="{A7B8D88B-748B-437A-9A1C-F9ED211ABF56}" name="Weighting" dataDxfId="491"/>
    <tableColumn id="5" xr3:uid="{79ED1616-9922-40C9-8AED-68B6819817F9}" name="Due Week" dataDxfId="490"/>
  </tableColumns>
  <tableStyleInfo name="TableStyleMedium3"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7" xr:uid="{5549275A-166A-4CD3-9308-81EDEF3B26DB}" name="4054SPS_Weekly" displayName="_4054SPS_Weekly" ref="B70:F94" totalsRowShown="0" headerRowDxfId="489" dataDxfId="488">
  <autoFilter ref="B70:F94" xr:uid="{3A41AF80-1AD3-44F6-93D1-6C4A16CCF943}">
    <filterColumn colId="0" hiddenButton="1"/>
    <filterColumn colId="1" hiddenButton="1"/>
    <filterColumn colId="2" hiddenButton="1"/>
    <filterColumn colId="3" hiddenButton="1"/>
    <filterColumn colId="4" hiddenButton="1"/>
  </autoFilter>
  <tableColumns count="5">
    <tableColumn id="1" xr3:uid="{B7FA3159-D6A2-414C-94D8-A2E8568CD41C}" name="Semester " dataDxfId="487"/>
    <tableColumn id="2" xr3:uid="{FFEC1971-8BF4-44B8-BD5C-805779F987C9}" name="Week Number" dataDxfId="486"/>
    <tableColumn id="3" xr3:uid="{A9F5297B-ACA7-4D9D-842B-9A24FD16BA05}" name="Weekly Content 1" dataDxfId="485"/>
    <tableColumn id="4" xr3:uid="{B96BEEEA-7F39-4C28-9F20-2E7BAC5D76C4}" name="Weekly Content 2" dataDxfId="484"/>
    <tableColumn id="5" xr3:uid="{6D853DE2-8A0D-4998-B49D-5DECC81696CA}" name="Weekly Content 3" dataDxfId="483"/>
  </tableColumns>
  <tableStyleInfo name="TableStyleMedium4"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8" xr:uid="{C3DF0F01-A9D0-4761-8965-A2F4863E2A4E}" name="4054SPS_Hours" displayName="_4054SPS_Hours" ref="C18:D24" totalsRowShown="0" headerRowDxfId="482" dataDxfId="481">
  <autoFilter ref="C18:D24" xr:uid="{B71A3569-AA65-4A4E-98A2-885F5C38B46D}">
    <filterColumn colId="0" hiddenButton="1"/>
    <filterColumn colId="1" hiddenButton="1"/>
  </autoFilter>
  <tableColumns count="2">
    <tableColumn id="1" xr3:uid="{E1F6A0CE-A0D1-484E-806D-5F1EE294F6C5}" name="Component" dataDxfId="480"/>
    <tableColumn id="2" xr3:uid="{C29C0E16-5D02-4470-B9A3-F33C24B509D3}" name="Contact Hours" dataDxfId="479"/>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9" xr:uid="{D55D786C-9F3A-48CE-8767-1DD44ED57855}" name="4054SPS_Mapping" displayName="_4054SPS_Mapping" ref="C45:F66" totalsRowShown="0" headerRowDxfId="478" dataDxfId="477">
  <autoFilter ref="C45:F66" xr:uid="{E0A841BB-B6D5-4048-B5F2-18CF9F502EBA}">
    <filterColumn colId="0" hiddenButton="1"/>
    <filterColumn colId="1" hiddenButton="1"/>
    <filterColumn colId="2" hiddenButton="1"/>
    <filterColumn colId="3" hiddenButton="1"/>
  </autoFilter>
  <tableColumns count="4">
    <tableColumn id="1" xr3:uid="{351B8FDB-16CD-4D24-AF2C-C5AD529DF595}" name="Assessment No" dataDxfId="476"/>
    <tableColumn id="2" xr3:uid="{9CB0238A-1328-4A0D-AAE2-50C376C7235C}" name="LO Number" dataDxfId="475"/>
    <tableColumn id="3" xr3:uid="{96B6D864-B246-4570-9A1C-3387C1ABD880}" name="Graduate Skills Category" dataDxfId="474"/>
    <tableColumn id="4" xr3:uid="{D00C4D9A-F418-40FC-AB6A-A84F0B2A9E4C}" name="Graduate Skill" dataDxfId="473"/>
  </tableColumns>
  <tableStyleInfo name="TableStyleMedium3"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0" xr:uid="{0ABE8A2B-4753-418C-8174-04E8DA313A71}" name="4054SPS_Aims" displayName="_4054SPS_Aims" ref="F6:F8" totalsRowShown="0" headerRowDxfId="472" dataDxfId="471">
  <autoFilter ref="F6:F8" xr:uid="{9552138F-2332-4BC4-A585-0E13162881A5}"/>
  <tableColumns count="1">
    <tableColumn id="1" xr3:uid="{31A9816E-6125-4BB1-B024-023BC57E4CF3}" name="Aims" dataDxfId="470"/>
  </tableColumns>
  <tableStyleInfo name="TableStyleMedium6"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1" xr:uid="{1747F9EA-8662-4F26-A01D-803EAD3C1FD5}" name="4054SPS_Syllabus" displayName="_4054SPS_Syllabus" ref="F10:F13" totalsRowShown="0" headerRowDxfId="469" dataDxfId="468">
  <autoFilter ref="F10:F13" xr:uid="{94F18F67-3F10-4F6E-A953-4FE3399B07F2}"/>
  <tableColumns count="1">
    <tableColumn id="1" xr3:uid="{6A2A3EA9-0D72-4A0E-A2B5-FF641EDBA034}" name="Outline Syllabus" dataDxfId="467"/>
  </tableColumns>
  <tableStyleInfo name="TableStyleMedium6"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2" xr:uid="{26F3C05B-4EDF-47A0-9FA6-60C5FAD6ECCD}" name="4054SPS_Overview" displayName="_4054SPS_Overview" ref="F15:F20" totalsRowShown="0" headerRowDxfId="466" dataDxfId="465">
  <autoFilter ref="F15:F20" xr:uid="{1B2BCD7B-6C15-4B1C-86BC-48FF83D8F225}"/>
  <tableColumns count="1">
    <tableColumn id="1" xr3:uid="{3ECD395E-FA33-4C57-93BB-6A0232B1FB84}" name="Module Overview" dataDxfId="464"/>
  </tableColumns>
  <tableStyleInfo name="TableStyleMedium6"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3" xr:uid="{3B1F6B96-9B9D-4196-A72D-C9C91B0E85E6}" name="4054SPS_Notes" displayName="_4054SPS_Notes" ref="F22:F33" totalsRowShown="0" headerRowDxfId="463" dataDxfId="462">
  <autoFilter ref="F22:F33" xr:uid="{D5968C0A-6D7E-4221-87EE-78A85A4039B3}"/>
  <tableColumns count="1">
    <tableColumn id="1" xr3:uid="{7082D249-848A-49C3-8DF4-B67EE67DF58C}" name="Additional Information/Notes" dataDxfId="461"/>
  </tableColumns>
  <tableStyleInfo name="TableStyleMedium6"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4" xr:uid="{74B2B836-FEE3-4D8C-A583-FCE8AD37DA97}" name="4093SPS_Meta" displayName="_4093SPS_Meta" ref="C6:D14" totalsRowShown="0" headerRowDxfId="460" dataDxfId="459">
  <autoFilter ref="C6:D14" xr:uid="{CD75D2A7-14B1-4ABD-B64D-6E875F9BC652}">
    <filterColumn colId="0" hiddenButton="1"/>
    <filterColumn colId="1" hiddenButton="1"/>
  </autoFilter>
  <tableColumns count="2">
    <tableColumn id="1" xr3:uid="{4312B193-D095-44A4-B0FA-8864AE0BCBEF}" name="Module Data" dataDxfId="458"/>
    <tableColumn id="2" xr3:uid="{4F08D2F7-88F2-4061-857B-CBAD6623F570}" name="Details" dataDxfId="457"/>
  </tableColumns>
  <tableStyleInfo name="TableStyleMedium6"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5" xr:uid="{6B4EAB99-124D-42E9-8E49-DC0D3280A770}" name="4093SPS_LO" displayName="_4093SPS_LO" ref="C28:D33" totalsRowShown="0" headerRowDxfId="456" dataDxfId="455">
  <autoFilter ref="C28:D33" xr:uid="{22316987-6BEB-4FAF-9619-BF9BE9909CFA}">
    <filterColumn colId="0" hiddenButton="1"/>
    <filterColumn colId="1" hiddenButton="1"/>
  </autoFilter>
  <tableColumns count="2">
    <tableColumn id="1" xr3:uid="{87282965-A2DA-4B4E-8D06-98090F28BEEF}" name="LO Number" dataDxfId="454"/>
    <tableColumn id="2" xr3:uid="{5860F21B-133F-4A88-A61B-07CF39BC7E21}" name="LO Description" dataDxfId="453"/>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6" xr:uid="{C3B225F4-04B9-42E5-AA5E-0B231BCFA0EF}" name="4093SPS_Assess" displayName="_4093SPS_Assess" ref="C37:H41" totalsRowShown="0" headerRowDxfId="452" dataDxfId="451">
  <autoFilter ref="C37:H41" xr:uid="{39DE2F1F-0A9B-4873-A230-1AA954198F52}">
    <filterColumn colId="0" hiddenButton="1"/>
    <filterColumn colId="1" hiddenButton="1"/>
    <filterColumn colId="2" hiddenButton="1"/>
    <filterColumn colId="3" hiddenButton="1"/>
    <filterColumn colId="4" hiddenButton="1"/>
    <filterColumn colId="5" hiddenButton="1"/>
  </autoFilter>
  <tableColumns count="6">
    <tableColumn id="1" xr3:uid="{8DF47951-A7BD-47A8-B1ED-B6F5AF65DA1D}" name="Assessment No" dataDxfId="450"/>
    <tableColumn id="2" xr3:uid="{02E86080-DD71-4108-821B-E566F188DEA2}" name="Assessment Type" dataDxfId="449"/>
    <tableColumn id="7" xr3:uid="{47CA01EB-2FAC-4F47-BB5B-4ACF9B64B490}" name="Assessment Specific" dataDxfId="448"/>
    <tableColumn id="3" xr3:uid="{FBD48AF8-7B7F-4162-9266-C7CCFD60F0E7}" name="Assessment Description" dataDxfId="447"/>
    <tableColumn id="4" xr3:uid="{B1C6A884-1B35-475C-8890-451E2B62B45B}" name="Weighting" dataDxfId="446"/>
    <tableColumn id="5" xr3:uid="{52275FFC-C744-424D-9DA8-F4384F058801}" name="Due Week" dataDxfId="445"/>
  </tableColumns>
  <tableStyleInfo name="TableStyleMedium3"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7" xr:uid="{811C1444-7D9D-41F0-B07B-761DA8B67262}" name="4093SPS_Weekly" displayName="_4093SPS_Weekly" ref="B70:F94" totalsRowShown="0" headerRowDxfId="444" dataDxfId="443">
  <autoFilter ref="B70:F94" xr:uid="{3A41AF80-1AD3-44F6-93D1-6C4A16CCF943}">
    <filterColumn colId="0" hiddenButton="1"/>
    <filterColumn colId="1" hiddenButton="1"/>
    <filterColumn colId="2" hiddenButton="1"/>
    <filterColumn colId="3" hiddenButton="1"/>
    <filterColumn colId="4" hiddenButton="1"/>
  </autoFilter>
  <tableColumns count="5">
    <tableColumn id="1" xr3:uid="{AA171258-098F-40B4-886F-EAA2D59C0870}" name="Semester " dataDxfId="442"/>
    <tableColumn id="2" xr3:uid="{F2C231FA-6829-4DDE-AADC-3E8FA43A1138}" name="Week Number" dataDxfId="441"/>
    <tableColumn id="3" xr3:uid="{BF2905C5-0007-47A2-850C-6A3A59009B1B}" name="Weekly Content 1" dataDxfId="440"/>
    <tableColumn id="4" xr3:uid="{87E349A9-C7DB-4B62-AE2D-73DF6FE87FF2}" name="Weekly Content 2" dataDxfId="439"/>
    <tableColumn id="5" xr3:uid="{9335E186-D4FA-4BC9-96F6-48CA2E66C8B8}" name="Weekly Content 3" dataDxfId="438"/>
  </tableColumns>
  <tableStyleInfo name="TableStyleMedium4"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8" xr:uid="{A93C3D93-C0B3-4DC1-A2AD-C094B48CCC3E}" name="4093SPS_Hours" displayName="_4093SPS_Hours" ref="C18:D24" totalsRowShown="0" headerRowDxfId="437" dataDxfId="436">
  <autoFilter ref="C18:D24" xr:uid="{B71A3569-AA65-4A4E-98A2-885F5C38B46D}">
    <filterColumn colId="0" hiddenButton="1"/>
    <filterColumn colId="1" hiddenButton="1"/>
  </autoFilter>
  <tableColumns count="2">
    <tableColumn id="1" xr3:uid="{9CDDC04F-6E44-4B1D-B2F7-BCFB91288FF8}" name="Component" dataDxfId="435"/>
    <tableColumn id="2" xr3:uid="{0A78BA71-0A43-4908-AD5D-EAD433A8F0CB}" name="Contact Hours" dataDxfId="434"/>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9" xr:uid="{074D72A6-497B-41F6-AEDC-764E0477FB4D}" name="4093SPS_Mapping" displayName="_4093SPS_Mapping" ref="C45:F66" totalsRowShown="0" headerRowDxfId="433" dataDxfId="432">
  <autoFilter ref="C45:F66" xr:uid="{E0A841BB-B6D5-4048-B5F2-18CF9F502EBA}">
    <filterColumn colId="0" hiddenButton="1"/>
    <filterColumn colId="1" hiddenButton="1"/>
    <filterColumn colId="2" hiddenButton="1"/>
    <filterColumn colId="3" hiddenButton="1"/>
  </autoFilter>
  <tableColumns count="4">
    <tableColumn id="1" xr3:uid="{EACDE5D0-DCC0-4C25-9632-DAE8298C79C4}" name="Assessment No" dataDxfId="431"/>
    <tableColumn id="2" xr3:uid="{38F835BE-5EB1-4FFA-8259-BEB6E39C8FA1}" name="LO Number" dataDxfId="430"/>
    <tableColumn id="3" xr3:uid="{C6B979A3-0E5A-464F-B5CD-CBA3047E98BE}" name="Graduate Skills Category" dataDxfId="429"/>
    <tableColumn id="4" xr3:uid="{2D7AD4B8-14A9-4533-A3C6-5E7125BAACC7}" name="Graduate Skill" dataDxfId="428"/>
  </tableColumns>
  <tableStyleInfo name="TableStyleMedium3"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0" xr:uid="{03DFB63D-58AB-47FF-9208-A470E9348B6F}" name="4093SPS_Aims" displayName="_4093SPS_Aims" ref="F6:F8" totalsRowShown="0" headerRowDxfId="427" dataDxfId="426">
  <autoFilter ref="F6:F8" xr:uid="{9552138F-2332-4BC4-A585-0E13162881A5}"/>
  <tableColumns count="1">
    <tableColumn id="1" xr3:uid="{9E1F2909-CE11-40D2-90E4-0F2548AB10B2}" name="Aims" dataDxfId="425"/>
  </tableColumns>
  <tableStyleInfo name="TableStyleMedium6"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1" xr:uid="{5CFA8ECE-8F57-4ECA-B2A5-317B767EA53F}" name="4093SPS_Syllabus" displayName="_4093SPS_Syllabus" ref="F10:F13" totalsRowShown="0" headerRowDxfId="424" dataDxfId="423">
  <autoFilter ref="F10:F13" xr:uid="{94F18F67-3F10-4F6E-A953-4FE3399B07F2}"/>
  <tableColumns count="1">
    <tableColumn id="1" xr3:uid="{454BC257-77E7-4C9C-B231-D65E8EE20325}" name="Outline Syllabus" dataDxfId="422"/>
  </tableColumns>
  <tableStyleInfo name="TableStyleMedium6"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2" xr:uid="{3CDE255B-3A1A-451C-A13C-91436E9FCF71}" name="4093SPS_Overview" displayName="_4093SPS_Overview" ref="F15:F20" totalsRowShown="0" headerRowDxfId="421" dataDxfId="420">
  <autoFilter ref="F15:F20" xr:uid="{1B2BCD7B-6C15-4B1C-86BC-48FF83D8F225}"/>
  <tableColumns count="1">
    <tableColumn id="1" xr3:uid="{D37E1C0D-C9AF-4C78-BCFF-8B2CE993F50A}" name="Module Overview" dataDxfId="419"/>
  </tableColumns>
  <tableStyleInfo name="TableStyleMedium6"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3" xr:uid="{1D041108-8D42-47AB-9472-C648C6F01A1B}" name="4093SPS_Notes" displayName="_4093SPS_Notes" ref="F22:F34" totalsRowShown="0" headerRowDxfId="418" dataDxfId="417">
  <autoFilter ref="F22:F34" xr:uid="{D5968C0A-6D7E-4221-87EE-78A85A4039B3}"/>
  <tableColumns count="1">
    <tableColumn id="1" xr3:uid="{E8342C1A-2B62-4E1C-B80B-B12917066000}" name="Additional Information/Notes" dataDxfId="416"/>
  </tableColumns>
  <tableStyleInfo name="TableStyleMedium6"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4" xr:uid="{40940089-4244-43F1-B97C-810AAAE444CF}" name="5051SPS_Meta" displayName="_5051SPS_Meta" ref="C6:D14" totalsRowShown="0" headerRowDxfId="415" dataDxfId="414">
  <autoFilter ref="C6:D14" xr:uid="{CD75D2A7-14B1-4ABD-B64D-6E875F9BC652}">
    <filterColumn colId="0" hiddenButton="1"/>
    <filterColumn colId="1" hiddenButton="1"/>
  </autoFilter>
  <tableColumns count="2">
    <tableColumn id="1" xr3:uid="{070BBF13-BA41-4DE1-A713-FB0E8630711C}" name="Module Data" dataDxfId="413"/>
    <tableColumn id="2" xr3:uid="{0E3F0926-B28A-4EA7-AAE9-E35BEC0A4DF5}" name="Details" dataDxfId="412"/>
  </tableColumns>
  <tableStyleInfo name="TableStyleMedium6"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5" xr:uid="{0696BD3D-C247-4096-9138-5992AFD94B43}" name="5051SPS_LO" displayName="_5051SPS_LO" ref="C28:D33" totalsRowShown="0" headerRowDxfId="411" dataDxfId="410">
  <autoFilter ref="C28:D33" xr:uid="{22316987-6BEB-4FAF-9619-BF9BE9909CFA}">
    <filterColumn colId="0" hiddenButton="1"/>
    <filterColumn colId="1" hiddenButton="1"/>
  </autoFilter>
  <tableColumns count="2">
    <tableColumn id="1" xr3:uid="{6088F306-C9B4-4ED7-9EEC-A674129ECCC9}" name="LO Number" dataDxfId="409"/>
    <tableColumn id="2" xr3:uid="{43834854-BE01-444E-8E1C-AE64963B358A}" name="LO Description" dataDxfId="408"/>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6" xr:uid="{F396ADA4-3F6E-4C44-8B94-249567CBD6BD}" name="5051SPS_Assess" displayName="_5051SPS_Assess" ref="C37:H41" totalsRowShown="0" headerRowDxfId="407" dataDxfId="406">
  <autoFilter ref="C37:H41" xr:uid="{39DE2F1F-0A9B-4873-A230-1AA954198F52}">
    <filterColumn colId="0" hiddenButton="1"/>
    <filterColumn colId="1" hiddenButton="1"/>
    <filterColumn colId="2" hiddenButton="1"/>
    <filterColumn colId="3" hiddenButton="1"/>
    <filterColumn colId="4" hiddenButton="1"/>
    <filterColumn colId="5" hiddenButton="1"/>
  </autoFilter>
  <tableColumns count="6">
    <tableColumn id="1" xr3:uid="{D2E1276A-52B5-424B-9BBA-9CC123ECC641}" name="Assessment No" dataDxfId="405"/>
    <tableColumn id="2" xr3:uid="{E2407AF6-3C98-4FD1-B31B-CB85A955F2E3}" name="Assessment Type" dataDxfId="404"/>
    <tableColumn id="7" xr3:uid="{803004E8-4057-430E-BD7F-E6A122487416}" name="Assessment Specific" dataDxfId="403"/>
    <tableColumn id="3" xr3:uid="{E82EABFF-0858-4F25-A741-AD63FC636934}" name="Assessment Description" dataDxfId="402"/>
    <tableColumn id="4" xr3:uid="{C435B8B1-D65F-4F43-8C3B-45550CBDD4FC}" name="Weighting" dataDxfId="401"/>
    <tableColumn id="5" xr3:uid="{03FBD12C-63B3-45F3-8CCB-172C1C96BB7E}" name="Due Week" dataDxfId="400"/>
  </tableColumns>
  <tableStyleInfo name="TableStyleMedium3"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7" xr:uid="{C8359A26-B512-45F8-8655-ACB9669F3576}" name="5051SPS_Weekly" displayName="_5051SPS_Weekly" ref="B70:F94" totalsRowShown="0" headerRowDxfId="399" dataDxfId="398">
  <autoFilter ref="B70:F94" xr:uid="{3A41AF80-1AD3-44F6-93D1-6C4A16CCF943}">
    <filterColumn colId="0" hiddenButton="1"/>
    <filterColumn colId="1" hiddenButton="1"/>
    <filterColumn colId="2" hiddenButton="1"/>
    <filterColumn colId="3" hiddenButton="1"/>
    <filterColumn colId="4" hiddenButton="1"/>
  </autoFilter>
  <tableColumns count="5">
    <tableColumn id="1" xr3:uid="{92701B6C-B731-4332-A2BC-EDB90DA0F8C9}" name="Semester " dataDxfId="397"/>
    <tableColumn id="2" xr3:uid="{0DEEBD8D-895D-4DB2-9CAB-767B56867428}" name="Week Number" dataDxfId="396"/>
    <tableColumn id="3" xr3:uid="{7E2D8092-2899-4612-BA2F-D50BF49F0F02}" name="Weekly Content 1" dataDxfId="395"/>
    <tableColumn id="4" xr3:uid="{543E0828-8F90-405C-8DC4-A27DEA150475}" name="Weekly Content 2" dataDxfId="394"/>
    <tableColumn id="5" xr3:uid="{CFCB0F41-D4BE-4456-B805-D7551BF9E83C}" name="Weekly Content 3" dataDxfId="393"/>
  </tableColumns>
  <tableStyleInfo name="TableStyleMedium4"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8" xr:uid="{AE8A534E-D29F-4551-AB97-6D70C45149F5}" name="5051SPS_Hours" displayName="_5051SPS_Hours" ref="C18:D24" totalsRowShown="0" headerRowDxfId="392" dataDxfId="391">
  <autoFilter ref="C18:D24" xr:uid="{B71A3569-AA65-4A4E-98A2-885F5C38B46D}">
    <filterColumn colId="0" hiddenButton="1"/>
    <filterColumn colId="1" hiddenButton="1"/>
  </autoFilter>
  <tableColumns count="2">
    <tableColumn id="1" xr3:uid="{A95790DB-8258-4803-8284-4A4A89FC1A81}" name="Component" dataDxfId="390"/>
    <tableColumn id="2" xr3:uid="{F8CDBB8B-28A2-40B8-8AB1-6707537C499B}" name="Contact Hours" dataDxfId="389"/>
  </tableColumns>
  <tableStyleInfo name="TableStyleMedium2"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9" xr:uid="{56D173C9-B42C-49E7-9D87-A5745A22D1C2}" name="5051SPS_Mapping" displayName="_5051SPS_Mapping" ref="C45:F66" totalsRowShown="0" headerRowDxfId="388" dataDxfId="387">
  <autoFilter ref="C45:F66" xr:uid="{E0A841BB-B6D5-4048-B5F2-18CF9F502EBA}">
    <filterColumn colId="0" hiddenButton="1"/>
    <filterColumn colId="1" hiddenButton="1"/>
    <filterColumn colId="2" hiddenButton="1"/>
    <filterColumn colId="3" hiddenButton="1"/>
  </autoFilter>
  <tableColumns count="4">
    <tableColumn id="1" xr3:uid="{01E2F7EB-60A0-4C13-A872-0336F07EDF9F}" name="Assessment No" dataDxfId="386"/>
    <tableColumn id="2" xr3:uid="{0A9CFE48-B3C3-4D3C-9F56-3062488E96D8}" name="LO Number" dataDxfId="385"/>
    <tableColumn id="3" xr3:uid="{F14AC592-27AF-4E15-B730-92515D2D5861}" name="Graduate Skills Category" dataDxfId="384"/>
    <tableColumn id="4" xr3:uid="{33BA90E8-AAD8-435C-9AC1-A549EDBF7228}" name="Graduate Skill" dataDxfId="383"/>
  </tableColumns>
  <tableStyleInfo name="TableStyleMedium3"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0" xr:uid="{2059C37A-58BE-4D59-894C-B91B91BF8452}" name="5051SPS_Aims" displayName="_5051SPS_Aims" ref="F6:F8" totalsRowShown="0" headerRowDxfId="382" dataDxfId="381">
  <autoFilter ref="F6:F8" xr:uid="{9552138F-2332-4BC4-A585-0E13162881A5}"/>
  <tableColumns count="1">
    <tableColumn id="1" xr3:uid="{95B55738-9EA9-42EF-9542-C1E475114357}" name="Aims" dataDxfId="380"/>
  </tableColumns>
  <tableStyleInfo name="TableStyleMedium6"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1" xr:uid="{D10F85BC-1345-43FC-B85A-FF83FDB98376}" name="5051SPS_Syllabus" displayName="_5051SPS_Syllabus" ref="F10:F13" totalsRowShown="0" headerRowDxfId="379" dataDxfId="378">
  <autoFilter ref="F10:F13" xr:uid="{94F18F67-3F10-4F6E-A953-4FE3399B07F2}"/>
  <tableColumns count="1">
    <tableColumn id="1" xr3:uid="{773F3BC1-153C-4CA9-9626-F7014E9C09FC}" name="Outline Syllabus" dataDxfId="377"/>
  </tableColumns>
  <tableStyleInfo name="TableStyleMedium6"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2" xr:uid="{9361160D-E085-4AC4-8943-5386B5E8545C}" name="5051SPS_Overview" displayName="_5051SPS_Overview" ref="F15:F20" totalsRowShown="0" headerRowDxfId="376" dataDxfId="375">
  <autoFilter ref="F15:F20" xr:uid="{1B2BCD7B-6C15-4B1C-86BC-48FF83D8F225}"/>
  <tableColumns count="1">
    <tableColumn id="1" xr3:uid="{5AB497BE-0287-4B15-828E-068ECF632096}" name="Module Overview" dataDxfId="374"/>
  </tableColumns>
  <tableStyleInfo name="TableStyleMedium6"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3" xr:uid="{2BD2469B-FE6E-4B79-8C1A-DBD7F029C0E0}" name="5051SPS_Notes" displayName="_5051SPS_Notes" ref="F22:F33" totalsRowShown="0" headerRowDxfId="373" dataDxfId="372">
  <autoFilter ref="F22:F33" xr:uid="{D5968C0A-6D7E-4221-87EE-78A85A4039B3}"/>
  <tableColumns count="1">
    <tableColumn id="1" xr3:uid="{050403C8-321F-4DA4-B6C6-73EFBF9C2B3A}" name="Additional Information/Notes" dataDxfId="371"/>
  </tableColumns>
  <tableStyleInfo name="TableStyleMedium6"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4" xr:uid="{85DC69C9-BE42-468F-B2BB-4E80EFAA9DB8}" name="5052SPS_Meta" displayName="_5052SPS_Meta" ref="C6:D14" totalsRowShown="0" headerRowDxfId="370" dataDxfId="369">
  <autoFilter ref="C6:D14" xr:uid="{CD75D2A7-14B1-4ABD-B64D-6E875F9BC652}">
    <filterColumn colId="0" hiddenButton="1"/>
    <filterColumn colId="1" hiddenButton="1"/>
  </autoFilter>
  <tableColumns count="2">
    <tableColumn id="1" xr3:uid="{EB65BA05-1DE9-4FD7-BDBD-BDE47DF298A4}" name="Module Data" dataDxfId="368"/>
    <tableColumn id="2" xr3:uid="{310F2A93-D88D-4CC8-AC0C-C016B97380F6}" name="Details" dataDxfId="367"/>
  </tableColumns>
  <tableStyleInfo name="TableStyleMedium6"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5" xr:uid="{F0EF7517-CDCA-4E4C-9047-154277CCFA43}" name="5052SPS_LO" displayName="_5052SPS_LO" ref="C28:D33" totalsRowShown="0" headerRowDxfId="366" dataDxfId="365">
  <autoFilter ref="C28:D33" xr:uid="{22316987-6BEB-4FAF-9619-BF9BE9909CFA}">
    <filterColumn colId="0" hiddenButton="1"/>
    <filterColumn colId="1" hiddenButton="1"/>
  </autoFilter>
  <tableColumns count="2">
    <tableColumn id="1" xr3:uid="{2DA2E0DF-8487-4F48-AD57-6C8EF1F6A824}" name="LO Number" dataDxfId="364"/>
    <tableColumn id="2" xr3:uid="{5F671E3D-DB5F-4A86-A8E8-215D497F640F}" name="LO Description" dataDxfId="363"/>
  </tableColumns>
  <tableStyleInfo name="TableStyleMedium2"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6" xr:uid="{1BB2DB77-32B9-47E3-B172-5236610AB17A}" name="5052SPS_Assess" displayName="_5052SPS_Assess" ref="C37:H41" totalsRowShown="0" headerRowDxfId="362" dataDxfId="361">
  <autoFilter ref="C37:H41" xr:uid="{39DE2F1F-0A9B-4873-A230-1AA954198F52}">
    <filterColumn colId="0" hiddenButton="1"/>
    <filterColumn colId="1" hiddenButton="1"/>
    <filterColumn colId="2" hiddenButton="1"/>
    <filterColumn colId="3" hiddenButton="1"/>
    <filterColumn colId="4" hiddenButton="1"/>
    <filterColumn colId="5" hiddenButton="1"/>
  </autoFilter>
  <tableColumns count="6">
    <tableColumn id="1" xr3:uid="{D786E370-A6E2-472B-A06D-0B294D362273}" name="Assessment No" dataDxfId="360"/>
    <tableColumn id="2" xr3:uid="{99037CEE-E227-4DE7-AC0C-42C69784F090}" name="Assessment Type" dataDxfId="359"/>
    <tableColumn id="7" xr3:uid="{EE90A0B1-86AF-42EC-AB37-5E98D709E3E4}" name="Assessment Specific" dataDxfId="358"/>
    <tableColumn id="3" xr3:uid="{8B0C1721-2FDC-4C1A-AECE-975C6F1434A1}" name="Assessment Description" dataDxfId="357"/>
    <tableColumn id="4" xr3:uid="{876D72EC-520F-497B-8AC7-6AF0A5409783}" name="Weighting" dataDxfId="356"/>
    <tableColumn id="5" xr3:uid="{31A1A910-0DF5-428E-806F-6E026C606C3B}" name="Due Week" dataDxfId="355"/>
  </tableColumns>
  <tableStyleInfo name="TableStyleMedium3"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7" xr:uid="{407C2B80-44A8-4EFD-ACE8-01F8593CF4E1}" name="5052SPS_Weekly" displayName="_5052SPS_Weekly" ref="B75:F99" totalsRowShown="0" headerRowDxfId="354" dataDxfId="353">
  <autoFilter ref="B75:F99" xr:uid="{3A41AF80-1AD3-44F6-93D1-6C4A16CCF943}">
    <filterColumn colId="0" hiddenButton="1"/>
    <filterColumn colId="1" hiddenButton="1"/>
    <filterColumn colId="2" hiddenButton="1"/>
    <filterColumn colId="3" hiddenButton="1"/>
    <filterColumn colId="4" hiddenButton="1"/>
  </autoFilter>
  <tableColumns count="5">
    <tableColumn id="1" xr3:uid="{F8C77D5A-A698-44A7-A4E3-08630D8FD36A}" name="Semester " dataDxfId="352"/>
    <tableColumn id="2" xr3:uid="{8C49AFEC-B460-42E3-B373-FC0AB260F379}" name="Week Number" dataDxfId="351"/>
    <tableColumn id="3" xr3:uid="{A81B53B3-7EE2-4FDF-9110-0A8C17CA27E0}" name="Weekly Content 1" dataDxfId="350"/>
    <tableColumn id="4" xr3:uid="{362C63E5-C442-416C-9DB4-4F34D3EDDEF3}" name="Weekly Content 2" dataDxfId="349"/>
    <tableColumn id="5" xr3:uid="{E3C14089-4743-4CA8-9480-E777866BAF64}" name="Weekly Content 3" dataDxfId="348"/>
  </tableColumns>
  <tableStyleInfo name="TableStyleMedium4"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8" xr:uid="{6A30B449-6643-4D56-A6EF-AE96296A3D03}" name="5052SPS_Hours" displayName="_5052SPS_Hours" ref="C18:D24" totalsRowShown="0" headerRowDxfId="347" dataDxfId="346">
  <autoFilter ref="C18:D24" xr:uid="{B71A3569-AA65-4A4E-98A2-885F5C38B46D}">
    <filterColumn colId="0" hiddenButton="1"/>
    <filterColumn colId="1" hiddenButton="1"/>
  </autoFilter>
  <tableColumns count="2">
    <tableColumn id="1" xr3:uid="{7C918E81-2521-4CC2-B784-37E43EEC3CDD}" name="Component" dataDxfId="345"/>
    <tableColumn id="2" xr3:uid="{0D2A69D7-E2F7-4C5C-8E4D-714C66054E76}" name="Contact Hours" dataDxfId="344"/>
  </tableColumns>
  <tableStyleInfo name="TableStyleMedium2"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9" xr:uid="{0723641A-ADF0-4C69-969E-9516C86FC569}" name="5052SPS_Mapping" displayName="_5052SPS_Mapping" ref="C45:F71" totalsRowShown="0" headerRowDxfId="343" dataDxfId="342">
  <autoFilter ref="C45:F71" xr:uid="{E0A841BB-B6D5-4048-B5F2-18CF9F502EBA}">
    <filterColumn colId="0" hiddenButton="1"/>
    <filterColumn colId="1" hiddenButton="1"/>
    <filterColumn colId="2" hiddenButton="1"/>
    <filterColumn colId="3" hiddenButton="1"/>
  </autoFilter>
  <tableColumns count="4">
    <tableColumn id="1" xr3:uid="{B6420078-6983-409A-AD6E-9EAEEF45A138}" name="Assessment No" dataDxfId="341"/>
    <tableColumn id="2" xr3:uid="{8D3D6147-F8A2-4D54-BC97-772B8CE44EA3}" name="LO Number" dataDxfId="340"/>
    <tableColumn id="3" xr3:uid="{C41D8ED0-797F-45E8-B847-5F5796F9B51E}" name="Graduate Skills Category" dataDxfId="339"/>
    <tableColumn id="4" xr3:uid="{28997C86-0364-497D-A258-1C7BA682BCAA}" name="Graduate Skill" dataDxfId="338"/>
  </tableColumns>
  <tableStyleInfo name="TableStyleMedium3"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0" xr:uid="{17BE3C87-0560-4F04-B07A-C606EE2CC56D}" name="5052SPS_Aims" displayName="_5052SPS_Aims" ref="F6:F8" totalsRowShown="0" headerRowDxfId="337" dataDxfId="336">
  <autoFilter ref="F6:F8" xr:uid="{9552138F-2332-4BC4-A585-0E13162881A5}"/>
  <tableColumns count="1">
    <tableColumn id="1" xr3:uid="{3E728AAA-21E1-43D6-98EC-781D610D5B5C}" name="Aims" dataDxfId="335"/>
  </tableColumns>
  <tableStyleInfo name="TableStyleMedium6"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1" xr:uid="{24DBD723-9435-4154-9659-24C8E488A767}" name="5052SPS_Syllabus" displayName="_5052SPS_Syllabus" ref="F10:F13" totalsRowShown="0" headerRowDxfId="334" dataDxfId="333">
  <autoFilter ref="F10:F13" xr:uid="{94F18F67-3F10-4F6E-A953-4FE3399B07F2}"/>
  <tableColumns count="1">
    <tableColumn id="1" xr3:uid="{CAFF733E-EEBF-4C10-ACD1-A6DDCD33C63A}" name="Outline Syllabus" dataDxfId="332"/>
  </tableColumns>
  <tableStyleInfo name="TableStyleMedium6"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2" xr:uid="{C47F6AB6-EF50-4395-B0F7-E6C315358556}" name="5052SPS_Overview" displayName="_5052SPS_Overview" ref="F15:F20" totalsRowShown="0" headerRowDxfId="331" dataDxfId="330">
  <autoFilter ref="F15:F20" xr:uid="{1B2BCD7B-6C15-4B1C-86BC-48FF83D8F225}"/>
  <tableColumns count="1">
    <tableColumn id="1" xr3:uid="{3D131B43-1A6C-42C4-B635-F81D00AEF103}" name="Module Overview" dataDxfId="329"/>
  </tableColumns>
  <tableStyleInfo name="TableStyleMedium6"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3" xr:uid="{759B136A-3D50-4F87-9E82-4E8BACD02961}" name="5052SPS_Notes" displayName="_5052SPS_Notes" ref="F22:F33" totalsRowShown="0" headerRowDxfId="328" dataDxfId="327">
  <autoFilter ref="F22:F33" xr:uid="{D5968C0A-6D7E-4221-87EE-78A85A4039B3}"/>
  <tableColumns count="1">
    <tableColumn id="1" xr3:uid="{DBD01D3B-64A5-4A59-96FF-8858AB682507}" name="Additional Information/Notes" dataDxfId="326"/>
  </tableColumns>
  <tableStyleInfo name="TableStyleMedium6"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4" xr:uid="{6101E4E0-85EB-4155-B186-22297C98CE26}" name="5053SPS_Meta" displayName="_5053SPS_Meta" ref="C6:D14" totalsRowShown="0" headerRowDxfId="325" dataDxfId="324">
  <autoFilter ref="C6:D14" xr:uid="{CD75D2A7-14B1-4ABD-B64D-6E875F9BC652}">
    <filterColumn colId="0" hiddenButton="1"/>
    <filterColumn colId="1" hiddenButton="1"/>
  </autoFilter>
  <tableColumns count="2">
    <tableColumn id="1" xr3:uid="{B946128C-97AA-429A-BFB7-14DA62D23F93}" name="Module Data" dataDxfId="323"/>
    <tableColumn id="2" xr3:uid="{9E5B10EF-821C-4302-A35D-3F36AB2362C9}" name="Details" dataDxfId="322"/>
  </tableColumns>
  <tableStyleInfo name="TableStyleMedium6"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5" xr:uid="{98DD26DA-5250-445B-9525-2120184BE2DD}" name="5053SPS_LO" displayName="_5053SPS_LO" ref="C28:D33" totalsRowShown="0" headerRowDxfId="321" dataDxfId="320">
  <autoFilter ref="C28:D33" xr:uid="{22316987-6BEB-4FAF-9619-BF9BE9909CFA}">
    <filterColumn colId="0" hiddenButton="1"/>
    <filterColumn colId="1" hiddenButton="1"/>
  </autoFilter>
  <tableColumns count="2">
    <tableColumn id="1" xr3:uid="{3806001B-7A24-4470-B13B-816824C48A87}" name="LO Number" dataDxfId="319"/>
    <tableColumn id="2" xr3:uid="{D801C621-044F-4B79-AEEF-83CB123A3537}" name="LO Description" dataDxfId="318"/>
  </tableColumns>
  <tableStyleInfo name="TableStyleMedium2"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6" xr:uid="{7ABC33D0-F5B3-4FCB-B25F-FA187E50300E}" name="5053SPS_Assess" displayName="_5053SPS_Assess" ref="C37:H41" totalsRowShown="0" headerRowDxfId="317" dataDxfId="316">
  <autoFilter ref="C37:H41" xr:uid="{39DE2F1F-0A9B-4873-A230-1AA954198F52}">
    <filterColumn colId="0" hiddenButton="1"/>
    <filterColumn colId="1" hiddenButton="1"/>
    <filterColumn colId="2" hiddenButton="1"/>
    <filterColumn colId="3" hiddenButton="1"/>
    <filterColumn colId="4" hiddenButton="1"/>
    <filterColumn colId="5" hiddenButton="1"/>
  </autoFilter>
  <tableColumns count="6">
    <tableColumn id="1" xr3:uid="{CED5AE70-AB59-4814-8058-344FE8B3F393}" name="Assessment No" dataDxfId="315"/>
    <tableColumn id="2" xr3:uid="{64354A91-AE63-4D1E-BE94-8BE1D1CC7A59}" name="Assessment Type" dataDxfId="314"/>
    <tableColumn id="7" xr3:uid="{530A1FC8-EA43-41F4-BFFD-95021CCF673E}" name="Assessment Specific" dataDxfId="313"/>
    <tableColumn id="3" xr3:uid="{D7982B35-955C-4EF8-8FFF-272E5115BF74}" name="Assessment Description" dataDxfId="312"/>
    <tableColumn id="4" xr3:uid="{3D5D5D25-1897-4307-B2B9-AB9926C0783C}" name="Weighting" dataDxfId="311"/>
    <tableColumn id="5" xr3:uid="{41F93229-30BA-4DE4-BA85-1B8D0C842BE7}" name="Due Week" dataDxfId="310"/>
  </tableColumns>
  <tableStyleInfo name="TableStyleMedium3"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7" xr:uid="{401509DF-1734-4C36-899A-ACE838CA9F81}" name="5053SPS_Weekly" displayName="_5053SPS_Weekly" ref="B70:F94" totalsRowShown="0" headerRowDxfId="309" dataDxfId="308">
  <autoFilter ref="B70:F94" xr:uid="{3A41AF80-1AD3-44F6-93D1-6C4A16CCF943}">
    <filterColumn colId="0" hiddenButton="1"/>
    <filterColumn colId="1" hiddenButton="1"/>
    <filterColumn colId="2" hiddenButton="1"/>
    <filterColumn colId="3" hiddenButton="1"/>
    <filterColumn colId="4" hiddenButton="1"/>
  </autoFilter>
  <tableColumns count="5">
    <tableColumn id="1" xr3:uid="{2C70E742-EE79-4C66-A81C-751B73A8833B}" name="Semester " dataDxfId="307"/>
    <tableColumn id="2" xr3:uid="{6B27DC11-3985-495E-B86E-D8AEE2E81BAF}" name="Week Number" dataDxfId="306"/>
    <tableColumn id="3" xr3:uid="{B399D5B9-AB04-4B80-8627-ADE3E5852A07}" name="Weekly Content 1" dataDxfId="305"/>
    <tableColumn id="4" xr3:uid="{F9B22473-EB7D-423C-B21A-CD3C0CD2604C}" name="Weekly Content 2" dataDxfId="304"/>
    <tableColumn id="5" xr3:uid="{BDB725C3-96D9-443B-8128-47286ADCA89C}" name="Weekly Content 3" dataDxfId="303"/>
  </tableColumns>
  <tableStyleInfo name="TableStyleMedium4"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8" xr:uid="{C13203B9-F424-4B30-984F-FF53C91916DF}" name="5053SPS_Hours" displayName="_5053SPS_Hours" ref="C18:D24" totalsRowShown="0" headerRowDxfId="302" dataDxfId="301">
  <autoFilter ref="C18:D24" xr:uid="{B71A3569-AA65-4A4E-98A2-885F5C38B46D}">
    <filterColumn colId="0" hiddenButton="1"/>
    <filterColumn colId="1" hiddenButton="1"/>
  </autoFilter>
  <tableColumns count="2">
    <tableColumn id="1" xr3:uid="{157B6D45-69F3-4709-8CC3-C24641471D5F}" name="Component" dataDxfId="300"/>
    <tableColumn id="2" xr3:uid="{99B73441-0316-4CCD-B0C7-06884A8A7754}" name="Contact Hours" dataDxfId="299"/>
  </tableColumns>
  <tableStyleInfo name="TableStyleMedium2"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9" xr:uid="{2AB15E2B-C0B2-41FD-B483-151F09EBAD86}" name="5053SPS_Mapping" displayName="_5053SPS_Mapping" ref="C45:F66" totalsRowShown="0" headerRowDxfId="298" dataDxfId="297">
  <autoFilter ref="C45:F66" xr:uid="{E0A841BB-B6D5-4048-B5F2-18CF9F502EBA}">
    <filterColumn colId="0" hiddenButton="1"/>
    <filterColumn colId="1" hiddenButton="1"/>
    <filterColumn colId="2" hiddenButton="1"/>
    <filterColumn colId="3" hiddenButton="1"/>
  </autoFilter>
  <tableColumns count="4">
    <tableColumn id="1" xr3:uid="{88094BA4-095B-41BB-975D-D34C506E1163}" name="Assessment No" dataDxfId="296"/>
    <tableColumn id="2" xr3:uid="{EF2FFCFD-E58D-4443-B708-BCE0D7EB93E1}" name="LO Number" dataDxfId="295"/>
    <tableColumn id="3" xr3:uid="{8E20D7DD-0908-49BF-87A5-AB3FCB98D85C}" name="Graduate Skills Category" dataDxfId="294"/>
    <tableColumn id="4" xr3:uid="{C5033368-6F6A-4D25-8F22-ECB65757E12D}" name="Graduate Skill" dataDxfId="293"/>
  </tableColumns>
  <tableStyleInfo name="TableStyleMedium3"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0" xr:uid="{9A117804-871D-49EE-A48A-BED4D08FCBF8}" name="5053SPS_Aims" displayName="_5053SPS_Aims" ref="F6:F8" totalsRowShown="0" headerRowDxfId="292" dataDxfId="291">
  <autoFilter ref="F6:F8" xr:uid="{9552138F-2332-4BC4-A585-0E13162881A5}"/>
  <tableColumns count="1">
    <tableColumn id="1" xr3:uid="{95683184-77D7-4D5F-B6CD-76493CDECA59}" name="Aims" dataDxfId="290"/>
  </tableColumns>
  <tableStyleInfo name="TableStyleMedium6"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1" xr:uid="{8BE269B1-AE52-407F-93A1-8BE0EAF4E8FB}" name="5053SPS_Syllabus" displayName="_5053SPS_Syllabus" ref="F10:F13" totalsRowShown="0" headerRowDxfId="289" dataDxfId="288">
  <autoFilter ref="F10:F13" xr:uid="{94F18F67-3F10-4F6E-A953-4FE3399B07F2}"/>
  <tableColumns count="1">
    <tableColumn id="1" xr3:uid="{5EEDAB62-FC71-46AD-86A7-2D7304C83206}" name="Outline Syllabus" dataDxfId="287"/>
  </tableColumns>
  <tableStyleInfo name="TableStyleMedium6"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2" xr:uid="{DA6C0AC9-4EC8-454E-A46C-6FFE57848647}" name="5053SPS_Overview" displayName="_5053SPS_Overview" ref="F15:F20" totalsRowShown="0" headerRowDxfId="286" dataDxfId="285">
  <autoFilter ref="F15:F20" xr:uid="{1B2BCD7B-6C15-4B1C-86BC-48FF83D8F225}"/>
  <tableColumns count="1">
    <tableColumn id="1" xr3:uid="{0DC5DF41-105A-41BF-AF39-34EA66DFB865}" name="Module Overview" dataDxfId="284"/>
  </tableColumns>
  <tableStyleInfo name="TableStyleMedium6"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3" xr:uid="{3839986D-808E-4EB2-B632-76542967DDD0}" name="5053SPS_Notes" displayName="_5053SPS_Notes" ref="F22:F33" totalsRowShown="0" headerRowDxfId="283" dataDxfId="282">
  <autoFilter ref="F22:F33" xr:uid="{D5968C0A-6D7E-4221-87EE-78A85A4039B3}"/>
  <tableColumns count="1">
    <tableColumn id="1" xr3:uid="{38D613A6-4794-4339-B091-D4F707A1828F}" name="Additional Information/Notes" dataDxfId="281"/>
  </tableColumns>
  <tableStyleInfo name="TableStyleMedium6"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E9FA17F3-8510-4713-9EFA-F81B9896C75F}" name="5054SPS_Meta" displayName="_5054SPS_Meta" ref="C6:D14" totalsRowShown="0" headerRowDxfId="280" dataDxfId="279">
  <autoFilter ref="C6:D14" xr:uid="{CD75D2A7-14B1-4ABD-B64D-6E875F9BC652}">
    <filterColumn colId="0" hiddenButton="1"/>
    <filterColumn colId="1" hiddenButton="1"/>
  </autoFilter>
  <tableColumns count="2">
    <tableColumn id="1" xr3:uid="{644E4444-F68A-4E74-BD5D-8748CD05A7D2}" name="Module Data" dataDxfId="278"/>
    <tableColumn id="2" xr3:uid="{AF6CCCE6-633B-4669-B570-EB4F893B50C4}" name="Details" dataDxfId="277"/>
  </tableColumns>
  <tableStyleInfo name="TableStyleMedium6"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A4EE75AE-77CE-4A68-A718-983DED4FF7A1}" name="5054SPS_LO" displayName="_5054SPS_LO" ref="C28:D33" totalsRowShown="0" headerRowDxfId="276" dataDxfId="275">
  <autoFilter ref="C28:D33" xr:uid="{22316987-6BEB-4FAF-9619-BF9BE9909CFA}">
    <filterColumn colId="0" hiddenButton="1"/>
    <filterColumn colId="1" hiddenButton="1"/>
  </autoFilter>
  <tableColumns count="2">
    <tableColumn id="1" xr3:uid="{589112ED-5C99-4CD7-912A-F216AEC245F3}" name="LO Number" dataDxfId="274"/>
    <tableColumn id="2" xr3:uid="{D42319CA-BEAF-49C8-8EC7-B45F24386E7A}" name="LO Description" dataDxfId="273"/>
  </tableColumns>
  <tableStyleInfo name="TableStyleMedium2"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FCAE2B91-6BD8-4529-8B59-5DB7121B1D24}" name="5054SPS_Assess" displayName="_5054SPS_Assess" ref="C37:H41" totalsRowShown="0" headerRowDxfId="272" dataDxfId="271">
  <autoFilter ref="C37:H41" xr:uid="{39DE2F1F-0A9B-4873-A230-1AA954198F52}">
    <filterColumn colId="0" hiddenButton="1"/>
    <filterColumn colId="1" hiddenButton="1"/>
    <filterColumn colId="2" hiddenButton="1"/>
    <filterColumn colId="3" hiddenButton="1"/>
    <filterColumn colId="4" hiddenButton="1"/>
    <filterColumn colId="5" hiddenButton="1"/>
  </autoFilter>
  <tableColumns count="6">
    <tableColumn id="1" xr3:uid="{6FED30EF-9DFC-4FCF-9A98-B1395296BD26}" name="Assessment No" dataDxfId="270"/>
    <tableColumn id="2" xr3:uid="{0C168E40-BC62-40F7-8494-D9D585BBF5DD}" name="Assessment Type" dataDxfId="269"/>
    <tableColumn id="7" xr3:uid="{03042C7C-BE5A-4EDB-B18A-F162688CAFDA}" name="Assessment Specific" dataDxfId="268"/>
    <tableColumn id="3" xr3:uid="{B536E57C-91CB-491F-8850-5E1F4FFB6EC2}" name="Assessment Description" dataDxfId="267"/>
    <tableColumn id="4" xr3:uid="{CFEF4DCA-7026-4AB8-9930-965F672B21EC}" name="Weighting" dataDxfId="266"/>
    <tableColumn id="5" xr3:uid="{268A91DF-58B1-43BF-A340-0E1D33705BAA}" name="Due Week" dataDxfId="265"/>
  </tableColumns>
  <tableStyleInfo name="TableStyleMedium3"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FAFDD563-D76D-4667-B964-69DE19A2F370}" name="5054SPS_Weekly" displayName="_5054SPS_Weekly" ref="B70:F94" totalsRowShown="0" headerRowDxfId="264" dataDxfId="263">
  <autoFilter ref="B70:F94" xr:uid="{3A41AF80-1AD3-44F6-93D1-6C4A16CCF943}">
    <filterColumn colId="0" hiddenButton="1"/>
    <filterColumn colId="1" hiddenButton="1"/>
    <filterColumn colId="2" hiddenButton="1"/>
    <filterColumn colId="3" hiddenButton="1"/>
    <filterColumn colId="4" hiddenButton="1"/>
  </autoFilter>
  <tableColumns count="5">
    <tableColumn id="1" xr3:uid="{2EC0DE77-F537-4352-B465-CD91C72B6257}" name="Semester " dataDxfId="262"/>
    <tableColumn id="2" xr3:uid="{916AD303-2708-4E40-8E0C-DE9D347BA8EA}" name="Week Number" dataDxfId="261"/>
    <tableColumn id="3" xr3:uid="{66580F8A-FF82-4503-9EBF-1B44DD45F9F5}" name="Weekly Content 1" dataDxfId="260"/>
    <tableColumn id="4" xr3:uid="{5E6D35EA-634F-45B1-8A96-068CB99E3BA7}" name="Weekly Content 2" dataDxfId="259"/>
    <tableColumn id="5" xr3:uid="{25F8B45E-A68A-40F6-AADD-D3228D0F228B}" name="Weekly Content 3" dataDxfId="258"/>
  </tableColumns>
  <tableStyleInfo name="TableStyleMedium4"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102355DE-CDC7-4C13-A897-B84D0D96A8FC}" name="5054SPS_Hours" displayName="_5054SPS_Hours" ref="C18:D24" totalsRowShown="0" headerRowDxfId="257" dataDxfId="256">
  <autoFilter ref="C18:D24" xr:uid="{B71A3569-AA65-4A4E-98A2-885F5C38B46D}">
    <filterColumn colId="0" hiddenButton="1"/>
    <filterColumn colId="1" hiddenButton="1"/>
  </autoFilter>
  <tableColumns count="2">
    <tableColumn id="1" xr3:uid="{E6DA5AB3-0374-477C-BB37-91CD5B04A8A7}" name="Component" dataDxfId="255"/>
    <tableColumn id="2" xr3:uid="{25171EA2-F360-4480-9A69-30F0637E5E19}" name="Contact Hours" dataDxfId="254"/>
  </tableColumns>
  <tableStyleInfo name="TableStyleMedium2"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20E05B93-0CDB-4250-BCA8-9C03D039B5AA}" name="5054SPS_Mapping" displayName="_5054SPS_Mapping" ref="C45:F66" totalsRowShown="0" headerRowDxfId="253" dataDxfId="252">
  <autoFilter ref="C45:F66" xr:uid="{E0A841BB-B6D5-4048-B5F2-18CF9F502EBA}">
    <filterColumn colId="0" hiddenButton="1"/>
    <filterColumn colId="1" hiddenButton="1"/>
    <filterColumn colId="2" hiddenButton="1"/>
    <filterColumn colId="3" hiddenButton="1"/>
  </autoFilter>
  <tableColumns count="4">
    <tableColumn id="1" xr3:uid="{5D5BD11A-55EF-4A54-875D-6C3259B55C2B}" name="Assessment No" dataDxfId="251"/>
    <tableColumn id="2" xr3:uid="{220CCF7F-D01D-41B9-83FA-AB3772B56C47}" name="LO Number" dataDxfId="250"/>
    <tableColumn id="3" xr3:uid="{35876AFA-8C5D-4EB6-A40B-8013521A5A47}" name="Graduate Skills Category" dataDxfId="249"/>
    <tableColumn id="4" xr3:uid="{8CC8B0ED-B11D-43C6-AB11-C69764FE383C}" name="Graduate Skill" dataDxfId="248"/>
  </tableColumns>
  <tableStyleInfo name="TableStyleMedium3"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AD421795-C657-4B23-85A2-74B0174B165C}" name="5054SPS_Aims" displayName="_5054SPS_Aims" ref="F6:F8" totalsRowShown="0" headerRowDxfId="247" dataDxfId="246">
  <autoFilter ref="F6:F8" xr:uid="{9552138F-2332-4BC4-A585-0E13162881A5}"/>
  <tableColumns count="1">
    <tableColumn id="1" xr3:uid="{17C9A3A3-D0C1-421C-8D52-32617D054C2E}" name="Aims" dataDxfId="245"/>
  </tableColumns>
  <tableStyleInfo name="TableStyleMedium6"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4C708692-CFFF-4D84-88A9-BCE4B09138E0}" name="5054SPS_Syllabus" displayName="_5054SPS_Syllabus" ref="F10:F13" totalsRowShown="0" headerRowDxfId="244" dataDxfId="243">
  <autoFilter ref="F10:F13" xr:uid="{94F18F67-3F10-4F6E-A953-4FE3399B07F2}"/>
  <tableColumns count="1">
    <tableColumn id="1" xr3:uid="{D7FF23A0-D568-4D96-9868-A6319DCE887A}" name="Outline Syllabus" dataDxfId="242"/>
  </tableColumns>
  <tableStyleInfo name="TableStyleMedium6"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54CADD0E-07B9-4D59-8E61-01F39F116463}" name="5054SPS_Overview" displayName="_5054SPS_Overview" ref="F15:F20" totalsRowShown="0" headerRowDxfId="241" dataDxfId="240">
  <autoFilter ref="F15:F20" xr:uid="{1B2BCD7B-6C15-4B1C-86BC-48FF83D8F225}"/>
  <tableColumns count="1">
    <tableColumn id="1" xr3:uid="{E558D902-00D8-4FEB-8431-38F38D3FD8C5}" name="Module Overview" dataDxfId="239"/>
  </tableColumns>
  <tableStyleInfo name="TableStyleMedium6"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AF1F5DED-CF26-4C92-A936-AD81E729AA08}" name="5054SPS_Notes" displayName="_5054SPS_Notes" ref="F22:F33" totalsRowShown="0" headerRowDxfId="238" dataDxfId="237">
  <autoFilter ref="F22:F33" xr:uid="{D5968C0A-6D7E-4221-87EE-78A85A4039B3}"/>
  <tableColumns count="1">
    <tableColumn id="1" xr3:uid="{C6EF2F48-EFDC-40BF-8A10-F2C80BC78705}" name="Additional Information/Notes" dataDxfId="236"/>
  </tableColumns>
  <tableStyleInfo name="TableStyleMedium6"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4" xr:uid="{5270F11D-EB2D-4D37-A0C7-A548812199C3}" name="5093SPS_Meta" displayName="_5093SPS_Meta" ref="C6:D14" totalsRowShown="0" headerRowDxfId="235" dataDxfId="234">
  <autoFilter ref="C6:D14" xr:uid="{CD75D2A7-14B1-4ABD-B64D-6E875F9BC652}">
    <filterColumn colId="0" hiddenButton="1"/>
    <filterColumn colId="1" hiddenButton="1"/>
  </autoFilter>
  <tableColumns count="2">
    <tableColumn id="1" xr3:uid="{29D4E0BE-5C0F-4EF3-BF95-85E95BCEF890}" name="Module Data" dataDxfId="233"/>
    <tableColumn id="2" xr3:uid="{8CF62EB8-FFB4-436A-9EE3-575FDB15387F}" name="Details" dataDxfId="232"/>
  </tableColumns>
  <tableStyleInfo name="TableStyleMedium6"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5" xr:uid="{237020EB-E434-4CF8-BA7F-AAE80EFFA7DE}" name="5093SPS_LO" displayName="_5093SPS_LO" ref="C28:D33" totalsRowShown="0" headerRowDxfId="231" dataDxfId="230">
  <autoFilter ref="C28:D33" xr:uid="{22316987-6BEB-4FAF-9619-BF9BE9909CFA}">
    <filterColumn colId="0" hiddenButton="1"/>
    <filterColumn colId="1" hiddenButton="1"/>
  </autoFilter>
  <tableColumns count="2">
    <tableColumn id="1" xr3:uid="{ABACB5F8-1C23-4668-B7BA-EF2517F6F237}" name="LO Number" dataDxfId="229"/>
    <tableColumn id="2" xr3:uid="{16EFEC94-FB26-48E6-A1CD-F272E329A036}" name="LO Description" dataDxfId="228"/>
  </tableColumns>
  <tableStyleInfo name="TableStyleMedium2"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6" xr:uid="{D1E80F96-254A-4374-9350-7B1F947FEA77}" name="5093SPS_Assess" displayName="_5093SPS_Assess" ref="C37:H41" totalsRowShown="0" headerRowDxfId="227" dataDxfId="226">
  <autoFilter ref="C37:H41" xr:uid="{39DE2F1F-0A9B-4873-A230-1AA954198F52}">
    <filterColumn colId="0" hiddenButton="1"/>
    <filterColumn colId="1" hiddenButton="1"/>
    <filterColumn colId="2" hiddenButton="1"/>
    <filterColumn colId="3" hiddenButton="1"/>
    <filterColumn colId="4" hiddenButton="1"/>
    <filterColumn colId="5" hiddenButton="1"/>
  </autoFilter>
  <tableColumns count="6">
    <tableColumn id="1" xr3:uid="{60550122-E287-466F-A05A-EEEF3BC2A7B1}" name="Assessment No" dataDxfId="225"/>
    <tableColumn id="2" xr3:uid="{2BC12B11-B6CF-4E7C-B492-9E71A2A4DCFC}" name="Assessment Type" dataDxfId="224"/>
    <tableColumn id="7" xr3:uid="{F22466C0-E91B-4130-82AB-931BDD5DAFD5}" name="Assessment Specific" dataDxfId="223"/>
    <tableColumn id="3" xr3:uid="{A2D2688F-0CD2-442B-B2C4-399FA320B460}" name="Assessment Description" dataDxfId="222"/>
    <tableColumn id="4" xr3:uid="{9C3172F4-207C-490E-A1A4-3782CCE0F62E}" name="Weighting" dataDxfId="221"/>
    <tableColumn id="5" xr3:uid="{5D552087-F8C1-4DC6-AB58-461CAA57A675}" name="Due Week" dataDxfId="220"/>
  </tableColumns>
  <tableStyleInfo name="TableStyleMedium3"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7" xr:uid="{A4E79B66-A399-44F9-AC05-30A8D8E4EFFC}" name="5093SPS_Weekly" displayName="_5093SPS_Weekly" ref="B70:F94" totalsRowShown="0" headerRowDxfId="219" dataDxfId="218">
  <autoFilter ref="B70:F94" xr:uid="{3A41AF80-1AD3-44F6-93D1-6C4A16CCF943}">
    <filterColumn colId="0" hiddenButton="1"/>
    <filterColumn colId="1" hiddenButton="1"/>
    <filterColumn colId="2" hiddenButton="1"/>
    <filterColumn colId="3" hiddenButton="1"/>
    <filterColumn colId="4" hiddenButton="1"/>
  </autoFilter>
  <tableColumns count="5">
    <tableColumn id="1" xr3:uid="{761211FD-07C5-4C60-8E49-B011DF71603B}" name="Semester " dataDxfId="217"/>
    <tableColumn id="2" xr3:uid="{C3767A97-7DDC-4C9C-BAA0-36AD5C496EEE}" name="Week Number" dataDxfId="216"/>
    <tableColumn id="3" xr3:uid="{ECEBB099-0848-4BF9-A0F1-A91B05144BDE}" name="Weekly Content 1" dataDxfId="215"/>
    <tableColumn id="4" xr3:uid="{C2073020-3A29-4533-9629-7F40A8DD2B8B}" name="Weekly Content 2" dataDxfId="214"/>
    <tableColumn id="5" xr3:uid="{6345D17D-CE7F-4BE7-9354-5B3222EE1FDE}" name="Weekly Content 3" dataDxfId="213"/>
  </tableColumns>
  <tableStyleInfo name="TableStyleMedium4"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8" xr:uid="{BDFBF6B0-B509-44BE-828C-EF93C1923EC6}" name="5093SPS_Hours" displayName="_5093SPS_Hours" ref="C18:D24" totalsRowShown="0" headerRowDxfId="212" dataDxfId="211">
  <autoFilter ref="C18:D24" xr:uid="{B71A3569-AA65-4A4E-98A2-885F5C38B46D}">
    <filterColumn colId="0" hiddenButton="1"/>
    <filterColumn colId="1" hiddenButton="1"/>
  </autoFilter>
  <tableColumns count="2">
    <tableColumn id="1" xr3:uid="{B46B0870-C95C-4D4E-B01A-05CA40485288}" name="Component" dataDxfId="210"/>
    <tableColumn id="2" xr3:uid="{A34E191B-0F4D-40A9-98C4-DFC5C0ED5B03}" name="Contact Hours" dataDxfId="209"/>
  </tableColumns>
  <tableStyleInfo name="TableStyleMedium2"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9" xr:uid="{F74075A1-DA58-473A-9E54-24D876995322}" name="5093SPS_Mapping" displayName="_5093SPS_Mapping" ref="C45:F66" totalsRowShown="0" headerRowDxfId="208" dataDxfId="207">
  <autoFilter ref="C45:F66" xr:uid="{E0A841BB-B6D5-4048-B5F2-18CF9F502EBA}">
    <filterColumn colId="0" hiddenButton="1"/>
    <filterColumn colId="1" hiddenButton="1"/>
    <filterColumn colId="2" hiddenButton="1"/>
    <filterColumn colId="3" hiddenButton="1"/>
  </autoFilter>
  <tableColumns count="4">
    <tableColumn id="1" xr3:uid="{33F03CAC-37A3-4CB5-BBBE-230DBDFC5B6B}" name="Assessment No" dataDxfId="206"/>
    <tableColumn id="2" xr3:uid="{D948967E-B1D8-422E-BC05-E5DE64BFE116}" name="LO Number" dataDxfId="205"/>
    <tableColumn id="3" xr3:uid="{41BBFD1D-FBB9-4518-8884-EB40901F4694}" name="Graduate Skills Category" dataDxfId="204"/>
    <tableColumn id="4" xr3:uid="{913662D7-6EF1-491B-A990-50699C27238F}" name="Graduate Skill" dataDxfId="203"/>
  </tableColumns>
  <tableStyleInfo name="TableStyleMedium3"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0" xr:uid="{5AE026F8-16C4-406D-B110-7288CB09E506}" name="5093SPS_Aims" displayName="_5093SPS_Aims" ref="F6:F8" totalsRowShown="0" headerRowDxfId="202" dataDxfId="201">
  <autoFilter ref="F6:F8" xr:uid="{9552138F-2332-4BC4-A585-0E13162881A5}"/>
  <tableColumns count="1">
    <tableColumn id="1" xr3:uid="{2CF6523F-40A9-456F-8FAA-4363371E379D}" name="Aims" dataDxfId="200"/>
  </tableColumns>
  <tableStyleInfo name="TableStyleMedium6" showFirstColumn="0"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1" xr:uid="{7E8C1BBC-E995-4B58-8CC6-9D5E3880A081}" name="5093SPS_Syllabus" displayName="_5093SPS_Syllabus" ref="F10:F13" totalsRowShown="0" headerRowDxfId="199" dataDxfId="198">
  <autoFilter ref="F10:F13" xr:uid="{94F18F67-3F10-4F6E-A953-4FE3399B07F2}"/>
  <tableColumns count="1">
    <tableColumn id="1" xr3:uid="{5BDD719A-56F8-4CFB-8C2B-B09D9EFEEBC9}" name="Outline Syllabus" dataDxfId="197"/>
  </tableColumns>
  <tableStyleInfo name="TableStyleMedium6" showFirstColumn="0"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2" xr:uid="{3B6B7C2B-C63A-4C91-BFC7-FEAD7D7A4AAB}" name="5093SPS_Overview" displayName="_5093SPS_Overview" ref="F15:F20" totalsRowShown="0" headerRowDxfId="196" dataDxfId="195">
  <autoFilter ref="F15:F20" xr:uid="{1B2BCD7B-6C15-4B1C-86BC-48FF83D8F225}"/>
  <tableColumns count="1">
    <tableColumn id="1" xr3:uid="{6FA2E212-5F86-4DAE-AF6E-5A52409DCB13}" name="Module Overview" dataDxfId="194"/>
  </tableColumns>
  <tableStyleInfo name="TableStyleMedium6" showFirstColumn="0"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3" xr:uid="{B8EDE4E8-58B3-4823-B749-470799FC0595}" name="5093SPS_Notes" displayName="_5093SPS_Notes" ref="F22:F33" totalsRowShown="0" headerRowDxfId="193" dataDxfId="192">
  <autoFilter ref="F22:F33" xr:uid="{D5968C0A-6D7E-4221-87EE-78A85A4039B3}"/>
  <tableColumns count="1">
    <tableColumn id="1" xr3:uid="{8FE8F154-AB86-4DDE-9840-555725F99393}" name="Additional Information/Notes" dataDxfId="191"/>
  </tableColumns>
  <tableStyleInfo name="TableStyleMedium6" showFirstColumn="0" showLastColumn="0"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4" xr:uid="{17E94F5D-87D3-4DF8-986C-B28A1AFAD773}" name="6052SPS_Meta" displayName="_6052SPS_Meta" ref="C6:D14" totalsRowShown="0" headerRowDxfId="190" dataDxfId="189">
  <autoFilter ref="C6:D14" xr:uid="{CD75D2A7-14B1-4ABD-B64D-6E875F9BC652}">
    <filterColumn colId="0" hiddenButton="1"/>
    <filterColumn colId="1" hiddenButton="1"/>
  </autoFilter>
  <tableColumns count="2">
    <tableColumn id="1" xr3:uid="{DC5E8FB2-F1EF-4C76-ADAD-8DF1D4236058}" name="Module Data" dataDxfId="188"/>
    <tableColumn id="2" xr3:uid="{3CEC4644-C90E-484A-BB04-BC7E2522484B}" name="Details" dataDxfId="187"/>
  </tableColumns>
  <tableStyleInfo name="TableStyleMedium6" showFirstColumn="0" showLastColumn="0"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5" xr:uid="{9E236EF1-A2F6-44EA-9CD3-686F2C6247E0}" name="6052SPS_LO" displayName="_6052SPS_LO" ref="C28:D33" totalsRowShown="0" headerRowDxfId="186" dataDxfId="185">
  <autoFilter ref="C28:D33" xr:uid="{22316987-6BEB-4FAF-9619-BF9BE9909CFA}">
    <filterColumn colId="0" hiddenButton="1"/>
    <filterColumn colId="1" hiddenButton="1"/>
  </autoFilter>
  <tableColumns count="2">
    <tableColumn id="1" xr3:uid="{96E1C0A4-F310-4104-877A-16C95A9DF8F8}" name="LO Number" dataDxfId="184"/>
    <tableColumn id="2" xr3:uid="{5193B932-1BB4-4665-BB60-1094CB27D2FB}" name="LO Description" dataDxfId="183"/>
  </tableColumns>
  <tableStyleInfo name="TableStyleMedium2" showFirstColumn="0" showLastColumn="0"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6" xr:uid="{8FFE59E6-A839-4DF2-B28B-BA390FAAC7FF}" name="6052SPS_Assess" displayName="_6052SPS_Assess" ref="C37:H41" totalsRowShown="0" headerRowDxfId="182" dataDxfId="181">
  <autoFilter ref="C37:H41" xr:uid="{39DE2F1F-0A9B-4873-A230-1AA954198F52}">
    <filterColumn colId="0" hiddenButton="1"/>
    <filterColumn colId="1" hiddenButton="1"/>
    <filterColumn colId="2" hiddenButton="1"/>
    <filterColumn colId="3" hiddenButton="1"/>
    <filterColumn colId="4" hiddenButton="1"/>
    <filterColumn colId="5" hiddenButton="1"/>
  </autoFilter>
  <tableColumns count="6">
    <tableColumn id="1" xr3:uid="{0154566D-F16C-483F-9906-53214A1163EC}" name="Assessment No" dataDxfId="180"/>
    <tableColumn id="2" xr3:uid="{F6CC8F23-24C9-49E1-A7E1-F0C42C5E4062}" name="Assessment Type" dataDxfId="179"/>
    <tableColumn id="7" xr3:uid="{23445359-B102-481A-9626-644EC1147971}" name="Assessment Specific" dataDxfId="178"/>
    <tableColumn id="3" xr3:uid="{09F68760-DB1D-47DA-9C3B-991E85819122}" name="Assessment Description" dataDxfId="177"/>
    <tableColumn id="4" xr3:uid="{9C4EFAF0-0549-4906-AB40-C8046612A4D0}" name="Weighting" dataDxfId="176"/>
    <tableColumn id="5" xr3:uid="{6867F2EF-8B96-4C7F-A3F0-4AD115D6B611}" name="Due Week" dataDxfId="175"/>
  </tableColumns>
  <tableStyleInfo name="TableStyleMedium3" showFirstColumn="0" showLastColumn="0" showRowStripes="1"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7" xr:uid="{563A272D-E3F6-4799-9E67-4B36BC407350}" name="6052SPS_Weekly" displayName="_6052SPS_Weekly" ref="B71:F95" totalsRowShown="0" headerRowDxfId="174" dataDxfId="173">
  <autoFilter ref="B71:F95" xr:uid="{3A41AF80-1AD3-44F6-93D1-6C4A16CCF943}">
    <filterColumn colId="0" hiddenButton="1"/>
    <filterColumn colId="1" hiddenButton="1"/>
    <filterColumn colId="2" hiddenButton="1"/>
    <filterColumn colId="3" hiddenButton="1"/>
    <filterColumn colId="4" hiddenButton="1"/>
  </autoFilter>
  <tableColumns count="5">
    <tableColumn id="1" xr3:uid="{DB0408B6-1C06-4309-B9B2-E387A6531EBC}" name="Semester " dataDxfId="172"/>
    <tableColumn id="2" xr3:uid="{3DC0D0B8-ED93-4FAA-ACD1-6A257B8D7D8B}" name="Week Number" dataDxfId="171"/>
    <tableColumn id="3" xr3:uid="{396A1CD9-0EA8-4576-AC19-41A37C40C78C}" name="Weekly Content 1" dataDxfId="170"/>
    <tableColumn id="4" xr3:uid="{27E6FFD2-4BB2-4380-B643-929F8059E10C}" name="Weekly Content 2" dataDxfId="169"/>
    <tableColumn id="5" xr3:uid="{5D410880-EC3B-476E-B727-61773B3F1720}" name="Weekly Content 3" dataDxfId="168"/>
  </tableColumns>
  <tableStyleInfo name="TableStyleMedium4" showFirstColumn="0" showLastColumn="0" showRowStripes="1"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8" xr:uid="{2034533F-3C96-4BBB-B91F-96B2BF107FF6}" name="6052SPS_Hours" displayName="_6052SPS_Hours" ref="C18:D24" totalsRowShown="0" headerRowDxfId="167" dataDxfId="166">
  <autoFilter ref="C18:D24" xr:uid="{B71A3569-AA65-4A4E-98A2-885F5C38B46D}">
    <filterColumn colId="0" hiddenButton="1"/>
    <filterColumn colId="1" hiddenButton="1"/>
  </autoFilter>
  <tableColumns count="2">
    <tableColumn id="1" xr3:uid="{50ADF208-83C1-48D5-9F5C-65E697F266B7}" name="Component" dataDxfId="165"/>
    <tableColumn id="2" xr3:uid="{1EADC3A3-1557-4323-A40A-C84AEA0F188A}" name="Contact Hours" dataDxfId="164"/>
  </tableColumns>
  <tableStyleInfo name="TableStyleMedium2" showFirstColumn="0" showLastColumn="0" showRowStripes="1"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9" xr:uid="{5BB88119-4CEC-4B9F-9734-616397E661D4}" name="6052SPS_Mapping" displayName="_6052SPS_Mapping" ref="C45:F67" totalsRowShown="0" headerRowDxfId="163" dataDxfId="162">
  <autoFilter ref="C45:F67" xr:uid="{E0A841BB-B6D5-4048-B5F2-18CF9F502EBA}">
    <filterColumn colId="0" hiddenButton="1"/>
    <filterColumn colId="1" hiddenButton="1"/>
    <filterColumn colId="2" hiddenButton="1"/>
    <filterColumn colId="3" hiddenButton="1"/>
  </autoFilter>
  <tableColumns count="4">
    <tableColumn id="1" xr3:uid="{4F176BC0-31BF-4358-B856-EFBB6BB7AAB0}" name="Assessment No" dataDxfId="161"/>
    <tableColumn id="2" xr3:uid="{162D175A-F572-46B3-8399-9FF334864C28}" name="LO Number" dataDxfId="160"/>
    <tableColumn id="3" xr3:uid="{4B8F87D6-8076-4256-870F-FFB0D542729A}" name="Graduate Skills Category" dataDxfId="159"/>
    <tableColumn id="4" xr3:uid="{3DB5254F-E5B1-45EA-B3FC-772579673F08}" name="Graduate Skill" dataDxfId="158"/>
  </tableColumns>
  <tableStyleInfo name="TableStyleMedium3" showFirstColumn="0" showLastColumn="0" showRowStripes="1"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0" xr:uid="{66D0C022-EFBE-4464-91FC-F436D7DFB43A}" name="6052SPS_Aims" displayName="_6052SPS_Aims" ref="F6:F8" totalsRowShown="0" headerRowDxfId="157" dataDxfId="156">
  <autoFilter ref="F6:F8" xr:uid="{9552138F-2332-4BC4-A585-0E13162881A5}"/>
  <tableColumns count="1">
    <tableColumn id="1" xr3:uid="{D5911F00-3A12-4884-94FA-2461F2E6A773}" name="Aims" dataDxfId="155"/>
  </tableColumns>
  <tableStyleInfo name="TableStyleMedium6" showFirstColumn="0" showLastColumn="0" showRowStripes="1"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1" xr:uid="{5F89D8F4-40FF-4A85-91D9-660D46503FEA}" name="6052SPS_Syllabus" displayName="_6052SPS_Syllabus" ref="F10:F13" totalsRowShown="0" headerRowDxfId="154" dataDxfId="153">
  <autoFilter ref="F10:F13" xr:uid="{94F18F67-3F10-4F6E-A953-4FE3399B07F2}"/>
  <tableColumns count="1">
    <tableColumn id="1" xr3:uid="{1984609B-7A7C-44AA-A114-5466EF451351}" name="Outline Syllabus" dataDxfId="152"/>
  </tableColumns>
  <tableStyleInfo name="TableStyleMedium6" showFirstColumn="0" showLastColumn="0" showRowStripes="1"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2" xr:uid="{2CE8D45C-F32D-403F-87CE-50D315C2F149}" name="6052SPS_Overview" displayName="_6052SPS_Overview" ref="F15:F20" totalsRowShown="0" headerRowDxfId="151" dataDxfId="150">
  <autoFilter ref="F15:F20" xr:uid="{1B2BCD7B-6C15-4B1C-86BC-48FF83D8F225}"/>
  <tableColumns count="1">
    <tableColumn id="1" xr3:uid="{19A46962-3EFC-4EE2-ACCE-5363E30EDC4F}" name="Module Overview" dataDxfId="149"/>
  </tableColumns>
  <tableStyleInfo name="TableStyleMedium6" showFirstColumn="0" showLastColumn="0" showRowStripes="1"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3" xr:uid="{9A33D543-C10F-446B-A3DE-E3B66E260D5A}" name="6052SPS_Notes" displayName="_6052SPS_Notes" ref="F22:F33" totalsRowShown="0" headerRowDxfId="148" dataDxfId="147">
  <autoFilter ref="F22:F33" xr:uid="{D5968C0A-6D7E-4221-87EE-78A85A4039B3}"/>
  <tableColumns count="1">
    <tableColumn id="1" xr3:uid="{EEDA3204-13C4-4B95-A550-B650C09B689D}" name="Additional Information/Notes" dataDxfId="146"/>
  </tableColumns>
  <tableStyleInfo name="TableStyleMedium6" showFirstColumn="0" showLastColumn="0" showRowStripes="1"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F8365005-B598-4738-B9AF-07D1E238BC9C}" name="6051SPS_Meta" displayName="_6051SPS_Meta" ref="C6:D14" totalsRowShown="0" headerRowDxfId="145" dataDxfId="144">
  <autoFilter ref="C6:D14" xr:uid="{CD75D2A7-14B1-4ABD-B64D-6E875F9BC652}">
    <filterColumn colId="0" hiddenButton="1"/>
    <filterColumn colId="1" hiddenButton="1"/>
  </autoFilter>
  <tableColumns count="2">
    <tableColumn id="1" xr3:uid="{7B568BCE-928C-447D-BD05-0832B97C0D72}" name="Module Data" dataDxfId="143"/>
    <tableColumn id="2" xr3:uid="{706D7CC6-0EB1-4219-8291-567821A0A5B8}" name="Details" dataDxfId="142"/>
  </tableColumns>
  <tableStyleInfo name="TableStyleMedium6" showFirstColumn="0" showLastColumn="0" showRowStripes="1"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A7A07E87-B596-4463-9B78-6555D43A4B3D}" name="6051SPS_LO" displayName="_6051SPS_LO" ref="C28:D33" totalsRowShown="0" headerRowDxfId="141" dataDxfId="140">
  <autoFilter ref="C28:D33" xr:uid="{22316987-6BEB-4FAF-9619-BF9BE9909CFA}">
    <filterColumn colId="0" hiddenButton="1"/>
    <filterColumn colId="1" hiddenButton="1"/>
  </autoFilter>
  <tableColumns count="2">
    <tableColumn id="1" xr3:uid="{C19B4674-B83E-4A42-A7E5-5468C8752F20}" name="LO Number" dataDxfId="139"/>
    <tableColumn id="2" xr3:uid="{78F135DA-0213-417E-88FD-2F76325B6D58}" name="LO Description" dataDxfId="138"/>
  </tableColumns>
  <tableStyleInfo name="TableStyleMedium2" showFirstColumn="0" showLastColumn="0" showRowStripes="1" showColumnStripes="0"/>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8F69EEF1-22B4-4163-8A76-0105B5FDEC70}" name="6051SPS_Assess" displayName="_6051SPS_Assess" ref="C37:H41" totalsRowShown="0" headerRowDxfId="137" dataDxfId="136">
  <autoFilter ref="C37:H41" xr:uid="{39DE2F1F-0A9B-4873-A230-1AA954198F52}">
    <filterColumn colId="0" hiddenButton="1"/>
    <filterColumn colId="1" hiddenButton="1"/>
    <filterColumn colId="2" hiddenButton="1"/>
    <filterColumn colId="3" hiddenButton="1"/>
    <filterColumn colId="4" hiddenButton="1"/>
    <filterColumn colId="5" hiddenButton="1"/>
  </autoFilter>
  <tableColumns count="6">
    <tableColumn id="1" xr3:uid="{9892EAF8-7C5D-41E6-A727-FB21DB64B28D}" name="Assessment No" dataDxfId="135"/>
    <tableColumn id="2" xr3:uid="{43E55016-0B24-4AE6-8341-2CF6FE45EFE0}" name="Assessment Type" dataDxfId="134"/>
    <tableColumn id="7" xr3:uid="{74FB69C4-57FE-4D4F-92C7-425CCB32340D}" name="Assessment Specific" dataDxfId="133"/>
    <tableColumn id="3" xr3:uid="{F392CA10-65BB-49CE-8FEA-065DB3B1250A}" name="Assessment Description" dataDxfId="132"/>
    <tableColumn id="4" xr3:uid="{63105FFB-71CB-4889-BE3D-BA168F2B1D15}" name="Weighting" dataDxfId="131"/>
    <tableColumn id="5" xr3:uid="{942301B1-78DA-47AC-B487-4A82010FBC22}" name="Due Week" dataDxfId="130"/>
  </tableColumns>
  <tableStyleInfo name="TableStyleMedium3" showFirstColumn="0" showLastColumn="0" showRowStripes="1" showColumnStripes="0"/>
</table>
</file>

<file path=xl/tables/table1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D89A5C6D-23F5-46A1-94E8-CF627C641E3E}" name="6051SPS_Weekly" displayName="_6051SPS_Weekly" ref="B70:F94" totalsRowShown="0" headerRowDxfId="129" dataDxfId="128">
  <autoFilter ref="B70:F94" xr:uid="{3A41AF80-1AD3-44F6-93D1-6C4A16CCF943}">
    <filterColumn colId="0" hiddenButton="1"/>
    <filterColumn colId="1" hiddenButton="1"/>
    <filterColumn colId="2" hiddenButton="1"/>
    <filterColumn colId="3" hiddenButton="1"/>
    <filterColumn colId="4" hiddenButton="1"/>
  </autoFilter>
  <tableColumns count="5">
    <tableColumn id="1" xr3:uid="{1345FE91-A274-4410-84E7-94ACC245A1B0}" name="Semester " dataDxfId="127"/>
    <tableColumn id="2" xr3:uid="{D37085D6-4B13-4E18-BF1D-72E1D211C5E2}" name="Week Number" dataDxfId="126"/>
    <tableColumn id="3" xr3:uid="{E63B3791-EF8C-42D0-9D20-9E40C6780395}" name="Weekly Content 1" dataDxfId="125"/>
    <tableColumn id="4" xr3:uid="{B1BA8E95-AF48-472D-8022-4FFD3C39E6FD}" name="Weekly Content 2" dataDxfId="124"/>
    <tableColumn id="5" xr3:uid="{77ED77D2-DF2D-4913-862F-82B54D142645}" name="Weekly Content 3" dataDxfId="123"/>
  </tableColumns>
  <tableStyleInfo name="TableStyleMedium4" showFirstColumn="0" showLastColumn="0" showRowStripes="1" showColumnStripes="0"/>
</table>
</file>

<file path=xl/tables/table1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13D81E92-9BBD-40B0-B885-F022CB13A68D}" name="6051SPS_Hours" displayName="_6051SPS_Hours" ref="C18:D24" totalsRowShown="0" headerRowDxfId="122" dataDxfId="121">
  <autoFilter ref="C18:D24" xr:uid="{B71A3569-AA65-4A4E-98A2-885F5C38B46D}">
    <filterColumn colId="0" hiddenButton="1"/>
    <filterColumn colId="1" hiddenButton="1"/>
  </autoFilter>
  <tableColumns count="2">
    <tableColumn id="1" xr3:uid="{A4027C00-55EA-4E91-A17F-FC7D936AA12D}" name="Component" dataDxfId="120"/>
    <tableColumn id="2" xr3:uid="{2B461470-C937-400F-A861-E1EF437460FC}" name="Contact Hours" dataDxfId="119"/>
  </tableColumns>
  <tableStyleInfo name="TableStyleMedium2" showFirstColumn="0" showLastColumn="0" showRowStripes="1" showColumnStripes="0"/>
</table>
</file>

<file path=xl/tables/table1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93DE5F36-B6B6-48CA-B033-B6C2A61B46F8}" name="6051SPS_Mapping" displayName="_6051SPS_Mapping" ref="C45:F66" totalsRowShown="0" headerRowDxfId="118" dataDxfId="117">
  <autoFilter ref="C45:F66" xr:uid="{E0A841BB-B6D5-4048-B5F2-18CF9F502EBA}">
    <filterColumn colId="0" hiddenButton="1"/>
    <filterColumn colId="1" hiddenButton="1"/>
    <filterColumn colId="2" hiddenButton="1"/>
    <filterColumn colId="3" hiddenButton="1"/>
  </autoFilter>
  <tableColumns count="4">
    <tableColumn id="1" xr3:uid="{318F8255-76AC-4F17-ABBB-6A771AD200A7}" name="Assessment No" dataDxfId="116"/>
    <tableColumn id="2" xr3:uid="{01ED9B44-AD4B-499E-8D3C-3B9247E57323}" name="LO Number" dataDxfId="115"/>
    <tableColumn id="3" xr3:uid="{D52384A9-63E3-4ABE-86FB-4619A06E02AF}" name="Graduate Skills Category" dataDxfId="114"/>
    <tableColumn id="4" xr3:uid="{B45DCF04-04F9-4B36-A81D-CEBACC18D2E8}" name="Graduate Skill" dataDxfId="113"/>
  </tableColumns>
  <tableStyleInfo name="TableStyleMedium3" showFirstColumn="0" showLastColumn="0" showRowStripes="1" showColumnStripes="0"/>
</table>
</file>

<file path=xl/tables/table1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3046BD9A-2B11-4104-9334-CBD68741AB03}" name="6051SPS_Aims" displayName="_6051SPS_Aims" ref="F6:F8" totalsRowShown="0" headerRowDxfId="112" dataDxfId="111">
  <autoFilter ref="F6:F8" xr:uid="{9552138F-2332-4BC4-A585-0E13162881A5}"/>
  <tableColumns count="1">
    <tableColumn id="1" xr3:uid="{00C11AD8-5667-494A-85B4-23C210D1B918}" name="Aims" dataDxfId="110"/>
  </tableColumns>
  <tableStyleInfo name="TableStyleMedium6" showFirstColumn="0" showLastColumn="0" showRowStripes="1" showColumnStripes="0"/>
</table>
</file>

<file path=xl/tables/table1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26B305FF-72A4-4559-8E2D-B9A63503D4FA}" name="6051SPS_Syllabus" displayName="_6051SPS_Syllabus" ref="F10:F13" totalsRowShown="0" headerRowDxfId="109" dataDxfId="108">
  <autoFilter ref="F10:F13" xr:uid="{94F18F67-3F10-4F6E-A953-4FE3399B07F2}"/>
  <tableColumns count="1">
    <tableColumn id="1" xr3:uid="{8917F32D-2D78-4B3C-93BA-03E82057EA4B}" name="Outline Syllabus" dataDxfId="107"/>
  </tableColumns>
  <tableStyleInfo name="TableStyleMedium6" showFirstColumn="0" showLastColumn="0" showRowStripes="1" showColumnStripes="0"/>
</table>
</file>

<file path=xl/tables/table1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8A8B96ED-8A76-44E9-8A2C-4B9FD261E59C}" name="6051SPS_Overview" displayName="_6051SPS_Overview" ref="F15:F20" totalsRowShown="0" headerRowDxfId="106" dataDxfId="105">
  <autoFilter ref="F15:F20" xr:uid="{1B2BCD7B-6C15-4B1C-86BC-48FF83D8F225}"/>
  <tableColumns count="1">
    <tableColumn id="1" xr3:uid="{B53F9EDB-3125-4C5C-A219-EFA16F274EFC}" name="Module Overview" dataDxfId="104"/>
  </tableColumns>
  <tableStyleInfo name="TableStyleMedium6" showFirstColumn="0" showLastColumn="0" showRowStripes="1" showColumnStripes="0"/>
</table>
</file>

<file path=xl/tables/table1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2B219707-18B1-442D-9B23-49B95E064644}" name="6051SPS_Notes" displayName="_6051SPS_Notes" ref="F22:F33" totalsRowShown="0" headerRowDxfId="103" dataDxfId="102">
  <autoFilter ref="F22:F33" xr:uid="{D5968C0A-6D7E-4221-87EE-78A85A4039B3}"/>
  <tableColumns count="1">
    <tableColumn id="1" xr3:uid="{2E1C0BC3-8EFB-4AA5-A23B-DEAB35C7DEA7}" name="Additional Information/Notes" dataDxfId="101"/>
  </tableColumns>
  <tableStyleInfo name="TableStyleMedium6" showFirstColumn="0" showLastColumn="0" showRowStripes="1" showColumnStripes="0"/>
</table>
</file>

<file path=xl/tables/table1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D3D9C059-9C0F-4D85-8B52-4BE4E2F3A820}" name="6053SPS_Meta" displayName="_6053SPS_Meta" ref="C6:D14" totalsRowShown="0" headerRowDxfId="100" dataDxfId="99">
  <autoFilter ref="C6:D14" xr:uid="{CD75D2A7-14B1-4ABD-B64D-6E875F9BC652}">
    <filterColumn colId="0" hiddenButton="1"/>
    <filterColumn colId="1" hiddenButton="1"/>
  </autoFilter>
  <tableColumns count="2">
    <tableColumn id="1" xr3:uid="{294825A0-B000-4273-A73D-4BDF1B0EEF00}" name="Module Data" dataDxfId="98"/>
    <tableColumn id="2" xr3:uid="{BFFFACD7-D0A7-40F6-BF15-469686406C3F}" name="Details" dataDxfId="97"/>
  </tableColumns>
  <tableStyleInfo name="TableStyleMedium6" showFirstColumn="0" showLastColumn="0" showRowStripes="1" showColumnStripes="0"/>
</table>
</file>

<file path=xl/tables/table1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DD0C48BE-F6F8-4E15-8EEF-3079EE79AB53}" name="6053SPS_LO" displayName="_6053SPS_LO" ref="C28:D33" totalsRowShown="0" headerRowDxfId="96" dataDxfId="95">
  <autoFilter ref="C28:D33" xr:uid="{22316987-6BEB-4FAF-9619-BF9BE9909CFA}">
    <filterColumn colId="0" hiddenButton="1"/>
    <filterColumn colId="1" hiddenButton="1"/>
  </autoFilter>
  <tableColumns count="2">
    <tableColumn id="1" xr3:uid="{EB0958A2-9E66-44D9-A8DF-610B48FE0AC6}" name="LO Number" dataDxfId="94"/>
    <tableColumn id="2" xr3:uid="{0F368925-4523-471B-A68D-184E05AABCF7}" name="LO Description" dataDxfId="93"/>
  </tableColumns>
  <tableStyleInfo name="TableStyleMedium2" showFirstColumn="0" showLastColumn="0" showRowStripes="1" showColumnStripes="0"/>
</table>
</file>

<file path=xl/tables/table1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FBE7F226-F525-4AEE-9051-8E8C19804E49}" name="6053SPS_Assess" displayName="_6053SPS_Assess" ref="C37:H41" totalsRowShown="0" headerRowDxfId="92" dataDxfId="91">
  <autoFilter ref="C37:H41" xr:uid="{39DE2F1F-0A9B-4873-A230-1AA954198F52}">
    <filterColumn colId="0" hiddenButton="1"/>
    <filterColumn colId="1" hiddenButton="1"/>
    <filterColumn colId="2" hiddenButton="1"/>
    <filterColumn colId="3" hiddenButton="1"/>
    <filterColumn colId="4" hiddenButton="1"/>
    <filterColumn colId="5" hiddenButton="1"/>
  </autoFilter>
  <tableColumns count="6">
    <tableColumn id="1" xr3:uid="{1623195A-EACB-49C4-931F-4FDDF41A020A}" name="Assessment No" dataDxfId="90"/>
    <tableColumn id="2" xr3:uid="{1FA5C130-1C0E-45D6-8735-EA79A0166F2D}" name="Assessment Type" dataDxfId="89"/>
    <tableColumn id="7" xr3:uid="{34024CC2-5A32-45FD-95BD-978953E7F41B}" name="Assessment Specific" dataDxfId="88"/>
    <tableColumn id="3" xr3:uid="{5DA2B338-CCFE-4568-ACFD-CC8F0B883170}" name="Assessment Description" dataDxfId="87"/>
    <tableColumn id="4" xr3:uid="{597ADF95-B9B9-411B-8079-7F615E89550C}" name="Weighting" dataDxfId="86"/>
    <tableColumn id="5" xr3:uid="{A0D1FD19-8DF8-4595-ADE8-675937B4A7F4}" name="Due Week" dataDxfId="85"/>
  </tableColumns>
  <tableStyleInfo name="TableStyleMedium3" showFirstColumn="0" showLastColumn="0" showRowStripes="1" showColumnStripes="0"/>
</table>
</file>

<file path=xl/tables/table1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7F94D071-7B51-4AEF-B4B4-033ED66B10D3}" name="6053SPS_Weekly" displayName="_6053SPS_Weekly" ref="B72:F96" totalsRowShown="0" headerRowDxfId="84" dataDxfId="83">
  <autoFilter ref="B72:F96" xr:uid="{3A41AF80-1AD3-44F6-93D1-6C4A16CCF943}">
    <filterColumn colId="0" hiddenButton="1"/>
    <filterColumn colId="1" hiddenButton="1"/>
    <filterColumn colId="2" hiddenButton="1"/>
    <filterColumn colId="3" hiddenButton="1"/>
    <filterColumn colId="4" hiddenButton="1"/>
  </autoFilter>
  <tableColumns count="5">
    <tableColumn id="1" xr3:uid="{57BA6DA9-286D-48FA-A29C-33DB01958BBC}" name="Semester " dataDxfId="82"/>
    <tableColumn id="2" xr3:uid="{633971FF-9E7F-4A44-865E-D409908313D1}" name="Week Number" dataDxfId="81"/>
    <tableColumn id="3" xr3:uid="{77413702-BFB9-4DEA-BF99-C2A188E22509}" name="Weekly Content 1" dataDxfId="80"/>
    <tableColumn id="4" xr3:uid="{DD1B7D42-32B3-4CC2-9308-AD66B052F8DB}" name="Weekly Content 2" dataDxfId="79"/>
    <tableColumn id="5" xr3:uid="{504E9A1A-C43C-49D3-BB42-E4DD5A49EFCE}" name="Weekly Content 3" dataDxfId="78"/>
  </tableColumns>
  <tableStyleInfo name="TableStyleMedium4" showFirstColumn="0" showLastColumn="0" showRowStripes="1" showColumnStripes="0"/>
</table>
</file>

<file path=xl/tables/table1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E1658A09-6752-4A08-B64F-A2B57CA717E6}" name="6053SPS_Hours" displayName="_6053SPS_Hours" ref="C18:D24" totalsRowShown="0" headerRowDxfId="77" dataDxfId="76">
  <autoFilter ref="C18:D24" xr:uid="{B71A3569-AA65-4A4E-98A2-885F5C38B46D}">
    <filterColumn colId="0" hiddenButton="1"/>
    <filterColumn colId="1" hiddenButton="1"/>
  </autoFilter>
  <tableColumns count="2">
    <tableColumn id="1" xr3:uid="{5D165BDB-09FC-4AAA-91DB-E67A247DFF72}" name="Component" dataDxfId="75"/>
    <tableColumn id="2" xr3:uid="{E28A3B10-E692-47D9-A3AD-18128B6A4794}" name="Contact Hours" dataDxfId="74"/>
  </tableColumns>
  <tableStyleInfo name="TableStyleMedium2" showFirstColumn="0" showLastColumn="0" showRowStripes="1" showColumnStripes="0"/>
</table>
</file>

<file path=xl/tables/table1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374EC906-9B9F-48BF-8818-9671FFE04486}" name="6053SPS_Mapping" displayName="_6053SPS_Mapping" ref="C45:F68" totalsRowShown="0" headerRowDxfId="73" dataDxfId="72">
  <autoFilter ref="C45:F68" xr:uid="{E0A841BB-B6D5-4048-B5F2-18CF9F502EBA}">
    <filterColumn colId="0" hiddenButton="1"/>
    <filterColumn colId="1" hiddenButton="1"/>
    <filterColumn colId="2" hiddenButton="1"/>
    <filterColumn colId="3" hiddenButton="1"/>
  </autoFilter>
  <tableColumns count="4">
    <tableColumn id="1" xr3:uid="{BF66E6C2-D388-4188-90AD-9408AE3ED7DA}" name="Assessment No" dataDxfId="71"/>
    <tableColumn id="2" xr3:uid="{A7D6827C-7020-4950-BD3E-00625169C68E}" name="LO Number" dataDxfId="70"/>
    <tableColumn id="3" xr3:uid="{1F68EB03-6C47-4955-9791-229A42D1A45A}" name="Graduate Skills Category" dataDxfId="69"/>
    <tableColumn id="4" xr3:uid="{1FD832D4-8E97-4B72-9B09-606CF407E6C7}" name="Graduate Skill" dataDxfId="68"/>
  </tableColumns>
  <tableStyleInfo name="TableStyleMedium3" showFirstColumn="0" showLastColumn="0" showRowStripes="1" showColumnStripes="0"/>
</table>
</file>

<file path=xl/tables/table1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59817139-EB2F-4EEA-A5A5-14E06D17B2BD}" name="6053SPS_Aims" displayName="_6053SPS_Aims" ref="F6:F8" totalsRowShown="0" headerRowDxfId="67" dataDxfId="66">
  <autoFilter ref="F6:F8" xr:uid="{9552138F-2332-4BC4-A585-0E13162881A5}"/>
  <tableColumns count="1">
    <tableColumn id="1" xr3:uid="{2EE5D059-BB6B-4406-AF24-CB56C5C24856}" name="Aims" dataDxfId="65"/>
  </tableColumns>
  <tableStyleInfo name="TableStyleMedium6" showFirstColumn="0" showLastColumn="0" showRowStripes="1" showColumnStripes="0"/>
</table>
</file>

<file path=xl/tables/table1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32FF468F-C8D3-4B79-9797-F22B3B7B3D03}" name="6053SPS_Syllabus" displayName="_6053SPS_Syllabus" ref="F10:F13" totalsRowShown="0" headerRowDxfId="64" dataDxfId="63">
  <autoFilter ref="F10:F13" xr:uid="{94F18F67-3F10-4F6E-A953-4FE3399B07F2}"/>
  <tableColumns count="1">
    <tableColumn id="1" xr3:uid="{CF8ACDF4-0E48-466C-AF99-EC810B28E6AF}" name="Outline Syllabus" dataDxfId="62"/>
  </tableColumns>
  <tableStyleInfo name="TableStyleMedium6" showFirstColumn="0" showLastColumn="0" showRowStripes="1" showColumnStripes="0"/>
</table>
</file>

<file path=xl/tables/table1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38871805-3392-4A3F-AFF8-B6F3E2CBA152}" name="6053SPS_Overview" displayName="_6053SPS_Overview" ref="F15:F20" totalsRowShown="0" headerRowDxfId="61" dataDxfId="60">
  <autoFilter ref="F15:F20" xr:uid="{1B2BCD7B-6C15-4B1C-86BC-48FF83D8F225}"/>
  <tableColumns count="1">
    <tableColumn id="1" xr3:uid="{C16E0E90-DC44-4185-AB55-C39332B32B2D}" name="Module Overview" dataDxfId="59"/>
  </tableColumns>
  <tableStyleInfo name="TableStyleMedium6" showFirstColumn="0" showLastColumn="0" showRowStripes="1" showColumnStripes="0"/>
</table>
</file>

<file path=xl/tables/table1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641172B8-C240-400A-88D4-1BDB4D30A1C9}" name="6053SPS_Notes" displayName="_6053SPS_Notes" ref="F22:F33" totalsRowShown="0" headerRowDxfId="58" dataDxfId="57">
  <autoFilter ref="F22:F33" xr:uid="{D5968C0A-6D7E-4221-87EE-78A85A4039B3}"/>
  <tableColumns count="1">
    <tableColumn id="1" xr3:uid="{719B4DA9-E67A-4094-A58E-921C645096BE}" name="Additional Information/Notes" dataDxfId="56"/>
  </tableColumns>
  <tableStyleInfo name="TableStyleMedium6" showFirstColumn="0" showLastColumn="0" showRowStripes="1" showColumnStripes="0"/>
</table>
</file>

<file path=xl/tables/table1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97D2E46-20CA-4E3C-B2E0-BBFDD53504A7}" name="6054SPS_Meta" displayName="_6054SPS_Meta" ref="C6:D14" totalsRowShown="0" headerRowDxfId="685" dataDxfId="684">
  <autoFilter ref="C6:D14" xr:uid="{CD75D2A7-14B1-4ABD-B64D-6E875F9BC652}">
    <filterColumn colId="0" hiddenButton="1"/>
    <filterColumn colId="1" hiddenButton="1"/>
  </autoFilter>
  <tableColumns count="2">
    <tableColumn id="1" xr3:uid="{ACF32678-77E3-4DB8-8FD6-8F313C0082A9}" name="Module Data" dataDxfId="683"/>
    <tableColumn id="2" xr3:uid="{DD1FE0F1-BC22-47E6-B097-D50D8388821E}" name="Details" dataDxfId="682"/>
  </tableColumns>
  <tableStyleInfo name="TableStyleMedium6" showFirstColumn="0" showLastColumn="0" showRowStripes="1" showColumnStripes="0"/>
</table>
</file>

<file path=xl/tables/table1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BAD0A51-796C-42E3-A2CB-4698AC5634E2}" name="6054SPS_LO" displayName="_6054SPS_LO" ref="C28:D33" totalsRowShown="0" headerRowDxfId="681" dataDxfId="680">
  <autoFilter ref="C28:D33" xr:uid="{22316987-6BEB-4FAF-9619-BF9BE9909CFA}">
    <filterColumn colId="0" hiddenButton="1"/>
    <filterColumn colId="1" hiddenButton="1"/>
  </autoFilter>
  <tableColumns count="2">
    <tableColumn id="1" xr3:uid="{6CB2DC80-959E-4050-BA4D-48CD62403E05}" name="LO Number" dataDxfId="679"/>
    <tableColumn id="2" xr3:uid="{85688B06-9831-461B-B933-1E407D860BB8}" name="LO Description" dataDxfId="678"/>
  </tableColumns>
  <tableStyleInfo name="TableStyleMedium2" showFirstColumn="0" showLastColumn="0" showRowStripes="1" showColumnStripes="0"/>
</table>
</file>

<file path=xl/tables/table1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95D0629-EB1D-4813-BD7D-E585D72A4BD3}" name="6054SPS_Assess" displayName="_6054SPS_Assess" ref="C37:H41" totalsRowShown="0" headerRowDxfId="677" dataDxfId="676">
  <autoFilter ref="C37:H41" xr:uid="{39DE2F1F-0A9B-4873-A230-1AA954198F52}">
    <filterColumn colId="0" hiddenButton="1"/>
    <filterColumn colId="1" hiddenButton="1"/>
    <filterColumn colId="2" hiddenButton="1"/>
    <filterColumn colId="3" hiddenButton="1"/>
    <filterColumn colId="4" hiddenButton="1"/>
    <filterColumn colId="5" hiddenButton="1"/>
  </autoFilter>
  <tableColumns count="6">
    <tableColumn id="1" xr3:uid="{F802E997-1B43-47D3-BE02-499B71A9E504}" name="Assessment No" dataDxfId="675"/>
    <tableColumn id="2" xr3:uid="{F4594AC5-B575-460A-8B6B-2EF3FCBAB24A}" name="Assessment Type" dataDxfId="674"/>
    <tableColumn id="7" xr3:uid="{AAABE4DC-4613-4F22-97E3-44DC05E3C8C2}" name="Assessment Specific" dataDxfId="673"/>
    <tableColumn id="3" xr3:uid="{C3DF3668-A1BF-4CA9-A035-72DE23145404}" name="Assessment Description" dataDxfId="672"/>
    <tableColumn id="4" xr3:uid="{3D9A7936-2757-4200-8A20-0CA5D42BA49F}" name="Weighting" dataDxfId="671"/>
    <tableColumn id="5" xr3:uid="{8EF3572C-5F74-4584-B936-B47EF6784AC5}" name="Due Week" dataDxfId="670"/>
  </tableColumns>
  <tableStyleInfo name="TableStyleMedium3" showFirstColumn="0" showLastColumn="0" showRowStripes="1" showColumnStripes="0"/>
</table>
</file>

<file path=xl/tables/table1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D1A8E39-0E8F-4461-9CD0-BAED3F9153AA}" name="6054SPS_Weekly" displayName="_6054SPS_Weekly" ref="B70:F94" totalsRowShown="0" headerRowDxfId="669" dataDxfId="668">
  <autoFilter ref="B70:F94" xr:uid="{3A41AF80-1AD3-44F6-93D1-6C4A16CCF943}">
    <filterColumn colId="0" hiddenButton="1"/>
    <filterColumn colId="1" hiddenButton="1"/>
    <filterColumn colId="2" hiddenButton="1"/>
    <filterColumn colId="3" hiddenButton="1"/>
    <filterColumn colId="4" hiddenButton="1"/>
  </autoFilter>
  <tableColumns count="5">
    <tableColumn id="1" xr3:uid="{7B3CFE4C-4542-4F37-A796-803C120DA3A8}" name="Semester " dataDxfId="667"/>
    <tableColumn id="2" xr3:uid="{FBC07EB1-2635-4DBE-A175-763442B26942}" name="Week Number" dataDxfId="666"/>
    <tableColumn id="3" xr3:uid="{D5767446-3CE7-477F-86AC-430EDC126EA2}" name="Weekly Content 1" dataDxfId="665"/>
    <tableColumn id="4" xr3:uid="{9EAF880D-82C8-4C10-BC2E-5F1E7B2ED0C1}" name="Weekly Content 2" dataDxfId="664"/>
    <tableColumn id="5" xr3:uid="{322143D7-C33E-4E77-9B9F-4AFE42EC2AA6}" name="Weekly Content 3" dataDxfId="663"/>
  </tableColumns>
  <tableStyleInfo name="TableStyleMedium4" showFirstColumn="0" showLastColumn="0" showRowStripes="1" showColumnStripes="0"/>
</table>
</file>

<file path=xl/tables/table1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70F3EDC-BBF5-489E-9F42-5224BBE1CD49}" name="6054SPS_Hours" displayName="_6054SPS_Hours" ref="C18:D24" totalsRowShown="0" headerRowDxfId="662" dataDxfId="661">
  <autoFilter ref="C18:D24" xr:uid="{B71A3569-AA65-4A4E-98A2-885F5C38B46D}">
    <filterColumn colId="0" hiddenButton="1"/>
    <filterColumn colId="1" hiddenButton="1"/>
  </autoFilter>
  <tableColumns count="2">
    <tableColumn id="1" xr3:uid="{CF6425D2-EB8D-46CC-B2D7-B49E8963FCEB}" name="Component" dataDxfId="660"/>
    <tableColumn id="2" xr3:uid="{BD9901A8-2A59-4CEC-ADF1-EDBA06D8EC9A}" name="Contact Hours" dataDxfId="659"/>
  </tableColumns>
  <tableStyleInfo name="TableStyleMedium2" showFirstColumn="0" showLastColumn="0" showRowStripes="1" showColumnStripes="0"/>
</table>
</file>

<file path=xl/tables/table1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FAEAAA9F-CEFA-44C3-A54E-F2BA30C0D409}" name="6054SPS_Mapping" displayName="_6054SPS_Mapping" ref="C45:F66" totalsRowShown="0" headerRowDxfId="658" dataDxfId="657">
  <autoFilter ref="C45:F66" xr:uid="{E0A841BB-B6D5-4048-B5F2-18CF9F502EBA}">
    <filterColumn colId="0" hiddenButton="1"/>
    <filterColumn colId="1" hiddenButton="1"/>
    <filterColumn colId="2" hiddenButton="1"/>
    <filterColumn colId="3" hiddenButton="1"/>
  </autoFilter>
  <tableColumns count="4">
    <tableColumn id="1" xr3:uid="{B7230EFB-0A7F-419F-81C2-C9BFFB988192}" name="Assessment No" dataDxfId="656"/>
    <tableColumn id="2" xr3:uid="{7A675E84-DDDC-4998-99E6-205908A58F57}" name="LO Number" dataDxfId="655"/>
    <tableColumn id="3" xr3:uid="{66CA6E22-8945-41E1-BB50-73156CC69517}" name="Graduate Skills Category" dataDxfId="654"/>
    <tableColumn id="4" xr3:uid="{325393C6-2FBF-4ABB-8CB2-DF104C6AB43E}" name="Graduate Skill" dataDxfId="653"/>
  </tableColumns>
  <tableStyleInfo name="TableStyleMedium3" showFirstColumn="0" showLastColumn="0" showRowStripes="1" showColumnStripes="0"/>
</table>
</file>

<file path=xl/tables/table1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94BDA32-9DC2-4107-9CE7-44CBEB4C67B7}" name="6054SPS_Aims" displayName="_6054SPS_Aims" ref="F6:F8" totalsRowShown="0" headerRowDxfId="652" dataDxfId="651">
  <autoFilter ref="F6:F8" xr:uid="{9552138F-2332-4BC4-A585-0E13162881A5}"/>
  <tableColumns count="1">
    <tableColumn id="1" xr3:uid="{67F975D0-E9AC-4452-A379-A1359EC2808C}" name="Aims" dataDxfId="650"/>
  </tableColumns>
  <tableStyleInfo name="TableStyleMedium6" showFirstColumn="0" showLastColumn="0" showRowStripes="1" showColumnStripes="0"/>
</table>
</file>

<file path=xl/tables/table1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EEE860E-45CA-47CA-BBA2-61D6A01BA1D6}" name="6054SPS_Syllabus" displayName="_6054SPS_Syllabus" ref="F10:F13" totalsRowShown="0" headerRowDxfId="649" dataDxfId="648">
  <autoFilter ref="F10:F13" xr:uid="{94F18F67-3F10-4F6E-A953-4FE3399B07F2}"/>
  <tableColumns count="1">
    <tableColumn id="1" xr3:uid="{BFF28868-E7E3-4275-B13E-588F6503F19C}" name="Outline Syllabus" dataDxfId="647"/>
  </tableColumns>
  <tableStyleInfo name="TableStyleMedium6" showFirstColumn="0" showLastColumn="0" showRowStripes="1" showColumnStripes="0"/>
</table>
</file>

<file path=xl/tables/table1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435E393-57B9-4F17-94C3-35EA9CC21840}" name="6054SPS_Overview" displayName="_6054SPS_Overview" ref="F15:F20" totalsRowShown="0" headerRowDxfId="646" dataDxfId="645">
  <autoFilter ref="F15:F20" xr:uid="{1B2BCD7B-6C15-4B1C-86BC-48FF83D8F225}"/>
  <tableColumns count="1">
    <tableColumn id="1" xr3:uid="{AD6B21BA-8875-45A9-8932-F4F0FB08A980}" name="Module Overview" dataDxfId="644"/>
  </tableColumns>
  <tableStyleInfo name="TableStyleMedium6" showFirstColumn="0" showLastColumn="0" showRowStripes="1" showColumnStripes="0"/>
</table>
</file>

<file path=xl/tables/table1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9DD1CC4-8FCD-4438-91A2-90693EC04391}" name="6054SPS_Notes" displayName="_6054SPS_Notes" ref="F22:F33" totalsRowShown="0" headerRowDxfId="643" dataDxfId="642">
  <autoFilter ref="F22:F33" xr:uid="{D5968C0A-6D7E-4221-87EE-78A85A4039B3}"/>
  <tableColumns count="1">
    <tableColumn id="1" xr3:uid="{91D0B8DA-30D1-4338-88D9-5A2355C1DF22}" name="Additional Information/Notes" dataDxfId="641"/>
  </tableColumns>
  <tableStyleInfo name="TableStyleMedium6" showFirstColumn="0" showLastColumn="0" showRowStripes="1" showColumnStripes="0"/>
</table>
</file>

<file path=xl/tables/table1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DA15C93-7AE5-443F-BF80-B6C4734D3733}" name="Template_Meta" displayName="Template_Meta" ref="C6:D14" totalsRowShown="0">
  <autoFilter ref="C6:D14" xr:uid="{CD75D2A7-14B1-4ABD-B64D-6E875F9BC652}">
    <filterColumn colId="0" hiddenButton="1"/>
    <filterColumn colId="1" hiddenButton="1"/>
  </autoFilter>
  <tableColumns count="2">
    <tableColumn id="1" xr3:uid="{4D2BF844-9D2B-4FF1-8498-0279E04136FD}" name="Module Data" dataDxfId="55"/>
    <tableColumn id="2" xr3:uid="{7CDC44CD-A513-4579-ACC6-09E7304BB1BE}" name="Details" dataDxfId="54"/>
  </tableColumns>
  <tableStyleInfo name="TableStyleMedium6" showFirstColumn="0" showLastColumn="0" showRowStripes="1" showColumnStripes="0"/>
</table>
</file>

<file path=xl/tables/table1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F01ECD1-C3F7-4C71-876A-3C7A7FDBB474}" name="Template_LO" displayName="Template_LO" ref="C28:D33" totalsRowShown="0" headerRowDxfId="53">
  <autoFilter ref="C28:D33" xr:uid="{22316987-6BEB-4FAF-9619-BF9BE9909CFA}">
    <filterColumn colId="0" hiddenButton="1"/>
    <filterColumn colId="1" hiddenButton="1"/>
  </autoFilter>
  <tableColumns count="2">
    <tableColumn id="1" xr3:uid="{A75FADC5-DEDB-4B6C-9F57-BD04056AC57B}" name="LO Number" dataDxfId="52"/>
    <tableColumn id="2" xr3:uid="{2529C995-9CF3-46B4-B1CE-40C8315EEAF2}" name="LO Description" dataDxfId="51"/>
  </tableColumns>
  <tableStyleInfo name="TableStyleMedium2" showFirstColumn="0" showLastColumn="0" showRowStripes="1" showColumnStripes="0"/>
</table>
</file>

<file path=xl/tables/table1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B27E036-CB6F-40EB-91EB-A39099EEB3CD}" name="Template_Assess" displayName="Template_Assess" ref="C37:H41" totalsRowShown="0" headerRowDxfId="50">
  <autoFilter ref="C37:H41" xr:uid="{39DE2F1F-0A9B-4873-A230-1AA954198F52}">
    <filterColumn colId="0" hiddenButton="1"/>
    <filterColumn colId="1" hiddenButton="1"/>
    <filterColumn colId="2" hiddenButton="1"/>
    <filterColumn colId="3" hiddenButton="1"/>
    <filterColumn colId="4" hiddenButton="1"/>
    <filterColumn colId="5" hiddenButton="1"/>
  </autoFilter>
  <tableColumns count="6">
    <tableColumn id="1" xr3:uid="{D8EBD973-01AE-4D1E-8786-915C86474423}" name="Assessment No" dataDxfId="49"/>
    <tableColumn id="2" xr3:uid="{707D2CCB-425D-48C3-A5FF-A62091BB3A56}" name="Assessment Type" dataDxfId="48"/>
    <tableColumn id="7" xr3:uid="{EB4F45BA-D8C2-4768-9796-02D50E7330DF}" name="Assessment Specific" dataDxfId="47"/>
    <tableColumn id="3" xr3:uid="{5B969136-9DE0-4A71-AF46-BE9B9C988057}" name="Assessment Description" dataDxfId="46"/>
    <tableColumn id="4" xr3:uid="{C51F8C6E-75D1-4D2A-980F-3DFD604FDE94}" name="Weighting" dataDxfId="45"/>
    <tableColumn id="5" xr3:uid="{732B8B1F-0938-4D2E-A221-A6E8EC0CEA2A}" name="Due Week" dataDxfId="44"/>
  </tableColumns>
  <tableStyleInfo name="TableStyleMedium3" showFirstColumn="0" showLastColumn="0" showRowStripes="1" showColumnStripes="0"/>
</table>
</file>

<file path=xl/tables/table1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161448E8-8EEE-4DE1-A2F9-F593D227DA0A}" name="Template_Weekly" displayName="Template_Weekly" ref="B70:F94" totalsRowShown="0">
  <autoFilter ref="B70:F94" xr:uid="{3A41AF80-1AD3-44F6-93D1-6C4A16CCF943}">
    <filterColumn colId="0" hiddenButton="1"/>
    <filterColumn colId="1" hiddenButton="1"/>
    <filterColumn colId="2" hiddenButton="1"/>
    <filterColumn colId="3" hiddenButton="1"/>
    <filterColumn colId="4" hiddenButton="1"/>
  </autoFilter>
  <tableColumns count="5">
    <tableColumn id="1" xr3:uid="{6D1B2880-FC9A-468B-B918-0197941EFFDE}" name="Semester " dataDxfId="43"/>
    <tableColumn id="2" xr3:uid="{B5886C84-F0E2-476E-B7F8-D50AED341227}" name="Week Number" dataDxfId="42"/>
    <tableColumn id="3" xr3:uid="{E72094EC-2F0A-4C32-8DE0-3CB3CF696309}" name="Weekly Content 1" dataDxfId="41"/>
    <tableColumn id="4" xr3:uid="{15BE7A5A-AEE2-4BE3-9FDF-71CA774FE739}" name="Weekly Content 2" dataDxfId="40"/>
    <tableColumn id="5" xr3:uid="{C4CF9651-D5F8-4074-B5BD-359D74967851}" name="Weekly Content 3" dataDxfId="39"/>
  </tableColumns>
  <tableStyleInfo name="TableStyleMedium4" showFirstColumn="0" showLastColumn="0" showRowStripes="1" showColumnStripes="0"/>
</table>
</file>

<file path=xl/tables/table1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FAF6343-FF50-43D2-B96C-219B05B209B3}" name="Template_Hours" displayName="Template_Hours" ref="C18:D24" totalsRowShown="0">
  <autoFilter ref="C18:D24" xr:uid="{B71A3569-AA65-4A4E-98A2-885F5C38B46D}">
    <filterColumn colId="0" hiddenButton="1"/>
    <filterColumn colId="1" hiddenButton="1"/>
  </autoFilter>
  <tableColumns count="2">
    <tableColumn id="1" xr3:uid="{DD613D1A-331B-4FD0-91B2-3BB01F5B1F40}" name="Component" dataDxfId="38"/>
    <tableColumn id="2" xr3:uid="{C0E95D7F-8DB9-4A30-B523-E4812C2D666C}" name="Contact Hours" dataDxfId="37"/>
  </tableColumns>
  <tableStyleInfo name="TableStyleMedium2" showFirstColumn="0" showLastColumn="0" showRowStripes="1" showColumnStripes="0"/>
</table>
</file>

<file path=xl/tables/table1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64905AEA-21AC-416A-8A59-FDBFEB2C673E}" name="Template_Mapping" displayName="Template_Mapping" ref="C45:F66" totalsRowShown="0" headerRowDxfId="36" dataDxfId="35">
  <autoFilter ref="C45:F66" xr:uid="{E0A841BB-B6D5-4048-B5F2-18CF9F502EBA}">
    <filterColumn colId="0" hiddenButton="1"/>
    <filterColumn colId="1" hiddenButton="1"/>
    <filterColumn colId="2" hiddenButton="1"/>
    <filterColumn colId="3" hiddenButton="1"/>
  </autoFilter>
  <tableColumns count="4">
    <tableColumn id="1" xr3:uid="{68FEA8A1-EEF2-48EA-ACC7-4E78BA6DFA99}" name="Assessment No" dataDxfId="34"/>
    <tableColumn id="2" xr3:uid="{2008E8A1-90F0-4A5C-A0CF-4F307DD2E2D8}" name="LO Number" dataDxfId="33"/>
    <tableColumn id="3" xr3:uid="{3A4DD78F-A393-4DAB-8994-3FEC28769F43}" name="Graduate Skills Category" dataDxfId="32"/>
    <tableColumn id="4" xr3:uid="{3CC06E09-AB6C-4DEE-8FEB-FEE7643702C5}" name="Graduate Skill" dataDxfId="31"/>
  </tableColumns>
  <tableStyleInfo name="TableStyleMedium3" showFirstColumn="0" showLastColumn="0" showRowStripes="1" showColumnStripes="0"/>
</table>
</file>

<file path=xl/tables/table1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552138F-2332-4BC4-A585-0E13162881A5}" name="Template_Aims" displayName="Template_Aims" ref="F6:F8" totalsRowShown="0" dataDxfId="30">
  <autoFilter ref="F6:F8" xr:uid="{9552138F-2332-4BC4-A585-0E13162881A5}"/>
  <tableColumns count="1">
    <tableColumn id="1" xr3:uid="{71044305-7275-4074-BD40-FFAF45A8E291}" name="Aims" dataDxfId="29"/>
  </tableColumns>
  <tableStyleInfo name="TableStyleMedium6" showFirstColumn="0" showLastColumn="0" showRowStripes="1" showColumnStripes="0"/>
</table>
</file>

<file path=xl/tables/table1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4F18F67-3F10-4F6E-A953-4FE3399B07F2}" name="Template_Syllabus" displayName="Template_Syllabus" ref="F10:F13" totalsRowShown="0" dataDxfId="28">
  <autoFilter ref="F10:F13" xr:uid="{94F18F67-3F10-4F6E-A953-4FE3399B07F2}"/>
  <tableColumns count="1">
    <tableColumn id="1" xr3:uid="{409A0DF2-4B7A-4C37-A61C-CA2805617B9D}" name="Outline Syllabus" dataDxfId="27"/>
  </tableColumns>
  <tableStyleInfo name="TableStyleMedium6" showFirstColumn="0" showLastColumn="0" showRowStripes="1" showColumnStripes="0"/>
</table>
</file>

<file path=xl/tables/table1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B2BCD7B-6C15-4B1C-86BC-48FF83D8F225}" name="Template_Overview" displayName="Template_Overview" ref="F15:F20" totalsRowShown="0" dataDxfId="26">
  <autoFilter ref="F15:F20" xr:uid="{1B2BCD7B-6C15-4B1C-86BC-48FF83D8F225}"/>
  <tableColumns count="1">
    <tableColumn id="1" xr3:uid="{5E6F0374-DB3C-4DCF-968A-D7EB3D575A6B}" name="Module Overview" dataDxfId="25"/>
  </tableColumns>
  <tableStyleInfo name="TableStyleMedium6" showFirstColumn="0" showLastColumn="0" showRowStripes="1" showColumnStripes="0"/>
</table>
</file>

<file path=xl/tables/table1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5968C0A-6D7E-4221-87EE-78A85A4039B3}" name="Template_Notes" displayName="Template_Notes" ref="F22:F33" totalsRowShown="0" dataDxfId="24">
  <autoFilter ref="F22:F33" xr:uid="{D5968C0A-6D7E-4221-87EE-78A85A4039B3}"/>
  <tableColumns count="1">
    <tableColumn id="1" xr3:uid="{EBE60D7D-4BB5-4F06-A2E4-CFAAE9F14014}" name="Additional Information/Notes" dataDxfId="23"/>
  </tableColumns>
  <tableStyleInfo name="TableStyleMedium6" showFirstColumn="0" showLastColumn="0" showRowStripes="1" showColumnStripes="0"/>
</table>
</file>

<file path=xl/tables/table1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6598FB30-14DD-4860-A90E-313A991D1383}" name="PSYC_SkillsCoverage" displayName="PSYC_SkillsCoverage" ref="A1:E65" tableType="queryTable" totalsRowShown="0">
  <autoFilter ref="A1:E65" xr:uid="{6598FB30-14DD-4860-A90E-313A991D1383}">
    <filterColumn colId="0">
      <filters>
        <filter val="Scientific knowledge"/>
      </filters>
    </filterColumn>
  </autoFilter>
  <tableColumns count="5">
    <tableColumn id="1" xr3:uid="{8A8C82D8-81D4-4481-A416-E6564D293291}" uniqueName="1" name="Category" queryTableFieldId="1"/>
    <tableColumn id="2" xr3:uid="{93988252-7901-44D3-A985-0CD41B462246}" uniqueName="2" name="Skill" queryTableFieldId="2"/>
    <tableColumn id="3" xr3:uid="{E9355398-4131-49BD-8951-32CF8B0AD87D}" uniqueName="3" name="Modules Covering" queryTableFieldId="3" dataDxfId="22"/>
    <tableColumn id="4" xr3:uid="{3B524811-4FD5-486A-AFAF-91955A0CD688}" uniqueName="4" name="Module Count" queryTableFieldId="4"/>
    <tableColumn id="5" xr3:uid="{BA6979B9-C817-4B81-80BD-4D11E5B7D9AC}" uniqueName="5" name="Covered" queryTableFieldId="5"/>
  </tableColumns>
  <tableStyleInfo name="TableStyleMedium7" showFirstColumn="0" showLastColumn="0" showRowStripes="1" showColumnStripes="0"/>
</table>
</file>

<file path=xl/tables/table1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83F350CB-F08A-41A8-B9ED-25FB3E483030}" name="PSYC_Module_Overview" displayName="PSYC_Module_Overview" ref="A1:I18" tableType="queryTable" totalsRowShown="0">
  <autoFilter ref="A1:I18" xr:uid="{83F350CB-F08A-41A8-B9ED-25FB3E483030}"/>
  <tableColumns count="9">
    <tableColumn id="1" xr3:uid="{8A7431ED-222F-4B2F-BB73-4E7B0F6A1F90}" uniqueName="1" name="ModuleCode" queryTableFieldId="1"/>
    <tableColumn id="2" xr3:uid="{B64BA450-6378-403D-A7D1-020B0EC899C5}" uniqueName="2" name="ModuleTitle" queryTableFieldId="2" dataDxfId="0"/>
    <tableColumn id="3" xr3:uid="{378D22F0-9F31-4D3E-A1FD-69057A96E411}" uniqueName="3" name="Level" queryTableFieldId="3"/>
    <tableColumn id="4" xr3:uid="{093C3498-329A-409A-B2F7-3AEC6B761A9C}" uniqueName="4" name="Semester" queryTableFieldId="4"/>
    <tableColumn id="5" xr3:uid="{65204895-EE8D-43CA-AF79-85FC267F2623}" uniqueName="5" name="Credits" queryTableFieldId="5"/>
    <tableColumn id="6" xr3:uid="{213195B4-C896-4522-A9D0-5523D5234402}" uniqueName="6" name="Module Leader" queryTableFieldId="6"/>
    <tableColumn id="7" xr3:uid="{1FA9EF82-AB73-4D92-8869-94BFCC4FDD37}" uniqueName="7" name="Module Type" queryTableFieldId="7"/>
    <tableColumn id="8" xr3:uid="{01545A7C-8958-4C88-B9CB-4CCF83B8F56C}" uniqueName="8" name="Total Contact Hours" queryTableFieldId="8"/>
    <tableColumn id="9" xr3:uid="{35140EC3-092B-4C13-A37F-426869D87649}" uniqueName="9" name="Hours per Credit" queryTableFieldId="9"/>
  </tableColumns>
  <tableStyleInfo name="TableStyleMedium7" showFirstColumn="0" showLastColumn="0" showRowStripes="1" showColumnStripes="0"/>
</table>
</file>

<file path=xl/tables/table1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B926F3D1-3131-4A05-8F72-24FF2122F830}" name="PSYC_Hours_Wide" displayName="PSYC_Hours_Wide" ref="A1:L18" tableType="queryTable" totalsRowShown="0">
  <autoFilter ref="A1:L18" xr:uid="{B926F3D1-3131-4A05-8F72-24FF2122F830}"/>
  <tableColumns count="12">
    <tableColumn id="1" xr3:uid="{F45185A4-9C1F-4382-8EB3-2353173B87CE}" uniqueName="1" name="SourceWorkbook" queryTableFieldId="1" dataDxfId="21"/>
    <tableColumn id="2" xr3:uid="{F3E8B96F-9507-4C82-9845-AEED40B618C2}" uniqueName="2" name="ModuleCode" queryTableFieldId="2"/>
    <tableColumn id="3" xr3:uid="{755A8982-2973-4B80-94D8-8331B0E2D7BF}" uniqueName="3" name="ModuleTitle" queryTableFieldId="3" dataDxfId="20"/>
    <tableColumn id="4" xr3:uid="{59EEDBEB-7E73-472B-AA29-E976CDD215AC}" uniqueName="4" name="Programme" queryTableFieldId="4"/>
    <tableColumn id="5" xr3:uid="{7C8E06F2-4780-4FD0-9BD3-A50D9FD33BDB}" uniqueName="5" name="TableName" queryTableFieldId="5"/>
    <tableColumn id="6" xr3:uid="{46193CF4-DDE3-400D-B0E8-26E520FBD0A4}" uniqueName="6" name="ProgCode" queryTableFieldId="6"/>
    <tableColumn id="7" xr3:uid="{22A569A1-DF6A-4BF0-A89F-F49B8D2411C6}" uniqueName="7" name="Lecture" queryTableFieldId="7"/>
    <tableColumn id="8" xr3:uid="{007374F0-88A0-41B9-875D-3CA208C1E077}" uniqueName="8" name="Seminar" queryTableFieldId="8"/>
    <tableColumn id="9" xr3:uid="{E8F95CE5-0556-42F7-BA6D-EB64F570FA12}" uniqueName="9" name="Practical" queryTableFieldId="9"/>
    <tableColumn id="10" xr3:uid="{D3D9AAB4-B8A9-4FAE-9B9F-C35963FEB697}" uniqueName="10" name="Workshop" queryTableFieldId="10"/>
    <tableColumn id="11" xr3:uid="{BD4BBE3E-1DC5-4564-8318-6ED0CCF9DFFA}" uniqueName="11" name="Online" queryTableFieldId="11"/>
    <tableColumn id="12" xr3:uid="{B1F7BEA8-E1D9-4BE3-BC1B-D7DBC6BA816D}" uniqueName="12" name="Total" queryTableFieldId="12"/>
  </tableColumns>
  <tableStyleInfo name="TableStyleMedium7" showFirstColumn="0" showLastColumn="0" showRowStripes="1" showColumnStripes="0"/>
</table>
</file>

<file path=xl/tables/table1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9686BC8-F366-4F6B-8A14-E9B95F76F54D}" name="PSYC_Meta_Wide" displayName="PSYC_Meta_Wide" ref="A1:N18" tableType="queryTable" totalsRowShown="0">
  <autoFilter ref="A1:N18" xr:uid="{19686BC8-F366-4F6B-8A14-E9B95F76F54D}"/>
  <tableColumns count="14">
    <tableColumn id="1" xr3:uid="{9BB9FAD7-4AA4-4F5C-8FF7-F085F63D24A3}" uniqueName="1" name="SourceWorkbook" queryTableFieldId="1" dataDxfId="19"/>
    <tableColumn id="2" xr3:uid="{A350FC30-A38C-4F6E-A239-8CABEE0CD780}" uniqueName="2" name="ModuleCode" queryTableFieldId="2"/>
    <tableColumn id="3" xr3:uid="{C190BFF5-C43D-4E9C-9F13-3805B4576835}" uniqueName="3" name="ModuleTitle" queryTableFieldId="3" dataDxfId="18"/>
    <tableColumn id="4" xr3:uid="{B8688E00-7188-44F8-8430-3BC10A80D249}" uniqueName="4" name="Module Title" queryTableFieldId="4"/>
    <tableColumn id="5" xr3:uid="{E9DA8617-3B50-4CF5-B276-469068DFB9A2}" uniqueName="5" name="Credits" queryTableFieldId="5"/>
    <tableColumn id="6" xr3:uid="{DE151F04-2796-4A7C-AA91-3E437064A591}" uniqueName="6" name="Semester" queryTableFieldId="6"/>
    <tableColumn id="7" xr3:uid="{13CEBA10-99A9-4242-9D91-57CEF2FCEB67}" uniqueName="7" name="Level" queryTableFieldId="7"/>
    <tableColumn id="8" xr3:uid="{6EB7715C-CF51-4715-B26C-E718351534F6}" uniqueName="8" name="Module Leader" queryTableFieldId="8"/>
    <tableColumn id="9" xr3:uid="{2D553B71-8D12-415E-9D98-3F73B36B6975}" uniqueName="9" name="Module Type" queryTableFieldId="9"/>
    <tableColumn id="10" xr3:uid="{79AEEB95-7402-4000-946E-3F4D0D1163EC}" uniqueName="10" name="Programme(s)" queryTableFieldId="10"/>
    <tableColumn id="11" xr3:uid="{B5B76832-9143-4E87-9340-1F717BBCB1CD}" uniqueName="11" name="TableName" queryTableFieldId="11"/>
    <tableColumn id="12" xr3:uid="{9D2895DB-7760-4F7D-B062-D0537B4A11A7}" uniqueName="12" name="ItemSuffix" queryTableFieldId="12"/>
    <tableColumn id="13" xr3:uid="{8DBD9725-FD9E-4ED1-86EF-A0D856D18674}" uniqueName="13" name="Programme" queryTableFieldId="13"/>
    <tableColumn id="14" xr3:uid="{0A73D94C-3F43-4ADF-B2E5-180AD2E2B2C0}" uniqueName="14" name="ProgCode" queryTableFieldId="14"/>
  </tableColumns>
  <tableStyleInfo name="TableStyleMedium7" showFirstColumn="0" showLastColumn="0" showRowStripes="1" showColumnStripes="0"/>
</table>
</file>

<file path=xl/tables/table1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99C95DC0-37A7-4637-8A98-80AFC9D32AF0}" name="PSYC_Mapping" displayName="PSYC_Mapping" ref="A1:K231" tableType="queryTable" totalsRowShown="0">
  <autoFilter ref="A1:K231" xr:uid="{99C95DC0-37A7-4637-8A98-80AFC9D32AF0}"/>
  <tableColumns count="11">
    <tableColumn id="1" xr3:uid="{4405ECF4-FD08-423A-AF60-8EFDBDD87245}" uniqueName="1" name="SourceWorkbook" queryTableFieldId="1" dataDxfId="4"/>
    <tableColumn id="2" xr3:uid="{AFA7D3C6-AFE4-47E9-87F1-94C9FB1718BD}" uniqueName="2" name="TableName" queryTableFieldId="2"/>
    <tableColumn id="3" xr3:uid="{916756E5-59B7-439A-8666-3421992CF2DC}" uniqueName="3" name="Assessment No" queryTableFieldId="3"/>
    <tableColumn id="4" xr3:uid="{E16E4DD9-C611-4873-A0F2-17F7B4E6B352}" uniqueName="4" name="LO Number" queryTableFieldId="4"/>
    <tableColumn id="5" xr3:uid="{9B41441B-1D21-41D9-96C8-79015469DEFE}" uniqueName="5" name="Graduate Skills Category" queryTableFieldId="5"/>
    <tableColumn id="6" xr3:uid="{763A7424-F578-4E34-AFEC-29D8EE453F24}" uniqueName="6" name="Graduate Skill" queryTableFieldId="6"/>
    <tableColumn id="7" xr3:uid="{6B3E635B-F7D2-459C-91B6-68A160633C71}" uniqueName="7" name="ModuleCode" queryTableFieldId="7"/>
    <tableColumn id="8" xr3:uid="{69587CB6-3A41-422E-B7C6-871C287D4A1E}" uniqueName="8" name="ItemSuffix" queryTableFieldId="8"/>
    <tableColumn id="9" xr3:uid="{1227DCC6-029C-4891-9D00-58805341FF99}" uniqueName="9" name="Programme" queryTableFieldId="9"/>
    <tableColumn id="10" xr3:uid="{FE5482CA-AB34-4530-8E36-DDCE990610EB}" uniqueName="10" name="ProgCode" queryTableFieldId="10"/>
    <tableColumn id="11" xr3:uid="{3E808AE2-81DD-47D2-9C83-91D33478EF99}" uniqueName="11" name="ModuleTitle" queryTableFieldId="11" dataDxfId="3"/>
  </tableColumns>
  <tableStyleInfo name="TableStyleMedium7" showFirstColumn="0" showLastColumn="0" showRowStripes="1" showColumnStripes="0"/>
</table>
</file>

<file path=xl/tables/table1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41163353-78C6-45A2-9849-420DAA4B018D}" name="PSYC_Hours" displayName="PSYC_Hours" ref="A1:I103" tableType="queryTable" totalsRowShown="0">
  <autoFilter ref="A1:I103" xr:uid="{41163353-78C6-45A2-9849-420DAA4B018D}"/>
  <tableColumns count="9">
    <tableColumn id="1" xr3:uid="{21F550D2-B276-4C00-A88C-FF69BD1380EC}" uniqueName="1" name="SourceWorkbook" queryTableFieldId="1" dataDxfId="17"/>
    <tableColumn id="2" xr3:uid="{BEC27054-0DD2-4376-8D16-3A78F0D6F1C4}" uniqueName="2" name="ModuleCode" queryTableFieldId="2"/>
    <tableColumn id="3" xr3:uid="{CEE0ED89-E1AC-439F-BEB3-4BD56C1E92F4}" uniqueName="3" name="ModuleTitle" queryTableFieldId="3" dataDxfId="16"/>
    <tableColumn id="4" xr3:uid="{8C162F82-5A62-4C95-B9D9-6C508455C4F4}" uniqueName="4" name="Component" queryTableFieldId="4"/>
    <tableColumn id="5" xr3:uid="{9C3AE6B4-CCFE-4A51-9E43-664BD901A7AA}" uniqueName="5" name="Contact Hours" queryTableFieldId="5"/>
    <tableColumn id="6" xr3:uid="{4388E472-14DA-4E11-9584-4F3C67227423}" uniqueName="6" name="ItemSuffix" queryTableFieldId="6"/>
    <tableColumn id="7" xr3:uid="{F11074A8-0B9E-4668-BC8A-9EDE0C063F79}" uniqueName="7" name="Programme" queryTableFieldId="7"/>
    <tableColumn id="8" xr3:uid="{625581A2-2710-4568-850C-32AC2B29A047}" uniqueName="8" name="TableName" queryTableFieldId="8"/>
    <tableColumn id="9" xr3:uid="{92BDA10A-A144-4F29-82C5-139008A0A213}" uniqueName="9" name="ProgCode" queryTableFieldId="9"/>
  </tableColumns>
  <tableStyleInfo name="TableStyleMedium7" showFirstColumn="0" showLastColumn="0" showRowStripes="1" showColumnStripes="0"/>
</table>
</file>

<file path=xl/tables/table1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4A1A8750-DEA1-450E-8C64-C2A6150B69F8}" name="PSYC_Assess" displayName="PSYC_Assess" ref="A1:M35" tableType="queryTable" totalsRowShown="0">
  <autoFilter ref="A1:M35" xr:uid="{4A1A8750-DEA1-450E-8C64-C2A6150B69F8}"/>
  <tableColumns count="13">
    <tableColumn id="1" xr3:uid="{FC044850-88D7-43EC-8E17-B306008BA3EE}" uniqueName="1" name="SourceWorkbook" queryTableFieldId="1" dataDxfId="15"/>
    <tableColumn id="2" xr3:uid="{3C2314F1-1695-4778-AE0F-7D8C33451A4C}" uniqueName="2" name="ModuleCode" queryTableFieldId="2"/>
    <tableColumn id="3" xr3:uid="{DE39A718-708C-4136-B8B1-BC6790005609}" uniqueName="3" name="ModuleTitle" queryTableFieldId="3" dataDxfId="14"/>
    <tableColumn id="4" xr3:uid="{BC1A1C4F-72B0-4B9B-BB69-7116357EA09F}" uniqueName="4" name="Assessment No" queryTableFieldId="4"/>
    <tableColumn id="5" xr3:uid="{186F0640-8D52-44B2-9EF8-04CCE2E937BB}" uniqueName="5" name="Assessment Type" queryTableFieldId="5"/>
    <tableColumn id="6" xr3:uid="{6F9A4DCA-388D-4148-9CFC-7C15C6DCCB0A}" uniqueName="6" name="Assessment Specific" queryTableFieldId="6"/>
    <tableColumn id="7" xr3:uid="{21DEFC4E-DF92-4E57-BE9A-432D070C7776}" uniqueName="7" name="Assessment Description" queryTableFieldId="7"/>
    <tableColumn id="8" xr3:uid="{8E1223B5-F523-42DC-BED1-342948693B28}" uniqueName="8" name="Weighting" queryTableFieldId="8"/>
    <tableColumn id="9" xr3:uid="{A06FFD55-227A-4EFA-A4EE-CD6FA8679C23}" uniqueName="9" name="Due Week" queryTableFieldId="9"/>
    <tableColumn id="10" xr3:uid="{F3D74107-6252-42FA-BA34-C401924EA19F}" uniqueName="10" name="TableName" queryTableFieldId="10"/>
    <tableColumn id="11" xr3:uid="{05444E7F-D249-48DB-83B0-8E007540B670}" uniqueName="11" name="ItemSuffix" queryTableFieldId="11"/>
    <tableColumn id="12" xr3:uid="{4096A3C9-D109-4284-838B-80245F9CE90A}" uniqueName="12" name="Programme" queryTableFieldId="12"/>
    <tableColumn id="13" xr3:uid="{9F62C0A1-CE56-4311-9D3B-D7FBB904B059}" uniqueName="13" name="ProgCode" queryTableFieldId="13"/>
  </tableColumns>
  <tableStyleInfo name="TableStyleMedium7" showFirstColumn="0" showLastColumn="0" showRowStripes="1" showColumnStripes="0"/>
</table>
</file>

<file path=xl/tables/table1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A350CA9B-4CA6-41D8-8230-23E0498B756B}" name="PSYC_LO" displayName="PSYC_LO" ref="A1:I52" tableType="queryTable" totalsRowShown="0">
  <autoFilter ref="A1:I52" xr:uid="{A350CA9B-4CA6-41D8-8230-23E0498B756B}"/>
  <tableColumns count="9">
    <tableColumn id="1" xr3:uid="{1DD244EA-11AD-438D-90B8-B0303E9C13E6}" uniqueName="1" name="SourceWorkbook" queryTableFieldId="1" dataDxfId="2"/>
    <tableColumn id="2" xr3:uid="{7023E20A-FE76-42B9-97BF-1991FD12AC7C}" uniqueName="2" name="Programme" queryTableFieldId="2"/>
    <tableColumn id="3" xr3:uid="{D38AD054-E630-4543-A0B7-781BBB807639}" uniqueName="3" name="ModuleCode" queryTableFieldId="3"/>
    <tableColumn id="4" xr3:uid="{A7D39267-1E7F-4A2C-99F8-F14C33686045}" uniqueName="4" name="ModuleTitle" queryTableFieldId="4" dataDxfId="1"/>
    <tableColumn id="5" xr3:uid="{FC2C7DF6-1EB6-4307-A7FD-B930D46BA28B}" uniqueName="5" name="LO Number" queryTableFieldId="5"/>
    <tableColumn id="6" xr3:uid="{5AE1E74D-4A7C-40A7-BB39-1C15E7354825}" uniqueName="6" name="LO Description" queryTableFieldId="6"/>
    <tableColumn id="7" xr3:uid="{27F1CBA2-984D-43FF-A777-339A69EEBF15}" uniqueName="7" name="TableName" queryTableFieldId="7"/>
    <tableColumn id="8" xr3:uid="{FD26B2D5-B6DF-49F7-A88C-4B8D28223975}" uniqueName="8" name="ItemSuffix" queryTableFieldId="8"/>
    <tableColumn id="9" xr3:uid="{4B7E0975-B9E0-4FB9-B9B7-FA1AA70787E3}" uniqueName="9" name="ProgCode" queryTableFieldId="9"/>
  </tableColumns>
  <tableStyleInfo name="TableStyleMedium7" showFirstColumn="0" showLastColumn="0" showRowStripes="1" showColumnStripes="0"/>
</table>
</file>

<file path=xl/tables/table1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9C5737B1-18CE-432D-94C2-F98F5F489AB7}" name="PSYC_Meta" displayName="PSYC_Meta" ref="A1:I137" tableType="queryTable" totalsRowShown="0">
  <autoFilter ref="A1:I137" xr:uid="{9C5737B1-18CE-432D-94C2-F98F5F489AB7}"/>
  <tableColumns count="9">
    <tableColumn id="1" xr3:uid="{F60BB781-0A92-4E19-BEA3-DC241041EC0B}" uniqueName="1" name="SourceWorkbook" queryTableFieldId="1" dataDxfId="13"/>
    <tableColumn id="2" xr3:uid="{5F0D8A0A-7A83-40AF-A70A-8C9E3D00543E}" uniqueName="2" name="TableName" queryTableFieldId="2"/>
    <tableColumn id="3" xr3:uid="{72DC9207-91D9-468A-A39A-EE9F15894C9B}" uniqueName="3" name="Module Data" queryTableFieldId="3"/>
    <tableColumn id="4" xr3:uid="{F5A4B8F9-C71D-476D-9BB0-81684294FD51}" uniqueName="4" name="Details" queryTableFieldId="4"/>
    <tableColumn id="5" xr3:uid="{93301422-FD82-4B8A-9091-80751CA053E5}" uniqueName="5" name="ModuleCode" queryTableFieldId="5"/>
    <tableColumn id="6" xr3:uid="{0C14B605-7A5E-4567-81C2-0113D59565E5}" uniqueName="6" name="ItemSuffix" queryTableFieldId="6"/>
    <tableColumn id="7" xr3:uid="{1D075D55-293A-4755-ABEC-B8642EF3742F}" uniqueName="7" name="Programme" queryTableFieldId="7"/>
    <tableColumn id="8" xr3:uid="{05C1B191-D7DA-4556-B10C-629B009D11C7}" uniqueName="8" name="ProgCode" queryTableFieldId="8"/>
    <tableColumn id="9" xr3:uid="{919C2DBB-18CC-4BEA-85A2-21E8CDFB96EA}" uniqueName="9" name="ModuleTitle" queryTableFieldId="9" dataDxfId="12"/>
  </tableColumns>
  <tableStyleInfo name="TableStyleMedium7" showFirstColumn="0" showLastColumn="0" showRowStripes="1" showColumnStripes="0"/>
</table>
</file>

<file path=xl/tables/table1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28D849E-6EFC-4A5A-932B-B6AE93050561}" name="LISTS_Assess" displayName="LISTS_Assess" ref="G14:G28" totalsRowShown="0" headerRowDxfId="11" dataDxfId="10">
  <autoFilter ref="G14:G28" xr:uid="{A28D849E-6EFC-4A5A-932B-B6AE93050561}"/>
  <tableColumns count="1">
    <tableColumn id="1" xr3:uid="{F9243E19-CFCD-47CF-90F4-B3457FC6A715}" name="Assessment Specific" dataDxfId="9"/>
  </tableColumns>
  <tableStyleInfo name="TableStyleMedium2" showFirstColumn="0" showLastColumn="0" showRowStripes="1" showColumnStripes="0"/>
</table>
</file>

<file path=xl/tables/table1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BD39377-1E4D-4F11-AC33-A85FBA00A712}" name="LISTS_Table" displayName="LISTS_Table" ref="J19:K83" totalsRowShown="0" headerRowDxfId="8" dataDxfId="7">
  <autoFilter ref="J19:K83" xr:uid="{EBD39377-1E4D-4F11-AC33-A85FBA00A712}"/>
  <tableColumns count="2">
    <tableColumn id="1" xr3:uid="{88D4BEFB-0FE7-43D9-9144-A385F91AD367}" name="Category" dataDxfId="6"/>
    <tableColumn id="2" xr3:uid="{F16DBD3E-74AC-4DBC-9629-934DF2FB76A6}" name="Skill" dataDxfId="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printerSettings" Target="../printerSettings/printerSettings1.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s>
</file>

<file path=xl/worksheets/_rels/sheet2.xml.rels><?xml version="1.0" encoding="UTF-8" standalone="yes"?>
<Relationships xmlns="http://schemas.openxmlformats.org/package/2006/relationships"><Relationship Id="rId8" Type="http://schemas.openxmlformats.org/officeDocument/2006/relationships/table" Target="../tables/table17.xml"/><Relationship Id="rId3" Type="http://schemas.openxmlformats.org/officeDocument/2006/relationships/table" Target="../tables/table12.xml"/><Relationship Id="rId7" Type="http://schemas.openxmlformats.org/officeDocument/2006/relationships/table" Target="../tables/table16.xml"/><Relationship Id="rId2" Type="http://schemas.openxmlformats.org/officeDocument/2006/relationships/table" Target="../tables/table11.xml"/><Relationship Id="rId1" Type="http://schemas.openxmlformats.org/officeDocument/2006/relationships/printerSettings" Target="../printerSettings/printerSettings2.bin"/><Relationship Id="rId6" Type="http://schemas.openxmlformats.org/officeDocument/2006/relationships/table" Target="../tables/table15.xml"/><Relationship Id="rId11" Type="http://schemas.openxmlformats.org/officeDocument/2006/relationships/table" Target="../tables/table20.xml"/><Relationship Id="rId5" Type="http://schemas.openxmlformats.org/officeDocument/2006/relationships/table" Target="../tables/table14.xml"/><Relationship Id="rId10" Type="http://schemas.openxmlformats.org/officeDocument/2006/relationships/table" Target="../tables/table19.xml"/><Relationship Id="rId4" Type="http://schemas.openxmlformats.org/officeDocument/2006/relationships/table" Target="../tables/table13.xml"/><Relationship Id="rId9" Type="http://schemas.openxmlformats.org/officeDocument/2006/relationships/table" Target="../tables/table18.xml"/></Relationships>
</file>

<file path=xl/worksheets/_rels/sheet3.xml.rels><?xml version="1.0" encoding="UTF-8" standalone="yes"?>
<Relationships xmlns="http://schemas.openxmlformats.org/package/2006/relationships"><Relationship Id="rId8" Type="http://schemas.openxmlformats.org/officeDocument/2006/relationships/table" Target="../tables/table27.xml"/><Relationship Id="rId3" Type="http://schemas.openxmlformats.org/officeDocument/2006/relationships/table" Target="../tables/table22.xml"/><Relationship Id="rId7" Type="http://schemas.openxmlformats.org/officeDocument/2006/relationships/table" Target="../tables/table26.xml"/><Relationship Id="rId2" Type="http://schemas.openxmlformats.org/officeDocument/2006/relationships/table" Target="../tables/table21.xml"/><Relationship Id="rId1" Type="http://schemas.openxmlformats.org/officeDocument/2006/relationships/printerSettings" Target="../printerSettings/printerSettings3.bin"/><Relationship Id="rId6" Type="http://schemas.openxmlformats.org/officeDocument/2006/relationships/table" Target="../tables/table25.xml"/><Relationship Id="rId11" Type="http://schemas.openxmlformats.org/officeDocument/2006/relationships/table" Target="../tables/table30.xml"/><Relationship Id="rId5" Type="http://schemas.openxmlformats.org/officeDocument/2006/relationships/table" Target="../tables/table24.xml"/><Relationship Id="rId10" Type="http://schemas.openxmlformats.org/officeDocument/2006/relationships/table" Target="../tables/table29.xml"/><Relationship Id="rId4" Type="http://schemas.openxmlformats.org/officeDocument/2006/relationships/table" Target="../tables/table23.xml"/><Relationship Id="rId9" Type="http://schemas.openxmlformats.org/officeDocument/2006/relationships/table" Target="../tables/table28.xml"/></Relationships>
</file>

<file path=xl/worksheets/_rels/sheet4.xml.rels><?xml version="1.0" encoding="UTF-8" standalone="yes"?>
<Relationships xmlns="http://schemas.openxmlformats.org/package/2006/relationships"><Relationship Id="rId8" Type="http://schemas.openxmlformats.org/officeDocument/2006/relationships/table" Target="../tables/table37.xml"/><Relationship Id="rId3" Type="http://schemas.openxmlformats.org/officeDocument/2006/relationships/table" Target="../tables/table32.xml"/><Relationship Id="rId7" Type="http://schemas.openxmlformats.org/officeDocument/2006/relationships/table" Target="../tables/table36.xml"/><Relationship Id="rId2" Type="http://schemas.openxmlformats.org/officeDocument/2006/relationships/table" Target="../tables/table31.xml"/><Relationship Id="rId1" Type="http://schemas.openxmlformats.org/officeDocument/2006/relationships/printerSettings" Target="../printerSettings/printerSettings4.bin"/><Relationship Id="rId6" Type="http://schemas.openxmlformats.org/officeDocument/2006/relationships/table" Target="../tables/table35.xml"/><Relationship Id="rId11" Type="http://schemas.openxmlformats.org/officeDocument/2006/relationships/table" Target="../tables/table40.xml"/><Relationship Id="rId5" Type="http://schemas.openxmlformats.org/officeDocument/2006/relationships/table" Target="../tables/table34.xml"/><Relationship Id="rId10" Type="http://schemas.openxmlformats.org/officeDocument/2006/relationships/table" Target="../tables/table39.xml"/><Relationship Id="rId4" Type="http://schemas.openxmlformats.org/officeDocument/2006/relationships/table" Target="../tables/table33.xml"/><Relationship Id="rId9" Type="http://schemas.openxmlformats.org/officeDocument/2006/relationships/table" Target="../tables/table38.xml"/></Relationships>
</file>

<file path=xl/worksheets/_rels/sheet5.xml.rels><?xml version="1.0" encoding="UTF-8" standalone="yes"?>
<Relationships xmlns="http://schemas.openxmlformats.org/package/2006/relationships"><Relationship Id="rId8" Type="http://schemas.openxmlformats.org/officeDocument/2006/relationships/table" Target="../tables/table47.xml"/><Relationship Id="rId3" Type="http://schemas.openxmlformats.org/officeDocument/2006/relationships/table" Target="../tables/table42.xml"/><Relationship Id="rId7" Type="http://schemas.openxmlformats.org/officeDocument/2006/relationships/table" Target="../tables/table46.xml"/><Relationship Id="rId2" Type="http://schemas.openxmlformats.org/officeDocument/2006/relationships/table" Target="../tables/table41.xml"/><Relationship Id="rId1" Type="http://schemas.openxmlformats.org/officeDocument/2006/relationships/printerSettings" Target="../printerSettings/printerSettings5.bin"/><Relationship Id="rId6" Type="http://schemas.openxmlformats.org/officeDocument/2006/relationships/table" Target="../tables/table45.xml"/><Relationship Id="rId11" Type="http://schemas.openxmlformats.org/officeDocument/2006/relationships/table" Target="../tables/table50.xml"/><Relationship Id="rId5" Type="http://schemas.openxmlformats.org/officeDocument/2006/relationships/table" Target="../tables/table44.xml"/><Relationship Id="rId10" Type="http://schemas.openxmlformats.org/officeDocument/2006/relationships/table" Target="../tables/table49.xml"/><Relationship Id="rId4" Type="http://schemas.openxmlformats.org/officeDocument/2006/relationships/table" Target="../tables/table43.xml"/><Relationship Id="rId9" Type="http://schemas.openxmlformats.org/officeDocument/2006/relationships/table" Target="../tables/table48.xml"/></Relationships>
</file>

<file path=xl/worksheets/_rels/sheet6.xml.rels><?xml version="1.0" encoding="UTF-8" standalone="yes"?>
<Relationships xmlns="http://schemas.openxmlformats.org/package/2006/relationships"><Relationship Id="rId8" Type="http://schemas.openxmlformats.org/officeDocument/2006/relationships/table" Target="../tables/table57.xml"/><Relationship Id="rId3" Type="http://schemas.openxmlformats.org/officeDocument/2006/relationships/table" Target="../tables/table52.xml"/><Relationship Id="rId7" Type="http://schemas.openxmlformats.org/officeDocument/2006/relationships/table" Target="../tables/table56.xml"/><Relationship Id="rId2" Type="http://schemas.openxmlformats.org/officeDocument/2006/relationships/table" Target="../tables/table51.xml"/><Relationship Id="rId1" Type="http://schemas.openxmlformats.org/officeDocument/2006/relationships/printerSettings" Target="../printerSettings/printerSettings6.bin"/><Relationship Id="rId6" Type="http://schemas.openxmlformats.org/officeDocument/2006/relationships/table" Target="../tables/table55.xml"/><Relationship Id="rId11" Type="http://schemas.openxmlformats.org/officeDocument/2006/relationships/table" Target="../tables/table60.xml"/><Relationship Id="rId5" Type="http://schemas.openxmlformats.org/officeDocument/2006/relationships/table" Target="../tables/table54.xml"/><Relationship Id="rId10" Type="http://schemas.openxmlformats.org/officeDocument/2006/relationships/table" Target="../tables/table59.xml"/><Relationship Id="rId4" Type="http://schemas.openxmlformats.org/officeDocument/2006/relationships/table" Target="../tables/table53.xml"/><Relationship Id="rId9" Type="http://schemas.openxmlformats.org/officeDocument/2006/relationships/table" Target="../tables/table58.xml"/></Relationships>
</file>

<file path=xl/worksheets/_rels/sheet7.xml.rels><?xml version="1.0" encoding="UTF-8" standalone="yes"?>
<Relationships xmlns="http://schemas.openxmlformats.org/package/2006/relationships"><Relationship Id="rId8" Type="http://schemas.openxmlformats.org/officeDocument/2006/relationships/table" Target="../tables/table67.xml"/><Relationship Id="rId3" Type="http://schemas.openxmlformats.org/officeDocument/2006/relationships/table" Target="../tables/table62.xml"/><Relationship Id="rId7" Type="http://schemas.openxmlformats.org/officeDocument/2006/relationships/table" Target="../tables/table66.xml"/><Relationship Id="rId2" Type="http://schemas.openxmlformats.org/officeDocument/2006/relationships/table" Target="../tables/table61.xml"/><Relationship Id="rId1" Type="http://schemas.openxmlformats.org/officeDocument/2006/relationships/printerSettings" Target="../printerSettings/printerSettings7.bin"/><Relationship Id="rId6" Type="http://schemas.openxmlformats.org/officeDocument/2006/relationships/table" Target="../tables/table65.xml"/><Relationship Id="rId11" Type="http://schemas.openxmlformats.org/officeDocument/2006/relationships/table" Target="../tables/table70.xml"/><Relationship Id="rId5" Type="http://schemas.openxmlformats.org/officeDocument/2006/relationships/table" Target="../tables/table64.xml"/><Relationship Id="rId10" Type="http://schemas.openxmlformats.org/officeDocument/2006/relationships/table" Target="../tables/table69.xml"/><Relationship Id="rId4" Type="http://schemas.openxmlformats.org/officeDocument/2006/relationships/table" Target="../tables/table63.xml"/><Relationship Id="rId9" Type="http://schemas.openxmlformats.org/officeDocument/2006/relationships/table" Target="../tables/table68.xml"/></Relationships>
</file>

<file path=xl/worksheets/_rels/sheet8.xml.rels><?xml version="1.0" encoding="UTF-8" standalone="yes"?>
<Relationships xmlns="http://schemas.openxmlformats.org/package/2006/relationships"><Relationship Id="rId8" Type="http://schemas.openxmlformats.org/officeDocument/2006/relationships/table" Target="../tables/table77.xml"/><Relationship Id="rId3" Type="http://schemas.openxmlformats.org/officeDocument/2006/relationships/table" Target="../tables/table72.xml"/><Relationship Id="rId7" Type="http://schemas.openxmlformats.org/officeDocument/2006/relationships/table" Target="../tables/table76.xml"/><Relationship Id="rId2" Type="http://schemas.openxmlformats.org/officeDocument/2006/relationships/table" Target="../tables/table71.xml"/><Relationship Id="rId1" Type="http://schemas.openxmlformats.org/officeDocument/2006/relationships/printerSettings" Target="../printerSettings/printerSettings8.bin"/><Relationship Id="rId6" Type="http://schemas.openxmlformats.org/officeDocument/2006/relationships/table" Target="../tables/table75.xml"/><Relationship Id="rId11" Type="http://schemas.openxmlformats.org/officeDocument/2006/relationships/table" Target="../tables/table80.xml"/><Relationship Id="rId5" Type="http://schemas.openxmlformats.org/officeDocument/2006/relationships/table" Target="../tables/table74.xml"/><Relationship Id="rId10" Type="http://schemas.openxmlformats.org/officeDocument/2006/relationships/table" Target="../tables/table79.xml"/><Relationship Id="rId4" Type="http://schemas.openxmlformats.org/officeDocument/2006/relationships/table" Target="../tables/table73.xml"/><Relationship Id="rId9" Type="http://schemas.openxmlformats.org/officeDocument/2006/relationships/table" Target="../tables/table78.xml"/></Relationships>
</file>

<file path=xl/worksheets/_rels/sheet9.xml.rels><?xml version="1.0" encoding="UTF-8" standalone="yes"?>
<Relationships xmlns="http://schemas.openxmlformats.org/package/2006/relationships"><Relationship Id="rId8" Type="http://schemas.openxmlformats.org/officeDocument/2006/relationships/table" Target="../tables/table87.xml"/><Relationship Id="rId3" Type="http://schemas.openxmlformats.org/officeDocument/2006/relationships/table" Target="../tables/table82.xml"/><Relationship Id="rId7" Type="http://schemas.openxmlformats.org/officeDocument/2006/relationships/table" Target="../tables/table86.xml"/><Relationship Id="rId2" Type="http://schemas.openxmlformats.org/officeDocument/2006/relationships/table" Target="../tables/table81.xml"/><Relationship Id="rId1" Type="http://schemas.openxmlformats.org/officeDocument/2006/relationships/printerSettings" Target="../printerSettings/printerSettings9.bin"/><Relationship Id="rId6" Type="http://schemas.openxmlformats.org/officeDocument/2006/relationships/table" Target="../tables/table85.xml"/><Relationship Id="rId11" Type="http://schemas.openxmlformats.org/officeDocument/2006/relationships/table" Target="../tables/table90.xml"/><Relationship Id="rId5" Type="http://schemas.openxmlformats.org/officeDocument/2006/relationships/table" Target="../tables/table84.xml"/><Relationship Id="rId10" Type="http://schemas.openxmlformats.org/officeDocument/2006/relationships/table" Target="../tables/table89.xml"/><Relationship Id="rId4" Type="http://schemas.openxmlformats.org/officeDocument/2006/relationships/table" Target="../tables/table83.xml"/><Relationship Id="rId9" Type="http://schemas.openxmlformats.org/officeDocument/2006/relationships/table" Target="../tables/table88.xml"/></Relationships>
</file>

<file path=xl/worksheets/_rels/sheet10.xml.rels><?xml version="1.0" encoding="UTF-8" standalone="yes"?>
<Relationships xmlns="http://schemas.openxmlformats.org/package/2006/relationships"><Relationship Id="rId8" Type="http://schemas.openxmlformats.org/officeDocument/2006/relationships/table" Target="../tables/table97.xml"/><Relationship Id="rId3" Type="http://schemas.openxmlformats.org/officeDocument/2006/relationships/table" Target="../tables/table92.xml"/><Relationship Id="rId7" Type="http://schemas.openxmlformats.org/officeDocument/2006/relationships/table" Target="../tables/table96.xml"/><Relationship Id="rId2" Type="http://schemas.openxmlformats.org/officeDocument/2006/relationships/table" Target="../tables/table91.xml"/><Relationship Id="rId1" Type="http://schemas.openxmlformats.org/officeDocument/2006/relationships/printerSettings" Target="../printerSettings/printerSettings10.bin"/><Relationship Id="rId6" Type="http://schemas.openxmlformats.org/officeDocument/2006/relationships/table" Target="../tables/table95.xml"/><Relationship Id="rId11" Type="http://schemas.openxmlformats.org/officeDocument/2006/relationships/table" Target="../tables/table100.xml"/><Relationship Id="rId5" Type="http://schemas.openxmlformats.org/officeDocument/2006/relationships/table" Target="../tables/table94.xml"/><Relationship Id="rId10" Type="http://schemas.openxmlformats.org/officeDocument/2006/relationships/table" Target="../tables/table99.xml"/><Relationship Id="rId4" Type="http://schemas.openxmlformats.org/officeDocument/2006/relationships/table" Target="../tables/table93.xml"/><Relationship Id="rId9" Type="http://schemas.openxmlformats.org/officeDocument/2006/relationships/table" Target="../tables/table98.xml"/></Relationships>
</file>

<file path=xl/worksheets/_rels/sheet11.xml.rels><?xml version="1.0" encoding="UTF-8" standalone="yes"?>
<Relationships xmlns="http://schemas.openxmlformats.org/package/2006/relationships"><Relationship Id="rId8" Type="http://schemas.openxmlformats.org/officeDocument/2006/relationships/table" Target="../tables/table107.xml"/><Relationship Id="rId3" Type="http://schemas.openxmlformats.org/officeDocument/2006/relationships/table" Target="../tables/table102.xml"/><Relationship Id="rId7" Type="http://schemas.openxmlformats.org/officeDocument/2006/relationships/table" Target="../tables/table106.xml"/><Relationship Id="rId2" Type="http://schemas.openxmlformats.org/officeDocument/2006/relationships/table" Target="../tables/table101.xml"/><Relationship Id="rId1" Type="http://schemas.openxmlformats.org/officeDocument/2006/relationships/printerSettings" Target="../printerSettings/printerSettings11.bin"/><Relationship Id="rId6" Type="http://schemas.openxmlformats.org/officeDocument/2006/relationships/table" Target="../tables/table105.xml"/><Relationship Id="rId11" Type="http://schemas.openxmlformats.org/officeDocument/2006/relationships/table" Target="../tables/table110.xml"/><Relationship Id="rId5" Type="http://schemas.openxmlformats.org/officeDocument/2006/relationships/table" Target="../tables/table104.xml"/><Relationship Id="rId10" Type="http://schemas.openxmlformats.org/officeDocument/2006/relationships/table" Target="../tables/table109.xml"/><Relationship Id="rId4" Type="http://schemas.openxmlformats.org/officeDocument/2006/relationships/table" Target="../tables/table103.xml"/><Relationship Id="rId9" Type="http://schemas.openxmlformats.org/officeDocument/2006/relationships/table" Target="../tables/table108.xml"/></Relationships>
</file>

<file path=xl/worksheets/_rels/sheet12.xml.rels><?xml version="1.0" encoding="UTF-8" standalone="yes"?>
<Relationships xmlns="http://schemas.openxmlformats.org/package/2006/relationships"><Relationship Id="rId8" Type="http://schemas.openxmlformats.org/officeDocument/2006/relationships/table" Target="../tables/table117.xml"/><Relationship Id="rId3" Type="http://schemas.openxmlformats.org/officeDocument/2006/relationships/table" Target="../tables/table112.xml"/><Relationship Id="rId7" Type="http://schemas.openxmlformats.org/officeDocument/2006/relationships/table" Target="../tables/table116.xml"/><Relationship Id="rId2" Type="http://schemas.openxmlformats.org/officeDocument/2006/relationships/table" Target="../tables/table111.xml"/><Relationship Id="rId1" Type="http://schemas.openxmlformats.org/officeDocument/2006/relationships/printerSettings" Target="../printerSettings/printerSettings12.bin"/><Relationship Id="rId6" Type="http://schemas.openxmlformats.org/officeDocument/2006/relationships/table" Target="../tables/table115.xml"/><Relationship Id="rId11" Type="http://schemas.openxmlformats.org/officeDocument/2006/relationships/table" Target="../tables/table120.xml"/><Relationship Id="rId5" Type="http://schemas.openxmlformats.org/officeDocument/2006/relationships/table" Target="../tables/table114.xml"/><Relationship Id="rId10" Type="http://schemas.openxmlformats.org/officeDocument/2006/relationships/table" Target="../tables/table119.xml"/><Relationship Id="rId4" Type="http://schemas.openxmlformats.org/officeDocument/2006/relationships/table" Target="../tables/table113.xml"/><Relationship Id="rId9" Type="http://schemas.openxmlformats.org/officeDocument/2006/relationships/table" Target="../tables/table118.xml"/></Relationships>
</file>

<file path=xl/worksheets/_rels/sheet13.xml.rels><?xml version="1.0" encoding="UTF-8" standalone="yes"?>
<Relationships xmlns="http://schemas.openxmlformats.org/package/2006/relationships"><Relationship Id="rId8" Type="http://schemas.openxmlformats.org/officeDocument/2006/relationships/table" Target="../tables/table127.xml"/><Relationship Id="rId3" Type="http://schemas.openxmlformats.org/officeDocument/2006/relationships/table" Target="../tables/table122.xml"/><Relationship Id="rId7" Type="http://schemas.openxmlformats.org/officeDocument/2006/relationships/table" Target="../tables/table126.xml"/><Relationship Id="rId2" Type="http://schemas.openxmlformats.org/officeDocument/2006/relationships/table" Target="../tables/table121.xml"/><Relationship Id="rId1" Type="http://schemas.openxmlformats.org/officeDocument/2006/relationships/printerSettings" Target="../printerSettings/printerSettings13.bin"/><Relationship Id="rId6" Type="http://schemas.openxmlformats.org/officeDocument/2006/relationships/table" Target="../tables/table125.xml"/><Relationship Id="rId11" Type="http://schemas.openxmlformats.org/officeDocument/2006/relationships/table" Target="../tables/table130.xml"/><Relationship Id="rId5" Type="http://schemas.openxmlformats.org/officeDocument/2006/relationships/table" Target="../tables/table124.xml"/><Relationship Id="rId10" Type="http://schemas.openxmlformats.org/officeDocument/2006/relationships/table" Target="../tables/table129.xml"/><Relationship Id="rId4" Type="http://schemas.openxmlformats.org/officeDocument/2006/relationships/table" Target="../tables/table123.xml"/><Relationship Id="rId9" Type="http://schemas.openxmlformats.org/officeDocument/2006/relationships/table" Target="../tables/table128.xml"/></Relationships>
</file>

<file path=xl/worksheets/_rels/sheet14.xml.rels><?xml version="1.0" encoding="UTF-8" standalone="yes"?>
<Relationships xmlns="http://schemas.openxmlformats.org/package/2006/relationships"><Relationship Id="rId8" Type="http://schemas.openxmlformats.org/officeDocument/2006/relationships/table" Target="../tables/table137.xml"/><Relationship Id="rId3" Type="http://schemas.openxmlformats.org/officeDocument/2006/relationships/table" Target="../tables/table132.xml"/><Relationship Id="rId7" Type="http://schemas.openxmlformats.org/officeDocument/2006/relationships/table" Target="../tables/table136.xml"/><Relationship Id="rId2" Type="http://schemas.openxmlformats.org/officeDocument/2006/relationships/table" Target="../tables/table131.xml"/><Relationship Id="rId1" Type="http://schemas.openxmlformats.org/officeDocument/2006/relationships/printerSettings" Target="../printerSettings/printerSettings14.bin"/><Relationship Id="rId6" Type="http://schemas.openxmlformats.org/officeDocument/2006/relationships/table" Target="../tables/table135.xml"/><Relationship Id="rId11" Type="http://schemas.openxmlformats.org/officeDocument/2006/relationships/table" Target="../tables/table140.xml"/><Relationship Id="rId5" Type="http://schemas.openxmlformats.org/officeDocument/2006/relationships/table" Target="../tables/table134.xml"/><Relationship Id="rId10" Type="http://schemas.openxmlformats.org/officeDocument/2006/relationships/table" Target="../tables/table139.xml"/><Relationship Id="rId4" Type="http://schemas.openxmlformats.org/officeDocument/2006/relationships/table" Target="../tables/table133.xml"/><Relationship Id="rId9" Type="http://schemas.openxmlformats.org/officeDocument/2006/relationships/table" Target="../tables/table138.xml"/></Relationships>
</file>

<file path=xl/worksheets/_rels/sheet15.xml.rels><?xml version="1.0" encoding="UTF-8" standalone="yes"?>
<Relationships xmlns="http://schemas.openxmlformats.org/package/2006/relationships"><Relationship Id="rId8" Type="http://schemas.openxmlformats.org/officeDocument/2006/relationships/table" Target="../tables/table147.xml"/><Relationship Id="rId3" Type="http://schemas.openxmlformats.org/officeDocument/2006/relationships/table" Target="../tables/table142.xml"/><Relationship Id="rId7" Type="http://schemas.openxmlformats.org/officeDocument/2006/relationships/table" Target="../tables/table146.xml"/><Relationship Id="rId2" Type="http://schemas.openxmlformats.org/officeDocument/2006/relationships/table" Target="../tables/table141.xml"/><Relationship Id="rId1" Type="http://schemas.openxmlformats.org/officeDocument/2006/relationships/printerSettings" Target="../printerSettings/printerSettings15.bin"/><Relationship Id="rId6" Type="http://schemas.openxmlformats.org/officeDocument/2006/relationships/table" Target="../tables/table145.xml"/><Relationship Id="rId11" Type="http://schemas.openxmlformats.org/officeDocument/2006/relationships/table" Target="../tables/table150.xml"/><Relationship Id="rId5" Type="http://schemas.openxmlformats.org/officeDocument/2006/relationships/table" Target="../tables/table144.xml"/><Relationship Id="rId10" Type="http://schemas.openxmlformats.org/officeDocument/2006/relationships/table" Target="../tables/table149.xml"/><Relationship Id="rId4" Type="http://schemas.openxmlformats.org/officeDocument/2006/relationships/table" Target="../tables/table143.xml"/><Relationship Id="rId9" Type="http://schemas.openxmlformats.org/officeDocument/2006/relationships/table" Target="../tables/table148.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1.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52.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53.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54.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55.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156.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157.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158.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159.xml"/></Relationships>
</file>

<file path=xl/worksheets/_rels/sheet25.xml.rels><?xml version="1.0" encoding="UTF-8" standalone="yes"?>
<Relationships xmlns="http://schemas.openxmlformats.org/package/2006/relationships"><Relationship Id="rId2" Type="http://schemas.openxmlformats.org/officeDocument/2006/relationships/table" Target="../tables/table161.xml"/><Relationship Id="rId1" Type="http://schemas.openxmlformats.org/officeDocument/2006/relationships/table" Target="../tables/table16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A408C-EE1F-4BE4-988C-DF001F53BEA1}">
  <sheetPr codeName="Sheet1"/>
  <dimension ref="B2:H94"/>
  <sheetViews>
    <sheetView showGridLines="0" zoomScale="85" zoomScaleNormal="85" workbookViewId="0">
      <selection activeCell="D96" sqref="D96"/>
    </sheetView>
  </sheetViews>
  <sheetFormatPr defaultColWidth="8.85546875" defaultRowHeight="15" x14ac:dyDescent="0.25"/>
  <cols>
    <col min="3" max="3" width="33.28515625" customWidth="1"/>
    <col min="4" max="4" width="76" bestFit="1" customWidth="1"/>
    <col min="5" max="5" width="67.28515625" customWidth="1"/>
    <col min="6" max="6" width="89.140625" bestFit="1" customWidth="1"/>
    <col min="7" max="7" width="12.42578125" customWidth="1"/>
    <col min="8" max="8" width="15.42578125" customWidth="1"/>
    <col min="9" max="9" width="14.7109375" customWidth="1"/>
  </cols>
  <sheetData>
    <row r="2" spans="2:6" ht="26.25" x14ac:dyDescent="0.4">
      <c r="C2" s="8" t="str">
        <f>D7</f>
        <v>4051SPS</v>
      </c>
      <c r="D2" s="8" t="str">
        <f>D8</f>
        <v>PROFESSIONAL PRACTICE IN SPORT PSYCHOLOGY 1</v>
      </c>
    </row>
    <row r="3" spans="2:6" x14ac:dyDescent="0.25">
      <c r="B3" s="1"/>
      <c r="C3" s="1"/>
    </row>
    <row r="4" spans="2:6" x14ac:dyDescent="0.25">
      <c r="B4" s="2"/>
      <c r="C4" s="2"/>
    </row>
    <row r="5" spans="2:6" ht="18.75" x14ac:dyDescent="0.25">
      <c r="B5" s="2"/>
      <c r="C5" s="5" t="s">
        <v>0</v>
      </c>
    </row>
    <row r="6" spans="2:6" x14ac:dyDescent="0.25">
      <c r="B6" s="2"/>
      <c r="C6" s="3" t="s">
        <v>1</v>
      </c>
      <c r="D6" s="4" t="s">
        <v>2</v>
      </c>
      <c r="E6" s="4"/>
      <c r="F6" t="s">
        <v>3</v>
      </c>
    </row>
    <row r="7" spans="2:6" ht="45" x14ac:dyDescent="0.25">
      <c r="B7" s="2"/>
      <c r="C7" s="48" t="s">
        <v>4</v>
      </c>
      <c r="D7" s="9" t="s">
        <v>5</v>
      </c>
      <c r="E7" s="4"/>
      <c r="F7" s="21" t="s">
        <v>6</v>
      </c>
    </row>
    <row r="8" spans="2:6" ht="45" x14ac:dyDescent="0.25">
      <c r="B8" s="2"/>
      <c r="C8" s="48" t="s">
        <v>7</v>
      </c>
      <c r="D8" s="9" t="s">
        <v>8</v>
      </c>
      <c r="E8" s="4"/>
      <c r="F8" s="21" t="s">
        <v>9</v>
      </c>
    </row>
    <row r="9" spans="2:6" x14ac:dyDescent="0.25">
      <c r="C9" s="48" t="s">
        <v>10</v>
      </c>
      <c r="D9" s="9">
        <v>20</v>
      </c>
      <c r="E9" s="4"/>
    </row>
    <row r="10" spans="2:6" x14ac:dyDescent="0.25">
      <c r="C10" s="48" t="s">
        <v>11</v>
      </c>
      <c r="D10" s="9">
        <v>1</v>
      </c>
      <c r="E10" s="4"/>
      <c r="F10" t="s">
        <v>12</v>
      </c>
    </row>
    <row r="11" spans="2:6" ht="45" x14ac:dyDescent="0.25">
      <c r="C11" s="48" t="s">
        <v>13</v>
      </c>
      <c r="D11" s="9">
        <v>4</v>
      </c>
      <c r="E11" s="4"/>
      <c r="F11" s="21" t="s">
        <v>14</v>
      </c>
    </row>
    <row r="12" spans="2:6" ht="45" x14ac:dyDescent="0.25">
      <c r="C12" s="48" t="s">
        <v>15</v>
      </c>
      <c r="D12" s="9" t="s">
        <v>16</v>
      </c>
      <c r="E12" s="4"/>
      <c r="F12" s="21" t="s">
        <v>17</v>
      </c>
    </row>
    <row r="13" spans="2:6" ht="45" x14ac:dyDescent="0.25">
      <c r="C13" s="48" t="s">
        <v>18</v>
      </c>
      <c r="D13" s="9" t="s">
        <v>19</v>
      </c>
      <c r="E13" s="4"/>
      <c r="F13" s="21" t="s">
        <v>20</v>
      </c>
    </row>
    <row r="14" spans="2:6" x14ac:dyDescent="0.25">
      <c r="C14" s="48" t="s">
        <v>21</v>
      </c>
      <c r="D14" s="9" t="s">
        <v>22</v>
      </c>
      <c r="E14" s="4"/>
    </row>
    <row r="15" spans="2:6" x14ac:dyDescent="0.25">
      <c r="C15" s="3"/>
      <c r="D15" s="4"/>
      <c r="E15" s="4"/>
      <c r="F15" t="s">
        <v>23</v>
      </c>
    </row>
    <row r="16" spans="2:6" ht="120" x14ac:dyDescent="0.25">
      <c r="C16" s="3"/>
      <c r="D16" s="4"/>
      <c r="E16" s="4"/>
      <c r="F16" s="21" t="s">
        <v>24</v>
      </c>
    </row>
    <row r="17" spans="3:6" ht="18.75" x14ac:dyDescent="0.25">
      <c r="C17" s="5" t="s">
        <v>25</v>
      </c>
      <c r="D17" s="4"/>
      <c r="E17" s="4"/>
      <c r="F17" s="12"/>
    </row>
    <row r="18" spans="3:6" x14ac:dyDescent="0.25">
      <c r="C18" s="3" t="s">
        <v>26</v>
      </c>
      <c r="D18" s="1" t="s">
        <v>25</v>
      </c>
      <c r="E18" s="4"/>
      <c r="F18" s="12"/>
    </row>
    <row r="19" spans="3:6" x14ac:dyDescent="0.25">
      <c r="C19" s="48" t="s">
        <v>27</v>
      </c>
      <c r="D19" s="10">
        <v>22</v>
      </c>
      <c r="E19" s="4"/>
      <c r="F19" s="12"/>
    </row>
    <row r="20" spans="3:6" x14ac:dyDescent="0.25">
      <c r="C20" s="48" t="s">
        <v>28</v>
      </c>
      <c r="D20" s="10">
        <v>10</v>
      </c>
      <c r="E20" s="4"/>
      <c r="F20" s="12"/>
    </row>
    <row r="21" spans="3:6" x14ac:dyDescent="0.25">
      <c r="C21" s="48" t="s">
        <v>29</v>
      </c>
      <c r="D21" s="10">
        <v>4</v>
      </c>
      <c r="E21" s="4"/>
    </row>
    <row r="22" spans="3:6" x14ac:dyDescent="0.25">
      <c r="C22" s="48" t="s">
        <v>30</v>
      </c>
      <c r="D22" s="10">
        <v>8</v>
      </c>
      <c r="E22" s="4"/>
      <c r="F22" t="s">
        <v>31</v>
      </c>
    </row>
    <row r="23" spans="3:6" ht="30" x14ac:dyDescent="0.25">
      <c r="C23" s="48" t="s">
        <v>32</v>
      </c>
      <c r="D23" s="10">
        <v>0</v>
      </c>
      <c r="E23" s="4"/>
      <c r="F23" s="21" t="s">
        <v>33</v>
      </c>
    </row>
    <row r="24" spans="3:6" x14ac:dyDescent="0.25">
      <c r="C24" s="48" t="s">
        <v>34</v>
      </c>
      <c r="D24" s="1">
        <f>SUM(D19:D23)</f>
        <v>44</v>
      </c>
      <c r="E24" s="4"/>
      <c r="F24" s="12"/>
    </row>
    <row r="25" spans="3:6" x14ac:dyDescent="0.25">
      <c r="F25" s="12"/>
    </row>
    <row r="26" spans="3:6" x14ac:dyDescent="0.25">
      <c r="F26" s="12"/>
    </row>
    <row r="27" spans="3:6" ht="18.75" x14ac:dyDescent="0.25">
      <c r="C27" s="5" t="s">
        <v>35</v>
      </c>
      <c r="D27" s="7" t="s">
        <v>36</v>
      </c>
      <c r="F27" s="12"/>
    </row>
    <row r="28" spans="3:6" x14ac:dyDescent="0.25">
      <c r="C28" s="3" t="s">
        <v>37</v>
      </c>
      <c r="D28" s="3" t="s">
        <v>38</v>
      </c>
      <c r="E28" s="3"/>
      <c r="F28" s="12"/>
    </row>
    <row r="29" spans="3:6" ht="30" x14ac:dyDescent="0.25">
      <c r="C29" s="48" t="s">
        <v>39</v>
      </c>
      <c r="D29" s="9" t="s">
        <v>40</v>
      </c>
      <c r="E29" s="4"/>
      <c r="F29" s="12"/>
    </row>
    <row r="30" spans="3:6" ht="45" x14ac:dyDescent="0.25">
      <c r="C30" s="48" t="s">
        <v>41</v>
      </c>
      <c r="D30" s="9" t="s">
        <v>42</v>
      </c>
      <c r="E30" s="4"/>
      <c r="F30" s="12"/>
    </row>
    <row r="31" spans="3:6" ht="45" x14ac:dyDescent="0.25">
      <c r="C31" s="48" t="s">
        <v>43</v>
      </c>
      <c r="D31" s="9" t="s">
        <v>44</v>
      </c>
      <c r="E31" s="4"/>
      <c r="F31" s="12"/>
    </row>
    <row r="32" spans="3:6" ht="30" x14ac:dyDescent="0.25">
      <c r="C32" s="48" t="s">
        <v>45</v>
      </c>
      <c r="D32" s="9" t="s">
        <v>46</v>
      </c>
      <c r="E32" s="4"/>
      <c r="F32" s="12"/>
    </row>
    <row r="33" spans="3:8" ht="30" x14ac:dyDescent="0.25">
      <c r="C33" s="48" t="s">
        <v>47</v>
      </c>
      <c r="D33" s="9" t="s">
        <v>48</v>
      </c>
      <c r="E33" s="4"/>
      <c r="F33" s="12"/>
    </row>
    <row r="36" spans="3:8" ht="18.75" x14ac:dyDescent="0.25">
      <c r="C36" s="5" t="s">
        <v>49</v>
      </c>
    </row>
    <row r="37" spans="3:8" x14ac:dyDescent="0.25">
      <c r="C37" s="3" t="s">
        <v>50</v>
      </c>
      <c r="D37" s="3" t="s">
        <v>51</v>
      </c>
      <c r="E37" s="3" t="s">
        <v>52</v>
      </c>
      <c r="F37" s="3" t="s">
        <v>53</v>
      </c>
      <c r="G37" s="3" t="s">
        <v>54</v>
      </c>
      <c r="H37" s="3" t="s">
        <v>55</v>
      </c>
    </row>
    <row r="38" spans="3:8" x14ac:dyDescent="0.25">
      <c r="C38" s="48" t="s">
        <v>56</v>
      </c>
      <c r="D38" s="9" t="s">
        <v>57</v>
      </c>
      <c r="E38" s="9" t="s">
        <v>58</v>
      </c>
      <c r="F38" s="9" t="s">
        <v>59</v>
      </c>
      <c r="G38" s="11">
        <v>0.5</v>
      </c>
      <c r="H38" s="9">
        <v>6</v>
      </c>
    </row>
    <row r="39" spans="3:8" x14ac:dyDescent="0.25">
      <c r="C39" s="48" t="s">
        <v>60</v>
      </c>
      <c r="D39" s="12" t="s">
        <v>57</v>
      </c>
      <c r="E39" s="9" t="s">
        <v>61</v>
      </c>
      <c r="F39" s="9" t="s">
        <v>62</v>
      </c>
      <c r="G39" s="11">
        <v>0.5</v>
      </c>
      <c r="H39" s="9">
        <v>12</v>
      </c>
    </row>
    <row r="40" spans="3:8" x14ac:dyDescent="0.25">
      <c r="C40" s="48" t="s">
        <v>63</v>
      </c>
      <c r="D40" s="12"/>
      <c r="E40" s="12"/>
      <c r="F40" s="12"/>
      <c r="G40" s="12"/>
      <c r="H40" s="12"/>
    </row>
    <row r="41" spans="3:8" x14ac:dyDescent="0.25">
      <c r="C41" s="48" t="s">
        <v>64</v>
      </c>
      <c r="D41" s="12"/>
      <c r="E41" s="12"/>
      <c r="F41" s="12"/>
      <c r="G41" s="12"/>
      <c r="H41" s="12"/>
    </row>
    <row r="42" spans="3:8" x14ac:dyDescent="0.25">
      <c r="C42" s="3"/>
    </row>
    <row r="44" spans="3:8" ht="18.75" x14ac:dyDescent="0.25">
      <c r="C44" s="5" t="s">
        <v>65</v>
      </c>
      <c r="D44" s="7"/>
    </row>
    <row r="45" spans="3:8" x14ac:dyDescent="0.25">
      <c r="C45" s="1" t="s">
        <v>50</v>
      </c>
      <c r="D45" s="1" t="s">
        <v>37</v>
      </c>
      <c r="E45" s="1" t="s">
        <v>66</v>
      </c>
      <c r="F45" s="1" t="s">
        <v>67</v>
      </c>
    </row>
    <row r="46" spans="3:8" x14ac:dyDescent="0.25">
      <c r="C46" s="13" t="s">
        <v>56</v>
      </c>
      <c r="D46" s="12" t="s">
        <v>39</v>
      </c>
      <c r="E46" s="12" t="s">
        <v>68</v>
      </c>
      <c r="F46" s="12" t="s">
        <v>69</v>
      </c>
    </row>
    <row r="47" spans="3:8" x14ac:dyDescent="0.25">
      <c r="C47" s="13" t="s">
        <v>56</v>
      </c>
      <c r="D47" s="12" t="s">
        <v>39</v>
      </c>
      <c r="E47" s="12" t="s">
        <v>70</v>
      </c>
      <c r="F47" s="12" t="s">
        <v>71</v>
      </c>
    </row>
    <row r="48" spans="3:8" x14ac:dyDescent="0.25">
      <c r="C48" s="13" t="s">
        <v>56</v>
      </c>
      <c r="D48" s="12" t="s">
        <v>45</v>
      </c>
      <c r="E48" s="12" t="s">
        <v>72</v>
      </c>
      <c r="F48" s="12" t="s">
        <v>73</v>
      </c>
    </row>
    <row r="49" spans="3:6" x14ac:dyDescent="0.25">
      <c r="C49" s="13" t="s">
        <v>56</v>
      </c>
      <c r="D49" s="12" t="s">
        <v>45</v>
      </c>
      <c r="E49" s="12" t="s">
        <v>74</v>
      </c>
      <c r="F49" s="12" t="s">
        <v>75</v>
      </c>
    </row>
    <row r="50" spans="3:6" x14ac:dyDescent="0.25">
      <c r="C50" s="13" t="s">
        <v>60</v>
      </c>
      <c r="D50" s="12" t="s">
        <v>41</v>
      </c>
      <c r="E50" s="12" t="s">
        <v>76</v>
      </c>
      <c r="F50" s="12" t="s">
        <v>77</v>
      </c>
    </row>
    <row r="51" spans="3:6" x14ac:dyDescent="0.25">
      <c r="C51" s="13" t="s">
        <v>60</v>
      </c>
      <c r="D51" s="12" t="s">
        <v>43</v>
      </c>
      <c r="E51" s="12" t="s">
        <v>78</v>
      </c>
      <c r="F51" s="12" t="s">
        <v>79</v>
      </c>
    </row>
    <row r="52" spans="3:6" x14ac:dyDescent="0.25">
      <c r="C52" s="13" t="s">
        <v>60</v>
      </c>
      <c r="D52" s="12" t="s">
        <v>43</v>
      </c>
      <c r="E52" s="12" t="s">
        <v>80</v>
      </c>
      <c r="F52" s="12" t="s">
        <v>81</v>
      </c>
    </row>
    <row r="53" spans="3:6" x14ac:dyDescent="0.25">
      <c r="C53" s="13" t="s">
        <v>60</v>
      </c>
      <c r="D53" s="12" t="s">
        <v>43</v>
      </c>
      <c r="E53" s="12" t="s">
        <v>82</v>
      </c>
      <c r="F53" s="12" t="s">
        <v>83</v>
      </c>
    </row>
    <row r="54" spans="3:6" x14ac:dyDescent="0.25">
      <c r="C54" s="13" t="s">
        <v>60</v>
      </c>
      <c r="D54" s="12" t="s">
        <v>47</v>
      </c>
      <c r="E54" s="12" t="s">
        <v>84</v>
      </c>
      <c r="F54" s="12" t="s">
        <v>85</v>
      </c>
    </row>
    <row r="55" spans="3:6" x14ac:dyDescent="0.25">
      <c r="C55" s="13" t="s">
        <v>60</v>
      </c>
      <c r="D55" s="12" t="s">
        <v>47</v>
      </c>
      <c r="E55" s="12" t="s">
        <v>86</v>
      </c>
      <c r="F55" s="12" t="s">
        <v>87</v>
      </c>
    </row>
    <row r="56" spans="3:6" x14ac:dyDescent="0.25">
      <c r="C56" s="13" t="s">
        <v>60</v>
      </c>
      <c r="D56" s="12" t="s">
        <v>47</v>
      </c>
      <c r="E56" s="12" t="s">
        <v>84</v>
      </c>
      <c r="F56" s="12" t="s">
        <v>88</v>
      </c>
    </row>
    <row r="57" spans="3:6" x14ac:dyDescent="0.25">
      <c r="C57" s="13" t="s">
        <v>60</v>
      </c>
      <c r="D57" s="12" t="s">
        <v>47</v>
      </c>
      <c r="E57" s="12" t="s">
        <v>84</v>
      </c>
      <c r="F57" s="12" t="s">
        <v>89</v>
      </c>
    </row>
    <row r="58" spans="3:6" x14ac:dyDescent="0.25">
      <c r="C58" s="13"/>
      <c r="D58" s="12"/>
      <c r="E58" s="12"/>
      <c r="F58" s="12"/>
    </row>
    <row r="59" spans="3:6" x14ac:dyDescent="0.25">
      <c r="C59" s="13"/>
      <c r="D59" s="12"/>
      <c r="E59" s="12"/>
      <c r="F59" s="12"/>
    </row>
    <row r="60" spans="3:6" x14ac:dyDescent="0.25">
      <c r="C60" s="13"/>
      <c r="D60" s="12"/>
      <c r="E60" s="12"/>
      <c r="F60" s="12"/>
    </row>
    <row r="61" spans="3:6" x14ac:dyDescent="0.25">
      <c r="C61" s="13"/>
      <c r="D61" s="12"/>
      <c r="E61" s="12"/>
      <c r="F61" s="12"/>
    </row>
    <row r="62" spans="3:6" x14ac:dyDescent="0.25">
      <c r="C62" s="13"/>
      <c r="D62" s="12"/>
      <c r="E62" s="12"/>
      <c r="F62" s="12"/>
    </row>
    <row r="63" spans="3:6" x14ac:dyDescent="0.25">
      <c r="C63" s="13"/>
      <c r="D63" s="12"/>
      <c r="E63" s="12"/>
      <c r="F63" s="12"/>
    </row>
    <row r="64" spans="3:6" x14ac:dyDescent="0.25">
      <c r="C64" s="13"/>
      <c r="D64" s="12"/>
      <c r="E64" s="12"/>
      <c r="F64" s="12"/>
    </row>
    <row r="65" spans="2:6" x14ac:dyDescent="0.25">
      <c r="C65" s="13"/>
      <c r="D65" s="12"/>
      <c r="E65" s="12"/>
      <c r="F65" s="12"/>
    </row>
    <row r="66" spans="2:6" x14ac:dyDescent="0.25">
      <c r="C66" s="13"/>
      <c r="D66" s="12"/>
      <c r="E66" s="12"/>
      <c r="F66" s="12"/>
    </row>
    <row r="69" spans="2:6" ht="18.75" x14ac:dyDescent="0.25">
      <c r="C69" s="5" t="s">
        <v>90</v>
      </c>
    </row>
    <row r="70" spans="2:6" x14ac:dyDescent="0.25">
      <c r="B70" t="s">
        <v>91</v>
      </c>
      <c r="C70" s="1" t="s">
        <v>92</v>
      </c>
      <c r="D70" s="1" t="s">
        <v>93</v>
      </c>
      <c r="E70" s="1" t="s">
        <v>94</v>
      </c>
      <c r="F70" s="1" t="s">
        <v>95</v>
      </c>
    </row>
    <row r="71" spans="2:6" x14ac:dyDescent="0.25">
      <c r="B71" s="49">
        <v>1</v>
      </c>
      <c r="C71" s="50">
        <v>1</v>
      </c>
      <c r="D71" s="9" t="s">
        <v>96</v>
      </c>
      <c r="E71" s="9" t="s">
        <v>97</v>
      </c>
      <c r="F71" s="9"/>
    </row>
    <row r="72" spans="2:6" x14ac:dyDescent="0.25">
      <c r="B72" s="49">
        <v>1</v>
      </c>
      <c r="C72" s="50">
        <v>2</v>
      </c>
      <c r="D72" s="9" t="s">
        <v>98</v>
      </c>
      <c r="E72" s="9" t="s">
        <v>99</v>
      </c>
      <c r="F72" s="9"/>
    </row>
    <row r="73" spans="2:6" x14ac:dyDescent="0.25">
      <c r="B73" s="49">
        <v>1</v>
      </c>
      <c r="C73" s="50">
        <v>3</v>
      </c>
      <c r="D73" s="9" t="s">
        <v>100</v>
      </c>
      <c r="E73" s="9" t="s">
        <v>97</v>
      </c>
      <c r="F73" s="9"/>
    </row>
    <row r="74" spans="2:6" x14ac:dyDescent="0.25">
      <c r="B74" s="49">
        <v>1</v>
      </c>
      <c r="C74" s="50">
        <v>4</v>
      </c>
      <c r="D74" s="9" t="s">
        <v>101</v>
      </c>
      <c r="E74" s="9" t="s">
        <v>99</v>
      </c>
      <c r="F74" s="9"/>
    </row>
    <row r="75" spans="2:6" x14ac:dyDescent="0.25">
      <c r="B75" s="49">
        <v>1</v>
      </c>
      <c r="C75" s="50">
        <v>5</v>
      </c>
      <c r="D75" s="9" t="s">
        <v>102</v>
      </c>
      <c r="E75" s="9" t="s">
        <v>97</v>
      </c>
      <c r="F75" s="9"/>
    </row>
    <row r="76" spans="2:6" x14ac:dyDescent="0.25">
      <c r="B76" s="49">
        <v>1</v>
      </c>
      <c r="C76" s="50">
        <v>6</v>
      </c>
      <c r="D76" s="9" t="s">
        <v>103</v>
      </c>
      <c r="E76" s="9" t="s">
        <v>104</v>
      </c>
      <c r="F76" s="9"/>
    </row>
    <row r="77" spans="2:6" x14ac:dyDescent="0.25">
      <c r="B77" s="49">
        <v>1</v>
      </c>
      <c r="C77" s="50">
        <v>7</v>
      </c>
      <c r="D77" s="9" t="s">
        <v>105</v>
      </c>
      <c r="E77" s="9" t="s">
        <v>106</v>
      </c>
      <c r="F77" s="9"/>
    </row>
    <row r="78" spans="2:6" x14ac:dyDescent="0.25">
      <c r="B78" s="49">
        <v>1</v>
      </c>
      <c r="C78" s="50">
        <v>8</v>
      </c>
      <c r="D78" s="9" t="s">
        <v>107</v>
      </c>
      <c r="E78" s="9" t="s">
        <v>99</v>
      </c>
      <c r="F78" s="9"/>
    </row>
    <row r="79" spans="2:6" x14ac:dyDescent="0.25">
      <c r="B79" s="49">
        <v>1</v>
      </c>
      <c r="C79" s="50">
        <v>9</v>
      </c>
      <c r="D79" s="9" t="s">
        <v>108</v>
      </c>
      <c r="E79" s="9" t="s">
        <v>99</v>
      </c>
      <c r="F79" s="9"/>
    </row>
    <row r="80" spans="2:6" x14ac:dyDescent="0.25">
      <c r="B80" s="49">
        <v>1</v>
      </c>
      <c r="C80" s="50">
        <v>10</v>
      </c>
      <c r="D80" s="9" t="s">
        <v>109</v>
      </c>
      <c r="E80" s="9" t="s">
        <v>97</v>
      </c>
      <c r="F80" s="9"/>
    </row>
    <row r="81" spans="2:6" x14ac:dyDescent="0.25">
      <c r="B81" s="49">
        <v>1</v>
      </c>
      <c r="C81" s="50">
        <v>11</v>
      </c>
      <c r="D81" s="9" t="s">
        <v>110</v>
      </c>
      <c r="E81" s="9" t="s">
        <v>104</v>
      </c>
      <c r="F81" s="9"/>
    </row>
    <row r="82" spans="2:6" x14ac:dyDescent="0.25">
      <c r="B82" s="49">
        <v>1</v>
      </c>
      <c r="C82" s="50">
        <v>12</v>
      </c>
      <c r="D82" s="9" t="s">
        <v>111</v>
      </c>
      <c r="E82" s="9" t="s">
        <v>112</v>
      </c>
      <c r="F82" s="9"/>
    </row>
    <row r="83" spans="2:6" x14ac:dyDescent="0.25">
      <c r="B83" s="49">
        <v>2</v>
      </c>
      <c r="C83" s="50">
        <v>1</v>
      </c>
      <c r="D83" s="9"/>
      <c r="E83" s="9"/>
      <c r="F83" s="9"/>
    </row>
    <row r="84" spans="2:6" x14ac:dyDescent="0.25">
      <c r="B84" s="49">
        <v>2</v>
      </c>
      <c r="C84" s="50">
        <v>2</v>
      </c>
      <c r="D84" s="9"/>
      <c r="E84" s="9"/>
      <c r="F84" s="9"/>
    </row>
    <row r="85" spans="2:6" x14ac:dyDescent="0.25">
      <c r="B85" s="49">
        <v>2</v>
      </c>
      <c r="C85" s="50">
        <v>3</v>
      </c>
      <c r="D85" s="9"/>
      <c r="E85" s="9"/>
      <c r="F85" s="9"/>
    </row>
    <row r="86" spans="2:6" x14ac:dyDescent="0.25">
      <c r="B86" s="49">
        <v>2</v>
      </c>
      <c r="C86" s="50">
        <v>4</v>
      </c>
      <c r="D86" s="9"/>
      <c r="E86" s="9"/>
      <c r="F86" s="9"/>
    </row>
    <row r="87" spans="2:6" x14ac:dyDescent="0.25">
      <c r="B87" s="49">
        <v>2</v>
      </c>
      <c r="C87" s="50">
        <v>5</v>
      </c>
      <c r="D87" s="9"/>
      <c r="E87" s="9"/>
      <c r="F87" s="9"/>
    </row>
    <row r="88" spans="2:6" x14ac:dyDescent="0.25">
      <c r="B88" s="49">
        <v>2</v>
      </c>
      <c r="C88" s="50">
        <v>6</v>
      </c>
      <c r="D88" s="9"/>
      <c r="E88" s="9"/>
      <c r="F88" s="9"/>
    </row>
    <row r="89" spans="2:6" x14ac:dyDescent="0.25">
      <c r="B89" s="49">
        <v>2</v>
      </c>
      <c r="C89" s="50">
        <v>7</v>
      </c>
      <c r="D89" s="9"/>
      <c r="E89" s="9"/>
      <c r="F89" s="9"/>
    </row>
    <row r="90" spans="2:6" x14ac:dyDescent="0.25">
      <c r="B90" s="49">
        <v>2</v>
      </c>
      <c r="C90" s="50">
        <v>8</v>
      </c>
      <c r="D90" s="9"/>
      <c r="E90" s="9"/>
      <c r="F90" s="9"/>
    </row>
    <row r="91" spans="2:6" x14ac:dyDescent="0.25">
      <c r="B91" s="49">
        <v>2</v>
      </c>
      <c r="C91" s="50">
        <v>9</v>
      </c>
      <c r="D91" s="9"/>
      <c r="E91" s="9"/>
      <c r="F91" s="9"/>
    </row>
    <row r="92" spans="2:6" x14ac:dyDescent="0.25">
      <c r="B92" s="49">
        <v>2</v>
      </c>
      <c r="C92" s="50">
        <v>10</v>
      </c>
      <c r="D92" s="9"/>
      <c r="E92" s="9"/>
      <c r="F92" s="9"/>
    </row>
    <row r="93" spans="2:6" x14ac:dyDescent="0.25">
      <c r="B93" s="49">
        <v>2</v>
      </c>
      <c r="C93" s="50">
        <v>11</v>
      </c>
      <c r="D93" s="9"/>
      <c r="E93" s="9"/>
      <c r="F93" s="9"/>
    </row>
    <row r="94" spans="2:6" x14ac:dyDescent="0.25">
      <c r="B94" s="49">
        <v>2</v>
      </c>
      <c r="C94" s="50">
        <v>12</v>
      </c>
      <c r="D94" s="9"/>
      <c r="E94" s="9"/>
      <c r="F94" s="9"/>
    </row>
  </sheetData>
  <sheetProtection sheet="1" objects="1" scenarios="1" formatCells="0" formatColumns="0" formatRows="0" insertHyperlinks="0"/>
  <dataValidations count="4">
    <dataValidation type="whole" showInputMessage="1" showErrorMessage="1" error="This is not a realistic number of contact hours please reduce" sqref="D20:D23" xr:uid="{228872C6-6A06-4732-B8A1-E6B94CB81102}">
      <formula1>0</formula1>
      <formula2>80</formula2>
    </dataValidation>
    <dataValidation type="whole" showInputMessage="1" showErrorMessage="1" error="This is not a realistic number of contact hours please change" sqref="D19" xr:uid="{F79CE569-989B-479F-8826-338510A79154}">
      <formula1>0</formula1>
      <formula2>80</formula2>
    </dataValidation>
    <dataValidation type="list" allowBlank="1" showInputMessage="1" showErrorMessage="1" sqref="E38:E41" xr:uid="{6E90B7E5-5035-4F89-B270-578FA2975164}">
      <formula1>INDIRECT("LISTAssess[Assessment Specific]")</formula1>
    </dataValidation>
    <dataValidation type="list" allowBlank="1" showInputMessage="1" showErrorMessage="1" sqref="F46:F66" xr:uid="{0A41CE66-A84F-4E65-BA05-CA863B7746FB}">
      <formula1>INDIRECT(VLOOKUP($E46, SkillNameMap, 2, FALSE))</formula1>
    </dataValidation>
  </dataValidations>
  <pageMargins left="0.7" right="0.7" top="0.75" bottom="0.75" header="0.3" footer="0.3"/>
  <pageSetup paperSize="9" orientation="portrait" horizontalDpi="4294967293" verticalDpi="0" r:id="rId1"/>
  <tableParts count="10">
    <tablePart r:id="rId2"/>
    <tablePart r:id="rId3"/>
    <tablePart r:id="rId4"/>
    <tablePart r:id="rId5"/>
    <tablePart r:id="rId6"/>
    <tablePart r:id="rId7"/>
    <tablePart r:id="rId8"/>
    <tablePart r:id="rId9"/>
    <tablePart r:id="rId10"/>
    <tablePart r:id="rId11"/>
  </tableParts>
  <extLst>
    <ext xmlns:x14="http://schemas.microsoft.com/office/spreadsheetml/2009/9/main" uri="{CCE6A557-97BC-4b89-ADB6-D9C93CAAB3DF}">
      <x14:dataValidations xmlns:xm="http://schemas.microsoft.com/office/excel/2006/main" count="7">
        <x14:dataValidation type="list" allowBlank="1" showInputMessage="1" showErrorMessage="1" xr:uid="{261BA6EE-88F7-427A-BCD6-8C9348F9245C}">
          <x14:formula1>
            <xm:f>LISTS!$C$26:$C$37</xm:f>
          </x14:formula1>
          <xm:sqref>D14</xm:sqref>
        </x14:dataValidation>
        <x14:dataValidation type="list" allowBlank="1" showInputMessage="1" showErrorMessage="1" xr:uid="{BE38852D-057D-456A-8583-51979A3F9408}">
          <x14:formula1>
            <xm:f>LISTS!$C$17:$C$22</xm:f>
          </x14:formula1>
          <xm:sqref>D13</xm:sqref>
        </x14:dataValidation>
        <x14:dataValidation type="list" allowBlank="1" showInputMessage="1" showErrorMessage="1" xr:uid="{09331423-59E2-4171-9695-7BE4C02AFE53}">
          <x14:formula1>
            <xm:f>LISTS!$C$7:$C$9</xm:f>
          </x14:formula1>
          <xm:sqref>D10</xm:sqref>
        </x14:dataValidation>
        <x14:dataValidation type="list" allowBlank="1" showInputMessage="1" showErrorMessage="1" xr:uid="{2507034E-37B5-446A-AFCD-F99DE72488BA}">
          <x14:formula1>
            <xm:f>LISTS!$C$11:$C$15</xm:f>
          </x14:formula1>
          <xm:sqref>D11</xm:sqref>
        </x14:dataValidation>
        <x14:dataValidation type="list" allowBlank="1" showInputMessage="1" showErrorMessage="1" xr:uid="{431E3138-B78E-40DB-8906-C5B6A90BA4A5}">
          <x14:formula1>
            <xm:f>LISTS!$J$7:$J$16</xm:f>
          </x14:formula1>
          <xm:sqref>E46:E66</xm:sqref>
        </x14:dataValidation>
        <x14:dataValidation type="list" allowBlank="1" showInputMessage="1" showErrorMessage="1" xr:uid="{A7BB251E-C289-4AFE-837E-75E3985C6AC4}">
          <x14:formula1>
            <xm:f>LISTS!$G$7:$G$11</xm:f>
          </x14:formula1>
          <xm:sqref>D41:D42 D38:D39</xm:sqref>
        </x14:dataValidation>
        <x14:dataValidation type="list" allowBlank="1" showInputMessage="1" showErrorMessage="1" xr:uid="{91A4DB0E-9988-4C67-88FE-0DC4AE014787}">
          <x14:formula1>
            <xm:f>LISTS!$E$7:$E$11</xm:f>
          </x14:formula1>
          <xm:sqref>D46:D51 D53:D66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FDFE9-F6DD-4E3D-9B0A-EE0E4450ED7C}">
  <sheetPr codeName="Sheet2"/>
  <dimension ref="B2:H94"/>
  <sheetViews>
    <sheetView showGridLines="0" topLeftCell="A29" zoomScale="85" zoomScaleNormal="85" workbookViewId="0">
      <selection activeCell="E11" sqref="E11"/>
    </sheetView>
  </sheetViews>
  <sheetFormatPr defaultColWidth="8.85546875" defaultRowHeight="15" x14ac:dyDescent="0.25"/>
  <cols>
    <col min="3" max="3" width="33.28515625" customWidth="1"/>
    <col min="4" max="4" width="51.42578125" customWidth="1"/>
    <col min="5" max="5" width="67.28515625" customWidth="1"/>
    <col min="6" max="6" width="63.140625" customWidth="1"/>
    <col min="7" max="7" width="12.42578125" customWidth="1"/>
    <col min="8" max="8" width="15.42578125" customWidth="1"/>
    <col min="9" max="9" width="14.7109375" customWidth="1"/>
  </cols>
  <sheetData>
    <row r="2" spans="2:6" ht="26.25" x14ac:dyDescent="0.4">
      <c r="C2" s="8" t="str">
        <f>D7</f>
        <v>4052SPS</v>
      </c>
      <c r="D2" s="8" t="str">
        <f>D8</f>
        <v xml:space="preserve">Introduction to Developmental Psychology and Individual Differences </v>
      </c>
    </row>
    <row r="3" spans="2:6" x14ac:dyDescent="0.25">
      <c r="B3" s="1"/>
      <c r="C3" s="1"/>
    </row>
    <row r="4" spans="2:6" x14ac:dyDescent="0.25">
      <c r="B4" s="2"/>
      <c r="C4" s="2"/>
    </row>
    <row r="5" spans="2:6" ht="18.75" x14ac:dyDescent="0.25">
      <c r="B5" s="2"/>
      <c r="C5" s="5" t="s">
        <v>0</v>
      </c>
    </row>
    <row r="6" spans="2:6" x14ac:dyDescent="0.25">
      <c r="B6" s="2"/>
      <c r="C6" s="3" t="s">
        <v>1</v>
      </c>
      <c r="D6" s="4" t="s">
        <v>2</v>
      </c>
      <c r="E6" s="4"/>
      <c r="F6" t="s">
        <v>3</v>
      </c>
    </row>
    <row r="7" spans="2:6" ht="90" x14ac:dyDescent="0.25">
      <c r="B7" s="2"/>
      <c r="C7" s="48" t="s">
        <v>4</v>
      </c>
      <c r="D7" s="9" t="s">
        <v>113</v>
      </c>
      <c r="E7" s="4"/>
      <c r="F7" s="16" t="s">
        <v>114</v>
      </c>
    </row>
    <row r="8" spans="2:6" ht="30" x14ac:dyDescent="0.25">
      <c r="B8" s="2"/>
      <c r="C8" s="48" t="s">
        <v>7</v>
      </c>
      <c r="D8" s="9" t="s">
        <v>115</v>
      </c>
      <c r="E8" s="4"/>
      <c r="F8" s="14"/>
    </row>
    <row r="9" spans="2:6" x14ac:dyDescent="0.25">
      <c r="C9" s="48" t="s">
        <v>10</v>
      </c>
      <c r="D9" s="9">
        <v>20</v>
      </c>
      <c r="E9" s="4"/>
    </row>
    <row r="10" spans="2:6" x14ac:dyDescent="0.25">
      <c r="C10" s="48" t="s">
        <v>11</v>
      </c>
      <c r="D10" s="9">
        <v>2</v>
      </c>
      <c r="E10" s="4"/>
      <c r="F10" t="s">
        <v>12</v>
      </c>
    </row>
    <row r="11" spans="2:6" ht="60" x14ac:dyDescent="0.25">
      <c r="C11" s="48" t="s">
        <v>13</v>
      </c>
      <c r="D11" s="9">
        <v>4</v>
      </c>
      <c r="E11" s="4"/>
      <c r="F11" s="16" t="s">
        <v>116</v>
      </c>
    </row>
    <row r="12" spans="2:6" ht="60" x14ac:dyDescent="0.25">
      <c r="C12" s="48" t="s">
        <v>15</v>
      </c>
      <c r="D12" s="9" t="s">
        <v>117</v>
      </c>
      <c r="E12" s="4"/>
      <c r="F12" s="16" t="s">
        <v>118</v>
      </c>
    </row>
    <row r="13" spans="2:6" x14ac:dyDescent="0.25">
      <c r="C13" s="48" t="s">
        <v>18</v>
      </c>
      <c r="D13" s="9" t="s">
        <v>119</v>
      </c>
      <c r="E13" s="4"/>
      <c r="F13" s="12"/>
    </row>
    <row r="14" spans="2:6" x14ac:dyDescent="0.25">
      <c r="C14" s="48" t="s">
        <v>21</v>
      </c>
      <c r="D14" s="9" t="s">
        <v>22</v>
      </c>
      <c r="E14" s="4"/>
    </row>
    <row r="15" spans="2:6" x14ac:dyDescent="0.25">
      <c r="C15" s="3"/>
      <c r="D15" s="4"/>
      <c r="E15" s="4"/>
      <c r="F15" t="s">
        <v>23</v>
      </c>
    </row>
    <row r="16" spans="2:6" ht="60" x14ac:dyDescent="0.25">
      <c r="C16" s="3"/>
      <c r="D16" s="4"/>
      <c r="E16" s="4"/>
      <c r="F16" s="18" t="s">
        <v>120</v>
      </c>
    </row>
    <row r="17" spans="3:6" ht="18.75" x14ac:dyDescent="0.25">
      <c r="C17" s="5" t="s">
        <v>25</v>
      </c>
      <c r="D17" s="4"/>
      <c r="E17" s="4"/>
      <c r="F17" s="12"/>
    </row>
    <row r="18" spans="3:6" x14ac:dyDescent="0.25">
      <c r="C18" s="3" t="s">
        <v>26</v>
      </c>
      <c r="D18" s="1" t="s">
        <v>25</v>
      </c>
      <c r="E18" s="4"/>
      <c r="F18" s="12"/>
    </row>
    <row r="19" spans="3:6" x14ac:dyDescent="0.25">
      <c r="C19" s="48" t="s">
        <v>27</v>
      </c>
      <c r="D19" s="10">
        <v>22</v>
      </c>
      <c r="E19" s="4"/>
      <c r="F19" s="12"/>
    </row>
    <row r="20" spans="3:6" x14ac:dyDescent="0.25">
      <c r="C20" s="48" t="s">
        <v>28</v>
      </c>
      <c r="D20" s="10">
        <v>18</v>
      </c>
      <c r="E20" s="4"/>
      <c r="F20" s="12"/>
    </row>
    <row r="21" spans="3:6" x14ac:dyDescent="0.25">
      <c r="C21" s="48" t="s">
        <v>29</v>
      </c>
      <c r="D21" s="10"/>
      <c r="E21" s="4"/>
    </row>
    <row r="22" spans="3:6" x14ac:dyDescent="0.25">
      <c r="C22" s="48" t="s">
        <v>30</v>
      </c>
      <c r="D22" s="10"/>
      <c r="E22" s="4"/>
      <c r="F22" t="s">
        <v>31</v>
      </c>
    </row>
    <row r="23" spans="3:6" x14ac:dyDescent="0.25">
      <c r="C23" s="48" t="s">
        <v>32</v>
      </c>
      <c r="D23" s="10"/>
      <c r="E23" s="4"/>
      <c r="F23" s="12" t="s">
        <v>121</v>
      </c>
    </row>
    <row r="24" spans="3:6" x14ac:dyDescent="0.25">
      <c r="C24" s="48" t="s">
        <v>34</v>
      </c>
      <c r="D24" s="1">
        <f>SUM(D19:D23)</f>
        <v>40</v>
      </c>
      <c r="E24" s="4"/>
      <c r="F24" s="12"/>
    </row>
    <row r="25" spans="3:6" x14ac:dyDescent="0.25">
      <c r="F25" s="12"/>
    </row>
    <row r="26" spans="3:6" x14ac:dyDescent="0.25">
      <c r="F26" s="12"/>
    </row>
    <row r="27" spans="3:6" ht="18.75" x14ac:dyDescent="0.25">
      <c r="C27" s="5" t="s">
        <v>35</v>
      </c>
      <c r="D27" s="7" t="s">
        <v>36</v>
      </c>
      <c r="F27" s="12"/>
    </row>
    <row r="28" spans="3:6" x14ac:dyDescent="0.25">
      <c r="C28" s="3" t="s">
        <v>37</v>
      </c>
      <c r="D28" s="3" t="s">
        <v>38</v>
      </c>
      <c r="E28" s="3"/>
      <c r="F28" s="12"/>
    </row>
    <row r="29" spans="3:6" ht="45" x14ac:dyDescent="0.25">
      <c r="C29" s="48" t="s">
        <v>39</v>
      </c>
      <c r="D29" s="16" t="s">
        <v>122</v>
      </c>
      <c r="E29" s="4"/>
      <c r="F29" s="12"/>
    </row>
    <row r="30" spans="3:6" ht="30" x14ac:dyDescent="0.25">
      <c r="C30" s="48" t="s">
        <v>41</v>
      </c>
      <c r="D30" s="17" t="s">
        <v>123</v>
      </c>
      <c r="E30" s="4"/>
      <c r="F30" s="12"/>
    </row>
    <row r="31" spans="3:6" ht="45" x14ac:dyDescent="0.25">
      <c r="C31" s="48" t="s">
        <v>43</v>
      </c>
      <c r="D31" s="16" t="s">
        <v>124</v>
      </c>
      <c r="E31" s="4"/>
      <c r="F31" s="12"/>
    </row>
    <row r="32" spans="3:6" x14ac:dyDescent="0.25">
      <c r="C32" s="48"/>
      <c r="D32" s="9"/>
      <c r="E32" s="4"/>
      <c r="F32" s="12"/>
    </row>
    <row r="33" spans="3:8" x14ac:dyDescent="0.25">
      <c r="C33" s="48"/>
      <c r="D33" s="9"/>
      <c r="E33" s="4"/>
      <c r="F33" s="12"/>
    </row>
    <row r="36" spans="3:8" ht="18.75" x14ac:dyDescent="0.25">
      <c r="C36" s="5" t="s">
        <v>49</v>
      </c>
    </row>
    <row r="37" spans="3:8" x14ac:dyDescent="0.25">
      <c r="C37" s="3" t="s">
        <v>50</v>
      </c>
      <c r="D37" s="3" t="s">
        <v>51</v>
      </c>
      <c r="E37" s="3" t="s">
        <v>52</v>
      </c>
      <c r="F37" s="3" t="s">
        <v>53</v>
      </c>
      <c r="G37" s="3" t="s">
        <v>54</v>
      </c>
      <c r="H37" s="3" t="s">
        <v>55</v>
      </c>
    </row>
    <row r="38" spans="3:8" ht="30" x14ac:dyDescent="0.25">
      <c r="C38" s="48" t="s">
        <v>56</v>
      </c>
      <c r="D38" s="9" t="s">
        <v>125</v>
      </c>
      <c r="E38" s="9"/>
      <c r="F38" s="9" t="s">
        <v>126</v>
      </c>
      <c r="G38" s="11">
        <v>0.5</v>
      </c>
      <c r="H38" s="9">
        <v>29</v>
      </c>
    </row>
    <row r="39" spans="3:8" ht="30" x14ac:dyDescent="0.25">
      <c r="C39" s="48" t="s">
        <v>60</v>
      </c>
      <c r="D39" s="9" t="s">
        <v>127</v>
      </c>
      <c r="E39" s="9"/>
      <c r="F39" s="9" t="s">
        <v>128</v>
      </c>
      <c r="G39" s="11">
        <v>0.5</v>
      </c>
      <c r="H39" s="9" t="s">
        <v>129</v>
      </c>
    </row>
    <row r="40" spans="3:8" x14ac:dyDescent="0.25">
      <c r="C40" s="48"/>
      <c r="D40" s="12"/>
      <c r="E40" s="12"/>
      <c r="F40" s="12"/>
      <c r="G40" s="12"/>
      <c r="H40" s="12"/>
    </row>
    <row r="41" spans="3:8" x14ac:dyDescent="0.25">
      <c r="C41" s="48"/>
      <c r="D41" s="12"/>
      <c r="E41" s="12"/>
      <c r="F41" s="12"/>
      <c r="G41" s="12"/>
      <c r="H41" s="12"/>
    </row>
    <row r="42" spans="3:8" x14ac:dyDescent="0.25">
      <c r="C42" s="3"/>
    </row>
    <row r="44" spans="3:8" ht="18.75" x14ac:dyDescent="0.25">
      <c r="C44" s="5" t="s">
        <v>65</v>
      </c>
      <c r="D44" s="7"/>
    </row>
    <row r="45" spans="3:8" x14ac:dyDescent="0.25">
      <c r="C45" s="1" t="s">
        <v>50</v>
      </c>
      <c r="D45" s="1" t="s">
        <v>37</v>
      </c>
      <c r="E45" s="1" t="s">
        <v>66</v>
      </c>
      <c r="F45" s="1" t="s">
        <v>67</v>
      </c>
    </row>
    <row r="46" spans="3:8" x14ac:dyDescent="0.25">
      <c r="C46" s="13" t="s">
        <v>56</v>
      </c>
      <c r="D46" s="12" t="s">
        <v>39</v>
      </c>
      <c r="E46" s="12" t="s">
        <v>68</v>
      </c>
      <c r="F46" s="12" t="s">
        <v>69</v>
      </c>
    </row>
    <row r="47" spans="3:8" x14ac:dyDescent="0.25">
      <c r="C47" s="13" t="s">
        <v>56</v>
      </c>
      <c r="D47" s="12" t="s">
        <v>39</v>
      </c>
      <c r="E47" s="12" t="s">
        <v>68</v>
      </c>
      <c r="F47" s="12" t="s">
        <v>130</v>
      </c>
    </row>
    <row r="48" spans="3:8" x14ac:dyDescent="0.25">
      <c r="C48" s="13" t="s">
        <v>56</v>
      </c>
      <c r="D48" s="12" t="s">
        <v>41</v>
      </c>
      <c r="E48" s="12" t="s">
        <v>72</v>
      </c>
      <c r="F48" s="12" t="s">
        <v>73</v>
      </c>
    </row>
    <row r="49" spans="3:6" x14ac:dyDescent="0.25">
      <c r="C49" s="13" t="s">
        <v>60</v>
      </c>
      <c r="D49" s="12" t="s">
        <v>41</v>
      </c>
      <c r="E49" s="12" t="s">
        <v>68</v>
      </c>
      <c r="F49" s="12" t="s">
        <v>69</v>
      </c>
    </row>
    <row r="50" spans="3:6" x14ac:dyDescent="0.25">
      <c r="C50" s="13" t="s">
        <v>60</v>
      </c>
      <c r="D50" s="12" t="s">
        <v>43</v>
      </c>
      <c r="E50" s="12" t="s">
        <v>72</v>
      </c>
      <c r="F50" s="12" t="s">
        <v>131</v>
      </c>
    </row>
    <row r="51" spans="3:6" x14ac:dyDescent="0.25">
      <c r="C51" s="13" t="s">
        <v>60</v>
      </c>
      <c r="D51" s="12" t="s">
        <v>43</v>
      </c>
      <c r="E51" s="12" t="s">
        <v>70</v>
      </c>
      <c r="F51" s="12" t="s">
        <v>132</v>
      </c>
    </row>
    <row r="52" spans="3:6" x14ac:dyDescent="0.25">
      <c r="C52" s="13"/>
      <c r="D52" s="12"/>
      <c r="E52" s="12"/>
      <c r="F52" s="12"/>
    </row>
    <row r="53" spans="3:6" x14ac:dyDescent="0.25">
      <c r="C53" s="13"/>
      <c r="D53" s="12"/>
      <c r="E53" s="12"/>
      <c r="F53" s="12"/>
    </row>
    <row r="54" spans="3:6" x14ac:dyDescent="0.25">
      <c r="C54" s="13"/>
      <c r="D54" s="12"/>
      <c r="E54" s="12"/>
      <c r="F54" s="12"/>
    </row>
    <row r="55" spans="3:6" x14ac:dyDescent="0.25">
      <c r="C55" s="13"/>
      <c r="D55" s="12"/>
      <c r="E55" s="12"/>
      <c r="F55" s="12"/>
    </row>
    <row r="56" spans="3:6" x14ac:dyDescent="0.25">
      <c r="C56" s="13"/>
      <c r="D56" s="12"/>
      <c r="E56" s="12"/>
      <c r="F56" s="12"/>
    </row>
    <row r="57" spans="3:6" x14ac:dyDescent="0.25">
      <c r="C57" s="13"/>
      <c r="D57" s="12"/>
      <c r="E57" s="12"/>
      <c r="F57" s="12"/>
    </row>
    <row r="58" spans="3:6" x14ac:dyDescent="0.25">
      <c r="C58" s="13"/>
      <c r="D58" s="12"/>
      <c r="E58" s="12"/>
      <c r="F58" s="12"/>
    </row>
    <row r="59" spans="3:6" x14ac:dyDescent="0.25">
      <c r="C59" s="13"/>
      <c r="D59" s="12"/>
      <c r="E59" s="12"/>
      <c r="F59" s="12"/>
    </row>
    <row r="60" spans="3:6" x14ac:dyDescent="0.25">
      <c r="C60" s="13"/>
      <c r="D60" s="12"/>
      <c r="E60" s="12"/>
      <c r="F60" s="12"/>
    </row>
    <row r="61" spans="3:6" x14ac:dyDescent="0.25">
      <c r="C61" s="13"/>
      <c r="D61" s="12"/>
      <c r="E61" s="12"/>
      <c r="F61" s="12"/>
    </row>
    <row r="62" spans="3:6" x14ac:dyDescent="0.25">
      <c r="C62" s="13"/>
      <c r="D62" s="12"/>
      <c r="E62" s="12"/>
      <c r="F62" s="12"/>
    </row>
    <row r="63" spans="3:6" x14ac:dyDescent="0.25">
      <c r="C63" s="13"/>
      <c r="D63" s="12"/>
      <c r="E63" s="12"/>
      <c r="F63" s="12"/>
    </row>
    <row r="64" spans="3:6" x14ac:dyDescent="0.25">
      <c r="C64" s="13"/>
      <c r="D64" s="12"/>
      <c r="E64" s="12"/>
      <c r="F64" s="12"/>
    </row>
    <row r="65" spans="2:6" x14ac:dyDescent="0.25">
      <c r="C65" s="13"/>
      <c r="D65" s="12"/>
      <c r="E65" s="12"/>
      <c r="F65" s="12"/>
    </row>
    <row r="66" spans="2:6" x14ac:dyDescent="0.25">
      <c r="C66" s="13"/>
      <c r="D66" s="12"/>
      <c r="E66" s="12"/>
      <c r="F66" s="12"/>
    </row>
    <row r="69" spans="2:6" ht="18.75" x14ac:dyDescent="0.25">
      <c r="C69" s="5" t="s">
        <v>90</v>
      </c>
    </row>
    <row r="70" spans="2:6" x14ac:dyDescent="0.25">
      <c r="B70" t="s">
        <v>91</v>
      </c>
      <c r="C70" s="1" t="s">
        <v>92</v>
      </c>
      <c r="D70" s="1" t="s">
        <v>93</v>
      </c>
      <c r="E70" s="1" t="s">
        <v>94</v>
      </c>
      <c r="F70" s="1" t="s">
        <v>95</v>
      </c>
    </row>
    <row r="71" spans="2:6" ht="30" x14ac:dyDescent="0.25">
      <c r="B71" s="49">
        <v>1</v>
      </c>
      <c r="C71" s="50">
        <v>19</v>
      </c>
      <c r="D71" s="9" t="s">
        <v>133</v>
      </c>
      <c r="E71" s="9"/>
      <c r="F71" s="9"/>
    </row>
    <row r="72" spans="2:6" x14ac:dyDescent="0.25">
      <c r="B72" s="49">
        <v>1</v>
      </c>
      <c r="C72" s="50">
        <v>20</v>
      </c>
      <c r="D72" s="9" t="s">
        <v>134</v>
      </c>
      <c r="E72" s="15" t="s">
        <v>28</v>
      </c>
      <c r="F72" s="9"/>
    </row>
    <row r="73" spans="2:6" x14ac:dyDescent="0.25">
      <c r="B73" s="49">
        <v>1</v>
      </c>
      <c r="C73" s="50">
        <v>21</v>
      </c>
      <c r="D73" s="9" t="s">
        <v>135</v>
      </c>
      <c r="E73" s="15"/>
      <c r="F73" s="9"/>
    </row>
    <row r="74" spans="2:6" x14ac:dyDescent="0.25">
      <c r="B74" s="49">
        <v>1</v>
      </c>
      <c r="C74" s="50">
        <v>22</v>
      </c>
      <c r="D74" s="9" t="s">
        <v>135</v>
      </c>
      <c r="E74" s="15" t="s">
        <v>28</v>
      </c>
      <c r="F74" s="9"/>
    </row>
    <row r="75" spans="2:6" x14ac:dyDescent="0.25">
      <c r="B75" s="49">
        <v>1</v>
      </c>
      <c r="C75" s="50">
        <v>23</v>
      </c>
      <c r="D75" s="9" t="s">
        <v>136</v>
      </c>
      <c r="E75" s="15" t="s">
        <v>28</v>
      </c>
      <c r="F75" s="9"/>
    </row>
    <row r="76" spans="2:6" x14ac:dyDescent="0.25">
      <c r="B76" s="49">
        <v>1</v>
      </c>
      <c r="C76" s="50">
        <v>24</v>
      </c>
      <c r="D76" s="9" t="s">
        <v>137</v>
      </c>
      <c r="E76" s="15"/>
      <c r="F76" s="9"/>
    </row>
    <row r="77" spans="2:6" x14ac:dyDescent="0.25">
      <c r="B77" s="49">
        <v>1</v>
      </c>
      <c r="C77" s="50">
        <v>25</v>
      </c>
      <c r="D77" s="9" t="s">
        <v>138</v>
      </c>
      <c r="E77" s="9" t="s">
        <v>28</v>
      </c>
      <c r="F77" s="9"/>
    </row>
    <row r="78" spans="2:6" x14ac:dyDescent="0.25">
      <c r="B78" s="49">
        <v>1</v>
      </c>
      <c r="C78" s="50">
        <v>26</v>
      </c>
      <c r="D78" s="9" t="s">
        <v>139</v>
      </c>
      <c r="E78" s="15" t="s">
        <v>28</v>
      </c>
      <c r="F78" s="9"/>
    </row>
    <row r="79" spans="2:6" x14ac:dyDescent="0.25">
      <c r="B79" s="49">
        <v>1</v>
      </c>
      <c r="C79" s="50">
        <v>29</v>
      </c>
      <c r="D79" s="9" t="s">
        <v>140</v>
      </c>
      <c r="E79" s="15" t="s">
        <v>28</v>
      </c>
      <c r="F79" s="9"/>
    </row>
    <row r="80" spans="2:6" x14ac:dyDescent="0.25">
      <c r="B80" s="49">
        <v>1</v>
      </c>
      <c r="C80" s="50">
        <v>30</v>
      </c>
      <c r="D80" s="9" t="s">
        <v>141</v>
      </c>
      <c r="E80" s="15" t="s">
        <v>28</v>
      </c>
      <c r="F80" s="9"/>
    </row>
    <row r="81" spans="2:6" x14ac:dyDescent="0.25">
      <c r="B81" s="49">
        <v>1</v>
      </c>
      <c r="C81" s="50">
        <v>31</v>
      </c>
      <c r="D81" s="9" t="s">
        <v>142</v>
      </c>
      <c r="E81" s="15" t="s">
        <v>28</v>
      </c>
      <c r="F81" s="9"/>
    </row>
    <row r="82" spans="2:6" x14ac:dyDescent="0.25">
      <c r="B82" s="49">
        <v>1</v>
      </c>
      <c r="C82" s="50">
        <v>32</v>
      </c>
      <c r="D82" s="9" t="s">
        <v>143</v>
      </c>
      <c r="E82" s="15" t="s">
        <v>28</v>
      </c>
      <c r="F82" s="9"/>
    </row>
    <row r="83" spans="2:6" x14ac:dyDescent="0.25">
      <c r="B83" s="49">
        <v>2</v>
      </c>
      <c r="C83" s="50">
        <v>1</v>
      </c>
      <c r="D83" s="9"/>
      <c r="E83" s="9"/>
      <c r="F83" s="9"/>
    </row>
    <row r="84" spans="2:6" x14ac:dyDescent="0.25">
      <c r="B84" s="49">
        <v>2</v>
      </c>
      <c r="C84" s="50">
        <v>2</v>
      </c>
      <c r="D84" s="9"/>
      <c r="E84" s="9"/>
      <c r="F84" s="9"/>
    </row>
    <row r="85" spans="2:6" x14ac:dyDescent="0.25">
      <c r="B85" s="49">
        <v>2</v>
      </c>
      <c r="C85" s="50">
        <v>3</v>
      </c>
      <c r="D85" s="9"/>
      <c r="E85" s="9"/>
      <c r="F85" s="9"/>
    </row>
    <row r="86" spans="2:6" x14ac:dyDescent="0.25">
      <c r="B86" s="49">
        <v>2</v>
      </c>
      <c r="C86" s="50">
        <v>4</v>
      </c>
      <c r="D86" s="9"/>
      <c r="E86" s="9"/>
      <c r="F86" s="9"/>
    </row>
    <row r="87" spans="2:6" x14ac:dyDescent="0.25">
      <c r="B87" s="49">
        <v>2</v>
      </c>
      <c r="C87" s="50">
        <v>5</v>
      </c>
      <c r="D87" s="9"/>
      <c r="E87" s="9"/>
      <c r="F87" s="9"/>
    </row>
    <row r="88" spans="2:6" x14ac:dyDescent="0.25">
      <c r="B88" s="49">
        <v>2</v>
      </c>
      <c r="C88" s="50">
        <v>6</v>
      </c>
      <c r="D88" s="9"/>
      <c r="E88" s="9"/>
      <c r="F88" s="9"/>
    </row>
    <row r="89" spans="2:6" x14ac:dyDescent="0.25">
      <c r="B89" s="49">
        <v>2</v>
      </c>
      <c r="C89" s="50">
        <v>7</v>
      </c>
      <c r="D89" s="9"/>
      <c r="E89" s="9"/>
      <c r="F89" s="9"/>
    </row>
    <row r="90" spans="2:6" x14ac:dyDescent="0.25">
      <c r="B90" s="49">
        <v>2</v>
      </c>
      <c r="C90" s="50">
        <v>8</v>
      </c>
      <c r="D90" s="9"/>
      <c r="E90" s="9"/>
      <c r="F90" s="9"/>
    </row>
    <row r="91" spans="2:6" x14ac:dyDescent="0.25">
      <c r="B91" s="49">
        <v>2</v>
      </c>
      <c r="C91" s="50">
        <v>9</v>
      </c>
      <c r="D91" s="9"/>
      <c r="E91" s="9"/>
      <c r="F91" s="9"/>
    </row>
    <row r="92" spans="2:6" x14ac:dyDescent="0.25">
      <c r="B92" s="49">
        <v>2</v>
      </c>
      <c r="C92" s="50">
        <v>10</v>
      </c>
      <c r="D92" s="9"/>
      <c r="E92" s="9"/>
      <c r="F92" s="9"/>
    </row>
    <row r="93" spans="2:6" x14ac:dyDescent="0.25">
      <c r="B93" s="49">
        <v>2</v>
      </c>
      <c r="C93" s="50">
        <v>11</v>
      </c>
      <c r="D93" s="9"/>
      <c r="E93" s="9"/>
      <c r="F93" s="9"/>
    </row>
    <row r="94" spans="2:6" x14ac:dyDescent="0.25">
      <c r="B94" s="49">
        <v>2</v>
      </c>
      <c r="C94" s="50">
        <v>12</v>
      </c>
      <c r="D94" s="9"/>
      <c r="E94" s="9"/>
      <c r="F94" s="9"/>
    </row>
  </sheetData>
  <sheetProtection sheet="1" objects="1" scenarios="1" formatCells="0" formatColumns="0" formatRows="0" insertHyperlinks="0"/>
  <dataValidations count="4">
    <dataValidation type="list" allowBlank="1" showInputMessage="1" showErrorMessage="1" sqref="E38:E41" xr:uid="{30ED3A3D-A6E5-45DA-A072-4863AA8C1558}">
      <formula1>INDIRECT("LISTAssess[Assessment Specific]")</formula1>
    </dataValidation>
    <dataValidation type="whole" showInputMessage="1" showErrorMessage="1" error="This is not a realistic number of contact hours please change" sqref="D19" xr:uid="{ED7F7914-6C28-4D8E-B268-3CD5BA4E3144}">
      <formula1>0</formula1>
      <formula2>80</formula2>
    </dataValidation>
    <dataValidation type="whole" showInputMessage="1" showErrorMessage="1" error="This is not a realistic number of contact hours please reduce" sqref="D20:D23" xr:uid="{7D2F483B-63CE-4110-AF1C-80CF6D50C7FA}">
      <formula1>0</formula1>
      <formula2>80</formula2>
    </dataValidation>
    <dataValidation type="list" allowBlank="1" showInputMessage="1" showErrorMessage="1" sqref="F46:F66" xr:uid="{B4AF8487-2215-403B-ADDA-445B48E2CABD}">
      <formula1>INDIRECT(VLOOKUP($E46,SkillNameMap,2,FALSE))</formula1>
    </dataValidation>
  </dataValidations>
  <pageMargins left="0.7" right="0.7" top="0.75" bottom="0.75" header="0.3" footer="0.3"/>
  <pageSetup paperSize="9" orientation="portrait" horizontalDpi="4294967293" verticalDpi="0" r:id="rId1"/>
  <tableParts count="10">
    <tablePart r:id="rId2"/>
    <tablePart r:id="rId3"/>
    <tablePart r:id="rId4"/>
    <tablePart r:id="rId5"/>
    <tablePart r:id="rId6"/>
    <tablePart r:id="rId7"/>
    <tablePart r:id="rId8"/>
    <tablePart r:id="rId9"/>
    <tablePart r:id="rId10"/>
    <tablePart r:id="rId11"/>
  </tableParts>
  <extLst>
    <ext xmlns:x14="http://schemas.microsoft.com/office/spreadsheetml/2009/9/main" uri="{CCE6A557-97BC-4b89-ADB6-D9C93CAAB3DF}">
      <x14:dataValidations xmlns:xm="http://schemas.microsoft.com/office/excel/2006/main" count="7">
        <x14:dataValidation type="list" allowBlank="1" showInputMessage="1" showErrorMessage="1" xr:uid="{BD1D28E8-E44D-43D6-AB31-6906AFB76CC7}">
          <x14:formula1>
            <xm:f>LISTS!$G$7:$G$11</xm:f>
          </x14:formula1>
          <xm:sqref>D38:D42</xm:sqref>
        </x14:dataValidation>
        <x14:dataValidation type="list" allowBlank="1" showInputMessage="1" showErrorMessage="1" xr:uid="{4307F0DB-5179-49DE-9F56-B0D376451B8E}">
          <x14:formula1>
            <xm:f>LISTS!$C$11:$C$15</xm:f>
          </x14:formula1>
          <xm:sqref>D11</xm:sqref>
        </x14:dataValidation>
        <x14:dataValidation type="list" allowBlank="1" showInputMessage="1" showErrorMessage="1" xr:uid="{881415EC-E12E-4E20-BF7A-6A7CDB9E721E}">
          <x14:formula1>
            <xm:f>LISTS!$C$7:$C$9</xm:f>
          </x14:formula1>
          <xm:sqref>D10</xm:sqref>
        </x14:dataValidation>
        <x14:dataValidation type="list" allowBlank="1" showInputMessage="1" showErrorMessage="1" xr:uid="{264E4697-DBBE-457A-A30D-C8272EF12344}">
          <x14:formula1>
            <xm:f>LISTS!$C$17:$C$22</xm:f>
          </x14:formula1>
          <xm:sqref>D13</xm:sqref>
        </x14:dataValidation>
        <x14:dataValidation type="list" allowBlank="1" showInputMessage="1" showErrorMessage="1" xr:uid="{849644AB-3E82-4044-91E7-7C031EBB1D3B}">
          <x14:formula1>
            <xm:f>LISTS!$C$26:$C$37</xm:f>
          </x14:formula1>
          <xm:sqref>D14</xm:sqref>
        </x14:dataValidation>
        <x14:dataValidation type="list" allowBlank="1" showInputMessage="1" showErrorMessage="1" xr:uid="{8A1593AF-AF33-44A4-BD5D-F2DC41EAA86E}">
          <x14:formula1>
            <xm:f>LISTS!$J$7:$J$16</xm:f>
          </x14:formula1>
          <xm:sqref>E46:E66</xm:sqref>
        </x14:dataValidation>
        <x14:dataValidation type="list" allowBlank="1" showInputMessage="1" showErrorMessage="1" xr:uid="{13524674-6569-4444-A927-B70E751D7616}">
          <x14:formula1>
            <xm:f>LISTS!$E$7:$E$11</xm:f>
          </x14:formula1>
          <xm:sqref>D46:D51 D53:D66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47D3E-176C-4A98-919A-BC8974D66F1E}">
  <sheetPr codeName="Sheet3"/>
  <dimension ref="B2:H94"/>
  <sheetViews>
    <sheetView showGridLines="0" zoomScale="85" zoomScaleNormal="85" workbookViewId="0">
      <selection activeCell="D16" sqref="D16"/>
    </sheetView>
  </sheetViews>
  <sheetFormatPr defaultColWidth="8.85546875" defaultRowHeight="15" x14ac:dyDescent="0.25"/>
  <cols>
    <col min="3" max="3" width="33.28515625" customWidth="1"/>
    <col min="4" max="4" width="51.42578125" customWidth="1"/>
    <col min="5" max="5" width="67.28515625" customWidth="1"/>
    <col min="6" max="6" width="93" customWidth="1"/>
    <col min="7" max="7" width="12.42578125" customWidth="1"/>
    <col min="8" max="8" width="15.42578125" customWidth="1"/>
    <col min="9" max="9" width="14.7109375" customWidth="1"/>
  </cols>
  <sheetData>
    <row r="2" spans="2:6" ht="26.25" x14ac:dyDescent="0.4">
      <c r="C2" s="8" t="str">
        <f>D7</f>
        <v>4053SPS</v>
      </c>
      <c r="D2" s="8" t="str">
        <f>D8</f>
        <v>Introduction to Cognitive and Biological Psychology</v>
      </c>
    </row>
    <row r="3" spans="2:6" x14ac:dyDescent="0.25">
      <c r="B3" s="1"/>
      <c r="C3" s="1"/>
    </row>
    <row r="4" spans="2:6" x14ac:dyDescent="0.25">
      <c r="B4" s="2"/>
      <c r="C4" s="2"/>
    </row>
    <row r="5" spans="2:6" ht="18.75" x14ac:dyDescent="0.25">
      <c r="B5" s="2"/>
      <c r="C5" s="5" t="s">
        <v>0</v>
      </c>
    </row>
    <row r="6" spans="2:6" x14ac:dyDescent="0.25">
      <c r="B6" s="2"/>
      <c r="C6" s="3" t="s">
        <v>1</v>
      </c>
      <c r="D6" s="4" t="s">
        <v>2</v>
      </c>
      <c r="E6" s="4"/>
      <c r="F6" t="s">
        <v>3</v>
      </c>
    </row>
    <row r="7" spans="2:6" ht="60.75" x14ac:dyDescent="0.25">
      <c r="B7" s="2"/>
      <c r="C7" s="48" t="s">
        <v>4</v>
      </c>
      <c r="D7" s="9" t="s">
        <v>144</v>
      </c>
      <c r="E7" s="4"/>
      <c r="F7" s="33" t="s">
        <v>145</v>
      </c>
    </row>
    <row r="8" spans="2:6" x14ac:dyDescent="0.25">
      <c r="B8" s="2"/>
      <c r="C8" s="48" t="s">
        <v>7</v>
      </c>
      <c r="D8" s="9" t="s">
        <v>146</v>
      </c>
      <c r="E8" s="4"/>
      <c r="F8" s="12"/>
    </row>
    <row r="9" spans="2:6" x14ac:dyDescent="0.25">
      <c r="C9" s="48" t="s">
        <v>10</v>
      </c>
      <c r="D9" s="9">
        <v>20</v>
      </c>
      <c r="E9" s="4"/>
    </row>
    <row r="10" spans="2:6" x14ac:dyDescent="0.25">
      <c r="C10" s="48" t="s">
        <v>11</v>
      </c>
      <c r="D10" s="9">
        <v>2</v>
      </c>
      <c r="E10" s="4"/>
      <c r="F10" t="s">
        <v>12</v>
      </c>
    </row>
    <row r="11" spans="2:6" ht="60" x14ac:dyDescent="0.25">
      <c r="C11" s="48" t="s">
        <v>13</v>
      </c>
      <c r="D11" s="9">
        <v>4</v>
      </c>
      <c r="E11" s="4"/>
      <c r="F11" s="21" t="s">
        <v>147</v>
      </c>
    </row>
    <row r="12" spans="2:6" x14ac:dyDescent="0.25">
      <c r="C12" s="48" t="s">
        <v>15</v>
      </c>
      <c r="D12" s="9" t="s">
        <v>148</v>
      </c>
      <c r="E12" s="4"/>
      <c r="F12" s="12"/>
    </row>
    <row r="13" spans="2:6" x14ac:dyDescent="0.25">
      <c r="C13" s="48" t="s">
        <v>18</v>
      </c>
      <c r="D13" s="9" t="s">
        <v>119</v>
      </c>
      <c r="E13" s="4"/>
      <c r="F13" s="12"/>
    </row>
    <row r="14" spans="2:6" x14ac:dyDescent="0.25">
      <c r="C14" s="48" t="s">
        <v>21</v>
      </c>
      <c r="D14" s="9" t="s">
        <v>22</v>
      </c>
      <c r="E14" s="4"/>
    </row>
    <row r="15" spans="2:6" x14ac:dyDescent="0.25">
      <c r="C15" s="3"/>
      <c r="D15" s="4"/>
      <c r="E15" s="4"/>
      <c r="F15" t="s">
        <v>23</v>
      </c>
    </row>
    <row r="16" spans="2:6" ht="66" x14ac:dyDescent="0.3">
      <c r="C16" s="3"/>
      <c r="D16" s="4"/>
      <c r="E16" s="4"/>
      <c r="F16" s="67" t="s">
        <v>149</v>
      </c>
    </row>
    <row r="17" spans="3:6" ht="18.75" x14ac:dyDescent="0.25">
      <c r="C17" s="5" t="s">
        <v>25</v>
      </c>
      <c r="D17" s="4"/>
      <c r="E17" s="4"/>
      <c r="F17" s="43"/>
    </row>
    <row r="18" spans="3:6" ht="15.75" x14ac:dyDescent="0.25">
      <c r="C18" s="3" t="s">
        <v>26</v>
      </c>
      <c r="D18" s="1" t="s">
        <v>25</v>
      </c>
      <c r="E18" s="4"/>
      <c r="F18" s="43"/>
    </row>
    <row r="19" spans="3:6" x14ac:dyDescent="0.25">
      <c r="C19" s="48" t="s">
        <v>27</v>
      </c>
      <c r="D19" s="10">
        <v>22</v>
      </c>
      <c r="E19" s="4"/>
      <c r="F19" s="12"/>
    </row>
    <row r="20" spans="3:6" x14ac:dyDescent="0.25">
      <c r="C20" s="48" t="s">
        <v>28</v>
      </c>
      <c r="D20" s="10">
        <v>6</v>
      </c>
      <c r="E20" s="4"/>
      <c r="F20" s="12"/>
    </row>
    <row r="21" spans="3:6" x14ac:dyDescent="0.25">
      <c r="C21" s="48" t="s">
        <v>29</v>
      </c>
      <c r="D21" s="10">
        <v>8</v>
      </c>
      <c r="E21" s="4"/>
    </row>
    <row r="22" spans="3:6" x14ac:dyDescent="0.25">
      <c r="C22" s="48" t="s">
        <v>30</v>
      </c>
      <c r="D22" s="10">
        <v>4</v>
      </c>
      <c r="E22" s="4"/>
      <c r="F22" t="s">
        <v>31</v>
      </c>
    </row>
    <row r="23" spans="3:6" ht="45" x14ac:dyDescent="0.25">
      <c r="C23" s="48" t="s">
        <v>32</v>
      </c>
      <c r="D23" s="10"/>
      <c r="E23" s="4"/>
      <c r="F23" s="21" t="s">
        <v>150</v>
      </c>
    </row>
    <row r="24" spans="3:6" ht="31.5" x14ac:dyDescent="0.25">
      <c r="C24" s="48" t="s">
        <v>34</v>
      </c>
      <c r="D24" s="1">
        <f>SUM(D19:D23)</f>
        <v>40</v>
      </c>
      <c r="E24" s="4"/>
      <c r="F24" s="34" t="s">
        <v>151</v>
      </c>
    </row>
    <row r="25" spans="3:6" ht="15.75" x14ac:dyDescent="0.25">
      <c r="F25" s="33" t="s">
        <v>152</v>
      </c>
    </row>
    <row r="26" spans="3:6" ht="82.5" x14ac:dyDescent="0.3">
      <c r="F26" s="62" t="s">
        <v>153</v>
      </c>
    </row>
    <row r="27" spans="3:6" ht="18.75" x14ac:dyDescent="0.25">
      <c r="C27" s="5" t="s">
        <v>35</v>
      </c>
      <c r="D27" s="7" t="s">
        <v>36</v>
      </c>
      <c r="F27" s="32"/>
    </row>
    <row r="28" spans="3:6" ht="51" customHeight="1" x14ac:dyDescent="0.3">
      <c r="C28" s="3" t="s">
        <v>37</v>
      </c>
      <c r="D28" s="3" t="s">
        <v>38</v>
      </c>
      <c r="E28" s="3"/>
      <c r="F28" s="62" t="s">
        <v>154</v>
      </c>
    </row>
    <row r="29" spans="3:6" ht="16.5" x14ac:dyDescent="0.3">
      <c r="C29" s="48"/>
      <c r="D29" s="19"/>
      <c r="E29" s="4"/>
      <c r="F29" s="62"/>
    </row>
    <row r="30" spans="3:6" ht="45.75" x14ac:dyDescent="0.3">
      <c r="C30" s="48" t="s">
        <v>39</v>
      </c>
      <c r="D30" s="19" t="s">
        <v>155</v>
      </c>
      <c r="E30" s="4"/>
      <c r="F30" s="62"/>
    </row>
    <row r="31" spans="3:6" ht="60" customHeight="1" x14ac:dyDescent="0.25">
      <c r="C31" s="48" t="s">
        <v>41</v>
      </c>
      <c r="D31" s="9" t="s">
        <v>156</v>
      </c>
      <c r="E31" s="4"/>
      <c r="F31" s="21" t="s">
        <v>157</v>
      </c>
    </row>
    <row r="32" spans="3:6" ht="75" x14ac:dyDescent="0.25">
      <c r="C32" s="48" t="s">
        <v>43</v>
      </c>
      <c r="D32" s="9" t="s">
        <v>158</v>
      </c>
      <c r="E32" s="4"/>
      <c r="F32" s="21" t="s">
        <v>159</v>
      </c>
    </row>
    <row r="33" spans="3:8" ht="30" x14ac:dyDescent="0.25">
      <c r="C33" s="48" t="s">
        <v>45</v>
      </c>
      <c r="D33" s="19" t="s">
        <v>160</v>
      </c>
      <c r="E33" s="4"/>
      <c r="F33" s="12"/>
    </row>
    <row r="36" spans="3:8" ht="18.75" x14ac:dyDescent="0.25">
      <c r="C36" s="5" t="s">
        <v>49</v>
      </c>
    </row>
    <row r="37" spans="3:8" x14ac:dyDescent="0.25">
      <c r="C37" s="3" t="s">
        <v>50</v>
      </c>
      <c r="D37" s="3" t="s">
        <v>51</v>
      </c>
      <c r="E37" s="3" t="s">
        <v>52</v>
      </c>
      <c r="F37" s="3" t="s">
        <v>53</v>
      </c>
      <c r="G37" s="3" t="s">
        <v>54</v>
      </c>
      <c r="H37" s="3" t="s">
        <v>55</v>
      </c>
    </row>
    <row r="38" spans="3:8" x14ac:dyDescent="0.25">
      <c r="C38" s="48" t="s">
        <v>56</v>
      </c>
      <c r="D38" s="9" t="s">
        <v>127</v>
      </c>
      <c r="E38" s="9"/>
      <c r="F38" s="9" t="s">
        <v>161</v>
      </c>
      <c r="G38" s="11">
        <v>0.5</v>
      </c>
      <c r="H38" s="9">
        <v>6</v>
      </c>
    </row>
    <row r="39" spans="3:8" x14ac:dyDescent="0.25">
      <c r="C39" s="48" t="s">
        <v>60</v>
      </c>
      <c r="D39" s="9" t="s">
        <v>29</v>
      </c>
      <c r="E39" s="9"/>
      <c r="F39" s="9" t="s">
        <v>162</v>
      </c>
      <c r="G39" s="11">
        <v>0.5</v>
      </c>
      <c r="H39" s="9">
        <v>12</v>
      </c>
    </row>
    <row r="40" spans="3:8" x14ac:dyDescent="0.25">
      <c r="C40" s="48" t="s">
        <v>63</v>
      </c>
      <c r="D40" s="12"/>
      <c r="E40" s="12"/>
      <c r="F40" s="12"/>
      <c r="G40" s="12"/>
      <c r="H40" s="12"/>
    </row>
    <row r="41" spans="3:8" x14ac:dyDescent="0.25">
      <c r="C41" s="48" t="s">
        <v>64</v>
      </c>
      <c r="D41" s="12"/>
      <c r="E41" s="12"/>
      <c r="F41" s="12"/>
      <c r="G41" s="12"/>
      <c r="H41" s="12"/>
    </row>
    <row r="42" spans="3:8" x14ac:dyDescent="0.25">
      <c r="C42" s="3"/>
    </row>
    <row r="44" spans="3:8" ht="18.75" x14ac:dyDescent="0.25">
      <c r="C44" s="5" t="s">
        <v>65</v>
      </c>
      <c r="D44" s="7"/>
    </row>
    <row r="45" spans="3:8" x14ac:dyDescent="0.25">
      <c r="C45" s="1" t="s">
        <v>50</v>
      </c>
      <c r="D45" s="1" t="s">
        <v>37</v>
      </c>
      <c r="E45" s="1" t="s">
        <v>66</v>
      </c>
      <c r="F45" s="1" t="s">
        <v>67</v>
      </c>
    </row>
    <row r="46" spans="3:8" x14ac:dyDescent="0.25">
      <c r="C46" s="13" t="s">
        <v>56</v>
      </c>
      <c r="D46" s="12" t="s">
        <v>39</v>
      </c>
      <c r="E46" s="12" t="s">
        <v>68</v>
      </c>
      <c r="F46" s="12" t="s">
        <v>163</v>
      </c>
    </row>
    <row r="47" spans="3:8" x14ac:dyDescent="0.25">
      <c r="C47" s="13" t="s">
        <v>56</v>
      </c>
      <c r="D47" s="12" t="s">
        <v>39</v>
      </c>
      <c r="E47" s="12" t="s">
        <v>68</v>
      </c>
      <c r="F47" s="12" t="s">
        <v>164</v>
      </c>
    </row>
    <row r="48" spans="3:8" x14ac:dyDescent="0.25">
      <c r="C48" s="13" t="s">
        <v>60</v>
      </c>
      <c r="D48" s="12" t="s">
        <v>45</v>
      </c>
      <c r="E48" s="12" t="s">
        <v>68</v>
      </c>
      <c r="F48" s="12" t="s">
        <v>165</v>
      </c>
    </row>
    <row r="49" spans="3:6" x14ac:dyDescent="0.25">
      <c r="C49" s="13" t="s">
        <v>60</v>
      </c>
      <c r="D49" s="12" t="s">
        <v>45</v>
      </c>
      <c r="E49" s="12" t="s">
        <v>72</v>
      </c>
      <c r="F49" s="12" t="s">
        <v>166</v>
      </c>
    </row>
    <row r="50" spans="3:6" x14ac:dyDescent="0.25">
      <c r="C50" s="13" t="s">
        <v>60</v>
      </c>
      <c r="D50" s="12" t="s">
        <v>43</v>
      </c>
      <c r="E50" s="12" t="s">
        <v>72</v>
      </c>
      <c r="F50" s="12" t="s">
        <v>167</v>
      </c>
    </row>
    <row r="51" spans="3:6" x14ac:dyDescent="0.25">
      <c r="C51" s="13" t="s">
        <v>60</v>
      </c>
      <c r="D51" s="12" t="s">
        <v>41</v>
      </c>
      <c r="E51" s="12" t="s">
        <v>86</v>
      </c>
      <c r="F51" s="12" t="s">
        <v>168</v>
      </c>
    </row>
    <row r="52" spans="3:6" x14ac:dyDescent="0.25">
      <c r="C52" s="13" t="s">
        <v>60</v>
      </c>
      <c r="D52" s="12" t="s">
        <v>41</v>
      </c>
      <c r="E52" s="12" t="s">
        <v>86</v>
      </c>
      <c r="F52" s="12" t="s">
        <v>87</v>
      </c>
    </row>
    <row r="53" spans="3:6" x14ac:dyDescent="0.25">
      <c r="C53" s="13" t="s">
        <v>60</v>
      </c>
      <c r="D53" s="12" t="s">
        <v>45</v>
      </c>
      <c r="E53" s="12" t="s">
        <v>78</v>
      </c>
      <c r="F53" s="12" t="s">
        <v>169</v>
      </c>
    </row>
    <row r="54" spans="3:6" x14ac:dyDescent="0.25">
      <c r="C54" s="13" t="s">
        <v>60</v>
      </c>
      <c r="D54" s="12" t="s">
        <v>41</v>
      </c>
      <c r="E54" s="12" t="s">
        <v>80</v>
      </c>
      <c r="F54" s="12" t="s">
        <v>170</v>
      </c>
    </row>
    <row r="55" spans="3:6" x14ac:dyDescent="0.25">
      <c r="C55" s="13" t="s">
        <v>60</v>
      </c>
      <c r="D55" s="12" t="s">
        <v>45</v>
      </c>
      <c r="E55" s="12" t="s">
        <v>82</v>
      </c>
      <c r="F55" s="12" t="s">
        <v>83</v>
      </c>
    </row>
    <row r="56" spans="3:6" x14ac:dyDescent="0.25">
      <c r="C56" s="13" t="s">
        <v>60</v>
      </c>
      <c r="D56" s="12" t="s">
        <v>45</v>
      </c>
      <c r="E56" s="12" t="s">
        <v>82</v>
      </c>
      <c r="F56" s="12" t="s">
        <v>171</v>
      </c>
    </row>
    <row r="57" spans="3:6" x14ac:dyDescent="0.25">
      <c r="C57" s="13"/>
      <c r="D57" s="12"/>
      <c r="E57" s="12"/>
      <c r="F57" s="12"/>
    </row>
    <row r="58" spans="3:6" x14ac:dyDescent="0.25">
      <c r="C58" s="13"/>
      <c r="D58" s="12"/>
      <c r="E58" s="12"/>
      <c r="F58" s="12"/>
    </row>
    <row r="59" spans="3:6" x14ac:dyDescent="0.25">
      <c r="C59" s="13"/>
      <c r="D59" s="12"/>
      <c r="E59" s="12"/>
      <c r="F59" s="12"/>
    </row>
    <row r="60" spans="3:6" x14ac:dyDescent="0.25">
      <c r="C60" s="13"/>
      <c r="D60" s="12"/>
      <c r="E60" s="12"/>
      <c r="F60" s="12"/>
    </row>
    <row r="61" spans="3:6" x14ac:dyDescent="0.25">
      <c r="C61" s="13"/>
      <c r="D61" s="12"/>
      <c r="E61" s="12"/>
      <c r="F61" s="12"/>
    </row>
    <row r="62" spans="3:6" x14ac:dyDescent="0.25">
      <c r="C62" s="13"/>
      <c r="D62" s="12"/>
      <c r="E62" s="12"/>
      <c r="F62" s="12"/>
    </row>
    <row r="63" spans="3:6" x14ac:dyDescent="0.25">
      <c r="C63" s="13"/>
      <c r="D63" s="12"/>
      <c r="E63" s="12"/>
      <c r="F63" s="12"/>
    </row>
    <row r="64" spans="3:6" x14ac:dyDescent="0.25">
      <c r="C64" s="13"/>
      <c r="D64" s="12"/>
      <c r="E64" s="12"/>
      <c r="F64" s="12"/>
    </row>
    <row r="65" spans="2:6" x14ac:dyDescent="0.25">
      <c r="C65" s="13"/>
      <c r="D65" s="12"/>
      <c r="E65" s="12"/>
      <c r="F65" s="12"/>
    </row>
    <row r="66" spans="2:6" x14ac:dyDescent="0.25">
      <c r="C66" s="13"/>
      <c r="D66" s="12"/>
      <c r="E66" s="12"/>
      <c r="F66" s="12"/>
    </row>
    <row r="69" spans="2:6" ht="18.75" x14ac:dyDescent="0.25">
      <c r="C69" s="5" t="s">
        <v>90</v>
      </c>
    </row>
    <row r="70" spans="2:6" x14ac:dyDescent="0.25">
      <c r="B70" t="s">
        <v>91</v>
      </c>
      <c r="C70" s="1" t="s">
        <v>92</v>
      </c>
      <c r="D70" s="1" t="s">
        <v>93</v>
      </c>
      <c r="E70" s="1" t="s">
        <v>94</v>
      </c>
      <c r="F70" s="1" t="s">
        <v>95</v>
      </c>
    </row>
    <row r="71" spans="2:6" x14ac:dyDescent="0.25">
      <c r="B71" s="49">
        <v>1</v>
      </c>
      <c r="C71" s="50">
        <v>1</v>
      </c>
      <c r="D71" s="9"/>
      <c r="E71" s="9"/>
      <c r="F71" s="9"/>
    </row>
    <row r="72" spans="2:6" x14ac:dyDescent="0.25">
      <c r="B72" s="49">
        <v>1</v>
      </c>
      <c r="C72" s="50">
        <v>2</v>
      </c>
      <c r="D72" s="9"/>
      <c r="E72" s="9"/>
      <c r="F72" s="9"/>
    </row>
    <row r="73" spans="2:6" x14ac:dyDescent="0.25">
      <c r="B73" s="49">
        <v>1</v>
      </c>
      <c r="C73" s="50">
        <v>3</v>
      </c>
      <c r="D73" s="9"/>
      <c r="E73" s="9"/>
      <c r="F73" s="9"/>
    </row>
    <row r="74" spans="2:6" x14ac:dyDescent="0.25">
      <c r="B74" s="49">
        <v>1</v>
      </c>
      <c r="C74" s="50">
        <v>4</v>
      </c>
      <c r="D74" s="9"/>
      <c r="E74" s="9"/>
      <c r="F74" s="9"/>
    </row>
    <row r="75" spans="2:6" x14ac:dyDescent="0.25">
      <c r="B75" s="49">
        <v>1</v>
      </c>
      <c r="C75" s="50">
        <v>5</v>
      </c>
      <c r="D75" s="9"/>
      <c r="E75" s="9"/>
      <c r="F75" s="9"/>
    </row>
    <row r="76" spans="2:6" x14ac:dyDescent="0.25">
      <c r="B76" s="49">
        <v>1</v>
      </c>
      <c r="C76" s="50">
        <v>6</v>
      </c>
      <c r="D76" s="9"/>
      <c r="E76" s="9"/>
      <c r="F76" s="9"/>
    </row>
    <row r="77" spans="2:6" x14ac:dyDescent="0.25">
      <c r="B77" s="49">
        <v>1</v>
      </c>
      <c r="C77" s="50">
        <v>7</v>
      </c>
      <c r="D77" s="9"/>
      <c r="E77" s="9"/>
      <c r="F77" s="9"/>
    </row>
    <row r="78" spans="2:6" ht="15.75" x14ac:dyDescent="0.25">
      <c r="B78" s="49">
        <v>1</v>
      </c>
      <c r="C78" s="50">
        <v>8</v>
      </c>
      <c r="D78" s="30"/>
      <c r="E78" s="30"/>
      <c r="F78" s="9"/>
    </row>
    <row r="79" spans="2:6" ht="15.75" x14ac:dyDescent="0.25">
      <c r="B79" s="49">
        <v>1</v>
      </c>
      <c r="C79" s="50">
        <v>9</v>
      </c>
      <c r="D79" s="30"/>
      <c r="E79" s="30"/>
      <c r="F79" s="9"/>
    </row>
    <row r="80" spans="2:6" ht="15.75" x14ac:dyDescent="0.25">
      <c r="B80" s="49">
        <v>1</v>
      </c>
      <c r="C80" s="50">
        <v>10</v>
      </c>
      <c r="D80" s="30"/>
      <c r="E80" s="30"/>
      <c r="F80" s="9"/>
    </row>
    <row r="81" spans="2:6" ht="15.75" x14ac:dyDescent="0.25">
      <c r="B81" s="49">
        <v>1</v>
      </c>
      <c r="C81" s="50">
        <v>11</v>
      </c>
      <c r="D81" s="30"/>
      <c r="E81" s="30"/>
      <c r="F81" s="9"/>
    </row>
    <row r="82" spans="2:6" ht="15.75" x14ac:dyDescent="0.25">
      <c r="B82" s="49">
        <v>1</v>
      </c>
      <c r="C82" s="50">
        <v>12</v>
      </c>
      <c r="D82" s="30"/>
      <c r="E82" s="30"/>
      <c r="F82" s="9"/>
    </row>
    <row r="83" spans="2:6" ht="15.75" x14ac:dyDescent="0.25">
      <c r="B83" s="49">
        <v>2</v>
      </c>
      <c r="C83" s="50">
        <v>1</v>
      </c>
      <c r="D83" s="30" t="s">
        <v>172</v>
      </c>
      <c r="E83" s="30"/>
      <c r="F83" s="9"/>
    </row>
    <row r="84" spans="2:6" ht="15.75" x14ac:dyDescent="0.25">
      <c r="B84" s="49">
        <v>2</v>
      </c>
      <c r="C84" s="50">
        <v>2</v>
      </c>
      <c r="D84" s="30" t="s">
        <v>173</v>
      </c>
      <c r="E84" s="30"/>
      <c r="F84" s="9"/>
    </row>
    <row r="85" spans="2:6" ht="15.75" x14ac:dyDescent="0.25">
      <c r="B85" s="49">
        <v>2</v>
      </c>
      <c r="C85" s="50">
        <v>3</v>
      </c>
      <c r="D85" s="30" t="s">
        <v>174</v>
      </c>
      <c r="E85" s="30" t="s">
        <v>175</v>
      </c>
      <c r="F85" s="9"/>
    </row>
    <row r="86" spans="2:6" ht="15.75" x14ac:dyDescent="0.25">
      <c r="B86" s="49">
        <v>2</v>
      </c>
      <c r="C86" s="50">
        <v>4</v>
      </c>
      <c r="D86" s="30" t="s">
        <v>176</v>
      </c>
      <c r="E86" s="30" t="s">
        <v>177</v>
      </c>
      <c r="F86" s="9"/>
    </row>
    <row r="87" spans="2:6" ht="15.75" x14ac:dyDescent="0.25">
      <c r="B87" s="49">
        <v>2</v>
      </c>
      <c r="C87" s="50">
        <v>5</v>
      </c>
      <c r="D87" s="30" t="s">
        <v>178</v>
      </c>
      <c r="E87" s="30" t="s">
        <v>179</v>
      </c>
      <c r="F87" s="9"/>
    </row>
    <row r="88" spans="2:6" ht="15.75" x14ac:dyDescent="0.25">
      <c r="B88" s="49">
        <v>2</v>
      </c>
      <c r="C88" s="50">
        <v>6</v>
      </c>
      <c r="D88" s="30" t="s">
        <v>180</v>
      </c>
      <c r="E88" s="30" t="s">
        <v>181</v>
      </c>
      <c r="F88" s="9"/>
    </row>
    <row r="89" spans="2:6" ht="15.75" x14ac:dyDescent="0.25">
      <c r="B89" s="49">
        <v>2</v>
      </c>
      <c r="C89" s="50">
        <v>7</v>
      </c>
      <c r="D89" s="30" t="s">
        <v>182</v>
      </c>
      <c r="E89" s="30"/>
      <c r="F89" s="9"/>
    </row>
    <row r="90" spans="2:6" ht="15.75" x14ac:dyDescent="0.25">
      <c r="B90" s="49">
        <v>2</v>
      </c>
      <c r="C90" s="50">
        <v>8</v>
      </c>
      <c r="D90" s="30" t="s">
        <v>183</v>
      </c>
      <c r="E90" s="30" t="s">
        <v>184</v>
      </c>
      <c r="F90" s="9"/>
    </row>
    <row r="91" spans="2:6" ht="15.75" x14ac:dyDescent="0.25">
      <c r="B91" s="49">
        <v>2</v>
      </c>
      <c r="C91" s="50">
        <v>9</v>
      </c>
      <c r="D91" s="30" t="s">
        <v>185</v>
      </c>
      <c r="E91" s="30" t="s">
        <v>186</v>
      </c>
      <c r="F91" s="9"/>
    </row>
    <row r="92" spans="2:6" ht="15.75" x14ac:dyDescent="0.25">
      <c r="B92" s="49">
        <v>2</v>
      </c>
      <c r="C92" s="50">
        <v>10</v>
      </c>
      <c r="D92" s="31" t="s">
        <v>187</v>
      </c>
      <c r="E92" s="31" t="s">
        <v>188</v>
      </c>
      <c r="F92" s="9"/>
    </row>
    <row r="93" spans="2:6" ht="15.75" x14ac:dyDescent="0.25">
      <c r="B93" s="49">
        <v>2</v>
      </c>
      <c r="C93" s="50">
        <v>11</v>
      </c>
      <c r="D93" s="31" t="s">
        <v>189</v>
      </c>
      <c r="E93" s="31" t="s">
        <v>190</v>
      </c>
      <c r="F93" s="9"/>
    </row>
    <row r="94" spans="2:6" ht="15.75" x14ac:dyDescent="0.25">
      <c r="B94" s="49">
        <v>2</v>
      </c>
      <c r="C94" s="50">
        <v>12</v>
      </c>
      <c r="D94" s="31" t="s">
        <v>191</v>
      </c>
      <c r="E94" s="31" t="s">
        <v>192</v>
      </c>
      <c r="F94" s="9"/>
    </row>
  </sheetData>
  <sheetProtection sheet="1" objects="1" scenarios="1" formatCells="0" formatColumns="0" formatRows="0" insertHyperlinks="0"/>
  <dataValidations count="4">
    <dataValidation type="list" allowBlank="1" showInputMessage="1" showErrorMessage="1" sqref="E38:E41" xr:uid="{6B033663-DA4C-4E1E-ACA3-197C23B3DA27}">
      <formula1>INDIRECT("LISTAssess[Assessment Specific]")</formula1>
    </dataValidation>
    <dataValidation type="whole" showInputMessage="1" showErrorMessage="1" error="This is not a realistic number of contact hours please change" sqref="D19" xr:uid="{002B1BD8-24F6-46FD-A0E4-8333C78B8357}">
      <formula1>0</formula1>
      <formula2>80</formula2>
    </dataValidation>
    <dataValidation type="whole" showInputMessage="1" showErrorMessage="1" error="This is not a realistic number of contact hours please reduce" sqref="D20:D23" xr:uid="{E4839EC2-0B62-4F96-A8C1-2B68B106BEF1}">
      <formula1>0</formula1>
      <formula2>80</formula2>
    </dataValidation>
    <dataValidation type="list" allowBlank="1" showInputMessage="1" showErrorMessage="1" sqref="F46:F56" xr:uid="{A6F5F47F-6866-478E-9880-CF9E3CF9BFDA}">
      <formula1>INDIRECT(VLOOKUP($E46, SkillNameMap, 2, FALSE))</formula1>
    </dataValidation>
  </dataValidations>
  <pageMargins left="0.7" right="0.7" top="0.75" bottom="0.75" header="0.3" footer="0.3"/>
  <pageSetup paperSize="9" orientation="portrait" horizontalDpi="4294967293" verticalDpi="0" r:id="rId1"/>
  <tableParts count="10">
    <tablePart r:id="rId2"/>
    <tablePart r:id="rId3"/>
    <tablePart r:id="rId4"/>
    <tablePart r:id="rId5"/>
    <tablePart r:id="rId6"/>
    <tablePart r:id="rId7"/>
    <tablePart r:id="rId8"/>
    <tablePart r:id="rId9"/>
    <tablePart r:id="rId10"/>
    <tablePart r:id="rId11"/>
  </tableParts>
  <extLst>
    <ext xmlns:x14="http://schemas.microsoft.com/office/spreadsheetml/2009/9/main" uri="{CCE6A557-97BC-4b89-ADB6-D9C93CAAB3DF}">
      <x14:dataValidations xmlns:xm="http://schemas.microsoft.com/office/excel/2006/main" count="7">
        <x14:dataValidation type="list" allowBlank="1" showInputMessage="1" showErrorMessage="1" xr:uid="{3192E7A5-766C-4AB3-9259-83B852E400AB}">
          <x14:formula1>
            <xm:f>LISTS!$G$7:$G$11</xm:f>
          </x14:formula1>
          <xm:sqref>D38:D42</xm:sqref>
        </x14:dataValidation>
        <x14:dataValidation type="list" allowBlank="1" showInputMessage="1" showErrorMessage="1" xr:uid="{71464BA5-EA7B-4280-8E21-FEA97DF76E39}">
          <x14:formula1>
            <xm:f>LISTS!$C$11:$C$15</xm:f>
          </x14:formula1>
          <xm:sqref>D11</xm:sqref>
        </x14:dataValidation>
        <x14:dataValidation type="list" allowBlank="1" showInputMessage="1" showErrorMessage="1" xr:uid="{ED74EE7F-E73A-4E7D-BB1B-77B834D943C7}">
          <x14:formula1>
            <xm:f>LISTS!$C$7:$C$9</xm:f>
          </x14:formula1>
          <xm:sqref>D10</xm:sqref>
        </x14:dataValidation>
        <x14:dataValidation type="list" allowBlank="1" showInputMessage="1" showErrorMessage="1" xr:uid="{F88D41F7-E6D7-4EA0-ABD2-42A925615DAA}">
          <x14:formula1>
            <xm:f>LISTS!$C$17:$C$22</xm:f>
          </x14:formula1>
          <xm:sqref>D13</xm:sqref>
        </x14:dataValidation>
        <x14:dataValidation type="list" allowBlank="1" showInputMessage="1" showErrorMessage="1" xr:uid="{799447E1-E0B9-422D-8078-3D88555E8F5B}">
          <x14:formula1>
            <xm:f>LISTS!$C$26:$C$37</xm:f>
          </x14:formula1>
          <xm:sqref>D14</xm:sqref>
        </x14:dataValidation>
        <x14:dataValidation type="list" allowBlank="1" showInputMessage="1" showErrorMessage="1" xr:uid="{F8A31BEF-5E3B-417C-9E73-D27481A5C886}">
          <x14:formula1>
            <xm:f>LISTS!$J$7:$J$16</xm:f>
          </x14:formula1>
          <xm:sqref>E46:E56</xm:sqref>
        </x14:dataValidation>
        <x14:dataValidation type="list" allowBlank="1" showInputMessage="1" showErrorMessage="1" xr:uid="{4A234C3A-C5D8-4DCE-A391-988FDC67A9B9}">
          <x14:formula1>
            <xm:f>LISTS!$E$7:$E$11</xm:f>
          </x14:formula1>
          <xm:sqref>D46:D56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F1524-9C3B-440D-AEC2-FAF3E738013E}">
  <sheetPr codeName="Sheet4"/>
  <dimension ref="B2:H94"/>
  <sheetViews>
    <sheetView showGridLines="0" zoomScale="85" zoomScaleNormal="85" workbookViewId="0">
      <selection activeCell="F58" sqref="F58"/>
    </sheetView>
  </sheetViews>
  <sheetFormatPr defaultColWidth="8.85546875" defaultRowHeight="15" x14ac:dyDescent="0.25"/>
  <cols>
    <col min="3" max="3" width="33.28515625" customWidth="1"/>
    <col min="4" max="4" width="51.42578125" customWidth="1"/>
    <col min="5" max="5" width="67.28515625" customWidth="1"/>
    <col min="6" max="6" width="63.140625" customWidth="1"/>
    <col min="7" max="7" width="12.42578125" customWidth="1"/>
    <col min="8" max="8" width="15.42578125" customWidth="1"/>
    <col min="9" max="9" width="14.7109375" customWidth="1"/>
  </cols>
  <sheetData>
    <row r="2" spans="2:6" ht="26.25" x14ac:dyDescent="0.4">
      <c r="C2" s="8" t="str">
        <f>D7</f>
        <v>4054SPS</v>
      </c>
      <c r="D2" s="8" t="str">
        <f>D8</f>
        <v>Academic Skills</v>
      </c>
    </row>
    <row r="3" spans="2:6" x14ac:dyDescent="0.25">
      <c r="B3" s="1"/>
      <c r="C3" s="1"/>
    </row>
    <row r="4" spans="2:6" x14ac:dyDescent="0.25">
      <c r="B4" s="2"/>
      <c r="C4" s="2"/>
    </row>
    <row r="5" spans="2:6" ht="18.75" x14ac:dyDescent="0.25">
      <c r="B5" s="2"/>
      <c r="C5" s="5" t="s">
        <v>0</v>
      </c>
    </row>
    <row r="6" spans="2:6" x14ac:dyDescent="0.25">
      <c r="B6" s="2"/>
      <c r="C6" s="3" t="s">
        <v>1</v>
      </c>
      <c r="D6" s="4" t="s">
        <v>2</v>
      </c>
      <c r="E6" s="4"/>
      <c r="F6" t="s">
        <v>3</v>
      </c>
    </row>
    <row r="7" spans="2:6" ht="45" x14ac:dyDescent="0.25">
      <c r="B7" s="2"/>
      <c r="C7" s="48" t="s">
        <v>4</v>
      </c>
      <c r="D7" s="9" t="s">
        <v>193</v>
      </c>
      <c r="E7" s="4"/>
      <c r="F7" s="21" t="s">
        <v>194</v>
      </c>
    </row>
    <row r="8" spans="2:6" ht="45" x14ac:dyDescent="0.25">
      <c r="B8" s="2"/>
      <c r="C8" s="48" t="s">
        <v>7</v>
      </c>
      <c r="D8" s="9" t="s">
        <v>195</v>
      </c>
      <c r="E8" s="4"/>
      <c r="F8" s="21" t="s">
        <v>196</v>
      </c>
    </row>
    <row r="9" spans="2:6" x14ac:dyDescent="0.25">
      <c r="C9" s="48" t="s">
        <v>10</v>
      </c>
      <c r="D9" s="9">
        <v>20</v>
      </c>
      <c r="E9" s="4"/>
    </row>
    <row r="10" spans="2:6" x14ac:dyDescent="0.25">
      <c r="C10" s="48" t="s">
        <v>11</v>
      </c>
      <c r="D10" s="9">
        <v>1</v>
      </c>
      <c r="E10" s="4"/>
      <c r="F10" t="s">
        <v>12</v>
      </c>
    </row>
    <row r="11" spans="2:6" ht="45" x14ac:dyDescent="0.25">
      <c r="C11" s="48" t="s">
        <v>13</v>
      </c>
      <c r="D11" s="9">
        <v>4</v>
      </c>
      <c r="E11" s="4"/>
      <c r="F11" s="21" t="s">
        <v>197</v>
      </c>
    </row>
    <row r="12" spans="2:6" ht="60" x14ac:dyDescent="0.25">
      <c r="C12" s="48" t="s">
        <v>15</v>
      </c>
      <c r="D12" s="9" t="s">
        <v>16</v>
      </c>
      <c r="E12" s="4"/>
      <c r="F12" s="21" t="s">
        <v>198</v>
      </c>
    </row>
    <row r="13" spans="2:6" ht="45" x14ac:dyDescent="0.25">
      <c r="C13" s="48" t="s">
        <v>18</v>
      </c>
      <c r="D13" s="9" t="s">
        <v>119</v>
      </c>
      <c r="E13" s="4"/>
      <c r="F13" s="21" t="s">
        <v>199</v>
      </c>
    </row>
    <row r="14" spans="2:6" x14ac:dyDescent="0.25">
      <c r="C14" s="48" t="s">
        <v>21</v>
      </c>
      <c r="D14" s="9" t="s">
        <v>22</v>
      </c>
      <c r="E14" s="4"/>
    </row>
    <row r="15" spans="2:6" x14ac:dyDescent="0.25">
      <c r="C15" s="3"/>
      <c r="D15" s="4"/>
      <c r="E15" s="4"/>
      <c r="F15" t="s">
        <v>23</v>
      </c>
    </row>
    <row r="16" spans="2:6" ht="135" x14ac:dyDescent="0.25">
      <c r="C16" s="3"/>
      <c r="D16" s="4"/>
      <c r="E16" s="4"/>
      <c r="F16" s="21" t="s">
        <v>200</v>
      </c>
    </row>
    <row r="17" spans="3:6" ht="18.75" x14ac:dyDescent="0.25">
      <c r="C17" s="5" t="s">
        <v>25</v>
      </c>
      <c r="D17" s="4"/>
      <c r="E17" s="4"/>
      <c r="F17" s="12"/>
    </row>
    <row r="18" spans="3:6" x14ac:dyDescent="0.25">
      <c r="C18" s="3" t="s">
        <v>26</v>
      </c>
      <c r="D18" s="1" t="s">
        <v>25</v>
      </c>
      <c r="E18" s="4"/>
      <c r="F18" s="12"/>
    </row>
    <row r="19" spans="3:6" x14ac:dyDescent="0.25">
      <c r="C19" s="48" t="s">
        <v>27</v>
      </c>
      <c r="D19" s="10">
        <v>20</v>
      </c>
      <c r="E19" s="4"/>
      <c r="F19" s="12"/>
    </row>
    <row r="20" spans="3:6" x14ac:dyDescent="0.25">
      <c r="C20" s="48" t="s">
        <v>28</v>
      </c>
      <c r="D20" s="10">
        <v>8</v>
      </c>
      <c r="E20" s="4"/>
      <c r="F20" s="12"/>
    </row>
    <row r="21" spans="3:6" x14ac:dyDescent="0.25">
      <c r="C21" s="48" t="s">
        <v>29</v>
      </c>
      <c r="D21" s="10">
        <v>8</v>
      </c>
      <c r="E21" s="4"/>
    </row>
    <row r="22" spans="3:6" x14ac:dyDescent="0.25">
      <c r="C22" s="48" t="s">
        <v>30</v>
      </c>
      <c r="D22" s="10">
        <v>8</v>
      </c>
      <c r="E22" s="4"/>
      <c r="F22" t="s">
        <v>31</v>
      </c>
    </row>
    <row r="23" spans="3:6" x14ac:dyDescent="0.25">
      <c r="C23" s="48" t="s">
        <v>32</v>
      </c>
      <c r="D23" s="10">
        <v>4</v>
      </c>
      <c r="E23" s="4"/>
      <c r="F23" s="12" t="s">
        <v>33</v>
      </c>
    </row>
    <row r="24" spans="3:6" x14ac:dyDescent="0.25">
      <c r="C24" s="48" t="s">
        <v>34</v>
      </c>
      <c r="D24" s="1">
        <f>SUM(D19:D23)</f>
        <v>48</v>
      </c>
      <c r="E24" s="4"/>
      <c r="F24" s="12"/>
    </row>
    <row r="25" spans="3:6" x14ac:dyDescent="0.25">
      <c r="F25" s="12"/>
    </row>
    <row r="26" spans="3:6" x14ac:dyDescent="0.25">
      <c r="F26" s="12"/>
    </row>
    <row r="27" spans="3:6" ht="18.75" x14ac:dyDescent="0.25">
      <c r="C27" s="5" t="s">
        <v>35</v>
      </c>
      <c r="D27" s="7" t="s">
        <v>36</v>
      </c>
      <c r="F27" s="12"/>
    </row>
    <row r="28" spans="3:6" x14ac:dyDescent="0.25">
      <c r="C28" s="3" t="s">
        <v>37</v>
      </c>
      <c r="D28" s="3" t="s">
        <v>38</v>
      </c>
      <c r="E28" s="3"/>
      <c r="F28" s="12"/>
    </row>
    <row r="29" spans="3:6" ht="45" x14ac:dyDescent="0.25">
      <c r="C29" s="48" t="s">
        <v>39</v>
      </c>
      <c r="D29" s="9" t="s">
        <v>201</v>
      </c>
      <c r="E29" s="4"/>
      <c r="F29" s="12"/>
    </row>
    <row r="30" spans="3:6" ht="60" x14ac:dyDescent="0.25">
      <c r="C30" s="48" t="s">
        <v>41</v>
      </c>
      <c r="D30" s="9" t="s">
        <v>202</v>
      </c>
      <c r="E30" s="4"/>
      <c r="F30" s="12"/>
    </row>
    <row r="31" spans="3:6" ht="45" x14ac:dyDescent="0.25">
      <c r="C31" s="48" t="s">
        <v>43</v>
      </c>
      <c r="D31" s="9" t="s">
        <v>203</v>
      </c>
      <c r="E31" s="4"/>
      <c r="F31" s="12"/>
    </row>
    <row r="32" spans="3:6" x14ac:dyDescent="0.25">
      <c r="C32" s="48" t="s">
        <v>45</v>
      </c>
      <c r="D32" s="9"/>
      <c r="E32" s="4"/>
      <c r="F32" s="12"/>
    </row>
    <row r="33" spans="3:8" x14ac:dyDescent="0.25">
      <c r="C33" s="48" t="s">
        <v>47</v>
      </c>
      <c r="D33" s="9"/>
      <c r="E33" s="4"/>
      <c r="F33" s="12"/>
    </row>
    <row r="36" spans="3:8" ht="18.75" x14ac:dyDescent="0.25">
      <c r="C36" s="5" t="s">
        <v>49</v>
      </c>
    </row>
    <row r="37" spans="3:8" x14ac:dyDescent="0.25">
      <c r="C37" s="3" t="s">
        <v>50</v>
      </c>
      <c r="D37" s="3" t="s">
        <v>51</v>
      </c>
      <c r="E37" s="3" t="s">
        <v>52</v>
      </c>
      <c r="F37" s="3" t="s">
        <v>53</v>
      </c>
      <c r="G37" s="3" t="s">
        <v>54</v>
      </c>
      <c r="H37" s="3" t="s">
        <v>55</v>
      </c>
    </row>
    <row r="38" spans="3:8" ht="45" x14ac:dyDescent="0.25">
      <c r="C38" s="48" t="s">
        <v>56</v>
      </c>
      <c r="D38" s="9" t="s">
        <v>57</v>
      </c>
      <c r="E38" s="9" t="s">
        <v>204</v>
      </c>
      <c r="F38" s="9" t="s">
        <v>205</v>
      </c>
      <c r="G38" s="11">
        <v>0.5</v>
      </c>
      <c r="H38" s="9">
        <v>6</v>
      </c>
    </row>
    <row r="39" spans="3:8" ht="60" x14ac:dyDescent="0.25">
      <c r="C39" s="48" t="s">
        <v>60</v>
      </c>
      <c r="D39" s="9" t="s">
        <v>206</v>
      </c>
      <c r="E39" s="9" t="s">
        <v>207</v>
      </c>
      <c r="F39" s="9" t="s">
        <v>208</v>
      </c>
      <c r="G39" s="11">
        <v>0.5</v>
      </c>
      <c r="H39" s="9">
        <v>12</v>
      </c>
    </row>
    <row r="40" spans="3:8" x14ac:dyDescent="0.25">
      <c r="C40" s="48"/>
      <c r="D40" s="12"/>
      <c r="E40" s="12"/>
      <c r="F40" s="12"/>
      <c r="G40" s="12"/>
      <c r="H40" s="12"/>
    </row>
    <row r="41" spans="3:8" x14ac:dyDescent="0.25">
      <c r="C41" s="48"/>
      <c r="D41" s="12"/>
      <c r="E41" s="12"/>
      <c r="F41" s="12"/>
      <c r="G41" s="12"/>
      <c r="H41" s="12"/>
    </row>
    <row r="42" spans="3:8" x14ac:dyDescent="0.25">
      <c r="C42" s="3"/>
    </row>
    <row r="44" spans="3:8" ht="18.75" x14ac:dyDescent="0.25">
      <c r="C44" s="5" t="s">
        <v>65</v>
      </c>
      <c r="D44" s="7"/>
    </row>
    <row r="45" spans="3:8" x14ac:dyDescent="0.25">
      <c r="C45" s="1" t="s">
        <v>50</v>
      </c>
      <c r="D45" s="1" t="s">
        <v>37</v>
      </c>
      <c r="E45" s="1" t="s">
        <v>66</v>
      </c>
      <c r="F45" s="1" t="s">
        <v>67</v>
      </c>
    </row>
    <row r="46" spans="3:8" x14ac:dyDescent="0.25">
      <c r="C46" s="13" t="s">
        <v>56</v>
      </c>
      <c r="D46" s="12" t="s">
        <v>39</v>
      </c>
      <c r="E46" s="12" t="s">
        <v>70</v>
      </c>
      <c r="F46" s="12" t="s">
        <v>209</v>
      </c>
    </row>
    <row r="47" spans="3:8" x14ac:dyDescent="0.25">
      <c r="C47" s="13" t="s">
        <v>56</v>
      </c>
      <c r="D47" s="12" t="s">
        <v>39</v>
      </c>
      <c r="E47" s="12" t="s">
        <v>68</v>
      </c>
      <c r="F47" s="12" t="s">
        <v>165</v>
      </c>
    </row>
    <row r="48" spans="3:8" x14ac:dyDescent="0.25">
      <c r="C48" s="13" t="s">
        <v>56</v>
      </c>
      <c r="D48" s="12" t="s">
        <v>41</v>
      </c>
      <c r="E48" s="12" t="s">
        <v>72</v>
      </c>
      <c r="F48" s="12" t="s">
        <v>166</v>
      </c>
    </row>
    <row r="49" spans="3:6" x14ac:dyDescent="0.25">
      <c r="C49" s="13" t="s">
        <v>56</v>
      </c>
      <c r="D49" s="12" t="s">
        <v>41</v>
      </c>
      <c r="E49" s="12" t="s">
        <v>74</v>
      </c>
      <c r="F49" s="12" t="s">
        <v>210</v>
      </c>
    </row>
    <row r="50" spans="3:6" x14ac:dyDescent="0.25">
      <c r="C50" s="13" t="s">
        <v>56</v>
      </c>
      <c r="D50" s="12" t="s">
        <v>41</v>
      </c>
      <c r="E50" s="12" t="s">
        <v>74</v>
      </c>
      <c r="F50" s="12" t="s">
        <v>75</v>
      </c>
    </row>
    <row r="51" spans="3:6" x14ac:dyDescent="0.25">
      <c r="C51" s="13" t="s">
        <v>60</v>
      </c>
      <c r="D51" s="12" t="s">
        <v>43</v>
      </c>
      <c r="E51" s="12" t="s">
        <v>74</v>
      </c>
      <c r="F51" s="12" t="s">
        <v>210</v>
      </c>
    </row>
    <row r="52" spans="3:6" x14ac:dyDescent="0.25">
      <c r="C52" s="13" t="s">
        <v>60</v>
      </c>
      <c r="D52" s="12" t="s">
        <v>43</v>
      </c>
      <c r="E52" s="12" t="s">
        <v>72</v>
      </c>
      <c r="F52" s="12" t="s">
        <v>211</v>
      </c>
    </row>
    <row r="53" spans="3:6" x14ac:dyDescent="0.25">
      <c r="C53" s="13" t="s">
        <v>60</v>
      </c>
      <c r="D53" s="12" t="s">
        <v>43</v>
      </c>
      <c r="E53" s="12" t="s">
        <v>68</v>
      </c>
      <c r="F53" s="12" t="s">
        <v>130</v>
      </c>
    </row>
    <row r="54" spans="3:6" x14ac:dyDescent="0.25">
      <c r="C54" s="13" t="s">
        <v>60</v>
      </c>
      <c r="D54" s="12" t="s">
        <v>43</v>
      </c>
      <c r="E54" s="12" t="s">
        <v>78</v>
      </c>
      <c r="F54" s="12" t="s">
        <v>212</v>
      </c>
    </row>
    <row r="55" spans="3:6" x14ac:dyDescent="0.25">
      <c r="C55" s="13" t="s">
        <v>60</v>
      </c>
      <c r="D55" s="12" t="s">
        <v>43</v>
      </c>
      <c r="E55" s="12" t="s">
        <v>84</v>
      </c>
      <c r="F55" s="12" t="s">
        <v>85</v>
      </c>
    </row>
    <row r="56" spans="3:6" x14ac:dyDescent="0.25">
      <c r="C56" s="13"/>
      <c r="D56" s="12"/>
      <c r="E56" s="12"/>
      <c r="F56" s="12"/>
    </row>
    <row r="57" spans="3:6" x14ac:dyDescent="0.25">
      <c r="C57" s="13"/>
      <c r="D57" s="12"/>
      <c r="E57" s="12"/>
      <c r="F57" s="12"/>
    </row>
    <row r="58" spans="3:6" x14ac:dyDescent="0.25">
      <c r="C58" s="13"/>
      <c r="D58" s="12"/>
      <c r="E58" s="12"/>
      <c r="F58" s="12"/>
    </row>
    <row r="59" spans="3:6" x14ac:dyDescent="0.25">
      <c r="C59" s="13"/>
      <c r="D59" s="12"/>
      <c r="E59" s="12"/>
      <c r="F59" s="12"/>
    </row>
    <row r="60" spans="3:6" x14ac:dyDescent="0.25">
      <c r="C60" s="13"/>
      <c r="D60" s="12"/>
      <c r="E60" s="12"/>
      <c r="F60" s="12"/>
    </row>
    <row r="61" spans="3:6" x14ac:dyDescent="0.25">
      <c r="C61" s="13"/>
      <c r="D61" s="12"/>
      <c r="E61" s="12"/>
      <c r="F61" s="12"/>
    </row>
    <row r="62" spans="3:6" x14ac:dyDescent="0.25">
      <c r="C62" s="13"/>
      <c r="D62" s="12"/>
      <c r="E62" s="12"/>
      <c r="F62" s="12"/>
    </row>
    <row r="63" spans="3:6" x14ac:dyDescent="0.25">
      <c r="C63" s="13"/>
      <c r="D63" s="12"/>
      <c r="E63" s="12"/>
      <c r="F63" s="12"/>
    </row>
    <row r="64" spans="3:6" x14ac:dyDescent="0.25">
      <c r="C64" s="13"/>
      <c r="D64" s="12"/>
      <c r="E64" s="12"/>
      <c r="F64" s="12"/>
    </row>
    <row r="65" spans="2:6" x14ac:dyDescent="0.25">
      <c r="C65" s="13"/>
      <c r="D65" s="12"/>
      <c r="E65" s="12"/>
      <c r="F65" s="12"/>
    </row>
    <row r="66" spans="2:6" x14ac:dyDescent="0.25">
      <c r="C66" s="13"/>
      <c r="D66" s="12"/>
      <c r="E66" s="12"/>
      <c r="F66" s="12"/>
    </row>
    <row r="69" spans="2:6" ht="18.75" x14ac:dyDescent="0.25">
      <c r="C69" s="5" t="s">
        <v>90</v>
      </c>
    </row>
    <row r="70" spans="2:6" x14ac:dyDescent="0.25">
      <c r="B70" t="s">
        <v>91</v>
      </c>
      <c r="C70" s="1" t="s">
        <v>92</v>
      </c>
      <c r="D70" s="1" t="s">
        <v>93</v>
      </c>
      <c r="E70" s="1" t="s">
        <v>94</v>
      </c>
      <c r="F70" s="1" t="s">
        <v>95</v>
      </c>
    </row>
    <row r="71" spans="2:6" x14ac:dyDescent="0.25">
      <c r="B71" s="49">
        <v>1</v>
      </c>
      <c r="C71" s="50">
        <v>1</v>
      </c>
      <c r="D71" s="9" t="s">
        <v>213</v>
      </c>
      <c r="E71" s="9" t="s">
        <v>214</v>
      </c>
      <c r="F71" s="9"/>
    </row>
    <row r="72" spans="2:6" x14ac:dyDescent="0.25">
      <c r="B72" s="49">
        <v>1</v>
      </c>
      <c r="C72" s="50">
        <v>2</v>
      </c>
      <c r="D72" s="9" t="s">
        <v>215</v>
      </c>
      <c r="E72" s="9" t="s">
        <v>216</v>
      </c>
      <c r="F72" s="9"/>
    </row>
    <row r="73" spans="2:6" x14ac:dyDescent="0.25">
      <c r="B73" s="49">
        <v>1</v>
      </c>
      <c r="C73" s="50">
        <v>3</v>
      </c>
      <c r="D73" s="9" t="s">
        <v>217</v>
      </c>
      <c r="E73" s="9" t="s">
        <v>218</v>
      </c>
      <c r="F73" s="9"/>
    </row>
    <row r="74" spans="2:6" x14ac:dyDescent="0.25">
      <c r="B74" s="49">
        <v>1</v>
      </c>
      <c r="C74" s="50">
        <v>4</v>
      </c>
      <c r="D74" s="9" t="s">
        <v>219</v>
      </c>
      <c r="E74" s="9" t="s">
        <v>220</v>
      </c>
      <c r="F74" s="9"/>
    </row>
    <row r="75" spans="2:6" x14ac:dyDescent="0.25">
      <c r="B75" s="49">
        <v>1</v>
      </c>
      <c r="C75" s="50">
        <v>5</v>
      </c>
      <c r="D75" s="9" t="s">
        <v>221</v>
      </c>
      <c r="E75" s="9" t="s">
        <v>222</v>
      </c>
      <c r="F75" s="9"/>
    </row>
    <row r="76" spans="2:6" x14ac:dyDescent="0.25">
      <c r="B76" s="49">
        <v>1</v>
      </c>
      <c r="C76" s="50">
        <v>6</v>
      </c>
      <c r="D76" s="9" t="s">
        <v>223</v>
      </c>
      <c r="E76" s="9" t="s">
        <v>224</v>
      </c>
      <c r="F76" s="9"/>
    </row>
    <row r="77" spans="2:6" x14ac:dyDescent="0.25">
      <c r="B77" s="49">
        <v>1</v>
      </c>
      <c r="C77" s="50">
        <v>7</v>
      </c>
      <c r="D77" s="9" t="s">
        <v>225</v>
      </c>
      <c r="E77" s="9" t="s">
        <v>225</v>
      </c>
      <c r="F77" s="9"/>
    </row>
    <row r="78" spans="2:6" x14ac:dyDescent="0.25">
      <c r="B78" s="49">
        <v>1</v>
      </c>
      <c r="C78" s="50">
        <v>8</v>
      </c>
      <c r="D78" s="9" t="s">
        <v>226</v>
      </c>
      <c r="E78" s="9" t="s">
        <v>227</v>
      </c>
      <c r="F78" s="9"/>
    </row>
    <row r="79" spans="2:6" x14ac:dyDescent="0.25">
      <c r="B79" s="49">
        <v>1</v>
      </c>
      <c r="C79" s="50">
        <v>9</v>
      </c>
      <c r="D79" s="9" t="s">
        <v>228</v>
      </c>
      <c r="E79" s="9" t="s">
        <v>229</v>
      </c>
      <c r="F79" s="9"/>
    </row>
    <row r="80" spans="2:6" x14ac:dyDescent="0.25">
      <c r="B80" s="49">
        <v>1</v>
      </c>
      <c r="C80" s="50">
        <v>10</v>
      </c>
      <c r="D80" s="9" t="s">
        <v>230</v>
      </c>
      <c r="E80" s="9" t="s">
        <v>231</v>
      </c>
      <c r="F80" s="9"/>
    </row>
    <row r="81" spans="2:6" x14ac:dyDescent="0.25">
      <c r="B81" s="49">
        <v>1</v>
      </c>
      <c r="C81" s="50">
        <v>11</v>
      </c>
      <c r="D81" s="9" t="s">
        <v>232</v>
      </c>
      <c r="E81" s="9" t="s">
        <v>233</v>
      </c>
      <c r="F81" s="9"/>
    </row>
    <row r="82" spans="2:6" x14ac:dyDescent="0.25">
      <c r="B82" s="49">
        <v>1</v>
      </c>
      <c r="C82" s="50">
        <v>12</v>
      </c>
      <c r="D82" s="9" t="s">
        <v>234</v>
      </c>
      <c r="E82" s="9" t="s">
        <v>235</v>
      </c>
      <c r="F82" s="9"/>
    </row>
    <row r="83" spans="2:6" x14ac:dyDescent="0.25">
      <c r="B83" s="49">
        <v>2</v>
      </c>
      <c r="C83" s="50">
        <v>1</v>
      </c>
      <c r="D83" s="9"/>
      <c r="E83" s="9"/>
      <c r="F83" s="9"/>
    </row>
    <row r="84" spans="2:6" x14ac:dyDescent="0.25">
      <c r="B84" s="49">
        <v>2</v>
      </c>
      <c r="C84" s="50">
        <v>2</v>
      </c>
      <c r="D84" s="9"/>
      <c r="E84" s="9"/>
      <c r="F84" s="9"/>
    </row>
    <row r="85" spans="2:6" x14ac:dyDescent="0.25">
      <c r="B85" s="49">
        <v>2</v>
      </c>
      <c r="C85" s="50">
        <v>3</v>
      </c>
      <c r="D85" s="9"/>
      <c r="E85" s="9"/>
      <c r="F85" s="9"/>
    </row>
    <row r="86" spans="2:6" x14ac:dyDescent="0.25">
      <c r="B86" s="49">
        <v>2</v>
      </c>
      <c r="C86" s="50">
        <v>4</v>
      </c>
      <c r="D86" s="9"/>
      <c r="E86" s="9"/>
      <c r="F86" s="9"/>
    </row>
    <row r="87" spans="2:6" x14ac:dyDescent="0.25">
      <c r="B87" s="49">
        <v>2</v>
      </c>
      <c r="C87" s="50">
        <v>5</v>
      </c>
      <c r="D87" s="9"/>
      <c r="E87" s="9"/>
      <c r="F87" s="9"/>
    </row>
    <row r="88" spans="2:6" x14ac:dyDescent="0.25">
      <c r="B88" s="49">
        <v>2</v>
      </c>
      <c r="C88" s="50">
        <v>6</v>
      </c>
      <c r="D88" s="9"/>
      <c r="E88" s="9"/>
      <c r="F88" s="9"/>
    </row>
    <row r="89" spans="2:6" x14ac:dyDescent="0.25">
      <c r="B89" s="49">
        <v>2</v>
      </c>
      <c r="C89" s="50">
        <v>7</v>
      </c>
      <c r="D89" s="9"/>
      <c r="E89" s="9"/>
      <c r="F89" s="9"/>
    </row>
    <row r="90" spans="2:6" x14ac:dyDescent="0.25">
      <c r="B90" s="49">
        <v>2</v>
      </c>
      <c r="C90" s="50">
        <v>8</v>
      </c>
      <c r="D90" s="9"/>
      <c r="E90" s="9"/>
      <c r="F90" s="9"/>
    </row>
    <row r="91" spans="2:6" x14ac:dyDescent="0.25">
      <c r="B91" s="49">
        <v>2</v>
      </c>
      <c r="C91" s="50">
        <v>9</v>
      </c>
      <c r="D91" s="9"/>
      <c r="E91" s="9"/>
      <c r="F91" s="9"/>
    </row>
    <row r="92" spans="2:6" x14ac:dyDescent="0.25">
      <c r="B92" s="49">
        <v>2</v>
      </c>
      <c r="C92" s="50">
        <v>10</v>
      </c>
      <c r="D92" s="9"/>
      <c r="E92" s="9"/>
      <c r="F92" s="9"/>
    </row>
    <row r="93" spans="2:6" x14ac:dyDescent="0.25">
      <c r="B93" s="49">
        <v>2</v>
      </c>
      <c r="C93" s="50">
        <v>11</v>
      </c>
      <c r="D93" s="9"/>
      <c r="E93" s="9"/>
      <c r="F93" s="9"/>
    </row>
    <row r="94" spans="2:6" x14ac:dyDescent="0.25">
      <c r="B94" s="49">
        <v>2</v>
      </c>
      <c r="C94" s="50">
        <v>12</v>
      </c>
      <c r="D94" s="9"/>
      <c r="E94" s="9"/>
      <c r="F94" s="9"/>
    </row>
  </sheetData>
  <sheetProtection sheet="1" objects="1" scenarios="1" formatCells="0" formatColumns="0" formatRows="0" insertHyperlinks="0"/>
  <dataValidations count="4">
    <dataValidation type="whole" showInputMessage="1" showErrorMessage="1" error="This is not a realistic number of contact hours please reduce" sqref="D20:D23" xr:uid="{3229C256-ABBC-47F3-8625-F41A5BABAC1F}">
      <formula1>0</formula1>
      <formula2>80</formula2>
    </dataValidation>
    <dataValidation type="whole" showInputMessage="1" showErrorMessage="1" error="This is not a realistic number of contact hours please change" sqref="D19" xr:uid="{AD4AC72D-916F-4382-B2A7-05CD7B2226A8}">
      <formula1>0</formula1>
      <formula2>80</formula2>
    </dataValidation>
    <dataValidation type="list" allowBlank="1" showInputMessage="1" showErrorMessage="1" sqref="E38:E41" xr:uid="{FDB67476-1D11-4DC5-B446-B8E66599A2C2}">
      <formula1>INDIRECT("LISTAssess[Assessment Specific]")</formula1>
    </dataValidation>
    <dataValidation type="list" allowBlank="1" showInputMessage="1" showErrorMessage="1" sqref="F46:F66" xr:uid="{1C21621D-7473-4C52-AA89-3A2F9E5BB565}">
      <formula1>INDIRECT(VLOOKUP($E46, SkillNameMap, 2, FALSE))</formula1>
    </dataValidation>
  </dataValidations>
  <pageMargins left="0.7" right="0.7" top="0.75" bottom="0.75" header="0.3" footer="0.3"/>
  <pageSetup paperSize="9" orientation="portrait" horizontalDpi="4294967293" verticalDpi="0" r:id="rId1"/>
  <tableParts count="10">
    <tablePart r:id="rId2"/>
    <tablePart r:id="rId3"/>
    <tablePart r:id="rId4"/>
    <tablePart r:id="rId5"/>
    <tablePart r:id="rId6"/>
    <tablePart r:id="rId7"/>
    <tablePart r:id="rId8"/>
    <tablePart r:id="rId9"/>
    <tablePart r:id="rId10"/>
    <tablePart r:id="rId11"/>
  </tableParts>
  <extLst>
    <ext xmlns:x14="http://schemas.microsoft.com/office/spreadsheetml/2009/9/main" uri="{CCE6A557-97BC-4b89-ADB6-D9C93CAAB3DF}">
      <x14:dataValidations xmlns:xm="http://schemas.microsoft.com/office/excel/2006/main" count="7">
        <x14:dataValidation type="list" allowBlank="1" showInputMessage="1" showErrorMessage="1" xr:uid="{B022925A-1C00-4AFA-A060-FE394763B53C}">
          <x14:formula1>
            <xm:f>LISTS!$C$26:$C$37</xm:f>
          </x14:formula1>
          <xm:sqref>D14</xm:sqref>
        </x14:dataValidation>
        <x14:dataValidation type="list" allowBlank="1" showInputMessage="1" showErrorMessage="1" xr:uid="{E147FE3C-0EDB-444D-84A8-E77F42E7C5D8}">
          <x14:formula1>
            <xm:f>LISTS!$C$17:$C$22</xm:f>
          </x14:formula1>
          <xm:sqref>D13</xm:sqref>
        </x14:dataValidation>
        <x14:dataValidation type="list" allowBlank="1" showInputMessage="1" showErrorMessage="1" xr:uid="{C4EDA730-38D3-4AEC-9B1B-4808FDB3AEE6}">
          <x14:formula1>
            <xm:f>LISTS!$C$7:$C$9</xm:f>
          </x14:formula1>
          <xm:sqref>D10</xm:sqref>
        </x14:dataValidation>
        <x14:dataValidation type="list" allowBlank="1" showInputMessage="1" showErrorMessage="1" xr:uid="{71ECC980-EB9A-4145-9F8B-52F5DED821C4}">
          <x14:formula1>
            <xm:f>LISTS!$C$11:$C$15</xm:f>
          </x14:formula1>
          <xm:sqref>D11</xm:sqref>
        </x14:dataValidation>
        <x14:dataValidation type="list" allowBlank="1" showInputMessage="1" showErrorMessage="1" xr:uid="{AC1D00FA-03B3-4BC1-87FD-4FB7D7C0F51E}">
          <x14:formula1>
            <xm:f>LISTS!$G$7:$G$11</xm:f>
          </x14:formula1>
          <xm:sqref>D38:D42</xm:sqref>
        </x14:dataValidation>
        <x14:dataValidation type="list" allowBlank="1" showInputMessage="1" showErrorMessage="1" xr:uid="{96A48C9E-FB8E-44C9-885B-243CD753BD9E}">
          <x14:formula1>
            <xm:f>LISTS!$E$7:$E$11</xm:f>
          </x14:formula1>
          <xm:sqref>D46:D66</xm:sqref>
        </x14:dataValidation>
        <x14:dataValidation type="list" allowBlank="1" showInputMessage="1" showErrorMessage="1" xr:uid="{5036F22C-DC1A-45C2-ACC5-04A85C0867A2}">
          <x14:formula1>
            <xm:f>LISTS!$J$7:$J$16</xm:f>
          </x14:formula1>
          <xm:sqref>E46:E66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34455-5C9F-407B-9192-42F597732675}">
  <sheetPr codeName="Sheet5"/>
  <dimension ref="B2:H94"/>
  <sheetViews>
    <sheetView showGridLines="0" zoomScale="85" zoomScaleNormal="85" workbookViewId="0">
      <selection activeCell="G39" sqref="G39"/>
    </sheetView>
  </sheetViews>
  <sheetFormatPr defaultColWidth="8.85546875" defaultRowHeight="15" x14ac:dyDescent="0.25"/>
  <cols>
    <col min="3" max="3" width="33.28515625" customWidth="1"/>
    <col min="4" max="4" width="133.42578125" customWidth="1"/>
    <col min="5" max="5" width="83.7109375" customWidth="1"/>
    <col min="6" max="6" width="86.42578125" customWidth="1"/>
    <col min="7" max="7" width="12.42578125" customWidth="1"/>
    <col min="8" max="8" width="25.28515625" customWidth="1"/>
    <col min="9" max="9" width="14.7109375" customWidth="1"/>
  </cols>
  <sheetData>
    <row r="2" spans="2:6" ht="26.25" x14ac:dyDescent="0.4">
      <c r="C2" s="8" t="str">
        <f>D7</f>
        <v>4093SPS</v>
      </c>
      <c r="D2" s="8">
        <f>D9</f>
        <v>20</v>
      </c>
    </row>
    <row r="3" spans="2:6" x14ac:dyDescent="0.25">
      <c r="B3" s="1"/>
      <c r="C3" s="1"/>
    </row>
    <row r="4" spans="2:6" x14ac:dyDescent="0.25">
      <c r="B4" s="2"/>
      <c r="C4" s="2"/>
    </row>
    <row r="5" spans="2:6" ht="18.75" x14ac:dyDescent="0.25">
      <c r="B5" s="2"/>
      <c r="C5" s="5" t="s">
        <v>0</v>
      </c>
    </row>
    <row r="6" spans="2:6" x14ac:dyDescent="0.25">
      <c r="B6" s="2"/>
      <c r="C6" s="3" t="s">
        <v>1</v>
      </c>
      <c r="D6" s="4" t="s">
        <v>2</v>
      </c>
      <c r="E6" s="4"/>
      <c r="F6" t="s">
        <v>3</v>
      </c>
    </row>
    <row r="7" spans="2:6" x14ac:dyDescent="0.25">
      <c r="B7" s="2"/>
      <c r="C7" s="48" t="s">
        <v>4</v>
      </c>
      <c r="D7" s="9" t="s">
        <v>236</v>
      </c>
      <c r="E7" s="4"/>
      <c r="F7" s="12"/>
    </row>
    <row r="8" spans="2:6" ht="31.5" x14ac:dyDescent="0.25">
      <c r="B8" s="2"/>
      <c r="C8" s="48" t="s">
        <v>7</v>
      </c>
      <c r="D8" s="41" t="s">
        <v>237</v>
      </c>
      <c r="E8" s="4"/>
      <c r="F8" s="41" t="s">
        <v>238</v>
      </c>
    </row>
    <row r="9" spans="2:6" x14ac:dyDescent="0.25">
      <c r="C9" s="48" t="s">
        <v>10</v>
      </c>
      <c r="D9" s="40">
        <v>20</v>
      </c>
      <c r="E9" s="4"/>
    </row>
    <row r="10" spans="2:6" x14ac:dyDescent="0.25">
      <c r="C10" s="48" t="s">
        <v>11</v>
      </c>
      <c r="D10" s="9">
        <v>1</v>
      </c>
      <c r="E10" s="4"/>
      <c r="F10" t="s">
        <v>12</v>
      </c>
    </row>
    <row r="11" spans="2:6" ht="31.5" x14ac:dyDescent="0.25">
      <c r="C11" s="48" t="s">
        <v>13</v>
      </c>
      <c r="D11" s="9">
        <v>4</v>
      </c>
      <c r="E11" s="4"/>
      <c r="F11" s="41" t="s">
        <v>239</v>
      </c>
    </row>
    <row r="12" spans="2:6" ht="30" x14ac:dyDescent="0.25">
      <c r="C12" s="48" t="s">
        <v>15</v>
      </c>
      <c r="D12" s="9" t="s">
        <v>240</v>
      </c>
      <c r="E12" s="4"/>
      <c r="F12" s="21" t="s">
        <v>241</v>
      </c>
    </row>
    <row r="13" spans="2:6" ht="30" x14ac:dyDescent="0.25">
      <c r="C13" s="48" t="s">
        <v>18</v>
      </c>
      <c r="D13" s="9" t="s">
        <v>119</v>
      </c>
      <c r="E13" s="4"/>
      <c r="F13" s="21" t="s">
        <v>242</v>
      </c>
    </row>
    <row r="14" spans="2:6" x14ac:dyDescent="0.25">
      <c r="C14" s="48" t="s">
        <v>21</v>
      </c>
      <c r="D14" s="9" t="s">
        <v>243</v>
      </c>
      <c r="E14" s="4"/>
    </row>
    <row r="15" spans="2:6" x14ac:dyDescent="0.25">
      <c r="C15" s="3"/>
      <c r="D15" s="4"/>
      <c r="E15" s="4"/>
      <c r="F15" t="s">
        <v>23</v>
      </c>
    </row>
    <row r="16" spans="2:6" ht="30" x14ac:dyDescent="0.25">
      <c r="C16" s="3"/>
      <c r="D16" s="4"/>
      <c r="E16" s="4"/>
      <c r="F16" s="69" t="s">
        <v>238</v>
      </c>
    </row>
    <row r="17" spans="3:6" ht="18.75" x14ac:dyDescent="0.25">
      <c r="C17" s="5" t="s">
        <v>25</v>
      </c>
      <c r="D17" s="4"/>
      <c r="E17" s="4"/>
      <c r="F17" s="12"/>
    </row>
    <row r="18" spans="3:6" x14ac:dyDescent="0.25">
      <c r="C18" s="3" t="s">
        <v>26</v>
      </c>
      <c r="D18" s="1" t="s">
        <v>25</v>
      </c>
      <c r="E18" s="4"/>
      <c r="F18" s="12"/>
    </row>
    <row r="19" spans="3:6" x14ac:dyDescent="0.25">
      <c r="C19" s="48" t="s">
        <v>27</v>
      </c>
      <c r="D19" s="10">
        <v>42</v>
      </c>
      <c r="E19" s="4"/>
      <c r="F19" s="12"/>
    </row>
    <row r="20" spans="3:6" x14ac:dyDescent="0.25">
      <c r="C20" s="48" t="s">
        <v>28</v>
      </c>
      <c r="D20" s="10"/>
      <c r="E20" s="4"/>
      <c r="F20" s="12"/>
    </row>
    <row r="21" spans="3:6" x14ac:dyDescent="0.25">
      <c r="C21" s="48" t="s">
        <v>29</v>
      </c>
      <c r="D21" s="10"/>
      <c r="E21" s="4"/>
    </row>
    <row r="22" spans="3:6" x14ac:dyDescent="0.25">
      <c r="C22" s="48" t="s">
        <v>30</v>
      </c>
      <c r="D22" s="10"/>
      <c r="E22" s="4"/>
      <c r="F22" t="s">
        <v>31</v>
      </c>
    </row>
    <row r="23" spans="3:6" x14ac:dyDescent="0.25">
      <c r="C23" s="48" t="s">
        <v>32</v>
      </c>
      <c r="D23" s="10"/>
      <c r="E23" s="4"/>
      <c r="F23" s="12" t="s">
        <v>244</v>
      </c>
    </row>
    <row r="24" spans="3:6" x14ac:dyDescent="0.25">
      <c r="C24" s="48" t="s">
        <v>34</v>
      </c>
      <c r="D24" s="50">
        <f>SUM(D19:D23)</f>
        <v>42</v>
      </c>
      <c r="E24" s="4"/>
      <c r="F24" s="12" t="s">
        <v>245</v>
      </c>
    </row>
    <row r="25" spans="3:6" x14ac:dyDescent="0.25">
      <c r="F25" s="12" t="s">
        <v>246</v>
      </c>
    </row>
    <row r="26" spans="3:6" x14ac:dyDescent="0.25">
      <c r="F26" s="12"/>
    </row>
    <row r="27" spans="3:6" ht="18.75" x14ac:dyDescent="0.25">
      <c r="C27" s="5" t="s">
        <v>35</v>
      </c>
      <c r="D27" s="7" t="s">
        <v>36</v>
      </c>
      <c r="F27" s="35"/>
    </row>
    <row r="28" spans="3:6" x14ac:dyDescent="0.25">
      <c r="C28" s="3" t="s">
        <v>37</v>
      </c>
      <c r="D28" s="3" t="s">
        <v>38</v>
      </c>
      <c r="E28" s="3"/>
      <c r="F28" s="35"/>
    </row>
    <row r="29" spans="3:6" ht="15.75" x14ac:dyDescent="0.25">
      <c r="C29" s="48" t="s">
        <v>39</v>
      </c>
      <c r="D29" s="46" t="s">
        <v>247</v>
      </c>
      <c r="E29" s="4"/>
      <c r="F29" s="35"/>
    </row>
    <row r="30" spans="3:6" ht="15.75" x14ac:dyDescent="0.25">
      <c r="C30" s="48" t="s">
        <v>41</v>
      </c>
      <c r="D30" s="37" t="s">
        <v>248</v>
      </c>
      <c r="E30" s="4"/>
      <c r="F30" s="12"/>
    </row>
    <row r="31" spans="3:6" ht="15.75" x14ac:dyDescent="0.25">
      <c r="C31" s="48" t="s">
        <v>43</v>
      </c>
      <c r="D31" s="37" t="s">
        <v>249</v>
      </c>
      <c r="E31" s="4"/>
      <c r="F31" s="12"/>
    </row>
    <row r="32" spans="3:6" x14ac:dyDescent="0.25">
      <c r="C32" s="48" t="s">
        <v>45</v>
      </c>
      <c r="D32" s="9"/>
      <c r="E32" s="4"/>
      <c r="F32" s="12"/>
    </row>
    <row r="33" spans="3:8" x14ac:dyDescent="0.25">
      <c r="C33" s="48" t="s">
        <v>47</v>
      </c>
      <c r="D33" s="9"/>
      <c r="E33" s="4"/>
      <c r="F33" s="12"/>
    </row>
    <row r="34" spans="3:8" x14ac:dyDescent="0.25">
      <c r="F34" s="12"/>
    </row>
    <row r="36" spans="3:8" ht="18.75" x14ac:dyDescent="0.25">
      <c r="C36" s="5" t="s">
        <v>49</v>
      </c>
    </row>
    <row r="37" spans="3:8" x14ac:dyDescent="0.25">
      <c r="C37" s="3" t="s">
        <v>50</v>
      </c>
      <c r="D37" s="3" t="s">
        <v>51</v>
      </c>
      <c r="E37" s="3" t="s">
        <v>52</v>
      </c>
      <c r="F37" s="3" t="s">
        <v>53</v>
      </c>
      <c r="G37" s="3" t="s">
        <v>54</v>
      </c>
      <c r="H37" s="3" t="s">
        <v>55</v>
      </c>
    </row>
    <row r="38" spans="3:8" x14ac:dyDescent="0.25">
      <c r="C38" s="48" t="s">
        <v>56</v>
      </c>
      <c r="D38" s="9" t="s">
        <v>127</v>
      </c>
      <c r="E38" s="9" t="s">
        <v>250</v>
      </c>
      <c r="F38" s="39" t="s">
        <v>251</v>
      </c>
      <c r="G38" s="11">
        <v>0.5</v>
      </c>
      <c r="H38" s="38" t="s">
        <v>252</v>
      </c>
    </row>
    <row r="39" spans="3:8" x14ac:dyDescent="0.25">
      <c r="C39" s="48" t="s">
        <v>60</v>
      </c>
      <c r="D39" s="9" t="s">
        <v>127</v>
      </c>
      <c r="E39" s="9" t="s">
        <v>250</v>
      </c>
      <c r="F39" s="38" t="s">
        <v>253</v>
      </c>
      <c r="G39" s="11">
        <v>0.5</v>
      </c>
      <c r="H39" s="38" t="s">
        <v>254</v>
      </c>
    </row>
    <row r="40" spans="3:8" x14ac:dyDescent="0.25">
      <c r="C40" s="48" t="s">
        <v>63</v>
      </c>
      <c r="D40" s="12"/>
      <c r="E40" s="12"/>
      <c r="F40" s="12"/>
      <c r="G40" s="12"/>
      <c r="H40" s="12"/>
    </row>
    <row r="41" spans="3:8" x14ac:dyDescent="0.25">
      <c r="C41" s="48" t="s">
        <v>64</v>
      </c>
      <c r="D41" s="12"/>
      <c r="E41" s="12"/>
      <c r="F41" s="12"/>
      <c r="G41" s="12"/>
      <c r="H41" s="12"/>
    </row>
    <row r="42" spans="3:8" x14ac:dyDescent="0.25">
      <c r="C42" s="3"/>
    </row>
    <row r="44" spans="3:8" ht="18.75" x14ac:dyDescent="0.25">
      <c r="C44" s="5" t="s">
        <v>65</v>
      </c>
      <c r="D44" s="7"/>
    </row>
    <row r="45" spans="3:8" x14ac:dyDescent="0.25">
      <c r="C45" s="1" t="s">
        <v>50</v>
      </c>
      <c r="D45" s="1" t="s">
        <v>37</v>
      </c>
      <c r="E45" s="1" t="s">
        <v>66</v>
      </c>
      <c r="F45" s="1" t="s">
        <v>67</v>
      </c>
    </row>
    <row r="46" spans="3:8" x14ac:dyDescent="0.25">
      <c r="C46" s="13" t="s">
        <v>56</v>
      </c>
      <c r="D46" s="12" t="s">
        <v>39</v>
      </c>
      <c r="E46" s="12" t="s">
        <v>68</v>
      </c>
      <c r="F46" s="12" t="s">
        <v>164</v>
      </c>
    </row>
    <row r="47" spans="3:8" x14ac:dyDescent="0.25">
      <c r="C47" s="13" t="s">
        <v>56</v>
      </c>
      <c r="D47" s="12" t="s">
        <v>39</v>
      </c>
      <c r="E47" s="12" t="s">
        <v>68</v>
      </c>
      <c r="F47" s="12" t="s">
        <v>165</v>
      </c>
    </row>
    <row r="48" spans="3:8" x14ac:dyDescent="0.25">
      <c r="C48" s="13" t="s">
        <v>56</v>
      </c>
      <c r="D48" s="12" t="s">
        <v>41</v>
      </c>
      <c r="E48" s="12" t="s">
        <v>78</v>
      </c>
      <c r="F48" s="12" t="s">
        <v>79</v>
      </c>
    </row>
    <row r="49" spans="3:6" x14ac:dyDescent="0.25">
      <c r="C49" s="13" t="s">
        <v>56</v>
      </c>
      <c r="D49" s="12" t="s">
        <v>41</v>
      </c>
      <c r="E49" s="12" t="s">
        <v>82</v>
      </c>
      <c r="F49" s="12" t="s">
        <v>83</v>
      </c>
    </row>
    <row r="50" spans="3:6" x14ac:dyDescent="0.25">
      <c r="C50" s="13" t="s">
        <v>56</v>
      </c>
      <c r="D50" s="12" t="s">
        <v>41</v>
      </c>
      <c r="E50" s="12" t="s">
        <v>82</v>
      </c>
      <c r="F50" s="12" t="s">
        <v>255</v>
      </c>
    </row>
    <row r="51" spans="3:6" x14ac:dyDescent="0.25">
      <c r="C51" s="13" t="s">
        <v>56</v>
      </c>
      <c r="D51" s="12" t="s">
        <v>41</v>
      </c>
      <c r="E51" s="12" t="s">
        <v>68</v>
      </c>
      <c r="F51" s="12" t="s">
        <v>164</v>
      </c>
    </row>
    <row r="52" spans="3:6" x14ac:dyDescent="0.25">
      <c r="C52" s="13" t="s">
        <v>56</v>
      </c>
      <c r="D52" s="12" t="s">
        <v>41</v>
      </c>
      <c r="E52" s="12" t="s">
        <v>68</v>
      </c>
      <c r="F52" s="12" t="s">
        <v>165</v>
      </c>
    </row>
    <row r="53" spans="3:6" x14ac:dyDescent="0.25">
      <c r="C53" s="13" t="s">
        <v>60</v>
      </c>
      <c r="D53" s="12" t="s">
        <v>39</v>
      </c>
      <c r="E53" s="12" t="s">
        <v>68</v>
      </c>
      <c r="F53" s="12" t="s">
        <v>164</v>
      </c>
    </row>
    <row r="54" spans="3:6" x14ac:dyDescent="0.25">
      <c r="C54" s="13" t="s">
        <v>60</v>
      </c>
      <c r="D54" s="12" t="s">
        <v>39</v>
      </c>
      <c r="E54" s="12" t="s">
        <v>68</v>
      </c>
      <c r="F54" s="12" t="s">
        <v>165</v>
      </c>
    </row>
    <row r="55" spans="3:6" x14ac:dyDescent="0.25">
      <c r="C55" s="13" t="s">
        <v>60</v>
      </c>
      <c r="D55" s="12" t="s">
        <v>43</v>
      </c>
      <c r="E55" s="12" t="s">
        <v>78</v>
      </c>
      <c r="F55" s="12" t="s">
        <v>79</v>
      </c>
    </row>
    <row r="56" spans="3:6" x14ac:dyDescent="0.25">
      <c r="C56" s="13" t="s">
        <v>60</v>
      </c>
      <c r="D56" s="12" t="s">
        <v>43</v>
      </c>
      <c r="E56" s="12" t="s">
        <v>82</v>
      </c>
      <c r="F56" s="12" t="s">
        <v>83</v>
      </c>
    </row>
    <row r="57" spans="3:6" x14ac:dyDescent="0.25">
      <c r="C57" s="13" t="s">
        <v>60</v>
      </c>
      <c r="D57" s="12" t="s">
        <v>43</v>
      </c>
      <c r="E57" s="12" t="s">
        <v>82</v>
      </c>
      <c r="F57" s="12" t="s">
        <v>255</v>
      </c>
    </row>
    <row r="58" spans="3:6" x14ac:dyDescent="0.25">
      <c r="C58" s="13" t="s">
        <v>60</v>
      </c>
      <c r="D58" s="12" t="s">
        <v>43</v>
      </c>
      <c r="E58" s="12" t="s">
        <v>68</v>
      </c>
      <c r="F58" s="12" t="s">
        <v>164</v>
      </c>
    </row>
    <row r="59" spans="3:6" x14ac:dyDescent="0.25">
      <c r="C59" s="13" t="s">
        <v>60</v>
      </c>
      <c r="D59" s="12" t="s">
        <v>43</v>
      </c>
      <c r="E59" s="12" t="s">
        <v>68</v>
      </c>
      <c r="F59" s="12" t="s">
        <v>165</v>
      </c>
    </row>
    <row r="60" spans="3:6" x14ac:dyDescent="0.25">
      <c r="C60" s="13"/>
      <c r="D60" s="12"/>
      <c r="E60" s="12"/>
      <c r="F60" s="12"/>
    </row>
    <row r="61" spans="3:6" x14ac:dyDescent="0.25">
      <c r="C61" s="13"/>
      <c r="D61" s="12"/>
      <c r="E61" s="12"/>
      <c r="F61" s="12"/>
    </row>
    <row r="62" spans="3:6" x14ac:dyDescent="0.25">
      <c r="C62" s="13"/>
      <c r="D62" s="12"/>
      <c r="E62" s="12"/>
      <c r="F62" s="12"/>
    </row>
    <row r="63" spans="3:6" x14ac:dyDescent="0.25">
      <c r="C63" s="13"/>
      <c r="D63" s="12"/>
      <c r="E63" s="12"/>
      <c r="F63" s="12"/>
    </row>
    <row r="64" spans="3:6" x14ac:dyDescent="0.25">
      <c r="C64" s="13"/>
      <c r="D64" s="12"/>
      <c r="E64" s="12"/>
      <c r="F64" s="12"/>
    </row>
    <row r="65" spans="2:6" x14ac:dyDescent="0.25">
      <c r="C65" s="13"/>
      <c r="D65" s="12"/>
      <c r="E65" s="12"/>
      <c r="F65" s="12"/>
    </row>
    <row r="66" spans="2:6" x14ac:dyDescent="0.25">
      <c r="C66" s="13"/>
      <c r="D66" s="12"/>
      <c r="E66" s="12"/>
      <c r="F66" s="12"/>
    </row>
    <row r="69" spans="2:6" ht="18.75" x14ac:dyDescent="0.25">
      <c r="C69" s="5" t="s">
        <v>90</v>
      </c>
    </row>
    <row r="70" spans="2:6" x14ac:dyDescent="0.25">
      <c r="B70" t="s">
        <v>91</v>
      </c>
      <c r="C70" s="1" t="s">
        <v>92</v>
      </c>
      <c r="D70" s="1" t="s">
        <v>93</v>
      </c>
      <c r="E70" s="1" t="s">
        <v>94</v>
      </c>
      <c r="F70" s="1" t="s">
        <v>95</v>
      </c>
    </row>
    <row r="71" spans="2:6" x14ac:dyDescent="0.25">
      <c r="B71" s="49">
        <v>1</v>
      </c>
      <c r="C71" s="50">
        <v>1</v>
      </c>
      <c r="D71" s="38" t="s">
        <v>256</v>
      </c>
      <c r="E71" s="9"/>
      <c r="F71" s="9"/>
    </row>
    <row r="72" spans="2:6" x14ac:dyDescent="0.25">
      <c r="B72" s="49">
        <v>1</v>
      </c>
      <c r="C72" s="50">
        <v>2</v>
      </c>
      <c r="D72" s="9" t="s">
        <v>257</v>
      </c>
      <c r="E72" s="38" t="s">
        <v>257</v>
      </c>
      <c r="F72" s="9"/>
    </row>
    <row r="73" spans="2:6" x14ac:dyDescent="0.25">
      <c r="B73" s="49">
        <v>1</v>
      </c>
      <c r="C73" s="50">
        <v>3</v>
      </c>
      <c r="D73" s="38" t="s">
        <v>258</v>
      </c>
      <c r="E73" s="38" t="s">
        <v>258</v>
      </c>
      <c r="F73" s="9"/>
    </row>
    <row r="74" spans="2:6" x14ac:dyDescent="0.25">
      <c r="B74" s="49">
        <v>1</v>
      </c>
      <c r="C74" s="50">
        <v>4</v>
      </c>
      <c r="D74" s="38" t="s">
        <v>259</v>
      </c>
      <c r="E74" s="38" t="s">
        <v>259</v>
      </c>
      <c r="F74" s="9"/>
    </row>
    <row r="75" spans="2:6" x14ac:dyDescent="0.25">
      <c r="B75" s="49">
        <v>1</v>
      </c>
      <c r="C75" s="50">
        <v>5</v>
      </c>
      <c r="D75" s="38" t="s">
        <v>260</v>
      </c>
      <c r="E75" s="38" t="s">
        <v>260</v>
      </c>
      <c r="F75" s="9"/>
    </row>
    <row r="76" spans="2:6" x14ac:dyDescent="0.25">
      <c r="B76" s="49">
        <v>1</v>
      </c>
      <c r="C76" s="50">
        <v>6</v>
      </c>
      <c r="D76" s="38" t="s">
        <v>261</v>
      </c>
      <c r="E76" s="38" t="s">
        <v>261</v>
      </c>
      <c r="F76" s="9"/>
    </row>
    <row r="77" spans="2:6" x14ac:dyDescent="0.25">
      <c r="B77" s="49">
        <v>1</v>
      </c>
      <c r="C77" s="50">
        <v>7</v>
      </c>
      <c r="D77" s="9"/>
      <c r="E77" s="9"/>
      <c r="F77" s="9"/>
    </row>
    <row r="78" spans="2:6" x14ac:dyDescent="0.25">
      <c r="B78" s="49">
        <v>1</v>
      </c>
      <c r="C78" s="50">
        <v>8</v>
      </c>
      <c r="D78" s="9" t="s">
        <v>262</v>
      </c>
      <c r="E78" s="38" t="s">
        <v>262</v>
      </c>
      <c r="F78" s="9"/>
    </row>
    <row r="79" spans="2:6" x14ac:dyDescent="0.25">
      <c r="B79" s="49">
        <v>1</v>
      </c>
      <c r="C79" s="50">
        <v>9</v>
      </c>
      <c r="D79" s="9" t="s">
        <v>263</v>
      </c>
      <c r="E79" s="38" t="s">
        <v>263</v>
      </c>
      <c r="F79" s="9"/>
    </row>
    <row r="80" spans="2:6" x14ac:dyDescent="0.25">
      <c r="B80" s="49">
        <v>1</v>
      </c>
      <c r="C80" s="50">
        <v>10</v>
      </c>
      <c r="D80" s="9" t="s">
        <v>264</v>
      </c>
      <c r="E80" s="38" t="s">
        <v>264</v>
      </c>
      <c r="F80" s="9"/>
    </row>
    <row r="81" spans="2:6" x14ac:dyDescent="0.25">
      <c r="B81" s="49">
        <v>1</v>
      </c>
      <c r="C81" s="50">
        <v>11</v>
      </c>
      <c r="D81" s="9" t="s">
        <v>265</v>
      </c>
      <c r="E81" s="38" t="s">
        <v>265</v>
      </c>
      <c r="F81" s="9"/>
    </row>
    <row r="82" spans="2:6" x14ac:dyDescent="0.25">
      <c r="B82" s="49">
        <v>1</v>
      </c>
      <c r="C82" s="50">
        <v>12</v>
      </c>
      <c r="D82" s="9" t="s">
        <v>266</v>
      </c>
      <c r="E82" s="38" t="s">
        <v>266</v>
      </c>
      <c r="F82" s="9"/>
    </row>
    <row r="83" spans="2:6" x14ac:dyDescent="0.25">
      <c r="B83" s="49">
        <v>2</v>
      </c>
      <c r="C83" s="50">
        <v>1</v>
      </c>
      <c r="D83" s="9"/>
      <c r="E83" s="9"/>
      <c r="F83" s="9"/>
    </row>
    <row r="84" spans="2:6" x14ac:dyDescent="0.25">
      <c r="B84" s="49">
        <v>2</v>
      </c>
      <c r="C84" s="50">
        <v>2</v>
      </c>
      <c r="D84" s="9"/>
      <c r="E84" s="9"/>
      <c r="F84" s="9"/>
    </row>
    <row r="85" spans="2:6" x14ac:dyDescent="0.25">
      <c r="B85" s="49">
        <v>2</v>
      </c>
      <c r="C85" s="50">
        <v>3</v>
      </c>
      <c r="D85" s="9"/>
      <c r="E85" s="9"/>
      <c r="F85" s="9"/>
    </row>
    <row r="86" spans="2:6" x14ac:dyDescent="0.25">
      <c r="B86" s="49">
        <v>2</v>
      </c>
      <c r="C86" s="50">
        <v>4</v>
      </c>
      <c r="D86" s="9"/>
      <c r="E86" s="9"/>
      <c r="F86" s="9"/>
    </row>
    <row r="87" spans="2:6" x14ac:dyDescent="0.25">
      <c r="B87" s="49">
        <v>2</v>
      </c>
      <c r="C87" s="50">
        <v>5</v>
      </c>
      <c r="D87" s="9"/>
      <c r="E87" s="9"/>
      <c r="F87" s="9"/>
    </row>
    <row r="88" spans="2:6" x14ac:dyDescent="0.25">
      <c r="B88" s="49">
        <v>2</v>
      </c>
      <c r="C88" s="50">
        <v>6</v>
      </c>
      <c r="D88" s="9"/>
      <c r="E88" s="9"/>
      <c r="F88" s="9"/>
    </row>
    <row r="89" spans="2:6" x14ac:dyDescent="0.25">
      <c r="B89" s="49">
        <v>2</v>
      </c>
      <c r="C89" s="50">
        <v>7</v>
      </c>
      <c r="D89" s="9"/>
      <c r="E89" s="9"/>
      <c r="F89" s="9"/>
    </row>
    <row r="90" spans="2:6" x14ac:dyDescent="0.25">
      <c r="B90" s="49">
        <v>2</v>
      </c>
      <c r="C90" s="50">
        <v>8</v>
      </c>
      <c r="D90" s="9"/>
      <c r="E90" s="9"/>
      <c r="F90" s="9"/>
    </row>
    <row r="91" spans="2:6" x14ac:dyDescent="0.25">
      <c r="B91" s="49">
        <v>2</v>
      </c>
      <c r="C91" s="50">
        <v>9</v>
      </c>
      <c r="D91" s="9"/>
      <c r="E91" s="9"/>
      <c r="F91" s="9"/>
    </row>
    <row r="92" spans="2:6" x14ac:dyDescent="0.25">
      <c r="B92" s="49">
        <v>2</v>
      </c>
      <c r="C92" s="50">
        <v>10</v>
      </c>
      <c r="D92" s="9"/>
      <c r="E92" s="9"/>
      <c r="F92" s="9"/>
    </row>
    <row r="93" spans="2:6" x14ac:dyDescent="0.25">
      <c r="B93" s="49">
        <v>2</v>
      </c>
      <c r="C93" s="50">
        <v>11</v>
      </c>
      <c r="D93" s="9"/>
      <c r="E93" s="9"/>
      <c r="F93" s="9"/>
    </row>
    <row r="94" spans="2:6" x14ac:dyDescent="0.25">
      <c r="B94" s="49">
        <v>2</v>
      </c>
      <c r="C94" s="50">
        <v>12</v>
      </c>
      <c r="D94" s="9"/>
      <c r="E94" s="9"/>
      <c r="F94" s="9"/>
    </row>
  </sheetData>
  <sheetProtection sheet="1" objects="1" scenarios="1" formatCells="0" formatColumns="0" formatRows="0" insertHyperlinks="0"/>
  <dataValidations count="4">
    <dataValidation type="list" allowBlank="1" showInputMessage="1" showErrorMessage="1" sqref="F46:F66" xr:uid="{6DEBE8EC-2B57-4380-910E-0A2154580682}">
      <formula1>INDIRECT(VLOOKUP($E46, SkillNameMap, 2, FALSE))</formula1>
    </dataValidation>
    <dataValidation type="list" allowBlank="1" showInputMessage="1" showErrorMessage="1" sqref="E38:E41" xr:uid="{6274686E-0972-4BC0-8A91-115628F0C35E}">
      <formula1>INDIRECT("LISTAssess[Assessment Specific]")</formula1>
    </dataValidation>
    <dataValidation type="whole" showInputMessage="1" showErrorMessage="1" error="This is not a realistic number of contact hours please change" sqref="D19" xr:uid="{D71B7080-AED5-4BD2-BC61-46D1FB03F689}">
      <formula1>0</formula1>
      <formula2>80</formula2>
    </dataValidation>
    <dataValidation type="whole" showInputMessage="1" showErrorMessage="1" error="This is not a realistic number of contact hours please reduce" sqref="D20:D23" xr:uid="{50629AB0-717B-48FC-8FF1-8B4D77B3991E}">
      <formula1>0</formula1>
      <formula2>80</formula2>
    </dataValidation>
  </dataValidations>
  <pageMargins left="0.7" right="0.7" top="0.75" bottom="0.75" header="0.3" footer="0.3"/>
  <pageSetup paperSize="9" orientation="portrait" horizontalDpi="4294967293" verticalDpi="0" r:id="rId1"/>
  <tableParts count="10">
    <tablePart r:id="rId2"/>
    <tablePart r:id="rId3"/>
    <tablePart r:id="rId4"/>
    <tablePart r:id="rId5"/>
    <tablePart r:id="rId6"/>
    <tablePart r:id="rId7"/>
    <tablePart r:id="rId8"/>
    <tablePart r:id="rId9"/>
    <tablePart r:id="rId10"/>
    <tablePart r:id="rId11"/>
  </tableParts>
  <extLst>
    <ext xmlns:x14="http://schemas.microsoft.com/office/spreadsheetml/2009/9/main" uri="{CCE6A557-97BC-4b89-ADB6-D9C93CAAB3DF}">
      <x14:dataValidations xmlns:xm="http://schemas.microsoft.com/office/excel/2006/main" count="7">
        <x14:dataValidation type="list" allowBlank="1" showInputMessage="1" showErrorMessage="1" xr:uid="{96DA8F40-9192-4741-B2FE-57A9C46482DF}">
          <x14:formula1>
            <xm:f>LISTS!$J$7:$J$16</xm:f>
          </x14:formula1>
          <xm:sqref>E46:E66</xm:sqref>
        </x14:dataValidation>
        <x14:dataValidation type="list" allowBlank="1" showInputMessage="1" showErrorMessage="1" xr:uid="{A4EF2000-8BB6-4BFE-B91D-91E943534494}">
          <x14:formula1>
            <xm:f>LISTS!$E$7:$E$11</xm:f>
          </x14:formula1>
          <xm:sqref>D46:D66</xm:sqref>
        </x14:dataValidation>
        <x14:dataValidation type="list" allowBlank="1" showInputMessage="1" showErrorMessage="1" xr:uid="{C6D73155-D6B3-465B-BEF7-0FA25E168DED}">
          <x14:formula1>
            <xm:f>LISTS!$G$7:$G$11</xm:f>
          </x14:formula1>
          <xm:sqref>D38:D42</xm:sqref>
        </x14:dataValidation>
        <x14:dataValidation type="list" allowBlank="1" showInputMessage="1" showErrorMessage="1" xr:uid="{B0028DB5-73A5-49CC-9F11-A5A6090C114A}">
          <x14:formula1>
            <xm:f>LISTS!$C$11:$C$15</xm:f>
          </x14:formula1>
          <xm:sqref>D11</xm:sqref>
        </x14:dataValidation>
        <x14:dataValidation type="list" allowBlank="1" showInputMessage="1" showErrorMessage="1" xr:uid="{B42E3CF9-1ABB-4684-872B-EC2BAFBA300F}">
          <x14:formula1>
            <xm:f>LISTS!$C$7:$C$9</xm:f>
          </x14:formula1>
          <xm:sqref>D10</xm:sqref>
        </x14:dataValidation>
        <x14:dataValidation type="list" allowBlank="1" showInputMessage="1" showErrorMessage="1" xr:uid="{A8C95E66-AD61-4BFC-ABB4-381106E7EE30}">
          <x14:formula1>
            <xm:f>LISTS!$C$17:$C$22</xm:f>
          </x14:formula1>
          <xm:sqref>D13</xm:sqref>
        </x14:dataValidation>
        <x14:dataValidation type="list" allowBlank="1" showInputMessage="1" showErrorMessage="1" xr:uid="{6D716C63-5AE4-4FD1-B40D-675960865ED5}">
          <x14:formula1>
            <xm:f>LISTS!$C$26:$C$37</xm:f>
          </x14:formula1>
          <xm:sqref>D14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B88F2-57F5-49DF-8E52-0E95DE3CFAC4}">
  <sheetPr codeName="Sheet6"/>
  <dimension ref="B2:H94"/>
  <sheetViews>
    <sheetView showGridLines="0" topLeftCell="A21" zoomScale="85" zoomScaleNormal="85" workbookViewId="0">
      <selection activeCell="H40" sqref="H40"/>
    </sheetView>
  </sheetViews>
  <sheetFormatPr defaultColWidth="8.85546875" defaultRowHeight="15" x14ac:dyDescent="0.25"/>
  <cols>
    <col min="3" max="3" width="33.28515625" customWidth="1"/>
    <col min="4" max="4" width="51.42578125" customWidth="1"/>
    <col min="5" max="5" width="67.28515625" customWidth="1"/>
    <col min="6" max="6" width="63.140625" customWidth="1"/>
    <col min="7" max="7" width="12.42578125" customWidth="1"/>
    <col min="8" max="8" width="15.42578125" customWidth="1"/>
    <col min="9" max="9" width="14.7109375" customWidth="1"/>
  </cols>
  <sheetData>
    <row r="2" spans="2:6" ht="26.25" x14ac:dyDescent="0.4">
      <c r="C2" s="8" t="str">
        <f>D7</f>
        <v>5051SPS</v>
      </c>
      <c r="D2" s="8" t="str">
        <f>D8</f>
        <v>PROFESSIONAL PRACTICE IN SPORT PSYCHOLOGY 2</v>
      </c>
    </row>
    <row r="3" spans="2:6" x14ac:dyDescent="0.25">
      <c r="B3" s="1"/>
      <c r="C3" s="1"/>
    </row>
    <row r="4" spans="2:6" x14ac:dyDescent="0.25">
      <c r="B4" s="2"/>
      <c r="C4" s="2"/>
    </row>
    <row r="5" spans="2:6" ht="18.75" x14ac:dyDescent="0.25">
      <c r="B5" s="2"/>
      <c r="C5" s="5" t="s">
        <v>0</v>
      </c>
    </row>
    <row r="6" spans="2:6" x14ac:dyDescent="0.25">
      <c r="B6" s="2"/>
      <c r="C6" s="3" t="s">
        <v>1</v>
      </c>
      <c r="D6" s="4" t="s">
        <v>2</v>
      </c>
      <c r="E6" s="4"/>
      <c r="F6" t="s">
        <v>3</v>
      </c>
    </row>
    <row r="7" spans="2:6" ht="60" x14ac:dyDescent="0.25">
      <c r="B7" s="2"/>
      <c r="C7" s="48" t="s">
        <v>4</v>
      </c>
      <c r="D7" s="9" t="s">
        <v>267</v>
      </c>
      <c r="E7" s="4"/>
      <c r="F7" s="21" t="s">
        <v>268</v>
      </c>
    </row>
    <row r="8" spans="2:6" ht="60" x14ac:dyDescent="0.25">
      <c r="B8" s="2"/>
      <c r="C8" s="48" t="s">
        <v>7</v>
      </c>
      <c r="D8" s="9" t="s">
        <v>269</v>
      </c>
      <c r="E8" s="4"/>
      <c r="F8" s="21" t="s">
        <v>270</v>
      </c>
    </row>
    <row r="9" spans="2:6" x14ac:dyDescent="0.25">
      <c r="C9" s="48" t="s">
        <v>10</v>
      </c>
      <c r="D9" s="9">
        <v>20</v>
      </c>
      <c r="E9" s="4"/>
    </row>
    <row r="10" spans="2:6" x14ac:dyDescent="0.25">
      <c r="C10" s="48" t="s">
        <v>11</v>
      </c>
      <c r="D10" s="9">
        <v>2</v>
      </c>
      <c r="E10" s="4"/>
      <c r="F10" t="s">
        <v>12</v>
      </c>
    </row>
    <row r="11" spans="2:6" ht="43.5" x14ac:dyDescent="0.25">
      <c r="C11" s="48" t="s">
        <v>13</v>
      </c>
      <c r="D11" s="9">
        <v>5</v>
      </c>
      <c r="E11" s="4"/>
      <c r="F11" s="42" t="s">
        <v>271</v>
      </c>
    </row>
    <row r="12" spans="2:6" ht="60" x14ac:dyDescent="0.25">
      <c r="C12" s="48" t="s">
        <v>15</v>
      </c>
      <c r="D12" s="9" t="s">
        <v>16</v>
      </c>
      <c r="E12" s="4"/>
      <c r="F12" s="21" t="s">
        <v>272</v>
      </c>
    </row>
    <row r="13" spans="2:6" ht="45" x14ac:dyDescent="0.25">
      <c r="C13" s="48" t="s">
        <v>18</v>
      </c>
      <c r="D13" s="9" t="s">
        <v>19</v>
      </c>
      <c r="E13" s="4"/>
      <c r="F13" s="21" t="s">
        <v>273</v>
      </c>
    </row>
    <row r="14" spans="2:6" x14ac:dyDescent="0.25">
      <c r="C14" s="48" t="s">
        <v>21</v>
      </c>
      <c r="D14" s="9" t="s">
        <v>22</v>
      </c>
      <c r="E14" s="4"/>
    </row>
    <row r="15" spans="2:6" x14ac:dyDescent="0.25">
      <c r="C15" s="3"/>
      <c r="D15" s="4"/>
      <c r="E15" s="4"/>
      <c r="F15" t="s">
        <v>23</v>
      </c>
    </row>
    <row r="16" spans="2:6" ht="135" x14ac:dyDescent="0.25">
      <c r="C16" s="3"/>
      <c r="D16" s="4"/>
      <c r="E16" s="4"/>
      <c r="F16" s="21" t="s">
        <v>274</v>
      </c>
    </row>
    <row r="17" spans="3:6" ht="18.75" x14ac:dyDescent="0.25">
      <c r="C17" s="5" t="s">
        <v>25</v>
      </c>
      <c r="D17" s="4"/>
      <c r="E17" s="4"/>
      <c r="F17" s="12"/>
    </row>
    <row r="18" spans="3:6" x14ac:dyDescent="0.25">
      <c r="C18" s="3" t="s">
        <v>26</v>
      </c>
      <c r="D18" s="1" t="s">
        <v>25</v>
      </c>
      <c r="E18" s="4"/>
      <c r="F18" s="12"/>
    </row>
    <row r="19" spans="3:6" x14ac:dyDescent="0.25">
      <c r="C19" s="48" t="s">
        <v>27</v>
      </c>
      <c r="D19" s="10">
        <v>22</v>
      </c>
      <c r="E19" s="4"/>
      <c r="F19" s="12"/>
    </row>
    <row r="20" spans="3:6" x14ac:dyDescent="0.25">
      <c r="C20" s="48" t="s">
        <v>28</v>
      </c>
      <c r="D20" s="10">
        <v>10</v>
      </c>
      <c r="E20" s="4"/>
      <c r="F20" s="12"/>
    </row>
    <row r="21" spans="3:6" x14ac:dyDescent="0.25">
      <c r="C21" s="48" t="s">
        <v>29</v>
      </c>
      <c r="D21" s="10">
        <v>4</v>
      </c>
      <c r="E21" s="4"/>
    </row>
    <row r="22" spans="3:6" x14ac:dyDescent="0.25">
      <c r="C22" s="48" t="s">
        <v>30</v>
      </c>
      <c r="D22" s="10">
        <v>8</v>
      </c>
      <c r="E22" s="4"/>
      <c r="F22" t="s">
        <v>31</v>
      </c>
    </row>
    <row r="23" spans="3:6" x14ac:dyDescent="0.25">
      <c r="C23" s="48" t="s">
        <v>32</v>
      </c>
      <c r="D23" s="10">
        <v>0</v>
      </c>
      <c r="E23" s="4"/>
      <c r="F23" s="12" t="s">
        <v>33</v>
      </c>
    </row>
    <row r="24" spans="3:6" x14ac:dyDescent="0.25">
      <c r="C24" s="48" t="s">
        <v>34</v>
      </c>
      <c r="D24" s="1">
        <f>SUM(D19:D23)</f>
        <v>44</v>
      </c>
      <c r="E24" s="4"/>
      <c r="F24" s="12"/>
    </row>
    <row r="25" spans="3:6" x14ac:dyDescent="0.25">
      <c r="F25" s="12"/>
    </row>
    <row r="26" spans="3:6" x14ac:dyDescent="0.25">
      <c r="F26" s="12"/>
    </row>
    <row r="27" spans="3:6" ht="18.75" x14ac:dyDescent="0.25">
      <c r="C27" s="5" t="s">
        <v>35</v>
      </c>
      <c r="D27" s="7" t="s">
        <v>36</v>
      </c>
      <c r="F27" s="12"/>
    </row>
    <row r="28" spans="3:6" x14ac:dyDescent="0.25">
      <c r="C28" s="3" t="s">
        <v>37</v>
      </c>
      <c r="D28" s="3" t="s">
        <v>38</v>
      </c>
      <c r="E28" s="3"/>
      <c r="F28" s="12"/>
    </row>
    <row r="29" spans="3:6" ht="45" x14ac:dyDescent="0.25">
      <c r="C29" s="48" t="s">
        <v>39</v>
      </c>
      <c r="D29" s="9" t="s">
        <v>275</v>
      </c>
      <c r="E29" s="4"/>
      <c r="F29" s="12"/>
    </row>
    <row r="30" spans="3:6" ht="45" x14ac:dyDescent="0.25">
      <c r="C30" s="48" t="s">
        <v>41</v>
      </c>
      <c r="D30" s="9" t="s">
        <v>276</v>
      </c>
      <c r="E30" s="4"/>
      <c r="F30" s="12"/>
    </row>
    <row r="31" spans="3:6" ht="60" x14ac:dyDescent="0.25">
      <c r="C31" s="48" t="s">
        <v>43</v>
      </c>
      <c r="D31" s="9" t="s">
        <v>277</v>
      </c>
      <c r="E31" s="4"/>
      <c r="F31" s="12"/>
    </row>
    <row r="32" spans="3:6" x14ac:dyDescent="0.25">
      <c r="C32" s="48" t="s">
        <v>45</v>
      </c>
      <c r="D32" s="9"/>
      <c r="E32" s="4"/>
      <c r="F32" s="12"/>
    </row>
    <row r="33" spans="3:8" x14ac:dyDescent="0.25">
      <c r="C33" s="48" t="s">
        <v>47</v>
      </c>
      <c r="D33" s="9"/>
      <c r="E33" s="4"/>
      <c r="F33" s="12"/>
    </row>
    <row r="36" spans="3:8" ht="18.75" x14ac:dyDescent="0.25">
      <c r="C36" s="5" t="s">
        <v>49</v>
      </c>
    </row>
    <row r="37" spans="3:8" x14ac:dyDescent="0.25">
      <c r="C37" s="3" t="s">
        <v>50</v>
      </c>
      <c r="D37" s="3" t="s">
        <v>51</v>
      </c>
      <c r="E37" s="3" t="s">
        <v>52</v>
      </c>
      <c r="F37" s="3" t="s">
        <v>53</v>
      </c>
      <c r="G37" s="3" t="s">
        <v>54</v>
      </c>
      <c r="H37" s="3" t="s">
        <v>55</v>
      </c>
    </row>
    <row r="38" spans="3:8" x14ac:dyDescent="0.25">
      <c r="C38" s="48" t="s">
        <v>56</v>
      </c>
      <c r="D38" s="9" t="s">
        <v>125</v>
      </c>
      <c r="E38" s="9" t="s">
        <v>278</v>
      </c>
      <c r="F38" s="9" t="s">
        <v>279</v>
      </c>
      <c r="G38" s="11">
        <v>0.4</v>
      </c>
      <c r="H38" s="9">
        <v>25</v>
      </c>
    </row>
    <row r="39" spans="3:8" x14ac:dyDescent="0.25">
      <c r="C39" s="48" t="s">
        <v>60</v>
      </c>
      <c r="D39" s="9" t="s">
        <v>206</v>
      </c>
      <c r="E39" s="9" t="s">
        <v>61</v>
      </c>
      <c r="F39" s="9" t="s">
        <v>280</v>
      </c>
      <c r="G39" s="11">
        <v>0.6</v>
      </c>
      <c r="H39" s="9">
        <v>32</v>
      </c>
    </row>
    <row r="40" spans="3:8" x14ac:dyDescent="0.25">
      <c r="C40" s="48" t="s">
        <v>63</v>
      </c>
      <c r="D40" s="12"/>
      <c r="E40" s="12"/>
      <c r="F40" s="12"/>
      <c r="G40" s="12"/>
      <c r="H40" s="12"/>
    </row>
    <row r="41" spans="3:8" x14ac:dyDescent="0.25">
      <c r="C41" s="48" t="s">
        <v>64</v>
      </c>
      <c r="D41" s="12"/>
      <c r="E41" s="12"/>
      <c r="F41" s="12"/>
      <c r="G41" s="12"/>
      <c r="H41" s="12"/>
    </row>
    <row r="42" spans="3:8" x14ac:dyDescent="0.25">
      <c r="C42" s="3"/>
    </row>
    <row r="44" spans="3:8" ht="18.75" x14ac:dyDescent="0.25">
      <c r="C44" s="5" t="s">
        <v>65</v>
      </c>
      <c r="D44" s="7"/>
    </row>
    <row r="45" spans="3:8" x14ac:dyDescent="0.25">
      <c r="C45" s="1" t="s">
        <v>50</v>
      </c>
      <c r="D45" s="1" t="s">
        <v>37</v>
      </c>
      <c r="E45" s="1" t="s">
        <v>66</v>
      </c>
      <c r="F45" s="1" t="s">
        <v>67</v>
      </c>
    </row>
    <row r="46" spans="3:8" x14ac:dyDescent="0.25">
      <c r="C46" s="13" t="s">
        <v>56</v>
      </c>
      <c r="D46" s="12" t="s">
        <v>41</v>
      </c>
      <c r="E46" s="12" t="s">
        <v>72</v>
      </c>
      <c r="F46" s="12" t="s">
        <v>73</v>
      </c>
    </row>
    <row r="47" spans="3:8" x14ac:dyDescent="0.25">
      <c r="C47" s="13" t="s">
        <v>56</v>
      </c>
      <c r="D47" s="12" t="s">
        <v>41</v>
      </c>
      <c r="E47" s="12" t="s">
        <v>74</v>
      </c>
      <c r="F47" s="12" t="s">
        <v>75</v>
      </c>
    </row>
    <row r="48" spans="3:8" x14ac:dyDescent="0.25">
      <c r="C48" s="13" t="s">
        <v>56</v>
      </c>
      <c r="D48" s="12" t="s">
        <v>41</v>
      </c>
      <c r="E48" s="12" t="s">
        <v>80</v>
      </c>
      <c r="F48" s="12" t="s">
        <v>281</v>
      </c>
    </row>
    <row r="49" spans="3:6" x14ac:dyDescent="0.25">
      <c r="C49" s="13" t="s">
        <v>56</v>
      </c>
      <c r="D49" s="12" t="s">
        <v>41</v>
      </c>
      <c r="E49" s="12" t="s">
        <v>78</v>
      </c>
      <c r="F49" s="12" t="s">
        <v>212</v>
      </c>
    </row>
    <row r="50" spans="3:6" x14ac:dyDescent="0.25">
      <c r="C50" s="13" t="s">
        <v>60</v>
      </c>
      <c r="D50" s="12" t="s">
        <v>39</v>
      </c>
      <c r="E50" s="12" t="s">
        <v>70</v>
      </c>
      <c r="F50" s="12" t="s">
        <v>71</v>
      </c>
    </row>
    <row r="51" spans="3:6" x14ac:dyDescent="0.25">
      <c r="C51" s="13" t="s">
        <v>60</v>
      </c>
      <c r="D51" s="12" t="s">
        <v>39</v>
      </c>
      <c r="E51" s="12" t="s">
        <v>68</v>
      </c>
      <c r="F51" s="12" t="s">
        <v>165</v>
      </c>
    </row>
    <row r="52" spans="3:6" x14ac:dyDescent="0.25">
      <c r="C52" s="13" t="s">
        <v>60</v>
      </c>
      <c r="D52" s="12" t="s">
        <v>41</v>
      </c>
      <c r="E52" s="12" t="s">
        <v>82</v>
      </c>
      <c r="F52" s="12" t="s">
        <v>83</v>
      </c>
    </row>
    <row r="53" spans="3:6" x14ac:dyDescent="0.25">
      <c r="C53" s="13" t="s">
        <v>60</v>
      </c>
      <c r="D53" s="12" t="s">
        <v>41</v>
      </c>
      <c r="E53" s="12" t="s">
        <v>78</v>
      </c>
      <c r="F53" s="12" t="s">
        <v>79</v>
      </c>
    </row>
    <row r="54" spans="3:6" x14ac:dyDescent="0.25">
      <c r="C54" s="13" t="s">
        <v>60</v>
      </c>
      <c r="D54" s="12" t="s">
        <v>43</v>
      </c>
      <c r="E54" s="12" t="s">
        <v>84</v>
      </c>
      <c r="F54" s="12" t="s">
        <v>85</v>
      </c>
    </row>
    <row r="55" spans="3:6" x14ac:dyDescent="0.25">
      <c r="C55" s="13" t="s">
        <v>60</v>
      </c>
      <c r="D55" s="12" t="s">
        <v>43</v>
      </c>
      <c r="E55" s="12" t="s">
        <v>86</v>
      </c>
      <c r="F55" s="12" t="s">
        <v>87</v>
      </c>
    </row>
    <row r="56" spans="3:6" x14ac:dyDescent="0.25">
      <c r="C56" s="13" t="s">
        <v>60</v>
      </c>
      <c r="D56" s="12" t="s">
        <v>43</v>
      </c>
      <c r="E56" s="12" t="s">
        <v>84</v>
      </c>
      <c r="F56" s="12" t="s">
        <v>282</v>
      </c>
    </row>
    <row r="57" spans="3:6" x14ac:dyDescent="0.25">
      <c r="C57" s="13"/>
      <c r="D57" s="12"/>
      <c r="E57" s="12"/>
      <c r="F57" s="12"/>
    </row>
    <row r="58" spans="3:6" x14ac:dyDescent="0.25">
      <c r="C58" s="13"/>
      <c r="D58" s="12"/>
      <c r="E58" s="12"/>
      <c r="F58" s="12"/>
    </row>
    <row r="59" spans="3:6" x14ac:dyDescent="0.25">
      <c r="C59" s="13"/>
      <c r="D59" s="12"/>
      <c r="E59" s="12"/>
      <c r="F59" s="12"/>
    </row>
    <row r="60" spans="3:6" x14ac:dyDescent="0.25">
      <c r="C60" s="13"/>
      <c r="D60" s="12"/>
      <c r="E60" s="12"/>
      <c r="F60" s="12"/>
    </row>
    <row r="61" spans="3:6" x14ac:dyDescent="0.25">
      <c r="C61" s="13"/>
      <c r="D61" s="12"/>
      <c r="E61" s="12"/>
      <c r="F61" s="12"/>
    </row>
    <row r="62" spans="3:6" x14ac:dyDescent="0.25">
      <c r="C62" s="13"/>
      <c r="D62" s="12"/>
      <c r="E62" s="12"/>
      <c r="F62" s="12"/>
    </row>
    <row r="63" spans="3:6" x14ac:dyDescent="0.25">
      <c r="C63" s="13"/>
      <c r="D63" s="12"/>
      <c r="E63" s="12"/>
      <c r="F63" s="12"/>
    </row>
    <row r="64" spans="3:6" x14ac:dyDescent="0.25">
      <c r="C64" s="13"/>
      <c r="D64" s="12"/>
      <c r="E64" s="12"/>
      <c r="F64" s="12"/>
    </row>
    <row r="65" spans="2:6" x14ac:dyDescent="0.25">
      <c r="C65" s="13"/>
      <c r="D65" s="12"/>
      <c r="E65" s="12"/>
      <c r="F65" s="12"/>
    </row>
    <row r="66" spans="2:6" x14ac:dyDescent="0.25">
      <c r="C66" s="13"/>
      <c r="D66" s="12"/>
      <c r="E66" s="12"/>
      <c r="F66" s="12"/>
    </row>
    <row r="69" spans="2:6" ht="18.75" x14ac:dyDescent="0.25">
      <c r="C69" s="5" t="s">
        <v>90</v>
      </c>
    </row>
    <row r="70" spans="2:6" x14ac:dyDescent="0.25">
      <c r="B70" t="s">
        <v>91</v>
      </c>
      <c r="C70" s="1" t="s">
        <v>92</v>
      </c>
      <c r="D70" s="1" t="s">
        <v>93</v>
      </c>
      <c r="E70" s="1" t="s">
        <v>94</v>
      </c>
      <c r="F70" s="1" t="s">
        <v>95</v>
      </c>
    </row>
    <row r="71" spans="2:6" x14ac:dyDescent="0.25">
      <c r="B71" s="49">
        <v>1</v>
      </c>
      <c r="C71" s="50">
        <v>1</v>
      </c>
      <c r="D71" s="9"/>
      <c r="E71" s="9"/>
      <c r="F71" s="9"/>
    </row>
    <row r="72" spans="2:6" x14ac:dyDescent="0.25">
      <c r="B72" s="49">
        <v>1</v>
      </c>
      <c r="C72" s="50">
        <v>2</v>
      </c>
      <c r="D72" s="9"/>
      <c r="E72" s="9"/>
      <c r="F72" s="9"/>
    </row>
    <row r="73" spans="2:6" x14ac:dyDescent="0.25">
      <c r="B73" s="49">
        <v>1</v>
      </c>
      <c r="C73" s="50">
        <v>3</v>
      </c>
      <c r="D73" s="9"/>
      <c r="E73" s="9"/>
      <c r="F73" s="9"/>
    </row>
    <row r="74" spans="2:6" x14ac:dyDescent="0.25">
      <c r="B74" s="49">
        <v>1</v>
      </c>
      <c r="C74" s="50">
        <v>4</v>
      </c>
      <c r="D74" s="9"/>
      <c r="E74" s="9"/>
      <c r="F74" s="9"/>
    </row>
    <row r="75" spans="2:6" x14ac:dyDescent="0.25">
      <c r="B75" s="49">
        <v>1</v>
      </c>
      <c r="C75" s="50">
        <v>5</v>
      </c>
      <c r="D75" s="9"/>
      <c r="E75" s="9"/>
      <c r="F75" s="9"/>
    </row>
    <row r="76" spans="2:6" x14ac:dyDescent="0.25">
      <c r="B76" s="49">
        <v>1</v>
      </c>
      <c r="C76" s="50">
        <v>6</v>
      </c>
      <c r="D76" s="9"/>
      <c r="E76" s="9"/>
      <c r="F76" s="9"/>
    </row>
    <row r="77" spans="2:6" x14ac:dyDescent="0.25">
      <c r="B77" s="49">
        <v>1</v>
      </c>
      <c r="C77" s="50">
        <v>7</v>
      </c>
      <c r="D77" s="9"/>
      <c r="E77" s="9"/>
      <c r="F77" s="9"/>
    </row>
    <row r="78" spans="2:6" x14ac:dyDescent="0.25">
      <c r="B78" s="49">
        <v>1</v>
      </c>
      <c r="C78" s="50">
        <v>8</v>
      </c>
      <c r="D78" s="9"/>
      <c r="E78" s="9"/>
      <c r="F78" s="9"/>
    </row>
    <row r="79" spans="2:6" x14ac:dyDescent="0.25">
      <c r="B79" s="49">
        <v>1</v>
      </c>
      <c r="C79" s="50">
        <v>9</v>
      </c>
      <c r="D79" s="9"/>
      <c r="E79" s="9"/>
      <c r="F79" s="9"/>
    </row>
    <row r="80" spans="2:6" x14ac:dyDescent="0.25">
      <c r="B80" s="49">
        <v>1</v>
      </c>
      <c r="C80" s="50">
        <v>10</v>
      </c>
      <c r="D80" s="9"/>
      <c r="E80" s="9"/>
      <c r="F80" s="9"/>
    </row>
    <row r="81" spans="2:6" x14ac:dyDescent="0.25">
      <c r="B81" s="49">
        <v>1</v>
      </c>
      <c r="C81" s="50">
        <v>11</v>
      </c>
      <c r="D81" s="9"/>
      <c r="E81" s="9"/>
      <c r="F81" s="9"/>
    </row>
    <row r="82" spans="2:6" x14ac:dyDescent="0.25">
      <c r="B82" s="49">
        <v>1</v>
      </c>
      <c r="C82" s="50">
        <v>12</v>
      </c>
      <c r="D82" s="9"/>
      <c r="E82" s="9"/>
      <c r="F82" s="9"/>
    </row>
    <row r="83" spans="2:6" x14ac:dyDescent="0.25">
      <c r="B83" s="49">
        <v>2</v>
      </c>
      <c r="C83" s="50">
        <v>1</v>
      </c>
      <c r="D83" s="9" t="s">
        <v>283</v>
      </c>
      <c r="E83" s="9" t="s">
        <v>97</v>
      </c>
      <c r="F83" s="9"/>
    </row>
    <row r="84" spans="2:6" x14ac:dyDescent="0.25">
      <c r="B84" s="49">
        <v>2</v>
      </c>
      <c r="C84" s="50">
        <v>2</v>
      </c>
      <c r="D84" s="9" t="s">
        <v>284</v>
      </c>
      <c r="E84" s="9" t="s">
        <v>99</v>
      </c>
      <c r="F84" s="9"/>
    </row>
    <row r="85" spans="2:6" x14ac:dyDescent="0.25">
      <c r="B85" s="49">
        <v>2</v>
      </c>
      <c r="C85" s="50">
        <v>3</v>
      </c>
      <c r="D85" s="9" t="s">
        <v>285</v>
      </c>
      <c r="E85" s="9" t="s">
        <v>97</v>
      </c>
      <c r="F85" s="9"/>
    </row>
    <row r="86" spans="2:6" x14ac:dyDescent="0.25">
      <c r="B86" s="49">
        <v>2</v>
      </c>
      <c r="C86" s="50">
        <v>4</v>
      </c>
      <c r="D86" s="9" t="s">
        <v>286</v>
      </c>
      <c r="E86" s="9" t="s">
        <v>99</v>
      </c>
      <c r="F86" s="9"/>
    </row>
    <row r="87" spans="2:6" x14ac:dyDescent="0.25">
      <c r="B87" s="49">
        <v>2</v>
      </c>
      <c r="C87" s="50">
        <v>5</v>
      </c>
      <c r="D87" s="9" t="s">
        <v>287</v>
      </c>
      <c r="E87" s="9" t="s">
        <v>97</v>
      </c>
      <c r="F87" s="9"/>
    </row>
    <row r="88" spans="2:6" x14ac:dyDescent="0.25">
      <c r="B88" s="49">
        <v>2</v>
      </c>
      <c r="C88" s="50">
        <v>6</v>
      </c>
      <c r="D88" s="9" t="s">
        <v>288</v>
      </c>
      <c r="E88" s="9" t="s">
        <v>104</v>
      </c>
      <c r="F88" s="9"/>
    </row>
    <row r="89" spans="2:6" x14ac:dyDescent="0.25">
      <c r="B89" s="49">
        <v>2</v>
      </c>
      <c r="C89" s="50">
        <v>7</v>
      </c>
      <c r="D89" s="9" t="s">
        <v>225</v>
      </c>
      <c r="E89" s="9" t="s">
        <v>106</v>
      </c>
      <c r="F89" s="9"/>
    </row>
    <row r="90" spans="2:6" x14ac:dyDescent="0.25">
      <c r="B90" s="49">
        <v>2</v>
      </c>
      <c r="C90" s="50">
        <v>8</v>
      </c>
      <c r="D90" s="9" t="s">
        <v>289</v>
      </c>
      <c r="E90" s="9" t="s">
        <v>99</v>
      </c>
      <c r="F90" s="9"/>
    </row>
    <row r="91" spans="2:6" x14ac:dyDescent="0.25">
      <c r="B91" s="49">
        <v>2</v>
      </c>
      <c r="C91" s="50">
        <v>9</v>
      </c>
      <c r="D91" s="9" t="s">
        <v>290</v>
      </c>
      <c r="E91" s="9" t="s">
        <v>99</v>
      </c>
      <c r="F91" s="9"/>
    </row>
    <row r="92" spans="2:6" x14ac:dyDescent="0.25">
      <c r="B92" s="49">
        <v>2</v>
      </c>
      <c r="C92" s="50">
        <v>10</v>
      </c>
      <c r="D92" s="9" t="s">
        <v>291</v>
      </c>
      <c r="E92" s="9" t="s">
        <v>97</v>
      </c>
      <c r="F92" s="9"/>
    </row>
    <row r="93" spans="2:6" x14ac:dyDescent="0.25">
      <c r="B93" s="49">
        <v>2</v>
      </c>
      <c r="C93" s="50">
        <v>11</v>
      </c>
      <c r="D93" s="9" t="s">
        <v>292</v>
      </c>
      <c r="E93" s="9" t="s">
        <v>104</v>
      </c>
      <c r="F93" s="9"/>
    </row>
    <row r="94" spans="2:6" x14ac:dyDescent="0.25">
      <c r="B94" s="49">
        <v>2</v>
      </c>
      <c r="C94" s="50">
        <v>12</v>
      </c>
      <c r="D94" s="9" t="s">
        <v>293</v>
      </c>
      <c r="E94" s="9" t="s">
        <v>112</v>
      </c>
      <c r="F94" s="9"/>
    </row>
  </sheetData>
  <sheetProtection sheet="1" objects="1" scenarios="1" formatCells="0" formatColumns="0" formatRows="0" insertHyperlinks="0"/>
  <dataValidations count="4">
    <dataValidation type="list" allowBlank="1" showInputMessage="1" showErrorMessage="1" sqref="F46:F66" xr:uid="{FBDDC197-4A14-47FE-ADCC-676A78692ED8}">
      <formula1>INDIRECT(VLOOKUP($E46, SkillNameMap, 2, FALSE))</formula1>
    </dataValidation>
    <dataValidation type="list" allowBlank="1" showInputMessage="1" showErrorMessage="1" sqref="E38:E41" xr:uid="{68DC1710-8FBD-4C96-BEFB-29EEA2B38DF9}">
      <formula1>INDIRECT("LISTAssess[Assessment Specific]")</formula1>
    </dataValidation>
    <dataValidation type="whole" showInputMessage="1" showErrorMessage="1" error="This is not a realistic number of contact hours please change" sqref="D19" xr:uid="{FF705AB8-F0B5-4944-B4DB-BA562CE03F41}">
      <formula1>0</formula1>
      <formula2>80</formula2>
    </dataValidation>
    <dataValidation type="whole" showInputMessage="1" showErrorMessage="1" error="This is not a realistic number of contact hours please reduce" sqref="D20:D23" xr:uid="{B3470EF4-EDE1-4AA2-BF4E-C5217F91B39A}">
      <formula1>0</formula1>
      <formula2>80</formula2>
    </dataValidation>
  </dataValidations>
  <pageMargins left="0.7" right="0.7" top="0.75" bottom="0.75" header="0.3" footer="0.3"/>
  <pageSetup paperSize="9" orientation="portrait" horizontalDpi="4294967293" verticalDpi="0" r:id="rId1"/>
  <tableParts count="10">
    <tablePart r:id="rId2"/>
    <tablePart r:id="rId3"/>
    <tablePart r:id="rId4"/>
    <tablePart r:id="rId5"/>
    <tablePart r:id="rId6"/>
    <tablePart r:id="rId7"/>
    <tablePart r:id="rId8"/>
    <tablePart r:id="rId9"/>
    <tablePart r:id="rId10"/>
    <tablePart r:id="rId11"/>
  </tableParts>
  <extLst>
    <ext xmlns:x14="http://schemas.microsoft.com/office/spreadsheetml/2009/9/main" uri="{CCE6A557-97BC-4b89-ADB6-D9C93CAAB3DF}">
      <x14:dataValidations xmlns:xm="http://schemas.microsoft.com/office/excel/2006/main" count="7">
        <x14:dataValidation type="list" allowBlank="1" showInputMessage="1" showErrorMessage="1" xr:uid="{F82EBEA9-5922-4C07-934E-470BFDA49DA7}">
          <x14:formula1>
            <xm:f>LISTS!$J$7:$J$16</xm:f>
          </x14:formula1>
          <xm:sqref>E46:E66</xm:sqref>
        </x14:dataValidation>
        <x14:dataValidation type="list" allowBlank="1" showInputMessage="1" showErrorMessage="1" xr:uid="{14DAA443-23DD-4C34-A97A-3ECF7C0E8C55}">
          <x14:formula1>
            <xm:f>LISTS!$E$7:$E$11</xm:f>
          </x14:formula1>
          <xm:sqref>D46:D66</xm:sqref>
        </x14:dataValidation>
        <x14:dataValidation type="list" allowBlank="1" showInputMessage="1" showErrorMessage="1" xr:uid="{32C1AEC8-992B-4A37-AC70-FCFCDCEAE5AF}">
          <x14:formula1>
            <xm:f>LISTS!$G$7:$G$11</xm:f>
          </x14:formula1>
          <xm:sqref>D38:D42</xm:sqref>
        </x14:dataValidation>
        <x14:dataValidation type="list" allowBlank="1" showInputMessage="1" showErrorMessage="1" xr:uid="{079859AC-8D6D-42CE-8DCE-FB75C2DF13B7}">
          <x14:formula1>
            <xm:f>LISTS!$C$11:$C$15</xm:f>
          </x14:formula1>
          <xm:sqref>D11</xm:sqref>
        </x14:dataValidation>
        <x14:dataValidation type="list" allowBlank="1" showInputMessage="1" showErrorMessage="1" xr:uid="{95BE0675-0791-40D0-9E9D-AB48C0DB89D4}">
          <x14:formula1>
            <xm:f>LISTS!$C$7:$C$9</xm:f>
          </x14:formula1>
          <xm:sqref>D10</xm:sqref>
        </x14:dataValidation>
        <x14:dataValidation type="list" allowBlank="1" showInputMessage="1" showErrorMessage="1" xr:uid="{6B48D045-2AC6-4AB5-8461-E9008DA71EAB}">
          <x14:formula1>
            <xm:f>LISTS!$C$17:$C$22</xm:f>
          </x14:formula1>
          <xm:sqref>D13</xm:sqref>
        </x14:dataValidation>
        <x14:dataValidation type="list" allowBlank="1" showInputMessage="1" showErrorMessage="1" xr:uid="{A9720BD0-513F-4B9A-9AB4-400D7A5FAEF6}">
          <x14:formula1>
            <xm:f>LISTS!$C$26:$C$37</xm:f>
          </x14:formula1>
          <xm:sqref>D14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93CBE-AC61-4382-834C-8132B542CACA}">
  <sheetPr codeName="Sheet7"/>
  <dimension ref="B2:H99"/>
  <sheetViews>
    <sheetView showGridLines="0" topLeftCell="A23" zoomScale="85" zoomScaleNormal="85" workbookViewId="0">
      <selection activeCell="F42" sqref="F42"/>
    </sheetView>
  </sheetViews>
  <sheetFormatPr defaultColWidth="8.85546875" defaultRowHeight="15" x14ac:dyDescent="0.25"/>
  <cols>
    <col min="3" max="3" width="33.28515625" customWidth="1"/>
    <col min="4" max="4" width="51.42578125" customWidth="1"/>
    <col min="5" max="5" width="67.28515625" customWidth="1"/>
    <col min="6" max="6" width="63.140625" customWidth="1"/>
    <col min="7" max="7" width="12.42578125" customWidth="1"/>
    <col min="8" max="8" width="15.42578125" customWidth="1"/>
    <col min="9" max="9" width="14.7109375" customWidth="1"/>
  </cols>
  <sheetData>
    <row r="2" spans="2:6" ht="26.25" x14ac:dyDescent="0.4">
      <c r="C2" s="8" t="str">
        <f>D7</f>
        <v>5052SPS</v>
      </c>
      <c r="D2" s="8" t="str">
        <f>D8</f>
        <v>Advances in Cognitive and Biological Psychology</v>
      </c>
    </row>
    <row r="3" spans="2:6" x14ac:dyDescent="0.25">
      <c r="B3" s="1"/>
      <c r="C3" s="1"/>
    </row>
    <row r="4" spans="2:6" x14ac:dyDescent="0.25">
      <c r="B4" s="2"/>
      <c r="C4" s="2"/>
    </row>
    <row r="5" spans="2:6" ht="18.75" x14ac:dyDescent="0.25">
      <c r="B5" s="2"/>
      <c r="C5" s="5" t="s">
        <v>0</v>
      </c>
    </row>
    <row r="6" spans="2:6" x14ac:dyDescent="0.25">
      <c r="B6" s="2"/>
      <c r="C6" s="3" t="s">
        <v>1</v>
      </c>
      <c r="D6" s="4" t="s">
        <v>2</v>
      </c>
      <c r="E6" s="4"/>
      <c r="F6" t="s">
        <v>3</v>
      </c>
    </row>
    <row r="7" spans="2:6" ht="30" x14ac:dyDescent="0.25">
      <c r="B7" s="2"/>
      <c r="C7" s="48" t="s">
        <v>4</v>
      </c>
      <c r="D7" s="9" t="s">
        <v>294</v>
      </c>
      <c r="E7" s="4"/>
      <c r="F7" s="21" t="s">
        <v>295</v>
      </c>
    </row>
    <row r="8" spans="2:6" ht="30" x14ac:dyDescent="0.25">
      <c r="B8" s="2"/>
      <c r="C8" s="48" t="s">
        <v>7</v>
      </c>
      <c r="D8" s="9" t="s">
        <v>296</v>
      </c>
      <c r="E8" s="4"/>
      <c r="F8" s="21" t="s">
        <v>297</v>
      </c>
    </row>
    <row r="9" spans="2:6" x14ac:dyDescent="0.25">
      <c r="C9" s="48" t="s">
        <v>10</v>
      </c>
      <c r="D9" s="9">
        <v>20</v>
      </c>
      <c r="E9" s="4"/>
    </row>
    <row r="10" spans="2:6" x14ac:dyDescent="0.25">
      <c r="C10" s="48" t="s">
        <v>11</v>
      </c>
      <c r="D10" s="9">
        <v>1</v>
      </c>
      <c r="E10" s="4"/>
      <c r="F10" t="s">
        <v>12</v>
      </c>
    </row>
    <row r="11" spans="2:6" ht="45" x14ac:dyDescent="0.25">
      <c r="C11" s="48" t="s">
        <v>13</v>
      </c>
      <c r="D11" s="9">
        <v>5</v>
      </c>
      <c r="E11" s="4"/>
      <c r="F11" s="21" t="s">
        <v>298</v>
      </c>
    </row>
    <row r="12" spans="2:6" ht="60" x14ac:dyDescent="0.25">
      <c r="C12" s="48" t="s">
        <v>15</v>
      </c>
      <c r="D12" s="9" t="s">
        <v>299</v>
      </c>
      <c r="E12" s="4"/>
      <c r="F12" s="21" t="s">
        <v>300</v>
      </c>
    </row>
    <row r="13" spans="2:6" x14ac:dyDescent="0.25">
      <c r="C13" s="48" t="s">
        <v>18</v>
      </c>
      <c r="D13" s="9" t="s">
        <v>119</v>
      </c>
      <c r="E13" s="4"/>
      <c r="F13" s="12"/>
    </row>
    <row r="14" spans="2:6" x14ac:dyDescent="0.25">
      <c r="C14" s="48" t="s">
        <v>21</v>
      </c>
      <c r="D14" s="9" t="s">
        <v>22</v>
      </c>
      <c r="E14" s="4"/>
    </row>
    <row r="15" spans="2:6" x14ac:dyDescent="0.25">
      <c r="C15" s="3"/>
      <c r="D15" s="4"/>
      <c r="E15" s="4"/>
      <c r="F15" t="s">
        <v>23</v>
      </c>
    </row>
    <row r="16" spans="2:6" x14ac:dyDescent="0.25">
      <c r="C16" s="3"/>
      <c r="D16" s="4"/>
      <c r="E16" s="4"/>
      <c r="F16" s="12" t="s">
        <v>301</v>
      </c>
    </row>
    <row r="17" spans="3:6" ht="18.75" x14ac:dyDescent="0.25">
      <c r="C17" s="5" t="s">
        <v>25</v>
      </c>
      <c r="D17" s="4"/>
      <c r="E17" s="4"/>
      <c r="F17" s="12"/>
    </row>
    <row r="18" spans="3:6" x14ac:dyDescent="0.25">
      <c r="C18" s="3" t="s">
        <v>26</v>
      </c>
      <c r="D18" s="1" t="s">
        <v>25</v>
      </c>
      <c r="E18" s="4"/>
      <c r="F18" s="12"/>
    </row>
    <row r="19" spans="3:6" x14ac:dyDescent="0.25">
      <c r="C19" s="48" t="s">
        <v>27</v>
      </c>
      <c r="D19" s="10">
        <v>18</v>
      </c>
      <c r="E19" s="4"/>
      <c r="F19" s="12"/>
    </row>
    <row r="20" spans="3:6" x14ac:dyDescent="0.25">
      <c r="C20" s="48" t="s">
        <v>28</v>
      </c>
      <c r="D20" s="10">
        <v>4</v>
      </c>
      <c r="E20" s="4"/>
      <c r="F20" s="12"/>
    </row>
    <row r="21" spans="3:6" x14ac:dyDescent="0.25">
      <c r="C21" s="48" t="s">
        <v>29</v>
      </c>
      <c r="D21" s="10">
        <v>16</v>
      </c>
      <c r="E21" s="4"/>
    </row>
    <row r="22" spans="3:6" x14ac:dyDescent="0.25">
      <c r="C22" s="48" t="s">
        <v>30</v>
      </c>
      <c r="D22" s="10">
        <v>0</v>
      </c>
      <c r="E22" s="4"/>
      <c r="F22" t="s">
        <v>31</v>
      </c>
    </row>
    <row r="23" spans="3:6" ht="30" x14ac:dyDescent="0.25">
      <c r="C23" s="48" t="s">
        <v>32</v>
      </c>
      <c r="D23" s="10">
        <v>4</v>
      </c>
      <c r="E23" s="4"/>
      <c r="F23" s="21" t="s">
        <v>302</v>
      </c>
    </row>
    <row r="24" spans="3:6" x14ac:dyDescent="0.25">
      <c r="C24" s="48" t="s">
        <v>34</v>
      </c>
      <c r="D24" s="1">
        <f>SUM(D19:D23)</f>
        <v>42</v>
      </c>
      <c r="E24" s="4"/>
      <c r="F24" s="12"/>
    </row>
    <row r="25" spans="3:6" x14ac:dyDescent="0.25">
      <c r="F25" s="12"/>
    </row>
    <row r="26" spans="3:6" x14ac:dyDescent="0.25">
      <c r="F26" s="12"/>
    </row>
    <row r="27" spans="3:6" ht="18.75" x14ac:dyDescent="0.25">
      <c r="C27" s="5" t="s">
        <v>35</v>
      </c>
      <c r="D27" s="7" t="s">
        <v>36</v>
      </c>
      <c r="F27" s="12"/>
    </row>
    <row r="28" spans="3:6" x14ac:dyDescent="0.25">
      <c r="C28" s="3" t="s">
        <v>37</v>
      </c>
      <c r="D28" s="3" t="s">
        <v>38</v>
      </c>
      <c r="E28" s="3"/>
      <c r="F28" s="12"/>
    </row>
    <row r="29" spans="3:6" ht="45" x14ac:dyDescent="0.25">
      <c r="C29" s="48" t="s">
        <v>39</v>
      </c>
      <c r="D29" s="9" t="s">
        <v>303</v>
      </c>
      <c r="E29" s="4"/>
      <c r="F29" s="12"/>
    </row>
    <row r="30" spans="3:6" ht="45" x14ac:dyDescent="0.25">
      <c r="C30" s="48" t="s">
        <v>41</v>
      </c>
      <c r="D30" s="9" t="s">
        <v>304</v>
      </c>
      <c r="E30" s="4"/>
      <c r="F30" s="12"/>
    </row>
    <row r="31" spans="3:6" ht="44.25" customHeight="1" x14ac:dyDescent="0.25">
      <c r="C31" s="48" t="s">
        <v>43</v>
      </c>
      <c r="D31" s="73" t="s">
        <v>305</v>
      </c>
      <c r="E31" s="4"/>
      <c r="F31" s="12"/>
    </row>
    <row r="32" spans="3:6" x14ac:dyDescent="0.25">
      <c r="C32" s="48"/>
      <c r="D32" s="9"/>
      <c r="E32" s="4"/>
      <c r="F32" s="12"/>
    </row>
    <row r="33" spans="3:8" x14ac:dyDescent="0.25">
      <c r="C33" s="48"/>
      <c r="D33" s="9"/>
      <c r="E33" s="4"/>
      <c r="F33" s="12"/>
    </row>
    <row r="36" spans="3:8" ht="18.75" x14ac:dyDescent="0.25">
      <c r="C36" s="5" t="s">
        <v>49</v>
      </c>
    </row>
    <row r="37" spans="3:8" x14ac:dyDescent="0.25">
      <c r="C37" s="3" t="s">
        <v>50</v>
      </c>
      <c r="D37" s="3" t="s">
        <v>51</v>
      </c>
      <c r="E37" s="3" t="s">
        <v>52</v>
      </c>
      <c r="F37" s="3" t="s">
        <v>53</v>
      </c>
      <c r="G37" s="3" t="s">
        <v>54</v>
      </c>
      <c r="H37" s="3" t="s">
        <v>55</v>
      </c>
    </row>
    <row r="38" spans="3:8" ht="30" x14ac:dyDescent="0.25">
      <c r="C38" s="48" t="s">
        <v>56</v>
      </c>
      <c r="D38" s="9" t="s">
        <v>125</v>
      </c>
      <c r="E38" s="9" t="s">
        <v>278</v>
      </c>
      <c r="F38" s="9" t="s">
        <v>306</v>
      </c>
      <c r="G38" s="11">
        <v>0.4</v>
      </c>
      <c r="H38" s="9">
        <v>8</v>
      </c>
    </row>
    <row r="39" spans="3:8" ht="30" x14ac:dyDescent="0.25">
      <c r="C39" s="48" t="s">
        <v>60</v>
      </c>
      <c r="D39" s="9" t="s">
        <v>206</v>
      </c>
      <c r="E39" s="9" t="s">
        <v>307</v>
      </c>
      <c r="F39" s="9" t="s">
        <v>308</v>
      </c>
      <c r="G39" s="11">
        <v>0.6</v>
      </c>
      <c r="H39" s="9" t="s">
        <v>309</v>
      </c>
    </row>
    <row r="40" spans="3:8" x14ac:dyDescent="0.25">
      <c r="C40" s="48"/>
      <c r="D40" s="12"/>
      <c r="E40" s="12"/>
      <c r="F40" s="12"/>
      <c r="G40" s="12"/>
      <c r="H40" s="12"/>
    </row>
    <row r="41" spans="3:8" x14ac:dyDescent="0.25">
      <c r="C41" s="48"/>
      <c r="D41" s="12"/>
      <c r="E41" s="12"/>
      <c r="F41" s="12"/>
      <c r="G41" s="12"/>
      <c r="H41" s="12"/>
    </row>
    <row r="42" spans="3:8" x14ac:dyDescent="0.25">
      <c r="C42" s="3"/>
    </row>
    <row r="44" spans="3:8" ht="18.75" x14ac:dyDescent="0.25">
      <c r="C44" s="5" t="s">
        <v>65</v>
      </c>
      <c r="D44" s="7"/>
    </row>
    <row r="45" spans="3:8" x14ac:dyDescent="0.25">
      <c r="C45" s="1" t="s">
        <v>50</v>
      </c>
      <c r="D45" s="1" t="s">
        <v>37</v>
      </c>
      <c r="E45" s="1" t="s">
        <v>66</v>
      </c>
      <c r="F45" s="1" t="s">
        <v>67</v>
      </c>
    </row>
    <row r="46" spans="3:8" x14ac:dyDescent="0.25">
      <c r="C46" s="13" t="s">
        <v>56</v>
      </c>
      <c r="D46" s="12" t="s">
        <v>39</v>
      </c>
      <c r="E46" s="12" t="s">
        <v>68</v>
      </c>
      <c r="F46" s="12" t="s">
        <v>164</v>
      </c>
    </row>
    <row r="47" spans="3:8" x14ac:dyDescent="0.25">
      <c r="C47" s="13" t="s">
        <v>56</v>
      </c>
      <c r="D47" s="12" t="s">
        <v>39</v>
      </c>
      <c r="E47" s="12" t="s">
        <v>68</v>
      </c>
      <c r="F47" s="12" t="s">
        <v>163</v>
      </c>
    </row>
    <row r="48" spans="3:8" x14ac:dyDescent="0.25">
      <c r="C48" s="13" t="s">
        <v>56</v>
      </c>
      <c r="D48" s="12" t="s">
        <v>39</v>
      </c>
      <c r="E48" s="12" t="s">
        <v>74</v>
      </c>
      <c r="F48" s="12" t="s">
        <v>310</v>
      </c>
    </row>
    <row r="49" spans="3:6" x14ac:dyDescent="0.25">
      <c r="C49" s="13" t="s">
        <v>56</v>
      </c>
      <c r="D49" s="12" t="s">
        <v>39</v>
      </c>
      <c r="E49" s="12" t="s">
        <v>74</v>
      </c>
      <c r="F49" s="12" t="s">
        <v>311</v>
      </c>
    </row>
    <row r="50" spans="3:6" x14ac:dyDescent="0.25">
      <c r="C50" s="13" t="s">
        <v>56</v>
      </c>
      <c r="D50" s="12" t="s">
        <v>39</v>
      </c>
      <c r="E50" s="12" t="s">
        <v>70</v>
      </c>
      <c r="F50" s="12" t="s">
        <v>71</v>
      </c>
    </row>
    <row r="51" spans="3:6" x14ac:dyDescent="0.25">
      <c r="C51" s="13" t="s">
        <v>56</v>
      </c>
      <c r="D51" s="12" t="s">
        <v>39</v>
      </c>
      <c r="E51" s="12" t="s">
        <v>70</v>
      </c>
      <c r="F51" s="12" t="s">
        <v>312</v>
      </c>
    </row>
    <row r="52" spans="3:6" x14ac:dyDescent="0.25">
      <c r="C52" s="13" t="s">
        <v>56</v>
      </c>
      <c r="D52" s="12" t="s">
        <v>39</v>
      </c>
      <c r="E52" s="12" t="s">
        <v>72</v>
      </c>
      <c r="F52" s="12" t="s">
        <v>73</v>
      </c>
    </row>
    <row r="53" spans="3:6" x14ac:dyDescent="0.25">
      <c r="C53" s="13" t="s">
        <v>56</v>
      </c>
      <c r="D53" s="12" t="s">
        <v>39</v>
      </c>
      <c r="E53" s="12" t="s">
        <v>86</v>
      </c>
      <c r="F53" s="12" t="s">
        <v>168</v>
      </c>
    </row>
    <row r="54" spans="3:6" x14ac:dyDescent="0.25">
      <c r="C54" s="13" t="s">
        <v>56</v>
      </c>
      <c r="D54" s="12" t="s">
        <v>39</v>
      </c>
      <c r="E54" s="12" t="s">
        <v>80</v>
      </c>
      <c r="F54" s="12" t="s">
        <v>170</v>
      </c>
    </row>
    <row r="55" spans="3:6" x14ac:dyDescent="0.25">
      <c r="C55" s="13" t="s">
        <v>60</v>
      </c>
      <c r="D55" s="12" t="s">
        <v>41</v>
      </c>
      <c r="E55" s="12" t="s">
        <v>68</v>
      </c>
      <c r="F55" s="12" t="s">
        <v>313</v>
      </c>
    </row>
    <row r="56" spans="3:6" x14ac:dyDescent="0.25">
      <c r="C56" s="13" t="s">
        <v>60</v>
      </c>
      <c r="D56" s="12" t="s">
        <v>41</v>
      </c>
      <c r="E56" s="12" t="s">
        <v>68</v>
      </c>
      <c r="F56" s="12" t="s">
        <v>165</v>
      </c>
    </row>
    <row r="57" spans="3:6" x14ac:dyDescent="0.25">
      <c r="C57" s="13" t="s">
        <v>60</v>
      </c>
      <c r="D57" s="12" t="s">
        <v>41</v>
      </c>
      <c r="E57" s="12" t="s">
        <v>74</v>
      </c>
      <c r="F57" s="12" t="s">
        <v>310</v>
      </c>
    </row>
    <row r="58" spans="3:6" x14ac:dyDescent="0.25">
      <c r="C58" s="13" t="s">
        <v>60</v>
      </c>
      <c r="D58" s="12" t="s">
        <v>41</v>
      </c>
      <c r="E58" s="12" t="s">
        <v>74</v>
      </c>
      <c r="F58" s="12" t="s">
        <v>314</v>
      </c>
    </row>
    <row r="59" spans="3:6" x14ac:dyDescent="0.25">
      <c r="C59" s="13" t="s">
        <v>60</v>
      </c>
      <c r="D59" s="12" t="s">
        <v>41</v>
      </c>
      <c r="E59" s="12" t="s">
        <v>74</v>
      </c>
      <c r="F59" s="12" t="s">
        <v>210</v>
      </c>
    </row>
    <row r="60" spans="3:6" x14ac:dyDescent="0.25">
      <c r="C60" s="13" t="s">
        <v>60</v>
      </c>
      <c r="D60" s="12" t="s">
        <v>41</v>
      </c>
      <c r="E60" s="12" t="s">
        <v>74</v>
      </c>
      <c r="F60" s="12" t="s">
        <v>75</v>
      </c>
    </row>
    <row r="61" spans="3:6" x14ac:dyDescent="0.25">
      <c r="C61" s="13" t="s">
        <v>60</v>
      </c>
      <c r="D61" s="12" t="s">
        <v>41</v>
      </c>
      <c r="E61" s="12" t="s">
        <v>74</v>
      </c>
      <c r="F61" s="12" t="s">
        <v>311</v>
      </c>
    </row>
    <row r="62" spans="3:6" x14ac:dyDescent="0.25">
      <c r="C62" s="13" t="s">
        <v>60</v>
      </c>
      <c r="D62" s="12" t="s">
        <v>43</v>
      </c>
      <c r="E62" s="12" t="s">
        <v>70</v>
      </c>
      <c r="F62" s="12" t="s">
        <v>71</v>
      </c>
    </row>
    <row r="63" spans="3:6" x14ac:dyDescent="0.25">
      <c r="C63" s="13" t="s">
        <v>60</v>
      </c>
      <c r="D63" s="12" t="s">
        <v>43</v>
      </c>
      <c r="E63" s="12" t="s">
        <v>70</v>
      </c>
      <c r="F63" s="12" t="s">
        <v>312</v>
      </c>
    </row>
    <row r="64" spans="3:6" x14ac:dyDescent="0.25">
      <c r="C64" s="13" t="s">
        <v>60</v>
      </c>
      <c r="D64" s="12" t="s">
        <v>41</v>
      </c>
      <c r="E64" s="12" t="s">
        <v>72</v>
      </c>
      <c r="F64" s="12" t="s">
        <v>167</v>
      </c>
    </row>
    <row r="65" spans="2:6" x14ac:dyDescent="0.25">
      <c r="C65" s="13" t="s">
        <v>60</v>
      </c>
      <c r="D65" s="12" t="s">
        <v>41</v>
      </c>
      <c r="E65" s="12" t="s">
        <v>72</v>
      </c>
      <c r="F65" s="12" t="s">
        <v>166</v>
      </c>
    </row>
    <row r="66" spans="2:6" x14ac:dyDescent="0.25">
      <c r="C66" s="13" t="s">
        <v>60</v>
      </c>
      <c r="D66" s="12" t="s">
        <v>41</v>
      </c>
      <c r="E66" s="12" t="s">
        <v>82</v>
      </c>
      <c r="F66" s="12" t="s">
        <v>171</v>
      </c>
    </row>
    <row r="67" spans="2:6" x14ac:dyDescent="0.25">
      <c r="C67" s="13"/>
      <c r="D67" s="12"/>
      <c r="E67" s="12"/>
      <c r="F67" s="12"/>
    </row>
    <row r="68" spans="2:6" x14ac:dyDescent="0.25">
      <c r="C68" s="13"/>
      <c r="D68" s="12"/>
      <c r="E68" s="12"/>
      <c r="F68" s="12"/>
    </row>
    <row r="69" spans="2:6" x14ac:dyDescent="0.25">
      <c r="C69" s="13"/>
      <c r="D69" s="12"/>
      <c r="E69" s="12"/>
      <c r="F69" s="12"/>
    </row>
    <row r="70" spans="2:6" x14ac:dyDescent="0.25">
      <c r="C70" s="13"/>
      <c r="D70" s="12"/>
      <c r="E70" s="12"/>
      <c r="F70" s="12"/>
    </row>
    <row r="71" spans="2:6" x14ac:dyDescent="0.25">
      <c r="C71" s="13"/>
      <c r="D71" s="12"/>
      <c r="E71" s="12"/>
      <c r="F71" s="12"/>
    </row>
    <row r="74" spans="2:6" ht="18.75" x14ac:dyDescent="0.25">
      <c r="C74" s="5" t="s">
        <v>90</v>
      </c>
    </row>
    <row r="75" spans="2:6" x14ac:dyDescent="0.25">
      <c r="B75" t="s">
        <v>91</v>
      </c>
      <c r="C75" s="1" t="s">
        <v>92</v>
      </c>
      <c r="D75" s="1" t="s">
        <v>93</v>
      </c>
      <c r="E75" s="1" t="s">
        <v>94</v>
      </c>
      <c r="F75" s="1" t="s">
        <v>95</v>
      </c>
    </row>
    <row r="76" spans="2:6" x14ac:dyDescent="0.25">
      <c r="B76" s="49">
        <v>1</v>
      </c>
      <c r="C76" s="50">
        <v>1</v>
      </c>
      <c r="D76" s="9" t="s">
        <v>315</v>
      </c>
      <c r="E76" s="9" t="s">
        <v>316</v>
      </c>
      <c r="F76" s="9"/>
    </row>
    <row r="77" spans="2:6" x14ac:dyDescent="0.25">
      <c r="B77" s="49">
        <v>1</v>
      </c>
      <c r="C77" s="50">
        <v>2</v>
      </c>
      <c r="D77" s="9" t="s">
        <v>317</v>
      </c>
      <c r="E77" s="9" t="s">
        <v>318</v>
      </c>
      <c r="F77" s="9"/>
    </row>
    <row r="78" spans="2:6" x14ac:dyDescent="0.25">
      <c r="B78" s="49">
        <v>1</v>
      </c>
      <c r="C78" s="50">
        <v>3</v>
      </c>
      <c r="D78" s="9" t="s">
        <v>319</v>
      </c>
      <c r="E78" s="9" t="s">
        <v>318</v>
      </c>
      <c r="F78" s="9"/>
    </row>
    <row r="79" spans="2:6" x14ac:dyDescent="0.25">
      <c r="B79" s="49">
        <v>1</v>
      </c>
      <c r="C79" s="50">
        <v>4</v>
      </c>
      <c r="D79" s="9" t="s">
        <v>320</v>
      </c>
      <c r="E79" s="9" t="s">
        <v>318</v>
      </c>
      <c r="F79" s="9"/>
    </row>
    <row r="80" spans="2:6" x14ac:dyDescent="0.25">
      <c r="B80" s="49">
        <v>1</v>
      </c>
      <c r="C80" s="50">
        <v>5</v>
      </c>
      <c r="D80" s="9" t="s">
        <v>321</v>
      </c>
      <c r="E80" s="9" t="s">
        <v>318</v>
      </c>
      <c r="F80" s="9"/>
    </row>
    <row r="81" spans="2:6" x14ac:dyDescent="0.25">
      <c r="B81" s="49">
        <v>1</v>
      </c>
      <c r="C81" s="50">
        <v>6</v>
      </c>
      <c r="D81" s="9" t="s">
        <v>322</v>
      </c>
      <c r="E81" s="9" t="s">
        <v>318</v>
      </c>
      <c r="F81" s="9"/>
    </row>
    <row r="82" spans="2:6" x14ac:dyDescent="0.25">
      <c r="B82" s="49">
        <v>1</v>
      </c>
      <c r="C82" s="50">
        <v>7</v>
      </c>
      <c r="D82" s="9" t="s">
        <v>323</v>
      </c>
      <c r="E82" s="9"/>
      <c r="F82" s="9"/>
    </row>
    <row r="83" spans="2:6" x14ac:dyDescent="0.25">
      <c r="B83" s="49">
        <v>1</v>
      </c>
      <c r="C83" s="50">
        <v>8</v>
      </c>
      <c r="D83" s="9" t="s">
        <v>324</v>
      </c>
      <c r="E83" s="9" t="s">
        <v>325</v>
      </c>
      <c r="F83" s="9"/>
    </row>
    <row r="84" spans="2:6" x14ac:dyDescent="0.25">
      <c r="B84" s="49">
        <v>1</v>
      </c>
      <c r="C84" s="50">
        <v>9</v>
      </c>
      <c r="D84" s="9" t="s">
        <v>326</v>
      </c>
      <c r="E84" s="9" t="s">
        <v>327</v>
      </c>
      <c r="F84" s="9"/>
    </row>
    <row r="85" spans="2:6" x14ac:dyDescent="0.25">
      <c r="B85" s="49">
        <v>1</v>
      </c>
      <c r="C85" s="50">
        <v>10</v>
      </c>
      <c r="D85" s="9" t="s">
        <v>328</v>
      </c>
      <c r="E85" s="9" t="s">
        <v>327</v>
      </c>
      <c r="F85" s="9"/>
    </row>
    <row r="86" spans="2:6" x14ac:dyDescent="0.25">
      <c r="B86" s="49">
        <v>1</v>
      </c>
      <c r="C86" s="50">
        <v>11</v>
      </c>
      <c r="D86" s="9" t="s">
        <v>329</v>
      </c>
      <c r="E86" s="9" t="s">
        <v>327</v>
      </c>
      <c r="F86" s="9"/>
    </row>
    <row r="87" spans="2:6" x14ac:dyDescent="0.25">
      <c r="B87" s="49">
        <v>1</v>
      </c>
      <c r="C87" s="50">
        <v>12</v>
      </c>
      <c r="D87" s="9" t="s">
        <v>330</v>
      </c>
      <c r="E87" s="9" t="s">
        <v>331</v>
      </c>
      <c r="F87" s="9"/>
    </row>
    <row r="88" spans="2:6" x14ac:dyDescent="0.25">
      <c r="B88" s="49">
        <v>2</v>
      </c>
      <c r="C88" s="50">
        <v>1</v>
      </c>
      <c r="D88" s="9"/>
      <c r="E88" s="9"/>
      <c r="F88" s="9"/>
    </row>
    <row r="89" spans="2:6" x14ac:dyDescent="0.25">
      <c r="B89" s="49">
        <v>2</v>
      </c>
      <c r="C89" s="50">
        <v>2</v>
      </c>
      <c r="D89" s="9"/>
      <c r="E89" s="9"/>
      <c r="F89" s="9"/>
    </row>
    <row r="90" spans="2:6" x14ac:dyDescent="0.25">
      <c r="B90" s="49">
        <v>2</v>
      </c>
      <c r="C90" s="50">
        <v>3</v>
      </c>
      <c r="D90" s="9"/>
      <c r="E90" s="9"/>
      <c r="F90" s="9"/>
    </row>
    <row r="91" spans="2:6" x14ac:dyDescent="0.25">
      <c r="B91" s="49">
        <v>2</v>
      </c>
      <c r="C91" s="50">
        <v>4</v>
      </c>
      <c r="D91" s="9"/>
      <c r="E91" s="9"/>
      <c r="F91" s="9"/>
    </row>
    <row r="92" spans="2:6" x14ac:dyDescent="0.25">
      <c r="B92" s="49">
        <v>2</v>
      </c>
      <c r="C92" s="50">
        <v>5</v>
      </c>
      <c r="D92" s="9"/>
      <c r="E92" s="9"/>
      <c r="F92" s="9"/>
    </row>
    <row r="93" spans="2:6" x14ac:dyDescent="0.25">
      <c r="B93" s="49">
        <v>2</v>
      </c>
      <c r="C93" s="50">
        <v>6</v>
      </c>
      <c r="D93" s="9"/>
      <c r="E93" s="9"/>
      <c r="F93" s="9"/>
    </row>
    <row r="94" spans="2:6" x14ac:dyDescent="0.25">
      <c r="B94" s="49">
        <v>2</v>
      </c>
      <c r="C94" s="50">
        <v>7</v>
      </c>
      <c r="D94" s="9"/>
      <c r="E94" s="9"/>
      <c r="F94" s="9"/>
    </row>
    <row r="95" spans="2:6" x14ac:dyDescent="0.25">
      <c r="B95" s="49">
        <v>2</v>
      </c>
      <c r="C95" s="50">
        <v>8</v>
      </c>
      <c r="D95" s="9"/>
      <c r="E95" s="9"/>
      <c r="F95" s="9"/>
    </row>
    <row r="96" spans="2:6" x14ac:dyDescent="0.25">
      <c r="B96" s="49">
        <v>2</v>
      </c>
      <c r="C96" s="50">
        <v>9</v>
      </c>
      <c r="D96" s="9"/>
      <c r="E96" s="9"/>
      <c r="F96" s="9"/>
    </row>
    <row r="97" spans="2:6" x14ac:dyDescent="0.25">
      <c r="B97" s="49">
        <v>2</v>
      </c>
      <c r="C97" s="50">
        <v>10</v>
      </c>
      <c r="D97" s="9"/>
      <c r="E97" s="9"/>
      <c r="F97" s="9"/>
    </row>
    <row r="98" spans="2:6" x14ac:dyDescent="0.25">
      <c r="B98" s="49">
        <v>2</v>
      </c>
      <c r="C98" s="50">
        <v>11</v>
      </c>
      <c r="D98" s="9"/>
      <c r="E98" s="9"/>
      <c r="F98" s="9"/>
    </row>
    <row r="99" spans="2:6" x14ac:dyDescent="0.25">
      <c r="B99" s="49">
        <v>2</v>
      </c>
      <c r="C99" s="50">
        <v>12</v>
      </c>
      <c r="D99" s="9"/>
      <c r="E99" s="9"/>
      <c r="F99" s="9"/>
    </row>
  </sheetData>
  <sheetProtection sheet="1" objects="1" scenarios="1" formatCells="0" formatColumns="0" formatRows="0" insertHyperlinks="0"/>
  <dataValidations count="4">
    <dataValidation type="whole" showInputMessage="1" showErrorMessage="1" error="This is not a realistic number of contact hours please reduce" sqref="D20:D23" xr:uid="{739D2576-B862-4853-8753-8DF65DD1B8E0}">
      <formula1>0</formula1>
      <formula2>80</formula2>
    </dataValidation>
    <dataValidation type="whole" showInputMessage="1" showErrorMessage="1" error="This is not a realistic number of contact hours please change" sqref="D19" xr:uid="{FBECA4FB-7A34-4FDD-80A9-474CB8B74418}">
      <formula1>0</formula1>
      <formula2>80</formula2>
    </dataValidation>
    <dataValidation type="list" allowBlank="1" showInputMessage="1" showErrorMessage="1" sqref="E38:E41" xr:uid="{A62A3AA1-D3B0-45A3-A998-2D56857427B0}">
      <formula1>INDIRECT("LISTAssess[Assessment Specific]")</formula1>
    </dataValidation>
    <dataValidation type="list" allowBlank="1" showInputMessage="1" showErrorMessage="1" sqref="F46:F54 F61:F71" xr:uid="{D699238F-0919-4386-AAF4-C3601BA03C86}">
      <formula1>INDIRECT(VLOOKUP($E46,SkillNameMap,2,FALSE))</formula1>
    </dataValidation>
  </dataValidations>
  <pageMargins left="0.7" right="0.7" top="0.75" bottom="0.75" header="0.3" footer="0.3"/>
  <pageSetup paperSize="9" orientation="portrait" horizontalDpi="4294967293" verticalDpi="0" r:id="rId1"/>
  <tableParts count="10">
    <tablePart r:id="rId2"/>
    <tablePart r:id="rId3"/>
    <tablePart r:id="rId4"/>
    <tablePart r:id="rId5"/>
    <tablePart r:id="rId6"/>
    <tablePart r:id="rId7"/>
    <tablePart r:id="rId8"/>
    <tablePart r:id="rId9"/>
    <tablePart r:id="rId10"/>
    <tablePart r:id="rId11"/>
  </tableParts>
  <extLst>
    <ext xmlns:x14="http://schemas.microsoft.com/office/spreadsheetml/2009/9/main" uri="{CCE6A557-97BC-4b89-ADB6-D9C93CAAB3DF}">
      <x14:dataValidations xmlns:xm="http://schemas.microsoft.com/office/excel/2006/main" count="7">
        <x14:dataValidation type="list" allowBlank="1" showInputMessage="1" showErrorMessage="1" xr:uid="{A52E779B-E821-4CC1-9128-54996FA802EC}">
          <x14:formula1>
            <xm:f>LISTS!$C$26:$C$37</xm:f>
          </x14:formula1>
          <xm:sqref>D14</xm:sqref>
        </x14:dataValidation>
        <x14:dataValidation type="list" allowBlank="1" showInputMessage="1" showErrorMessage="1" xr:uid="{A5CAE7BB-8764-4881-8FF8-F1033AED8BE0}">
          <x14:formula1>
            <xm:f>LISTS!$C$17:$C$22</xm:f>
          </x14:formula1>
          <xm:sqref>D13</xm:sqref>
        </x14:dataValidation>
        <x14:dataValidation type="list" allowBlank="1" showInputMessage="1" showErrorMessage="1" xr:uid="{07FDBC41-34BD-47AA-9E59-E456FC441771}">
          <x14:formula1>
            <xm:f>LISTS!$C$7:$C$9</xm:f>
          </x14:formula1>
          <xm:sqref>D10</xm:sqref>
        </x14:dataValidation>
        <x14:dataValidation type="list" allowBlank="1" showInputMessage="1" showErrorMessage="1" xr:uid="{35EAF739-973D-4E61-84C4-4B4FF2170971}">
          <x14:formula1>
            <xm:f>LISTS!$C$11:$C$15</xm:f>
          </x14:formula1>
          <xm:sqref>D11</xm:sqref>
        </x14:dataValidation>
        <x14:dataValidation type="list" allowBlank="1" showInputMessage="1" showErrorMessage="1" xr:uid="{90A7C72D-3610-4C02-9AF7-59AF8571FA64}">
          <x14:formula1>
            <xm:f>LISTS!$G$7:$G$11</xm:f>
          </x14:formula1>
          <xm:sqref>D38:D42</xm:sqref>
        </x14:dataValidation>
        <x14:dataValidation type="list" allowBlank="1" showInputMessage="1" showErrorMessage="1" xr:uid="{1DC85910-ED19-4EA2-94B1-66EC223ACFC1}">
          <x14:formula1>
            <xm:f>LISTS!$E$7:$E$11</xm:f>
          </x14:formula1>
          <xm:sqref>D46:D54 D61:D71</xm:sqref>
        </x14:dataValidation>
        <x14:dataValidation type="list" allowBlank="1" showInputMessage="1" showErrorMessage="1" xr:uid="{2751552D-9CB1-43E7-81A0-A1705BDEC705}">
          <x14:formula1>
            <xm:f>LISTS!$J$7:$J$16</xm:f>
          </x14:formula1>
          <xm:sqref>E46:E54 E61:E71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17647-D39B-4FA1-BBF1-01060A665837}">
  <sheetPr codeName="Sheet8"/>
  <dimension ref="B2:H94"/>
  <sheetViews>
    <sheetView showGridLines="0" topLeftCell="A23" zoomScale="85" zoomScaleNormal="85" workbookViewId="0">
      <selection activeCell="F58" sqref="F58"/>
    </sheetView>
  </sheetViews>
  <sheetFormatPr defaultColWidth="8.85546875" defaultRowHeight="15" x14ac:dyDescent="0.25"/>
  <cols>
    <col min="3" max="3" width="33.28515625" customWidth="1"/>
    <col min="4" max="4" width="58.42578125" customWidth="1"/>
    <col min="5" max="5" width="67.28515625" customWidth="1"/>
    <col min="6" max="6" width="63.140625" customWidth="1"/>
    <col min="7" max="7" width="12.42578125" customWidth="1"/>
    <col min="8" max="8" width="15.42578125" customWidth="1"/>
    <col min="9" max="9" width="14.7109375" customWidth="1"/>
  </cols>
  <sheetData>
    <row r="2" spans="2:6" ht="26.25" x14ac:dyDescent="0.4">
      <c r="C2" s="8" t="str">
        <f>D7</f>
        <v>5053SPS</v>
      </c>
      <c r="D2" s="8" t="str">
        <f>D8</f>
        <v>Exercise and Health Psychology</v>
      </c>
    </row>
    <row r="3" spans="2:6" x14ac:dyDescent="0.25">
      <c r="B3" s="1"/>
      <c r="C3" s="1"/>
    </row>
    <row r="4" spans="2:6" x14ac:dyDescent="0.25">
      <c r="B4" s="2"/>
      <c r="C4" s="2"/>
    </row>
    <row r="5" spans="2:6" ht="18.75" x14ac:dyDescent="0.25">
      <c r="B5" s="2"/>
      <c r="C5" s="5" t="s">
        <v>0</v>
      </c>
    </row>
    <row r="6" spans="2:6" x14ac:dyDescent="0.25">
      <c r="B6" s="2"/>
      <c r="C6" s="3" t="s">
        <v>1</v>
      </c>
      <c r="D6" s="4" t="s">
        <v>2</v>
      </c>
      <c r="E6" s="4"/>
      <c r="F6" t="s">
        <v>3</v>
      </c>
    </row>
    <row r="7" spans="2:6" ht="45.75" x14ac:dyDescent="0.25">
      <c r="B7" s="2"/>
      <c r="C7" s="48" t="s">
        <v>4</v>
      </c>
      <c r="D7" s="9" t="s">
        <v>332</v>
      </c>
      <c r="E7" s="4"/>
      <c r="F7" s="33" t="s">
        <v>333</v>
      </c>
    </row>
    <row r="8" spans="2:6" x14ac:dyDescent="0.25">
      <c r="B8" s="2"/>
      <c r="C8" s="48" t="s">
        <v>7</v>
      </c>
      <c r="D8" s="9" t="s">
        <v>334</v>
      </c>
      <c r="E8" s="4"/>
      <c r="F8" s="12"/>
    </row>
    <row r="9" spans="2:6" x14ac:dyDescent="0.25">
      <c r="C9" s="48" t="s">
        <v>10</v>
      </c>
      <c r="D9" s="9">
        <v>20</v>
      </c>
      <c r="E9" s="4"/>
    </row>
    <row r="10" spans="2:6" x14ac:dyDescent="0.25">
      <c r="C10" s="48" t="s">
        <v>11</v>
      </c>
      <c r="D10" s="9">
        <v>1</v>
      </c>
      <c r="E10" s="4"/>
      <c r="F10" t="s">
        <v>12</v>
      </c>
    </row>
    <row r="11" spans="2:6" ht="90.75" x14ac:dyDescent="0.25">
      <c r="C11" s="48" t="s">
        <v>13</v>
      </c>
      <c r="D11" s="9">
        <v>5</v>
      </c>
      <c r="E11" s="4"/>
      <c r="F11" s="33" t="s">
        <v>335</v>
      </c>
    </row>
    <row r="12" spans="2:6" x14ac:dyDescent="0.25">
      <c r="C12" s="48" t="s">
        <v>15</v>
      </c>
      <c r="D12" s="9" t="s">
        <v>336</v>
      </c>
      <c r="E12" s="4"/>
      <c r="F12" s="12"/>
    </row>
    <row r="13" spans="2:6" x14ac:dyDescent="0.25">
      <c r="C13" s="48" t="s">
        <v>18</v>
      </c>
      <c r="D13" s="9" t="s">
        <v>119</v>
      </c>
      <c r="E13" s="4"/>
      <c r="F13" s="12"/>
    </row>
    <row r="14" spans="2:6" x14ac:dyDescent="0.25">
      <c r="C14" s="48" t="s">
        <v>21</v>
      </c>
      <c r="D14" s="9" t="s">
        <v>22</v>
      </c>
      <c r="E14" s="4"/>
    </row>
    <row r="15" spans="2:6" x14ac:dyDescent="0.25">
      <c r="C15" s="3"/>
      <c r="D15" s="4"/>
      <c r="E15" s="4"/>
      <c r="F15" t="s">
        <v>23</v>
      </c>
    </row>
    <row r="16" spans="2:6" ht="82.5" x14ac:dyDescent="0.3">
      <c r="C16" s="3"/>
      <c r="D16" s="4"/>
      <c r="E16" s="4"/>
      <c r="F16" s="67" t="s">
        <v>337</v>
      </c>
    </row>
    <row r="17" spans="3:6" ht="18.75" x14ac:dyDescent="0.25">
      <c r="C17" s="5" t="s">
        <v>25</v>
      </c>
      <c r="D17" s="4"/>
      <c r="E17" s="4"/>
      <c r="F17" s="12"/>
    </row>
    <row r="18" spans="3:6" x14ac:dyDescent="0.25">
      <c r="C18" s="3" t="s">
        <v>26</v>
      </c>
      <c r="D18" s="1" t="s">
        <v>25</v>
      </c>
      <c r="E18" s="4"/>
      <c r="F18" s="12"/>
    </row>
    <row r="19" spans="3:6" x14ac:dyDescent="0.25">
      <c r="C19" s="48" t="s">
        <v>27</v>
      </c>
      <c r="D19" s="10">
        <v>22</v>
      </c>
      <c r="E19" s="4"/>
      <c r="F19" s="12"/>
    </row>
    <row r="20" spans="3:6" x14ac:dyDescent="0.25">
      <c r="C20" s="48" t="s">
        <v>28</v>
      </c>
      <c r="D20" s="10">
        <v>22</v>
      </c>
      <c r="E20" s="4"/>
      <c r="F20" s="12"/>
    </row>
    <row r="21" spans="3:6" x14ac:dyDescent="0.25">
      <c r="C21" s="48" t="s">
        <v>29</v>
      </c>
      <c r="D21" s="10"/>
      <c r="E21" s="4"/>
    </row>
    <row r="22" spans="3:6" x14ac:dyDescent="0.25">
      <c r="C22" s="48" t="s">
        <v>30</v>
      </c>
      <c r="D22" s="10"/>
      <c r="E22" s="4"/>
      <c r="F22" t="s">
        <v>31</v>
      </c>
    </row>
    <row r="23" spans="3:6" x14ac:dyDescent="0.25">
      <c r="C23" s="48" t="s">
        <v>32</v>
      </c>
      <c r="D23" s="10"/>
      <c r="E23" s="4"/>
      <c r="F23" s="12"/>
    </row>
    <row r="24" spans="3:6" x14ac:dyDescent="0.25">
      <c r="C24" s="48" t="s">
        <v>34</v>
      </c>
      <c r="D24" s="1">
        <f>SUM(D19:D23)</f>
        <v>44</v>
      </c>
      <c r="E24" s="4"/>
      <c r="F24" s="12"/>
    </row>
    <row r="25" spans="3:6" x14ac:dyDescent="0.25">
      <c r="F25" s="12"/>
    </row>
    <row r="26" spans="3:6" x14ac:dyDescent="0.25">
      <c r="F26" s="12"/>
    </row>
    <row r="27" spans="3:6" ht="18.75" x14ac:dyDescent="0.25">
      <c r="C27" s="5" t="s">
        <v>35</v>
      </c>
      <c r="D27" s="7" t="s">
        <v>36</v>
      </c>
      <c r="F27" s="12"/>
    </row>
    <row r="28" spans="3:6" x14ac:dyDescent="0.25">
      <c r="C28" s="3" t="s">
        <v>37</v>
      </c>
      <c r="D28" s="3" t="s">
        <v>38</v>
      </c>
      <c r="E28" s="3"/>
      <c r="F28" s="12"/>
    </row>
    <row r="29" spans="3:6" ht="45.75" customHeight="1" x14ac:dyDescent="0.25">
      <c r="C29" s="48" t="s">
        <v>39</v>
      </c>
      <c r="D29" s="33" t="s">
        <v>338</v>
      </c>
      <c r="E29" s="4"/>
      <c r="F29" s="12"/>
    </row>
    <row r="30" spans="3:6" ht="45.75" x14ac:dyDescent="0.25">
      <c r="C30" s="48" t="s">
        <v>41</v>
      </c>
      <c r="D30" s="33" t="s">
        <v>339</v>
      </c>
      <c r="E30" s="4"/>
      <c r="F30" s="12"/>
    </row>
    <row r="31" spans="3:6" ht="30.75" x14ac:dyDescent="0.25">
      <c r="C31" s="48" t="s">
        <v>43</v>
      </c>
      <c r="D31" s="33" t="s">
        <v>340</v>
      </c>
      <c r="E31" s="4"/>
      <c r="F31" s="12"/>
    </row>
    <row r="32" spans="3:6" x14ac:dyDescent="0.25">
      <c r="C32" s="48" t="s">
        <v>45</v>
      </c>
      <c r="D32" s="9"/>
      <c r="E32" s="4"/>
      <c r="F32" s="12"/>
    </row>
    <row r="33" spans="3:8" x14ac:dyDescent="0.25">
      <c r="C33" s="48" t="s">
        <v>47</v>
      </c>
      <c r="D33" s="9"/>
      <c r="E33" s="4"/>
      <c r="F33" s="12"/>
    </row>
    <row r="36" spans="3:8" ht="18.75" x14ac:dyDescent="0.25">
      <c r="C36" s="5" t="s">
        <v>49</v>
      </c>
    </row>
    <row r="37" spans="3:8" x14ac:dyDescent="0.25">
      <c r="C37" s="3" t="s">
        <v>50</v>
      </c>
      <c r="D37" s="3" t="s">
        <v>51</v>
      </c>
      <c r="E37" s="3" t="s">
        <v>52</v>
      </c>
      <c r="F37" s="3" t="s">
        <v>53</v>
      </c>
      <c r="G37" s="3" t="s">
        <v>54</v>
      </c>
      <c r="H37" s="3" t="s">
        <v>55</v>
      </c>
    </row>
    <row r="38" spans="3:8" ht="30" x14ac:dyDescent="0.25">
      <c r="C38" s="48" t="s">
        <v>56</v>
      </c>
      <c r="D38" s="9" t="s">
        <v>206</v>
      </c>
      <c r="E38" s="9" t="s">
        <v>341</v>
      </c>
      <c r="F38" s="9" t="s">
        <v>342</v>
      </c>
      <c r="G38" s="11">
        <v>0.6</v>
      </c>
      <c r="H38" s="9">
        <v>8</v>
      </c>
    </row>
    <row r="39" spans="3:8" ht="45" x14ac:dyDescent="0.25">
      <c r="C39" s="48" t="s">
        <v>60</v>
      </c>
      <c r="D39" s="9" t="s">
        <v>125</v>
      </c>
      <c r="E39" s="9" t="s">
        <v>278</v>
      </c>
      <c r="F39" s="9" t="s">
        <v>343</v>
      </c>
      <c r="G39" s="11">
        <v>0.4</v>
      </c>
      <c r="H39" s="9">
        <v>17</v>
      </c>
    </row>
    <row r="40" spans="3:8" x14ac:dyDescent="0.25">
      <c r="C40" s="48" t="s">
        <v>63</v>
      </c>
      <c r="D40" s="12"/>
      <c r="E40" s="12"/>
      <c r="F40" s="12"/>
      <c r="G40" s="12"/>
      <c r="H40" s="12"/>
    </row>
    <row r="41" spans="3:8" x14ac:dyDescent="0.25">
      <c r="C41" s="48" t="s">
        <v>64</v>
      </c>
      <c r="D41" s="12"/>
      <c r="E41" s="12"/>
      <c r="F41" s="12"/>
      <c r="G41" s="12"/>
      <c r="H41" s="12"/>
    </row>
    <row r="42" spans="3:8" x14ac:dyDescent="0.25">
      <c r="C42" s="3"/>
    </row>
    <row r="44" spans="3:8" ht="18.75" x14ac:dyDescent="0.25">
      <c r="C44" s="5" t="s">
        <v>65</v>
      </c>
      <c r="D44" s="7"/>
    </row>
    <row r="45" spans="3:8" x14ac:dyDescent="0.25">
      <c r="C45" s="1" t="s">
        <v>50</v>
      </c>
      <c r="D45" s="1" t="s">
        <v>37</v>
      </c>
      <c r="E45" s="1" t="s">
        <v>66</v>
      </c>
      <c r="F45" s="1" t="s">
        <v>67</v>
      </c>
    </row>
    <row r="46" spans="3:8" x14ac:dyDescent="0.25">
      <c r="C46" s="13"/>
      <c r="D46" s="12"/>
      <c r="E46" s="12"/>
      <c r="F46" s="12"/>
    </row>
    <row r="47" spans="3:8" x14ac:dyDescent="0.25">
      <c r="C47" s="13" t="s">
        <v>56</v>
      </c>
      <c r="D47" s="12" t="s">
        <v>39</v>
      </c>
      <c r="E47" s="12" t="s">
        <v>68</v>
      </c>
      <c r="F47" s="12" t="s">
        <v>165</v>
      </c>
    </row>
    <row r="48" spans="3:8" x14ac:dyDescent="0.25">
      <c r="C48" s="13" t="s">
        <v>56</v>
      </c>
      <c r="D48" s="12" t="s">
        <v>43</v>
      </c>
      <c r="E48" s="12" t="s">
        <v>74</v>
      </c>
      <c r="F48" s="12" t="s">
        <v>210</v>
      </c>
    </row>
    <row r="49" spans="3:6" x14ac:dyDescent="0.25">
      <c r="C49" s="13" t="s">
        <v>60</v>
      </c>
      <c r="D49" s="12" t="s">
        <v>39</v>
      </c>
      <c r="E49" s="12" t="s">
        <v>68</v>
      </c>
      <c r="F49" s="12" t="s">
        <v>163</v>
      </c>
    </row>
    <row r="50" spans="3:6" x14ac:dyDescent="0.25">
      <c r="C50" s="13" t="s">
        <v>60</v>
      </c>
      <c r="D50" s="12" t="s">
        <v>39</v>
      </c>
      <c r="E50" s="12" t="s">
        <v>68</v>
      </c>
      <c r="F50" s="12" t="s">
        <v>130</v>
      </c>
    </row>
    <row r="51" spans="3:6" x14ac:dyDescent="0.25">
      <c r="C51" s="13" t="s">
        <v>56</v>
      </c>
      <c r="D51" s="12" t="s">
        <v>41</v>
      </c>
      <c r="E51" s="12" t="s">
        <v>70</v>
      </c>
      <c r="F51" s="12" t="s">
        <v>312</v>
      </c>
    </row>
    <row r="52" spans="3:6" x14ac:dyDescent="0.25">
      <c r="C52" s="13" t="s">
        <v>60</v>
      </c>
      <c r="D52" s="12" t="s">
        <v>41</v>
      </c>
      <c r="E52" s="12" t="s">
        <v>72</v>
      </c>
      <c r="F52" s="12" t="s">
        <v>73</v>
      </c>
    </row>
    <row r="53" spans="3:6" x14ac:dyDescent="0.25">
      <c r="C53" s="13" t="s">
        <v>56</v>
      </c>
      <c r="D53" s="12" t="s">
        <v>39</v>
      </c>
      <c r="E53" s="12" t="s">
        <v>68</v>
      </c>
      <c r="F53" s="12" t="s">
        <v>69</v>
      </c>
    </row>
    <row r="54" spans="3:6" x14ac:dyDescent="0.25">
      <c r="C54" s="13" t="s">
        <v>56</v>
      </c>
      <c r="D54" s="12" t="s">
        <v>43</v>
      </c>
      <c r="E54" s="12" t="s">
        <v>74</v>
      </c>
      <c r="F54" s="12" t="s">
        <v>314</v>
      </c>
    </row>
    <row r="55" spans="3:6" x14ac:dyDescent="0.25">
      <c r="C55" s="13" t="s">
        <v>60</v>
      </c>
      <c r="D55" s="12" t="s">
        <v>43</v>
      </c>
      <c r="E55" s="12" t="s">
        <v>74</v>
      </c>
      <c r="F55" s="12" t="s">
        <v>75</v>
      </c>
    </row>
    <row r="56" spans="3:6" x14ac:dyDescent="0.25">
      <c r="C56" s="13" t="s">
        <v>56</v>
      </c>
      <c r="D56" s="12" t="s">
        <v>43</v>
      </c>
      <c r="E56" s="12" t="s">
        <v>78</v>
      </c>
      <c r="F56" s="12" t="s">
        <v>169</v>
      </c>
    </row>
    <row r="57" spans="3:6" x14ac:dyDescent="0.25">
      <c r="C57" s="13"/>
      <c r="D57" s="12"/>
      <c r="E57" s="12"/>
      <c r="F57" s="12"/>
    </row>
    <row r="58" spans="3:6" x14ac:dyDescent="0.25">
      <c r="C58" s="13"/>
      <c r="D58" s="12"/>
      <c r="E58" s="12"/>
      <c r="F58" s="12"/>
    </row>
    <row r="59" spans="3:6" x14ac:dyDescent="0.25">
      <c r="C59" s="13" t="s">
        <v>56</v>
      </c>
      <c r="D59" s="12" t="s">
        <v>39</v>
      </c>
      <c r="E59" s="12" t="s">
        <v>70</v>
      </c>
      <c r="F59" s="12" t="s">
        <v>132</v>
      </c>
    </row>
    <row r="60" spans="3:6" x14ac:dyDescent="0.25">
      <c r="C60" s="13" t="s">
        <v>60</v>
      </c>
      <c r="D60" s="12" t="s">
        <v>41</v>
      </c>
      <c r="E60" s="12" t="s">
        <v>70</v>
      </c>
      <c r="F60" s="12" t="s">
        <v>344</v>
      </c>
    </row>
    <row r="61" spans="3:6" x14ac:dyDescent="0.25">
      <c r="C61" s="13" t="s">
        <v>56</v>
      </c>
      <c r="D61" s="12" t="s">
        <v>39</v>
      </c>
      <c r="E61" s="12" t="s">
        <v>72</v>
      </c>
      <c r="F61" s="12" t="s">
        <v>131</v>
      </c>
    </row>
    <row r="62" spans="3:6" x14ac:dyDescent="0.25">
      <c r="C62" s="13" t="s">
        <v>56</v>
      </c>
      <c r="D62" s="12" t="s">
        <v>39</v>
      </c>
      <c r="E62" s="12" t="s">
        <v>72</v>
      </c>
      <c r="F62" s="12" t="s">
        <v>166</v>
      </c>
    </row>
    <row r="63" spans="3:6" x14ac:dyDescent="0.25">
      <c r="C63" s="13"/>
      <c r="D63" s="12"/>
      <c r="E63" s="12"/>
      <c r="F63" s="12"/>
    </row>
    <row r="64" spans="3:6" x14ac:dyDescent="0.25">
      <c r="C64" s="13" t="s">
        <v>60</v>
      </c>
      <c r="D64" s="12" t="s">
        <v>41</v>
      </c>
      <c r="E64" s="12" t="s">
        <v>72</v>
      </c>
      <c r="F64" s="12" t="s">
        <v>345</v>
      </c>
    </row>
    <row r="65" spans="2:6" x14ac:dyDescent="0.25">
      <c r="C65" s="13" t="s">
        <v>60</v>
      </c>
      <c r="D65" s="12" t="s">
        <v>41</v>
      </c>
      <c r="E65" s="12" t="s">
        <v>72</v>
      </c>
      <c r="F65" s="12" t="s">
        <v>167</v>
      </c>
    </row>
    <row r="66" spans="2:6" x14ac:dyDescent="0.25">
      <c r="C66" s="13" t="s">
        <v>60</v>
      </c>
      <c r="D66" s="12" t="s">
        <v>41</v>
      </c>
      <c r="E66" s="12" t="s">
        <v>72</v>
      </c>
      <c r="F66" s="12" t="s">
        <v>211</v>
      </c>
    </row>
    <row r="69" spans="2:6" ht="18.75" x14ac:dyDescent="0.25">
      <c r="C69" s="5" t="s">
        <v>90</v>
      </c>
    </row>
    <row r="70" spans="2:6" x14ac:dyDescent="0.25">
      <c r="B70" t="s">
        <v>91</v>
      </c>
      <c r="C70" s="1" t="s">
        <v>92</v>
      </c>
      <c r="D70" s="1" t="s">
        <v>93</v>
      </c>
      <c r="E70" s="1" t="s">
        <v>94</v>
      </c>
      <c r="F70" s="1" t="s">
        <v>95</v>
      </c>
    </row>
    <row r="71" spans="2:6" x14ac:dyDescent="0.25">
      <c r="B71" s="49">
        <v>1</v>
      </c>
      <c r="C71" s="50">
        <v>1</v>
      </c>
      <c r="D71" s="35" t="s">
        <v>346</v>
      </c>
      <c r="E71" s="9"/>
      <c r="F71" s="9"/>
    </row>
    <row r="72" spans="2:6" x14ac:dyDescent="0.25">
      <c r="B72" s="49">
        <v>1</v>
      </c>
      <c r="C72" s="50">
        <v>2</v>
      </c>
      <c r="D72" s="44" t="s">
        <v>347</v>
      </c>
      <c r="E72" s="9" t="s">
        <v>28</v>
      </c>
      <c r="F72" s="9"/>
    </row>
    <row r="73" spans="2:6" x14ac:dyDescent="0.25">
      <c r="B73" s="49">
        <v>1</v>
      </c>
      <c r="C73" s="50">
        <v>3</v>
      </c>
      <c r="D73" s="35" t="s">
        <v>348</v>
      </c>
      <c r="E73" s="9" t="s">
        <v>28</v>
      </c>
      <c r="F73" s="9"/>
    </row>
    <row r="74" spans="2:6" x14ac:dyDescent="0.25">
      <c r="B74" s="49">
        <v>1</v>
      </c>
      <c r="C74" s="50">
        <v>4</v>
      </c>
      <c r="D74" s="35" t="s">
        <v>349</v>
      </c>
      <c r="E74" s="9" t="s">
        <v>28</v>
      </c>
      <c r="F74" s="9"/>
    </row>
    <row r="75" spans="2:6" x14ac:dyDescent="0.25">
      <c r="B75" s="49">
        <v>1</v>
      </c>
      <c r="C75" s="50">
        <v>5</v>
      </c>
      <c r="D75" s="17" t="s">
        <v>350</v>
      </c>
      <c r="E75" s="9" t="s">
        <v>28</v>
      </c>
      <c r="F75" s="9"/>
    </row>
    <row r="76" spans="2:6" x14ac:dyDescent="0.25">
      <c r="B76" s="49">
        <v>1</v>
      </c>
      <c r="C76" s="50">
        <v>6</v>
      </c>
      <c r="D76" s="35" t="s">
        <v>351</v>
      </c>
      <c r="E76" s="9" t="s">
        <v>28</v>
      </c>
      <c r="F76" s="9"/>
    </row>
    <row r="77" spans="2:6" x14ac:dyDescent="0.25">
      <c r="B77" s="49">
        <v>1</v>
      </c>
      <c r="C77" s="50">
        <v>7</v>
      </c>
      <c r="D77" s="17" t="s">
        <v>352</v>
      </c>
      <c r="E77" s="9" t="s">
        <v>352</v>
      </c>
      <c r="F77" s="9" t="s">
        <v>353</v>
      </c>
    </row>
    <row r="78" spans="2:6" x14ac:dyDescent="0.25">
      <c r="B78" s="49">
        <v>1</v>
      </c>
      <c r="C78" s="50">
        <v>8</v>
      </c>
      <c r="D78" s="35" t="s">
        <v>354</v>
      </c>
      <c r="E78" s="9" t="s">
        <v>28</v>
      </c>
      <c r="F78" s="9"/>
    </row>
    <row r="79" spans="2:6" x14ac:dyDescent="0.25">
      <c r="B79" s="49">
        <v>1</v>
      </c>
      <c r="C79" s="50">
        <v>9</v>
      </c>
      <c r="D79" s="35" t="s">
        <v>355</v>
      </c>
      <c r="E79" s="9" t="s">
        <v>28</v>
      </c>
      <c r="F79" s="9"/>
    </row>
    <row r="80" spans="2:6" x14ac:dyDescent="0.25">
      <c r="B80" s="49">
        <v>1</v>
      </c>
      <c r="C80" s="50">
        <v>10</v>
      </c>
      <c r="D80" s="35" t="s">
        <v>356</v>
      </c>
      <c r="E80" s="9" t="s">
        <v>28</v>
      </c>
      <c r="F80" s="9"/>
    </row>
    <row r="81" spans="2:6" x14ac:dyDescent="0.25">
      <c r="B81" s="49">
        <v>1</v>
      </c>
      <c r="C81" s="50">
        <v>11</v>
      </c>
      <c r="D81" s="35" t="s">
        <v>357</v>
      </c>
      <c r="E81" s="9" t="s">
        <v>28</v>
      </c>
      <c r="F81" s="9"/>
    </row>
    <row r="82" spans="2:6" x14ac:dyDescent="0.25">
      <c r="B82" s="49">
        <v>1</v>
      </c>
      <c r="C82" s="50">
        <v>12</v>
      </c>
      <c r="D82" s="35" t="s">
        <v>358</v>
      </c>
      <c r="E82" s="9" t="s">
        <v>28</v>
      </c>
      <c r="F82" s="9" t="s">
        <v>359</v>
      </c>
    </row>
    <row r="83" spans="2:6" x14ac:dyDescent="0.25">
      <c r="B83" s="49">
        <v>2</v>
      </c>
      <c r="C83" s="50">
        <v>1</v>
      </c>
      <c r="D83" s="9"/>
      <c r="E83" s="9"/>
      <c r="F83" s="9"/>
    </row>
    <row r="84" spans="2:6" x14ac:dyDescent="0.25">
      <c r="B84" s="49">
        <v>2</v>
      </c>
      <c r="C84" s="50">
        <v>2</v>
      </c>
      <c r="D84" s="9"/>
      <c r="E84" s="9"/>
      <c r="F84" s="9"/>
    </row>
    <row r="85" spans="2:6" x14ac:dyDescent="0.25">
      <c r="B85" s="49">
        <v>2</v>
      </c>
      <c r="C85" s="50">
        <v>3</v>
      </c>
      <c r="D85" s="9"/>
      <c r="E85" s="9"/>
      <c r="F85" s="9"/>
    </row>
    <row r="86" spans="2:6" x14ac:dyDescent="0.25">
      <c r="B86" s="49">
        <v>2</v>
      </c>
      <c r="C86" s="50">
        <v>4</v>
      </c>
      <c r="D86" s="9"/>
      <c r="E86" s="9"/>
      <c r="F86" s="9"/>
    </row>
    <row r="87" spans="2:6" x14ac:dyDescent="0.25">
      <c r="B87" s="49">
        <v>2</v>
      </c>
      <c r="C87" s="50">
        <v>5</v>
      </c>
      <c r="D87" s="9"/>
      <c r="E87" s="9"/>
      <c r="F87" s="9"/>
    </row>
    <row r="88" spans="2:6" x14ac:dyDescent="0.25">
      <c r="B88" s="49">
        <v>2</v>
      </c>
      <c r="C88" s="50">
        <v>6</v>
      </c>
      <c r="D88" s="9"/>
      <c r="E88" s="9"/>
      <c r="F88" s="9"/>
    </row>
    <row r="89" spans="2:6" x14ac:dyDescent="0.25">
      <c r="B89" s="49">
        <v>2</v>
      </c>
      <c r="C89" s="50">
        <v>7</v>
      </c>
      <c r="D89" s="9"/>
      <c r="E89" s="9"/>
      <c r="F89" s="9"/>
    </row>
    <row r="90" spans="2:6" x14ac:dyDescent="0.25">
      <c r="B90" s="49">
        <v>2</v>
      </c>
      <c r="C90" s="50">
        <v>8</v>
      </c>
      <c r="D90" s="9"/>
      <c r="E90" s="9"/>
      <c r="F90" s="9"/>
    </row>
    <row r="91" spans="2:6" x14ac:dyDescent="0.25">
      <c r="B91" s="49">
        <v>2</v>
      </c>
      <c r="C91" s="50">
        <v>9</v>
      </c>
      <c r="D91" s="9"/>
      <c r="E91" s="9"/>
      <c r="F91" s="9"/>
    </row>
    <row r="92" spans="2:6" x14ac:dyDescent="0.25">
      <c r="B92" s="49">
        <v>2</v>
      </c>
      <c r="C92" s="50">
        <v>10</v>
      </c>
      <c r="D92" s="9"/>
      <c r="E92" s="9"/>
      <c r="F92" s="9"/>
    </row>
    <row r="93" spans="2:6" x14ac:dyDescent="0.25">
      <c r="B93" s="49">
        <v>2</v>
      </c>
      <c r="C93" s="50">
        <v>11</v>
      </c>
      <c r="D93" s="9"/>
      <c r="E93" s="9"/>
      <c r="F93" s="9"/>
    </row>
    <row r="94" spans="2:6" x14ac:dyDescent="0.25">
      <c r="B94" s="49">
        <v>2</v>
      </c>
      <c r="C94" s="50">
        <v>12</v>
      </c>
      <c r="D94" s="9"/>
      <c r="E94" s="9"/>
      <c r="F94" s="9"/>
    </row>
  </sheetData>
  <sheetProtection sheet="1" objects="1" scenarios="1" formatCells="0" formatColumns="0" formatRows="0" insertHyperlinks="0"/>
  <dataValidations count="4">
    <dataValidation type="list" allowBlank="1" showInputMessage="1" showErrorMessage="1" sqref="F46:F66" xr:uid="{F851468A-A232-4EA0-8AA1-1DB09135E9DF}">
      <formula1>INDIRECT(VLOOKUP($E46, SkillNameMap, 2, FALSE))</formula1>
    </dataValidation>
    <dataValidation type="list" allowBlank="1" showInputMessage="1" showErrorMessage="1" sqref="E38:E41" xr:uid="{3A3BB13C-33CA-4FDF-AFDA-21C067AA1C2C}">
      <formula1>INDIRECT("LISTAssess[Assessment Specific]")</formula1>
    </dataValidation>
    <dataValidation type="whole" showInputMessage="1" showErrorMessage="1" error="This is not a realistic number of contact hours please change" sqref="D19" xr:uid="{8DD9164E-4944-4422-B73A-1E982B14D5ED}">
      <formula1>0</formula1>
      <formula2>80</formula2>
    </dataValidation>
    <dataValidation type="whole" showInputMessage="1" showErrorMessage="1" error="This is not a realistic number of contact hours please reduce" sqref="D20:D23" xr:uid="{2D807B47-828D-40A3-BD25-D4E34139312B}">
      <formula1>0</formula1>
      <formula2>80</formula2>
    </dataValidation>
  </dataValidations>
  <pageMargins left="0.7" right="0.7" top="0.75" bottom="0.75" header="0.3" footer="0.3"/>
  <pageSetup paperSize="9" orientation="portrait" horizontalDpi="4294967293" verticalDpi="0" r:id="rId1"/>
  <tableParts count="10">
    <tablePart r:id="rId2"/>
    <tablePart r:id="rId3"/>
    <tablePart r:id="rId4"/>
    <tablePart r:id="rId5"/>
    <tablePart r:id="rId6"/>
    <tablePart r:id="rId7"/>
    <tablePart r:id="rId8"/>
    <tablePart r:id="rId9"/>
    <tablePart r:id="rId10"/>
    <tablePart r:id="rId11"/>
  </tableParts>
  <extLst>
    <ext xmlns:x14="http://schemas.microsoft.com/office/spreadsheetml/2009/9/main" uri="{CCE6A557-97BC-4b89-ADB6-D9C93CAAB3DF}">
      <x14:dataValidations xmlns:xm="http://schemas.microsoft.com/office/excel/2006/main" count="7">
        <x14:dataValidation type="list" allowBlank="1" showInputMessage="1" showErrorMessage="1" xr:uid="{40299E6B-7C5E-48BD-B2FC-80FA2D744B62}">
          <x14:formula1>
            <xm:f>LISTS!$J$7:$J$16</xm:f>
          </x14:formula1>
          <xm:sqref>E46:E66</xm:sqref>
        </x14:dataValidation>
        <x14:dataValidation type="list" allowBlank="1" showInputMessage="1" showErrorMessage="1" xr:uid="{D5185C3B-86B1-46E5-8604-328E877B51BB}">
          <x14:formula1>
            <xm:f>LISTS!$E$7:$E$11</xm:f>
          </x14:formula1>
          <xm:sqref>D46:D66</xm:sqref>
        </x14:dataValidation>
        <x14:dataValidation type="list" allowBlank="1" showInputMessage="1" showErrorMessage="1" xr:uid="{6A760D08-1FE6-4536-BC55-50DF74383963}">
          <x14:formula1>
            <xm:f>LISTS!$G$7:$G$11</xm:f>
          </x14:formula1>
          <xm:sqref>D38:D42</xm:sqref>
        </x14:dataValidation>
        <x14:dataValidation type="list" allowBlank="1" showInputMessage="1" showErrorMessage="1" xr:uid="{BD4A7E24-7719-4870-9D23-485B003104FA}">
          <x14:formula1>
            <xm:f>LISTS!$C$11:$C$15</xm:f>
          </x14:formula1>
          <xm:sqref>D11</xm:sqref>
        </x14:dataValidation>
        <x14:dataValidation type="list" allowBlank="1" showInputMessage="1" showErrorMessage="1" xr:uid="{014F209D-3187-4BEE-A1EE-6FD201707525}">
          <x14:formula1>
            <xm:f>LISTS!$C$7:$C$9</xm:f>
          </x14:formula1>
          <xm:sqref>D10</xm:sqref>
        </x14:dataValidation>
        <x14:dataValidation type="list" allowBlank="1" showInputMessage="1" showErrorMessage="1" xr:uid="{F418B5C6-E390-4D2D-9358-C74647B207CD}">
          <x14:formula1>
            <xm:f>LISTS!$C$17:$C$22</xm:f>
          </x14:formula1>
          <xm:sqref>D13</xm:sqref>
        </x14:dataValidation>
        <x14:dataValidation type="list" allowBlank="1" showInputMessage="1" showErrorMessage="1" xr:uid="{67E56D7D-3EB0-4D72-B2B8-6E0FCDA6552E}">
          <x14:formula1>
            <xm:f>LISTS!$C$26:$C$37</xm:f>
          </x14:formula1>
          <xm:sqref>D14</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15F39-4768-4BDC-BBAF-EDA933F6EC41}">
  <sheetPr codeName="Sheet9"/>
  <dimension ref="B2:H94"/>
  <sheetViews>
    <sheetView showGridLines="0" topLeftCell="C26" zoomScale="85" zoomScaleNormal="85" workbookViewId="0">
      <selection activeCell="E16" sqref="E16"/>
    </sheetView>
  </sheetViews>
  <sheetFormatPr defaultColWidth="8.85546875" defaultRowHeight="15" x14ac:dyDescent="0.25"/>
  <cols>
    <col min="3" max="3" width="33.28515625" customWidth="1"/>
    <col min="4" max="4" width="64.7109375" bestFit="1" customWidth="1"/>
    <col min="5" max="5" width="67.28515625" customWidth="1"/>
    <col min="6" max="6" width="63.140625" customWidth="1"/>
    <col min="7" max="7" width="12.42578125" customWidth="1"/>
    <col min="8" max="8" width="15.42578125" customWidth="1"/>
    <col min="9" max="9" width="14.7109375" customWidth="1"/>
  </cols>
  <sheetData>
    <row r="2" spans="2:6" ht="26.25" x14ac:dyDescent="0.4">
      <c r="C2" s="8" t="str">
        <f>D7</f>
        <v>5054SPS</v>
      </c>
      <c r="D2" s="8" t="str">
        <f>D8</f>
        <v xml:space="preserve">Developmental and Social Psychology </v>
      </c>
    </row>
    <row r="3" spans="2:6" x14ac:dyDescent="0.25">
      <c r="B3" s="1"/>
      <c r="C3" s="1"/>
    </row>
    <row r="4" spans="2:6" x14ac:dyDescent="0.25">
      <c r="B4" s="2"/>
      <c r="C4" s="2"/>
    </row>
    <row r="5" spans="2:6" ht="18.75" x14ac:dyDescent="0.25">
      <c r="B5" s="2"/>
      <c r="C5" s="5" t="s">
        <v>0</v>
      </c>
    </row>
    <row r="6" spans="2:6" x14ac:dyDescent="0.25">
      <c r="B6" s="2"/>
      <c r="C6" s="3" t="s">
        <v>1</v>
      </c>
      <c r="D6" s="4" t="s">
        <v>2</v>
      </c>
      <c r="E6" s="4"/>
      <c r="F6" t="s">
        <v>3</v>
      </c>
    </row>
    <row r="7" spans="2:6" ht="30" x14ac:dyDescent="0.25">
      <c r="B7" s="2"/>
      <c r="C7" s="48" t="s">
        <v>4</v>
      </c>
      <c r="D7" s="9" t="s">
        <v>360</v>
      </c>
      <c r="E7" s="4"/>
      <c r="F7" s="25" t="s">
        <v>361</v>
      </c>
    </row>
    <row r="8" spans="2:6" ht="75" x14ac:dyDescent="0.25">
      <c r="B8" s="2"/>
      <c r="C8" s="48" t="s">
        <v>7</v>
      </c>
      <c r="D8" s="9" t="s">
        <v>362</v>
      </c>
      <c r="E8" s="4"/>
      <c r="F8" s="25" t="s">
        <v>363</v>
      </c>
    </row>
    <row r="9" spans="2:6" x14ac:dyDescent="0.25">
      <c r="C9" s="48" t="s">
        <v>10</v>
      </c>
      <c r="D9" s="9">
        <v>20</v>
      </c>
      <c r="E9" s="4"/>
    </row>
    <row r="10" spans="2:6" x14ac:dyDescent="0.25">
      <c r="C10" s="48" t="s">
        <v>11</v>
      </c>
      <c r="D10" s="9">
        <v>1</v>
      </c>
      <c r="E10" s="4"/>
      <c r="F10" t="s">
        <v>12</v>
      </c>
    </row>
    <row r="11" spans="2:6" ht="45" x14ac:dyDescent="0.25">
      <c r="C11" s="48" t="s">
        <v>13</v>
      </c>
      <c r="D11" s="9">
        <v>5</v>
      </c>
      <c r="E11" s="4"/>
      <c r="F11" s="70" t="s">
        <v>364</v>
      </c>
    </row>
    <row r="12" spans="2:6" ht="30" x14ac:dyDescent="0.25">
      <c r="C12" s="48" t="s">
        <v>15</v>
      </c>
      <c r="D12" s="9" t="s">
        <v>365</v>
      </c>
      <c r="E12" s="4"/>
      <c r="F12" s="70" t="s">
        <v>366</v>
      </c>
    </row>
    <row r="13" spans="2:6" ht="45" x14ac:dyDescent="0.25">
      <c r="C13" s="48" t="s">
        <v>18</v>
      </c>
      <c r="D13" s="9" t="s">
        <v>119</v>
      </c>
      <c r="E13" s="4"/>
      <c r="F13" s="70" t="s">
        <v>367</v>
      </c>
    </row>
    <row r="14" spans="2:6" x14ac:dyDescent="0.25">
      <c r="C14" s="48" t="s">
        <v>21</v>
      </c>
      <c r="D14" s="9" t="s">
        <v>22</v>
      </c>
      <c r="E14" s="4"/>
    </row>
    <row r="15" spans="2:6" x14ac:dyDescent="0.25">
      <c r="C15" s="3"/>
      <c r="D15" s="4"/>
      <c r="E15" s="4"/>
      <c r="F15" t="s">
        <v>23</v>
      </c>
    </row>
    <row r="16" spans="2:6" ht="135" x14ac:dyDescent="0.25">
      <c r="C16" s="3"/>
      <c r="D16" s="4"/>
      <c r="E16" s="4"/>
      <c r="F16" s="21" t="s">
        <v>368</v>
      </c>
    </row>
    <row r="17" spans="3:6" ht="18.75" x14ac:dyDescent="0.25">
      <c r="C17" s="5" t="s">
        <v>25</v>
      </c>
      <c r="D17" s="4"/>
      <c r="E17" s="4"/>
      <c r="F17" s="12"/>
    </row>
    <row r="18" spans="3:6" x14ac:dyDescent="0.25">
      <c r="C18" s="3" t="s">
        <v>26</v>
      </c>
      <c r="D18" s="1" t="s">
        <v>25</v>
      </c>
      <c r="E18" s="4"/>
      <c r="F18" s="12"/>
    </row>
    <row r="19" spans="3:6" x14ac:dyDescent="0.25">
      <c r="C19" s="48" t="s">
        <v>27</v>
      </c>
      <c r="D19" s="10">
        <v>22</v>
      </c>
      <c r="E19" s="4"/>
      <c r="F19" s="12"/>
    </row>
    <row r="20" spans="3:6" x14ac:dyDescent="0.25">
      <c r="C20" s="48" t="s">
        <v>28</v>
      </c>
      <c r="D20" s="10">
        <v>18</v>
      </c>
      <c r="E20" s="4"/>
      <c r="F20" s="12"/>
    </row>
    <row r="21" spans="3:6" x14ac:dyDescent="0.25">
      <c r="C21" s="48" t="s">
        <v>29</v>
      </c>
      <c r="D21" s="10"/>
      <c r="E21" s="4"/>
    </row>
    <row r="22" spans="3:6" x14ac:dyDescent="0.25">
      <c r="C22" s="48" t="s">
        <v>30</v>
      </c>
      <c r="D22" s="10"/>
      <c r="E22" s="4"/>
      <c r="F22" t="s">
        <v>31</v>
      </c>
    </row>
    <row r="23" spans="3:6" ht="30" x14ac:dyDescent="0.25">
      <c r="C23" s="48" t="s">
        <v>32</v>
      </c>
      <c r="D23" s="10"/>
      <c r="E23" s="4"/>
      <c r="F23" s="21" t="s">
        <v>369</v>
      </c>
    </row>
    <row r="24" spans="3:6" x14ac:dyDescent="0.25">
      <c r="C24" s="48" t="s">
        <v>34</v>
      </c>
      <c r="D24" s="1">
        <f>SUM(D19:D23)</f>
        <v>40</v>
      </c>
      <c r="E24" s="4"/>
      <c r="F24" s="12" t="s">
        <v>370</v>
      </c>
    </row>
    <row r="25" spans="3:6" x14ac:dyDescent="0.25">
      <c r="F25" s="12"/>
    </row>
    <row r="26" spans="3:6" x14ac:dyDescent="0.25">
      <c r="F26" s="12"/>
    </row>
    <row r="27" spans="3:6" ht="18.75" x14ac:dyDescent="0.25">
      <c r="C27" s="5" t="s">
        <v>35</v>
      </c>
      <c r="D27" s="7" t="s">
        <v>36</v>
      </c>
      <c r="F27" s="12"/>
    </row>
    <row r="28" spans="3:6" x14ac:dyDescent="0.25">
      <c r="C28" s="3" t="s">
        <v>37</v>
      </c>
      <c r="D28" s="3" t="s">
        <v>38</v>
      </c>
      <c r="E28" s="3"/>
      <c r="F28" s="12"/>
    </row>
    <row r="29" spans="3:6" ht="45" x14ac:dyDescent="0.25">
      <c r="C29" s="48" t="s">
        <v>39</v>
      </c>
      <c r="D29" s="24" t="s">
        <v>371</v>
      </c>
      <c r="E29" s="4"/>
      <c r="F29" s="12"/>
    </row>
    <row r="30" spans="3:6" ht="30" x14ac:dyDescent="0.25">
      <c r="C30" s="48" t="s">
        <v>41</v>
      </c>
      <c r="D30" s="22" t="s">
        <v>372</v>
      </c>
      <c r="E30" s="4"/>
      <c r="F30" s="12"/>
    </row>
    <row r="31" spans="3:6" ht="45" x14ac:dyDescent="0.25">
      <c r="C31" s="48" t="s">
        <v>43</v>
      </c>
      <c r="D31" s="23" t="s">
        <v>373</v>
      </c>
      <c r="E31" s="4"/>
      <c r="F31" s="12"/>
    </row>
    <row r="32" spans="3:6" x14ac:dyDescent="0.25">
      <c r="C32" s="48" t="s">
        <v>45</v>
      </c>
      <c r="D32" s="9"/>
      <c r="E32" s="4"/>
      <c r="F32" s="12"/>
    </row>
    <row r="33" spans="3:8" x14ac:dyDescent="0.25">
      <c r="C33" s="48" t="s">
        <v>47</v>
      </c>
      <c r="D33" s="9"/>
      <c r="E33" s="4"/>
      <c r="F33" s="12"/>
    </row>
    <row r="36" spans="3:8" ht="18.75" x14ac:dyDescent="0.25">
      <c r="C36" s="5" t="s">
        <v>49</v>
      </c>
    </row>
    <row r="37" spans="3:8" x14ac:dyDescent="0.25">
      <c r="C37" s="3" t="s">
        <v>50</v>
      </c>
      <c r="D37" s="3" t="s">
        <v>51</v>
      </c>
      <c r="E37" s="3" t="s">
        <v>52</v>
      </c>
      <c r="F37" s="3" t="s">
        <v>53</v>
      </c>
      <c r="G37" s="3" t="s">
        <v>54</v>
      </c>
      <c r="H37" s="3" t="s">
        <v>55</v>
      </c>
    </row>
    <row r="38" spans="3:8" ht="30" x14ac:dyDescent="0.25">
      <c r="C38" s="48" t="s">
        <v>56</v>
      </c>
      <c r="D38" s="9" t="s">
        <v>206</v>
      </c>
      <c r="E38" s="9" t="s">
        <v>207</v>
      </c>
      <c r="F38" s="74" t="s">
        <v>374</v>
      </c>
      <c r="G38" s="11">
        <v>0.5</v>
      </c>
      <c r="H38" s="9">
        <v>8</v>
      </c>
    </row>
    <row r="39" spans="3:8" ht="30" x14ac:dyDescent="0.25">
      <c r="C39" s="48" t="s">
        <v>60</v>
      </c>
      <c r="D39" s="9" t="s">
        <v>127</v>
      </c>
      <c r="E39" s="9" t="s">
        <v>375</v>
      </c>
      <c r="F39" s="9" t="s">
        <v>376</v>
      </c>
      <c r="G39" s="11">
        <v>0.5</v>
      </c>
      <c r="H39" s="9" t="s">
        <v>377</v>
      </c>
    </row>
    <row r="40" spans="3:8" x14ac:dyDescent="0.25">
      <c r="C40" s="48" t="s">
        <v>63</v>
      </c>
      <c r="D40" s="12"/>
      <c r="E40" s="12"/>
      <c r="F40" s="12"/>
      <c r="G40" s="12"/>
      <c r="H40" s="12"/>
    </row>
    <row r="41" spans="3:8" x14ac:dyDescent="0.25">
      <c r="C41" s="48" t="s">
        <v>64</v>
      </c>
      <c r="D41" s="12"/>
      <c r="E41" s="12"/>
      <c r="F41" s="12"/>
      <c r="G41" s="12"/>
      <c r="H41" s="12"/>
    </row>
    <row r="42" spans="3:8" x14ac:dyDescent="0.25">
      <c r="C42" s="3"/>
    </row>
    <row r="44" spans="3:8" ht="18.75" x14ac:dyDescent="0.25">
      <c r="C44" s="5" t="s">
        <v>65</v>
      </c>
      <c r="D44" s="7"/>
    </row>
    <row r="45" spans="3:8" x14ac:dyDescent="0.25">
      <c r="C45" s="1" t="s">
        <v>50</v>
      </c>
      <c r="D45" s="1" t="s">
        <v>37</v>
      </c>
      <c r="E45" s="1" t="s">
        <v>66</v>
      </c>
      <c r="F45" s="1" t="s">
        <v>67</v>
      </c>
    </row>
    <row r="46" spans="3:8" x14ac:dyDescent="0.25">
      <c r="C46" s="13" t="s">
        <v>56</v>
      </c>
      <c r="D46" s="12" t="s">
        <v>39</v>
      </c>
      <c r="E46" s="12" t="s">
        <v>68</v>
      </c>
      <c r="F46" s="12" t="s">
        <v>69</v>
      </c>
    </row>
    <row r="47" spans="3:8" x14ac:dyDescent="0.25">
      <c r="C47" s="13" t="s">
        <v>56</v>
      </c>
      <c r="D47" s="12" t="s">
        <v>43</v>
      </c>
      <c r="E47" s="12" t="s">
        <v>68</v>
      </c>
      <c r="F47" s="12" t="s">
        <v>130</v>
      </c>
    </row>
    <row r="48" spans="3:8" x14ac:dyDescent="0.25">
      <c r="C48" s="13" t="s">
        <v>56</v>
      </c>
      <c r="D48" s="12" t="s">
        <v>39</v>
      </c>
      <c r="E48" s="12" t="s">
        <v>74</v>
      </c>
      <c r="F48" s="12" t="s">
        <v>75</v>
      </c>
    </row>
    <row r="49" spans="3:6" x14ac:dyDescent="0.25">
      <c r="C49" s="13" t="s">
        <v>56</v>
      </c>
      <c r="D49" s="12" t="s">
        <v>43</v>
      </c>
      <c r="E49" s="12" t="s">
        <v>70</v>
      </c>
      <c r="F49" s="12" t="s">
        <v>209</v>
      </c>
    </row>
    <row r="50" spans="3:6" x14ac:dyDescent="0.25">
      <c r="C50" s="13" t="s">
        <v>56</v>
      </c>
      <c r="D50" s="12" t="s">
        <v>39</v>
      </c>
      <c r="E50" s="12" t="s">
        <v>72</v>
      </c>
      <c r="F50" s="12" t="s">
        <v>211</v>
      </c>
    </row>
    <row r="51" spans="3:6" x14ac:dyDescent="0.25">
      <c r="C51" s="13" t="s">
        <v>60</v>
      </c>
      <c r="D51" s="12" t="s">
        <v>43</v>
      </c>
      <c r="E51" s="12" t="s">
        <v>68</v>
      </c>
      <c r="F51" s="12" t="s">
        <v>130</v>
      </c>
    </row>
    <row r="52" spans="3:6" x14ac:dyDescent="0.25">
      <c r="C52" s="13" t="s">
        <v>60</v>
      </c>
      <c r="D52" s="12" t="s">
        <v>41</v>
      </c>
      <c r="E52" s="12" t="s">
        <v>70</v>
      </c>
      <c r="F52" s="12" t="s">
        <v>71</v>
      </c>
    </row>
    <row r="53" spans="3:6" x14ac:dyDescent="0.25">
      <c r="C53" s="13" t="s">
        <v>60</v>
      </c>
      <c r="D53" s="12" t="s">
        <v>41</v>
      </c>
      <c r="E53" s="12" t="s">
        <v>72</v>
      </c>
      <c r="F53" s="12" t="s">
        <v>131</v>
      </c>
    </row>
    <row r="54" spans="3:6" x14ac:dyDescent="0.25">
      <c r="C54" s="13" t="s">
        <v>60</v>
      </c>
      <c r="D54" s="12" t="s">
        <v>41</v>
      </c>
      <c r="E54" s="12" t="s">
        <v>72</v>
      </c>
      <c r="F54" s="12" t="s">
        <v>166</v>
      </c>
    </row>
    <row r="55" spans="3:6" x14ac:dyDescent="0.25">
      <c r="C55" s="13"/>
      <c r="D55" s="12"/>
      <c r="E55" s="12"/>
      <c r="F55" s="12"/>
    </row>
    <row r="56" spans="3:6" x14ac:dyDescent="0.25">
      <c r="C56" s="13"/>
      <c r="D56" s="12"/>
      <c r="E56" s="12"/>
      <c r="F56" s="12"/>
    </row>
    <row r="57" spans="3:6" x14ac:dyDescent="0.25">
      <c r="C57" s="13"/>
      <c r="D57" s="12"/>
      <c r="E57" s="12"/>
      <c r="F57" s="12"/>
    </row>
    <row r="58" spans="3:6" x14ac:dyDescent="0.25">
      <c r="C58" s="13"/>
      <c r="D58" s="12"/>
      <c r="E58" s="12"/>
      <c r="F58" s="12"/>
    </row>
    <row r="59" spans="3:6" x14ac:dyDescent="0.25">
      <c r="C59" s="13"/>
      <c r="D59" s="12"/>
      <c r="E59" s="12"/>
      <c r="F59" s="12"/>
    </row>
    <row r="60" spans="3:6" x14ac:dyDescent="0.25">
      <c r="C60" s="13"/>
      <c r="D60" s="12"/>
      <c r="E60" s="12"/>
      <c r="F60" s="12"/>
    </row>
    <row r="61" spans="3:6" x14ac:dyDescent="0.25">
      <c r="C61" s="13"/>
      <c r="D61" s="12"/>
      <c r="E61" s="12"/>
      <c r="F61" s="12"/>
    </row>
    <row r="62" spans="3:6" x14ac:dyDescent="0.25">
      <c r="C62" s="13"/>
      <c r="D62" s="12"/>
      <c r="E62" s="12"/>
      <c r="F62" s="12"/>
    </row>
    <row r="63" spans="3:6" x14ac:dyDescent="0.25">
      <c r="C63" s="13"/>
      <c r="D63" s="12"/>
      <c r="E63" s="12"/>
      <c r="F63" s="12"/>
    </row>
    <row r="64" spans="3:6" x14ac:dyDescent="0.25">
      <c r="C64" s="13"/>
      <c r="D64" s="12"/>
      <c r="E64" s="12"/>
      <c r="F64" s="12"/>
    </row>
    <row r="65" spans="2:6" x14ac:dyDescent="0.25">
      <c r="C65" s="13"/>
      <c r="D65" s="12"/>
      <c r="E65" s="12"/>
      <c r="F65" s="12"/>
    </row>
    <row r="66" spans="2:6" x14ac:dyDescent="0.25">
      <c r="C66" s="13"/>
      <c r="D66" s="12"/>
      <c r="E66" s="12"/>
      <c r="F66" s="12"/>
    </row>
    <row r="69" spans="2:6" ht="18.75" x14ac:dyDescent="0.25">
      <c r="C69" s="5" t="s">
        <v>90</v>
      </c>
    </row>
    <row r="70" spans="2:6" x14ac:dyDescent="0.25">
      <c r="B70" t="s">
        <v>91</v>
      </c>
      <c r="C70" s="1" t="s">
        <v>92</v>
      </c>
      <c r="D70" s="1" t="s">
        <v>93</v>
      </c>
      <c r="E70" s="1" t="s">
        <v>94</v>
      </c>
      <c r="F70" s="1" t="s">
        <v>95</v>
      </c>
    </row>
    <row r="71" spans="2:6" x14ac:dyDescent="0.25">
      <c r="B71" s="49">
        <v>1</v>
      </c>
      <c r="C71" s="50">
        <v>1</v>
      </c>
      <c r="D71" s="9" t="s">
        <v>378</v>
      </c>
      <c r="E71" s="9" t="s">
        <v>28</v>
      </c>
      <c r="F71" s="9"/>
    </row>
    <row r="72" spans="2:6" x14ac:dyDescent="0.25">
      <c r="B72" s="49">
        <v>1</v>
      </c>
      <c r="C72" s="50">
        <v>2</v>
      </c>
      <c r="D72" s="9" t="s">
        <v>379</v>
      </c>
      <c r="E72" s="9" t="s">
        <v>28</v>
      </c>
      <c r="F72" s="9"/>
    </row>
    <row r="73" spans="2:6" x14ac:dyDescent="0.25">
      <c r="B73" s="49">
        <v>1</v>
      </c>
      <c r="C73" s="50">
        <v>3</v>
      </c>
      <c r="D73" s="9" t="s">
        <v>380</v>
      </c>
      <c r="E73" s="9" t="s">
        <v>28</v>
      </c>
      <c r="F73" s="9"/>
    </row>
    <row r="74" spans="2:6" x14ac:dyDescent="0.25">
      <c r="B74" s="49">
        <v>1</v>
      </c>
      <c r="C74" s="50">
        <v>4</v>
      </c>
      <c r="D74" s="9" t="s">
        <v>381</v>
      </c>
      <c r="E74" s="9" t="s">
        <v>382</v>
      </c>
      <c r="F74" s="9"/>
    </row>
    <row r="75" spans="2:6" x14ac:dyDescent="0.25">
      <c r="B75" s="49">
        <v>1</v>
      </c>
      <c r="C75" s="50">
        <v>5</v>
      </c>
      <c r="D75" s="9" t="s">
        <v>383</v>
      </c>
      <c r="E75" s="9" t="s">
        <v>28</v>
      </c>
      <c r="F75" s="9"/>
    </row>
    <row r="76" spans="2:6" x14ac:dyDescent="0.25">
      <c r="B76" s="49">
        <v>1</v>
      </c>
      <c r="C76" s="50">
        <v>6</v>
      </c>
      <c r="D76" s="9" t="s">
        <v>384</v>
      </c>
      <c r="E76" s="9" t="s">
        <v>28</v>
      </c>
      <c r="F76" s="9"/>
    </row>
    <row r="77" spans="2:6" x14ac:dyDescent="0.25">
      <c r="B77" s="49">
        <v>1</v>
      </c>
      <c r="C77" s="50">
        <v>7</v>
      </c>
      <c r="D77" s="9" t="s">
        <v>385</v>
      </c>
      <c r="E77" s="9" t="s">
        <v>382</v>
      </c>
      <c r="F77" s="9"/>
    </row>
    <row r="78" spans="2:6" x14ac:dyDescent="0.25">
      <c r="B78" s="49">
        <v>1</v>
      </c>
      <c r="C78" s="50">
        <v>8</v>
      </c>
      <c r="D78" s="9" t="s">
        <v>386</v>
      </c>
      <c r="E78" s="9" t="s">
        <v>382</v>
      </c>
      <c r="F78" s="9"/>
    </row>
    <row r="79" spans="2:6" x14ac:dyDescent="0.25">
      <c r="B79" s="49">
        <v>1</v>
      </c>
      <c r="C79" s="50">
        <v>9</v>
      </c>
      <c r="D79" s="9" t="s">
        <v>387</v>
      </c>
      <c r="E79" s="9" t="s">
        <v>28</v>
      </c>
      <c r="F79" s="9"/>
    </row>
    <row r="80" spans="2:6" x14ac:dyDescent="0.25">
      <c r="B80" s="49">
        <v>1</v>
      </c>
      <c r="C80" s="50">
        <v>10</v>
      </c>
      <c r="D80" s="9" t="s">
        <v>141</v>
      </c>
      <c r="E80" s="9" t="s">
        <v>28</v>
      </c>
      <c r="F80" s="9"/>
    </row>
    <row r="81" spans="2:6" x14ac:dyDescent="0.25">
      <c r="B81" s="49">
        <v>1</v>
      </c>
      <c r="C81" s="50">
        <v>11</v>
      </c>
      <c r="D81" s="9" t="s">
        <v>388</v>
      </c>
      <c r="E81" s="9" t="s">
        <v>28</v>
      </c>
      <c r="F81" s="9"/>
    </row>
    <row r="82" spans="2:6" x14ac:dyDescent="0.25">
      <c r="B82" s="49">
        <v>1</v>
      </c>
      <c r="C82" s="50">
        <v>12</v>
      </c>
      <c r="D82" s="9" t="s">
        <v>389</v>
      </c>
      <c r="E82" s="9" t="s">
        <v>28</v>
      </c>
      <c r="F82" s="9"/>
    </row>
    <row r="83" spans="2:6" x14ac:dyDescent="0.25">
      <c r="B83" s="49">
        <v>2</v>
      </c>
      <c r="C83" s="50">
        <v>1</v>
      </c>
      <c r="D83" s="9"/>
      <c r="E83" s="9"/>
      <c r="F83" s="9"/>
    </row>
    <row r="84" spans="2:6" x14ac:dyDescent="0.25">
      <c r="B84" s="49">
        <v>2</v>
      </c>
      <c r="C84" s="50">
        <v>2</v>
      </c>
      <c r="D84" s="9"/>
      <c r="E84" s="9"/>
      <c r="F84" s="9"/>
    </row>
    <row r="85" spans="2:6" x14ac:dyDescent="0.25">
      <c r="B85" s="49">
        <v>2</v>
      </c>
      <c r="C85" s="50">
        <v>3</v>
      </c>
      <c r="D85" s="9"/>
      <c r="E85" s="9"/>
      <c r="F85" s="9"/>
    </row>
    <row r="86" spans="2:6" x14ac:dyDescent="0.25">
      <c r="B86" s="49">
        <v>2</v>
      </c>
      <c r="C86" s="50">
        <v>4</v>
      </c>
      <c r="D86" s="9"/>
      <c r="E86" s="9"/>
      <c r="F86" s="9"/>
    </row>
    <row r="87" spans="2:6" x14ac:dyDescent="0.25">
      <c r="B87" s="49">
        <v>2</v>
      </c>
      <c r="C87" s="50">
        <v>5</v>
      </c>
      <c r="D87" s="9"/>
      <c r="E87" s="9"/>
      <c r="F87" s="9"/>
    </row>
    <row r="88" spans="2:6" x14ac:dyDescent="0.25">
      <c r="B88" s="49">
        <v>2</v>
      </c>
      <c r="C88" s="50">
        <v>6</v>
      </c>
      <c r="D88" s="9"/>
      <c r="E88" s="9"/>
      <c r="F88" s="9"/>
    </row>
    <row r="89" spans="2:6" x14ac:dyDescent="0.25">
      <c r="B89" s="49">
        <v>2</v>
      </c>
      <c r="C89" s="50">
        <v>7</v>
      </c>
      <c r="D89" s="9"/>
      <c r="E89" s="9"/>
      <c r="F89" s="9"/>
    </row>
    <row r="90" spans="2:6" x14ac:dyDescent="0.25">
      <c r="B90" s="49">
        <v>2</v>
      </c>
      <c r="C90" s="50">
        <v>8</v>
      </c>
      <c r="D90" s="9"/>
      <c r="E90" s="9"/>
      <c r="F90" s="9"/>
    </row>
    <row r="91" spans="2:6" x14ac:dyDescent="0.25">
      <c r="B91" s="49">
        <v>2</v>
      </c>
      <c r="C91" s="50">
        <v>9</v>
      </c>
      <c r="D91" s="9"/>
      <c r="E91" s="9"/>
      <c r="F91" s="9"/>
    </row>
    <row r="92" spans="2:6" x14ac:dyDescent="0.25">
      <c r="B92" s="49">
        <v>2</v>
      </c>
      <c r="C92" s="50">
        <v>10</v>
      </c>
      <c r="D92" s="9"/>
      <c r="E92" s="9"/>
      <c r="F92" s="9"/>
    </row>
    <row r="93" spans="2:6" x14ac:dyDescent="0.25">
      <c r="B93" s="49">
        <v>2</v>
      </c>
      <c r="C93" s="50">
        <v>11</v>
      </c>
      <c r="D93" s="9"/>
      <c r="E93" s="9"/>
      <c r="F93" s="9"/>
    </row>
    <row r="94" spans="2:6" x14ac:dyDescent="0.25">
      <c r="B94" s="49">
        <v>2</v>
      </c>
      <c r="C94" s="50">
        <v>12</v>
      </c>
      <c r="D94" s="9"/>
      <c r="E94" s="9"/>
      <c r="F94" s="9"/>
    </row>
  </sheetData>
  <sheetProtection sheet="1" objects="1" scenarios="1" formatCells="0" formatColumns="0" formatRows="0" insertHyperlinks="0"/>
  <dataValidations count="4">
    <dataValidation type="whole" showInputMessage="1" showErrorMessage="1" error="This is not a realistic number of contact hours please reduce" sqref="D20:D23" xr:uid="{06524273-2360-4C43-9154-4A480587EC5E}">
      <formula1>0</formula1>
      <formula2>80</formula2>
    </dataValidation>
    <dataValidation type="whole" showInputMessage="1" showErrorMessage="1" error="This is not a realistic number of contact hours please change" sqref="D19" xr:uid="{7B949394-BE34-4CC9-A9D6-7A75315A2DBB}">
      <formula1>0</formula1>
      <formula2>80</formula2>
    </dataValidation>
    <dataValidation type="list" allowBlank="1" showInputMessage="1" showErrorMessage="1" sqref="E38:E41" xr:uid="{B9D0113D-C789-41AE-B9C8-690F6C7A67B0}">
      <formula1>INDIRECT("LISTAssess[Assessment Specific]")</formula1>
    </dataValidation>
    <dataValidation type="list" allowBlank="1" showInputMessage="1" showErrorMessage="1" sqref="F46:F66" xr:uid="{3D662EF6-94E1-4350-B3D5-9F339CA0FD80}">
      <formula1>INDIRECT(VLOOKUP($E46, SkillNameMap, 2, FALSE))</formula1>
    </dataValidation>
  </dataValidations>
  <pageMargins left="0.7" right="0.7" top="0.75" bottom="0.75" header="0.3" footer="0.3"/>
  <pageSetup paperSize="9" orientation="portrait" horizontalDpi="4294967293" verticalDpi="0" r:id="rId1"/>
  <tableParts count="10">
    <tablePart r:id="rId2"/>
    <tablePart r:id="rId3"/>
    <tablePart r:id="rId4"/>
    <tablePart r:id="rId5"/>
    <tablePart r:id="rId6"/>
    <tablePart r:id="rId7"/>
    <tablePart r:id="rId8"/>
    <tablePart r:id="rId9"/>
    <tablePart r:id="rId10"/>
    <tablePart r:id="rId11"/>
  </tableParts>
  <extLst>
    <ext xmlns:x14="http://schemas.microsoft.com/office/spreadsheetml/2009/9/main" uri="{CCE6A557-97BC-4b89-ADB6-D9C93CAAB3DF}">
      <x14:dataValidations xmlns:xm="http://schemas.microsoft.com/office/excel/2006/main" count="7">
        <x14:dataValidation type="list" allowBlank="1" showInputMessage="1" showErrorMessage="1" xr:uid="{D03A4CC7-9A30-452E-97E5-E03FCC9419A4}">
          <x14:formula1>
            <xm:f>LISTS!$C$26:$C$37</xm:f>
          </x14:formula1>
          <xm:sqref>D14</xm:sqref>
        </x14:dataValidation>
        <x14:dataValidation type="list" allowBlank="1" showInputMessage="1" showErrorMessage="1" xr:uid="{B7DB85EB-DFB5-437F-BA0C-32D4D2070C4D}">
          <x14:formula1>
            <xm:f>LISTS!$C$17:$C$22</xm:f>
          </x14:formula1>
          <xm:sqref>D13</xm:sqref>
        </x14:dataValidation>
        <x14:dataValidation type="list" allowBlank="1" showInputMessage="1" showErrorMessage="1" xr:uid="{82DFBB4E-D28E-4403-815A-4704BBB7702D}">
          <x14:formula1>
            <xm:f>LISTS!$C$7:$C$9</xm:f>
          </x14:formula1>
          <xm:sqref>D10</xm:sqref>
        </x14:dataValidation>
        <x14:dataValidation type="list" allowBlank="1" showInputMessage="1" showErrorMessage="1" xr:uid="{D8278727-60ED-4240-AED9-43FB98158BAE}">
          <x14:formula1>
            <xm:f>LISTS!$C$11:$C$15</xm:f>
          </x14:formula1>
          <xm:sqref>D11</xm:sqref>
        </x14:dataValidation>
        <x14:dataValidation type="list" allowBlank="1" showInputMessage="1" showErrorMessage="1" xr:uid="{7F080A95-6299-4905-8FCE-548941111CEB}">
          <x14:formula1>
            <xm:f>LISTS!$G$7:$G$11</xm:f>
          </x14:formula1>
          <xm:sqref>D38:D42</xm:sqref>
        </x14:dataValidation>
        <x14:dataValidation type="list" allowBlank="1" showInputMessage="1" showErrorMessage="1" xr:uid="{DD24076C-D431-4B83-8FB6-3800945C7C90}">
          <x14:formula1>
            <xm:f>LISTS!$E$7:$E$11</xm:f>
          </x14:formula1>
          <xm:sqref>D46:D66</xm:sqref>
        </x14:dataValidation>
        <x14:dataValidation type="list" allowBlank="1" showInputMessage="1" showErrorMessage="1" xr:uid="{C1ACB768-367A-4765-AEE3-B6D50718CC09}">
          <x14:formula1>
            <xm:f>LISTS!$J$7:$J$16</xm:f>
          </x14:formula1>
          <xm:sqref>E46:E66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D08AE-A3E7-4649-AF94-9902578E541A}">
  <sheetPr codeName="Sheet10"/>
  <dimension ref="B2:H94"/>
  <sheetViews>
    <sheetView showGridLines="0" topLeftCell="B35" zoomScale="85" zoomScaleNormal="85" workbookViewId="0">
      <selection activeCell="C33" sqref="C33"/>
    </sheetView>
  </sheetViews>
  <sheetFormatPr defaultColWidth="8.85546875" defaultRowHeight="15" x14ac:dyDescent="0.25"/>
  <cols>
    <col min="3" max="3" width="33.28515625" customWidth="1"/>
    <col min="4" max="4" width="51.42578125" customWidth="1"/>
    <col min="5" max="5" width="67.28515625" customWidth="1"/>
    <col min="6" max="6" width="63.140625" customWidth="1"/>
    <col min="7" max="7" width="12.42578125" customWidth="1"/>
    <col min="8" max="8" width="15.42578125" customWidth="1"/>
    <col min="9" max="9" width="14.7109375" customWidth="1"/>
  </cols>
  <sheetData>
    <row r="2" spans="2:6" ht="26.25" x14ac:dyDescent="0.4">
      <c r="C2" s="8" t="str">
        <f>D7</f>
        <v>5093SPS</v>
      </c>
      <c r="D2" s="8" t="str">
        <f>D8</f>
        <v>Sport and Performance Psychology</v>
      </c>
    </row>
    <row r="3" spans="2:6" x14ac:dyDescent="0.25">
      <c r="B3" s="1"/>
      <c r="C3" s="1"/>
    </row>
    <row r="4" spans="2:6" x14ac:dyDescent="0.25">
      <c r="B4" s="2"/>
      <c r="C4" s="2"/>
    </row>
    <row r="5" spans="2:6" ht="18.75" x14ac:dyDescent="0.25">
      <c r="B5" s="2"/>
      <c r="C5" s="5" t="s">
        <v>0</v>
      </c>
    </row>
    <row r="6" spans="2:6" x14ac:dyDescent="0.25">
      <c r="B6" s="2"/>
      <c r="C6" s="3" t="s">
        <v>1</v>
      </c>
      <c r="D6" s="4" t="s">
        <v>2</v>
      </c>
      <c r="E6" s="4"/>
      <c r="F6" t="s">
        <v>3</v>
      </c>
    </row>
    <row r="7" spans="2:6" ht="30" x14ac:dyDescent="0.25">
      <c r="B7" s="2"/>
      <c r="C7" s="48" t="s">
        <v>4</v>
      </c>
      <c r="D7" s="9" t="s">
        <v>390</v>
      </c>
      <c r="E7" s="4"/>
      <c r="F7" s="21" t="s">
        <v>391</v>
      </c>
    </row>
    <row r="8" spans="2:6" ht="30" x14ac:dyDescent="0.25">
      <c r="B8" s="2"/>
      <c r="C8" s="48" t="s">
        <v>7</v>
      </c>
      <c r="D8" s="9" t="s">
        <v>392</v>
      </c>
      <c r="E8" s="4"/>
      <c r="F8" s="21" t="s">
        <v>393</v>
      </c>
    </row>
    <row r="9" spans="2:6" x14ac:dyDescent="0.25">
      <c r="C9" s="48" t="s">
        <v>10</v>
      </c>
      <c r="D9" s="9">
        <v>20</v>
      </c>
      <c r="E9" s="4"/>
    </row>
    <row r="10" spans="2:6" x14ac:dyDescent="0.25">
      <c r="C10" s="48" t="s">
        <v>11</v>
      </c>
      <c r="D10" s="9">
        <v>2</v>
      </c>
      <c r="E10" s="4"/>
      <c r="F10" t="s">
        <v>12</v>
      </c>
    </row>
    <row r="11" spans="2:6" ht="75" x14ac:dyDescent="0.25">
      <c r="C11" s="48" t="s">
        <v>13</v>
      </c>
      <c r="D11" s="9">
        <v>5</v>
      </c>
      <c r="E11" s="4"/>
      <c r="F11" s="21" t="s">
        <v>394</v>
      </c>
    </row>
    <row r="12" spans="2:6" ht="60" x14ac:dyDescent="0.25">
      <c r="C12" s="48" t="s">
        <v>15</v>
      </c>
      <c r="D12" s="9" t="s">
        <v>299</v>
      </c>
      <c r="E12" s="4"/>
      <c r="F12" s="21" t="s">
        <v>395</v>
      </c>
    </row>
    <row r="13" spans="2:6" x14ac:dyDescent="0.25">
      <c r="C13" s="48" t="s">
        <v>18</v>
      </c>
      <c r="D13" s="9" t="s">
        <v>119</v>
      </c>
      <c r="E13" s="4"/>
      <c r="F13" s="12"/>
    </row>
    <row r="14" spans="2:6" x14ac:dyDescent="0.25">
      <c r="C14" s="48" t="s">
        <v>21</v>
      </c>
      <c r="D14" s="9" t="s">
        <v>396</v>
      </c>
      <c r="E14" s="4"/>
    </row>
    <row r="15" spans="2:6" x14ac:dyDescent="0.25">
      <c r="C15" s="3"/>
      <c r="D15" s="4"/>
      <c r="E15" s="4"/>
      <c r="F15" t="s">
        <v>23</v>
      </c>
    </row>
    <row r="16" spans="2:6" x14ac:dyDescent="0.25">
      <c r="C16" s="3"/>
      <c r="D16" s="4"/>
      <c r="E16" s="4"/>
      <c r="F16" s="12" t="s">
        <v>397</v>
      </c>
    </row>
    <row r="17" spans="3:6" ht="18.75" x14ac:dyDescent="0.25">
      <c r="C17" s="5" t="s">
        <v>25</v>
      </c>
      <c r="D17" s="4"/>
      <c r="E17" s="4"/>
      <c r="F17" s="12"/>
    </row>
    <row r="18" spans="3:6" x14ac:dyDescent="0.25">
      <c r="C18" s="3" t="s">
        <v>26</v>
      </c>
      <c r="D18" s="1" t="s">
        <v>25</v>
      </c>
      <c r="E18" s="4"/>
      <c r="F18" s="12"/>
    </row>
    <row r="19" spans="3:6" x14ac:dyDescent="0.25">
      <c r="C19" s="48" t="s">
        <v>27</v>
      </c>
      <c r="D19" s="10">
        <v>38</v>
      </c>
      <c r="E19" s="4"/>
      <c r="F19" s="12"/>
    </row>
    <row r="20" spans="3:6" x14ac:dyDescent="0.25">
      <c r="C20" s="48" t="s">
        <v>28</v>
      </c>
      <c r="D20" s="10">
        <v>6</v>
      </c>
      <c r="E20" s="4"/>
      <c r="F20" s="12"/>
    </row>
    <row r="21" spans="3:6" x14ac:dyDescent="0.25">
      <c r="C21" s="48" t="s">
        <v>29</v>
      </c>
      <c r="D21" s="10">
        <v>0</v>
      </c>
      <c r="E21" s="4"/>
    </row>
    <row r="22" spans="3:6" x14ac:dyDescent="0.25">
      <c r="C22" s="48" t="s">
        <v>30</v>
      </c>
      <c r="D22" s="10">
        <v>0</v>
      </c>
      <c r="E22" s="4"/>
      <c r="F22" t="s">
        <v>31</v>
      </c>
    </row>
    <row r="23" spans="3:6" x14ac:dyDescent="0.25">
      <c r="C23" s="48" t="s">
        <v>32</v>
      </c>
      <c r="D23" s="10">
        <v>0</v>
      </c>
      <c r="E23" s="4"/>
      <c r="F23" s="15" t="s">
        <v>398</v>
      </c>
    </row>
    <row r="24" spans="3:6" x14ac:dyDescent="0.25">
      <c r="C24" s="48" t="s">
        <v>34</v>
      </c>
      <c r="D24" s="1">
        <f>SUM(D19:D23)</f>
        <v>44</v>
      </c>
      <c r="E24" s="4"/>
      <c r="F24" s="12" t="s">
        <v>399</v>
      </c>
    </row>
    <row r="25" spans="3:6" x14ac:dyDescent="0.25">
      <c r="F25" s="12"/>
    </row>
    <row r="26" spans="3:6" x14ac:dyDescent="0.25">
      <c r="F26" s="12"/>
    </row>
    <row r="27" spans="3:6" ht="18.75" x14ac:dyDescent="0.25">
      <c r="C27" s="5" t="s">
        <v>35</v>
      </c>
      <c r="D27" s="7" t="s">
        <v>36</v>
      </c>
      <c r="F27" s="12"/>
    </row>
    <row r="28" spans="3:6" x14ac:dyDescent="0.25">
      <c r="C28" s="3" t="s">
        <v>37</v>
      </c>
      <c r="D28" s="3" t="s">
        <v>38</v>
      </c>
      <c r="E28" s="3"/>
      <c r="F28" s="12"/>
    </row>
    <row r="29" spans="3:6" ht="30" x14ac:dyDescent="0.25">
      <c r="C29" s="48" t="s">
        <v>39</v>
      </c>
      <c r="D29" s="9" t="s">
        <v>400</v>
      </c>
      <c r="E29" s="4"/>
      <c r="F29" s="12"/>
    </row>
    <row r="30" spans="3:6" ht="30" x14ac:dyDescent="0.25">
      <c r="C30" s="48" t="s">
        <v>41</v>
      </c>
      <c r="D30" s="9" t="s">
        <v>401</v>
      </c>
      <c r="E30" s="4"/>
      <c r="F30" s="12"/>
    </row>
    <row r="31" spans="3:6" x14ac:dyDescent="0.25">
      <c r="C31" s="48"/>
      <c r="D31" s="9"/>
      <c r="E31" s="4"/>
      <c r="F31" s="12"/>
    </row>
    <row r="32" spans="3:6" x14ac:dyDescent="0.25">
      <c r="C32" s="48"/>
      <c r="D32" s="9"/>
      <c r="E32" s="4"/>
      <c r="F32" s="12"/>
    </row>
    <row r="33" spans="3:8" x14ac:dyDescent="0.25">
      <c r="C33" s="48"/>
      <c r="D33" s="9"/>
      <c r="E33" s="4"/>
      <c r="F33" s="12"/>
    </row>
    <row r="36" spans="3:8" ht="18.75" x14ac:dyDescent="0.25">
      <c r="C36" s="5" t="s">
        <v>49</v>
      </c>
    </row>
    <row r="37" spans="3:8" x14ac:dyDescent="0.25">
      <c r="C37" s="3" t="s">
        <v>50</v>
      </c>
      <c r="D37" s="3" t="s">
        <v>51</v>
      </c>
      <c r="E37" s="3" t="s">
        <v>52</v>
      </c>
      <c r="F37" s="3" t="s">
        <v>53</v>
      </c>
      <c r="G37" s="3" t="s">
        <v>54</v>
      </c>
      <c r="H37" s="3" t="s">
        <v>55</v>
      </c>
    </row>
    <row r="38" spans="3:8" ht="30" x14ac:dyDescent="0.25">
      <c r="C38" s="48" t="s">
        <v>56</v>
      </c>
      <c r="D38" s="9" t="s">
        <v>125</v>
      </c>
      <c r="E38" s="12" t="s">
        <v>402</v>
      </c>
      <c r="F38" s="9" t="s">
        <v>403</v>
      </c>
      <c r="G38" s="11">
        <v>0.5</v>
      </c>
      <c r="H38" s="9">
        <v>8</v>
      </c>
    </row>
    <row r="39" spans="3:8" x14ac:dyDescent="0.25">
      <c r="C39" s="48" t="s">
        <v>60</v>
      </c>
      <c r="D39" s="9" t="s">
        <v>127</v>
      </c>
      <c r="E39" s="12" t="s">
        <v>127</v>
      </c>
      <c r="F39" s="9" t="s">
        <v>404</v>
      </c>
      <c r="G39" s="11">
        <v>0.5</v>
      </c>
      <c r="H39" s="9" t="s">
        <v>309</v>
      </c>
    </row>
    <row r="40" spans="3:8" x14ac:dyDescent="0.25">
      <c r="C40" s="48" t="s">
        <v>63</v>
      </c>
      <c r="D40" s="12"/>
      <c r="E40" s="12"/>
      <c r="F40" s="12"/>
      <c r="G40" s="12"/>
      <c r="H40" s="12"/>
    </row>
    <row r="41" spans="3:8" x14ac:dyDescent="0.25">
      <c r="C41" s="48" t="s">
        <v>64</v>
      </c>
      <c r="D41" s="12"/>
      <c r="E41" s="12"/>
      <c r="F41" s="12"/>
      <c r="G41" s="12"/>
      <c r="H41" s="12"/>
    </row>
    <row r="42" spans="3:8" x14ac:dyDescent="0.25">
      <c r="C42" s="3"/>
    </row>
    <row r="44" spans="3:8" ht="18.75" x14ac:dyDescent="0.25">
      <c r="C44" s="5" t="s">
        <v>65</v>
      </c>
      <c r="D44" s="7"/>
    </row>
    <row r="45" spans="3:8" x14ac:dyDescent="0.25">
      <c r="C45" s="1" t="s">
        <v>50</v>
      </c>
      <c r="D45" s="1" t="s">
        <v>37</v>
      </c>
      <c r="E45" s="1" t="s">
        <v>66</v>
      </c>
      <c r="F45" s="1" t="s">
        <v>67</v>
      </c>
    </row>
    <row r="46" spans="3:8" x14ac:dyDescent="0.25">
      <c r="C46" s="13" t="s">
        <v>56</v>
      </c>
      <c r="D46" s="12" t="s">
        <v>39</v>
      </c>
      <c r="E46" s="12" t="s">
        <v>68</v>
      </c>
      <c r="F46" s="12" t="s">
        <v>69</v>
      </c>
    </row>
    <row r="47" spans="3:8" x14ac:dyDescent="0.25">
      <c r="C47" s="13" t="s">
        <v>56</v>
      </c>
      <c r="D47" s="12" t="s">
        <v>39</v>
      </c>
      <c r="E47" s="12" t="s">
        <v>68</v>
      </c>
      <c r="F47" s="12" t="s">
        <v>164</v>
      </c>
    </row>
    <row r="48" spans="3:8" x14ac:dyDescent="0.25">
      <c r="C48" s="13" t="s">
        <v>56</v>
      </c>
      <c r="D48" s="12" t="s">
        <v>39</v>
      </c>
      <c r="E48" s="12" t="s">
        <v>68</v>
      </c>
      <c r="F48" s="12" t="s">
        <v>130</v>
      </c>
    </row>
    <row r="49" spans="3:6" x14ac:dyDescent="0.25">
      <c r="C49" s="13" t="s">
        <v>56</v>
      </c>
      <c r="D49" s="12" t="s">
        <v>39</v>
      </c>
      <c r="E49" s="12" t="s">
        <v>78</v>
      </c>
      <c r="F49" s="12" t="s">
        <v>405</v>
      </c>
    </row>
    <row r="50" spans="3:6" x14ac:dyDescent="0.25">
      <c r="C50" s="13" t="s">
        <v>56</v>
      </c>
      <c r="D50" s="12" t="s">
        <v>39</v>
      </c>
      <c r="E50" s="12" t="s">
        <v>78</v>
      </c>
      <c r="F50" s="12" t="s">
        <v>212</v>
      </c>
    </row>
    <row r="51" spans="3:6" x14ac:dyDescent="0.25">
      <c r="C51" s="13" t="s">
        <v>56</v>
      </c>
      <c r="D51" s="12" t="s">
        <v>39</v>
      </c>
      <c r="E51" s="12" t="s">
        <v>74</v>
      </c>
      <c r="F51" s="12" t="s">
        <v>75</v>
      </c>
    </row>
    <row r="52" spans="3:6" x14ac:dyDescent="0.25">
      <c r="C52" s="13" t="s">
        <v>56</v>
      </c>
      <c r="D52" s="12" t="s">
        <v>39</v>
      </c>
      <c r="E52" s="12" t="s">
        <v>72</v>
      </c>
      <c r="F52" s="12" t="s">
        <v>211</v>
      </c>
    </row>
    <row r="53" spans="3:6" x14ac:dyDescent="0.25">
      <c r="C53" s="13" t="s">
        <v>56</v>
      </c>
      <c r="D53" s="12" t="s">
        <v>39</v>
      </c>
      <c r="E53" s="12" t="s">
        <v>82</v>
      </c>
      <c r="F53" s="12" t="s">
        <v>406</v>
      </c>
    </row>
    <row r="54" spans="3:6" x14ac:dyDescent="0.25">
      <c r="C54" s="13" t="s">
        <v>56</v>
      </c>
      <c r="D54" s="12" t="s">
        <v>39</v>
      </c>
      <c r="E54" s="12" t="s">
        <v>82</v>
      </c>
      <c r="F54" s="12" t="s">
        <v>83</v>
      </c>
    </row>
    <row r="55" spans="3:6" x14ac:dyDescent="0.25">
      <c r="C55" s="13" t="s">
        <v>56</v>
      </c>
      <c r="D55" s="12" t="s">
        <v>39</v>
      </c>
      <c r="E55" s="12" t="s">
        <v>80</v>
      </c>
      <c r="F55" s="12" t="s">
        <v>170</v>
      </c>
    </row>
    <row r="56" spans="3:6" x14ac:dyDescent="0.25">
      <c r="C56" s="13" t="s">
        <v>56</v>
      </c>
      <c r="D56" s="12" t="s">
        <v>39</v>
      </c>
      <c r="E56" s="12" t="s">
        <v>70</v>
      </c>
      <c r="F56" s="12" t="s">
        <v>71</v>
      </c>
    </row>
    <row r="57" spans="3:6" x14ac:dyDescent="0.25">
      <c r="C57" s="13" t="s">
        <v>56</v>
      </c>
      <c r="D57" s="12" t="s">
        <v>39</v>
      </c>
      <c r="E57" s="12" t="s">
        <v>82</v>
      </c>
      <c r="F57" s="12" t="s">
        <v>407</v>
      </c>
    </row>
    <row r="58" spans="3:6" x14ac:dyDescent="0.25">
      <c r="C58" s="13" t="s">
        <v>60</v>
      </c>
      <c r="D58" s="12" t="s">
        <v>41</v>
      </c>
      <c r="E58" s="12" t="s">
        <v>68</v>
      </c>
      <c r="F58" s="12" t="s">
        <v>69</v>
      </c>
    </row>
    <row r="59" spans="3:6" x14ac:dyDescent="0.25">
      <c r="C59" s="13" t="s">
        <v>60</v>
      </c>
      <c r="D59" s="12" t="s">
        <v>41</v>
      </c>
      <c r="E59" s="12" t="s">
        <v>68</v>
      </c>
      <c r="F59" s="12" t="s">
        <v>164</v>
      </c>
    </row>
    <row r="60" spans="3:6" x14ac:dyDescent="0.25">
      <c r="C60" s="13" t="s">
        <v>60</v>
      </c>
      <c r="D60" s="12" t="s">
        <v>41</v>
      </c>
      <c r="E60" s="12" t="s">
        <v>68</v>
      </c>
      <c r="F60" s="12" t="s">
        <v>165</v>
      </c>
    </row>
    <row r="61" spans="3:6" x14ac:dyDescent="0.25">
      <c r="C61" s="13" t="s">
        <v>60</v>
      </c>
      <c r="D61" s="12" t="s">
        <v>41</v>
      </c>
      <c r="E61" s="12" t="s">
        <v>78</v>
      </c>
      <c r="F61" s="12" t="s">
        <v>405</v>
      </c>
    </row>
    <row r="62" spans="3:6" x14ac:dyDescent="0.25">
      <c r="C62" s="13" t="s">
        <v>60</v>
      </c>
      <c r="D62" s="12" t="s">
        <v>41</v>
      </c>
      <c r="E62" s="12" t="s">
        <v>78</v>
      </c>
      <c r="F62" s="12" t="s">
        <v>212</v>
      </c>
    </row>
    <row r="63" spans="3:6" x14ac:dyDescent="0.25">
      <c r="C63" s="13" t="s">
        <v>60</v>
      </c>
      <c r="D63" s="12" t="s">
        <v>41</v>
      </c>
      <c r="E63" s="12" t="s">
        <v>70</v>
      </c>
      <c r="F63" s="12" t="s">
        <v>71</v>
      </c>
    </row>
    <row r="64" spans="3:6" x14ac:dyDescent="0.25">
      <c r="C64" s="13" t="s">
        <v>60</v>
      </c>
      <c r="D64" s="12" t="s">
        <v>41</v>
      </c>
      <c r="E64" s="12" t="s">
        <v>82</v>
      </c>
      <c r="F64" s="12" t="s">
        <v>171</v>
      </c>
    </row>
    <row r="65" spans="2:6" x14ac:dyDescent="0.25">
      <c r="C65" s="13" t="s">
        <v>60</v>
      </c>
      <c r="D65" s="12" t="s">
        <v>41</v>
      </c>
      <c r="E65" s="12" t="s">
        <v>82</v>
      </c>
      <c r="F65" s="12" t="s">
        <v>255</v>
      </c>
    </row>
    <row r="66" spans="2:6" x14ac:dyDescent="0.25">
      <c r="C66" s="13" t="s">
        <v>60</v>
      </c>
      <c r="D66" s="12" t="s">
        <v>41</v>
      </c>
      <c r="E66" s="12" t="s">
        <v>82</v>
      </c>
      <c r="F66" s="12" t="s">
        <v>83</v>
      </c>
    </row>
    <row r="69" spans="2:6" ht="18.75" x14ac:dyDescent="0.25">
      <c r="C69" s="5" t="s">
        <v>90</v>
      </c>
    </row>
    <row r="70" spans="2:6" x14ac:dyDescent="0.25">
      <c r="B70" t="s">
        <v>91</v>
      </c>
      <c r="C70" s="1" t="s">
        <v>92</v>
      </c>
      <c r="D70" s="1" t="s">
        <v>93</v>
      </c>
      <c r="E70" s="1" t="s">
        <v>94</v>
      </c>
      <c r="F70" s="1" t="s">
        <v>95</v>
      </c>
    </row>
    <row r="71" spans="2:6" x14ac:dyDescent="0.25">
      <c r="B71" s="49">
        <v>1</v>
      </c>
      <c r="C71" s="50">
        <v>1</v>
      </c>
      <c r="D71" s="9"/>
      <c r="E71" s="9"/>
      <c r="F71" s="9"/>
    </row>
    <row r="72" spans="2:6" x14ac:dyDescent="0.25">
      <c r="B72" s="49">
        <v>1</v>
      </c>
      <c r="C72" s="50">
        <v>2</v>
      </c>
      <c r="D72" s="9"/>
      <c r="E72" s="9"/>
      <c r="F72" s="9"/>
    </row>
    <row r="73" spans="2:6" x14ac:dyDescent="0.25">
      <c r="B73" s="49">
        <v>1</v>
      </c>
      <c r="C73" s="50">
        <v>3</v>
      </c>
      <c r="D73" s="9"/>
      <c r="E73" s="9"/>
      <c r="F73" s="9"/>
    </row>
    <row r="74" spans="2:6" x14ac:dyDescent="0.25">
      <c r="B74" s="49">
        <v>1</v>
      </c>
      <c r="C74" s="50">
        <v>4</v>
      </c>
      <c r="D74" s="9"/>
      <c r="E74" s="9"/>
      <c r="F74" s="9"/>
    </row>
    <row r="75" spans="2:6" x14ac:dyDescent="0.25">
      <c r="B75" s="49">
        <v>1</v>
      </c>
      <c r="C75" s="50">
        <v>5</v>
      </c>
      <c r="D75" s="9"/>
      <c r="E75" s="9"/>
      <c r="F75" s="9"/>
    </row>
    <row r="76" spans="2:6" x14ac:dyDescent="0.25">
      <c r="B76" s="49">
        <v>1</v>
      </c>
      <c r="C76" s="50">
        <v>6</v>
      </c>
      <c r="D76" s="9"/>
      <c r="E76" s="9"/>
      <c r="F76" s="9"/>
    </row>
    <row r="77" spans="2:6" x14ac:dyDescent="0.25">
      <c r="B77" s="49">
        <v>1</v>
      </c>
      <c r="C77" s="50">
        <v>7</v>
      </c>
      <c r="D77" s="9"/>
      <c r="E77" s="9"/>
      <c r="F77" s="9"/>
    </row>
    <row r="78" spans="2:6" x14ac:dyDescent="0.25">
      <c r="B78" s="49">
        <v>1</v>
      </c>
      <c r="C78" s="50">
        <v>8</v>
      </c>
      <c r="D78" s="9"/>
      <c r="E78" s="9"/>
      <c r="F78" s="9"/>
    </row>
    <row r="79" spans="2:6" x14ac:dyDescent="0.25">
      <c r="B79" s="49">
        <v>1</v>
      </c>
      <c r="C79" s="50">
        <v>9</v>
      </c>
      <c r="D79" s="9"/>
      <c r="E79" s="9"/>
      <c r="F79" s="9"/>
    </row>
    <row r="80" spans="2:6" x14ac:dyDescent="0.25">
      <c r="B80" s="49">
        <v>1</v>
      </c>
      <c r="C80" s="50">
        <v>10</v>
      </c>
      <c r="D80" s="9"/>
      <c r="E80" s="9"/>
      <c r="F80" s="9"/>
    </row>
    <row r="81" spans="2:6" x14ac:dyDescent="0.25">
      <c r="B81" s="49">
        <v>1</v>
      </c>
      <c r="C81" s="50">
        <v>11</v>
      </c>
      <c r="D81" s="9"/>
      <c r="E81" s="9"/>
      <c r="F81" s="9"/>
    </row>
    <row r="82" spans="2:6" x14ac:dyDescent="0.25">
      <c r="B82" s="49">
        <v>1</v>
      </c>
      <c r="C82" s="50">
        <v>12</v>
      </c>
      <c r="D82" s="9"/>
      <c r="E82" s="9"/>
      <c r="F82" s="9"/>
    </row>
    <row r="83" spans="2:6" x14ac:dyDescent="0.25">
      <c r="B83" s="49">
        <v>2</v>
      </c>
      <c r="C83" s="50">
        <v>1</v>
      </c>
      <c r="D83" s="9" t="s">
        <v>315</v>
      </c>
      <c r="E83" s="9" t="s">
        <v>408</v>
      </c>
      <c r="F83" s="9"/>
    </row>
    <row r="84" spans="2:6" x14ac:dyDescent="0.25">
      <c r="B84" s="49">
        <v>2</v>
      </c>
      <c r="C84" s="50">
        <v>2</v>
      </c>
      <c r="D84" s="9" t="s">
        <v>409</v>
      </c>
      <c r="E84" s="9" t="s">
        <v>410</v>
      </c>
      <c r="F84" s="9"/>
    </row>
    <row r="85" spans="2:6" ht="30" x14ac:dyDescent="0.25">
      <c r="B85" s="49">
        <v>2</v>
      </c>
      <c r="C85" s="50">
        <v>3</v>
      </c>
      <c r="D85" s="9" t="s">
        <v>411</v>
      </c>
      <c r="E85" s="9" t="s">
        <v>412</v>
      </c>
      <c r="F85" s="9"/>
    </row>
    <row r="86" spans="2:6" x14ac:dyDescent="0.25">
      <c r="B86" s="49">
        <v>2</v>
      </c>
      <c r="C86" s="50">
        <v>4</v>
      </c>
      <c r="D86" s="9" t="s">
        <v>413</v>
      </c>
      <c r="E86" s="9" t="s">
        <v>414</v>
      </c>
      <c r="F86" s="9"/>
    </row>
    <row r="87" spans="2:6" ht="30" x14ac:dyDescent="0.25">
      <c r="B87" s="49">
        <v>2</v>
      </c>
      <c r="C87" s="50">
        <v>5</v>
      </c>
      <c r="D87" s="9" t="s">
        <v>415</v>
      </c>
      <c r="E87" s="9" t="s">
        <v>416</v>
      </c>
      <c r="F87" s="9"/>
    </row>
    <row r="88" spans="2:6" ht="30" x14ac:dyDescent="0.25">
      <c r="B88" s="49">
        <v>2</v>
      </c>
      <c r="C88" s="50">
        <v>6</v>
      </c>
      <c r="D88" s="9" t="s">
        <v>417</v>
      </c>
      <c r="E88" s="9" t="s">
        <v>418</v>
      </c>
      <c r="F88" s="9"/>
    </row>
    <row r="89" spans="2:6" x14ac:dyDescent="0.25">
      <c r="B89" s="49">
        <v>2</v>
      </c>
      <c r="C89" s="50">
        <v>7</v>
      </c>
      <c r="D89" s="9" t="s">
        <v>419</v>
      </c>
      <c r="E89" s="9"/>
      <c r="F89" s="9"/>
    </row>
    <row r="90" spans="2:6" x14ac:dyDescent="0.25">
      <c r="B90" s="49">
        <v>2</v>
      </c>
      <c r="C90" s="50">
        <v>8</v>
      </c>
      <c r="D90" s="9" t="s">
        <v>420</v>
      </c>
      <c r="E90" s="9" t="s">
        <v>421</v>
      </c>
      <c r="F90" s="9"/>
    </row>
    <row r="91" spans="2:6" x14ac:dyDescent="0.25">
      <c r="B91" s="49">
        <v>2</v>
      </c>
      <c r="C91" s="50">
        <v>9</v>
      </c>
      <c r="D91" s="9" t="s">
        <v>422</v>
      </c>
      <c r="E91" s="9" t="s">
        <v>423</v>
      </c>
      <c r="F91" s="9"/>
    </row>
    <row r="92" spans="2:6" x14ac:dyDescent="0.25">
      <c r="B92" s="49">
        <v>2</v>
      </c>
      <c r="C92" s="50">
        <v>10</v>
      </c>
      <c r="D92" s="9" t="s">
        <v>424</v>
      </c>
      <c r="E92" s="9" t="s">
        <v>425</v>
      </c>
      <c r="F92" s="9"/>
    </row>
    <row r="93" spans="2:6" x14ac:dyDescent="0.25">
      <c r="B93" s="49">
        <v>2</v>
      </c>
      <c r="C93" s="50">
        <v>11</v>
      </c>
      <c r="D93" s="9" t="s">
        <v>426</v>
      </c>
      <c r="E93" s="9" t="s">
        <v>427</v>
      </c>
      <c r="F93" s="9"/>
    </row>
    <row r="94" spans="2:6" x14ac:dyDescent="0.25">
      <c r="B94" s="49">
        <v>2</v>
      </c>
      <c r="C94" s="50">
        <v>12</v>
      </c>
      <c r="D94" s="9" t="s">
        <v>428</v>
      </c>
      <c r="E94" s="9" t="s">
        <v>429</v>
      </c>
      <c r="F94" s="9"/>
    </row>
  </sheetData>
  <sheetProtection sheet="1" objects="1" scenarios="1" formatCells="0" formatColumns="0" formatRows="0" insertHyperlinks="0"/>
  <dataValidations count="4">
    <dataValidation type="list" allowBlank="1" showInputMessage="1" showErrorMessage="1" sqref="F46:F66" xr:uid="{892CDF0E-15A0-43A8-BD6A-62EF4D03C7D2}">
      <formula1>INDIRECT(VLOOKUP($E46, SkillNameMap, 2, FALSE))</formula1>
    </dataValidation>
    <dataValidation type="list" allowBlank="1" showInputMessage="1" showErrorMessage="1" sqref="E38:E41" xr:uid="{7994DC66-9754-47D3-A28B-C0A83A2EAC89}">
      <formula1>INDIRECT("LISTAssess[Assessment Specific]")</formula1>
    </dataValidation>
    <dataValidation type="whole" showInputMessage="1" showErrorMessage="1" error="This is not a realistic number of contact hours please change" sqref="D19" xr:uid="{5229BE75-B0E0-4077-8EF0-412E4F64E78E}">
      <formula1>0</formula1>
      <formula2>80</formula2>
    </dataValidation>
    <dataValidation type="whole" showInputMessage="1" showErrorMessage="1" error="This is not a realistic number of contact hours please reduce" sqref="D20:D23" xr:uid="{9C89F6C0-59B0-40A4-AD9B-FF2ACAB06DA5}">
      <formula1>0</formula1>
      <formula2>80</formula2>
    </dataValidation>
  </dataValidations>
  <pageMargins left="0.7" right="0.7" top="0.75" bottom="0.75" header="0.3" footer="0.3"/>
  <pageSetup paperSize="9" orientation="portrait" horizontalDpi="4294967293" verticalDpi="0" r:id="rId1"/>
  <tableParts count="10">
    <tablePart r:id="rId2"/>
    <tablePart r:id="rId3"/>
    <tablePart r:id="rId4"/>
    <tablePart r:id="rId5"/>
    <tablePart r:id="rId6"/>
    <tablePart r:id="rId7"/>
    <tablePart r:id="rId8"/>
    <tablePart r:id="rId9"/>
    <tablePart r:id="rId10"/>
    <tablePart r:id="rId11"/>
  </tableParts>
  <extLst>
    <ext xmlns:x14="http://schemas.microsoft.com/office/spreadsheetml/2009/9/main" uri="{CCE6A557-97BC-4b89-ADB6-D9C93CAAB3DF}">
      <x14:dataValidations xmlns:xm="http://schemas.microsoft.com/office/excel/2006/main" count="7">
        <x14:dataValidation type="list" allowBlank="1" showInputMessage="1" showErrorMessage="1" xr:uid="{7B9F6B16-6FF5-4E56-841A-1AD40DF95F22}">
          <x14:formula1>
            <xm:f>LISTS!$J$7:$J$16</xm:f>
          </x14:formula1>
          <xm:sqref>E46:E66</xm:sqref>
        </x14:dataValidation>
        <x14:dataValidation type="list" allowBlank="1" showInputMessage="1" showErrorMessage="1" xr:uid="{4F387FE4-F215-4DCB-AA99-F2CB3B064FA3}">
          <x14:formula1>
            <xm:f>LISTS!$E$7:$E$11</xm:f>
          </x14:formula1>
          <xm:sqref>D46:D66</xm:sqref>
        </x14:dataValidation>
        <x14:dataValidation type="list" allowBlank="1" showInputMessage="1" showErrorMessage="1" xr:uid="{A8E27691-70AC-4099-A10F-63879CDC28C5}">
          <x14:formula1>
            <xm:f>LISTS!$G$7:$G$11</xm:f>
          </x14:formula1>
          <xm:sqref>D38:D42</xm:sqref>
        </x14:dataValidation>
        <x14:dataValidation type="list" allowBlank="1" showInputMessage="1" showErrorMessage="1" xr:uid="{762F8CE2-7D51-4572-9F70-B773F934E29C}">
          <x14:formula1>
            <xm:f>LISTS!$C$11:$C$15</xm:f>
          </x14:formula1>
          <xm:sqref>D11</xm:sqref>
        </x14:dataValidation>
        <x14:dataValidation type="list" allowBlank="1" showInputMessage="1" showErrorMessage="1" xr:uid="{15E0481E-98A1-407D-8DFA-141CA07D0DE7}">
          <x14:formula1>
            <xm:f>LISTS!$C$7:$C$9</xm:f>
          </x14:formula1>
          <xm:sqref>D10</xm:sqref>
        </x14:dataValidation>
        <x14:dataValidation type="list" allowBlank="1" showInputMessage="1" showErrorMessage="1" xr:uid="{B3565A50-A55E-4ECA-ADB3-330480BE2D6B}">
          <x14:formula1>
            <xm:f>LISTS!$C$17:$C$22</xm:f>
          </x14:formula1>
          <xm:sqref>D13</xm:sqref>
        </x14:dataValidation>
        <x14:dataValidation type="list" allowBlank="1" showInputMessage="1" showErrorMessage="1" xr:uid="{37A004BF-BEA8-4BF2-93ED-5C37361A1B7D}">
          <x14:formula1>
            <xm:f>LISTS!$C$26:$C$37</xm:f>
          </x14:formula1>
          <xm:sqref>D14</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23168-6B81-47CF-B045-12BB97D9E5BE}">
  <sheetPr codeName="Sheet12"/>
  <dimension ref="B2:H95"/>
  <sheetViews>
    <sheetView showGridLines="0" topLeftCell="A28" zoomScale="85" zoomScaleNormal="85" workbookViewId="0">
      <selection activeCell="C52" sqref="C52:D56"/>
    </sheetView>
  </sheetViews>
  <sheetFormatPr defaultColWidth="8.85546875" defaultRowHeight="15" x14ac:dyDescent="0.25"/>
  <cols>
    <col min="3" max="3" width="33.28515625" customWidth="1"/>
    <col min="4" max="4" width="51.42578125" customWidth="1"/>
    <col min="5" max="5" width="67.28515625" customWidth="1"/>
    <col min="6" max="6" width="63.140625" customWidth="1"/>
    <col min="7" max="7" width="12.42578125" customWidth="1"/>
    <col min="8" max="8" width="15.42578125" customWidth="1"/>
    <col min="9" max="9" width="14.7109375" customWidth="1"/>
  </cols>
  <sheetData>
    <row r="2" spans="2:6" ht="26.25" x14ac:dyDescent="0.4">
      <c r="C2" s="8" t="str">
        <f>D7</f>
        <v>6052SPS</v>
      </c>
      <c r="D2" s="8" t="str">
        <f>D8</f>
        <v>Applied Motor Behaviour</v>
      </c>
    </row>
    <row r="3" spans="2:6" x14ac:dyDescent="0.25">
      <c r="B3" s="1"/>
      <c r="C3" s="1"/>
    </row>
    <row r="4" spans="2:6" x14ac:dyDescent="0.25">
      <c r="B4" s="2"/>
      <c r="C4" s="2"/>
    </row>
    <row r="5" spans="2:6" ht="18.75" x14ac:dyDescent="0.25">
      <c r="B5" s="2"/>
      <c r="C5" s="5" t="s">
        <v>0</v>
      </c>
    </row>
    <row r="6" spans="2:6" x14ac:dyDescent="0.25">
      <c r="B6" s="2"/>
      <c r="C6" s="3" t="s">
        <v>1</v>
      </c>
      <c r="D6" s="4" t="s">
        <v>2</v>
      </c>
      <c r="E6" s="4"/>
      <c r="F6" t="s">
        <v>3</v>
      </c>
    </row>
    <row r="7" spans="2:6" ht="45" x14ac:dyDescent="0.25">
      <c r="B7" s="2"/>
      <c r="C7" s="48" t="s">
        <v>4</v>
      </c>
      <c r="D7" s="9" t="s">
        <v>430</v>
      </c>
      <c r="E7" s="4"/>
      <c r="F7" s="18" t="s">
        <v>431</v>
      </c>
    </row>
    <row r="8" spans="2:6" x14ac:dyDescent="0.25">
      <c r="B8" s="2"/>
      <c r="C8" s="48" t="s">
        <v>7</v>
      </c>
      <c r="D8" s="9" t="s">
        <v>432</v>
      </c>
      <c r="E8" s="4"/>
      <c r="F8" s="18"/>
    </row>
    <row r="9" spans="2:6" x14ac:dyDescent="0.25">
      <c r="C9" s="48" t="s">
        <v>10</v>
      </c>
      <c r="D9" s="9">
        <v>20</v>
      </c>
      <c r="E9" s="4"/>
    </row>
    <row r="10" spans="2:6" x14ac:dyDescent="0.25">
      <c r="C10" s="48" t="s">
        <v>11</v>
      </c>
      <c r="D10" s="9">
        <v>1</v>
      </c>
      <c r="E10" s="4"/>
      <c r="F10" t="s">
        <v>12</v>
      </c>
    </row>
    <row r="11" spans="2:6" ht="60" x14ac:dyDescent="0.25">
      <c r="C11" s="48" t="s">
        <v>13</v>
      </c>
      <c r="D11" s="9">
        <v>6</v>
      </c>
      <c r="E11" s="4"/>
      <c r="F11" s="71" t="s">
        <v>433</v>
      </c>
    </row>
    <row r="12" spans="2:6" ht="60" x14ac:dyDescent="0.25">
      <c r="C12" s="48" t="s">
        <v>15</v>
      </c>
      <c r="D12" s="9" t="s">
        <v>434</v>
      </c>
      <c r="E12" s="4"/>
      <c r="F12" s="71" t="s">
        <v>435</v>
      </c>
    </row>
    <row r="13" spans="2:6" x14ac:dyDescent="0.25">
      <c r="C13" s="48" t="s">
        <v>18</v>
      </c>
      <c r="D13" s="9" t="s">
        <v>119</v>
      </c>
      <c r="E13" s="4"/>
      <c r="F13" s="12"/>
    </row>
    <row r="14" spans="2:6" x14ac:dyDescent="0.25">
      <c r="C14" s="48" t="s">
        <v>21</v>
      </c>
      <c r="D14" s="9" t="s">
        <v>243</v>
      </c>
      <c r="E14" s="4"/>
    </row>
    <row r="15" spans="2:6" x14ac:dyDescent="0.25">
      <c r="C15" s="3"/>
      <c r="D15" s="4"/>
      <c r="E15" s="4"/>
      <c r="F15" t="s">
        <v>23</v>
      </c>
    </row>
    <row r="16" spans="2:6" ht="120" x14ac:dyDescent="0.25">
      <c r="C16" s="3"/>
      <c r="D16" s="4"/>
      <c r="E16" s="4"/>
      <c r="F16" s="21" t="s">
        <v>436</v>
      </c>
    </row>
    <row r="17" spans="3:6" ht="18.75" x14ac:dyDescent="0.25">
      <c r="C17" s="5" t="s">
        <v>25</v>
      </c>
      <c r="D17" s="4"/>
      <c r="E17" s="4"/>
      <c r="F17" s="12"/>
    </row>
    <row r="18" spans="3:6" x14ac:dyDescent="0.25">
      <c r="C18" s="3" t="s">
        <v>26</v>
      </c>
      <c r="D18" s="1" t="s">
        <v>25</v>
      </c>
      <c r="E18" s="4"/>
      <c r="F18" s="12"/>
    </row>
    <row r="19" spans="3:6" x14ac:dyDescent="0.25">
      <c r="C19" s="48" t="s">
        <v>27</v>
      </c>
      <c r="D19" s="10">
        <v>22</v>
      </c>
      <c r="E19" s="4"/>
      <c r="F19" s="12"/>
    </row>
    <row r="20" spans="3:6" x14ac:dyDescent="0.25">
      <c r="C20" s="48" t="s">
        <v>28</v>
      </c>
      <c r="D20" s="10"/>
      <c r="E20" s="4"/>
      <c r="F20" s="12"/>
    </row>
    <row r="21" spans="3:6" x14ac:dyDescent="0.25">
      <c r="C21" s="48" t="s">
        <v>29</v>
      </c>
      <c r="D21" s="10">
        <v>8</v>
      </c>
      <c r="E21" s="4"/>
    </row>
    <row r="22" spans="3:6" x14ac:dyDescent="0.25">
      <c r="C22" s="48" t="s">
        <v>30</v>
      </c>
      <c r="D22" s="10">
        <v>14</v>
      </c>
      <c r="E22" s="4"/>
      <c r="F22" t="s">
        <v>31</v>
      </c>
    </row>
    <row r="23" spans="3:6" ht="105" x14ac:dyDescent="0.25">
      <c r="C23" s="48" t="s">
        <v>32</v>
      </c>
      <c r="D23" s="10"/>
      <c r="E23" s="4"/>
      <c r="F23" s="21" t="s">
        <v>437</v>
      </c>
    </row>
    <row r="24" spans="3:6" ht="153.75" customHeight="1" x14ac:dyDescent="0.25">
      <c r="C24" s="48" t="s">
        <v>34</v>
      </c>
      <c r="D24" s="1">
        <f>SUM(D19:D23)</f>
        <v>44</v>
      </c>
      <c r="E24" s="4"/>
      <c r="F24" s="68" t="s">
        <v>438</v>
      </c>
    </row>
    <row r="25" spans="3:6" x14ac:dyDescent="0.25">
      <c r="F25" s="12"/>
    </row>
    <row r="26" spans="3:6" x14ac:dyDescent="0.25">
      <c r="F26" s="68"/>
    </row>
    <row r="27" spans="3:6" ht="18.75" x14ac:dyDescent="0.25">
      <c r="C27" s="5" t="s">
        <v>35</v>
      </c>
      <c r="D27" s="7" t="s">
        <v>36</v>
      </c>
      <c r="F27" s="12"/>
    </row>
    <row r="28" spans="3:6" x14ac:dyDescent="0.25">
      <c r="C28" s="3" t="s">
        <v>37</v>
      </c>
      <c r="D28" s="3" t="s">
        <v>38</v>
      </c>
      <c r="E28" s="3"/>
      <c r="F28" s="12"/>
    </row>
    <row r="29" spans="3:6" ht="30" x14ac:dyDescent="0.25">
      <c r="C29" s="48" t="s">
        <v>39</v>
      </c>
      <c r="D29" s="18" t="s">
        <v>439</v>
      </c>
      <c r="E29" s="4"/>
      <c r="F29" s="12"/>
    </row>
    <row r="30" spans="3:6" ht="45" x14ac:dyDescent="0.25">
      <c r="C30" s="48" t="s">
        <v>41</v>
      </c>
      <c r="D30" s="18" t="s">
        <v>440</v>
      </c>
      <c r="E30" s="4"/>
      <c r="F30" s="12"/>
    </row>
    <row r="31" spans="3:6" ht="30" x14ac:dyDescent="0.25">
      <c r="C31" s="48" t="s">
        <v>43</v>
      </c>
      <c r="D31" s="18" t="s">
        <v>441</v>
      </c>
      <c r="E31" s="4"/>
      <c r="F31" s="12"/>
    </row>
    <row r="32" spans="3:6" x14ac:dyDescent="0.25">
      <c r="C32" s="48" t="s">
        <v>45</v>
      </c>
      <c r="D32" s="9"/>
      <c r="E32" s="4"/>
      <c r="F32" s="12"/>
    </row>
    <row r="33" spans="3:8" x14ac:dyDescent="0.25">
      <c r="C33" s="48" t="s">
        <v>47</v>
      </c>
      <c r="D33" s="9"/>
      <c r="E33" s="4"/>
      <c r="F33" s="12"/>
    </row>
    <row r="36" spans="3:8" ht="18.75" x14ac:dyDescent="0.25">
      <c r="C36" s="5" t="s">
        <v>49</v>
      </c>
    </row>
    <row r="37" spans="3:8" x14ac:dyDescent="0.25">
      <c r="C37" s="3" t="s">
        <v>50</v>
      </c>
      <c r="D37" s="3" t="s">
        <v>51</v>
      </c>
      <c r="E37" s="3" t="s">
        <v>52</v>
      </c>
      <c r="F37" s="3" t="s">
        <v>53</v>
      </c>
      <c r="G37" s="3" t="s">
        <v>54</v>
      </c>
      <c r="H37" s="3" t="s">
        <v>55</v>
      </c>
    </row>
    <row r="38" spans="3:8" ht="30" x14ac:dyDescent="0.25">
      <c r="C38" s="48" t="s">
        <v>56</v>
      </c>
      <c r="D38" s="9" t="s">
        <v>206</v>
      </c>
      <c r="E38" s="9"/>
      <c r="F38" s="9" t="s">
        <v>442</v>
      </c>
      <c r="G38" s="11">
        <v>0.5</v>
      </c>
      <c r="H38" s="9">
        <v>8</v>
      </c>
    </row>
    <row r="39" spans="3:8" ht="45" x14ac:dyDescent="0.25">
      <c r="C39" s="48" t="s">
        <v>60</v>
      </c>
      <c r="D39" s="9" t="s">
        <v>127</v>
      </c>
      <c r="E39" s="9" t="s">
        <v>375</v>
      </c>
      <c r="F39" s="9" t="s">
        <v>443</v>
      </c>
      <c r="G39" s="11">
        <v>0.5</v>
      </c>
      <c r="H39" s="9">
        <v>17</v>
      </c>
    </row>
    <row r="40" spans="3:8" x14ac:dyDescent="0.25">
      <c r="C40" s="48" t="s">
        <v>63</v>
      </c>
      <c r="D40" s="12"/>
      <c r="E40" s="12"/>
      <c r="F40" s="12"/>
      <c r="G40" s="12"/>
      <c r="H40" s="12"/>
    </row>
    <row r="41" spans="3:8" x14ac:dyDescent="0.25">
      <c r="C41" s="48" t="s">
        <v>64</v>
      </c>
      <c r="D41" s="12"/>
      <c r="E41" s="12"/>
      <c r="F41" s="12"/>
      <c r="G41" s="12"/>
      <c r="H41" s="12"/>
    </row>
    <row r="42" spans="3:8" x14ac:dyDescent="0.25">
      <c r="C42" s="3"/>
    </row>
    <row r="44" spans="3:8" ht="18.75" x14ac:dyDescent="0.25">
      <c r="C44" s="5" t="s">
        <v>65</v>
      </c>
      <c r="D44" s="7"/>
    </row>
    <row r="45" spans="3:8" x14ac:dyDescent="0.25">
      <c r="C45" s="1" t="s">
        <v>50</v>
      </c>
      <c r="D45" s="1" t="s">
        <v>37</v>
      </c>
      <c r="E45" s="1" t="s">
        <v>66</v>
      </c>
      <c r="F45" s="1" t="s">
        <v>67</v>
      </c>
    </row>
    <row r="46" spans="3:8" x14ac:dyDescent="0.25">
      <c r="C46" s="13" t="s">
        <v>56</v>
      </c>
      <c r="D46" s="12" t="s">
        <v>39</v>
      </c>
      <c r="E46" s="12" t="s">
        <v>68</v>
      </c>
      <c r="F46" s="12" t="s">
        <v>69</v>
      </c>
    </row>
    <row r="47" spans="3:8" x14ac:dyDescent="0.25">
      <c r="C47" s="13" t="s">
        <v>56</v>
      </c>
      <c r="D47" s="12" t="s">
        <v>39</v>
      </c>
      <c r="E47" s="12" t="s">
        <v>68</v>
      </c>
      <c r="F47" s="12" t="s">
        <v>163</v>
      </c>
    </row>
    <row r="48" spans="3:8" x14ac:dyDescent="0.25">
      <c r="C48" s="13" t="s">
        <v>56</v>
      </c>
      <c r="D48" s="12" t="s">
        <v>43</v>
      </c>
      <c r="E48" s="12" t="s">
        <v>78</v>
      </c>
      <c r="F48" s="12" t="s">
        <v>212</v>
      </c>
    </row>
    <row r="49" spans="3:6" x14ac:dyDescent="0.25">
      <c r="C49" s="13" t="s">
        <v>56</v>
      </c>
      <c r="D49" s="12" t="s">
        <v>39</v>
      </c>
      <c r="E49" s="12" t="s">
        <v>70</v>
      </c>
      <c r="F49" s="12" t="s">
        <v>71</v>
      </c>
    </row>
    <row r="50" spans="3:6" x14ac:dyDescent="0.25">
      <c r="C50" s="13" t="s">
        <v>56</v>
      </c>
      <c r="D50" s="12" t="s">
        <v>39</v>
      </c>
      <c r="E50" s="12" t="s">
        <v>72</v>
      </c>
      <c r="F50" s="12" t="s">
        <v>167</v>
      </c>
    </row>
    <row r="51" spans="3:6" x14ac:dyDescent="0.25">
      <c r="C51" s="13" t="s">
        <v>56</v>
      </c>
      <c r="D51" s="12" t="s">
        <v>39</v>
      </c>
      <c r="E51" s="12" t="s">
        <v>74</v>
      </c>
      <c r="F51" s="12" t="s">
        <v>310</v>
      </c>
    </row>
    <row r="52" spans="3:6" x14ac:dyDescent="0.25">
      <c r="C52" s="13" t="s">
        <v>60</v>
      </c>
      <c r="D52" s="12" t="s">
        <v>41</v>
      </c>
      <c r="E52" s="12" t="s">
        <v>68</v>
      </c>
      <c r="F52" s="12" t="s">
        <v>69</v>
      </c>
    </row>
    <row r="53" spans="3:6" x14ac:dyDescent="0.25">
      <c r="C53" s="13" t="s">
        <v>60</v>
      </c>
      <c r="D53" s="12" t="s">
        <v>41</v>
      </c>
      <c r="E53" s="12" t="s">
        <v>68</v>
      </c>
      <c r="F53" s="12" t="s">
        <v>163</v>
      </c>
    </row>
    <row r="54" spans="3:6" x14ac:dyDescent="0.25">
      <c r="C54" s="13" t="s">
        <v>60</v>
      </c>
      <c r="D54" s="12" t="s">
        <v>41</v>
      </c>
      <c r="E54" s="12" t="s">
        <v>70</v>
      </c>
      <c r="F54" s="12" t="s">
        <v>71</v>
      </c>
    </row>
    <row r="55" spans="3:6" x14ac:dyDescent="0.25">
      <c r="C55" s="13" t="s">
        <v>60</v>
      </c>
      <c r="D55" s="12" t="s">
        <v>41</v>
      </c>
      <c r="E55" s="12" t="s">
        <v>70</v>
      </c>
      <c r="F55" s="12" t="s">
        <v>312</v>
      </c>
    </row>
    <row r="56" spans="3:6" x14ac:dyDescent="0.25">
      <c r="C56" s="13" t="s">
        <v>60</v>
      </c>
      <c r="D56" s="12" t="s">
        <v>43</v>
      </c>
      <c r="E56" s="12" t="s">
        <v>78</v>
      </c>
      <c r="F56" s="12" t="s">
        <v>212</v>
      </c>
    </row>
    <row r="57" spans="3:6" x14ac:dyDescent="0.25">
      <c r="C57" s="13"/>
      <c r="D57" s="12"/>
      <c r="E57" s="12"/>
      <c r="F57" s="12"/>
    </row>
    <row r="58" spans="3:6" x14ac:dyDescent="0.25">
      <c r="C58" s="13"/>
      <c r="D58" s="12"/>
      <c r="E58" s="12"/>
      <c r="F58" s="12"/>
    </row>
    <row r="59" spans="3:6" x14ac:dyDescent="0.25">
      <c r="C59" s="13"/>
      <c r="D59" s="12"/>
      <c r="E59" s="12"/>
      <c r="F59" s="12"/>
    </row>
    <row r="60" spans="3:6" x14ac:dyDescent="0.25">
      <c r="C60" s="13"/>
      <c r="D60" s="12"/>
      <c r="E60" s="12"/>
      <c r="F60" s="12"/>
    </row>
    <row r="61" spans="3:6" x14ac:dyDescent="0.25">
      <c r="C61" s="13"/>
      <c r="D61" s="12"/>
      <c r="E61" s="12"/>
      <c r="F61" s="12"/>
    </row>
    <row r="62" spans="3:6" x14ac:dyDescent="0.25">
      <c r="C62" s="13"/>
      <c r="D62" s="12"/>
      <c r="E62" s="12"/>
      <c r="F62" s="12"/>
    </row>
    <row r="63" spans="3:6" x14ac:dyDescent="0.25">
      <c r="C63" s="13"/>
      <c r="D63" s="12"/>
      <c r="E63" s="12"/>
      <c r="F63" s="12"/>
    </row>
    <row r="64" spans="3:6" x14ac:dyDescent="0.25">
      <c r="C64" s="13"/>
      <c r="D64" s="12"/>
      <c r="E64" s="12"/>
      <c r="F64" s="12"/>
    </row>
    <row r="65" spans="2:6" x14ac:dyDescent="0.25">
      <c r="C65" s="13"/>
      <c r="D65" s="12"/>
      <c r="E65" s="12"/>
      <c r="F65" s="12"/>
    </row>
    <row r="66" spans="2:6" x14ac:dyDescent="0.25">
      <c r="C66" s="13"/>
      <c r="D66" s="12"/>
      <c r="E66" s="12"/>
      <c r="F66" s="12"/>
    </row>
    <row r="67" spans="2:6" x14ac:dyDescent="0.25">
      <c r="C67" s="13"/>
      <c r="D67" s="12"/>
      <c r="E67" s="12"/>
      <c r="F67" s="12"/>
    </row>
    <row r="70" spans="2:6" ht="18.75" x14ac:dyDescent="0.25">
      <c r="C70" s="5" t="s">
        <v>90</v>
      </c>
    </row>
    <row r="71" spans="2:6" x14ac:dyDescent="0.25">
      <c r="B71" t="s">
        <v>91</v>
      </c>
      <c r="C71" s="1" t="s">
        <v>92</v>
      </c>
      <c r="D71" s="1" t="s">
        <v>93</v>
      </c>
      <c r="E71" s="1" t="s">
        <v>94</v>
      </c>
      <c r="F71" s="1" t="s">
        <v>95</v>
      </c>
    </row>
    <row r="72" spans="2:6" x14ac:dyDescent="0.25">
      <c r="B72" s="49">
        <v>1</v>
      </c>
      <c r="C72" s="50">
        <v>1</v>
      </c>
      <c r="D72" s="9" t="s">
        <v>444</v>
      </c>
      <c r="E72" s="35" t="s">
        <v>445</v>
      </c>
      <c r="F72" s="9"/>
    </row>
    <row r="73" spans="2:6" x14ac:dyDescent="0.25">
      <c r="B73" s="49">
        <v>1</v>
      </c>
      <c r="C73" s="50">
        <v>2</v>
      </c>
      <c r="D73" s="9" t="s">
        <v>446</v>
      </c>
      <c r="E73" s="9" t="s">
        <v>447</v>
      </c>
      <c r="F73" s="9"/>
    </row>
    <row r="74" spans="2:6" x14ac:dyDescent="0.25">
      <c r="B74" s="49">
        <v>1</v>
      </c>
      <c r="C74" s="50">
        <v>3</v>
      </c>
      <c r="D74" s="9" t="s">
        <v>448</v>
      </c>
      <c r="E74" s="35" t="s">
        <v>449</v>
      </c>
      <c r="F74" s="9"/>
    </row>
    <row r="75" spans="2:6" x14ac:dyDescent="0.25">
      <c r="B75" s="49">
        <v>1</v>
      </c>
      <c r="C75" s="50">
        <v>4</v>
      </c>
      <c r="D75" s="9" t="s">
        <v>450</v>
      </c>
      <c r="E75" s="9" t="s">
        <v>451</v>
      </c>
      <c r="F75" s="9"/>
    </row>
    <row r="76" spans="2:6" ht="30" x14ac:dyDescent="0.25">
      <c r="B76" s="49">
        <v>1</v>
      </c>
      <c r="C76" s="50">
        <v>5</v>
      </c>
      <c r="D76" s="9" t="s">
        <v>452</v>
      </c>
      <c r="E76" s="9" t="s">
        <v>453</v>
      </c>
      <c r="F76" s="9"/>
    </row>
    <row r="77" spans="2:6" ht="30" x14ac:dyDescent="0.25">
      <c r="B77" s="49">
        <v>1</v>
      </c>
      <c r="C77" s="50">
        <v>6</v>
      </c>
      <c r="D77" s="9" t="s">
        <v>454</v>
      </c>
      <c r="E77" s="9" t="s">
        <v>455</v>
      </c>
      <c r="F77" s="9"/>
    </row>
    <row r="78" spans="2:6" x14ac:dyDescent="0.25">
      <c r="B78" s="49">
        <v>1</v>
      </c>
      <c r="C78" s="50">
        <v>7</v>
      </c>
      <c r="D78" s="9" t="s">
        <v>137</v>
      </c>
      <c r="E78" s="9"/>
      <c r="F78" s="9"/>
    </row>
    <row r="79" spans="2:6" x14ac:dyDescent="0.25">
      <c r="B79" s="49">
        <v>1</v>
      </c>
      <c r="C79" s="50">
        <v>8</v>
      </c>
      <c r="D79" s="9" t="s">
        <v>456</v>
      </c>
      <c r="E79" s="9" t="s">
        <v>457</v>
      </c>
      <c r="F79" s="9"/>
    </row>
    <row r="80" spans="2:6" ht="30" x14ac:dyDescent="0.25">
      <c r="B80" s="49">
        <v>1</v>
      </c>
      <c r="C80" s="50">
        <v>9</v>
      </c>
      <c r="D80" s="9" t="s">
        <v>458</v>
      </c>
      <c r="E80" s="9" t="s">
        <v>459</v>
      </c>
      <c r="F80" s="9"/>
    </row>
    <row r="81" spans="2:6" x14ac:dyDescent="0.25">
      <c r="B81" s="49">
        <v>1</v>
      </c>
      <c r="C81" s="50">
        <v>10</v>
      </c>
      <c r="D81" s="9" t="s">
        <v>460</v>
      </c>
      <c r="E81" s="9" t="s">
        <v>461</v>
      </c>
      <c r="F81" s="9"/>
    </row>
    <row r="82" spans="2:6" x14ac:dyDescent="0.25">
      <c r="B82" s="49">
        <v>1</v>
      </c>
      <c r="C82" s="50">
        <v>11</v>
      </c>
      <c r="D82" s="9" t="s">
        <v>462</v>
      </c>
      <c r="E82" s="9" t="s">
        <v>463</v>
      </c>
      <c r="F82" s="9"/>
    </row>
    <row r="83" spans="2:6" x14ac:dyDescent="0.25">
      <c r="B83" s="49">
        <v>1</v>
      </c>
      <c r="C83" s="50">
        <v>12</v>
      </c>
      <c r="D83" s="17" t="s">
        <v>464</v>
      </c>
      <c r="E83" s="9" t="s">
        <v>461</v>
      </c>
      <c r="F83" s="9"/>
    </row>
    <row r="84" spans="2:6" x14ac:dyDescent="0.25">
      <c r="B84" s="49">
        <v>2</v>
      </c>
      <c r="C84" s="50">
        <v>1</v>
      </c>
      <c r="D84" s="9"/>
      <c r="E84" s="9"/>
      <c r="F84" s="9"/>
    </row>
    <row r="85" spans="2:6" x14ac:dyDescent="0.25">
      <c r="B85" s="49">
        <v>2</v>
      </c>
      <c r="C85" s="50">
        <v>2</v>
      </c>
      <c r="D85" s="9"/>
      <c r="E85" s="9"/>
      <c r="F85" s="9"/>
    </row>
    <row r="86" spans="2:6" x14ac:dyDescent="0.25">
      <c r="B86" s="49">
        <v>2</v>
      </c>
      <c r="C86" s="50">
        <v>3</v>
      </c>
      <c r="D86" s="9"/>
      <c r="E86" s="9"/>
      <c r="F86" s="9"/>
    </row>
    <row r="87" spans="2:6" x14ac:dyDescent="0.25">
      <c r="B87" s="49">
        <v>2</v>
      </c>
      <c r="C87" s="50">
        <v>4</v>
      </c>
      <c r="D87" s="9"/>
      <c r="E87" s="9"/>
      <c r="F87" s="9"/>
    </row>
    <row r="88" spans="2:6" x14ac:dyDescent="0.25">
      <c r="B88" s="49">
        <v>2</v>
      </c>
      <c r="C88" s="50">
        <v>5</v>
      </c>
      <c r="D88" s="9"/>
      <c r="E88" s="9"/>
      <c r="F88" s="9"/>
    </row>
    <row r="89" spans="2:6" x14ac:dyDescent="0.25">
      <c r="B89" s="49">
        <v>2</v>
      </c>
      <c r="C89" s="50">
        <v>6</v>
      </c>
      <c r="D89" s="9"/>
      <c r="E89" s="9"/>
      <c r="F89" s="9"/>
    </row>
    <row r="90" spans="2:6" x14ac:dyDescent="0.25">
      <c r="B90" s="49">
        <v>2</v>
      </c>
      <c r="C90" s="50">
        <v>7</v>
      </c>
      <c r="D90" s="9"/>
      <c r="E90" s="9"/>
      <c r="F90" s="9"/>
    </row>
    <row r="91" spans="2:6" x14ac:dyDescent="0.25">
      <c r="B91" s="49">
        <v>2</v>
      </c>
      <c r="C91" s="50">
        <v>8</v>
      </c>
      <c r="D91" s="9"/>
      <c r="E91" s="9"/>
      <c r="F91" s="9"/>
    </row>
    <row r="92" spans="2:6" x14ac:dyDescent="0.25">
      <c r="B92" s="49">
        <v>2</v>
      </c>
      <c r="C92" s="50">
        <v>9</v>
      </c>
      <c r="D92" s="9"/>
      <c r="E92" s="9"/>
      <c r="F92" s="9"/>
    </row>
    <row r="93" spans="2:6" x14ac:dyDescent="0.25">
      <c r="B93" s="49">
        <v>2</v>
      </c>
      <c r="C93" s="50">
        <v>10</v>
      </c>
      <c r="D93" s="9"/>
      <c r="E93" s="9"/>
      <c r="F93" s="9"/>
    </row>
    <row r="94" spans="2:6" x14ac:dyDescent="0.25">
      <c r="B94" s="49">
        <v>2</v>
      </c>
      <c r="C94" s="50">
        <v>11</v>
      </c>
      <c r="D94" s="9"/>
      <c r="E94" s="9"/>
      <c r="F94" s="9"/>
    </row>
    <row r="95" spans="2:6" x14ac:dyDescent="0.25">
      <c r="B95" s="49">
        <v>2</v>
      </c>
      <c r="C95" s="50">
        <v>12</v>
      </c>
      <c r="D95" s="9"/>
      <c r="E95" s="9"/>
      <c r="F95" s="9"/>
    </row>
  </sheetData>
  <sheetProtection sheet="1" objects="1" scenarios="1" formatCells="0" formatColumns="0" formatRows="0" insertHyperlinks="0"/>
  <dataValidations count="4">
    <dataValidation type="whole" showInputMessage="1" showErrorMessage="1" error="This is not a realistic number of contact hours please reduce" sqref="D20:D23" xr:uid="{DCF1D4CF-AD13-4549-94DF-DAD7372507FF}">
      <formula1>0</formula1>
      <formula2>80</formula2>
    </dataValidation>
    <dataValidation type="whole" showInputMessage="1" showErrorMessage="1" error="This is not a realistic number of contact hours please change" sqref="D19" xr:uid="{2EFE7054-9BF0-4E34-9260-CE2CA4E53AC1}">
      <formula1>0</formula1>
      <formula2>80</formula2>
    </dataValidation>
    <dataValidation type="list" allowBlank="1" showInputMessage="1" showErrorMessage="1" sqref="E38:E41" xr:uid="{8FAAA275-BBC0-49B8-8FE4-71328DF55B6F}">
      <formula1>INDIRECT("LISTAssess[Assessment Specific]")</formula1>
    </dataValidation>
    <dataValidation type="list" allowBlank="1" showInputMessage="1" showErrorMessage="1" sqref="F46:F67" xr:uid="{E1682273-6EEC-4437-BA8D-462547C84EF8}">
      <formula1>INDIRECT(VLOOKUP($E46, SkillNameMap, 2, FALSE))</formula1>
    </dataValidation>
  </dataValidations>
  <pageMargins left="0.7" right="0.7" top="0.75" bottom="0.75" header="0.3" footer="0.3"/>
  <pageSetup paperSize="9" orientation="portrait" horizontalDpi="4294967293" verticalDpi="0" r:id="rId1"/>
  <tableParts count="10">
    <tablePart r:id="rId2"/>
    <tablePart r:id="rId3"/>
    <tablePart r:id="rId4"/>
    <tablePart r:id="rId5"/>
    <tablePart r:id="rId6"/>
    <tablePart r:id="rId7"/>
    <tablePart r:id="rId8"/>
    <tablePart r:id="rId9"/>
    <tablePart r:id="rId10"/>
    <tablePart r:id="rId11"/>
  </tableParts>
  <extLst>
    <ext xmlns:x14="http://schemas.microsoft.com/office/spreadsheetml/2009/9/main" uri="{CCE6A557-97BC-4b89-ADB6-D9C93CAAB3DF}">
      <x14:dataValidations xmlns:xm="http://schemas.microsoft.com/office/excel/2006/main" count="7">
        <x14:dataValidation type="list" allowBlank="1" showInputMessage="1" showErrorMessage="1" xr:uid="{3D8F5AA3-C895-4B95-9912-EF67DA280821}">
          <x14:formula1>
            <xm:f>LISTS!$C$26:$C$37</xm:f>
          </x14:formula1>
          <xm:sqref>D14</xm:sqref>
        </x14:dataValidation>
        <x14:dataValidation type="list" allowBlank="1" showInputMessage="1" showErrorMessage="1" xr:uid="{703F0AA5-3DD9-4205-B10E-84D20D77F5DF}">
          <x14:formula1>
            <xm:f>LISTS!$C$17:$C$22</xm:f>
          </x14:formula1>
          <xm:sqref>D13</xm:sqref>
        </x14:dataValidation>
        <x14:dataValidation type="list" allowBlank="1" showInputMessage="1" showErrorMessage="1" xr:uid="{204C63EF-139E-4DCF-87C5-C1413D76F08F}">
          <x14:formula1>
            <xm:f>LISTS!$C$7:$C$9</xm:f>
          </x14:formula1>
          <xm:sqref>D10</xm:sqref>
        </x14:dataValidation>
        <x14:dataValidation type="list" allowBlank="1" showInputMessage="1" showErrorMessage="1" xr:uid="{02A4F4B2-CA44-4C0F-951D-7C349BD7AFEB}">
          <x14:formula1>
            <xm:f>LISTS!$C$11:$C$15</xm:f>
          </x14:formula1>
          <xm:sqref>D11</xm:sqref>
        </x14:dataValidation>
        <x14:dataValidation type="list" allowBlank="1" showInputMessage="1" showErrorMessage="1" xr:uid="{D6C3DA59-44C9-4E4B-8893-5EEB7E17375D}">
          <x14:formula1>
            <xm:f>LISTS!$G$7:$G$11</xm:f>
          </x14:formula1>
          <xm:sqref>D38:D42</xm:sqref>
        </x14:dataValidation>
        <x14:dataValidation type="list" allowBlank="1" showInputMessage="1" showErrorMessage="1" xr:uid="{1A267CA5-0348-4F32-BF79-432FCFC02438}">
          <x14:formula1>
            <xm:f>LISTS!$E$7:$E$11</xm:f>
          </x14:formula1>
          <xm:sqref>D46:D67</xm:sqref>
        </x14:dataValidation>
        <x14:dataValidation type="list" allowBlank="1" showInputMessage="1" showErrorMessage="1" xr:uid="{BE7A30BD-1760-4896-BACE-8BCA87088F96}">
          <x14:formula1>
            <xm:f>LISTS!$J$7:$J$16</xm:f>
          </x14:formula1>
          <xm:sqref>E46:E67</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E7B7A-D282-4FA8-AE69-A4F29B437E85}">
  <sheetPr codeName="Sheet11"/>
  <dimension ref="B2:H94"/>
  <sheetViews>
    <sheetView showGridLines="0" topLeftCell="D28" zoomScale="85" zoomScaleNormal="85" workbookViewId="0">
      <selection activeCell="E42" sqref="E42"/>
    </sheetView>
  </sheetViews>
  <sheetFormatPr defaultColWidth="8.85546875" defaultRowHeight="15" x14ac:dyDescent="0.25"/>
  <cols>
    <col min="3" max="3" width="33.28515625" customWidth="1"/>
    <col min="4" max="4" width="51.42578125" customWidth="1"/>
    <col min="5" max="5" width="67.28515625" customWidth="1"/>
    <col min="6" max="6" width="63.140625" customWidth="1"/>
    <col min="7" max="7" width="12.42578125" customWidth="1"/>
    <col min="8" max="8" width="15.42578125" customWidth="1"/>
    <col min="9" max="9" width="14.7109375" customWidth="1"/>
  </cols>
  <sheetData>
    <row r="2" spans="2:6" ht="26.25" x14ac:dyDescent="0.4">
      <c r="C2" s="8" t="str">
        <f>D7</f>
        <v>6051SPS</v>
      </c>
      <c r="D2" s="8" t="str">
        <f>D8</f>
        <v>Professional Practice 3</v>
      </c>
    </row>
    <row r="3" spans="2:6" x14ac:dyDescent="0.25">
      <c r="B3" s="1"/>
      <c r="C3" s="1"/>
    </row>
    <row r="4" spans="2:6" x14ac:dyDescent="0.25">
      <c r="B4" s="2"/>
      <c r="C4" s="2"/>
    </row>
    <row r="5" spans="2:6" ht="18.75" x14ac:dyDescent="0.25">
      <c r="B5" s="2"/>
      <c r="C5" s="5" t="s">
        <v>0</v>
      </c>
    </row>
    <row r="6" spans="2:6" x14ac:dyDescent="0.25">
      <c r="B6" s="2"/>
      <c r="C6" s="3" t="s">
        <v>1</v>
      </c>
      <c r="D6" s="4" t="s">
        <v>2</v>
      </c>
      <c r="E6" s="4"/>
      <c r="F6" t="s">
        <v>3</v>
      </c>
    </row>
    <row r="7" spans="2:6" x14ac:dyDescent="0.25">
      <c r="B7" s="2"/>
      <c r="C7" s="48" t="s">
        <v>4</v>
      </c>
      <c r="D7" s="9" t="s">
        <v>465</v>
      </c>
      <c r="E7" s="4"/>
      <c r="F7" s="12"/>
    </row>
    <row r="8" spans="2:6" ht="120" x14ac:dyDescent="0.25">
      <c r="B8" s="2"/>
      <c r="C8" s="48" t="s">
        <v>7</v>
      </c>
      <c r="D8" s="26" t="s">
        <v>466</v>
      </c>
      <c r="E8" s="4"/>
      <c r="F8" s="21" t="s">
        <v>467</v>
      </c>
    </row>
    <row r="9" spans="2:6" x14ac:dyDescent="0.25">
      <c r="C9" s="48" t="s">
        <v>10</v>
      </c>
      <c r="D9" s="9">
        <v>20</v>
      </c>
      <c r="E9" s="4"/>
    </row>
    <row r="10" spans="2:6" x14ac:dyDescent="0.25">
      <c r="C10" s="48" t="s">
        <v>11</v>
      </c>
      <c r="D10" s="9">
        <v>1</v>
      </c>
      <c r="E10" s="4"/>
      <c r="F10" t="s">
        <v>12</v>
      </c>
    </row>
    <row r="11" spans="2:6" ht="63.75" customHeight="1" x14ac:dyDescent="0.25">
      <c r="C11" s="48" t="s">
        <v>13</v>
      </c>
      <c r="D11" s="9">
        <v>6</v>
      </c>
      <c r="E11" s="4"/>
      <c r="F11" s="71" t="s">
        <v>468</v>
      </c>
    </row>
    <row r="12" spans="2:6" ht="54.75" customHeight="1" x14ac:dyDescent="0.25">
      <c r="C12" s="48" t="s">
        <v>15</v>
      </c>
      <c r="D12" s="9" t="s">
        <v>469</v>
      </c>
      <c r="E12" s="4"/>
      <c r="F12" s="71" t="s">
        <v>470</v>
      </c>
    </row>
    <row r="13" spans="2:6" x14ac:dyDescent="0.25">
      <c r="C13" s="48" t="s">
        <v>18</v>
      </c>
      <c r="D13" s="9" t="s">
        <v>19</v>
      </c>
      <c r="E13" s="4"/>
      <c r="F13" s="63"/>
    </row>
    <row r="14" spans="2:6" x14ac:dyDescent="0.25">
      <c r="C14" s="48" t="s">
        <v>21</v>
      </c>
      <c r="D14" s="9" t="s">
        <v>22</v>
      </c>
      <c r="E14" s="4"/>
    </row>
    <row r="15" spans="2:6" x14ac:dyDescent="0.25">
      <c r="C15" s="3"/>
      <c r="D15" s="4"/>
      <c r="E15" s="4"/>
      <c r="F15" t="s">
        <v>23</v>
      </c>
    </row>
    <row r="16" spans="2:6" ht="126.75" customHeight="1" x14ac:dyDescent="0.25">
      <c r="C16" s="3"/>
      <c r="D16" s="4"/>
      <c r="E16" s="4"/>
      <c r="F16" s="21" t="s">
        <v>471</v>
      </c>
    </row>
    <row r="17" spans="3:6" ht="18.75" x14ac:dyDescent="0.25">
      <c r="C17" s="5" t="s">
        <v>25</v>
      </c>
      <c r="D17" s="4"/>
      <c r="E17" s="4"/>
      <c r="F17" s="12"/>
    </row>
    <row r="18" spans="3:6" x14ac:dyDescent="0.25">
      <c r="C18" s="3" t="s">
        <v>26</v>
      </c>
      <c r="D18" s="1" t="s">
        <v>25</v>
      </c>
      <c r="E18" s="4"/>
      <c r="F18" s="12"/>
    </row>
    <row r="19" spans="3:6" x14ac:dyDescent="0.25">
      <c r="C19" s="48" t="s">
        <v>27</v>
      </c>
      <c r="D19" s="10">
        <v>18</v>
      </c>
      <c r="E19" s="4"/>
      <c r="F19" s="12"/>
    </row>
    <row r="20" spans="3:6" x14ac:dyDescent="0.25">
      <c r="C20" s="48" t="s">
        <v>28</v>
      </c>
      <c r="D20" s="10">
        <v>4</v>
      </c>
      <c r="E20" s="4"/>
      <c r="F20" s="12"/>
    </row>
    <row r="21" spans="3:6" x14ac:dyDescent="0.25">
      <c r="C21" s="48" t="s">
        <v>29</v>
      </c>
      <c r="D21" s="10"/>
      <c r="E21" s="4"/>
    </row>
    <row r="22" spans="3:6" x14ac:dyDescent="0.25">
      <c r="C22" s="48" t="s">
        <v>30</v>
      </c>
      <c r="D22" s="10">
        <v>18</v>
      </c>
      <c r="E22" s="4"/>
      <c r="F22" t="s">
        <v>31</v>
      </c>
    </row>
    <row r="23" spans="3:6" ht="45" x14ac:dyDescent="0.25">
      <c r="C23" s="48" t="s">
        <v>32</v>
      </c>
      <c r="D23" s="10"/>
      <c r="E23" s="4"/>
      <c r="F23" s="21" t="s">
        <v>472</v>
      </c>
    </row>
    <row r="24" spans="3:6" x14ac:dyDescent="0.25">
      <c r="C24" s="48" t="s">
        <v>34</v>
      </c>
      <c r="D24" s="1">
        <f>SUM(D19:D23)</f>
        <v>40</v>
      </c>
      <c r="E24" s="4"/>
      <c r="F24" s="12"/>
    </row>
    <row r="25" spans="3:6" x14ac:dyDescent="0.25">
      <c r="F25" s="64"/>
    </row>
    <row r="26" spans="3:6" x14ac:dyDescent="0.25">
      <c r="F26" s="12"/>
    </row>
    <row r="27" spans="3:6" ht="18.75" x14ac:dyDescent="0.25">
      <c r="C27" s="5" t="s">
        <v>35</v>
      </c>
      <c r="D27" s="7" t="s">
        <v>36</v>
      </c>
      <c r="F27" s="12"/>
    </row>
    <row r="28" spans="3:6" x14ac:dyDescent="0.25">
      <c r="C28" s="3" t="s">
        <v>37</v>
      </c>
      <c r="D28" s="3" t="s">
        <v>38</v>
      </c>
      <c r="E28" s="3"/>
      <c r="F28" s="12"/>
    </row>
    <row r="29" spans="3:6" ht="45" x14ac:dyDescent="0.25">
      <c r="C29" s="48" t="s">
        <v>39</v>
      </c>
      <c r="D29" s="19" t="s">
        <v>473</v>
      </c>
      <c r="E29" s="4"/>
      <c r="F29" s="12"/>
    </row>
    <row r="30" spans="3:6" ht="30" x14ac:dyDescent="0.25">
      <c r="C30" s="48" t="s">
        <v>41</v>
      </c>
      <c r="D30" s="20" t="s">
        <v>474</v>
      </c>
      <c r="E30" s="4"/>
      <c r="F30" s="12"/>
    </row>
    <row r="31" spans="3:6" ht="30" x14ac:dyDescent="0.25">
      <c r="C31" s="48" t="s">
        <v>43</v>
      </c>
      <c r="D31" s="19" t="s">
        <v>475</v>
      </c>
      <c r="E31" s="4"/>
      <c r="F31" s="12"/>
    </row>
    <row r="32" spans="3:6" x14ac:dyDescent="0.25">
      <c r="C32" s="48" t="s">
        <v>45</v>
      </c>
      <c r="D32" s="9"/>
      <c r="E32" s="4"/>
      <c r="F32" s="12"/>
    </row>
    <row r="33" spans="3:8" x14ac:dyDescent="0.25">
      <c r="C33" s="48" t="s">
        <v>47</v>
      </c>
      <c r="D33" s="9"/>
      <c r="E33" s="4"/>
      <c r="F33" s="12"/>
    </row>
    <row r="36" spans="3:8" ht="18.75" x14ac:dyDescent="0.25">
      <c r="C36" s="5" t="s">
        <v>49</v>
      </c>
    </row>
    <row r="37" spans="3:8" x14ac:dyDescent="0.25">
      <c r="C37" s="3" t="s">
        <v>50</v>
      </c>
      <c r="D37" s="3" t="s">
        <v>51</v>
      </c>
      <c r="E37" s="3" t="s">
        <v>52</v>
      </c>
      <c r="F37" s="3" t="s">
        <v>53</v>
      </c>
      <c r="G37" s="3" t="s">
        <v>54</v>
      </c>
      <c r="H37" s="3" t="s">
        <v>55</v>
      </c>
    </row>
    <row r="38" spans="3:8" x14ac:dyDescent="0.25">
      <c r="C38" s="48" t="s">
        <v>56</v>
      </c>
      <c r="D38" s="9" t="s">
        <v>125</v>
      </c>
      <c r="E38" s="9" t="s">
        <v>278</v>
      </c>
      <c r="F38" s="12" t="s">
        <v>476</v>
      </c>
      <c r="G38" s="11">
        <v>0.4</v>
      </c>
      <c r="H38" s="9">
        <v>12</v>
      </c>
    </row>
    <row r="39" spans="3:8" ht="45" x14ac:dyDescent="0.25">
      <c r="C39" s="48" t="s">
        <v>60</v>
      </c>
      <c r="D39" s="9" t="s">
        <v>125</v>
      </c>
      <c r="E39" s="9" t="s">
        <v>477</v>
      </c>
      <c r="F39" s="9" t="s">
        <v>478</v>
      </c>
      <c r="G39" s="11">
        <v>0.6</v>
      </c>
      <c r="H39" s="9">
        <v>12</v>
      </c>
    </row>
    <row r="40" spans="3:8" x14ac:dyDescent="0.25">
      <c r="C40" s="48" t="s">
        <v>63</v>
      </c>
      <c r="D40" s="12"/>
      <c r="E40" s="12"/>
      <c r="F40" s="12"/>
      <c r="G40" s="12"/>
      <c r="H40" s="12"/>
    </row>
    <row r="41" spans="3:8" x14ac:dyDescent="0.25">
      <c r="C41" s="48" t="s">
        <v>64</v>
      </c>
      <c r="D41" s="12"/>
      <c r="E41" s="12"/>
      <c r="F41" s="12"/>
      <c r="G41" s="12"/>
      <c r="H41" s="12"/>
    </row>
    <row r="42" spans="3:8" x14ac:dyDescent="0.25">
      <c r="C42" s="3"/>
    </row>
    <row r="44" spans="3:8" ht="18.75" x14ac:dyDescent="0.25">
      <c r="C44" s="5" t="s">
        <v>65</v>
      </c>
      <c r="D44" s="7"/>
    </row>
    <row r="45" spans="3:8" x14ac:dyDescent="0.25">
      <c r="C45" s="1" t="s">
        <v>50</v>
      </c>
      <c r="D45" s="1" t="s">
        <v>37</v>
      </c>
      <c r="E45" s="1" t="s">
        <v>66</v>
      </c>
      <c r="F45" s="1" t="s">
        <v>67</v>
      </c>
    </row>
    <row r="46" spans="3:8" x14ac:dyDescent="0.25">
      <c r="C46" s="13" t="s">
        <v>56</v>
      </c>
      <c r="D46" s="12" t="s">
        <v>41</v>
      </c>
      <c r="E46" s="12" t="s">
        <v>68</v>
      </c>
      <c r="F46" s="12" t="s">
        <v>164</v>
      </c>
    </row>
    <row r="47" spans="3:8" x14ac:dyDescent="0.25">
      <c r="C47" s="13" t="s">
        <v>56</v>
      </c>
      <c r="D47" s="12" t="s">
        <v>39</v>
      </c>
      <c r="E47" s="12" t="s">
        <v>72</v>
      </c>
      <c r="F47" s="12" t="s">
        <v>73</v>
      </c>
    </row>
    <row r="48" spans="3:8" x14ac:dyDescent="0.25">
      <c r="C48" s="13" t="s">
        <v>56</v>
      </c>
      <c r="D48" s="12" t="s">
        <v>43</v>
      </c>
      <c r="E48" s="12" t="s">
        <v>86</v>
      </c>
      <c r="F48" s="12" t="s">
        <v>87</v>
      </c>
    </row>
    <row r="49" spans="3:6" x14ac:dyDescent="0.25">
      <c r="C49" s="13" t="s">
        <v>56</v>
      </c>
      <c r="D49" s="12" t="s">
        <v>39</v>
      </c>
      <c r="E49" s="12" t="s">
        <v>76</v>
      </c>
      <c r="F49" s="12" t="s">
        <v>479</v>
      </c>
    </row>
    <row r="50" spans="3:6" x14ac:dyDescent="0.25">
      <c r="C50" s="13" t="s">
        <v>56</v>
      </c>
      <c r="D50" s="12" t="s">
        <v>39</v>
      </c>
      <c r="E50" s="12" t="s">
        <v>80</v>
      </c>
      <c r="F50" s="12" t="s">
        <v>480</v>
      </c>
    </row>
    <row r="51" spans="3:6" x14ac:dyDescent="0.25">
      <c r="C51" s="13" t="s">
        <v>56</v>
      </c>
      <c r="D51" s="12" t="s">
        <v>39</v>
      </c>
      <c r="E51" s="12" t="s">
        <v>80</v>
      </c>
      <c r="F51" s="12" t="s">
        <v>81</v>
      </c>
    </row>
    <row r="52" spans="3:6" x14ac:dyDescent="0.25">
      <c r="C52" s="13" t="s">
        <v>56</v>
      </c>
      <c r="D52" s="12" t="s">
        <v>39</v>
      </c>
      <c r="E52" s="12" t="s">
        <v>80</v>
      </c>
      <c r="F52" s="12" t="s">
        <v>481</v>
      </c>
    </row>
    <row r="53" spans="3:6" x14ac:dyDescent="0.25">
      <c r="C53" s="13" t="s">
        <v>56</v>
      </c>
      <c r="D53" s="12" t="s">
        <v>39</v>
      </c>
      <c r="E53" s="12" t="s">
        <v>80</v>
      </c>
      <c r="F53" s="12" t="s">
        <v>170</v>
      </c>
    </row>
    <row r="54" spans="3:6" x14ac:dyDescent="0.25">
      <c r="C54" s="13" t="s">
        <v>56</v>
      </c>
      <c r="D54" s="12" t="s">
        <v>39</v>
      </c>
      <c r="E54" s="12" t="s">
        <v>76</v>
      </c>
      <c r="F54" s="12" t="s">
        <v>482</v>
      </c>
    </row>
    <row r="55" spans="3:6" x14ac:dyDescent="0.25">
      <c r="C55" s="13" t="s">
        <v>56</v>
      </c>
      <c r="D55" s="12" t="s">
        <v>39</v>
      </c>
      <c r="E55" s="12" t="s">
        <v>76</v>
      </c>
      <c r="F55" s="12" t="s">
        <v>483</v>
      </c>
    </row>
    <row r="56" spans="3:6" x14ac:dyDescent="0.25">
      <c r="C56" s="13" t="s">
        <v>60</v>
      </c>
      <c r="D56" s="12" t="s">
        <v>41</v>
      </c>
      <c r="E56" s="12" t="s">
        <v>74</v>
      </c>
      <c r="F56" s="12" t="s">
        <v>210</v>
      </c>
    </row>
    <row r="57" spans="3:6" x14ac:dyDescent="0.25">
      <c r="C57" s="13" t="s">
        <v>60</v>
      </c>
      <c r="D57" s="12" t="s">
        <v>41</v>
      </c>
      <c r="E57" s="12" t="s">
        <v>78</v>
      </c>
      <c r="F57" s="12" t="s">
        <v>212</v>
      </c>
    </row>
    <row r="58" spans="3:6" x14ac:dyDescent="0.25">
      <c r="C58" s="13" t="s">
        <v>60</v>
      </c>
      <c r="D58" s="12" t="s">
        <v>43</v>
      </c>
      <c r="E58" s="12" t="s">
        <v>84</v>
      </c>
      <c r="F58" s="12" t="s">
        <v>85</v>
      </c>
    </row>
    <row r="59" spans="3:6" x14ac:dyDescent="0.25">
      <c r="C59" s="13" t="s">
        <v>60</v>
      </c>
      <c r="D59" s="12" t="s">
        <v>41</v>
      </c>
      <c r="E59" s="12" t="s">
        <v>82</v>
      </c>
      <c r="F59" s="12" t="s">
        <v>83</v>
      </c>
    </row>
    <row r="60" spans="3:6" x14ac:dyDescent="0.25">
      <c r="C60" s="13" t="s">
        <v>60</v>
      </c>
      <c r="D60" s="12" t="s">
        <v>39</v>
      </c>
      <c r="E60" s="12" t="s">
        <v>80</v>
      </c>
      <c r="F60" s="12" t="s">
        <v>81</v>
      </c>
    </row>
    <row r="61" spans="3:6" x14ac:dyDescent="0.25">
      <c r="C61" s="13" t="s">
        <v>60</v>
      </c>
      <c r="D61" s="12" t="s">
        <v>43</v>
      </c>
      <c r="E61" s="12" t="s">
        <v>76</v>
      </c>
      <c r="F61" s="12" t="s">
        <v>77</v>
      </c>
    </row>
    <row r="62" spans="3:6" x14ac:dyDescent="0.25">
      <c r="C62" s="13" t="s">
        <v>60</v>
      </c>
      <c r="D62" s="12" t="s">
        <v>43</v>
      </c>
      <c r="E62" s="12" t="s">
        <v>76</v>
      </c>
      <c r="F62" s="12" t="s">
        <v>479</v>
      </c>
    </row>
    <row r="63" spans="3:6" x14ac:dyDescent="0.25">
      <c r="C63" s="13" t="s">
        <v>60</v>
      </c>
      <c r="D63" s="12" t="s">
        <v>43</v>
      </c>
      <c r="E63" s="12" t="s">
        <v>80</v>
      </c>
      <c r="F63" s="12" t="s">
        <v>480</v>
      </c>
    </row>
    <row r="64" spans="3:6" x14ac:dyDescent="0.25">
      <c r="C64" s="13" t="s">
        <v>60</v>
      </c>
      <c r="D64" s="12" t="s">
        <v>43</v>
      </c>
      <c r="E64" s="12" t="s">
        <v>80</v>
      </c>
      <c r="F64" s="12" t="s">
        <v>484</v>
      </c>
    </row>
    <row r="65" spans="2:6" x14ac:dyDescent="0.25">
      <c r="C65" s="13" t="s">
        <v>60</v>
      </c>
      <c r="D65" s="12" t="s">
        <v>43</v>
      </c>
      <c r="E65" s="12" t="s">
        <v>80</v>
      </c>
      <c r="F65" s="12" t="s">
        <v>485</v>
      </c>
    </row>
    <row r="66" spans="2:6" x14ac:dyDescent="0.25">
      <c r="C66" s="13"/>
      <c r="D66" s="12" t="s">
        <v>43</v>
      </c>
      <c r="E66" s="12" t="s">
        <v>84</v>
      </c>
      <c r="F66" s="12" t="s">
        <v>85</v>
      </c>
    </row>
    <row r="69" spans="2:6" ht="18.75" x14ac:dyDescent="0.25">
      <c r="C69" s="5" t="s">
        <v>90</v>
      </c>
    </row>
    <row r="70" spans="2:6" x14ac:dyDescent="0.25">
      <c r="B70" t="s">
        <v>91</v>
      </c>
      <c r="C70" s="1" t="s">
        <v>92</v>
      </c>
      <c r="D70" s="1" t="s">
        <v>93</v>
      </c>
      <c r="E70" s="1" t="s">
        <v>94</v>
      </c>
      <c r="F70" s="1" t="s">
        <v>95</v>
      </c>
    </row>
    <row r="71" spans="2:6" x14ac:dyDescent="0.25">
      <c r="B71" s="49">
        <v>1</v>
      </c>
      <c r="C71" s="50">
        <v>1</v>
      </c>
      <c r="D71" s="45" t="s">
        <v>486</v>
      </c>
      <c r="E71" s="9" t="s">
        <v>487</v>
      </c>
      <c r="F71" s="9" t="s">
        <v>488</v>
      </c>
    </row>
    <row r="72" spans="2:6" x14ac:dyDescent="0.25">
      <c r="B72" s="49">
        <v>1</v>
      </c>
      <c r="C72" s="50">
        <v>2</v>
      </c>
      <c r="D72" s="9" t="s">
        <v>489</v>
      </c>
      <c r="E72" s="9" t="s">
        <v>490</v>
      </c>
      <c r="F72" s="9" t="s">
        <v>491</v>
      </c>
    </row>
    <row r="73" spans="2:6" ht="30" x14ac:dyDescent="0.25">
      <c r="B73" s="49">
        <v>1</v>
      </c>
      <c r="C73" s="50">
        <v>3</v>
      </c>
      <c r="D73" s="9" t="s">
        <v>85</v>
      </c>
      <c r="E73" s="9" t="s">
        <v>492</v>
      </c>
      <c r="F73" s="9" t="s">
        <v>493</v>
      </c>
    </row>
    <row r="74" spans="2:6" x14ac:dyDescent="0.25">
      <c r="B74" s="49">
        <v>1</v>
      </c>
      <c r="C74" s="50">
        <v>4</v>
      </c>
      <c r="D74" s="9" t="s">
        <v>494</v>
      </c>
      <c r="E74" s="9" t="s">
        <v>490</v>
      </c>
      <c r="F74" s="72" t="s">
        <v>495</v>
      </c>
    </row>
    <row r="75" spans="2:6" x14ac:dyDescent="0.25">
      <c r="B75" s="49">
        <v>1</v>
      </c>
      <c r="C75" s="50">
        <v>5</v>
      </c>
      <c r="D75" s="9" t="s">
        <v>496</v>
      </c>
      <c r="E75" s="9" t="s">
        <v>497</v>
      </c>
      <c r="F75" s="9" t="s">
        <v>498</v>
      </c>
    </row>
    <row r="76" spans="2:6" x14ac:dyDescent="0.25">
      <c r="B76" s="49">
        <v>1</v>
      </c>
      <c r="C76" s="50">
        <v>6</v>
      </c>
      <c r="D76" s="9" t="s">
        <v>499</v>
      </c>
      <c r="E76" s="9" t="s">
        <v>497</v>
      </c>
      <c r="F76" s="9" t="s">
        <v>500</v>
      </c>
    </row>
    <row r="77" spans="2:6" x14ac:dyDescent="0.25">
      <c r="B77" s="49">
        <v>1</v>
      </c>
      <c r="C77" s="50">
        <v>7</v>
      </c>
      <c r="D77" s="9" t="s">
        <v>385</v>
      </c>
      <c r="E77" s="9"/>
      <c r="F77" s="9"/>
    </row>
    <row r="78" spans="2:6" ht="30" x14ac:dyDescent="0.25">
      <c r="B78" s="49">
        <v>1</v>
      </c>
      <c r="C78" s="50">
        <v>8</v>
      </c>
      <c r="D78" s="9" t="s">
        <v>501</v>
      </c>
      <c r="E78" s="45" t="s">
        <v>502</v>
      </c>
      <c r="F78" s="9" t="s">
        <v>503</v>
      </c>
    </row>
    <row r="79" spans="2:6" ht="30" x14ac:dyDescent="0.25">
      <c r="B79" s="49">
        <v>1</v>
      </c>
      <c r="C79" s="50">
        <v>9</v>
      </c>
      <c r="D79" s="9" t="s">
        <v>504</v>
      </c>
      <c r="E79" s="9" t="s">
        <v>490</v>
      </c>
      <c r="F79" s="9" t="s">
        <v>505</v>
      </c>
    </row>
    <row r="80" spans="2:6" x14ac:dyDescent="0.25">
      <c r="B80" s="49">
        <v>1</v>
      </c>
      <c r="C80" s="50">
        <v>10</v>
      </c>
      <c r="D80" s="9" t="s">
        <v>506</v>
      </c>
      <c r="E80" s="9" t="s">
        <v>507</v>
      </c>
      <c r="F80" s="9" t="s">
        <v>508</v>
      </c>
    </row>
    <row r="81" spans="2:6" ht="30" x14ac:dyDescent="0.25">
      <c r="B81" s="49">
        <v>1</v>
      </c>
      <c r="C81" s="50">
        <v>11</v>
      </c>
      <c r="D81" s="9" t="s">
        <v>509</v>
      </c>
      <c r="E81" s="9" t="s">
        <v>510</v>
      </c>
      <c r="F81" s="9" t="s">
        <v>511</v>
      </c>
    </row>
    <row r="82" spans="2:6" x14ac:dyDescent="0.25">
      <c r="B82" s="49">
        <v>1</v>
      </c>
      <c r="C82" s="50">
        <v>12</v>
      </c>
      <c r="D82" s="9" t="s">
        <v>49</v>
      </c>
      <c r="E82" s="9"/>
      <c r="F82" s="9"/>
    </row>
    <row r="83" spans="2:6" x14ac:dyDescent="0.25">
      <c r="B83" s="49">
        <v>2</v>
      </c>
      <c r="C83" s="50">
        <v>1</v>
      </c>
      <c r="D83" s="9"/>
      <c r="E83" s="9"/>
      <c r="F83" s="9"/>
    </row>
    <row r="84" spans="2:6" x14ac:dyDescent="0.25">
      <c r="B84" s="49">
        <v>2</v>
      </c>
      <c r="C84" s="50">
        <v>2</v>
      </c>
      <c r="D84" s="9"/>
      <c r="E84" s="9"/>
      <c r="F84" s="9"/>
    </row>
    <row r="85" spans="2:6" x14ac:dyDescent="0.25">
      <c r="B85" s="49">
        <v>2</v>
      </c>
      <c r="C85" s="50">
        <v>3</v>
      </c>
      <c r="D85" s="9"/>
      <c r="E85" s="9"/>
      <c r="F85" s="9"/>
    </row>
    <row r="86" spans="2:6" x14ac:dyDescent="0.25">
      <c r="B86" s="49">
        <v>2</v>
      </c>
      <c r="C86" s="50">
        <v>4</v>
      </c>
      <c r="D86" s="9"/>
      <c r="E86" s="9"/>
      <c r="F86" s="9"/>
    </row>
    <row r="87" spans="2:6" x14ac:dyDescent="0.25">
      <c r="B87" s="49">
        <v>2</v>
      </c>
      <c r="C87" s="50">
        <v>5</v>
      </c>
      <c r="D87" s="9"/>
      <c r="E87" s="9"/>
      <c r="F87" s="9"/>
    </row>
    <row r="88" spans="2:6" x14ac:dyDescent="0.25">
      <c r="B88" s="49">
        <v>2</v>
      </c>
      <c r="C88" s="50">
        <v>6</v>
      </c>
      <c r="D88" s="9"/>
      <c r="E88" s="9"/>
      <c r="F88" s="9"/>
    </row>
    <row r="89" spans="2:6" x14ac:dyDescent="0.25">
      <c r="B89" s="49">
        <v>2</v>
      </c>
      <c r="C89" s="50">
        <v>7</v>
      </c>
      <c r="D89" s="9"/>
      <c r="E89" s="9"/>
      <c r="F89" s="9"/>
    </row>
    <row r="90" spans="2:6" x14ac:dyDescent="0.25">
      <c r="B90" s="49">
        <v>2</v>
      </c>
      <c r="C90" s="50">
        <v>8</v>
      </c>
      <c r="D90" s="9"/>
      <c r="E90" s="9"/>
      <c r="F90" s="9"/>
    </row>
    <row r="91" spans="2:6" x14ac:dyDescent="0.25">
      <c r="B91" s="49">
        <v>2</v>
      </c>
      <c r="C91" s="50">
        <v>9</v>
      </c>
      <c r="D91" s="9"/>
      <c r="E91" s="9"/>
      <c r="F91" s="9"/>
    </row>
    <row r="92" spans="2:6" x14ac:dyDescent="0.25">
      <c r="B92" s="49">
        <v>2</v>
      </c>
      <c r="C92" s="50">
        <v>10</v>
      </c>
      <c r="D92" s="9"/>
      <c r="E92" s="9"/>
      <c r="F92" s="9"/>
    </row>
    <row r="93" spans="2:6" x14ac:dyDescent="0.25">
      <c r="B93" s="49">
        <v>2</v>
      </c>
      <c r="C93" s="50">
        <v>11</v>
      </c>
      <c r="D93" s="9"/>
      <c r="E93" s="9"/>
      <c r="F93" s="9"/>
    </row>
    <row r="94" spans="2:6" x14ac:dyDescent="0.25">
      <c r="B94" s="49">
        <v>2</v>
      </c>
      <c r="C94" s="50">
        <v>12</v>
      </c>
      <c r="D94" s="9"/>
      <c r="E94" s="9"/>
      <c r="F94" s="9"/>
    </row>
  </sheetData>
  <sheetProtection sheet="1" objects="1" scenarios="1" formatCells="0" formatColumns="0" formatRows="0" insertHyperlinks="0"/>
  <dataValidations count="4">
    <dataValidation type="list" allowBlank="1" showInputMessage="1" showErrorMessage="1" sqref="F46:F66" xr:uid="{199417CD-50E7-40D5-ADCF-61994B27264E}">
      <formula1>INDIRECT(VLOOKUP($E46, SkillNameMap, 2, FALSE))</formula1>
    </dataValidation>
    <dataValidation type="list" allowBlank="1" showInputMessage="1" showErrorMessage="1" sqref="E38:E41" xr:uid="{9A8779B4-6AB6-45B5-A32C-6D89EAF36C8E}">
      <formula1>INDIRECT("LISTAssess[Assessment Specific]")</formula1>
    </dataValidation>
    <dataValidation type="whole" showInputMessage="1" showErrorMessage="1" error="This is not a realistic number of contact hours please change" sqref="D19" xr:uid="{DA3D6AB5-532B-4E6E-B5DD-7DD3330DB48F}">
      <formula1>0</formula1>
      <formula2>80</formula2>
    </dataValidation>
    <dataValidation type="whole" showInputMessage="1" showErrorMessage="1" error="This is not a realistic number of contact hours please reduce" sqref="D20:D23" xr:uid="{3732E239-C09D-43A7-9D17-84966769CD9A}">
      <formula1>0</formula1>
      <formula2>80</formula2>
    </dataValidation>
  </dataValidations>
  <pageMargins left="0.7" right="0.7" top="0.75" bottom="0.75" header="0.3" footer="0.3"/>
  <pageSetup paperSize="9" orientation="portrait" horizontalDpi="4294967293" verticalDpi="0" r:id="rId1"/>
  <tableParts count="10">
    <tablePart r:id="rId2"/>
    <tablePart r:id="rId3"/>
    <tablePart r:id="rId4"/>
    <tablePart r:id="rId5"/>
    <tablePart r:id="rId6"/>
    <tablePart r:id="rId7"/>
    <tablePart r:id="rId8"/>
    <tablePart r:id="rId9"/>
    <tablePart r:id="rId10"/>
    <tablePart r:id="rId11"/>
  </tableParts>
  <extLst>
    <ext xmlns:x14="http://schemas.microsoft.com/office/spreadsheetml/2009/9/main" uri="{CCE6A557-97BC-4b89-ADB6-D9C93CAAB3DF}">
      <x14:dataValidations xmlns:xm="http://schemas.microsoft.com/office/excel/2006/main" count="7">
        <x14:dataValidation type="list" allowBlank="1" showInputMessage="1" showErrorMessage="1" xr:uid="{5C65280C-5249-4CA6-9640-3CC5D292F59A}">
          <x14:formula1>
            <xm:f>LISTS!$J$7:$J$16</xm:f>
          </x14:formula1>
          <xm:sqref>E46:E66</xm:sqref>
        </x14:dataValidation>
        <x14:dataValidation type="list" allowBlank="1" showInputMessage="1" showErrorMessage="1" xr:uid="{009B3F76-CBC5-41A8-84DE-D4AD00A25980}">
          <x14:formula1>
            <xm:f>LISTS!$E$7:$E$11</xm:f>
          </x14:formula1>
          <xm:sqref>D46:D66</xm:sqref>
        </x14:dataValidation>
        <x14:dataValidation type="list" allowBlank="1" showInputMessage="1" showErrorMessage="1" xr:uid="{E4C466FC-4B20-43FE-83BB-6DB372D1E2AF}">
          <x14:formula1>
            <xm:f>LISTS!$G$7:$G$11</xm:f>
          </x14:formula1>
          <xm:sqref>D38:D42</xm:sqref>
        </x14:dataValidation>
        <x14:dataValidation type="list" allowBlank="1" showInputMessage="1" showErrorMessage="1" xr:uid="{FDF99DCE-273A-4E69-9925-00724A3BE75B}">
          <x14:formula1>
            <xm:f>LISTS!$C$11:$C$15</xm:f>
          </x14:formula1>
          <xm:sqref>D11</xm:sqref>
        </x14:dataValidation>
        <x14:dataValidation type="list" allowBlank="1" showInputMessage="1" showErrorMessage="1" xr:uid="{B71F4674-23DF-4DB6-881E-607B855CE61E}">
          <x14:formula1>
            <xm:f>LISTS!$C$7:$C$9</xm:f>
          </x14:formula1>
          <xm:sqref>D10</xm:sqref>
        </x14:dataValidation>
        <x14:dataValidation type="list" allowBlank="1" showInputMessage="1" showErrorMessage="1" xr:uid="{13441B70-6771-46A0-B42D-7619C487A66C}">
          <x14:formula1>
            <xm:f>LISTS!$C$17:$C$22</xm:f>
          </x14:formula1>
          <xm:sqref>D13</xm:sqref>
        </x14:dataValidation>
        <x14:dataValidation type="list" allowBlank="1" showInputMessage="1" showErrorMessage="1" xr:uid="{27FAA946-26BF-4A0D-A78A-94B40A846A90}">
          <x14:formula1>
            <xm:f>LISTS!$C$26:$C$37</xm:f>
          </x14:formula1>
          <xm:sqref>D14</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ED139-4EE0-4CD6-B60A-E51D5ED74DE8}">
  <sheetPr codeName="Sheet13"/>
  <dimension ref="B2:H96"/>
  <sheetViews>
    <sheetView showGridLines="0" topLeftCell="D15" zoomScale="85" zoomScaleNormal="85" workbookViewId="0">
      <selection activeCell="E27" sqref="E27"/>
    </sheetView>
  </sheetViews>
  <sheetFormatPr defaultColWidth="8.85546875" defaultRowHeight="15" x14ac:dyDescent="0.25"/>
  <cols>
    <col min="3" max="3" width="33.28515625" customWidth="1"/>
    <col min="4" max="4" width="51.42578125" customWidth="1"/>
    <col min="5" max="5" width="67.28515625" customWidth="1"/>
    <col min="6" max="6" width="63.140625" customWidth="1"/>
    <col min="7" max="7" width="12.42578125" customWidth="1"/>
    <col min="8" max="8" width="15.42578125" customWidth="1"/>
    <col min="9" max="9" width="14.7109375" customWidth="1"/>
  </cols>
  <sheetData>
    <row r="2" spans="2:6" ht="26.25" x14ac:dyDescent="0.4">
      <c r="C2" s="8" t="str">
        <f>D7</f>
        <v>6053SPS</v>
      </c>
      <c r="D2" s="8" t="str">
        <f>D8</f>
        <v>Current Issues in Sport and Exercise Psychology</v>
      </c>
    </row>
    <row r="3" spans="2:6" x14ac:dyDescent="0.25">
      <c r="B3" s="1"/>
      <c r="C3" s="1"/>
    </row>
    <row r="4" spans="2:6" x14ac:dyDescent="0.25">
      <c r="B4" s="2"/>
      <c r="C4" s="2"/>
    </row>
    <row r="5" spans="2:6" ht="18.75" x14ac:dyDescent="0.25">
      <c r="B5" s="2"/>
      <c r="C5" s="5" t="s">
        <v>0</v>
      </c>
    </row>
    <row r="6" spans="2:6" x14ac:dyDescent="0.25">
      <c r="B6" s="2"/>
      <c r="C6" s="3" t="s">
        <v>1</v>
      </c>
      <c r="D6" s="4" t="s">
        <v>2</v>
      </c>
      <c r="E6" s="4"/>
      <c r="F6" t="s">
        <v>3</v>
      </c>
    </row>
    <row r="7" spans="2:6" x14ac:dyDescent="0.25">
      <c r="B7" s="2"/>
      <c r="C7" s="48" t="s">
        <v>4</v>
      </c>
      <c r="D7" s="9" t="s">
        <v>512</v>
      </c>
      <c r="E7" s="4"/>
      <c r="F7" s="12"/>
    </row>
    <row r="8" spans="2:6" ht="60" x14ac:dyDescent="0.25">
      <c r="B8" s="2"/>
      <c r="C8" s="48" t="s">
        <v>7</v>
      </c>
      <c r="D8" s="9" t="s">
        <v>513</v>
      </c>
      <c r="E8" s="4"/>
      <c r="F8" s="29" t="s">
        <v>514</v>
      </c>
    </row>
    <row r="9" spans="2:6" x14ac:dyDescent="0.25">
      <c r="C9" s="48" t="s">
        <v>10</v>
      </c>
      <c r="D9" s="9">
        <v>20</v>
      </c>
      <c r="E9" s="4"/>
    </row>
    <row r="10" spans="2:6" x14ac:dyDescent="0.25">
      <c r="C10" s="48" t="s">
        <v>11</v>
      </c>
      <c r="D10" s="9">
        <v>2</v>
      </c>
      <c r="E10" s="4"/>
      <c r="F10" t="s">
        <v>12</v>
      </c>
    </row>
    <row r="11" spans="2:6" ht="30" x14ac:dyDescent="0.25">
      <c r="C11" s="48" t="s">
        <v>13</v>
      </c>
      <c r="D11" s="9">
        <v>6</v>
      </c>
      <c r="E11" s="4"/>
      <c r="F11" s="29" t="s">
        <v>515</v>
      </c>
    </row>
    <row r="12" spans="2:6" ht="30" x14ac:dyDescent="0.25">
      <c r="C12" s="48" t="s">
        <v>15</v>
      </c>
      <c r="D12" s="9" t="s">
        <v>516</v>
      </c>
      <c r="E12" s="4"/>
      <c r="F12" s="18" t="s">
        <v>517</v>
      </c>
    </row>
    <row r="13" spans="2:6" x14ac:dyDescent="0.25">
      <c r="C13" s="48" t="s">
        <v>18</v>
      </c>
      <c r="D13" s="9" t="s">
        <v>119</v>
      </c>
      <c r="E13" s="4"/>
      <c r="F13" s="12"/>
    </row>
    <row r="14" spans="2:6" x14ac:dyDescent="0.25">
      <c r="C14" s="48" t="s">
        <v>21</v>
      </c>
      <c r="D14" s="9" t="s">
        <v>243</v>
      </c>
      <c r="E14" s="4"/>
    </row>
    <row r="15" spans="2:6" x14ac:dyDescent="0.25">
      <c r="C15" s="3"/>
      <c r="D15" s="4"/>
      <c r="E15" s="4"/>
      <c r="F15" t="s">
        <v>23</v>
      </c>
    </row>
    <row r="16" spans="2:6" ht="60" x14ac:dyDescent="0.25">
      <c r="C16" s="3"/>
      <c r="D16" s="4"/>
      <c r="E16" s="4"/>
      <c r="F16" s="29" t="s">
        <v>518</v>
      </c>
    </row>
    <row r="17" spans="3:6" ht="18.75" x14ac:dyDescent="0.25">
      <c r="C17" s="5" t="s">
        <v>25</v>
      </c>
      <c r="D17" s="4"/>
      <c r="E17" s="4"/>
      <c r="F17" s="12"/>
    </row>
    <row r="18" spans="3:6" x14ac:dyDescent="0.25">
      <c r="C18" s="3" t="s">
        <v>26</v>
      </c>
      <c r="D18" s="1" t="s">
        <v>25</v>
      </c>
      <c r="E18" s="4"/>
      <c r="F18" s="12"/>
    </row>
    <row r="19" spans="3:6" x14ac:dyDescent="0.25">
      <c r="C19" s="48" t="s">
        <v>27</v>
      </c>
      <c r="D19" s="10">
        <v>22</v>
      </c>
      <c r="E19" s="4"/>
      <c r="F19" s="12"/>
    </row>
    <row r="20" spans="3:6" x14ac:dyDescent="0.25">
      <c r="C20" s="48" t="s">
        <v>28</v>
      </c>
      <c r="D20" s="10">
        <v>22</v>
      </c>
      <c r="E20" s="4"/>
      <c r="F20" s="12"/>
    </row>
    <row r="21" spans="3:6" x14ac:dyDescent="0.25">
      <c r="C21" s="48" t="s">
        <v>29</v>
      </c>
      <c r="D21" s="10"/>
      <c r="E21" s="4"/>
    </row>
    <row r="22" spans="3:6" x14ac:dyDescent="0.25">
      <c r="C22" s="48" t="s">
        <v>30</v>
      </c>
      <c r="D22" s="10"/>
      <c r="E22" s="4"/>
      <c r="F22" t="s">
        <v>31</v>
      </c>
    </row>
    <row r="23" spans="3:6" ht="60" x14ac:dyDescent="0.25">
      <c r="C23" s="48" t="s">
        <v>32</v>
      </c>
      <c r="D23" s="10"/>
      <c r="E23" s="4"/>
      <c r="F23" s="21" t="s">
        <v>519</v>
      </c>
    </row>
    <row r="24" spans="3:6" x14ac:dyDescent="0.25">
      <c r="C24" s="48" t="s">
        <v>34</v>
      </c>
      <c r="D24" s="1">
        <f>SUM(D19:D23)</f>
        <v>44</v>
      </c>
      <c r="E24" s="4"/>
      <c r="F24" s="12"/>
    </row>
    <row r="25" spans="3:6" x14ac:dyDescent="0.25">
      <c r="F25" s="12"/>
    </row>
    <row r="26" spans="3:6" x14ac:dyDescent="0.25">
      <c r="F26" s="12"/>
    </row>
    <row r="27" spans="3:6" ht="18.75" x14ac:dyDescent="0.25">
      <c r="C27" s="5" t="s">
        <v>35</v>
      </c>
      <c r="D27" s="7" t="s">
        <v>36</v>
      </c>
      <c r="F27" s="12"/>
    </row>
    <row r="28" spans="3:6" x14ac:dyDescent="0.25">
      <c r="C28" s="3" t="s">
        <v>37</v>
      </c>
      <c r="D28" s="3" t="s">
        <v>38</v>
      </c>
      <c r="E28" s="3"/>
      <c r="F28" s="12"/>
    </row>
    <row r="29" spans="3:6" ht="27" x14ac:dyDescent="0.25">
      <c r="C29" s="48" t="s">
        <v>39</v>
      </c>
      <c r="D29" s="28" t="s">
        <v>520</v>
      </c>
      <c r="E29" s="4"/>
      <c r="F29" s="12"/>
    </row>
    <row r="30" spans="3:6" ht="27" x14ac:dyDescent="0.25">
      <c r="C30" s="48" t="s">
        <v>41</v>
      </c>
      <c r="D30" s="28" t="s">
        <v>521</v>
      </c>
      <c r="E30" s="4"/>
      <c r="F30" s="12"/>
    </row>
    <row r="31" spans="3:6" x14ac:dyDescent="0.25">
      <c r="C31" s="48" t="s">
        <v>43</v>
      </c>
      <c r="D31" s="9"/>
      <c r="E31" s="4"/>
      <c r="F31" s="12"/>
    </row>
    <row r="32" spans="3:6" x14ac:dyDescent="0.25">
      <c r="C32" s="48" t="s">
        <v>45</v>
      </c>
      <c r="D32" s="9"/>
      <c r="E32" s="4"/>
      <c r="F32" s="12"/>
    </row>
    <row r="33" spans="3:8" x14ac:dyDescent="0.25">
      <c r="C33" s="48" t="s">
        <v>47</v>
      </c>
      <c r="D33" s="9"/>
      <c r="E33" s="4"/>
      <c r="F33" s="12"/>
    </row>
    <row r="36" spans="3:8" ht="18.75" x14ac:dyDescent="0.25">
      <c r="C36" s="5" t="s">
        <v>49</v>
      </c>
    </row>
    <row r="37" spans="3:8" x14ac:dyDescent="0.25">
      <c r="C37" s="3" t="s">
        <v>50</v>
      </c>
      <c r="D37" s="3" t="s">
        <v>51</v>
      </c>
      <c r="E37" s="3" t="s">
        <v>52</v>
      </c>
      <c r="F37" s="3" t="s">
        <v>53</v>
      </c>
      <c r="G37" s="3" t="s">
        <v>54</v>
      </c>
      <c r="H37" s="3" t="s">
        <v>55</v>
      </c>
    </row>
    <row r="38" spans="3:8" ht="30" x14ac:dyDescent="0.25">
      <c r="C38" s="48" t="s">
        <v>56</v>
      </c>
      <c r="D38" s="9" t="s">
        <v>206</v>
      </c>
      <c r="E38" s="9" t="s">
        <v>61</v>
      </c>
      <c r="F38" s="9" t="s">
        <v>522</v>
      </c>
      <c r="G38" s="11">
        <v>0.5</v>
      </c>
      <c r="H38" s="9">
        <v>6</v>
      </c>
    </row>
    <row r="39" spans="3:8" ht="30" x14ac:dyDescent="0.25">
      <c r="C39" s="48" t="s">
        <v>60</v>
      </c>
      <c r="D39" s="9" t="s">
        <v>127</v>
      </c>
      <c r="E39" s="9" t="s">
        <v>250</v>
      </c>
      <c r="F39" s="9" t="s">
        <v>523</v>
      </c>
      <c r="G39" s="11">
        <v>0.5</v>
      </c>
      <c r="H39" s="9" t="s">
        <v>524</v>
      </c>
    </row>
    <row r="40" spans="3:8" x14ac:dyDescent="0.25">
      <c r="C40" s="48" t="s">
        <v>63</v>
      </c>
      <c r="D40" s="12"/>
      <c r="E40" s="12"/>
      <c r="F40" s="12"/>
      <c r="G40" s="12"/>
      <c r="H40" s="12"/>
    </row>
    <row r="41" spans="3:8" x14ac:dyDescent="0.25">
      <c r="C41" s="48" t="s">
        <v>64</v>
      </c>
      <c r="D41" s="12"/>
      <c r="E41" s="12"/>
      <c r="F41" s="12"/>
      <c r="G41" s="12"/>
      <c r="H41" s="12"/>
    </row>
    <row r="42" spans="3:8" x14ac:dyDescent="0.25">
      <c r="C42" s="3"/>
    </row>
    <row r="44" spans="3:8" ht="18.75" x14ac:dyDescent="0.25">
      <c r="C44" s="5" t="s">
        <v>65</v>
      </c>
      <c r="D44" s="7"/>
    </row>
    <row r="45" spans="3:8" x14ac:dyDescent="0.25">
      <c r="C45" s="1" t="s">
        <v>50</v>
      </c>
      <c r="D45" s="1" t="s">
        <v>37</v>
      </c>
      <c r="E45" s="1" t="s">
        <v>66</v>
      </c>
      <c r="F45" s="1" t="s">
        <v>67</v>
      </c>
    </row>
    <row r="46" spans="3:8" x14ac:dyDescent="0.25">
      <c r="C46" s="13" t="s">
        <v>56</v>
      </c>
      <c r="D46" s="12" t="s">
        <v>39</v>
      </c>
      <c r="E46" s="12" t="s">
        <v>68</v>
      </c>
      <c r="F46" s="12" t="s">
        <v>69</v>
      </c>
    </row>
    <row r="47" spans="3:8" x14ac:dyDescent="0.25">
      <c r="C47" s="13" t="s">
        <v>56</v>
      </c>
      <c r="D47" s="12" t="s">
        <v>39</v>
      </c>
      <c r="E47" s="12" t="s">
        <v>70</v>
      </c>
      <c r="F47" s="12" t="s">
        <v>525</v>
      </c>
    </row>
    <row r="48" spans="3:8" x14ac:dyDescent="0.25">
      <c r="C48" s="13" t="s">
        <v>56</v>
      </c>
      <c r="D48" s="12" t="s">
        <v>39</v>
      </c>
      <c r="E48" s="12" t="s">
        <v>72</v>
      </c>
      <c r="F48" s="12" t="s">
        <v>131</v>
      </c>
    </row>
    <row r="49" spans="3:6" x14ac:dyDescent="0.25">
      <c r="C49" s="13"/>
      <c r="D49" s="12"/>
      <c r="E49" s="12"/>
      <c r="F49" s="12"/>
    </row>
    <row r="50" spans="3:6" x14ac:dyDescent="0.25">
      <c r="C50" s="13" t="s">
        <v>56</v>
      </c>
      <c r="D50" s="12" t="s">
        <v>39</v>
      </c>
      <c r="E50" s="12" t="s">
        <v>70</v>
      </c>
      <c r="F50" s="12" t="s">
        <v>344</v>
      </c>
    </row>
    <row r="51" spans="3:6" x14ac:dyDescent="0.25">
      <c r="C51" s="13" t="s">
        <v>56</v>
      </c>
      <c r="D51" s="12" t="s">
        <v>39</v>
      </c>
      <c r="E51" s="12" t="s">
        <v>68</v>
      </c>
      <c r="F51" s="12" t="s">
        <v>163</v>
      </c>
    </row>
    <row r="52" spans="3:6" x14ac:dyDescent="0.25">
      <c r="C52" s="13" t="s">
        <v>56</v>
      </c>
      <c r="D52" s="12" t="s">
        <v>39</v>
      </c>
      <c r="E52" s="12" t="s">
        <v>68</v>
      </c>
      <c r="F52" s="12" t="s">
        <v>130</v>
      </c>
    </row>
    <row r="53" spans="3:6" x14ac:dyDescent="0.25">
      <c r="C53" s="13" t="s">
        <v>56</v>
      </c>
      <c r="D53" s="12" t="s">
        <v>39</v>
      </c>
      <c r="E53" s="12" t="s">
        <v>68</v>
      </c>
      <c r="F53" s="12" t="s">
        <v>165</v>
      </c>
    </row>
    <row r="54" spans="3:6" x14ac:dyDescent="0.25">
      <c r="C54" s="13" t="s">
        <v>56</v>
      </c>
      <c r="D54" s="12" t="s">
        <v>39</v>
      </c>
      <c r="E54" s="12" t="s">
        <v>78</v>
      </c>
      <c r="F54" s="12" t="s">
        <v>212</v>
      </c>
    </row>
    <row r="55" spans="3:6" x14ac:dyDescent="0.25">
      <c r="C55" s="13" t="s">
        <v>56</v>
      </c>
      <c r="D55" s="12" t="s">
        <v>39</v>
      </c>
      <c r="E55" s="12" t="s">
        <v>82</v>
      </c>
      <c r="F55" s="12" t="s">
        <v>171</v>
      </c>
    </row>
    <row r="56" spans="3:6" x14ac:dyDescent="0.25">
      <c r="C56" s="13" t="s">
        <v>56</v>
      </c>
      <c r="D56" s="12" t="s">
        <v>39</v>
      </c>
      <c r="E56" s="12" t="s">
        <v>82</v>
      </c>
      <c r="F56" s="12" t="s">
        <v>255</v>
      </c>
    </row>
    <row r="57" spans="3:6" x14ac:dyDescent="0.25">
      <c r="C57" s="13" t="s">
        <v>56</v>
      </c>
      <c r="D57" s="12" t="s">
        <v>39</v>
      </c>
      <c r="E57" s="12" t="s">
        <v>82</v>
      </c>
      <c r="F57" s="12" t="s">
        <v>83</v>
      </c>
    </row>
    <row r="58" spans="3:6" x14ac:dyDescent="0.25">
      <c r="C58" s="13" t="s">
        <v>60</v>
      </c>
      <c r="D58" s="12" t="s">
        <v>41</v>
      </c>
      <c r="E58" s="12" t="s">
        <v>68</v>
      </c>
      <c r="F58" s="12" t="s">
        <v>69</v>
      </c>
    </row>
    <row r="59" spans="3:6" x14ac:dyDescent="0.25">
      <c r="C59" s="13" t="s">
        <v>60</v>
      </c>
      <c r="D59" s="12" t="s">
        <v>41</v>
      </c>
      <c r="E59" s="12" t="s">
        <v>68</v>
      </c>
      <c r="F59" s="12" t="s">
        <v>164</v>
      </c>
    </row>
    <row r="60" spans="3:6" x14ac:dyDescent="0.25">
      <c r="C60" s="13" t="s">
        <v>60</v>
      </c>
      <c r="D60" s="12" t="s">
        <v>41</v>
      </c>
      <c r="E60" s="12" t="s">
        <v>70</v>
      </c>
      <c r="F60" s="12" t="s">
        <v>525</v>
      </c>
    </row>
    <row r="61" spans="3:6" x14ac:dyDescent="0.25">
      <c r="C61" s="13" t="s">
        <v>60</v>
      </c>
      <c r="D61" s="12" t="s">
        <v>41</v>
      </c>
      <c r="E61" s="12" t="s">
        <v>72</v>
      </c>
      <c r="F61" s="12" t="s">
        <v>131</v>
      </c>
    </row>
    <row r="62" spans="3:6" x14ac:dyDescent="0.25">
      <c r="C62" s="13" t="s">
        <v>60</v>
      </c>
      <c r="D62" s="12" t="s">
        <v>41</v>
      </c>
      <c r="E62" s="12" t="s">
        <v>82</v>
      </c>
      <c r="F62" s="12" t="s">
        <v>83</v>
      </c>
    </row>
    <row r="63" spans="3:6" x14ac:dyDescent="0.25">
      <c r="C63" s="13" t="s">
        <v>60</v>
      </c>
      <c r="D63" s="12" t="s">
        <v>41</v>
      </c>
      <c r="E63" s="12" t="s">
        <v>86</v>
      </c>
      <c r="F63" s="12" t="s">
        <v>168</v>
      </c>
    </row>
    <row r="64" spans="3:6" x14ac:dyDescent="0.25">
      <c r="C64" s="13"/>
      <c r="D64" s="12"/>
      <c r="E64" s="12"/>
      <c r="F64" s="12"/>
    </row>
    <row r="65" spans="2:6" x14ac:dyDescent="0.25">
      <c r="C65" s="13"/>
      <c r="D65" s="12"/>
      <c r="E65" s="12"/>
      <c r="F65" s="12"/>
    </row>
    <row r="66" spans="2:6" x14ac:dyDescent="0.25">
      <c r="C66" s="13"/>
      <c r="D66" s="12"/>
      <c r="E66" s="12"/>
      <c r="F66" s="12"/>
    </row>
    <row r="67" spans="2:6" x14ac:dyDescent="0.25">
      <c r="C67" s="13"/>
      <c r="D67" s="12"/>
      <c r="E67" s="12"/>
      <c r="F67" s="12"/>
    </row>
    <row r="68" spans="2:6" x14ac:dyDescent="0.25">
      <c r="C68" s="13"/>
      <c r="D68" s="12"/>
      <c r="E68" s="12"/>
      <c r="F68" s="12"/>
    </row>
    <row r="71" spans="2:6" ht="18.75" x14ac:dyDescent="0.25">
      <c r="C71" s="5" t="s">
        <v>90</v>
      </c>
    </row>
    <row r="72" spans="2:6" x14ac:dyDescent="0.25">
      <c r="B72" t="s">
        <v>91</v>
      </c>
      <c r="C72" s="1" t="s">
        <v>92</v>
      </c>
      <c r="D72" s="1" t="s">
        <v>93</v>
      </c>
      <c r="E72" s="1" t="s">
        <v>94</v>
      </c>
      <c r="F72" s="1" t="s">
        <v>95</v>
      </c>
    </row>
    <row r="73" spans="2:6" x14ac:dyDescent="0.25">
      <c r="B73" s="49">
        <v>1</v>
      </c>
      <c r="C73" s="50">
        <v>1</v>
      </c>
      <c r="D73" s="9"/>
      <c r="E73" s="9"/>
      <c r="F73" s="9"/>
    </row>
    <row r="74" spans="2:6" x14ac:dyDescent="0.25">
      <c r="B74" s="49">
        <v>1</v>
      </c>
      <c r="C74" s="50">
        <v>2</v>
      </c>
      <c r="D74" s="9"/>
      <c r="E74" s="9"/>
      <c r="F74" s="9"/>
    </row>
    <row r="75" spans="2:6" x14ac:dyDescent="0.25">
      <c r="B75" s="49">
        <v>1</v>
      </c>
      <c r="C75" s="50">
        <v>3</v>
      </c>
      <c r="D75" s="9"/>
      <c r="E75" s="9"/>
      <c r="F75" s="9"/>
    </row>
    <row r="76" spans="2:6" x14ac:dyDescent="0.25">
      <c r="B76" s="49">
        <v>1</v>
      </c>
      <c r="C76" s="50">
        <v>4</v>
      </c>
      <c r="D76" s="9"/>
      <c r="E76" s="9"/>
      <c r="F76" s="9"/>
    </row>
    <row r="77" spans="2:6" x14ac:dyDescent="0.25">
      <c r="B77" s="49">
        <v>1</v>
      </c>
      <c r="C77" s="50">
        <v>5</v>
      </c>
      <c r="D77" s="9"/>
      <c r="E77" s="9"/>
      <c r="F77" s="9"/>
    </row>
    <row r="78" spans="2:6" x14ac:dyDescent="0.25">
      <c r="B78" s="49">
        <v>1</v>
      </c>
      <c r="C78" s="50">
        <v>6</v>
      </c>
      <c r="D78" s="9"/>
      <c r="E78" s="9"/>
      <c r="F78" s="9"/>
    </row>
    <row r="79" spans="2:6" x14ac:dyDescent="0.25">
      <c r="B79" s="49">
        <v>1</v>
      </c>
      <c r="C79" s="50">
        <v>7</v>
      </c>
      <c r="D79" s="9"/>
      <c r="E79" s="9"/>
      <c r="F79" s="9"/>
    </row>
    <row r="80" spans="2:6" x14ac:dyDescent="0.25">
      <c r="B80" s="49">
        <v>1</v>
      </c>
      <c r="C80" s="50">
        <v>8</v>
      </c>
      <c r="D80" s="9"/>
      <c r="E80" s="9"/>
      <c r="F80" s="9"/>
    </row>
    <row r="81" spans="2:6" x14ac:dyDescent="0.25">
      <c r="B81" s="49">
        <v>1</v>
      </c>
      <c r="C81" s="50">
        <v>9</v>
      </c>
      <c r="D81" s="9"/>
      <c r="E81" s="9"/>
      <c r="F81" s="9"/>
    </row>
    <row r="82" spans="2:6" x14ac:dyDescent="0.25">
      <c r="B82" s="49">
        <v>1</v>
      </c>
      <c r="C82" s="50">
        <v>10</v>
      </c>
      <c r="D82" s="9"/>
      <c r="E82" s="9"/>
      <c r="F82" s="9"/>
    </row>
    <row r="83" spans="2:6" x14ac:dyDescent="0.25">
      <c r="B83" s="49">
        <v>1</v>
      </c>
      <c r="C83" s="50">
        <v>11</v>
      </c>
      <c r="D83" s="9"/>
      <c r="E83" s="9"/>
      <c r="F83" s="9"/>
    </row>
    <row r="84" spans="2:6" x14ac:dyDescent="0.25">
      <c r="B84" s="49">
        <v>1</v>
      </c>
      <c r="C84" s="50">
        <v>12</v>
      </c>
      <c r="D84" s="9"/>
      <c r="E84" s="9"/>
      <c r="F84" s="9"/>
    </row>
    <row r="85" spans="2:6" x14ac:dyDescent="0.25">
      <c r="B85" s="49">
        <v>2</v>
      </c>
      <c r="C85" s="50">
        <v>1</v>
      </c>
      <c r="D85" s="9" t="s">
        <v>526</v>
      </c>
      <c r="E85" s="9" t="s">
        <v>527</v>
      </c>
      <c r="F85" s="9"/>
    </row>
    <row r="86" spans="2:6" x14ac:dyDescent="0.25">
      <c r="B86" s="49">
        <v>2</v>
      </c>
      <c r="C86" s="50">
        <v>2</v>
      </c>
      <c r="D86" s="9" t="s">
        <v>528</v>
      </c>
      <c r="E86" s="15" t="s">
        <v>527</v>
      </c>
      <c r="F86" s="9"/>
    </row>
    <row r="87" spans="2:6" x14ac:dyDescent="0.25">
      <c r="B87" s="49">
        <v>2</v>
      </c>
      <c r="C87" s="50">
        <v>3</v>
      </c>
      <c r="D87" s="9" t="s">
        <v>529</v>
      </c>
      <c r="E87" s="15" t="s">
        <v>527</v>
      </c>
      <c r="F87" s="9"/>
    </row>
    <row r="88" spans="2:6" x14ac:dyDescent="0.25">
      <c r="B88" s="49">
        <v>2</v>
      </c>
      <c r="C88" s="50">
        <v>4</v>
      </c>
      <c r="D88" s="9" t="s">
        <v>530</v>
      </c>
      <c r="E88" s="15" t="s">
        <v>527</v>
      </c>
      <c r="F88" s="9"/>
    </row>
    <row r="89" spans="2:6" x14ac:dyDescent="0.25">
      <c r="B89" s="49">
        <v>2</v>
      </c>
      <c r="C89" s="50">
        <v>5</v>
      </c>
      <c r="D89" s="9" t="s">
        <v>531</v>
      </c>
      <c r="E89" s="15" t="s">
        <v>527</v>
      </c>
      <c r="F89" s="9"/>
    </row>
    <row r="90" spans="2:6" x14ac:dyDescent="0.25">
      <c r="B90" s="49">
        <v>2</v>
      </c>
      <c r="C90" s="50">
        <v>6</v>
      </c>
      <c r="D90" s="9" t="s">
        <v>532</v>
      </c>
      <c r="E90" s="15" t="s">
        <v>527</v>
      </c>
      <c r="F90" s="9"/>
    </row>
    <row r="91" spans="2:6" x14ac:dyDescent="0.25">
      <c r="B91" s="49">
        <v>2</v>
      </c>
      <c r="C91" s="50">
        <v>7</v>
      </c>
      <c r="D91" s="9" t="s">
        <v>137</v>
      </c>
      <c r="E91" s="9" t="s">
        <v>137</v>
      </c>
      <c r="F91" s="9"/>
    </row>
    <row r="92" spans="2:6" x14ac:dyDescent="0.25">
      <c r="B92" s="49">
        <v>2</v>
      </c>
      <c r="C92" s="50">
        <v>8</v>
      </c>
      <c r="D92" s="9" t="s">
        <v>533</v>
      </c>
      <c r="E92" s="15" t="s">
        <v>527</v>
      </c>
      <c r="F92" s="9"/>
    </row>
    <row r="93" spans="2:6" x14ac:dyDescent="0.25">
      <c r="B93" s="49">
        <v>2</v>
      </c>
      <c r="C93" s="50">
        <v>9</v>
      </c>
      <c r="D93" s="9" t="s">
        <v>534</v>
      </c>
      <c r="E93" s="15" t="s">
        <v>527</v>
      </c>
      <c r="F93" s="9"/>
    </row>
    <row r="94" spans="2:6" x14ac:dyDescent="0.25">
      <c r="B94" s="49">
        <v>2</v>
      </c>
      <c r="C94" s="50">
        <v>10</v>
      </c>
      <c r="D94" s="9" t="s">
        <v>535</v>
      </c>
      <c r="E94" s="15" t="s">
        <v>527</v>
      </c>
      <c r="F94" s="9"/>
    </row>
    <row r="95" spans="2:6" x14ac:dyDescent="0.25">
      <c r="B95" s="49">
        <v>2</v>
      </c>
      <c r="C95" s="50">
        <v>11</v>
      </c>
      <c r="D95" s="9" t="s">
        <v>536</v>
      </c>
      <c r="E95" s="15" t="s">
        <v>527</v>
      </c>
      <c r="F95" s="9"/>
    </row>
    <row r="96" spans="2:6" ht="30" x14ac:dyDescent="0.25">
      <c r="B96" s="49">
        <v>2</v>
      </c>
      <c r="C96" s="50">
        <v>12</v>
      </c>
      <c r="D96" s="9" t="s">
        <v>537</v>
      </c>
      <c r="E96" s="15" t="s">
        <v>527</v>
      </c>
      <c r="F96" s="9"/>
    </row>
  </sheetData>
  <sheetProtection sheet="1" objects="1" scenarios="1" formatCells="0" formatColumns="0" formatRows="0" insertHyperlinks="0"/>
  <dataValidations count="4">
    <dataValidation type="whole" showInputMessage="1" showErrorMessage="1" error="This is not a realistic number of contact hours please reduce" sqref="D20:D23" xr:uid="{4CD06D9F-B01B-4457-970D-A06930C54E93}">
      <formula1>0</formula1>
      <formula2>80</formula2>
    </dataValidation>
    <dataValidation type="whole" showInputMessage="1" showErrorMessage="1" error="This is not a realistic number of contact hours please change" sqref="D19" xr:uid="{63F672F2-9C2D-49E0-B21F-66A62EA27310}">
      <formula1>0</formula1>
      <formula2>80</formula2>
    </dataValidation>
    <dataValidation type="list" allowBlank="1" showInputMessage="1" showErrorMessage="1" sqref="E38:E41" xr:uid="{DFA2EEE3-AB9D-4F7C-8E30-3C3C00872C8A}">
      <formula1>INDIRECT("LISTAssess[Assessment Specific]")</formula1>
    </dataValidation>
    <dataValidation type="list" allowBlank="1" showInputMessage="1" showErrorMessage="1" sqref="F46:F68" xr:uid="{BD0B3AD5-4A05-466E-9EAF-E466604786A1}">
      <formula1>INDIRECT(VLOOKUP($E46, SkillNameMap, 2, FALSE))</formula1>
    </dataValidation>
  </dataValidations>
  <pageMargins left="0.7" right="0.7" top="0.75" bottom="0.75" header="0.3" footer="0.3"/>
  <pageSetup paperSize="9" orientation="portrait" horizontalDpi="4294967293" verticalDpi="0" r:id="rId1"/>
  <tableParts count="10">
    <tablePart r:id="rId2"/>
    <tablePart r:id="rId3"/>
    <tablePart r:id="rId4"/>
    <tablePart r:id="rId5"/>
    <tablePart r:id="rId6"/>
    <tablePart r:id="rId7"/>
    <tablePart r:id="rId8"/>
    <tablePart r:id="rId9"/>
    <tablePart r:id="rId10"/>
    <tablePart r:id="rId11"/>
  </tableParts>
  <extLst>
    <ext xmlns:x14="http://schemas.microsoft.com/office/spreadsheetml/2009/9/main" uri="{CCE6A557-97BC-4b89-ADB6-D9C93CAAB3DF}">
      <x14:dataValidations xmlns:xm="http://schemas.microsoft.com/office/excel/2006/main" count="7">
        <x14:dataValidation type="list" allowBlank="1" showInputMessage="1" showErrorMessage="1" xr:uid="{39735843-EE1A-45FF-B467-A90D5F8EC861}">
          <x14:formula1>
            <xm:f>LISTS!$C$26:$C$37</xm:f>
          </x14:formula1>
          <xm:sqref>D14</xm:sqref>
        </x14:dataValidation>
        <x14:dataValidation type="list" allowBlank="1" showInputMessage="1" showErrorMessage="1" xr:uid="{681495C4-F231-4E60-A408-2A29AE659913}">
          <x14:formula1>
            <xm:f>LISTS!$C$17:$C$22</xm:f>
          </x14:formula1>
          <xm:sqref>D13</xm:sqref>
        </x14:dataValidation>
        <x14:dataValidation type="list" allowBlank="1" showInputMessage="1" showErrorMessage="1" xr:uid="{F64EA1C2-314E-47D2-98EB-EB9128A71684}">
          <x14:formula1>
            <xm:f>LISTS!$C$7:$C$9</xm:f>
          </x14:formula1>
          <xm:sqref>D10</xm:sqref>
        </x14:dataValidation>
        <x14:dataValidation type="list" allowBlank="1" showInputMessage="1" showErrorMessage="1" xr:uid="{983858DF-F117-4ABC-BB76-AC82A216171D}">
          <x14:formula1>
            <xm:f>LISTS!$C$11:$C$15</xm:f>
          </x14:formula1>
          <xm:sqref>D11</xm:sqref>
        </x14:dataValidation>
        <x14:dataValidation type="list" allowBlank="1" showInputMessage="1" showErrorMessage="1" xr:uid="{20095D0C-07FE-4EE7-BFEC-317D253839B4}">
          <x14:formula1>
            <xm:f>LISTS!$G$7:$G$11</xm:f>
          </x14:formula1>
          <xm:sqref>D38:D42</xm:sqref>
        </x14:dataValidation>
        <x14:dataValidation type="list" allowBlank="1" showInputMessage="1" showErrorMessage="1" xr:uid="{1AB77DFB-5427-40D4-BAEB-24C786FA7A86}">
          <x14:formula1>
            <xm:f>LISTS!$E$7:$E$11</xm:f>
          </x14:formula1>
          <xm:sqref>D46:D68</xm:sqref>
        </x14:dataValidation>
        <x14:dataValidation type="list" allowBlank="1" showInputMessage="1" showErrorMessage="1" xr:uid="{EB948922-0A22-4BD6-8094-4C6953146F85}">
          <x14:formula1>
            <xm:f>LISTS!$J$7:$J$16</xm:f>
          </x14:formula1>
          <xm:sqref>E46:E68</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B45A9-AC63-4333-865C-D4B13C7A4426}">
  <sheetPr codeName="Sheet14"/>
  <dimension ref="B2:H94"/>
  <sheetViews>
    <sheetView showGridLines="0" tabSelected="1" topLeftCell="A25" zoomScale="85" zoomScaleNormal="85" workbookViewId="0">
      <selection activeCell="D56" sqref="D56:D62"/>
    </sheetView>
  </sheetViews>
  <sheetFormatPr defaultColWidth="8.85546875" defaultRowHeight="15" x14ac:dyDescent="0.25"/>
  <cols>
    <col min="3" max="3" width="33.28515625" customWidth="1"/>
    <col min="4" max="4" width="51.42578125" customWidth="1"/>
    <col min="5" max="5" width="67.28515625" customWidth="1"/>
    <col min="6" max="6" width="63.140625" customWidth="1"/>
    <col min="7" max="7" width="12.42578125" customWidth="1"/>
    <col min="8" max="8" width="15.42578125" customWidth="1"/>
    <col min="9" max="9" width="14.7109375" customWidth="1"/>
  </cols>
  <sheetData>
    <row r="2" spans="2:6" ht="26.25" x14ac:dyDescent="0.4">
      <c r="C2" s="8" t="str">
        <f>D7</f>
        <v>6054SPS</v>
      </c>
      <c r="D2" s="8" t="str">
        <f>D8</f>
        <v xml:space="preserve">Professional placement or work related learning project </v>
      </c>
    </row>
    <row r="3" spans="2:6" x14ac:dyDescent="0.25">
      <c r="B3" s="1"/>
      <c r="C3" s="1"/>
    </row>
    <row r="4" spans="2:6" x14ac:dyDescent="0.25">
      <c r="B4" s="2"/>
      <c r="C4" s="2"/>
    </row>
    <row r="5" spans="2:6" ht="18.75" x14ac:dyDescent="0.25">
      <c r="B5" s="2"/>
      <c r="C5" s="5" t="s">
        <v>0</v>
      </c>
    </row>
    <row r="6" spans="2:6" x14ac:dyDescent="0.25">
      <c r="B6" s="2"/>
      <c r="C6" s="3" t="s">
        <v>1</v>
      </c>
      <c r="D6" s="4" t="s">
        <v>2</v>
      </c>
      <c r="E6" s="4"/>
      <c r="F6" t="s">
        <v>3</v>
      </c>
    </row>
    <row r="7" spans="2:6" ht="60" x14ac:dyDescent="0.25">
      <c r="B7" s="2"/>
      <c r="C7" s="48" t="s">
        <v>4</v>
      </c>
      <c r="D7" s="9" t="s">
        <v>538</v>
      </c>
      <c r="E7" s="4"/>
      <c r="F7" s="25" t="s">
        <v>539</v>
      </c>
    </row>
    <row r="8" spans="2:6" x14ac:dyDescent="0.25">
      <c r="B8" s="2"/>
      <c r="C8" s="48" t="s">
        <v>7</v>
      </c>
      <c r="D8" s="9" t="s">
        <v>540</v>
      </c>
      <c r="E8" s="4"/>
      <c r="F8" s="12"/>
    </row>
    <row r="9" spans="2:6" x14ac:dyDescent="0.25">
      <c r="C9" s="48" t="s">
        <v>10</v>
      </c>
      <c r="D9" s="9">
        <v>20</v>
      </c>
      <c r="E9" s="4"/>
    </row>
    <row r="10" spans="2:6" x14ac:dyDescent="0.25">
      <c r="C10" s="48" t="s">
        <v>11</v>
      </c>
      <c r="D10" s="9">
        <v>2</v>
      </c>
      <c r="E10" s="4"/>
      <c r="F10" t="s">
        <v>12</v>
      </c>
    </row>
    <row r="11" spans="2:6" x14ac:dyDescent="0.25">
      <c r="C11" s="48" t="s">
        <v>13</v>
      </c>
      <c r="D11" s="9">
        <v>6</v>
      </c>
      <c r="E11" s="4"/>
      <c r="F11" s="66" t="s">
        <v>541</v>
      </c>
    </row>
    <row r="12" spans="2:6" ht="29.25" x14ac:dyDescent="0.25">
      <c r="C12" s="48" t="s">
        <v>15</v>
      </c>
      <c r="D12" s="9" t="s">
        <v>469</v>
      </c>
      <c r="E12" s="4"/>
      <c r="F12" s="76" t="s">
        <v>542</v>
      </c>
    </row>
    <row r="13" spans="2:6" ht="43.5" x14ac:dyDescent="0.25">
      <c r="C13" s="48" t="s">
        <v>18</v>
      </c>
      <c r="D13" s="9" t="s">
        <v>543</v>
      </c>
      <c r="E13" s="4"/>
      <c r="F13" s="76" t="s">
        <v>544</v>
      </c>
    </row>
    <row r="14" spans="2:6" x14ac:dyDescent="0.25">
      <c r="C14" s="48" t="s">
        <v>21</v>
      </c>
      <c r="D14" s="9" t="s">
        <v>22</v>
      </c>
      <c r="E14" s="4"/>
    </row>
    <row r="15" spans="2:6" x14ac:dyDescent="0.25">
      <c r="C15" s="3"/>
      <c r="D15" s="4"/>
      <c r="E15" s="4"/>
      <c r="F15" t="s">
        <v>23</v>
      </c>
    </row>
    <row r="16" spans="2:6" ht="105" x14ac:dyDescent="0.25">
      <c r="C16" s="3"/>
      <c r="D16" s="4"/>
      <c r="E16" s="4"/>
      <c r="F16" s="25" t="s">
        <v>545</v>
      </c>
    </row>
    <row r="17" spans="3:6" ht="18.75" x14ac:dyDescent="0.25">
      <c r="C17" s="5" t="s">
        <v>25</v>
      </c>
      <c r="D17" s="4"/>
      <c r="E17" s="4"/>
      <c r="F17" s="12"/>
    </row>
    <row r="18" spans="3:6" x14ac:dyDescent="0.25">
      <c r="C18" s="3" t="s">
        <v>26</v>
      </c>
      <c r="D18" s="1" t="s">
        <v>25</v>
      </c>
      <c r="E18" s="4"/>
      <c r="F18" s="12"/>
    </row>
    <row r="19" spans="3:6" x14ac:dyDescent="0.25">
      <c r="C19" s="48" t="s">
        <v>27</v>
      </c>
      <c r="D19" s="10"/>
      <c r="E19" s="4"/>
      <c r="F19" s="12"/>
    </row>
    <row r="20" spans="3:6" x14ac:dyDescent="0.25">
      <c r="C20" s="48" t="s">
        <v>28</v>
      </c>
      <c r="D20" s="10">
        <v>10</v>
      </c>
      <c r="E20" s="4"/>
      <c r="F20" s="12"/>
    </row>
    <row r="21" spans="3:6" x14ac:dyDescent="0.25">
      <c r="C21" s="48" t="s">
        <v>29</v>
      </c>
      <c r="D21" s="10">
        <v>30</v>
      </c>
      <c r="E21" s="4"/>
    </row>
    <row r="22" spans="3:6" x14ac:dyDescent="0.25">
      <c r="C22" s="48" t="s">
        <v>30</v>
      </c>
      <c r="D22" s="10">
        <v>6</v>
      </c>
      <c r="E22" s="4"/>
      <c r="F22" t="s">
        <v>31</v>
      </c>
    </row>
    <row r="23" spans="3:6" ht="30" x14ac:dyDescent="0.25">
      <c r="C23" s="48" t="s">
        <v>32</v>
      </c>
      <c r="D23" s="10"/>
      <c r="E23" s="4"/>
      <c r="F23" s="65" t="s">
        <v>546</v>
      </c>
    </row>
    <row r="24" spans="3:6" ht="60" x14ac:dyDescent="0.25">
      <c r="C24" s="48" t="s">
        <v>34</v>
      </c>
      <c r="D24" s="1">
        <f>SUM(D19:D23)</f>
        <v>46</v>
      </c>
      <c r="E24" s="4"/>
      <c r="F24" s="65" t="s">
        <v>547</v>
      </c>
    </row>
    <row r="25" spans="3:6" ht="60" x14ac:dyDescent="0.25">
      <c r="F25" s="36" t="s">
        <v>548</v>
      </c>
    </row>
    <row r="26" spans="3:6" x14ac:dyDescent="0.25">
      <c r="F26" s="12"/>
    </row>
    <row r="27" spans="3:6" ht="18.75" x14ac:dyDescent="0.25">
      <c r="C27" s="5" t="s">
        <v>35</v>
      </c>
      <c r="D27" s="7" t="s">
        <v>36</v>
      </c>
      <c r="F27" s="12"/>
    </row>
    <row r="28" spans="3:6" x14ac:dyDescent="0.25">
      <c r="C28" s="3" t="s">
        <v>37</v>
      </c>
      <c r="D28" s="3" t="s">
        <v>38</v>
      </c>
      <c r="E28" s="3"/>
      <c r="F28" s="12"/>
    </row>
    <row r="29" spans="3:6" ht="47.25" x14ac:dyDescent="0.3">
      <c r="C29" s="48" t="s">
        <v>39</v>
      </c>
      <c r="D29" s="27" t="s">
        <v>549</v>
      </c>
      <c r="E29" s="4"/>
      <c r="F29" s="12"/>
    </row>
    <row r="30" spans="3:6" ht="47.25" x14ac:dyDescent="0.3">
      <c r="C30" s="48" t="s">
        <v>41</v>
      </c>
      <c r="D30" s="27" t="s">
        <v>550</v>
      </c>
      <c r="E30" s="4"/>
      <c r="F30" s="12"/>
    </row>
    <row r="31" spans="3:6" ht="47.25" x14ac:dyDescent="0.3">
      <c r="C31" s="48" t="s">
        <v>43</v>
      </c>
      <c r="D31" s="27" t="s">
        <v>551</v>
      </c>
      <c r="E31" s="4"/>
      <c r="F31" s="12"/>
    </row>
    <row r="32" spans="3:6" x14ac:dyDescent="0.25">
      <c r="C32" s="48"/>
      <c r="D32" s="9"/>
      <c r="E32" s="4"/>
      <c r="F32" s="12"/>
    </row>
    <row r="33" spans="3:8" x14ac:dyDescent="0.25">
      <c r="C33" s="48"/>
      <c r="D33" s="9"/>
      <c r="E33" s="4"/>
      <c r="F33" s="12"/>
    </row>
    <row r="36" spans="3:8" ht="18.75" x14ac:dyDescent="0.25">
      <c r="C36" s="5" t="s">
        <v>49</v>
      </c>
    </row>
    <row r="37" spans="3:8" x14ac:dyDescent="0.25">
      <c r="C37" s="3" t="s">
        <v>50</v>
      </c>
      <c r="D37" s="3" t="s">
        <v>51</v>
      </c>
      <c r="E37" s="3" t="s">
        <v>52</v>
      </c>
      <c r="F37" s="3" t="s">
        <v>53</v>
      </c>
      <c r="G37" s="3" t="s">
        <v>54</v>
      </c>
      <c r="H37" s="3" t="s">
        <v>55</v>
      </c>
    </row>
    <row r="38" spans="3:8" ht="30" x14ac:dyDescent="0.25">
      <c r="C38" s="48" t="s">
        <v>56</v>
      </c>
      <c r="D38" s="9" t="s">
        <v>57</v>
      </c>
      <c r="E38" s="9"/>
      <c r="F38" s="9" t="s">
        <v>552</v>
      </c>
      <c r="G38" s="11">
        <v>0.4</v>
      </c>
      <c r="H38" s="9">
        <v>12</v>
      </c>
    </row>
    <row r="39" spans="3:8" x14ac:dyDescent="0.25">
      <c r="C39" s="48" t="s">
        <v>60</v>
      </c>
      <c r="D39" s="9" t="s">
        <v>206</v>
      </c>
      <c r="E39" s="9" t="s">
        <v>375</v>
      </c>
      <c r="F39" s="9" t="s">
        <v>553</v>
      </c>
      <c r="G39" s="11">
        <v>0.6</v>
      </c>
      <c r="H39" s="9">
        <v>12</v>
      </c>
    </row>
    <row r="40" spans="3:8" x14ac:dyDescent="0.25">
      <c r="C40" s="48" t="s">
        <v>63</v>
      </c>
      <c r="D40" s="12"/>
      <c r="E40" s="12"/>
      <c r="F40" s="12"/>
      <c r="G40" s="12"/>
      <c r="H40" s="12"/>
    </row>
    <row r="41" spans="3:8" x14ac:dyDescent="0.25">
      <c r="C41" s="48" t="s">
        <v>64</v>
      </c>
      <c r="D41" s="12"/>
      <c r="E41" s="12"/>
      <c r="F41" s="12"/>
      <c r="G41" s="12"/>
      <c r="H41" s="12"/>
    </row>
    <row r="42" spans="3:8" x14ac:dyDescent="0.25">
      <c r="C42" s="3"/>
    </row>
    <row r="44" spans="3:8" ht="18.75" x14ac:dyDescent="0.25">
      <c r="C44" s="5" t="s">
        <v>65</v>
      </c>
      <c r="D44" s="7"/>
    </row>
    <row r="45" spans="3:8" x14ac:dyDescent="0.25">
      <c r="C45" s="1" t="s">
        <v>50</v>
      </c>
      <c r="D45" s="1" t="s">
        <v>37</v>
      </c>
      <c r="E45" s="1" t="s">
        <v>66</v>
      </c>
      <c r="F45" s="1" t="s">
        <v>67</v>
      </c>
    </row>
    <row r="46" spans="3:8" x14ac:dyDescent="0.25">
      <c r="C46" s="13" t="s">
        <v>56</v>
      </c>
      <c r="D46" s="12" t="s">
        <v>39</v>
      </c>
      <c r="E46" s="12" t="s">
        <v>78</v>
      </c>
      <c r="F46" s="12" t="s">
        <v>212</v>
      </c>
    </row>
    <row r="47" spans="3:8" x14ac:dyDescent="0.25">
      <c r="C47" s="13" t="s">
        <v>56</v>
      </c>
      <c r="D47" s="12" t="s">
        <v>39</v>
      </c>
      <c r="E47" s="12" t="s">
        <v>86</v>
      </c>
      <c r="F47" s="12" t="s">
        <v>554</v>
      </c>
    </row>
    <row r="48" spans="3:8" x14ac:dyDescent="0.25">
      <c r="C48" s="13" t="s">
        <v>56</v>
      </c>
      <c r="D48" s="12" t="s">
        <v>39</v>
      </c>
      <c r="E48" s="12" t="s">
        <v>76</v>
      </c>
      <c r="F48" s="12" t="s">
        <v>483</v>
      </c>
    </row>
    <row r="49" spans="3:6" x14ac:dyDescent="0.25">
      <c r="C49" s="13" t="s">
        <v>56</v>
      </c>
      <c r="D49" s="12" t="s">
        <v>39</v>
      </c>
      <c r="E49" s="12" t="s">
        <v>76</v>
      </c>
      <c r="F49" s="12" t="s">
        <v>555</v>
      </c>
    </row>
    <row r="50" spans="3:6" x14ac:dyDescent="0.25">
      <c r="C50" s="13" t="s">
        <v>56</v>
      </c>
      <c r="D50" s="12" t="s">
        <v>39</v>
      </c>
      <c r="E50" s="12" t="s">
        <v>80</v>
      </c>
      <c r="F50" s="12" t="s">
        <v>170</v>
      </c>
    </row>
    <row r="51" spans="3:6" x14ac:dyDescent="0.25">
      <c r="C51" s="13" t="s">
        <v>56</v>
      </c>
      <c r="D51" s="12" t="s">
        <v>39</v>
      </c>
      <c r="E51" s="12" t="s">
        <v>76</v>
      </c>
      <c r="F51" s="12" t="s">
        <v>482</v>
      </c>
    </row>
    <row r="52" spans="3:6" x14ac:dyDescent="0.25">
      <c r="C52" s="13" t="s">
        <v>56</v>
      </c>
      <c r="D52" s="12" t="s">
        <v>39</v>
      </c>
      <c r="E52" s="12" t="s">
        <v>76</v>
      </c>
      <c r="F52" s="12" t="s">
        <v>77</v>
      </c>
    </row>
    <row r="53" spans="3:6" x14ac:dyDescent="0.25">
      <c r="C53" s="13" t="s">
        <v>56</v>
      </c>
      <c r="D53" s="12" t="s">
        <v>39</v>
      </c>
      <c r="E53" s="12" t="s">
        <v>80</v>
      </c>
      <c r="F53" s="12" t="s">
        <v>281</v>
      </c>
    </row>
    <row r="54" spans="3:6" x14ac:dyDescent="0.25">
      <c r="C54" s="13" t="s">
        <v>56</v>
      </c>
      <c r="D54" s="12" t="s">
        <v>39</v>
      </c>
      <c r="E54" s="12" t="s">
        <v>80</v>
      </c>
      <c r="F54" s="12" t="s">
        <v>484</v>
      </c>
    </row>
    <row r="55" spans="3:6" x14ac:dyDescent="0.25">
      <c r="C55" s="13" t="s">
        <v>56</v>
      </c>
      <c r="D55" s="12" t="s">
        <v>39</v>
      </c>
      <c r="E55" s="12" t="s">
        <v>80</v>
      </c>
      <c r="F55" s="12" t="s">
        <v>485</v>
      </c>
    </row>
    <row r="56" spans="3:6" x14ac:dyDescent="0.25">
      <c r="C56" s="13" t="s">
        <v>60</v>
      </c>
      <c r="D56" s="12" t="s">
        <v>41</v>
      </c>
      <c r="E56" s="12" t="s">
        <v>70</v>
      </c>
      <c r="F56" s="12" t="s">
        <v>71</v>
      </c>
    </row>
    <row r="57" spans="3:6" x14ac:dyDescent="0.25">
      <c r="C57" s="13" t="s">
        <v>60</v>
      </c>
      <c r="D57" s="12" t="s">
        <v>43</v>
      </c>
      <c r="E57" s="12" t="s">
        <v>84</v>
      </c>
      <c r="F57" s="12" t="s">
        <v>85</v>
      </c>
    </row>
    <row r="58" spans="3:6" x14ac:dyDescent="0.25">
      <c r="C58" s="13" t="s">
        <v>60</v>
      </c>
      <c r="D58" s="12" t="s">
        <v>41</v>
      </c>
      <c r="E58" s="12" t="s">
        <v>82</v>
      </c>
      <c r="F58" s="12" t="s">
        <v>556</v>
      </c>
    </row>
    <row r="59" spans="3:6" x14ac:dyDescent="0.25">
      <c r="C59" s="13" t="s">
        <v>60</v>
      </c>
      <c r="D59" s="12" t="s">
        <v>41</v>
      </c>
      <c r="E59" s="12" t="s">
        <v>76</v>
      </c>
      <c r="F59" s="12" t="s">
        <v>77</v>
      </c>
    </row>
    <row r="60" spans="3:6" x14ac:dyDescent="0.25">
      <c r="C60" s="13" t="s">
        <v>60</v>
      </c>
      <c r="D60" s="12" t="s">
        <v>43</v>
      </c>
      <c r="E60" s="12" t="s">
        <v>80</v>
      </c>
      <c r="F60" s="12" t="s">
        <v>481</v>
      </c>
    </row>
    <row r="61" spans="3:6" x14ac:dyDescent="0.25">
      <c r="C61" s="13" t="s">
        <v>60</v>
      </c>
      <c r="D61" s="12" t="s">
        <v>43</v>
      </c>
      <c r="E61" s="12" t="s">
        <v>80</v>
      </c>
      <c r="F61" s="12" t="s">
        <v>81</v>
      </c>
    </row>
    <row r="62" spans="3:6" x14ac:dyDescent="0.25">
      <c r="C62" s="13"/>
      <c r="D62" s="12"/>
      <c r="E62" s="12"/>
      <c r="F62" s="12"/>
    </row>
    <row r="63" spans="3:6" x14ac:dyDescent="0.25">
      <c r="C63" s="13"/>
      <c r="D63" s="12"/>
      <c r="E63" s="12"/>
      <c r="F63" s="12"/>
    </row>
    <row r="64" spans="3:6" x14ac:dyDescent="0.25">
      <c r="C64" s="13"/>
      <c r="D64" s="12"/>
      <c r="E64" s="12"/>
      <c r="F64" s="12"/>
    </row>
    <row r="65" spans="2:6" x14ac:dyDescent="0.25">
      <c r="C65" s="13"/>
      <c r="D65" s="12"/>
      <c r="E65" s="12"/>
      <c r="F65" s="12"/>
    </row>
    <row r="66" spans="2:6" x14ac:dyDescent="0.25">
      <c r="C66" s="13"/>
      <c r="D66" s="12"/>
      <c r="E66" s="12"/>
      <c r="F66" s="12"/>
    </row>
    <row r="69" spans="2:6" ht="18.75" x14ac:dyDescent="0.25">
      <c r="C69" s="5" t="s">
        <v>90</v>
      </c>
    </row>
    <row r="70" spans="2:6" x14ac:dyDescent="0.25">
      <c r="B70" t="s">
        <v>91</v>
      </c>
      <c r="C70" s="1" t="s">
        <v>92</v>
      </c>
      <c r="D70" s="1" t="s">
        <v>93</v>
      </c>
      <c r="E70" s="1" t="s">
        <v>94</v>
      </c>
      <c r="F70" s="1" t="s">
        <v>95</v>
      </c>
    </row>
    <row r="71" spans="2:6" x14ac:dyDescent="0.25">
      <c r="B71" s="49">
        <v>1</v>
      </c>
      <c r="C71" s="50">
        <v>1</v>
      </c>
      <c r="D71" s="9"/>
      <c r="E71" s="9"/>
      <c r="F71" s="9"/>
    </row>
    <row r="72" spans="2:6" x14ac:dyDescent="0.25">
      <c r="B72" s="49">
        <v>1</v>
      </c>
      <c r="C72" s="50">
        <v>2</v>
      </c>
      <c r="D72" s="9"/>
      <c r="E72" s="9"/>
      <c r="F72" s="9"/>
    </row>
    <row r="73" spans="2:6" x14ac:dyDescent="0.25">
      <c r="B73" s="49">
        <v>1</v>
      </c>
      <c r="C73" s="50">
        <v>3</v>
      </c>
      <c r="D73" s="9"/>
      <c r="E73" s="9"/>
      <c r="F73" s="9"/>
    </row>
    <row r="74" spans="2:6" x14ac:dyDescent="0.25">
      <c r="B74" s="49">
        <v>1</v>
      </c>
      <c r="C74" s="50">
        <v>4</v>
      </c>
      <c r="D74" s="9"/>
      <c r="E74" s="9"/>
      <c r="F74" s="9"/>
    </row>
    <row r="75" spans="2:6" x14ac:dyDescent="0.25">
      <c r="B75" s="49">
        <v>1</v>
      </c>
      <c r="C75" s="50">
        <v>5</v>
      </c>
      <c r="D75" s="9"/>
      <c r="E75" s="9"/>
      <c r="F75" s="9"/>
    </row>
    <row r="76" spans="2:6" x14ac:dyDescent="0.25">
      <c r="B76" s="49">
        <v>1</v>
      </c>
      <c r="C76" s="50">
        <v>6</v>
      </c>
      <c r="D76" s="9"/>
      <c r="E76" s="9"/>
      <c r="F76" s="9"/>
    </row>
    <row r="77" spans="2:6" x14ac:dyDescent="0.25">
      <c r="B77" s="49">
        <v>1</v>
      </c>
      <c r="C77" s="50">
        <v>7</v>
      </c>
      <c r="D77" s="9"/>
      <c r="E77" s="9"/>
      <c r="F77" s="9"/>
    </row>
    <row r="78" spans="2:6" x14ac:dyDescent="0.25">
      <c r="B78" s="49">
        <v>1</v>
      </c>
      <c r="C78" s="50">
        <v>8</v>
      </c>
      <c r="D78" s="9"/>
      <c r="E78" s="9"/>
      <c r="F78" s="9"/>
    </row>
    <row r="79" spans="2:6" x14ac:dyDescent="0.25">
      <c r="B79" s="49">
        <v>1</v>
      </c>
      <c r="C79" s="50">
        <v>9</v>
      </c>
      <c r="D79" s="9"/>
      <c r="E79" s="9"/>
      <c r="F79" s="9"/>
    </row>
    <row r="80" spans="2:6" x14ac:dyDescent="0.25">
      <c r="B80" s="49">
        <v>1</v>
      </c>
      <c r="C80" s="50">
        <v>10</v>
      </c>
      <c r="D80" s="9"/>
      <c r="E80" s="9"/>
      <c r="F80" s="9"/>
    </row>
    <row r="81" spans="2:6" x14ac:dyDescent="0.25">
      <c r="B81" s="49">
        <v>1</v>
      </c>
      <c r="C81" s="50">
        <v>11</v>
      </c>
      <c r="D81" s="9"/>
      <c r="E81" s="9"/>
      <c r="F81" s="9"/>
    </row>
    <row r="82" spans="2:6" x14ac:dyDescent="0.25">
      <c r="B82" s="49">
        <v>1</v>
      </c>
      <c r="C82" s="50">
        <v>12</v>
      </c>
      <c r="D82" s="9"/>
      <c r="E82" s="9"/>
      <c r="F82" s="9"/>
    </row>
    <row r="83" spans="2:6" x14ac:dyDescent="0.25">
      <c r="B83" s="49">
        <v>2</v>
      </c>
      <c r="C83" s="50">
        <v>1</v>
      </c>
      <c r="D83" s="9"/>
      <c r="E83" s="9" t="s">
        <v>557</v>
      </c>
      <c r="F83" s="9" t="s">
        <v>558</v>
      </c>
    </row>
    <row r="84" spans="2:6" x14ac:dyDescent="0.25">
      <c r="B84" s="49">
        <v>2</v>
      </c>
      <c r="C84" s="50">
        <v>2</v>
      </c>
      <c r="D84" s="9" t="s">
        <v>559</v>
      </c>
      <c r="E84" s="9" t="s">
        <v>560</v>
      </c>
      <c r="F84" s="9"/>
    </row>
    <row r="85" spans="2:6" x14ac:dyDescent="0.25">
      <c r="B85" s="49">
        <v>2</v>
      </c>
      <c r="C85" s="50">
        <v>3</v>
      </c>
      <c r="D85" s="9" t="s">
        <v>559</v>
      </c>
      <c r="E85" s="9" t="s">
        <v>560</v>
      </c>
      <c r="F85" s="9"/>
    </row>
    <row r="86" spans="2:6" x14ac:dyDescent="0.25">
      <c r="B86" s="49">
        <v>2</v>
      </c>
      <c r="C86" s="50">
        <v>4</v>
      </c>
      <c r="D86" s="9" t="s">
        <v>559</v>
      </c>
      <c r="E86" s="9" t="s">
        <v>560</v>
      </c>
      <c r="F86" s="9"/>
    </row>
    <row r="87" spans="2:6" x14ac:dyDescent="0.25">
      <c r="B87" s="49">
        <v>2</v>
      </c>
      <c r="C87" s="50">
        <v>5</v>
      </c>
      <c r="D87" s="9" t="s">
        <v>559</v>
      </c>
      <c r="E87" s="9" t="s">
        <v>560</v>
      </c>
      <c r="F87" s="9" t="s">
        <v>558</v>
      </c>
    </row>
    <row r="88" spans="2:6" x14ac:dyDescent="0.25">
      <c r="B88" s="49">
        <v>2</v>
      </c>
      <c r="C88" s="50">
        <v>6</v>
      </c>
      <c r="D88" s="9" t="s">
        <v>559</v>
      </c>
      <c r="E88" s="9" t="s">
        <v>560</v>
      </c>
      <c r="F88" s="9"/>
    </row>
    <row r="89" spans="2:6" x14ac:dyDescent="0.25">
      <c r="B89" s="49">
        <v>2</v>
      </c>
      <c r="C89" s="50">
        <v>7</v>
      </c>
      <c r="D89" s="9" t="s">
        <v>559</v>
      </c>
      <c r="E89" s="9" t="s">
        <v>560</v>
      </c>
      <c r="F89" s="9"/>
    </row>
    <row r="90" spans="2:6" x14ac:dyDescent="0.25">
      <c r="B90" s="49">
        <v>2</v>
      </c>
      <c r="C90" s="50">
        <v>8</v>
      </c>
      <c r="D90" s="9" t="s">
        <v>559</v>
      </c>
      <c r="E90" s="9" t="s">
        <v>560</v>
      </c>
      <c r="F90" s="9"/>
    </row>
    <row r="91" spans="2:6" x14ac:dyDescent="0.25">
      <c r="B91" s="49">
        <v>2</v>
      </c>
      <c r="C91" s="50">
        <v>9</v>
      </c>
      <c r="D91" s="9" t="s">
        <v>559</v>
      </c>
      <c r="E91" s="9" t="s">
        <v>560</v>
      </c>
      <c r="F91" s="9"/>
    </row>
    <row r="92" spans="2:6" x14ac:dyDescent="0.25">
      <c r="B92" s="49">
        <v>2</v>
      </c>
      <c r="C92" s="50">
        <v>10</v>
      </c>
      <c r="D92" s="9" t="s">
        <v>559</v>
      </c>
      <c r="E92" s="9" t="s">
        <v>560</v>
      </c>
      <c r="F92" s="9"/>
    </row>
    <row r="93" spans="2:6" x14ac:dyDescent="0.25">
      <c r="B93" s="49">
        <v>2</v>
      </c>
      <c r="C93" s="50">
        <v>11</v>
      </c>
      <c r="D93" s="9" t="s">
        <v>559</v>
      </c>
      <c r="E93" s="9" t="s">
        <v>560</v>
      </c>
      <c r="F93" s="9"/>
    </row>
    <row r="94" spans="2:6" x14ac:dyDescent="0.25">
      <c r="B94" s="49">
        <v>2</v>
      </c>
      <c r="C94" s="50">
        <v>12</v>
      </c>
      <c r="D94" s="9"/>
      <c r="E94" s="9"/>
      <c r="F94" s="9"/>
    </row>
  </sheetData>
  <sheetProtection sheet="1" objects="1" scenarios="1" formatCells="0" formatColumns="0" formatRows="0" insertHyperlinks="0"/>
  <dataValidations count="4">
    <dataValidation type="whole" showInputMessage="1" showErrorMessage="1" error="This is not a realistic number of contact hours please reduce" sqref="D20:D23" xr:uid="{EABA9475-595C-4986-ACB3-2B03E9611389}">
      <formula1>0</formula1>
      <formula2>80</formula2>
    </dataValidation>
    <dataValidation type="whole" showInputMessage="1" showErrorMessage="1" error="This is not a realistic number of contact hours please change" sqref="D19" xr:uid="{6DEAC130-25D7-46E1-9A78-571866E64E9D}">
      <formula1>0</formula1>
      <formula2>80</formula2>
    </dataValidation>
    <dataValidation type="list" allowBlank="1" showInputMessage="1" showErrorMessage="1" sqref="E38:E41" xr:uid="{0DB2D524-94AD-40F2-A499-A222D2B8D15F}">
      <formula1>INDIRECT("LISTAssess[Assessment Specific]")</formula1>
    </dataValidation>
    <dataValidation type="list" allowBlank="1" showInputMessage="1" showErrorMessage="1" sqref="F46:F66" xr:uid="{C50ABEDB-8163-4FC5-B679-6468E42D1DD9}">
      <formula1>INDIRECT(VLOOKUP($E46, SkillNameMap, 2, FALSE))</formula1>
    </dataValidation>
  </dataValidations>
  <pageMargins left="0.7" right="0.7" top="0.75" bottom="0.75" header="0.3" footer="0.3"/>
  <pageSetup paperSize="9" orientation="portrait" horizontalDpi="4294967293" verticalDpi="0" r:id="rId1"/>
  <tableParts count="10">
    <tablePart r:id="rId2"/>
    <tablePart r:id="rId3"/>
    <tablePart r:id="rId4"/>
    <tablePart r:id="rId5"/>
    <tablePart r:id="rId6"/>
    <tablePart r:id="rId7"/>
    <tablePart r:id="rId8"/>
    <tablePart r:id="rId9"/>
    <tablePart r:id="rId10"/>
    <tablePart r:id="rId11"/>
  </tableParts>
  <extLst>
    <ext xmlns:x14="http://schemas.microsoft.com/office/spreadsheetml/2009/9/main" uri="{CCE6A557-97BC-4b89-ADB6-D9C93CAAB3DF}">
      <x14:dataValidations xmlns:xm="http://schemas.microsoft.com/office/excel/2006/main" count="7">
        <x14:dataValidation type="list" allowBlank="1" showInputMessage="1" showErrorMessage="1" xr:uid="{93AA01AF-B1EF-4507-B697-CCEBAB31CA7E}">
          <x14:formula1>
            <xm:f>LISTS!$C$26:$C$37</xm:f>
          </x14:formula1>
          <xm:sqref>D14</xm:sqref>
        </x14:dataValidation>
        <x14:dataValidation type="list" allowBlank="1" showInputMessage="1" showErrorMessage="1" xr:uid="{591B513E-05C3-435C-813F-26A60432C203}">
          <x14:formula1>
            <xm:f>LISTS!$C$17:$C$22</xm:f>
          </x14:formula1>
          <xm:sqref>D13</xm:sqref>
        </x14:dataValidation>
        <x14:dataValidation type="list" allowBlank="1" showInputMessage="1" showErrorMessage="1" xr:uid="{7CC409A8-6354-405F-8333-F463E1CAD86E}">
          <x14:formula1>
            <xm:f>LISTS!$C$7:$C$9</xm:f>
          </x14:formula1>
          <xm:sqref>D10</xm:sqref>
        </x14:dataValidation>
        <x14:dataValidation type="list" allowBlank="1" showInputMessage="1" showErrorMessage="1" xr:uid="{9306451D-6D0D-4680-87B3-1AD89B932998}">
          <x14:formula1>
            <xm:f>LISTS!$C$11:$C$15</xm:f>
          </x14:formula1>
          <xm:sqref>D11</xm:sqref>
        </x14:dataValidation>
        <x14:dataValidation type="list" allowBlank="1" showInputMessage="1" showErrorMessage="1" xr:uid="{B6C0BF8E-CA1A-44B7-8E19-D14A23F2ECD8}">
          <x14:formula1>
            <xm:f>LISTS!$G$7:$G$11</xm:f>
          </x14:formula1>
          <xm:sqref>D38:D42</xm:sqref>
        </x14:dataValidation>
        <x14:dataValidation type="list" allowBlank="1" showInputMessage="1" showErrorMessage="1" xr:uid="{D179A474-A86E-41E5-9898-8B49B0B60399}">
          <x14:formula1>
            <xm:f>LISTS!$E$7:$E$11</xm:f>
          </x14:formula1>
          <xm:sqref>D46:D66</xm:sqref>
        </x14:dataValidation>
        <x14:dataValidation type="list" allowBlank="1" showInputMessage="1" showErrorMessage="1" xr:uid="{C4F92686-9322-4C4E-8993-76138DE80E0B}">
          <x14:formula1>
            <xm:f>LISTS!$J$7:$J$16</xm:f>
          </x14:formula1>
          <xm:sqref>E46:E66</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409C9-9296-42AF-BDD1-C02EB207C905}">
  <sheetPr codeName="Sheet15"/>
  <dimension ref="B2:H94"/>
  <sheetViews>
    <sheetView showGridLines="0" topLeftCell="A17" zoomScale="85" zoomScaleNormal="85" workbookViewId="0">
      <selection activeCell="E39" sqref="E39"/>
    </sheetView>
  </sheetViews>
  <sheetFormatPr defaultColWidth="8.85546875" defaultRowHeight="15" x14ac:dyDescent="0.25"/>
  <cols>
    <col min="3" max="3" width="33.28515625" customWidth="1"/>
    <col min="4" max="4" width="51.42578125" customWidth="1"/>
    <col min="5" max="5" width="67.28515625" customWidth="1"/>
    <col min="6" max="6" width="63.140625" customWidth="1"/>
    <col min="7" max="7" width="12.42578125" customWidth="1"/>
    <col min="8" max="8" width="15.42578125" customWidth="1"/>
    <col min="9" max="9" width="14.7109375" customWidth="1"/>
  </cols>
  <sheetData>
    <row r="2" spans="2:6" ht="26.25" x14ac:dyDescent="0.4">
      <c r="C2" s="8" t="str">
        <f>D7</f>
        <v>SEM401</v>
      </c>
      <c r="D2" s="8" t="str">
        <f>D8</f>
        <v>Applied Biomechanics</v>
      </c>
    </row>
    <row r="3" spans="2:6" x14ac:dyDescent="0.25">
      <c r="B3" s="1"/>
      <c r="C3" s="1"/>
    </row>
    <row r="4" spans="2:6" x14ac:dyDescent="0.25">
      <c r="B4" s="2"/>
      <c r="C4" s="2"/>
    </row>
    <row r="5" spans="2:6" ht="18.75" x14ac:dyDescent="0.25">
      <c r="B5" s="2"/>
      <c r="C5" s="5" t="s">
        <v>0</v>
      </c>
    </row>
    <row r="6" spans="2:6" x14ac:dyDescent="0.25">
      <c r="B6" s="2"/>
      <c r="C6" s="3" t="s">
        <v>1</v>
      </c>
      <c r="D6" s="4" t="s">
        <v>2</v>
      </c>
      <c r="E6" s="4"/>
      <c r="F6" t="s">
        <v>3</v>
      </c>
    </row>
    <row r="7" spans="2:6" x14ac:dyDescent="0.25">
      <c r="B7" s="2"/>
      <c r="C7" s="3" t="s">
        <v>4</v>
      </c>
      <c r="D7" s="9" t="s">
        <v>561</v>
      </c>
      <c r="E7" s="4"/>
      <c r="F7" s="12"/>
    </row>
    <row r="8" spans="2:6" x14ac:dyDescent="0.25">
      <c r="B8" s="2"/>
      <c r="C8" s="3" t="s">
        <v>7</v>
      </c>
      <c r="D8" s="9" t="s">
        <v>562</v>
      </c>
      <c r="E8" s="4"/>
      <c r="F8" s="12"/>
    </row>
    <row r="9" spans="2:6" x14ac:dyDescent="0.25">
      <c r="C9" s="3" t="s">
        <v>10</v>
      </c>
      <c r="D9" s="9">
        <v>20</v>
      </c>
      <c r="E9" s="4"/>
    </row>
    <row r="10" spans="2:6" x14ac:dyDescent="0.25">
      <c r="C10" s="3" t="s">
        <v>11</v>
      </c>
      <c r="D10" s="9">
        <v>1</v>
      </c>
      <c r="E10" s="4"/>
      <c r="F10" t="s">
        <v>12</v>
      </c>
    </row>
    <row r="11" spans="2:6" x14ac:dyDescent="0.25">
      <c r="C11" s="3" t="s">
        <v>13</v>
      </c>
      <c r="D11" s="9">
        <v>4</v>
      </c>
      <c r="E11" s="4"/>
      <c r="F11" s="12"/>
    </row>
    <row r="12" spans="2:6" x14ac:dyDescent="0.25">
      <c r="C12" s="3" t="s">
        <v>15</v>
      </c>
      <c r="D12" s="9" t="s">
        <v>563</v>
      </c>
      <c r="E12" s="4"/>
      <c r="F12" s="12"/>
    </row>
    <row r="13" spans="2:6" x14ac:dyDescent="0.25">
      <c r="C13" s="3" t="s">
        <v>18</v>
      </c>
      <c r="D13" s="9" t="s">
        <v>119</v>
      </c>
      <c r="E13" s="4"/>
      <c r="F13" s="12"/>
    </row>
    <row r="14" spans="2:6" x14ac:dyDescent="0.25">
      <c r="C14" s="3" t="s">
        <v>21</v>
      </c>
      <c r="D14" s="9"/>
      <c r="E14" s="4"/>
    </row>
    <row r="15" spans="2:6" x14ac:dyDescent="0.25">
      <c r="C15" s="3"/>
      <c r="D15" s="4"/>
      <c r="E15" s="4"/>
      <c r="F15" t="s">
        <v>23</v>
      </c>
    </row>
    <row r="16" spans="2:6" x14ac:dyDescent="0.25">
      <c r="C16" s="3"/>
      <c r="D16" s="4"/>
      <c r="E16" s="4"/>
      <c r="F16" s="12"/>
    </row>
    <row r="17" spans="3:6" ht="18.75" x14ac:dyDescent="0.25">
      <c r="C17" s="5" t="s">
        <v>25</v>
      </c>
      <c r="D17" s="4"/>
      <c r="E17" s="4"/>
      <c r="F17" s="12"/>
    </row>
    <row r="18" spans="3:6" x14ac:dyDescent="0.25">
      <c r="C18" s="3" t="s">
        <v>26</v>
      </c>
      <c r="D18" s="1" t="s">
        <v>25</v>
      </c>
      <c r="E18" s="4"/>
      <c r="F18" s="12"/>
    </row>
    <row r="19" spans="3:6" x14ac:dyDescent="0.25">
      <c r="C19" s="3" t="s">
        <v>27</v>
      </c>
      <c r="D19" s="10">
        <v>22</v>
      </c>
      <c r="E19" s="4"/>
      <c r="F19" s="12"/>
    </row>
    <row r="20" spans="3:6" x14ac:dyDescent="0.25">
      <c r="C20" s="3" t="s">
        <v>28</v>
      </c>
      <c r="D20" s="10">
        <v>12</v>
      </c>
      <c r="E20" s="4"/>
      <c r="F20" s="12"/>
    </row>
    <row r="21" spans="3:6" x14ac:dyDescent="0.25">
      <c r="C21" s="3" t="s">
        <v>29</v>
      </c>
      <c r="D21" s="10">
        <v>6</v>
      </c>
      <c r="E21" s="4"/>
    </row>
    <row r="22" spans="3:6" x14ac:dyDescent="0.25">
      <c r="C22" s="3" t="s">
        <v>30</v>
      </c>
      <c r="D22" s="10">
        <v>6</v>
      </c>
      <c r="E22" s="4"/>
      <c r="F22" t="s">
        <v>31</v>
      </c>
    </row>
    <row r="23" spans="3:6" x14ac:dyDescent="0.25">
      <c r="C23" s="3" t="s">
        <v>32</v>
      </c>
      <c r="D23" s="10">
        <v>0</v>
      </c>
      <c r="E23" s="4"/>
      <c r="F23" s="12"/>
    </row>
    <row r="24" spans="3:6" x14ac:dyDescent="0.25">
      <c r="C24" s="3" t="s">
        <v>34</v>
      </c>
      <c r="D24" s="1">
        <f>SUM(D19:D23)</f>
        <v>46</v>
      </c>
      <c r="E24" s="4"/>
      <c r="F24" s="12"/>
    </row>
    <row r="25" spans="3:6" x14ac:dyDescent="0.25">
      <c r="F25" s="12"/>
    </row>
    <row r="26" spans="3:6" x14ac:dyDescent="0.25">
      <c r="F26" s="12"/>
    </row>
    <row r="27" spans="3:6" ht="18.75" x14ac:dyDescent="0.25">
      <c r="C27" s="5" t="s">
        <v>35</v>
      </c>
      <c r="D27" s="7" t="s">
        <v>36</v>
      </c>
      <c r="F27" s="12"/>
    </row>
    <row r="28" spans="3:6" x14ac:dyDescent="0.25">
      <c r="C28" s="3" t="s">
        <v>37</v>
      </c>
      <c r="D28" s="3" t="s">
        <v>38</v>
      </c>
      <c r="E28" s="3"/>
      <c r="F28" s="12"/>
    </row>
    <row r="29" spans="3:6" x14ac:dyDescent="0.25">
      <c r="C29" s="3" t="s">
        <v>39</v>
      </c>
      <c r="D29" s="9" t="s">
        <v>564</v>
      </c>
      <c r="E29" s="4"/>
      <c r="F29" s="12"/>
    </row>
    <row r="30" spans="3:6" x14ac:dyDescent="0.25">
      <c r="C30" s="3" t="s">
        <v>41</v>
      </c>
      <c r="D30" s="9" t="s">
        <v>565</v>
      </c>
      <c r="E30" s="4"/>
      <c r="F30" s="12"/>
    </row>
    <row r="31" spans="3:6" x14ac:dyDescent="0.25">
      <c r="C31" s="3" t="s">
        <v>43</v>
      </c>
      <c r="D31" s="9" t="s">
        <v>566</v>
      </c>
      <c r="E31" s="4"/>
      <c r="F31" s="12"/>
    </row>
    <row r="32" spans="3:6" x14ac:dyDescent="0.25">
      <c r="C32" s="3" t="s">
        <v>45</v>
      </c>
      <c r="D32" s="9"/>
      <c r="E32" s="4"/>
      <c r="F32" s="12"/>
    </row>
    <row r="33" spans="3:8" x14ac:dyDescent="0.25">
      <c r="C33" s="3" t="s">
        <v>47</v>
      </c>
      <c r="D33" s="9"/>
      <c r="E33" s="4"/>
      <c r="F33" s="12"/>
    </row>
    <row r="36" spans="3:8" ht="18.75" x14ac:dyDescent="0.25">
      <c r="C36" s="5" t="s">
        <v>49</v>
      </c>
    </row>
    <row r="37" spans="3:8" x14ac:dyDescent="0.25">
      <c r="C37" s="3" t="s">
        <v>50</v>
      </c>
      <c r="D37" s="3" t="s">
        <v>51</v>
      </c>
      <c r="E37" s="3" t="s">
        <v>52</v>
      </c>
      <c r="F37" s="3" t="s">
        <v>53</v>
      </c>
      <c r="G37" s="3" t="s">
        <v>54</v>
      </c>
      <c r="H37" s="3" t="s">
        <v>55</v>
      </c>
    </row>
    <row r="38" spans="3:8" x14ac:dyDescent="0.25">
      <c r="C38" s="3" t="s">
        <v>56</v>
      </c>
      <c r="D38" s="9" t="s">
        <v>125</v>
      </c>
      <c r="E38" s="9" t="s">
        <v>278</v>
      </c>
      <c r="F38" s="9" t="s">
        <v>567</v>
      </c>
      <c r="G38" s="11">
        <v>0.5</v>
      </c>
      <c r="H38" s="9">
        <v>6</v>
      </c>
    </row>
    <row r="39" spans="3:8" x14ac:dyDescent="0.25">
      <c r="C39" s="3" t="s">
        <v>60</v>
      </c>
      <c r="D39" s="9" t="s">
        <v>127</v>
      </c>
      <c r="E39" s="9" t="s">
        <v>250</v>
      </c>
      <c r="F39" s="9"/>
      <c r="G39" s="11">
        <v>0.5</v>
      </c>
      <c r="H39" s="9">
        <v>12</v>
      </c>
    </row>
    <row r="40" spans="3:8" x14ac:dyDescent="0.25">
      <c r="C40" s="3" t="s">
        <v>63</v>
      </c>
      <c r="D40" s="12"/>
      <c r="E40" s="12"/>
      <c r="F40" s="12"/>
      <c r="G40" s="12"/>
      <c r="H40" s="12"/>
    </row>
    <row r="41" spans="3:8" x14ac:dyDescent="0.25">
      <c r="C41" s="3" t="s">
        <v>64</v>
      </c>
      <c r="D41" s="12"/>
      <c r="E41" s="12"/>
      <c r="F41" s="12"/>
      <c r="G41" s="12"/>
      <c r="H41" s="12"/>
    </row>
    <row r="42" spans="3:8" x14ac:dyDescent="0.25">
      <c r="C42" s="3"/>
    </row>
    <row r="44" spans="3:8" ht="18.75" x14ac:dyDescent="0.25">
      <c r="C44" s="5" t="s">
        <v>65</v>
      </c>
      <c r="D44" s="7"/>
    </row>
    <row r="45" spans="3:8" x14ac:dyDescent="0.25">
      <c r="C45" s="1" t="s">
        <v>50</v>
      </c>
      <c r="D45" s="1" t="s">
        <v>37</v>
      </c>
      <c r="E45" s="1" t="s">
        <v>66</v>
      </c>
      <c r="F45" s="1" t="s">
        <v>67</v>
      </c>
    </row>
    <row r="46" spans="3:8" x14ac:dyDescent="0.25">
      <c r="C46" s="13" t="s">
        <v>56</v>
      </c>
      <c r="D46" s="12" t="s">
        <v>39</v>
      </c>
      <c r="E46" s="12" t="s">
        <v>68</v>
      </c>
      <c r="F46" s="12" t="s">
        <v>164</v>
      </c>
    </row>
    <row r="47" spans="3:8" x14ac:dyDescent="0.25">
      <c r="C47" s="13" t="s">
        <v>56</v>
      </c>
      <c r="D47" s="12" t="s">
        <v>39</v>
      </c>
      <c r="E47" s="12" t="s">
        <v>68</v>
      </c>
      <c r="F47" s="12" t="s">
        <v>163</v>
      </c>
    </row>
    <row r="48" spans="3:8" x14ac:dyDescent="0.25">
      <c r="C48" s="13" t="s">
        <v>56</v>
      </c>
      <c r="D48" s="12" t="s">
        <v>39</v>
      </c>
      <c r="E48" s="12" t="s">
        <v>78</v>
      </c>
      <c r="F48" s="12" t="s">
        <v>169</v>
      </c>
    </row>
    <row r="49" spans="3:6" x14ac:dyDescent="0.25">
      <c r="C49" s="13" t="s">
        <v>60</v>
      </c>
      <c r="D49" s="12" t="s">
        <v>41</v>
      </c>
      <c r="E49" s="12" t="s">
        <v>72</v>
      </c>
      <c r="F49" s="12" t="s">
        <v>73</v>
      </c>
    </row>
    <row r="50" spans="3:6" x14ac:dyDescent="0.25">
      <c r="C50" s="13" t="s">
        <v>60</v>
      </c>
      <c r="D50" s="12" t="s">
        <v>41</v>
      </c>
      <c r="E50" s="12" t="s">
        <v>74</v>
      </c>
      <c r="F50" s="12" t="s">
        <v>311</v>
      </c>
    </row>
    <row r="51" spans="3:6" x14ac:dyDescent="0.25">
      <c r="C51" s="13" t="s">
        <v>60</v>
      </c>
      <c r="D51" s="12"/>
      <c r="E51" s="12" t="s">
        <v>72</v>
      </c>
      <c r="F51" s="12"/>
    </row>
    <row r="52" spans="3:6" x14ac:dyDescent="0.25">
      <c r="C52" s="13" t="s">
        <v>63</v>
      </c>
      <c r="D52" s="12"/>
      <c r="E52" s="12"/>
      <c r="F52" s="12"/>
    </row>
    <row r="53" spans="3:6" x14ac:dyDescent="0.25">
      <c r="C53" s="13" t="s">
        <v>63</v>
      </c>
      <c r="D53" s="12"/>
      <c r="E53" s="12"/>
      <c r="F53" s="12"/>
    </row>
    <row r="54" spans="3:6" x14ac:dyDescent="0.25">
      <c r="C54" s="13" t="s">
        <v>63</v>
      </c>
      <c r="D54" s="12"/>
      <c r="E54" s="12"/>
      <c r="F54" s="12"/>
    </row>
    <row r="55" spans="3:6" x14ac:dyDescent="0.25">
      <c r="C55" s="13" t="s">
        <v>64</v>
      </c>
      <c r="D55" s="12"/>
      <c r="E55" s="12"/>
      <c r="F55" s="12"/>
    </row>
    <row r="56" spans="3:6" x14ac:dyDescent="0.25">
      <c r="C56" s="13" t="s">
        <v>64</v>
      </c>
      <c r="D56" s="12"/>
      <c r="E56" s="12"/>
      <c r="F56" s="12"/>
    </row>
    <row r="57" spans="3:6" x14ac:dyDescent="0.25">
      <c r="C57" s="13"/>
      <c r="D57" s="12"/>
      <c r="E57" s="12"/>
      <c r="F57" s="12"/>
    </row>
    <row r="58" spans="3:6" x14ac:dyDescent="0.25">
      <c r="C58" s="13"/>
      <c r="D58" s="12"/>
      <c r="E58" s="12"/>
      <c r="F58" s="12"/>
    </row>
    <row r="59" spans="3:6" x14ac:dyDescent="0.25">
      <c r="C59" s="13"/>
      <c r="D59" s="12"/>
      <c r="E59" s="12"/>
      <c r="F59" s="12"/>
    </row>
    <row r="60" spans="3:6" x14ac:dyDescent="0.25">
      <c r="C60" s="13"/>
      <c r="D60" s="12"/>
      <c r="E60" s="12"/>
      <c r="F60" s="12"/>
    </row>
    <row r="61" spans="3:6" x14ac:dyDescent="0.25">
      <c r="C61" s="13"/>
      <c r="D61" s="12"/>
      <c r="E61" s="12"/>
      <c r="F61" s="12"/>
    </row>
    <row r="62" spans="3:6" x14ac:dyDescent="0.25">
      <c r="C62" s="13"/>
      <c r="D62" s="12"/>
      <c r="E62" s="12"/>
      <c r="F62" s="12"/>
    </row>
    <row r="63" spans="3:6" x14ac:dyDescent="0.25">
      <c r="C63" s="13"/>
      <c r="D63" s="12"/>
      <c r="E63" s="12"/>
      <c r="F63" s="12"/>
    </row>
    <row r="64" spans="3:6" x14ac:dyDescent="0.25">
      <c r="C64" s="13"/>
      <c r="D64" s="12"/>
      <c r="E64" s="12"/>
      <c r="F64" s="12"/>
    </row>
    <row r="65" spans="2:6" x14ac:dyDescent="0.25">
      <c r="C65" s="13"/>
      <c r="D65" s="12"/>
      <c r="E65" s="12"/>
      <c r="F65" s="12"/>
    </row>
    <row r="66" spans="2:6" x14ac:dyDescent="0.25">
      <c r="C66" s="13"/>
      <c r="D66" s="12"/>
      <c r="E66" s="12"/>
      <c r="F66" s="12"/>
    </row>
    <row r="69" spans="2:6" ht="18.75" x14ac:dyDescent="0.25">
      <c r="C69" s="5" t="s">
        <v>90</v>
      </c>
    </row>
    <row r="70" spans="2:6" x14ac:dyDescent="0.25">
      <c r="B70" t="s">
        <v>91</v>
      </c>
      <c r="C70" s="1" t="s">
        <v>92</v>
      </c>
      <c r="D70" s="1" t="s">
        <v>93</v>
      </c>
      <c r="E70" s="1" t="s">
        <v>94</v>
      </c>
      <c r="F70" s="1" t="s">
        <v>95</v>
      </c>
    </row>
    <row r="71" spans="2:6" x14ac:dyDescent="0.25">
      <c r="B71" s="6">
        <v>1</v>
      </c>
      <c r="C71" s="1">
        <v>1</v>
      </c>
      <c r="D71" s="9" t="s">
        <v>568</v>
      </c>
      <c r="E71" s="9"/>
      <c r="F71" s="9"/>
    </row>
    <row r="72" spans="2:6" x14ac:dyDescent="0.25">
      <c r="B72" s="6">
        <v>1</v>
      </c>
      <c r="C72" s="1">
        <v>2</v>
      </c>
      <c r="D72" s="9" t="s">
        <v>569</v>
      </c>
      <c r="E72" s="9" t="s">
        <v>570</v>
      </c>
      <c r="F72" s="9" t="s">
        <v>28</v>
      </c>
    </row>
    <row r="73" spans="2:6" x14ac:dyDescent="0.25">
      <c r="B73" s="6">
        <v>1</v>
      </c>
      <c r="C73" s="1">
        <v>3</v>
      </c>
      <c r="D73" s="9" t="s">
        <v>571</v>
      </c>
      <c r="E73" s="9"/>
      <c r="F73" s="9"/>
    </row>
    <row r="74" spans="2:6" x14ac:dyDescent="0.25">
      <c r="B74" s="6">
        <v>1</v>
      </c>
      <c r="C74" s="1">
        <v>4</v>
      </c>
      <c r="D74" s="9" t="s">
        <v>572</v>
      </c>
      <c r="E74" s="9" t="s">
        <v>573</v>
      </c>
      <c r="F74" s="9" t="s">
        <v>28</v>
      </c>
    </row>
    <row r="75" spans="2:6" x14ac:dyDescent="0.25">
      <c r="B75" s="6">
        <v>1</v>
      </c>
      <c r="C75" s="1">
        <v>5</v>
      </c>
      <c r="D75" s="9" t="s">
        <v>574</v>
      </c>
      <c r="E75" s="9"/>
      <c r="F75" s="9"/>
    </row>
    <row r="76" spans="2:6" x14ac:dyDescent="0.25">
      <c r="B76" s="6">
        <v>1</v>
      </c>
      <c r="C76" s="1">
        <v>6</v>
      </c>
      <c r="D76" s="9" t="s">
        <v>575</v>
      </c>
      <c r="E76" s="9"/>
      <c r="F76" s="9" t="s">
        <v>28</v>
      </c>
    </row>
    <row r="77" spans="2:6" x14ac:dyDescent="0.25">
      <c r="B77" s="6">
        <v>1</v>
      </c>
      <c r="C77" s="1">
        <v>7</v>
      </c>
      <c r="D77" s="9" t="s">
        <v>576</v>
      </c>
      <c r="E77" s="9"/>
      <c r="F77" s="9"/>
    </row>
    <row r="78" spans="2:6" x14ac:dyDescent="0.25">
      <c r="B78" s="6">
        <v>1</v>
      </c>
      <c r="C78" s="1">
        <v>8</v>
      </c>
      <c r="D78" s="9" t="s">
        <v>577</v>
      </c>
      <c r="E78" s="9"/>
      <c r="F78" s="9" t="s">
        <v>28</v>
      </c>
    </row>
    <row r="79" spans="2:6" x14ac:dyDescent="0.25">
      <c r="B79" s="6">
        <v>1</v>
      </c>
      <c r="C79" s="1">
        <v>9</v>
      </c>
      <c r="D79" s="9" t="s">
        <v>578</v>
      </c>
      <c r="E79" s="9"/>
      <c r="F79" s="9"/>
    </row>
    <row r="80" spans="2:6" x14ac:dyDescent="0.25">
      <c r="B80" s="6">
        <v>1</v>
      </c>
      <c r="C80" s="1">
        <v>10</v>
      </c>
      <c r="D80" s="9" t="s">
        <v>579</v>
      </c>
      <c r="E80" s="9" t="s">
        <v>580</v>
      </c>
      <c r="F80" s="9" t="s">
        <v>28</v>
      </c>
    </row>
    <row r="81" spans="2:6" x14ac:dyDescent="0.25">
      <c r="B81" s="6">
        <v>1</v>
      </c>
      <c r="C81" s="1">
        <v>11</v>
      </c>
      <c r="D81" s="9" t="s">
        <v>210</v>
      </c>
      <c r="E81" s="9"/>
      <c r="F81" s="9"/>
    </row>
    <row r="82" spans="2:6" x14ac:dyDescent="0.25">
      <c r="B82" s="6">
        <v>1</v>
      </c>
      <c r="C82" s="1">
        <v>12</v>
      </c>
      <c r="D82" s="9" t="s">
        <v>581</v>
      </c>
      <c r="E82" s="9"/>
      <c r="F82" s="9" t="s">
        <v>28</v>
      </c>
    </row>
    <row r="83" spans="2:6" x14ac:dyDescent="0.25">
      <c r="B83" s="6">
        <v>2</v>
      </c>
      <c r="C83" s="1">
        <v>1</v>
      </c>
      <c r="D83" s="9"/>
      <c r="E83" s="9"/>
      <c r="F83" s="9"/>
    </row>
    <row r="84" spans="2:6" x14ac:dyDescent="0.25">
      <c r="B84" s="6">
        <v>2</v>
      </c>
      <c r="C84" s="1">
        <v>2</v>
      </c>
      <c r="D84" s="9"/>
      <c r="E84" s="9"/>
      <c r="F84" s="9"/>
    </row>
    <row r="85" spans="2:6" x14ac:dyDescent="0.25">
      <c r="B85" s="6">
        <v>2</v>
      </c>
      <c r="C85" s="1">
        <v>3</v>
      </c>
      <c r="D85" s="9"/>
      <c r="E85" s="9"/>
      <c r="F85" s="9"/>
    </row>
    <row r="86" spans="2:6" x14ac:dyDescent="0.25">
      <c r="B86" s="6">
        <v>2</v>
      </c>
      <c r="C86" s="1">
        <v>4</v>
      </c>
      <c r="D86" s="9"/>
      <c r="E86" s="9"/>
      <c r="F86" s="9"/>
    </row>
    <row r="87" spans="2:6" x14ac:dyDescent="0.25">
      <c r="B87" s="6">
        <v>2</v>
      </c>
      <c r="C87" s="1">
        <v>5</v>
      </c>
      <c r="D87" s="9"/>
      <c r="E87" s="9"/>
      <c r="F87" s="9"/>
    </row>
    <row r="88" spans="2:6" x14ac:dyDescent="0.25">
      <c r="B88" s="6">
        <v>2</v>
      </c>
      <c r="C88" s="1">
        <v>6</v>
      </c>
      <c r="D88" s="9"/>
      <c r="E88" s="9"/>
      <c r="F88" s="9"/>
    </row>
    <row r="89" spans="2:6" x14ac:dyDescent="0.25">
      <c r="B89" s="6">
        <v>2</v>
      </c>
      <c r="C89" s="1">
        <v>7</v>
      </c>
      <c r="D89" s="9"/>
      <c r="E89" s="9"/>
      <c r="F89" s="9"/>
    </row>
    <row r="90" spans="2:6" x14ac:dyDescent="0.25">
      <c r="B90" s="6">
        <v>2</v>
      </c>
      <c r="C90" s="1">
        <v>8</v>
      </c>
      <c r="D90" s="9"/>
      <c r="E90" s="9"/>
      <c r="F90" s="9"/>
    </row>
    <row r="91" spans="2:6" x14ac:dyDescent="0.25">
      <c r="B91" s="6">
        <v>2</v>
      </c>
      <c r="C91" s="1">
        <v>9</v>
      </c>
      <c r="D91" s="9"/>
      <c r="E91" s="9"/>
      <c r="F91" s="9"/>
    </row>
    <row r="92" spans="2:6" x14ac:dyDescent="0.25">
      <c r="B92" s="6">
        <v>2</v>
      </c>
      <c r="C92" s="1">
        <v>10</v>
      </c>
      <c r="D92" s="9"/>
      <c r="E92" s="9"/>
      <c r="F92" s="9"/>
    </row>
    <row r="93" spans="2:6" x14ac:dyDescent="0.25">
      <c r="B93" s="6">
        <v>2</v>
      </c>
      <c r="C93" s="1">
        <v>11</v>
      </c>
      <c r="D93" s="9"/>
      <c r="E93" s="9"/>
      <c r="F93" s="9"/>
    </row>
    <row r="94" spans="2:6" x14ac:dyDescent="0.25">
      <c r="B94" s="6">
        <v>2</v>
      </c>
      <c r="C94" s="1">
        <v>12</v>
      </c>
      <c r="D94" s="9"/>
      <c r="E94" s="9"/>
      <c r="F94" s="9"/>
    </row>
  </sheetData>
  <sheetProtection selectLockedCells="1" sort="0" autoFilter="0" pivotTables="0"/>
  <phoneticPr fontId="2" type="noConversion"/>
  <dataValidations count="4">
    <dataValidation type="list" allowBlank="1" showInputMessage="1" showErrorMessage="1" sqref="F46:F66" xr:uid="{01FEA6C9-D04E-44C1-A327-802564B6B9F3}">
      <formula1>INDIRECT(VLOOKUP($E46, SkillNameMap, 2, FALSE))</formula1>
    </dataValidation>
    <dataValidation type="list" allowBlank="1" showInputMessage="1" showErrorMessage="1" sqref="E38:E41" xr:uid="{07247691-DC98-413E-B3EA-3489C3BA249B}">
      <formula1>INDIRECT("LISTAssess[Assessment Specific]")</formula1>
    </dataValidation>
    <dataValidation type="whole" showInputMessage="1" showErrorMessage="1" error="This is not a realistic number of contact hours please change" sqref="D19" xr:uid="{FC8290A5-A7DE-4C89-B56E-6D6FE33EBF36}">
      <formula1>0</formula1>
      <formula2>80</formula2>
    </dataValidation>
    <dataValidation type="whole" showInputMessage="1" showErrorMessage="1" error="This is not a realistic number of contact hours please reduce" sqref="D20:D23" xr:uid="{DE393F00-EC5E-4F3E-AE14-72CDEBB8295C}">
      <formula1>0</formula1>
      <formula2>80</formula2>
    </dataValidation>
  </dataValidations>
  <pageMargins left="0.7" right="0.7" top="0.75" bottom="0.75" header="0.3" footer="0.3"/>
  <pageSetup paperSize="9" orientation="portrait" horizontalDpi="4294967293" verticalDpi="0" r:id="rId1"/>
  <tableParts count="10">
    <tablePart r:id="rId2"/>
    <tablePart r:id="rId3"/>
    <tablePart r:id="rId4"/>
    <tablePart r:id="rId5"/>
    <tablePart r:id="rId6"/>
    <tablePart r:id="rId7"/>
    <tablePart r:id="rId8"/>
    <tablePart r:id="rId9"/>
    <tablePart r:id="rId10"/>
    <tablePart r:id="rId11"/>
  </tableParts>
  <extLst>
    <ext xmlns:x14="http://schemas.microsoft.com/office/spreadsheetml/2009/9/main" uri="{CCE6A557-97BC-4b89-ADB6-D9C93CAAB3DF}">
      <x14:dataValidations xmlns:xm="http://schemas.microsoft.com/office/excel/2006/main" count="7">
        <x14:dataValidation type="list" allowBlank="1" showInputMessage="1" showErrorMessage="1" xr:uid="{8247F662-842E-4EE3-805A-AA5953BF083A}">
          <x14:formula1>
            <xm:f>LISTS!$J$7:$J$16</xm:f>
          </x14:formula1>
          <xm:sqref>E46:E66</xm:sqref>
        </x14:dataValidation>
        <x14:dataValidation type="list" allowBlank="1" showInputMessage="1" showErrorMessage="1" xr:uid="{44D1F96B-AB6E-4E58-B489-7D973FD9CD46}">
          <x14:formula1>
            <xm:f>LISTS!$E$7:$E$11</xm:f>
          </x14:formula1>
          <xm:sqref>D46:D66</xm:sqref>
        </x14:dataValidation>
        <x14:dataValidation type="list" allowBlank="1" showInputMessage="1" showErrorMessage="1" xr:uid="{26E9181F-EF38-45D0-9152-FBF6EC0BEB00}">
          <x14:formula1>
            <xm:f>LISTS!$G$7:$G$11</xm:f>
          </x14:formula1>
          <xm:sqref>D38:D42</xm:sqref>
        </x14:dataValidation>
        <x14:dataValidation type="list" allowBlank="1" showInputMessage="1" showErrorMessage="1" xr:uid="{E5E57D1C-21AE-4566-8E6D-957C12AE18CE}">
          <x14:formula1>
            <xm:f>LISTS!$C$11:$C$15</xm:f>
          </x14:formula1>
          <xm:sqref>D11</xm:sqref>
        </x14:dataValidation>
        <x14:dataValidation type="list" allowBlank="1" showInputMessage="1" showErrorMessage="1" xr:uid="{63FB959C-463B-47BC-9C99-DFA102385F42}">
          <x14:formula1>
            <xm:f>LISTS!$C$7:$C$9</xm:f>
          </x14:formula1>
          <xm:sqref>D10</xm:sqref>
        </x14:dataValidation>
        <x14:dataValidation type="list" allowBlank="1" showInputMessage="1" showErrorMessage="1" xr:uid="{F2631761-3E1D-4998-9158-850FB5708328}">
          <x14:formula1>
            <xm:f>LISTS!$C$17:$C$22</xm:f>
          </x14:formula1>
          <xm:sqref>D13</xm:sqref>
        </x14:dataValidation>
        <x14:dataValidation type="list" allowBlank="1" showInputMessage="1" showErrorMessage="1" xr:uid="{0FF40044-1DF8-4C09-97A1-BC6111D3174A}">
          <x14:formula1>
            <xm:f>LISTS!$C$26:$C$37</xm:f>
          </x14:formula1>
          <xm:sqref>D14</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69172-97CA-4C24-B2D9-1E271B2107C9}">
  <sheetPr codeName="Sheet17"/>
  <dimension ref="A1:E65"/>
  <sheetViews>
    <sheetView workbookViewId="0">
      <selection activeCell="C3" sqref="C3:C10"/>
    </sheetView>
  </sheetViews>
  <sheetFormatPr defaultColWidth="8.85546875" defaultRowHeight="15" x14ac:dyDescent="0.25"/>
  <cols>
    <col min="1" max="1" width="42.42578125" bestFit="1" customWidth="1"/>
    <col min="2" max="2" width="38" bestFit="1" customWidth="1"/>
    <col min="3" max="3" width="81.140625" bestFit="1" customWidth="1"/>
    <col min="4" max="4" width="16.140625" bestFit="1" customWidth="1"/>
    <col min="5" max="5" width="11" bestFit="1" customWidth="1"/>
  </cols>
  <sheetData>
    <row r="1" spans="1:5" x14ac:dyDescent="0.25">
      <c r="A1" t="s">
        <v>582</v>
      </c>
      <c r="B1" t="s">
        <v>583</v>
      </c>
      <c r="C1" t="s">
        <v>584</v>
      </c>
      <c r="D1" t="s">
        <v>585</v>
      </c>
      <c r="E1" t="s">
        <v>586</v>
      </c>
    </row>
    <row r="2" spans="1:5" ht="60" x14ac:dyDescent="0.25">
      <c r="A2" t="s">
        <v>68</v>
      </c>
      <c r="B2" t="s">
        <v>69</v>
      </c>
      <c r="C2" s="75" t="s">
        <v>772</v>
      </c>
      <c r="D2">
        <v>8</v>
      </c>
      <c r="E2" t="b">
        <v>1</v>
      </c>
    </row>
    <row r="3" spans="1:5" ht="60" x14ac:dyDescent="0.25">
      <c r="A3" t="s">
        <v>68</v>
      </c>
      <c r="B3" t="s">
        <v>164</v>
      </c>
      <c r="C3" s="75" t="s">
        <v>773</v>
      </c>
      <c r="D3">
        <v>8</v>
      </c>
      <c r="E3" t="b">
        <v>1</v>
      </c>
    </row>
    <row r="4" spans="1:5" ht="60" x14ac:dyDescent="0.25">
      <c r="A4" t="s">
        <v>68</v>
      </c>
      <c r="B4" t="s">
        <v>163</v>
      </c>
      <c r="C4" s="75" t="s">
        <v>587</v>
      </c>
      <c r="D4">
        <v>8</v>
      </c>
      <c r="E4" t="b">
        <v>1</v>
      </c>
    </row>
    <row r="5" spans="1:5" hidden="1" x14ac:dyDescent="0.25">
      <c r="A5" t="s">
        <v>74</v>
      </c>
      <c r="B5" t="s">
        <v>311</v>
      </c>
      <c r="C5" t="s">
        <v>588</v>
      </c>
      <c r="D5">
        <v>3</v>
      </c>
      <c r="E5" t="b">
        <v>1</v>
      </c>
    </row>
    <row r="6" spans="1:5" ht="45" x14ac:dyDescent="0.25">
      <c r="A6" t="s">
        <v>68</v>
      </c>
      <c r="B6" t="s">
        <v>130</v>
      </c>
      <c r="C6" s="75" t="s">
        <v>774</v>
      </c>
      <c r="D6">
        <v>7</v>
      </c>
      <c r="E6" t="b">
        <v>1</v>
      </c>
    </row>
    <row r="7" spans="1:5" hidden="1" x14ac:dyDescent="0.25">
      <c r="A7" t="s">
        <v>78</v>
      </c>
      <c r="B7" t="s">
        <v>212</v>
      </c>
      <c r="C7" t="s">
        <v>775</v>
      </c>
      <c r="D7">
        <v>8</v>
      </c>
      <c r="E7" t="b">
        <v>1</v>
      </c>
    </row>
    <row r="8" spans="1:5" x14ac:dyDescent="0.25">
      <c r="A8" t="s">
        <v>68</v>
      </c>
      <c r="B8" t="s">
        <v>313</v>
      </c>
      <c r="C8" s="75" t="s">
        <v>296</v>
      </c>
      <c r="D8">
        <v>1</v>
      </c>
      <c r="E8" t="b">
        <v>1</v>
      </c>
    </row>
    <row r="9" spans="1:5" hidden="1" x14ac:dyDescent="0.25">
      <c r="A9" t="s">
        <v>70</v>
      </c>
      <c r="B9" t="s">
        <v>312</v>
      </c>
      <c r="C9" t="s">
        <v>589</v>
      </c>
      <c r="D9">
        <v>6</v>
      </c>
      <c r="E9" t="b">
        <v>1</v>
      </c>
    </row>
    <row r="10" spans="1:5" ht="60" x14ac:dyDescent="0.25">
      <c r="A10" t="s">
        <v>68</v>
      </c>
      <c r="B10" t="s">
        <v>165</v>
      </c>
      <c r="C10" s="75" t="s">
        <v>590</v>
      </c>
      <c r="D10">
        <v>8</v>
      </c>
      <c r="E10" t="b">
        <v>1</v>
      </c>
    </row>
    <row r="11" spans="1:5" hidden="1" x14ac:dyDescent="0.25">
      <c r="A11" t="s">
        <v>84</v>
      </c>
      <c r="B11" t="s">
        <v>85</v>
      </c>
      <c r="C11" t="s">
        <v>591</v>
      </c>
      <c r="D11">
        <v>6</v>
      </c>
      <c r="E11" t="b">
        <v>1</v>
      </c>
    </row>
    <row r="12" spans="1:5" hidden="1" x14ac:dyDescent="0.25">
      <c r="A12" t="s">
        <v>74</v>
      </c>
      <c r="B12" t="s">
        <v>310</v>
      </c>
      <c r="C12" t="s">
        <v>776</v>
      </c>
      <c r="D12">
        <v>2</v>
      </c>
      <c r="E12" t="b">
        <v>1</v>
      </c>
    </row>
    <row r="13" spans="1:5" hidden="1" x14ac:dyDescent="0.25">
      <c r="A13" t="s">
        <v>78</v>
      </c>
      <c r="B13" t="s">
        <v>169</v>
      </c>
      <c r="C13" t="s">
        <v>777</v>
      </c>
      <c r="D13">
        <v>3</v>
      </c>
      <c r="E13" t="b">
        <v>1</v>
      </c>
    </row>
    <row r="14" spans="1:5" hidden="1" x14ac:dyDescent="0.25">
      <c r="A14" t="s">
        <v>74</v>
      </c>
      <c r="B14" t="s">
        <v>314</v>
      </c>
      <c r="C14" t="s">
        <v>778</v>
      </c>
      <c r="D14">
        <v>3</v>
      </c>
      <c r="E14" t="b">
        <v>1</v>
      </c>
    </row>
    <row r="15" spans="1:5" hidden="1" x14ac:dyDescent="0.25">
      <c r="A15" t="s">
        <v>72</v>
      </c>
      <c r="B15" t="s">
        <v>73</v>
      </c>
      <c r="C15" t="s">
        <v>779</v>
      </c>
      <c r="D15">
        <v>8</v>
      </c>
      <c r="E15" t="b">
        <v>1</v>
      </c>
    </row>
    <row r="16" spans="1:5" hidden="1" x14ac:dyDescent="0.25">
      <c r="A16" t="s">
        <v>74</v>
      </c>
      <c r="B16" t="s">
        <v>210</v>
      </c>
      <c r="C16" t="s">
        <v>780</v>
      </c>
      <c r="D16">
        <v>4</v>
      </c>
      <c r="E16" t="b">
        <v>1</v>
      </c>
    </row>
    <row r="17" spans="1:5" hidden="1" x14ac:dyDescent="0.25">
      <c r="A17" t="s">
        <v>70</v>
      </c>
      <c r="B17" t="s">
        <v>209</v>
      </c>
      <c r="C17" t="s">
        <v>781</v>
      </c>
      <c r="D17">
        <v>3</v>
      </c>
      <c r="E17" t="b">
        <v>1</v>
      </c>
    </row>
    <row r="18" spans="1:5" hidden="1" x14ac:dyDescent="0.25">
      <c r="A18" t="s">
        <v>74</v>
      </c>
      <c r="B18" t="s">
        <v>75</v>
      </c>
      <c r="C18" t="s">
        <v>782</v>
      </c>
      <c r="D18">
        <v>7</v>
      </c>
      <c r="E18" t="b">
        <v>1</v>
      </c>
    </row>
    <row r="19" spans="1:5" hidden="1" x14ac:dyDescent="0.25">
      <c r="A19" t="s">
        <v>72</v>
      </c>
      <c r="B19" t="s">
        <v>166</v>
      </c>
      <c r="C19" t="s">
        <v>783</v>
      </c>
      <c r="D19">
        <v>7</v>
      </c>
      <c r="E19" t="b">
        <v>1</v>
      </c>
    </row>
    <row r="20" spans="1:5" hidden="1" x14ac:dyDescent="0.25">
      <c r="A20" t="s">
        <v>74</v>
      </c>
      <c r="B20" t="s">
        <v>592</v>
      </c>
      <c r="C20" t="s">
        <v>593</v>
      </c>
      <c r="D20">
        <v>1</v>
      </c>
      <c r="E20" t="b">
        <v>1</v>
      </c>
    </row>
    <row r="21" spans="1:5" hidden="1" x14ac:dyDescent="0.25">
      <c r="A21" t="s">
        <v>78</v>
      </c>
      <c r="B21" t="s">
        <v>594</v>
      </c>
      <c r="C21" t="s">
        <v>593</v>
      </c>
      <c r="D21">
        <v>1</v>
      </c>
      <c r="E21" t="b">
        <v>1</v>
      </c>
    </row>
    <row r="22" spans="1:5" hidden="1" x14ac:dyDescent="0.25">
      <c r="A22" t="s">
        <v>78</v>
      </c>
      <c r="B22" t="s">
        <v>405</v>
      </c>
      <c r="C22" t="s">
        <v>392</v>
      </c>
      <c r="D22">
        <v>1</v>
      </c>
      <c r="E22" t="b">
        <v>1</v>
      </c>
    </row>
    <row r="23" spans="1:5" hidden="1" x14ac:dyDescent="0.25">
      <c r="A23" t="s">
        <v>78</v>
      </c>
      <c r="B23" t="s">
        <v>79</v>
      </c>
      <c r="C23" t="s">
        <v>784</v>
      </c>
      <c r="D23">
        <v>4</v>
      </c>
      <c r="E23" t="b">
        <v>1</v>
      </c>
    </row>
    <row r="24" spans="1:5" hidden="1" x14ac:dyDescent="0.25">
      <c r="A24" t="s">
        <v>78</v>
      </c>
      <c r="B24" t="s">
        <v>595</v>
      </c>
      <c r="D24">
        <v>0</v>
      </c>
      <c r="E24" t="b">
        <v>0</v>
      </c>
    </row>
    <row r="25" spans="1:5" hidden="1" x14ac:dyDescent="0.25">
      <c r="A25" t="s">
        <v>86</v>
      </c>
      <c r="B25" t="s">
        <v>87</v>
      </c>
      <c r="C25" t="s">
        <v>596</v>
      </c>
      <c r="D25">
        <v>5</v>
      </c>
      <c r="E25" t="b">
        <v>1</v>
      </c>
    </row>
    <row r="26" spans="1:5" hidden="1" x14ac:dyDescent="0.25">
      <c r="A26" t="s">
        <v>70</v>
      </c>
      <c r="B26" t="s">
        <v>71</v>
      </c>
      <c r="C26" t="s">
        <v>785</v>
      </c>
      <c r="D26">
        <v>7</v>
      </c>
      <c r="E26" t="b">
        <v>1</v>
      </c>
    </row>
    <row r="27" spans="1:5" hidden="1" x14ac:dyDescent="0.25">
      <c r="A27" t="s">
        <v>70</v>
      </c>
      <c r="B27" t="s">
        <v>525</v>
      </c>
      <c r="C27" t="s">
        <v>513</v>
      </c>
      <c r="D27">
        <v>1</v>
      </c>
      <c r="E27" t="b">
        <v>1</v>
      </c>
    </row>
    <row r="28" spans="1:5" hidden="1" x14ac:dyDescent="0.25">
      <c r="A28" t="s">
        <v>82</v>
      </c>
      <c r="B28" t="s">
        <v>83</v>
      </c>
      <c r="C28" t="s">
        <v>786</v>
      </c>
      <c r="D28">
        <v>7</v>
      </c>
      <c r="E28" t="b">
        <v>1</v>
      </c>
    </row>
    <row r="29" spans="1:5" hidden="1" x14ac:dyDescent="0.25">
      <c r="A29" t="s">
        <v>70</v>
      </c>
      <c r="B29" t="s">
        <v>344</v>
      </c>
      <c r="C29" t="s">
        <v>597</v>
      </c>
      <c r="D29">
        <v>2</v>
      </c>
      <c r="E29" t="b">
        <v>1</v>
      </c>
    </row>
    <row r="30" spans="1:5" hidden="1" x14ac:dyDescent="0.25">
      <c r="A30" t="s">
        <v>84</v>
      </c>
      <c r="B30" t="s">
        <v>88</v>
      </c>
      <c r="C30" t="s">
        <v>8</v>
      </c>
      <c r="D30">
        <v>1</v>
      </c>
      <c r="E30" t="b">
        <v>1</v>
      </c>
    </row>
    <row r="31" spans="1:5" hidden="1" x14ac:dyDescent="0.25">
      <c r="A31" t="s">
        <v>70</v>
      </c>
      <c r="B31" t="s">
        <v>132</v>
      </c>
      <c r="C31" t="s">
        <v>787</v>
      </c>
      <c r="D31">
        <v>2</v>
      </c>
      <c r="E31" t="b">
        <v>1</v>
      </c>
    </row>
    <row r="32" spans="1:5" hidden="1" x14ac:dyDescent="0.25">
      <c r="A32" t="s">
        <v>84</v>
      </c>
      <c r="B32" t="s">
        <v>89</v>
      </c>
      <c r="C32" t="s">
        <v>8</v>
      </c>
      <c r="D32">
        <v>1</v>
      </c>
      <c r="E32" t="b">
        <v>1</v>
      </c>
    </row>
    <row r="33" spans="1:5" hidden="1" x14ac:dyDescent="0.25">
      <c r="A33" t="s">
        <v>72</v>
      </c>
      <c r="B33" t="s">
        <v>131</v>
      </c>
      <c r="C33" t="s">
        <v>788</v>
      </c>
      <c r="D33">
        <v>4</v>
      </c>
      <c r="E33" t="b">
        <v>1</v>
      </c>
    </row>
    <row r="34" spans="1:5" hidden="1" x14ac:dyDescent="0.25">
      <c r="A34" t="s">
        <v>84</v>
      </c>
      <c r="B34" t="s">
        <v>282</v>
      </c>
      <c r="C34" t="s">
        <v>269</v>
      </c>
      <c r="D34">
        <v>1</v>
      </c>
      <c r="E34" t="b">
        <v>1</v>
      </c>
    </row>
    <row r="35" spans="1:5" hidden="1" x14ac:dyDescent="0.25">
      <c r="A35" t="s">
        <v>72</v>
      </c>
      <c r="B35" t="s">
        <v>167</v>
      </c>
      <c r="C35" t="s">
        <v>789</v>
      </c>
      <c r="D35">
        <v>4</v>
      </c>
      <c r="E35" t="b">
        <v>1</v>
      </c>
    </row>
    <row r="36" spans="1:5" hidden="1" x14ac:dyDescent="0.25">
      <c r="A36" t="s">
        <v>84</v>
      </c>
      <c r="B36" t="s">
        <v>599</v>
      </c>
      <c r="D36">
        <v>0</v>
      </c>
      <c r="E36" t="b">
        <v>0</v>
      </c>
    </row>
    <row r="37" spans="1:5" hidden="1" x14ac:dyDescent="0.25">
      <c r="A37" t="s">
        <v>86</v>
      </c>
      <c r="B37" t="s">
        <v>168</v>
      </c>
      <c r="C37" t="s">
        <v>790</v>
      </c>
      <c r="D37">
        <v>3</v>
      </c>
      <c r="E37" t="b">
        <v>1</v>
      </c>
    </row>
    <row r="38" spans="1:5" hidden="1" x14ac:dyDescent="0.25">
      <c r="A38" t="s">
        <v>84</v>
      </c>
      <c r="B38" t="s">
        <v>600</v>
      </c>
      <c r="D38">
        <v>0</v>
      </c>
      <c r="E38" t="b">
        <v>0</v>
      </c>
    </row>
    <row r="39" spans="1:5" hidden="1" x14ac:dyDescent="0.25">
      <c r="A39" t="s">
        <v>84</v>
      </c>
      <c r="B39" t="s">
        <v>601</v>
      </c>
      <c r="D39">
        <v>0</v>
      </c>
      <c r="E39" t="b">
        <v>0</v>
      </c>
    </row>
    <row r="40" spans="1:5" hidden="1" x14ac:dyDescent="0.25">
      <c r="A40" t="s">
        <v>82</v>
      </c>
      <c r="B40" t="s">
        <v>171</v>
      </c>
      <c r="C40" t="s">
        <v>791</v>
      </c>
      <c r="D40">
        <v>4</v>
      </c>
      <c r="E40" t="b">
        <v>1</v>
      </c>
    </row>
    <row r="41" spans="1:5" hidden="1" x14ac:dyDescent="0.25">
      <c r="A41" t="s">
        <v>72</v>
      </c>
      <c r="B41" t="s">
        <v>211</v>
      </c>
      <c r="C41" t="s">
        <v>792</v>
      </c>
      <c r="D41">
        <v>4</v>
      </c>
      <c r="E41" t="b">
        <v>1</v>
      </c>
    </row>
    <row r="42" spans="1:5" hidden="1" x14ac:dyDescent="0.25">
      <c r="A42" t="s">
        <v>72</v>
      </c>
      <c r="B42" t="s">
        <v>345</v>
      </c>
      <c r="C42" t="s">
        <v>334</v>
      </c>
      <c r="D42">
        <v>1</v>
      </c>
      <c r="E42" t="b">
        <v>1</v>
      </c>
    </row>
    <row r="43" spans="1:5" hidden="1" x14ac:dyDescent="0.25">
      <c r="A43" t="s">
        <v>82</v>
      </c>
      <c r="B43" t="s">
        <v>255</v>
      </c>
      <c r="C43" t="s">
        <v>602</v>
      </c>
      <c r="D43">
        <v>3</v>
      </c>
      <c r="E43" t="b">
        <v>1</v>
      </c>
    </row>
    <row r="44" spans="1:5" hidden="1" x14ac:dyDescent="0.25">
      <c r="A44" t="s">
        <v>82</v>
      </c>
      <c r="B44" t="s">
        <v>406</v>
      </c>
      <c r="C44" t="s">
        <v>392</v>
      </c>
      <c r="D44">
        <v>1</v>
      </c>
      <c r="E44" t="b">
        <v>1</v>
      </c>
    </row>
    <row r="45" spans="1:5" hidden="1" x14ac:dyDescent="0.25">
      <c r="A45" t="s">
        <v>82</v>
      </c>
      <c r="B45" t="s">
        <v>407</v>
      </c>
      <c r="C45" t="s">
        <v>392</v>
      </c>
      <c r="D45">
        <v>1</v>
      </c>
      <c r="E45" t="b">
        <v>1</v>
      </c>
    </row>
    <row r="46" spans="1:5" hidden="1" x14ac:dyDescent="0.25">
      <c r="A46" t="s">
        <v>82</v>
      </c>
      <c r="B46" t="s">
        <v>556</v>
      </c>
      <c r="C46" t="s">
        <v>603</v>
      </c>
      <c r="D46">
        <v>1</v>
      </c>
      <c r="E46" t="b">
        <v>1</v>
      </c>
    </row>
    <row r="47" spans="1:5" hidden="1" x14ac:dyDescent="0.25">
      <c r="A47" t="s">
        <v>86</v>
      </c>
      <c r="B47" t="s">
        <v>554</v>
      </c>
      <c r="C47" t="s">
        <v>603</v>
      </c>
      <c r="D47">
        <v>1</v>
      </c>
      <c r="E47" t="b">
        <v>1</v>
      </c>
    </row>
    <row r="48" spans="1:5" hidden="1" x14ac:dyDescent="0.25">
      <c r="A48" t="s">
        <v>76</v>
      </c>
      <c r="B48" t="s">
        <v>479</v>
      </c>
      <c r="C48" t="s">
        <v>466</v>
      </c>
      <c r="D48">
        <v>1</v>
      </c>
      <c r="E48" t="b">
        <v>1</v>
      </c>
    </row>
    <row r="49" spans="1:5" hidden="1" x14ac:dyDescent="0.25">
      <c r="A49" t="s">
        <v>86</v>
      </c>
      <c r="B49" t="s">
        <v>604</v>
      </c>
      <c r="D49">
        <v>0</v>
      </c>
      <c r="E49" t="b">
        <v>0</v>
      </c>
    </row>
    <row r="50" spans="1:5" hidden="1" x14ac:dyDescent="0.25">
      <c r="A50" t="s">
        <v>76</v>
      </c>
      <c r="B50" t="s">
        <v>482</v>
      </c>
      <c r="C50" t="s">
        <v>793</v>
      </c>
      <c r="D50">
        <v>2</v>
      </c>
      <c r="E50" t="b">
        <v>1</v>
      </c>
    </row>
    <row r="51" spans="1:5" hidden="1" x14ac:dyDescent="0.25">
      <c r="A51" t="s">
        <v>86</v>
      </c>
      <c r="B51" t="s">
        <v>598</v>
      </c>
      <c r="D51">
        <v>0</v>
      </c>
      <c r="E51" t="b">
        <v>0</v>
      </c>
    </row>
    <row r="52" spans="1:5" hidden="1" x14ac:dyDescent="0.25">
      <c r="A52" t="s">
        <v>76</v>
      </c>
      <c r="B52" t="s">
        <v>483</v>
      </c>
      <c r="C52" t="s">
        <v>793</v>
      </c>
      <c r="D52">
        <v>2</v>
      </c>
      <c r="E52" t="b">
        <v>1</v>
      </c>
    </row>
    <row r="53" spans="1:5" hidden="1" x14ac:dyDescent="0.25">
      <c r="A53" t="s">
        <v>86</v>
      </c>
      <c r="B53" t="s">
        <v>605</v>
      </c>
      <c r="D53">
        <v>0</v>
      </c>
      <c r="E53" t="b">
        <v>0</v>
      </c>
    </row>
    <row r="54" spans="1:5" hidden="1" x14ac:dyDescent="0.25">
      <c r="A54" t="s">
        <v>86</v>
      </c>
      <c r="B54" t="s">
        <v>606</v>
      </c>
      <c r="D54">
        <v>0</v>
      </c>
      <c r="E54" t="b">
        <v>0</v>
      </c>
    </row>
    <row r="55" spans="1:5" hidden="1" x14ac:dyDescent="0.25">
      <c r="A55" t="s">
        <v>86</v>
      </c>
      <c r="B55" t="s">
        <v>607</v>
      </c>
      <c r="D55">
        <v>0</v>
      </c>
      <c r="E55" t="b">
        <v>0</v>
      </c>
    </row>
    <row r="56" spans="1:5" hidden="1" x14ac:dyDescent="0.25">
      <c r="A56" t="s">
        <v>86</v>
      </c>
      <c r="B56" t="s">
        <v>608</v>
      </c>
      <c r="D56">
        <v>0</v>
      </c>
      <c r="E56" t="b">
        <v>0</v>
      </c>
    </row>
    <row r="57" spans="1:5" hidden="1" x14ac:dyDescent="0.25">
      <c r="A57" t="s">
        <v>76</v>
      </c>
      <c r="B57" t="s">
        <v>555</v>
      </c>
      <c r="C57" t="s">
        <v>603</v>
      </c>
      <c r="D57">
        <v>1</v>
      </c>
      <c r="E57" t="b">
        <v>1</v>
      </c>
    </row>
    <row r="58" spans="1:5" hidden="1" x14ac:dyDescent="0.25">
      <c r="A58" t="s">
        <v>76</v>
      </c>
      <c r="B58" t="s">
        <v>77</v>
      </c>
      <c r="C58" t="s">
        <v>794</v>
      </c>
      <c r="D58">
        <v>3</v>
      </c>
      <c r="E58" t="b">
        <v>1</v>
      </c>
    </row>
    <row r="59" spans="1:5" hidden="1" x14ac:dyDescent="0.25">
      <c r="A59" t="s">
        <v>80</v>
      </c>
      <c r="B59" t="s">
        <v>170</v>
      </c>
      <c r="C59" t="s">
        <v>795</v>
      </c>
      <c r="D59">
        <v>5</v>
      </c>
      <c r="E59" t="b">
        <v>1</v>
      </c>
    </row>
    <row r="60" spans="1:5" hidden="1" x14ac:dyDescent="0.25">
      <c r="A60" t="s">
        <v>80</v>
      </c>
      <c r="B60" t="s">
        <v>281</v>
      </c>
      <c r="C60" t="s">
        <v>796</v>
      </c>
      <c r="D60">
        <v>2</v>
      </c>
      <c r="E60" t="b">
        <v>1</v>
      </c>
    </row>
    <row r="61" spans="1:5" hidden="1" x14ac:dyDescent="0.25">
      <c r="A61" t="s">
        <v>80</v>
      </c>
      <c r="B61" t="s">
        <v>81</v>
      </c>
      <c r="C61" t="s">
        <v>794</v>
      </c>
      <c r="D61">
        <v>3</v>
      </c>
      <c r="E61" t="b">
        <v>1</v>
      </c>
    </row>
    <row r="62" spans="1:5" hidden="1" x14ac:dyDescent="0.25">
      <c r="A62" t="s">
        <v>80</v>
      </c>
      <c r="B62" t="s">
        <v>481</v>
      </c>
      <c r="C62" t="s">
        <v>793</v>
      </c>
      <c r="D62">
        <v>2</v>
      </c>
      <c r="E62" t="b">
        <v>1</v>
      </c>
    </row>
    <row r="63" spans="1:5" hidden="1" x14ac:dyDescent="0.25">
      <c r="A63" t="s">
        <v>80</v>
      </c>
      <c r="B63" t="s">
        <v>480</v>
      </c>
      <c r="C63" t="s">
        <v>466</v>
      </c>
      <c r="D63">
        <v>1</v>
      </c>
      <c r="E63" t="b">
        <v>1</v>
      </c>
    </row>
    <row r="64" spans="1:5" hidden="1" x14ac:dyDescent="0.25">
      <c r="A64" t="s">
        <v>80</v>
      </c>
      <c r="B64" t="s">
        <v>484</v>
      </c>
      <c r="C64" t="s">
        <v>793</v>
      </c>
      <c r="D64">
        <v>2</v>
      </c>
      <c r="E64" t="b">
        <v>1</v>
      </c>
    </row>
    <row r="65" spans="1:5" hidden="1" x14ac:dyDescent="0.25">
      <c r="A65" t="s">
        <v>80</v>
      </c>
      <c r="B65" t="s">
        <v>485</v>
      </c>
      <c r="C65" t="s">
        <v>793</v>
      </c>
      <c r="D65">
        <v>2</v>
      </c>
      <c r="E65" t="b">
        <v>1</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9667A-92FE-4D9A-9B47-DA4E85834220}">
  <sheetPr codeName="Sheet18"/>
  <dimension ref="A1:I18"/>
  <sheetViews>
    <sheetView workbookViewId="0">
      <selection activeCell="H14" sqref="H14"/>
    </sheetView>
  </sheetViews>
  <sheetFormatPr defaultColWidth="8.85546875" defaultRowHeight="15" x14ac:dyDescent="0.25"/>
  <cols>
    <col min="1" max="1" width="14.85546875" bestFit="1" customWidth="1"/>
    <col min="2" max="2" width="63.140625" bestFit="1" customWidth="1"/>
    <col min="3" max="3" width="8.140625" bestFit="1" customWidth="1"/>
    <col min="4" max="4" width="12" bestFit="1" customWidth="1"/>
    <col min="5" max="5" width="10" bestFit="1" customWidth="1"/>
    <col min="6" max="6" width="39.85546875" bestFit="1" customWidth="1"/>
    <col min="7" max="7" width="18.5703125" bestFit="1" customWidth="1"/>
    <col min="8" max="8" width="21.42578125" bestFit="1" customWidth="1"/>
    <col min="9" max="9" width="18.42578125" bestFit="1" customWidth="1"/>
  </cols>
  <sheetData>
    <row r="1" spans="1:9" x14ac:dyDescent="0.25">
      <c r="A1" t="s">
        <v>609</v>
      </c>
      <c r="B1" t="s">
        <v>610</v>
      </c>
      <c r="C1" t="s">
        <v>13</v>
      </c>
      <c r="D1" t="s">
        <v>11</v>
      </c>
      <c r="E1" t="s">
        <v>10</v>
      </c>
      <c r="F1" t="s">
        <v>15</v>
      </c>
      <c r="G1" t="s">
        <v>18</v>
      </c>
      <c r="H1" t="s">
        <v>611</v>
      </c>
      <c r="I1" t="s">
        <v>612</v>
      </c>
    </row>
    <row r="2" spans="1:9" x14ac:dyDescent="0.25">
      <c r="A2" t="s">
        <v>5</v>
      </c>
      <c r="B2" t="s">
        <v>8</v>
      </c>
      <c r="C2">
        <v>4</v>
      </c>
      <c r="D2">
        <v>2</v>
      </c>
      <c r="E2">
        <v>20</v>
      </c>
      <c r="F2" t="s">
        <v>16</v>
      </c>
      <c r="G2" t="s">
        <v>19</v>
      </c>
      <c r="H2">
        <v>66</v>
      </c>
      <c r="I2">
        <v>3.3</v>
      </c>
    </row>
    <row r="3" spans="1:9" x14ac:dyDescent="0.25">
      <c r="A3" t="s">
        <v>113</v>
      </c>
      <c r="B3" t="s">
        <v>613</v>
      </c>
      <c r="C3">
        <v>4</v>
      </c>
      <c r="D3">
        <v>1</v>
      </c>
      <c r="E3">
        <v>20</v>
      </c>
      <c r="F3" t="s">
        <v>117</v>
      </c>
      <c r="G3" t="s">
        <v>119</v>
      </c>
      <c r="H3">
        <v>44</v>
      </c>
      <c r="I3">
        <v>2.2000000000000002</v>
      </c>
    </row>
    <row r="4" spans="1:9" x14ac:dyDescent="0.25">
      <c r="A4" t="s">
        <v>144</v>
      </c>
      <c r="B4" t="s">
        <v>146</v>
      </c>
      <c r="C4">
        <v>4</v>
      </c>
      <c r="D4">
        <v>2</v>
      </c>
      <c r="E4">
        <v>20</v>
      </c>
      <c r="F4" t="s">
        <v>148</v>
      </c>
      <c r="G4" t="s">
        <v>119</v>
      </c>
      <c r="H4">
        <v>40</v>
      </c>
      <c r="I4">
        <v>2</v>
      </c>
    </row>
    <row r="5" spans="1:9" x14ac:dyDescent="0.25">
      <c r="A5" t="s">
        <v>193</v>
      </c>
      <c r="B5" t="s">
        <v>195</v>
      </c>
      <c r="C5">
        <v>4</v>
      </c>
      <c r="D5">
        <v>1</v>
      </c>
      <c r="E5">
        <v>20</v>
      </c>
      <c r="F5" t="s">
        <v>16</v>
      </c>
      <c r="G5" t="s">
        <v>119</v>
      </c>
      <c r="H5">
        <v>76</v>
      </c>
      <c r="I5">
        <v>3.8</v>
      </c>
    </row>
    <row r="6" spans="1:9" x14ac:dyDescent="0.25">
      <c r="A6" t="s">
        <v>236</v>
      </c>
      <c r="B6" t="s">
        <v>237</v>
      </c>
      <c r="C6">
        <v>4</v>
      </c>
      <c r="D6">
        <v>1</v>
      </c>
      <c r="E6">
        <v>20</v>
      </c>
      <c r="F6" t="s">
        <v>240</v>
      </c>
      <c r="G6" t="s">
        <v>119</v>
      </c>
      <c r="H6">
        <v>42</v>
      </c>
      <c r="I6">
        <v>2.1</v>
      </c>
    </row>
    <row r="7" spans="1:9" x14ac:dyDescent="0.25">
      <c r="A7" t="s">
        <v>267</v>
      </c>
      <c r="B7" t="s">
        <v>269</v>
      </c>
      <c r="C7">
        <v>5</v>
      </c>
      <c r="D7">
        <v>1</v>
      </c>
      <c r="E7">
        <v>20</v>
      </c>
      <c r="F7" t="s">
        <v>16</v>
      </c>
      <c r="G7" t="s">
        <v>19</v>
      </c>
      <c r="H7">
        <v>66</v>
      </c>
      <c r="I7">
        <v>3.3</v>
      </c>
    </row>
    <row r="8" spans="1:9" x14ac:dyDescent="0.25">
      <c r="A8" t="s">
        <v>294</v>
      </c>
      <c r="B8" t="s">
        <v>296</v>
      </c>
      <c r="C8">
        <v>5</v>
      </c>
      <c r="D8">
        <v>1</v>
      </c>
      <c r="E8">
        <v>20</v>
      </c>
      <c r="F8" t="s">
        <v>299</v>
      </c>
      <c r="G8" t="s">
        <v>119</v>
      </c>
      <c r="H8">
        <v>42</v>
      </c>
      <c r="I8">
        <v>2.1</v>
      </c>
    </row>
    <row r="9" spans="1:9" x14ac:dyDescent="0.25">
      <c r="A9" t="s">
        <v>332</v>
      </c>
      <c r="B9" t="s">
        <v>334</v>
      </c>
      <c r="C9">
        <v>5</v>
      </c>
      <c r="D9">
        <v>1</v>
      </c>
      <c r="E9">
        <v>20</v>
      </c>
      <c r="F9" t="s">
        <v>336</v>
      </c>
      <c r="G9" t="s">
        <v>119</v>
      </c>
      <c r="H9">
        <v>44</v>
      </c>
      <c r="I9">
        <v>2.2000000000000002</v>
      </c>
    </row>
    <row r="10" spans="1:9" x14ac:dyDescent="0.25">
      <c r="A10" t="s">
        <v>360</v>
      </c>
      <c r="B10" t="s">
        <v>614</v>
      </c>
      <c r="C10">
        <v>5</v>
      </c>
      <c r="D10">
        <v>2</v>
      </c>
      <c r="E10">
        <v>20</v>
      </c>
      <c r="F10" t="s">
        <v>365</v>
      </c>
      <c r="G10" t="s">
        <v>119</v>
      </c>
      <c r="H10">
        <v>44</v>
      </c>
      <c r="I10">
        <v>2.2000000000000002</v>
      </c>
    </row>
    <row r="11" spans="1:9" x14ac:dyDescent="0.25">
      <c r="A11" t="s">
        <v>390</v>
      </c>
      <c r="B11" t="s">
        <v>392</v>
      </c>
      <c r="C11">
        <v>5</v>
      </c>
      <c r="D11">
        <v>2</v>
      </c>
      <c r="E11">
        <v>20</v>
      </c>
      <c r="F11" t="s">
        <v>299</v>
      </c>
      <c r="G11" t="s">
        <v>119</v>
      </c>
      <c r="H11">
        <v>44</v>
      </c>
      <c r="I11">
        <v>2.2000000000000002</v>
      </c>
    </row>
    <row r="12" spans="1:9" x14ac:dyDescent="0.25">
      <c r="A12" t="s">
        <v>465</v>
      </c>
      <c r="B12" t="s">
        <v>466</v>
      </c>
      <c r="C12">
        <v>6</v>
      </c>
      <c r="D12">
        <v>1</v>
      </c>
      <c r="E12">
        <v>20</v>
      </c>
      <c r="F12" t="s">
        <v>469</v>
      </c>
      <c r="G12" t="s">
        <v>19</v>
      </c>
      <c r="H12">
        <v>40</v>
      </c>
      <c r="I12">
        <v>2</v>
      </c>
    </row>
    <row r="13" spans="1:9" x14ac:dyDescent="0.25">
      <c r="A13" t="s">
        <v>430</v>
      </c>
      <c r="B13" t="s">
        <v>432</v>
      </c>
      <c r="C13">
        <v>6</v>
      </c>
      <c r="D13">
        <v>1</v>
      </c>
      <c r="E13">
        <v>20</v>
      </c>
      <c r="F13" t="s">
        <v>434</v>
      </c>
      <c r="G13" t="s">
        <v>119</v>
      </c>
      <c r="H13">
        <v>44</v>
      </c>
      <c r="I13">
        <v>2.2000000000000002</v>
      </c>
    </row>
    <row r="14" spans="1:9" x14ac:dyDescent="0.25">
      <c r="A14" t="s">
        <v>512</v>
      </c>
      <c r="B14" t="s">
        <v>513</v>
      </c>
      <c r="C14">
        <v>6</v>
      </c>
      <c r="D14">
        <v>2</v>
      </c>
      <c r="E14">
        <v>20</v>
      </c>
      <c r="F14" t="s">
        <v>516</v>
      </c>
      <c r="G14" t="s">
        <v>119</v>
      </c>
      <c r="H14">
        <v>44</v>
      </c>
      <c r="I14">
        <v>2.2000000000000002</v>
      </c>
    </row>
    <row r="15" spans="1:9" x14ac:dyDescent="0.25">
      <c r="A15" t="s">
        <v>538</v>
      </c>
      <c r="B15" t="s">
        <v>603</v>
      </c>
      <c r="C15">
        <v>6</v>
      </c>
      <c r="D15">
        <v>2</v>
      </c>
      <c r="E15">
        <v>20</v>
      </c>
      <c r="F15" t="s">
        <v>469</v>
      </c>
      <c r="G15" t="s">
        <v>543</v>
      </c>
      <c r="H15">
        <v>60</v>
      </c>
      <c r="I15">
        <v>3</v>
      </c>
    </row>
    <row r="16" spans="1:9" x14ac:dyDescent="0.25">
      <c r="A16" t="s">
        <v>615</v>
      </c>
      <c r="B16" t="s">
        <v>616</v>
      </c>
      <c r="C16">
        <v>4</v>
      </c>
      <c r="D16">
        <v>2</v>
      </c>
      <c r="E16">
        <v>20</v>
      </c>
      <c r="F16" t="s">
        <v>617</v>
      </c>
      <c r="G16" t="s">
        <v>618</v>
      </c>
      <c r="H16">
        <v>44</v>
      </c>
      <c r="I16">
        <v>2.2000000000000002</v>
      </c>
    </row>
    <row r="17" spans="1:9" x14ac:dyDescent="0.25">
      <c r="A17" t="s">
        <v>619</v>
      </c>
      <c r="B17" t="s">
        <v>620</v>
      </c>
      <c r="C17">
        <v>5</v>
      </c>
      <c r="D17">
        <v>2</v>
      </c>
      <c r="E17">
        <v>20</v>
      </c>
      <c r="F17" t="s">
        <v>621</v>
      </c>
      <c r="G17" t="s">
        <v>618</v>
      </c>
      <c r="H17">
        <v>42</v>
      </c>
      <c r="I17">
        <v>2.1</v>
      </c>
    </row>
    <row r="18" spans="1:9" x14ac:dyDescent="0.25">
      <c r="A18" t="s">
        <v>622</v>
      </c>
      <c r="B18" t="s">
        <v>593</v>
      </c>
      <c r="C18">
        <v>6</v>
      </c>
      <c r="E18">
        <v>40</v>
      </c>
      <c r="F18" t="s">
        <v>623</v>
      </c>
      <c r="G18" t="s">
        <v>624</v>
      </c>
      <c r="H18">
        <v>36</v>
      </c>
      <c r="I18">
        <v>0.9</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99EF6-D0EB-435E-8EBF-9F97101C5011}">
  <sheetPr codeName="Sheet19"/>
  <dimension ref="A1:L18"/>
  <sheetViews>
    <sheetView workbookViewId="0">
      <selection activeCell="T34" sqref="T34"/>
    </sheetView>
  </sheetViews>
  <sheetFormatPr defaultColWidth="8.85546875" defaultRowHeight="15" x14ac:dyDescent="0.25"/>
  <cols>
    <col min="1" max="1" width="49" bestFit="1" customWidth="1"/>
    <col min="2" max="2" width="14.85546875" bestFit="1" customWidth="1"/>
    <col min="3" max="3" width="63.140625" bestFit="1" customWidth="1"/>
    <col min="4" max="4" width="16" bestFit="1" customWidth="1"/>
    <col min="5" max="5" width="14.42578125" bestFit="1" customWidth="1"/>
    <col min="6" max="6" width="12.140625" bestFit="1" customWidth="1"/>
    <col min="7" max="7" width="10.140625" bestFit="1" customWidth="1"/>
    <col min="8" max="8" width="10.7109375" bestFit="1" customWidth="1"/>
    <col min="9" max="9" width="11" bestFit="1" customWidth="1"/>
    <col min="10" max="10" width="12.42578125" bestFit="1" customWidth="1"/>
    <col min="11" max="11" width="9.28515625" bestFit="1" customWidth="1"/>
    <col min="12" max="12" width="7.7109375" bestFit="1" customWidth="1"/>
  </cols>
  <sheetData>
    <row r="1" spans="1:12" x14ac:dyDescent="0.25">
      <c r="A1" t="s">
        <v>625</v>
      </c>
      <c r="B1" t="s">
        <v>609</v>
      </c>
      <c r="C1" t="s">
        <v>610</v>
      </c>
      <c r="D1" t="s">
        <v>626</v>
      </c>
      <c r="E1" t="s">
        <v>627</v>
      </c>
      <c r="F1" t="s">
        <v>628</v>
      </c>
      <c r="G1" t="s">
        <v>27</v>
      </c>
      <c r="H1" t="s">
        <v>28</v>
      </c>
      <c r="I1" t="s">
        <v>29</v>
      </c>
      <c r="J1" t="s">
        <v>30</v>
      </c>
      <c r="K1" t="s">
        <v>32</v>
      </c>
      <c r="L1" t="s">
        <v>34</v>
      </c>
    </row>
    <row r="2" spans="1:12" x14ac:dyDescent="0.25">
      <c r="A2" t="s">
        <v>629</v>
      </c>
      <c r="B2" t="s">
        <v>5</v>
      </c>
      <c r="C2" t="s">
        <v>8</v>
      </c>
      <c r="D2" t="s">
        <v>22</v>
      </c>
      <c r="E2" t="s">
        <v>630</v>
      </c>
      <c r="F2" t="s">
        <v>631</v>
      </c>
      <c r="G2">
        <v>22</v>
      </c>
      <c r="H2">
        <v>10</v>
      </c>
      <c r="I2">
        <v>4</v>
      </c>
      <c r="J2">
        <v>8</v>
      </c>
      <c r="K2">
        <v>0</v>
      </c>
      <c r="L2">
        <v>44</v>
      </c>
    </row>
    <row r="3" spans="1:12" x14ac:dyDescent="0.25">
      <c r="A3" t="s">
        <v>629</v>
      </c>
      <c r="B3" t="s">
        <v>113</v>
      </c>
      <c r="C3" t="s">
        <v>613</v>
      </c>
      <c r="D3" t="s">
        <v>22</v>
      </c>
      <c r="E3" t="s">
        <v>632</v>
      </c>
      <c r="F3" t="s">
        <v>631</v>
      </c>
      <c r="G3">
        <v>22</v>
      </c>
      <c r="H3">
        <v>18</v>
      </c>
      <c r="L3">
        <v>40</v>
      </c>
    </row>
    <row r="4" spans="1:12" x14ac:dyDescent="0.25">
      <c r="A4" t="s">
        <v>629</v>
      </c>
      <c r="B4" t="s">
        <v>144</v>
      </c>
      <c r="C4" t="s">
        <v>146</v>
      </c>
      <c r="D4" t="s">
        <v>22</v>
      </c>
      <c r="E4" t="s">
        <v>633</v>
      </c>
      <c r="F4" t="s">
        <v>631</v>
      </c>
      <c r="G4">
        <v>22</v>
      </c>
      <c r="H4">
        <v>6</v>
      </c>
      <c r="I4">
        <v>8</v>
      </c>
      <c r="J4">
        <v>4</v>
      </c>
      <c r="L4">
        <v>40</v>
      </c>
    </row>
    <row r="5" spans="1:12" x14ac:dyDescent="0.25">
      <c r="A5" t="s">
        <v>629</v>
      </c>
      <c r="B5" t="s">
        <v>193</v>
      </c>
      <c r="C5" t="s">
        <v>195</v>
      </c>
      <c r="D5" t="s">
        <v>22</v>
      </c>
      <c r="E5" t="s">
        <v>634</v>
      </c>
      <c r="F5" t="s">
        <v>631</v>
      </c>
      <c r="G5">
        <v>20</v>
      </c>
      <c r="H5">
        <v>8</v>
      </c>
      <c r="I5">
        <v>8</v>
      </c>
      <c r="J5">
        <v>8</v>
      </c>
      <c r="K5">
        <v>4</v>
      </c>
      <c r="L5">
        <v>48</v>
      </c>
    </row>
    <row r="6" spans="1:12" x14ac:dyDescent="0.25">
      <c r="A6" t="s">
        <v>629</v>
      </c>
      <c r="B6" t="s">
        <v>236</v>
      </c>
      <c r="C6" t="s">
        <v>237</v>
      </c>
      <c r="D6" t="s">
        <v>22</v>
      </c>
      <c r="E6" t="s">
        <v>635</v>
      </c>
      <c r="F6" t="s">
        <v>631</v>
      </c>
      <c r="G6">
        <v>42</v>
      </c>
      <c r="L6">
        <v>42</v>
      </c>
    </row>
    <row r="7" spans="1:12" x14ac:dyDescent="0.25">
      <c r="A7" t="s">
        <v>629</v>
      </c>
      <c r="B7" t="s">
        <v>267</v>
      </c>
      <c r="C7" t="s">
        <v>269</v>
      </c>
      <c r="D7" t="s">
        <v>22</v>
      </c>
      <c r="E7" t="s">
        <v>636</v>
      </c>
      <c r="F7" t="s">
        <v>631</v>
      </c>
      <c r="G7">
        <v>22</v>
      </c>
      <c r="H7">
        <v>10</v>
      </c>
      <c r="I7">
        <v>4</v>
      </c>
      <c r="J7">
        <v>8</v>
      </c>
      <c r="K7">
        <v>0</v>
      </c>
      <c r="L7">
        <v>44</v>
      </c>
    </row>
    <row r="8" spans="1:12" x14ac:dyDescent="0.25">
      <c r="A8" t="s">
        <v>629</v>
      </c>
      <c r="B8" t="s">
        <v>294</v>
      </c>
      <c r="C8" t="s">
        <v>296</v>
      </c>
      <c r="D8" t="s">
        <v>22</v>
      </c>
      <c r="E8" t="s">
        <v>637</v>
      </c>
      <c r="F8" t="s">
        <v>631</v>
      </c>
      <c r="G8">
        <v>18</v>
      </c>
      <c r="H8">
        <v>4</v>
      </c>
      <c r="I8">
        <v>16</v>
      </c>
      <c r="J8">
        <v>0</v>
      </c>
      <c r="K8">
        <v>4</v>
      </c>
      <c r="L8">
        <v>42</v>
      </c>
    </row>
    <row r="9" spans="1:12" x14ac:dyDescent="0.25">
      <c r="A9" t="s">
        <v>629</v>
      </c>
      <c r="B9" t="s">
        <v>332</v>
      </c>
      <c r="C9" t="s">
        <v>334</v>
      </c>
      <c r="D9" t="s">
        <v>22</v>
      </c>
      <c r="E9" t="s">
        <v>638</v>
      </c>
      <c r="F9" t="s">
        <v>631</v>
      </c>
      <c r="G9">
        <v>22</v>
      </c>
      <c r="H9">
        <v>22</v>
      </c>
      <c r="L9">
        <v>44</v>
      </c>
    </row>
    <row r="10" spans="1:12" x14ac:dyDescent="0.25">
      <c r="A10" t="s">
        <v>629</v>
      </c>
      <c r="B10" t="s">
        <v>360</v>
      </c>
      <c r="C10" t="s">
        <v>614</v>
      </c>
      <c r="D10" t="s">
        <v>22</v>
      </c>
      <c r="E10" t="s">
        <v>639</v>
      </c>
      <c r="F10" t="s">
        <v>631</v>
      </c>
      <c r="G10">
        <v>22</v>
      </c>
      <c r="H10">
        <v>18</v>
      </c>
      <c r="L10">
        <v>40</v>
      </c>
    </row>
    <row r="11" spans="1:12" x14ac:dyDescent="0.25">
      <c r="A11" t="s">
        <v>629</v>
      </c>
      <c r="B11" t="s">
        <v>390</v>
      </c>
      <c r="C11" t="s">
        <v>392</v>
      </c>
      <c r="D11" t="s">
        <v>22</v>
      </c>
      <c r="E11" t="s">
        <v>640</v>
      </c>
      <c r="F11" t="s">
        <v>631</v>
      </c>
      <c r="G11">
        <v>38</v>
      </c>
      <c r="H11">
        <v>6</v>
      </c>
      <c r="I11">
        <v>0</v>
      </c>
      <c r="J11">
        <v>0</v>
      </c>
      <c r="K11">
        <v>0</v>
      </c>
      <c r="L11">
        <v>44</v>
      </c>
    </row>
    <row r="12" spans="1:12" x14ac:dyDescent="0.25">
      <c r="A12" t="s">
        <v>629</v>
      </c>
      <c r="B12" t="s">
        <v>465</v>
      </c>
      <c r="C12" t="s">
        <v>466</v>
      </c>
      <c r="D12" t="s">
        <v>22</v>
      </c>
      <c r="E12" t="s">
        <v>641</v>
      </c>
      <c r="F12" t="s">
        <v>631</v>
      </c>
      <c r="G12">
        <v>18</v>
      </c>
      <c r="H12">
        <v>4</v>
      </c>
      <c r="J12">
        <v>18</v>
      </c>
      <c r="L12">
        <v>40</v>
      </c>
    </row>
    <row r="13" spans="1:12" x14ac:dyDescent="0.25">
      <c r="A13" t="s">
        <v>629</v>
      </c>
      <c r="B13" t="s">
        <v>430</v>
      </c>
      <c r="C13" t="s">
        <v>432</v>
      </c>
      <c r="D13" t="s">
        <v>22</v>
      </c>
      <c r="E13" t="s">
        <v>642</v>
      </c>
      <c r="F13" t="s">
        <v>631</v>
      </c>
      <c r="G13">
        <v>22</v>
      </c>
      <c r="I13">
        <v>8</v>
      </c>
      <c r="J13">
        <v>14</v>
      </c>
      <c r="L13">
        <v>44</v>
      </c>
    </row>
    <row r="14" spans="1:12" x14ac:dyDescent="0.25">
      <c r="A14" t="s">
        <v>629</v>
      </c>
      <c r="B14" t="s">
        <v>512</v>
      </c>
      <c r="C14" t="s">
        <v>513</v>
      </c>
      <c r="D14" t="s">
        <v>22</v>
      </c>
      <c r="E14" t="s">
        <v>643</v>
      </c>
      <c r="F14" t="s">
        <v>631</v>
      </c>
      <c r="G14">
        <v>22</v>
      </c>
      <c r="H14">
        <v>22</v>
      </c>
      <c r="L14">
        <v>44</v>
      </c>
    </row>
    <row r="15" spans="1:12" x14ac:dyDescent="0.25">
      <c r="A15" t="s">
        <v>629</v>
      </c>
      <c r="B15" t="s">
        <v>538</v>
      </c>
      <c r="C15" t="s">
        <v>603</v>
      </c>
      <c r="D15" t="s">
        <v>22</v>
      </c>
      <c r="E15" t="s">
        <v>644</v>
      </c>
      <c r="F15" t="s">
        <v>631</v>
      </c>
      <c r="H15">
        <v>10</v>
      </c>
      <c r="I15">
        <v>30</v>
      </c>
      <c r="J15">
        <v>6</v>
      </c>
      <c r="L15">
        <v>46</v>
      </c>
    </row>
    <row r="16" spans="1:12" x14ac:dyDescent="0.25">
      <c r="A16" t="s">
        <v>645</v>
      </c>
      <c r="B16" t="s">
        <v>615</v>
      </c>
      <c r="C16" t="s">
        <v>616</v>
      </c>
      <c r="D16" t="s">
        <v>22</v>
      </c>
      <c r="E16" t="s">
        <v>646</v>
      </c>
      <c r="F16" t="s">
        <v>631</v>
      </c>
      <c r="G16">
        <v>34</v>
      </c>
      <c r="H16">
        <v>6</v>
      </c>
      <c r="J16">
        <v>4</v>
      </c>
      <c r="L16">
        <v>44</v>
      </c>
    </row>
    <row r="17" spans="1:12" x14ac:dyDescent="0.25">
      <c r="A17" t="s">
        <v>645</v>
      </c>
      <c r="B17" t="s">
        <v>619</v>
      </c>
      <c r="C17" t="s">
        <v>620</v>
      </c>
      <c r="D17" t="s">
        <v>22</v>
      </c>
      <c r="E17" t="s">
        <v>647</v>
      </c>
      <c r="F17" t="s">
        <v>631</v>
      </c>
      <c r="G17">
        <v>34</v>
      </c>
      <c r="H17">
        <v>12</v>
      </c>
      <c r="J17">
        <v>2</v>
      </c>
      <c r="L17">
        <v>48</v>
      </c>
    </row>
    <row r="18" spans="1:12" x14ac:dyDescent="0.25">
      <c r="A18" t="s">
        <v>645</v>
      </c>
      <c r="B18" t="s">
        <v>622</v>
      </c>
      <c r="C18" t="s">
        <v>593</v>
      </c>
      <c r="D18" t="s">
        <v>22</v>
      </c>
      <c r="E18" t="s">
        <v>648</v>
      </c>
      <c r="F18" t="s">
        <v>631</v>
      </c>
      <c r="G18">
        <v>12</v>
      </c>
      <c r="H18">
        <v>10</v>
      </c>
      <c r="L18">
        <v>22</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3274B-5FDD-492D-8BCF-0F51AB448407}">
  <sheetPr codeName="Sheet20"/>
  <dimension ref="A1:N18"/>
  <sheetViews>
    <sheetView workbookViewId="0">
      <selection activeCell="H14" sqref="H14"/>
    </sheetView>
  </sheetViews>
  <sheetFormatPr defaultColWidth="8.85546875" defaultRowHeight="15" x14ac:dyDescent="0.25"/>
  <cols>
    <col min="1" max="1" width="49" bestFit="1" customWidth="1"/>
    <col min="2" max="2" width="14.85546875" bestFit="1" customWidth="1"/>
    <col min="3" max="3" width="63.140625" bestFit="1" customWidth="1"/>
    <col min="4" max="4" width="63.5703125" bestFit="1" customWidth="1"/>
    <col min="5" max="5" width="10" bestFit="1" customWidth="1"/>
    <col min="6" max="6" width="12" bestFit="1" customWidth="1"/>
    <col min="7" max="7" width="8.140625" bestFit="1" customWidth="1"/>
    <col min="8" max="8" width="39.85546875" bestFit="1" customWidth="1"/>
    <col min="9" max="9" width="18.5703125" bestFit="1" customWidth="1"/>
    <col min="10" max="10" width="17.85546875" bestFit="1" customWidth="1"/>
    <col min="11" max="11" width="13.42578125" bestFit="1" customWidth="1"/>
    <col min="12" max="12" width="12.7109375" bestFit="1" customWidth="1"/>
    <col min="13" max="13" width="16" bestFit="1" customWidth="1"/>
    <col min="14" max="14" width="12.140625" bestFit="1" customWidth="1"/>
  </cols>
  <sheetData>
    <row r="1" spans="1:14" x14ac:dyDescent="0.25">
      <c r="A1" t="s">
        <v>625</v>
      </c>
      <c r="B1" t="s">
        <v>609</v>
      </c>
      <c r="C1" t="s">
        <v>610</v>
      </c>
      <c r="D1" t="s">
        <v>7</v>
      </c>
      <c r="E1" t="s">
        <v>10</v>
      </c>
      <c r="F1" t="s">
        <v>11</v>
      </c>
      <c r="G1" t="s">
        <v>13</v>
      </c>
      <c r="H1" t="s">
        <v>15</v>
      </c>
      <c r="I1" t="s">
        <v>18</v>
      </c>
      <c r="J1" t="s">
        <v>21</v>
      </c>
      <c r="K1" t="s">
        <v>627</v>
      </c>
      <c r="L1" t="s">
        <v>649</v>
      </c>
      <c r="M1" t="s">
        <v>626</v>
      </c>
      <c r="N1" t="s">
        <v>628</v>
      </c>
    </row>
    <row r="2" spans="1:14" x14ac:dyDescent="0.25">
      <c r="A2" t="s">
        <v>629</v>
      </c>
      <c r="B2" t="s">
        <v>5</v>
      </c>
      <c r="C2" t="s">
        <v>8</v>
      </c>
      <c r="D2" t="s">
        <v>8</v>
      </c>
      <c r="E2">
        <v>20</v>
      </c>
      <c r="F2">
        <v>1</v>
      </c>
      <c r="G2">
        <v>4</v>
      </c>
      <c r="H2" t="s">
        <v>16</v>
      </c>
      <c r="I2" t="s">
        <v>19</v>
      </c>
      <c r="J2" t="s">
        <v>22</v>
      </c>
      <c r="K2" t="s">
        <v>650</v>
      </c>
      <c r="L2" t="s">
        <v>651</v>
      </c>
      <c r="M2" t="s">
        <v>22</v>
      </c>
      <c r="N2" t="s">
        <v>631</v>
      </c>
    </row>
    <row r="3" spans="1:14" x14ac:dyDescent="0.25">
      <c r="A3" t="s">
        <v>629</v>
      </c>
      <c r="B3" t="s">
        <v>113</v>
      </c>
      <c r="C3" t="s">
        <v>613</v>
      </c>
      <c r="D3" t="s">
        <v>115</v>
      </c>
      <c r="E3">
        <v>20</v>
      </c>
      <c r="F3">
        <v>2</v>
      </c>
      <c r="G3">
        <v>4</v>
      </c>
      <c r="H3" t="s">
        <v>117</v>
      </c>
      <c r="I3" t="s">
        <v>119</v>
      </c>
      <c r="J3" t="s">
        <v>22</v>
      </c>
      <c r="K3" t="s">
        <v>652</v>
      </c>
      <c r="L3" t="s">
        <v>651</v>
      </c>
      <c r="M3" t="s">
        <v>22</v>
      </c>
      <c r="N3" t="s">
        <v>631</v>
      </c>
    </row>
    <row r="4" spans="1:14" x14ac:dyDescent="0.25">
      <c r="A4" t="s">
        <v>629</v>
      </c>
      <c r="B4" t="s">
        <v>144</v>
      </c>
      <c r="C4" t="s">
        <v>146</v>
      </c>
      <c r="D4" t="s">
        <v>146</v>
      </c>
      <c r="E4">
        <v>20</v>
      </c>
      <c r="F4">
        <v>2</v>
      </c>
      <c r="G4">
        <v>4</v>
      </c>
      <c r="H4" t="s">
        <v>148</v>
      </c>
      <c r="I4" t="s">
        <v>119</v>
      </c>
      <c r="J4" t="s">
        <v>22</v>
      </c>
      <c r="K4" t="s">
        <v>653</v>
      </c>
      <c r="L4" t="s">
        <v>651</v>
      </c>
      <c r="M4" t="s">
        <v>22</v>
      </c>
      <c r="N4" t="s">
        <v>631</v>
      </c>
    </row>
    <row r="5" spans="1:14" x14ac:dyDescent="0.25">
      <c r="A5" t="s">
        <v>629</v>
      </c>
      <c r="B5" t="s">
        <v>193</v>
      </c>
      <c r="C5" t="s">
        <v>195</v>
      </c>
      <c r="D5" t="s">
        <v>195</v>
      </c>
      <c r="E5">
        <v>20</v>
      </c>
      <c r="F5">
        <v>1</v>
      </c>
      <c r="G5">
        <v>4</v>
      </c>
      <c r="H5" t="s">
        <v>16</v>
      </c>
      <c r="I5" t="s">
        <v>119</v>
      </c>
      <c r="J5" t="s">
        <v>22</v>
      </c>
      <c r="K5" t="s">
        <v>654</v>
      </c>
      <c r="L5" t="s">
        <v>651</v>
      </c>
      <c r="M5" t="s">
        <v>22</v>
      </c>
      <c r="N5" t="s">
        <v>631</v>
      </c>
    </row>
    <row r="6" spans="1:14" x14ac:dyDescent="0.25">
      <c r="A6" t="s">
        <v>629</v>
      </c>
      <c r="B6" t="s">
        <v>236</v>
      </c>
      <c r="C6" t="s">
        <v>237</v>
      </c>
      <c r="D6" t="s">
        <v>237</v>
      </c>
      <c r="E6">
        <v>20</v>
      </c>
      <c r="F6">
        <v>1</v>
      </c>
      <c r="G6">
        <v>4</v>
      </c>
      <c r="H6" t="s">
        <v>240</v>
      </c>
      <c r="I6" t="s">
        <v>119</v>
      </c>
      <c r="J6" t="s">
        <v>243</v>
      </c>
      <c r="K6" t="s">
        <v>655</v>
      </c>
      <c r="L6" t="s">
        <v>651</v>
      </c>
      <c r="M6" t="s">
        <v>22</v>
      </c>
      <c r="N6" t="s">
        <v>631</v>
      </c>
    </row>
    <row r="7" spans="1:14" x14ac:dyDescent="0.25">
      <c r="A7" t="s">
        <v>629</v>
      </c>
      <c r="B7" t="s">
        <v>267</v>
      </c>
      <c r="C7" t="s">
        <v>269</v>
      </c>
      <c r="D7" t="s">
        <v>269</v>
      </c>
      <c r="E7">
        <v>20</v>
      </c>
      <c r="F7">
        <v>2</v>
      </c>
      <c r="G7">
        <v>5</v>
      </c>
      <c r="H7" t="s">
        <v>16</v>
      </c>
      <c r="I7" t="s">
        <v>19</v>
      </c>
      <c r="J7" t="s">
        <v>22</v>
      </c>
      <c r="K7" t="s">
        <v>656</v>
      </c>
      <c r="L7" t="s">
        <v>651</v>
      </c>
      <c r="M7" t="s">
        <v>22</v>
      </c>
      <c r="N7" t="s">
        <v>631</v>
      </c>
    </row>
    <row r="8" spans="1:14" x14ac:dyDescent="0.25">
      <c r="A8" t="s">
        <v>629</v>
      </c>
      <c r="B8" t="s">
        <v>294</v>
      </c>
      <c r="C8" t="s">
        <v>296</v>
      </c>
      <c r="D8" t="s">
        <v>296</v>
      </c>
      <c r="E8">
        <v>20</v>
      </c>
      <c r="F8">
        <v>1</v>
      </c>
      <c r="G8">
        <v>5</v>
      </c>
      <c r="H8" t="s">
        <v>299</v>
      </c>
      <c r="I8" t="s">
        <v>119</v>
      </c>
      <c r="J8" t="s">
        <v>22</v>
      </c>
      <c r="K8" t="s">
        <v>657</v>
      </c>
      <c r="L8" t="s">
        <v>651</v>
      </c>
      <c r="M8" t="s">
        <v>22</v>
      </c>
      <c r="N8" t="s">
        <v>631</v>
      </c>
    </row>
    <row r="9" spans="1:14" x14ac:dyDescent="0.25">
      <c r="A9" t="s">
        <v>629</v>
      </c>
      <c r="B9" t="s">
        <v>332</v>
      </c>
      <c r="C9" t="s">
        <v>334</v>
      </c>
      <c r="D9" t="s">
        <v>334</v>
      </c>
      <c r="E9">
        <v>20</v>
      </c>
      <c r="F9">
        <v>1</v>
      </c>
      <c r="G9">
        <v>5</v>
      </c>
      <c r="H9" t="s">
        <v>336</v>
      </c>
      <c r="I9" t="s">
        <v>119</v>
      </c>
      <c r="J9" t="s">
        <v>22</v>
      </c>
      <c r="K9" t="s">
        <v>658</v>
      </c>
      <c r="L9" t="s">
        <v>651</v>
      </c>
      <c r="M9" t="s">
        <v>22</v>
      </c>
      <c r="N9" t="s">
        <v>631</v>
      </c>
    </row>
    <row r="10" spans="1:14" x14ac:dyDescent="0.25">
      <c r="A10" t="s">
        <v>629</v>
      </c>
      <c r="B10" t="s">
        <v>360</v>
      </c>
      <c r="C10" t="s">
        <v>614</v>
      </c>
      <c r="D10" t="s">
        <v>362</v>
      </c>
      <c r="E10">
        <v>20</v>
      </c>
      <c r="F10">
        <v>1</v>
      </c>
      <c r="G10">
        <v>5</v>
      </c>
      <c r="H10" t="s">
        <v>365</v>
      </c>
      <c r="I10" t="s">
        <v>119</v>
      </c>
      <c r="J10" t="s">
        <v>22</v>
      </c>
      <c r="K10" t="s">
        <v>659</v>
      </c>
      <c r="L10" t="s">
        <v>651</v>
      </c>
      <c r="M10" t="s">
        <v>22</v>
      </c>
      <c r="N10" t="s">
        <v>631</v>
      </c>
    </row>
    <row r="11" spans="1:14" x14ac:dyDescent="0.25">
      <c r="A11" t="s">
        <v>629</v>
      </c>
      <c r="B11" t="s">
        <v>390</v>
      </c>
      <c r="C11" t="s">
        <v>392</v>
      </c>
      <c r="D11" t="s">
        <v>392</v>
      </c>
      <c r="E11">
        <v>20</v>
      </c>
      <c r="F11">
        <v>2</v>
      </c>
      <c r="G11">
        <v>5</v>
      </c>
      <c r="H11" t="s">
        <v>299</v>
      </c>
      <c r="I11" t="s">
        <v>119</v>
      </c>
      <c r="J11" t="s">
        <v>396</v>
      </c>
      <c r="K11" t="s">
        <v>660</v>
      </c>
      <c r="L11" t="s">
        <v>651</v>
      </c>
      <c r="M11" t="s">
        <v>22</v>
      </c>
      <c r="N11" t="s">
        <v>631</v>
      </c>
    </row>
    <row r="12" spans="1:14" x14ac:dyDescent="0.25">
      <c r="A12" t="s">
        <v>629</v>
      </c>
      <c r="B12" t="s">
        <v>465</v>
      </c>
      <c r="C12" t="s">
        <v>466</v>
      </c>
      <c r="D12" t="s">
        <v>466</v>
      </c>
      <c r="E12">
        <v>20</v>
      </c>
      <c r="F12">
        <v>1</v>
      </c>
      <c r="G12">
        <v>6</v>
      </c>
      <c r="H12" t="s">
        <v>469</v>
      </c>
      <c r="I12" t="s">
        <v>19</v>
      </c>
      <c r="J12" t="s">
        <v>22</v>
      </c>
      <c r="K12" t="s">
        <v>661</v>
      </c>
      <c r="L12" t="s">
        <v>651</v>
      </c>
      <c r="M12" t="s">
        <v>22</v>
      </c>
      <c r="N12" t="s">
        <v>631</v>
      </c>
    </row>
    <row r="13" spans="1:14" x14ac:dyDescent="0.25">
      <c r="A13" t="s">
        <v>629</v>
      </c>
      <c r="B13" t="s">
        <v>430</v>
      </c>
      <c r="C13" t="s">
        <v>432</v>
      </c>
      <c r="D13" t="s">
        <v>432</v>
      </c>
      <c r="E13">
        <v>20</v>
      </c>
      <c r="F13">
        <v>1</v>
      </c>
      <c r="G13">
        <v>6</v>
      </c>
      <c r="H13" t="s">
        <v>434</v>
      </c>
      <c r="I13" t="s">
        <v>119</v>
      </c>
      <c r="J13" t="s">
        <v>243</v>
      </c>
      <c r="K13" t="s">
        <v>662</v>
      </c>
      <c r="L13" t="s">
        <v>651</v>
      </c>
      <c r="M13" t="s">
        <v>22</v>
      </c>
      <c r="N13" t="s">
        <v>631</v>
      </c>
    </row>
    <row r="14" spans="1:14" x14ac:dyDescent="0.25">
      <c r="A14" t="s">
        <v>629</v>
      </c>
      <c r="B14" t="s">
        <v>512</v>
      </c>
      <c r="C14" t="s">
        <v>513</v>
      </c>
      <c r="D14" t="s">
        <v>513</v>
      </c>
      <c r="E14">
        <v>20</v>
      </c>
      <c r="F14">
        <v>2</v>
      </c>
      <c r="G14">
        <v>6</v>
      </c>
      <c r="H14" t="s">
        <v>516</v>
      </c>
      <c r="I14" t="s">
        <v>119</v>
      </c>
      <c r="J14" t="s">
        <v>243</v>
      </c>
      <c r="K14" t="s">
        <v>663</v>
      </c>
      <c r="L14" t="s">
        <v>651</v>
      </c>
      <c r="M14" t="s">
        <v>22</v>
      </c>
      <c r="N14" t="s">
        <v>631</v>
      </c>
    </row>
    <row r="15" spans="1:14" x14ac:dyDescent="0.25">
      <c r="A15" t="s">
        <v>629</v>
      </c>
      <c r="B15" t="s">
        <v>538</v>
      </c>
      <c r="C15" t="s">
        <v>603</v>
      </c>
      <c r="D15" t="s">
        <v>540</v>
      </c>
      <c r="E15">
        <v>20</v>
      </c>
      <c r="F15">
        <v>2</v>
      </c>
      <c r="G15">
        <v>6</v>
      </c>
      <c r="H15" t="s">
        <v>469</v>
      </c>
      <c r="I15" t="s">
        <v>543</v>
      </c>
      <c r="J15" t="s">
        <v>22</v>
      </c>
      <c r="K15" t="s">
        <v>664</v>
      </c>
      <c r="L15" t="s">
        <v>651</v>
      </c>
      <c r="M15" t="s">
        <v>22</v>
      </c>
      <c r="N15" t="s">
        <v>631</v>
      </c>
    </row>
    <row r="16" spans="1:14" x14ac:dyDescent="0.25">
      <c r="A16" t="s">
        <v>645</v>
      </c>
      <c r="B16" t="s">
        <v>615</v>
      </c>
      <c r="C16" t="s">
        <v>616</v>
      </c>
      <c r="D16" t="s">
        <v>616</v>
      </c>
      <c r="E16">
        <v>20</v>
      </c>
      <c r="F16">
        <v>2</v>
      </c>
      <c r="G16">
        <v>4</v>
      </c>
      <c r="H16" t="s">
        <v>617</v>
      </c>
      <c r="I16" t="s">
        <v>618</v>
      </c>
      <c r="J16" t="s">
        <v>396</v>
      </c>
      <c r="K16" t="s">
        <v>665</v>
      </c>
      <c r="L16" t="s">
        <v>651</v>
      </c>
      <c r="M16" t="s">
        <v>22</v>
      </c>
      <c r="N16" t="s">
        <v>631</v>
      </c>
    </row>
    <row r="17" spans="1:14" x14ac:dyDescent="0.25">
      <c r="A17" t="s">
        <v>645</v>
      </c>
      <c r="B17" t="s">
        <v>619</v>
      </c>
      <c r="C17" t="s">
        <v>620</v>
      </c>
      <c r="D17" t="s">
        <v>620</v>
      </c>
      <c r="E17">
        <v>20</v>
      </c>
      <c r="F17">
        <v>2</v>
      </c>
      <c r="G17">
        <v>5</v>
      </c>
      <c r="H17" t="s">
        <v>621</v>
      </c>
      <c r="I17" t="s">
        <v>618</v>
      </c>
      <c r="J17" t="s">
        <v>396</v>
      </c>
      <c r="K17" t="s">
        <v>666</v>
      </c>
      <c r="L17" t="s">
        <v>651</v>
      </c>
      <c r="M17" t="s">
        <v>22</v>
      </c>
      <c r="N17" t="s">
        <v>631</v>
      </c>
    </row>
    <row r="18" spans="1:14" x14ac:dyDescent="0.25">
      <c r="A18" t="s">
        <v>645</v>
      </c>
      <c r="B18" t="s">
        <v>622</v>
      </c>
      <c r="C18" t="s">
        <v>593</v>
      </c>
      <c r="D18" t="s">
        <v>593</v>
      </c>
      <c r="E18">
        <v>40</v>
      </c>
      <c r="F18" t="s">
        <v>667</v>
      </c>
      <c r="G18">
        <v>6</v>
      </c>
      <c r="H18" t="s">
        <v>623</v>
      </c>
      <c r="I18" t="s">
        <v>624</v>
      </c>
      <c r="J18" t="s">
        <v>396</v>
      </c>
      <c r="K18" t="s">
        <v>668</v>
      </c>
      <c r="L18" t="s">
        <v>651</v>
      </c>
      <c r="M18" t="s">
        <v>22</v>
      </c>
      <c r="N18" t="s">
        <v>631</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908E3-D5EB-4FAE-9BBE-B43B82895F4B}">
  <sheetPr codeName="Sheet21"/>
  <dimension ref="A1:K231"/>
  <sheetViews>
    <sheetView workbookViewId="0">
      <selection activeCell="H14" sqref="H14"/>
    </sheetView>
  </sheetViews>
  <sheetFormatPr defaultColWidth="8.85546875" defaultRowHeight="15" x14ac:dyDescent="0.25"/>
  <cols>
    <col min="1" max="1" width="49" bestFit="1" customWidth="1"/>
    <col min="2" max="2" width="16.85546875" bestFit="1" customWidth="1"/>
    <col min="3" max="3" width="17.42578125" bestFit="1" customWidth="1"/>
    <col min="4" max="4" width="13.42578125" bestFit="1" customWidth="1"/>
    <col min="5" max="5" width="42.42578125" bestFit="1" customWidth="1"/>
    <col min="6" max="6" width="38" bestFit="1" customWidth="1"/>
    <col min="7" max="7" width="14.85546875" bestFit="1" customWidth="1"/>
    <col min="8" max="8" width="12.7109375" bestFit="1" customWidth="1"/>
    <col min="9" max="9" width="16" bestFit="1" customWidth="1"/>
    <col min="10" max="10" width="12.140625" bestFit="1" customWidth="1"/>
    <col min="11" max="11" width="63.140625" bestFit="1" customWidth="1"/>
  </cols>
  <sheetData>
    <row r="1" spans="1:11" x14ac:dyDescent="0.25">
      <c r="A1" t="s">
        <v>625</v>
      </c>
      <c r="B1" t="s">
        <v>627</v>
      </c>
      <c r="C1" t="s">
        <v>50</v>
      </c>
      <c r="D1" t="s">
        <v>37</v>
      </c>
      <c r="E1" t="s">
        <v>66</v>
      </c>
      <c r="F1" t="s">
        <v>67</v>
      </c>
      <c r="G1" t="s">
        <v>609</v>
      </c>
      <c r="H1" t="s">
        <v>649</v>
      </c>
      <c r="I1" t="s">
        <v>626</v>
      </c>
      <c r="J1" t="s">
        <v>628</v>
      </c>
      <c r="K1" t="s">
        <v>610</v>
      </c>
    </row>
    <row r="2" spans="1:11" x14ac:dyDescent="0.25">
      <c r="A2" s="77" t="s">
        <v>645</v>
      </c>
      <c r="B2" t="s">
        <v>669</v>
      </c>
      <c r="C2" t="s">
        <v>56</v>
      </c>
      <c r="D2" t="s">
        <v>39</v>
      </c>
      <c r="E2" t="s">
        <v>68</v>
      </c>
      <c r="F2" t="s">
        <v>164</v>
      </c>
      <c r="G2" t="s">
        <v>615</v>
      </c>
      <c r="H2" t="s">
        <v>670</v>
      </c>
      <c r="I2" t="s">
        <v>22</v>
      </c>
      <c r="J2" t="s">
        <v>631</v>
      </c>
      <c r="K2" s="77" t="s">
        <v>616</v>
      </c>
    </row>
    <row r="3" spans="1:11" x14ac:dyDescent="0.25">
      <c r="A3" s="77" t="s">
        <v>645</v>
      </c>
      <c r="B3" t="s">
        <v>669</v>
      </c>
      <c r="C3" t="s">
        <v>56</v>
      </c>
      <c r="D3" t="s">
        <v>39</v>
      </c>
      <c r="E3" t="s">
        <v>68</v>
      </c>
      <c r="F3" t="s">
        <v>163</v>
      </c>
      <c r="G3" t="s">
        <v>615</v>
      </c>
      <c r="H3" t="s">
        <v>670</v>
      </c>
      <c r="I3" t="s">
        <v>22</v>
      </c>
      <c r="J3" t="s">
        <v>631</v>
      </c>
      <c r="K3" s="77" t="s">
        <v>616</v>
      </c>
    </row>
    <row r="4" spans="1:11" x14ac:dyDescent="0.25">
      <c r="A4" s="77" t="s">
        <v>645</v>
      </c>
      <c r="B4" t="s">
        <v>669</v>
      </c>
      <c r="C4" t="s">
        <v>56</v>
      </c>
      <c r="D4" t="s">
        <v>41</v>
      </c>
      <c r="E4" t="s">
        <v>74</v>
      </c>
      <c r="F4" t="s">
        <v>311</v>
      </c>
      <c r="G4" t="s">
        <v>615</v>
      </c>
      <c r="H4" t="s">
        <v>670</v>
      </c>
      <c r="I4" t="s">
        <v>22</v>
      </c>
      <c r="J4" t="s">
        <v>631</v>
      </c>
      <c r="K4" s="77" t="s">
        <v>616</v>
      </c>
    </row>
    <row r="5" spans="1:11" x14ac:dyDescent="0.25">
      <c r="A5" s="77" t="s">
        <v>645</v>
      </c>
      <c r="B5" t="s">
        <v>669</v>
      </c>
      <c r="C5" t="s">
        <v>56</v>
      </c>
      <c r="D5" t="s">
        <v>41</v>
      </c>
      <c r="E5" t="s">
        <v>78</v>
      </c>
      <c r="F5" t="s">
        <v>212</v>
      </c>
      <c r="G5" t="s">
        <v>615</v>
      </c>
      <c r="H5" t="s">
        <v>670</v>
      </c>
      <c r="I5" t="s">
        <v>22</v>
      </c>
      <c r="J5" t="s">
        <v>631</v>
      </c>
      <c r="K5" s="77" t="s">
        <v>616</v>
      </c>
    </row>
    <row r="6" spans="1:11" x14ac:dyDescent="0.25">
      <c r="A6" s="77" t="s">
        <v>645</v>
      </c>
      <c r="B6" t="s">
        <v>669</v>
      </c>
      <c r="C6" t="s">
        <v>56</v>
      </c>
      <c r="D6" t="s">
        <v>39</v>
      </c>
      <c r="E6" t="s">
        <v>70</v>
      </c>
      <c r="F6" t="s">
        <v>312</v>
      </c>
      <c r="G6" t="s">
        <v>615</v>
      </c>
      <c r="H6" t="s">
        <v>670</v>
      </c>
      <c r="I6" t="s">
        <v>22</v>
      </c>
      <c r="J6" t="s">
        <v>631</v>
      </c>
      <c r="K6" s="77" t="s">
        <v>616</v>
      </c>
    </row>
    <row r="7" spans="1:11" x14ac:dyDescent="0.25">
      <c r="A7" s="77" t="s">
        <v>645</v>
      </c>
      <c r="B7" t="s">
        <v>669</v>
      </c>
      <c r="C7" t="s">
        <v>56</v>
      </c>
      <c r="D7" t="s">
        <v>41</v>
      </c>
      <c r="E7" t="s">
        <v>84</v>
      </c>
      <c r="F7" t="s">
        <v>85</v>
      </c>
      <c r="G7" t="s">
        <v>615</v>
      </c>
      <c r="H7" t="s">
        <v>670</v>
      </c>
      <c r="I7" t="s">
        <v>22</v>
      </c>
      <c r="J7" t="s">
        <v>631</v>
      </c>
      <c r="K7" s="77" t="s">
        <v>616</v>
      </c>
    </row>
    <row r="8" spans="1:11" x14ac:dyDescent="0.25">
      <c r="A8" s="77" t="s">
        <v>645</v>
      </c>
      <c r="B8" t="s">
        <v>669</v>
      </c>
      <c r="C8" t="s">
        <v>60</v>
      </c>
      <c r="D8" t="s">
        <v>39</v>
      </c>
      <c r="E8" t="s">
        <v>68</v>
      </c>
      <c r="F8" t="s">
        <v>164</v>
      </c>
      <c r="G8" t="s">
        <v>615</v>
      </c>
      <c r="H8" t="s">
        <v>670</v>
      </c>
      <c r="I8" t="s">
        <v>22</v>
      </c>
      <c r="J8" t="s">
        <v>631</v>
      </c>
      <c r="K8" s="77" t="s">
        <v>616</v>
      </c>
    </row>
    <row r="9" spans="1:11" x14ac:dyDescent="0.25">
      <c r="A9" s="77" t="s">
        <v>645</v>
      </c>
      <c r="B9" t="s">
        <v>669</v>
      </c>
      <c r="C9" t="s">
        <v>60</v>
      </c>
      <c r="D9" t="s">
        <v>39</v>
      </c>
      <c r="E9" t="s">
        <v>68</v>
      </c>
      <c r="F9" t="s">
        <v>163</v>
      </c>
      <c r="G9" t="s">
        <v>615</v>
      </c>
      <c r="H9" t="s">
        <v>670</v>
      </c>
      <c r="I9" t="s">
        <v>22</v>
      </c>
      <c r="J9" t="s">
        <v>631</v>
      </c>
      <c r="K9" s="77" t="s">
        <v>616</v>
      </c>
    </row>
    <row r="10" spans="1:11" x14ac:dyDescent="0.25">
      <c r="A10" s="77" t="s">
        <v>645</v>
      </c>
      <c r="B10" t="s">
        <v>669</v>
      </c>
      <c r="C10" t="s">
        <v>60</v>
      </c>
      <c r="D10" t="s">
        <v>41</v>
      </c>
      <c r="E10" t="s">
        <v>74</v>
      </c>
      <c r="F10" t="s">
        <v>311</v>
      </c>
      <c r="G10" t="s">
        <v>615</v>
      </c>
      <c r="H10" t="s">
        <v>670</v>
      </c>
      <c r="I10" t="s">
        <v>22</v>
      </c>
      <c r="J10" t="s">
        <v>631</v>
      </c>
      <c r="K10" s="77" t="s">
        <v>616</v>
      </c>
    </row>
    <row r="11" spans="1:11" x14ac:dyDescent="0.25">
      <c r="A11" s="77" t="s">
        <v>645</v>
      </c>
      <c r="B11" t="s">
        <v>669</v>
      </c>
      <c r="C11" t="s">
        <v>60</v>
      </c>
      <c r="D11" t="s">
        <v>41</v>
      </c>
      <c r="E11" t="s">
        <v>78</v>
      </c>
      <c r="F11" t="s">
        <v>212</v>
      </c>
      <c r="G11" t="s">
        <v>615</v>
      </c>
      <c r="H11" t="s">
        <v>670</v>
      </c>
      <c r="I11" t="s">
        <v>22</v>
      </c>
      <c r="J11" t="s">
        <v>631</v>
      </c>
      <c r="K11" s="77" t="s">
        <v>616</v>
      </c>
    </row>
    <row r="12" spans="1:11" x14ac:dyDescent="0.25">
      <c r="A12" s="77" t="s">
        <v>645</v>
      </c>
      <c r="B12" t="s">
        <v>669</v>
      </c>
      <c r="C12" t="s">
        <v>60</v>
      </c>
      <c r="D12" t="s">
        <v>39</v>
      </c>
      <c r="E12" t="s">
        <v>70</v>
      </c>
      <c r="F12" t="s">
        <v>312</v>
      </c>
      <c r="G12" t="s">
        <v>615</v>
      </c>
      <c r="H12" t="s">
        <v>670</v>
      </c>
      <c r="I12" t="s">
        <v>22</v>
      </c>
      <c r="J12" t="s">
        <v>631</v>
      </c>
      <c r="K12" s="77" t="s">
        <v>616</v>
      </c>
    </row>
    <row r="13" spans="1:11" x14ac:dyDescent="0.25">
      <c r="A13" s="77" t="s">
        <v>645</v>
      </c>
      <c r="B13" t="s">
        <v>669</v>
      </c>
      <c r="C13" t="s">
        <v>60</v>
      </c>
      <c r="D13" t="s">
        <v>41</v>
      </c>
      <c r="E13" t="s">
        <v>84</v>
      </c>
      <c r="F13" t="s">
        <v>85</v>
      </c>
      <c r="G13" t="s">
        <v>615</v>
      </c>
      <c r="H13" t="s">
        <v>670</v>
      </c>
      <c r="I13" t="s">
        <v>22</v>
      </c>
      <c r="J13" t="s">
        <v>631</v>
      </c>
      <c r="K13" s="77" t="s">
        <v>616</v>
      </c>
    </row>
    <row r="14" spans="1:11" x14ac:dyDescent="0.25">
      <c r="A14" s="77" t="s">
        <v>645</v>
      </c>
      <c r="B14" t="s">
        <v>671</v>
      </c>
      <c r="C14" t="s">
        <v>56</v>
      </c>
      <c r="D14" t="s">
        <v>39</v>
      </c>
      <c r="E14" t="s">
        <v>68</v>
      </c>
      <c r="F14" t="s">
        <v>164</v>
      </c>
      <c r="G14" t="s">
        <v>619</v>
      </c>
      <c r="H14" t="s">
        <v>670</v>
      </c>
      <c r="I14" t="s">
        <v>22</v>
      </c>
      <c r="J14" t="s">
        <v>631</v>
      </c>
      <c r="K14" s="77" t="s">
        <v>620</v>
      </c>
    </row>
    <row r="15" spans="1:11" x14ac:dyDescent="0.25">
      <c r="A15" s="77" t="s">
        <v>645</v>
      </c>
      <c r="B15" t="s">
        <v>671</v>
      </c>
      <c r="C15" t="s">
        <v>56</v>
      </c>
      <c r="D15" t="s">
        <v>39</v>
      </c>
      <c r="E15" t="s">
        <v>68</v>
      </c>
      <c r="F15" t="s">
        <v>163</v>
      </c>
      <c r="G15" t="s">
        <v>619</v>
      </c>
      <c r="H15" t="s">
        <v>670</v>
      </c>
      <c r="I15" t="s">
        <v>22</v>
      </c>
      <c r="J15" t="s">
        <v>631</v>
      </c>
      <c r="K15" s="77" t="s">
        <v>620</v>
      </c>
    </row>
    <row r="16" spans="1:11" x14ac:dyDescent="0.25">
      <c r="A16" s="77" t="s">
        <v>645</v>
      </c>
      <c r="B16" t="s">
        <v>671</v>
      </c>
      <c r="C16" t="s">
        <v>56</v>
      </c>
      <c r="D16" t="s">
        <v>39</v>
      </c>
      <c r="E16" t="s">
        <v>78</v>
      </c>
      <c r="F16" t="s">
        <v>169</v>
      </c>
      <c r="G16" t="s">
        <v>619</v>
      </c>
      <c r="H16" t="s">
        <v>670</v>
      </c>
      <c r="I16" t="s">
        <v>22</v>
      </c>
      <c r="J16" t="s">
        <v>631</v>
      </c>
      <c r="K16" s="77" t="s">
        <v>620</v>
      </c>
    </row>
    <row r="17" spans="1:11" x14ac:dyDescent="0.25">
      <c r="A17" s="77" t="s">
        <v>645</v>
      </c>
      <c r="B17" t="s">
        <v>671</v>
      </c>
      <c r="C17" t="s">
        <v>56</v>
      </c>
      <c r="D17" t="s">
        <v>41</v>
      </c>
      <c r="E17" t="s">
        <v>72</v>
      </c>
      <c r="F17" t="s">
        <v>73</v>
      </c>
      <c r="G17" t="s">
        <v>619</v>
      </c>
      <c r="H17" t="s">
        <v>670</v>
      </c>
      <c r="I17" t="s">
        <v>22</v>
      </c>
      <c r="J17" t="s">
        <v>631</v>
      </c>
      <c r="K17" s="77" t="s">
        <v>620</v>
      </c>
    </row>
    <row r="18" spans="1:11" x14ac:dyDescent="0.25">
      <c r="A18" s="77" t="s">
        <v>645</v>
      </c>
      <c r="B18" t="s">
        <v>671</v>
      </c>
      <c r="C18" t="s">
        <v>56</v>
      </c>
      <c r="D18" t="s">
        <v>41</v>
      </c>
      <c r="E18" t="s">
        <v>74</v>
      </c>
      <c r="F18" t="s">
        <v>311</v>
      </c>
      <c r="G18" t="s">
        <v>619</v>
      </c>
      <c r="H18" t="s">
        <v>670</v>
      </c>
      <c r="I18" t="s">
        <v>22</v>
      </c>
      <c r="J18" t="s">
        <v>631</v>
      </c>
      <c r="K18" s="77" t="s">
        <v>620</v>
      </c>
    </row>
    <row r="19" spans="1:11" x14ac:dyDescent="0.25">
      <c r="A19" s="77" t="s">
        <v>645</v>
      </c>
      <c r="B19" t="s">
        <v>671</v>
      </c>
      <c r="C19" t="s">
        <v>56</v>
      </c>
      <c r="D19" t="s">
        <v>43</v>
      </c>
      <c r="E19" t="s">
        <v>70</v>
      </c>
      <c r="F19" t="s">
        <v>312</v>
      </c>
      <c r="G19" t="s">
        <v>619</v>
      </c>
      <c r="H19" t="s">
        <v>670</v>
      </c>
      <c r="I19" t="s">
        <v>22</v>
      </c>
      <c r="J19" t="s">
        <v>631</v>
      </c>
      <c r="K19" s="77" t="s">
        <v>620</v>
      </c>
    </row>
    <row r="20" spans="1:11" x14ac:dyDescent="0.25">
      <c r="A20" s="77" t="s">
        <v>645</v>
      </c>
      <c r="B20" t="s">
        <v>671</v>
      </c>
      <c r="C20" t="s">
        <v>60</v>
      </c>
      <c r="D20" t="s">
        <v>41</v>
      </c>
      <c r="E20" t="s">
        <v>68</v>
      </c>
      <c r="F20" t="s">
        <v>163</v>
      </c>
      <c r="G20" t="s">
        <v>619</v>
      </c>
      <c r="H20" t="s">
        <v>670</v>
      </c>
      <c r="I20" t="s">
        <v>22</v>
      </c>
      <c r="J20" t="s">
        <v>631</v>
      </c>
      <c r="K20" s="77" t="s">
        <v>620</v>
      </c>
    </row>
    <row r="21" spans="1:11" x14ac:dyDescent="0.25">
      <c r="A21" s="77" t="s">
        <v>645</v>
      </c>
      <c r="B21" t="s">
        <v>671</v>
      </c>
      <c r="C21" t="s">
        <v>60</v>
      </c>
      <c r="D21" t="s">
        <v>41</v>
      </c>
      <c r="E21" t="s">
        <v>78</v>
      </c>
      <c r="F21" t="s">
        <v>169</v>
      </c>
      <c r="G21" t="s">
        <v>619</v>
      </c>
      <c r="H21" t="s">
        <v>670</v>
      </c>
      <c r="I21" t="s">
        <v>22</v>
      </c>
      <c r="J21" t="s">
        <v>631</v>
      </c>
      <c r="K21" s="77" t="s">
        <v>620</v>
      </c>
    </row>
    <row r="22" spans="1:11" x14ac:dyDescent="0.25">
      <c r="A22" s="77" t="s">
        <v>645</v>
      </c>
      <c r="B22" t="s">
        <v>671</v>
      </c>
      <c r="C22" t="s">
        <v>60</v>
      </c>
      <c r="D22" t="s">
        <v>43</v>
      </c>
      <c r="E22" t="s">
        <v>70</v>
      </c>
      <c r="F22" t="s">
        <v>209</v>
      </c>
      <c r="G22" t="s">
        <v>619</v>
      </c>
      <c r="H22" t="s">
        <v>670</v>
      </c>
      <c r="I22" t="s">
        <v>22</v>
      </c>
      <c r="J22" t="s">
        <v>631</v>
      </c>
      <c r="K22" s="77" t="s">
        <v>620</v>
      </c>
    </row>
    <row r="23" spans="1:11" x14ac:dyDescent="0.25">
      <c r="A23" s="77" t="s">
        <v>645</v>
      </c>
      <c r="B23" t="s">
        <v>671</v>
      </c>
      <c r="C23" t="s">
        <v>60</v>
      </c>
      <c r="D23" t="s">
        <v>43</v>
      </c>
      <c r="E23" t="s">
        <v>72</v>
      </c>
      <c r="F23" t="s">
        <v>166</v>
      </c>
      <c r="G23" t="s">
        <v>619</v>
      </c>
      <c r="H23" t="s">
        <v>670</v>
      </c>
      <c r="I23" t="s">
        <v>22</v>
      </c>
      <c r="J23" t="s">
        <v>631</v>
      </c>
      <c r="K23" s="77" t="s">
        <v>620</v>
      </c>
    </row>
    <row r="24" spans="1:11" x14ac:dyDescent="0.25">
      <c r="A24" s="77" t="s">
        <v>645</v>
      </c>
      <c r="B24" t="s">
        <v>672</v>
      </c>
      <c r="C24" t="s">
        <v>56</v>
      </c>
      <c r="D24" t="s">
        <v>39</v>
      </c>
      <c r="E24" t="s">
        <v>74</v>
      </c>
      <c r="F24" t="s">
        <v>314</v>
      </c>
      <c r="G24" t="s">
        <v>622</v>
      </c>
      <c r="H24" t="s">
        <v>670</v>
      </c>
      <c r="I24" t="s">
        <v>22</v>
      </c>
      <c r="J24" t="s">
        <v>631</v>
      </c>
      <c r="K24" s="77" t="s">
        <v>593</v>
      </c>
    </row>
    <row r="25" spans="1:11" x14ac:dyDescent="0.25">
      <c r="A25" s="77" t="s">
        <v>645</v>
      </c>
      <c r="B25" t="s">
        <v>672</v>
      </c>
      <c r="C25" t="s">
        <v>56</v>
      </c>
      <c r="D25" t="s">
        <v>39</v>
      </c>
      <c r="E25" t="s">
        <v>74</v>
      </c>
      <c r="F25" t="s">
        <v>592</v>
      </c>
      <c r="G25" t="s">
        <v>622</v>
      </c>
      <c r="H25" t="s">
        <v>670</v>
      </c>
      <c r="I25" t="s">
        <v>22</v>
      </c>
      <c r="J25" t="s">
        <v>631</v>
      </c>
      <c r="K25" s="77" t="s">
        <v>593</v>
      </c>
    </row>
    <row r="26" spans="1:11" x14ac:dyDescent="0.25">
      <c r="A26" s="77" t="s">
        <v>645</v>
      </c>
      <c r="B26" t="s">
        <v>672</v>
      </c>
      <c r="C26" t="s">
        <v>56</v>
      </c>
      <c r="D26" t="s">
        <v>39</v>
      </c>
      <c r="E26" t="s">
        <v>78</v>
      </c>
      <c r="F26" t="s">
        <v>594</v>
      </c>
      <c r="G26" t="s">
        <v>622</v>
      </c>
      <c r="H26" t="s">
        <v>670</v>
      </c>
      <c r="I26" t="s">
        <v>22</v>
      </c>
      <c r="J26" t="s">
        <v>631</v>
      </c>
      <c r="K26" s="77" t="s">
        <v>593</v>
      </c>
    </row>
    <row r="27" spans="1:11" x14ac:dyDescent="0.25">
      <c r="A27" s="77" t="s">
        <v>645</v>
      </c>
      <c r="B27" t="s">
        <v>672</v>
      </c>
      <c r="C27" t="s">
        <v>60</v>
      </c>
      <c r="D27" t="s">
        <v>39</v>
      </c>
      <c r="E27" t="s">
        <v>78</v>
      </c>
      <c r="F27" t="s">
        <v>79</v>
      </c>
      <c r="G27" t="s">
        <v>622</v>
      </c>
      <c r="H27" t="s">
        <v>670</v>
      </c>
      <c r="I27" t="s">
        <v>22</v>
      </c>
      <c r="J27" t="s">
        <v>631</v>
      </c>
      <c r="K27" s="77" t="s">
        <v>593</v>
      </c>
    </row>
    <row r="28" spans="1:11" x14ac:dyDescent="0.25">
      <c r="A28" s="77" t="s">
        <v>645</v>
      </c>
      <c r="B28" t="s">
        <v>672</v>
      </c>
      <c r="C28" t="s">
        <v>60</v>
      </c>
      <c r="D28" t="s">
        <v>41</v>
      </c>
      <c r="E28" t="s">
        <v>68</v>
      </c>
      <c r="F28" t="s">
        <v>163</v>
      </c>
      <c r="G28" t="s">
        <v>622</v>
      </c>
      <c r="H28" t="s">
        <v>670</v>
      </c>
      <c r="I28" t="s">
        <v>22</v>
      </c>
      <c r="J28" t="s">
        <v>631</v>
      </c>
      <c r="K28" s="77" t="s">
        <v>593</v>
      </c>
    </row>
    <row r="29" spans="1:11" x14ac:dyDescent="0.25">
      <c r="A29" s="77" t="s">
        <v>645</v>
      </c>
      <c r="B29" t="s">
        <v>672</v>
      </c>
      <c r="C29" t="s">
        <v>60</v>
      </c>
      <c r="D29" t="s">
        <v>41</v>
      </c>
      <c r="E29" t="s">
        <v>68</v>
      </c>
      <c r="F29" t="s">
        <v>69</v>
      </c>
      <c r="G29" t="s">
        <v>622</v>
      </c>
      <c r="H29" t="s">
        <v>670</v>
      </c>
      <c r="I29" t="s">
        <v>22</v>
      </c>
      <c r="J29" t="s">
        <v>631</v>
      </c>
      <c r="K29" s="77" t="s">
        <v>593</v>
      </c>
    </row>
    <row r="30" spans="1:11" x14ac:dyDescent="0.25">
      <c r="A30" s="77" t="s">
        <v>645</v>
      </c>
      <c r="B30" t="s">
        <v>672</v>
      </c>
      <c r="C30" t="s">
        <v>56</v>
      </c>
      <c r="D30" t="s">
        <v>41</v>
      </c>
      <c r="E30" t="s">
        <v>68</v>
      </c>
      <c r="F30" t="s">
        <v>130</v>
      </c>
      <c r="G30" t="s">
        <v>622</v>
      </c>
      <c r="H30" t="s">
        <v>670</v>
      </c>
      <c r="I30" t="s">
        <v>22</v>
      </c>
      <c r="J30" t="s">
        <v>631</v>
      </c>
      <c r="K30" s="77" t="s">
        <v>593</v>
      </c>
    </row>
    <row r="31" spans="1:11" x14ac:dyDescent="0.25">
      <c r="A31" s="77" t="s">
        <v>645</v>
      </c>
      <c r="B31" t="s">
        <v>672</v>
      </c>
      <c r="C31" t="s">
        <v>60</v>
      </c>
      <c r="D31" t="s">
        <v>41</v>
      </c>
      <c r="E31" t="s">
        <v>72</v>
      </c>
      <c r="F31" t="s">
        <v>166</v>
      </c>
      <c r="G31" t="s">
        <v>622</v>
      </c>
      <c r="H31" t="s">
        <v>670</v>
      </c>
      <c r="I31" t="s">
        <v>22</v>
      </c>
      <c r="J31" t="s">
        <v>631</v>
      </c>
      <c r="K31" s="77" t="s">
        <v>593</v>
      </c>
    </row>
    <row r="32" spans="1:11" x14ac:dyDescent="0.25">
      <c r="A32" s="77" t="s">
        <v>645</v>
      </c>
      <c r="B32" t="s">
        <v>672</v>
      </c>
      <c r="C32" t="s">
        <v>60</v>
      </c>
      <c r="D32" t="s">
        <v>43</v>
      </c>
      <c r="E32" t="s">
        <v>70</v>
      </c>
      <c r="F32" t="s">
        <v>312</v>
      </c>
      <c r="G32" t="s">
        <v>622</v>
      </c>
      <c r="H32" t="s">
        <v>670</v>
      </c>
      <c r="I32" t="s">
        <v>22</v>
      </c>
      <c r="J32" t="s">
        <v>631</v>
      </c>
      <c r="K32" s="77" t="s">
        <v>593</v>
      </c>
    </row>
    <row r="33" spans="1:11" x14ac:dyDescent="0.25">
      <c r="A33" s="77" t="s">
        <v>645</v>
      </c>
      <c r="B33" t="s">
        <v>672</v>
      </c>
      <c r="C33" t="s">
        <v>60</v>
      </c>
      <c r="D33" t="s">
        <v>43</v>
      </c>
      <c r="E33" t="s">
        <v>72</v>
      </c>
      <c r="F33" t="s">
        <v>73</v>
      </c>
      <c r="G33" t="s">
        <v>622</v>
      </c>
      <c r="H33" t="s">
        <v>670</v>
      </c>
      <c r="I33" t="s">
        <v>22</v>
      </c>
      <c r="J33" t="s">
        <v>631</v>
      </c>
      <c r="K33" s="77" t="s">
        <v>593</v>
      </c>
    </row>
    <row r="34" spans="1:11" x14ac:dyDescent="0.25">
      <c r="A34" s="77" t="s">
        <v>645</v>
      </c>
      <c r="B34" t="s">
        <v>672</v>
      </c>
      <c r="C34" t="s">
        <v>60</v>
      </c>
      <c r="D34" t="s">
        <v>43</v>
      </c>
      <c r="E34" t="s">
        <v>86</v>
      </c>
      <c r="F34" t="s">
        <v>87</v>
      </c>
      <c r="G34" t="s">
        <v>622</v>
      </c>
      <c r="H34" t="s">
        <v>670</v>
      </c>
      <c r="I34" t="s">
        <v>22</v>
      </c>
      <c r="J34" t="s">
        <v>631</v>
      </c>
      <c r="K34" s="77" t="s">
        <v>593</v>
      </c>
    </row>
    <row r="35" spans="1:11" x14ac:dyDescent="0.25">
      <c r="A35" s="77" t="s">
        <v>629</v>
      </c>
      <c r="B35" t="s">
        <v>673</v>
      </c>
      <c r="C35" t="s">
        <v>56</v>
      </c>
      <c r="D35" t="s">
        <v>39</v>
      </c>
      <c r="E35" t="s">
        <v>68</v>
      </c>
      <c r="F35" t="s">
        <v>69</v>
      </c>
      <c r="G35" t="s">
        <v>5</v>
      </c>
      <c r="H35" t="s">
        <v>670</v>
      </c>
      <c r="I35" t="s">
        <v>22</v>
      </c>
      <c r="J35" t="s">
        <v>631</v>
      </c>
      <c r="K35" s="77" t="s">
        <v>8</v>
      </c>
    </row>
    <row r="36" spans="1:11" x14ac:dyDescent="0.25">
      <c r="A36" s="77" t="s">
        <v>629</v>
      </c>
      <c r="B36" t="s">
        <v>673</v>
      </c>
      <c r="C36" t="s">
        <v>56</v>
      </c>
      <c r="D36" t="s">
        <v>39</v>
      </c>
      <c r="E36" t="s">
        <v>70</v>
      </c>
      <c r="F36" t="s">
        <v>71</v>
      </c>
      <c r="G36" t="s">
        <v>5</v>
      </c>
      <c r="H36" t="s">
        <v>670</v>
      </c>
      <c r="I36" t="s">
        <v>22</v>
      </c>
      <c r="J36" t="s">
        <v>631</v>
      </c>
      <c r="K36" s="77" t="s">
        <v>8</v>
      </c>
    </row>
    <row r="37" spans="1:11" x14ac:dyDescent="0.25">
      <c r="A37" s="77" t="s">
        <v>629</v>
      </c>
      <c r="B37" t="s">
        <v>673</v>
      </c>
      <c r="C37" t="s">
        <v>56</v>
      </c>
      <c r="D37" t="s">
        <v>45</v>
      </c>
      <c r="E37" t="s">
        <v>72</v>
      </c>
      <c r="F37" t="s">
        <v>73</v>
      </c>
      <c r="G37" t="s">
        <v>5</v>
      </c>
      <c r="H37" t="s">
        <v>670</v>
      </c>
      <c r="I37" t="s">
        <v>22</v>
      </c>
      <c r="J37" t="s">
        <v>631</v>
      </c>
      <c r="K37" s="77" t="s">
        <v>8</v>
      </c>
    </row>
    <row r="38" spans="1:11" x14ac:dyDescent="0.25">
      <c r="A38" s="77" t="s">
        <v>629</v>
      </c>
      <c r="B38" t="s">
        <v>673</v>
      </c>
      <c r="C38" t="s">
        <v>56</v>
      </c>
      <c r="D38" t="s">
        <v>45</v>
      </c>
      <c r="E38" t="s">
        <v>74</v>
      </c>
      <c r="F38" t="s">
        <v>75</v>
      </c>
      <c r="G38" t="s">
        <v>5</v>
      </c>
      <c r="H38" t="s">
        <v>670</v>
      </c>
      <c r="I38" t="s">
        <v>22</v>
      </c>
      <c r="J38" t="s">
        <v>631</v>
      </c>
      <c r="K38" s="77" t="s">
        <v>8</v>
      </c>
    </row>
    <row r="39" spans="1:11" x14ac:dyDescent="0.25">
      <c r="A39" s="77" t="s">
        <v>629</v>
      </c>
      <c r="B39" t="s">
        <v>673</v>
      </c>
      <c r="C39" t="s">
        <v>60</v>
      </c>
      <c r="D39" t="s">
        <v>41</v>
      </c>
      <c r="E39" t="s">
        <v>76</v>
      </c>
      <c r="F39" t="s">
        <v>77</v>
      </c>
      <c r="G39" t="s">
        <v>5</v>
      </c>
      <c r="H39" t="s">
        <v>670</v>
      </c>
      <c r="I39" t="s">
        <v>22</v>
      </c>
      <c r="J39" t="s">
        <v>631</v>
      </c>
      <c r="K39" s="77" t="s">
        <v>8</v>
      </c>
    </row>
    <row r="40" spans="1:11" x14ac:dyDescent="0.25">
      <c r="A40" s="77" t="s">
        <v>629</v>
      </c>
      <c r="B40" t="s">
        <v>673</v>
      </c>
      <c r="C40" t="s">
        <v>60</v>
      </c>
      <c r="D40" t="s">
        <v>43</v>
      </c>
      <c r="E40" t="s">
        <v>78</v>
      </c>
      <c r="F40" t="s">
        <v>79</v>
      </c>
      <c r="G40" t="s">
        <v>5</v>
      </c>
      <c r="H40" t="s">
        <v>670</v>
      </c>
      <c r="I40" t="s">
        <v>22</v>
      </c>
      <c r="J40" t="s">
        <v>631</v>
      </c>
      <c r="K40" s="77" t="s">
        <v>8</v>
      </c>
    </row>
    <row r="41" spans="1:11" x14ac:dyDescent="0.25">
      <c r="A41" s="77" t="s">
        <v>629</v>
      </c>
      <c r="B41" t="s">
        <v>673</v>
      </c>
      <c r="C41" t="s">
        <v>60</v>
      </c>
      <c r="D41" t="s">
        <v>43</v>
      </c>
      <c r="E41" t="s">
        <v>80</v>
      </c>
      <c r="F41" t="s">
        <v>81</v>
      </c>
      <c r="G41" t="s">
        <v>5</v>
      </c>
      <c r="H41" t="s">
        <v>670</v>
      </c>
      <c r="I41" t="s">
        <v>22</v>
      </c>
      <c r="J41" t="s">
        <v>631</v>
      </c>
      <c r="K41" s="77" t="s">
        <v>8</v>
      </c>
    </row>
    <row r="42" spans="1:11" x14ac:dyDescent="0.25">
      <c r="A42" s="77" t="s">
        <v>629</v>
      </c>
      <c r="B42" t="s">
        <v>673</v>
      </c>
      <c r="C42" t="s">
        <v>60</v>
      </c>
      <c r="D42" t="s">
        <v>43</v>
      </c>
      <c r="E42" t="s">
        <v>82</v>
      </c>
      <c r="F42" t="s">
        <v>83</v>
      </c>
      <c r="G42" t="s">
        <v>5</v>
      </c>
      <c r="H42" t="s">
        <v>670</v>
      </c>
      <c r="I42" t="s">
        <v>22</v>
      </c>
      <c r="J42" t="s">
        <v>631</v>
      </c>
      <c r="K42" s="77" t="s">
        <v>8</v>
      </c>
    </row>
    <row r="43" spans="1:11" x14ac:dyDescent="0.25">
      <c r="A43" s="77" t="s">
        <v>629</v>
      </c>
      <c r="B43" t="s">
        <v>673</v>
      </c>
      <c r="C43" t="s">
        <v>60</v>
      </c>
      <c r="D43" t="s">
        <v>47</v>
      </c>
      <c r="E43" t="s">
        <v>84</v>
      </c>
      <c r="F43" t="s">
        <v>85</v>
      </c>
      <c r="G43" t="s">
        <v>5</v>
      </c>
      <c r="H43" t="s">
        <v>670</v>
      </c>
      <c r="I43" t="s">
        <v>22</v>
      </c>
      <c r="J43" t="s">
        <v>631</v>
      </c>
      <c r="K43" s="77" t="s">
        <v>8</v>
      </c>
    </row>
    <row r="44" spans="1:11" x14ac:dyDescent="0.25">
      <c r="A44" s="77" t="s">
        <v>629</v>
      </c>
      <c r="B44" t="s">
        <v>673</v>
      </c>
      <c r="C44" t="s">
        <v>60</v>
      </c>
      <c r="D44" t="s">
        <v>47</v>
      </c>
      <c r="E44" t="s">
        <v>86</v>
      </c>
      <c r="F44" t="s">
        <v>87</v>
      </c>
      <c r="G44" t="s">
        <v>5</v>
      </c>
      <c r="H44" t="s">
        <v>670</v>
      </c>
      <c r="I44" t="s">
        <v>22</v>
      </c>
      <c r="J44" t="s">
        <v>631</v>
      </c>
      <c r="K44" s="77" t="s">
        <v>8</v>
      </c>
    </row>
    <row r="45" spans="1:11" x14ac:dyDescent="0.25">
      <c r="A45" s="77" t="s">
        <v>629</v>
      </c>
      <c r="B45" t="s">
        <v>673</v>
      </c>
      <c r="C45" t="s">
        <v>60</v>
      </c>
      <c r="D45" t="s">
        <v>47</v>
      </c>
      <c r="E45" t="s">
        <v>84</v>
      </c>
      <c r="F45" t="s">
        <v>88</v>
      </c>
      <c r="G45" t="s">
        <v>5</v>
      </c>
      <c r="H45" t="s">
        <v>670</v>
      </c>
      <c r="I45" t="s">
        <v>22</v>
      </c>
      <c r="J45" t="s">
        <v>631</v>
      </c>
      <c r="K45" s="77" t="s">
        <v>8</v>
      </c>
    </row>
    <row r="46" spans="1:11" x14ac:dyDescent="0.25">
      <c r="A46" s="77" t="s">
        <v>629</v>
      </c>
      <c r="B46" t="s">
        <v>673</v>
      </c>
      <c r="C46" t="s">
        <v>60</v>
      </c>
      <c r="D46" t="s">
        <v>47</v>
      </c>
      <c r="E46" t="s">
        <v>84</v>
      </c>
      <c r="F46" t="s">
        <v>89</v>
      </c>
      <c r="G46" t="s">
        <v>5</v>
      </c>
      <c r="H46" t="s">
        <v>670</v>
      </c>
      <c r="I46" t="s">
        <v>22</v>
      </c>
      <c r="J46" t="s">
        <v>631</v>
      </c>
      <c r="K46" s="77" t="s">
        <v>8</v>
      </c>
    </row>
    <row r="47" spans="1:11" x14ac:dyDescent="0.25">
      <c r="A47" s="77" t="s">
        <v>629</v>
      </c>
      <c r="B47" t="s">
        <v>674</v>
      </c>
      <c r="C47" t="s">
        <v>56</v>
      </c>
      <c r="D47" t="s">
        <v>39</v>
      </c>
      <c r="E47" t="s">
        <v>68</v>
      </c>
      <c r="F47" t="s">
        <v>69</v>
      </c>
      <c r="G47" t="s">
        <v>113</v>
      </c>
      <c r="H47" t="s">
        <v>670</v>
      </c>
      <c r="I47" t="s">
        <v>22</v>
      </c>
      <c r="J47" t="s">
        <v>631</v>
      </c>
      <c r="K47" s="77" t="s">
        <v>613</v>
      </c>
    </row>
    <row r="48" spans="1:11" x14ac:dyDescent="0.25">
      <c r="A48" s="77" t="s">
        <v>629</v>
      </c>
      <c r="B48" t="s">
        <v>674</v>
      </c>
      <c r="C48" t="s">
        <v>56</v>
      </c>
      <c r="D48" t="s">
        <v>39</v>
      </c>
      <c r="E48" t="s">
        <v>68</v>
      </c>
      <c r="F48" t="s">
        <v>130</v>
      </c>
      <c r="G48" t="s">
        <v>113</v>
      </c>
      <c r="H48" t="s">
        <v>670</v>
      </c>
      <c r="I48" t="s">
        <v>22</v>
      </c>
      <c r="J48" t="s">
        <v>631</v>
      </c>
      <c r="K48" s="77" t="s">
        <v>613</v>
      </c>
    </row>
    <row r="49" spans="1:11" x14ac:dyDescent="0.25">
      <c r="A49" s="77" t="s">
        <v>629</v>
      </c>
      <c r="B49" t="s">
        <v>674</v>
      </c>
      <c r="C49" t="s">
        <v>56</v>
      </c>
      <c r="D49" t="s">
        <v>41</v>
      </c>
      <c r="E49" t="s">
        <v>72</v>
      </c>
      <c r="F49" t="s">
        <v>73</v>
      </c>
      <c r="G49" t="s">
        <v>113</v>
      </c>
      <c r="H49" t="s">
        <v>670</v>
      </c>
      <c r="I49" t="s">
        <v>22</v>
      </c>
      <c r="J49" t="s">
        <v>631</v>
      </c>
      <c r="K49" s="77" t="s">
        <v>613</v>
      </c>
    </row>
    <row r="50" spans="1:11" x14ac:dyDescent="0.25">
      <c r="A50" s="77" t="s">
        <v>629</v>
      </c>
      <c r="B50" t="s">
        <v>674</v>
      </c>
      <c r="C50" t="s">
        <v>60</v>
      </c>
      <c r="D50" t="s">
        <v>41</v>
      </c>
      <c r="E50" t="s">
        <v>68</v>
      </c>
      <c r="F50" t="s">
        <v>69</v>
      </c>
      <c r="G50" t="s">
        <v>113</v>
      </c>
      <c r="H50" t="s">
        <v>670</v>
      </c>
      <c r="I50" t="s">
        <v>22</v>
      </c>
      <c r="J50" t="s">
        <v>631</v>
      </c>
      <c r="K50" s="77" t="s">
        <v>613</v>
      </c>
    </row>
    <row r="51" spans="1:11" x14ac:dyDescent="0.25">
      <c r="A51" s="77" t="s">
        <v>629</v>
      </c>
      <c r="B51" t="s">
        <v>674</v>
      </c>
      <c r="C51" t="s">
        <v>60</v>
      </c>
      <c r="D51" t="s">
        <v>43</v>
      </c>
      <c r="E51" t="s">
        <v>72</v>
      </c>
      <c r="F51" t="s">
        <v>131</v>
      </c>
      <c r="G51" t="s">
        <v>113</v>
      </c>
      <c r="H51" t="s">
        <v>670</v>
      </c>
      <c r="I51" t="s">
        <v>22</v>
      </c>
      <c r="J51" t="s">
        <v>631</v>
      </c>
      <c r="K51" s="77" t="s">
        <v>613</v>
      </c>
    </row>
    <row r="52" spans="1:11" x14ac:dyDescent="0.25">
      <c r="A52" s="77" t="s">
        <v>629</v>
      </c>
      <c r="B52" t="s">
        <v>674</v>
      </c>
      <c r="C52" t="s">
        <v>60</v>
      </c>
      <c r="D52" t="s">
        <v>43</v>
      </c>
      <c r="E52" t="s">
        <v>70</v>
      </c>
      <c r="F52" t="s">
        <v>132</v>
      </c>
      <c r="G52" t="s">
        <v>113</v>
      </c>
      <c r="H52" t="s">
        <v>670</v>
      </c>
      <c r="I52" t="s">
        <v>22</v>
      </c>
      <c r="J52" t="s">
        <v>631</v>
      </c>
      <c r="K52" s="77" t="s">
        <v>613</v>
      </c>
    </row>
    <row r="53" spans="1:11" x14ac:dyDescent="0.25">
      <c r="A53" s="77" t="s">
        <v>629</v>
      </c>
      <c r="B53" t="s">
        <v>675</v>
      </c>
      <c r="C53" t="s">
        <v>56</v>
      </c>
      <c r="D53" t="s">
        <v>39</v>
      </c>
      <c r="E53" t="s">
        <v>68</v>
      </c>
      <c r="F53" t="s">
        <v>163</v>
      </c>
      <c r="G53" t="s">
        <v>144</v>
      </c>
      <c r="H53" t="s">
        <v>670</v>
      </c>
      <c r="I53" t="s">
        <v>22</v>
      </c>
      <c r="J53" t="s">
        <v>631</v>
      </c>
      <c r="K53" s="77" t="s">
        <v>146</v>
      </c>
    </row>
    <row r="54" spans="1:11" x14ac:dyDescent="0.25">
      <c r="A54" s="77" t="s">
        <v>629</v>
      </c>
      <c r="B54" t="s">
        <v>675</v>
      </c>
      <c r="C54" t="s">
        <v>56</v>
      </c>
      <c r="D54" t="s">
        <v>39</v>
      </c>
      <c r="E54" t="s">
        <v>68</v>
      </c>
      <c r="F54" t="s">
        <v>164</v>
      </c>
      <c r="G54" t="s">
        <v>144</v>
      </c>
      <c r="H54" t="s">
        <v>670</v>
      </c>
      <c r="I54" t="s">
        <v>22</v>
      </c>
      <c r="J54" t="s">
        <v>631</v>
      </c>
      <c r="K54" s="77" t="s">
        <v>146</v>
      </c>
    </row>
    <row r="55" spans="1:11" x14ac:dyDescent="0.25">
      <c r="A55" s="77" t="s">
        <v>629</v>
      </c>
      <c r="B55" t="s">
        <v>675</v>
      </c>
      <c r="C55" t="s">
        <v>60</v>
      </c>
      <c r="D55" t="s">
        <v>45</v>
      </c>
      <c r="E55" t="s">
        <v>68</v>
      </c>
      <c r="F55" t="s">
        <v>165</v>
      </c>
      <c r="G55" t="s">
        <v>144</v>
      </c>
      <c r="H55" t="s">
        <v>670</v>
      </c>
      <c r="I55" t="s">
        <v>22</v>
      </c>
      <c r="J55" t="s">
        <v>631</v>
      </c>
      <c r="K55" s="77" t="s">
        <v>146</v>
      </c>
    </row>
    <row r="56" spans="1:11" x14ac:dyDescent="0.25">
      <c r="A56" s="77" t="s">
        <v>629</v>
      </c>
      <c r="B56" t="s">
        <v>675</v>
      </c>
      <c r="C56" t="s">
        <v>60</v>
      </c>
      <c r="D56" t="s">
        <v>45</v>
      </c>
      <c r="E56" t="s">
        <v>72</v>
      </c>
      <c r="F56" t="s">
        <v>166</v>
      </c>
      <c r="G56" t="s">
        <v>144</v>
      </c>
      <c r="H56" t="s">
        <v>670</v>
      </c>
      <c r="I56" t="s">
        <v>22</v>
      </c>
      <c r="J56" t="s">
        <v>631</v>
      </c>
      <c r="K56" s="77" t="s">
        <v>146</v>
      </c>
    </row>
    <row r="57" spans="1:11" x14ac:dyDescent="0.25">
      <c r="A57" s="77" t="s">
        <v>629</v>
      </c>
      <c r="B57" t="s">
        <v>675</v>
      </c>
      <c r="C57" t="s">
        <v>60</v>
      </c>
      <c r="D57" t="s">
        <v>43</v>
      </c>
      <c r="E57" t="s">
        <v>72</v>
      </c>
      <c r="F57" t="s">
        <v>167</v>
      </c>
      <c r="G57" t="s">
        <v>144</v>
      </c>
      <c r="H57" t="s">
        <v>670</v>
      </c>
      <c r="I57" t="s">
        <v>22</v>
      </c>
      <c r="J57" t="s">
        <v>631</v>
      </c>
      <c r="K57" s="77" t="s">
        <v>146</v>
      </c>
    </row>
    <row r="58" spans="1:11" x14ac:dyDescent="0.25">
      <c r="A58" s="77" t="s">
        <v>629</v>
      </c>
      <c r="B58" t="s">
        <v>675</v>
      </c>
      <c r="C58" t="s">
        <v>60</v>
      </c>
      <c r="D58" t="s">
        <v>41</v>
      </c>
      <c r="E58" t="s">
        <v>86</v>
      </c>
      <c r="F58" t="s">
        <v>168</v>
      </c>
      <c r="G58" t="s">
        <v>144</v>
      </c>
      <c r="H58" t="s">
        <v>670</v>
      </c>
      <c r="I58" t="s">
        <v>22</v>
      </c>
      <c r="J58" t="s">
        <v>631</v>
      </c>
      <c r="K58" s="77" t="s">
        <v>146</v>
      </c>
    </row>
    <row r="59" spans="1:11" x14ac:dyDescent="0.25">
      <c r="A59" s="77" t="s">
        <v>629</v>
      </c>
      <c r="B59" t="s">
        <v>675</v>
      </c>
      <c r="C59" t="s">
        <v>60</v>
      </c>
      <c r="D59" t="s">
        <v>41</v>
      </c>
      <c r="E59" t="s">
        <v>86</v>
      </c>
      <c r="F59" t="s">
        <v>87</v>
      </c>
      <c r="G59" t="s">
        <v>144</v>
      </c>
      <c r="H59" t="s">
        <v>670</v>
      </c>
      <c r="I59" t="s">
        <v>22</v>
      </c>
      <c r="J59" t="s">
        <v>631</v>
      </c>
      <c r="K59" s="77" t="s">
        <v>146</v>
      </c>
    </row>
    <row r="60" spans="1:11" x14ac:dyDescent="0.25">
      <c r="A60" s="77" t="s">
        <v>629</v>
      </c>
      <c r="B60" t="s">
        <v>675</v>
      </c>
      <c r="C60" t="s">
        <v>60</v>
      </c>
      <c r="D60" t="s">
        <v>45</v>
      </c>
      <c r="E60" t="s">
        <v>78</v>
      </c>
      <c r="F60" t="s">
        <v>169</v>
      </c>
      <c r="G60" t="s">
        <v>144</v>
      </c>
      <c r="H60" t="s">
        <v>670</v>
      </c>
      <c r="I60" t="s">
        <v>22</v>
      </c>
      <c r="J60" t="s">
        <v>631</v>
      </c>
      <c r="K60" s="77" t="s">
        <v>146</v>
      </c>
    </row>
    <row r="61" spans="1:11" x14ac:dyDescent="0.25">
      <c r="A61" s="77" t="s">
        <v>629</v>
      </c>
      <c r="B61" t="s">
        <v>675</v>
      </c>
      <c r="C61" t="s">
        <v>60</v>
      </c>
      <c r="D61" t="s">
        <v>41</v>
      </c>
      <c r="E61" t="s">
        <v>80</v>
      </c>
      <c r="F61" t="s">
        <v>170</v>
      </c>
      <c r="G61" t="s">
        <v>144</v>
      </c>
      <c r="H61" t="s">
        <v>670</v>
      </c>
      <c r="I61" t="s">
        <v>22</v>
      </c>
      <c r="J61" t="s">
        <v>631</v>
      </c>
      <c r="K61" s="77" t="s">
        <v>146</v>
      </c>
    </row>
    <row r="62" spans="1:11" x14ac:dyDescent="0.25">
      <c r="A62" s="77" t="s">
        <v>629</v>
      </c>
      <c r="B62" t="s">
        <v>675</v>
      </c>
      <c r="C62" t="s">
        <v>60</v>
      </c>
      <c r="D62" t="s">
        <v>45</v>
      </c>
      <c r="E62" t="s">
        <v>82</v>
      </c>
      <c r="F62" t="s">
        <v>83</v>
      </c>
      <c r="G62" t="s">
        <v>144</v>
      </c>
      <c r="H62" t="s">
        <v>670</v>
      </c>
      <c r="I62" t="s">
        <v>22</v>
      </c>
      <c r="J62" t="s">
        <v>631</v>
      </c>
      <c r="K62" s="77" t="s">
        <v>146</v>
      </c>
    </row>
    <row r="63" spans="1:11" x14ac:dyDescent="0.25">
      <c r="A63" s="77" t="s">
        <v>629</v>
      </c>
      <c r="B63" t="s">
        <v>675</v>
      </c>
      <c r="C63" t="s">
        <v>60</v>
      </c>
      <c r="D63" t="s">
        <v>45</v>
      </c>
      <c r="E63" t="s">
        <v>82</v>
      </c>
      <c r="F63" t="s">
        <v>171</v>
      </c>
      <c r="G63" t="s">
        <v>144</v>
      </c>
      <c r="H63" t="s">
        <v>670</v>
      </c>
      <c r="I63" t="s">
        <v>22</v>
      </c>
      <c r="J63" t="s">
        <v>631</v>
      </c>
      <c r="K63" s="77" t="s">
        <v>146</v>
      </c>
    </row>
    <row r="64" spans="1:11" x14ac:dyDescent="0.25">
      <c r="A64" s="77" t="s">
        <v>629</v>
      </c>
      <c r="B64" t="s">
        <v>676</v>
      </c>
      <c r="C64" t="s">
        <v>56</v>
      </c>
      <c r="D64" t="s">
        <v>39</v>
      </c>
      <c r="E64" t="s">
        <v>70</v>
      </c>
      <c r="F64" t="s">
        <v>209</v>
      </c>
      <c r="G64" t="s">
        <v>193</v>
      </c>
      <c r="H64" t="s">
        <v>670</v>
      </c>
      <c r="I64" t="s">
        <v>22</v>
      </c>
      <c r="J64" t="s">
        <v>631</v>
      </c>
      <c r="K64" s="77" t="s">
        <v>195</v>
      </c>
    </row>
    <row r="65" spans="1:11" x14ac:dyDescent="0.25">
      <c r="A65" s="77" t="s">
        <v>629</v>
      </c>
      <c r="B65" t="s">
        <v>676</v>
      </c>
      <c r="C65" t="s">
        <v>56</v>
      </c>
      <c r="D65" t="s">
        <v>39</v>
      </c>
      <c r="E65" t="s">
        <v>68</v>
      </c>
      <c r="F65" t="s">
        <v>165</v>
      </c>
      <c r="G65" t="s">
        <v>193</v>
      </c>
      <c r="H65" t="s">
        <v>670</v>
      </c>
      <c r="I65" t="s">
        <v>22</v>
      </c>
      <c r="J65" t="s">
        <v>631</v>
      </c>
      <c r="K65" s="77" t="s">
        <v>195</v>
      </c>
    </row>
    <row r="66" spans="1:11" x14ac:dyDescent="0.25">
      <c r="A66" s="77" t="s">
        <v>629</v>
      </c>
      <c r="B66" t="s">
        <v>676</v>
      </c>
      <c r="C66" t="s">
        <v>56</v>
      </c>
      <c r="D66" t="s">
        <v>41</v>
      </c>
      <c r="E66" t="s">
        <v>72</v>
      </c>
      <c r="F66" t="s">
        <v>166</v>
      </c>
      <c r="G66" t="s">
        <v>193</v>
      </c>
      <c r="H66" t="s">
        <v>670</v>
      </c>
      <c r="I66" t="s">
        <v>22</v>
      </c>
      <c r="J66" t="s">
        <v>631</v>
      </c>
      <c r="K66" s="77" t="s">
        <v>195</v>
      </c>
    </row>
    <row r="67" spans="1:11" x14ac:dyDescent="0.25">
      <c r="A67" s="77" t="s">
        <v>629</v>
      </c>
      <c r="B67" t="s">
        <v>676</v>
      </c>
      <c r="C67" t="s">
        <v>56</v>
      </c>
      <c r="D67" t="s">
        <v>41</v>
      </c>
      <c r="E67" t="s">
        <v>74</v>
      </c>
      <c r="F67" t="s">
        <v>210</v>
      </c>
      <c r="G67" t="s">
        <v>193</v>
      </c>
      <c r="H67" t="s">
        <v>670</v>
      </c>
      <c r="I67" t="s">
        <v>22</v>
      </c>
      <c r="J67" t="s">
        <v>631</v>
      </c>
      <c r="K67" s="77" t="s">
        <v>195</v>
      </c>
    </row>
    <row r="68" spans="1:11" x14ac:dyDescent="0.25">
      <c r="A68" s="77" t="s">
        <v>629</v>
      </c>
      <c r="B68" t="s">
        <v>676</v>
      </c>
      <c r="C68" t="s">
        <v>56</v>
      </c>
      <c r="D68" t="s">
        <v>41</v>
      </c>
      <c r="E68" t="s">
        <v>74</v>
      </c>
      <c r="F68" t="s">
        <v>75</v>
      </c>
      <c r="G68" t="s">
        <v>193</v>
      </c>
      <c r="H68" t="s">
        <v>670</v>
      </c>
      <c r="I68" t="s">
        <v>22</v>
      </c>
      <c r="J68" t="s">
        <v>631</v>
      </c>
      <c r="K68" s="77" t="s">
        <v>195</v>
      </c>
    </row>
    <row r="69" spans="1:11" x14ac:dyDescent="0.25">
      <c r="A69" s="77" t="s">
        <v>629</v>
      </c>
      <c r="B69" t="s">
        <v>676</v>
      </c>
      <c r="C69" t="s">
        <v>60</v>
      </c>
      <c r="D69" t="s">
        <v>43</v>
      </c>
      <c r="E69" t="s">
        <v>74</v>
      </c>
      <c r="F69" t="s">
        <v>210</v>
      </c>
      <c r="G69" t="s">
        <v>193</v>
      </c>
      <c r="H69" t="s">
        <v>670</v>
      </c>
      <c r="I69" t="s">
        <v>22</v>
      </c>
      <c r="J69" t="s">
        <v>631</v>
      </c>
      <c r="K69" s="77" t="s">
        <v>195</v>
      </c>
    </row>
    <row r="70" spans="1:11" x14ac:dyDescent="0.25">
      <c r="A70" s="77" t="s">
        <v>629</v>
      </c>
      <c r="B70" t="s">
        <v>676</v>
      </c>
      <c r="C70" t="s">
        <v>60</v>
      </c>
      <c r="D70" t="s">
        <v>43</v>
      </c>
      <c r="E70" t="s">
        <v>72</v>
      </c>
      <c r="F70" t="s">
        <v>211</v>
      </c>
      <c r="G70" t="s">
        <v>193</v>
      </c>
      <c r="H70" t="s">
        <v>670</v>
      </c>
      <c r="I70" t="s">
        <v>22</v>
      </c>
      <c r="J70" t="s">
        <v>631</v>
      </c>
      <c r="K70" s="77" t="s">
        <v>195</v>
      </c>
    </row>
    <row r="71" spans="1:11" x14ac:dyDescent="0.25">
      <c r="A71" s="77" t="s">
        <v>629</v>
      </c>
      <c r="B71" t="s">
        <v>676</v>
      </c>
      <c r="C71" t="s">
        <v>60</v>
      </c>
      <c r="D71" t="s">
        <v>43</v>
      </c>
      <c r="E71" t="s">
        <v>68</v>
      </c>
      <c r="F71" t="s">
        <v>130</v>
      </c>
      <c r="G71" t="s">
        <v>193</v>
      </c>
      <c r="H71" t="s">
        <v>670</v>
      </c>
      <c r="I71" t="s">
        <v>22</v>
      </c>
      <c r="J71" t="s">
        <v>631</v>
      </c>
      <c r="K71" s="77" t="s">
        <v>195</v>
      </c>
    </row>
    <row r="72" spans="1:11" x14ac:dyDescent="0.25">
      <c r="A72" s="77" t="s">
        <v>629</v>
      </c>
      <c r="B72" t="s">
        <v>676</v>
      </c>
      <c r="C72" t="s">
        <v>60</v>
      </c>
      <c r="D72" t="s">
        <v>43</v>
      </c>
      <c r="E72" t="s">
        <v>78</v>
      </c>
      <c r="F72" t="s">
        <v>212</v>
      </c>
      <c r="G72" t="s">
        <v>193</v>
      </c>
      <c r="H72" t="s">
        <v>670</v>
      </c>
      <c r="I72" t="s">
        <v>22</v>
      </c>
      <c r="J72" t="s">
        <v>631</v>
      </c>
      <c r="K72" s="77" t="s">
        <v>195</v>
      </c>
    </row>
    <row r="73" spans="1:11" x14ac:dyDescent="0.25">
      <c r="A73" s="77" t="s">
        <v>629</v>
      </c>
      <c r="B73" t="s">
        <v>676</v>
      </c>
      <c r="C73" t="s">
        <v>60</v>
      </c>
      <c r="D73" t="s">
        <v>43</v>
      </c>
      <c r="E73" t="s">
        <v>84</v>
      </c>
      <c r="F73" t="s">
        <v>85</v>
      </c>
      <c r="G73" t="s">
        <v>193</v>
      </c>
      <c r="H73" t="s">
        <v>670</v>
      </c>
      <c r="I73" t="s">
        <v>22</v>
      </c>
      <c r="J73" t="s">
        <v>631</v>
      </c>
      <c r="K73" s="77" t="s">
        <v>195</v>
      </c>
    </row>
    <row r="74" spans="1:11" x14ac:dyDescent="0.25">
      <c r="A74" s="77" t="s">
        <v>629</v>
      </c>
      <c r="B74" t="s">
        <v>677</v>
      </c>
      <c r="C74" t="s">
        <v>56</v>
      </c>
      <c r="D74" t="s">
        <v>39</v>
      </c>
      <c r="E74" t="s">
        <v>68</v>
      </c>
      <c r="F74" t="s">
        <v>164</v>
      </c>
      <c r="G74" t="s">
        <v>236</v>
      </c>
      <c r="H74" t="s">
        <v>670</v>
      </c>
      <c r="I74" t="s">
        <v>22</v>
      </c>
      <c r="J74" t="s">
        <v>631</v>
      </c>
      <c r="K74" s="77" t="s">
        <v>237</v>
      </c>
    </row>
    <row r="75" spans="1:11" x14ac:dyDescent="0.25">
      <c r="A75" s="77" t="s">
        <v>629</v>
      </c>
      <c r="B75" t="s">
        <v>677</v>
      </c>
      <c r="C75" t="s">
        <v>56</v>
      </c>
      <c r="D75" t="s">
        <v>39</v>
      </c>
      <c r="E75" t="s">
        <v>68</v>
      </c>
      <c r="F75" t="s">
        <v>165</v>
      </c>
      <c r="G75" t="s">
        <v>236</v>
      </c>
      <c r="H75" t="s">
        <v>670</v>
      </c>
      <c r="I75" t="s">
        <v>22</v>
      </c>
      <c r="J75" t="s">
        <v>631</v>
      </c>
      <c r="K75" s="77" t="s">
        <v>237</v>
      </c>
    </row>
    <row r="76" spans="1:11" x14ac:dyDescent="0.25">
      <c r="A76" s="77" t="s">
        <v>629</v>
      </c>
      <c r="B76" t="s">
        <v>677</v>
      </c>
      <c r="C76" t="s">
        <v>56</v>
      </c>
      <c r="D76" t="s">
        <v>41</v>
      </c>
      <c r="E76" t="s">
        <v>78</v>
      </c>
      <c r="F76" t="s">
        <v>79</v>
      </c>
      <c r="G76" t="s">
        <v>236</v>
      </c>
      <c r="H76" t="s">
        <v>670</v>
      </c>
      <c r="I76" t="s">
        <v>22</v>
      </c>
      <c r="J76" t="s">
        <v>631</v>
      </c>
      <c r="K76" s="77" t="s">
        <v>237</v>
      </c>
    </row>
    <row r="77" spans="1:11" x14ac:dyDescent="0.25">
      <c r="A77" s="77" t="s">
        <v>629</v>
      </c>
      <c r="B77" t="s">
        <v>677</v>
      </c>
      <c r="C77" t="s">
        <v>56</v>
      </c>
      <c r="D77" t="s">
        <v>41</v>
      </c>
      <c r="E77" t="s">
        <v>82</v>
      </c>
      <c r="F77" t="s">
        <v>83</v>
      </c>
      <c r="G77" t="s">
        <v>236</v>
      </c>
      <c r="H77" t="s">
        <v>670</v>
      </c>
      <c r="I77" t="s">
        <v>22</v>
      </c>
      <c r="J77" t="s">
        <v>631</v>
      </c>
      <c r="K77" s="77" t="s">
        <v>237</v>
      </c>
    </row>
    <row r="78" spans="1:11" x14ac:dyDescent="0.25">
      <c r="A78" s="77" t="s">
        <v>629</v>
      </c>
      <c r="B78" t="s">
        <v>677</v>
      </c>
      <c r="C78" t="s">
        <v>56</v>
      </c>
      <c r="D78" t="s">
        <v>41</v>
      </c>
      <c r="E78" t="s">
        <v>82</v>
      </c>
      <c r="F78" t="s">
        <v>255</v>
      </c>
      <c r="G78" t="s">
        <v>236</v>
      </c>
      <c r="H78" t="s">
        <v>670</v>
      </c>
      <c r="I78" t="s">
        <v>22</v>
      </c>
      <c r="J78" t="s">
        <v>631</v>
      </c>
      <c r="K78" s="77" t="s">
        <v>237</v>
      </c>
    </row>
    <row r="79" spans="1:11" x14ac:dyDescent="0.25">
      <c r="A79" s="77" t="s">
        <v>629</v>
      </c>
      <c r="B79" t="s">
        <v>677</v>
      </c>
      <c r="C79" t="s">
        <v>56</v>
      </c>
      <c r="D79" t="s">
        <v>41</v>
      </c>
      <c r="E79" t="s">
        <v>68</v>
      </c>
      <c r="F79" t="s">
        <v>164</v>
      </c>
      <c r="G79" t="s">
        <v>236</v>
      </c>
      <c r="H79" t="s">
        <v>670</v>
      </c>
      <c r="I79" t="s">
        <v>22</v>
      </c>
      <c r="J79" t="s">
        <v>631</v>
      </c>
      <c r="K79" s="77" t="s">
        <v>237</v>
      </c>
    </row>
    <row r="80" spans="1:11" x14ac:dyDescent="0.25">
      <c r="A80" s="77" t="s">
        <v>629</v>
      </c>
      <c r="B80" t="s">
        <v>677</v>
      </c>
      <c r="C80" t="s">
        <v>56</v>
      </c>
      <c r="D80" t="s">
        <v>41</v>
      </c>
      <c r="E80" t="s">
        <v>68</v>
      </c>
      <c r="F80" t="s">
        <v>165</v>
      </c>
      <c r="G80" t="s">
        <v>236</v>
      </c>
      <c r="H80" t="s">
        <v>670</v>
      </c>
      <c r="I80" t="s">
        <v>22</v>
      </c>
      <c r="J80" t="s">
        <v>631</v>
      </c>
      <c r="K80" s="77" t="s">
        <v>237</v>
      </c>
    </row>
    <row r="81" spans="1:11" x14ac:dyDescent="0.25">
      <c r="A81" s="77" t="s">
        <v>629</v>
      </c>
      <c r="B81" t="s">
        <v>677</v>
      </c>
      <c r="C81" t="s">
        <v>60</v>
      </c>
      <c r="D81" t="s">
        <v>39</v>
      </c>
      <c r="E81" t="s">
        <v>68</v>
      </c>
      <c r="F81" t="s">
        <v>164</v>
      </c>
      <c r="G81" t="s">
        <v>236</v>
      </c>
      <c r="H81" t="s">
        <v>670</v>
      </c>
      <c r="I81" t="s">
        <v>22</v>
      </c>
      <c r="J81" t="s">
        <v>631</v>
      </c>
      <c r="K81" s="77" t="s">
        <v>237</v>
      </c>
    </row>
    <row r="82" spans="1:11" x14ac:dyDescent="0.25">
      <c r="A82" s="77" t="s">
        <v>629</v>
      </c>
      <c r="B82" t="s">
        <v>677</v>
      </c>
      <c r="C82" t="s">
        <v>60</v>
      </c>
      <c r="D82" t="s">
        <v>39</v>
      </c>
      <c r="E82" t="s">
        <v>68</v>
      </c>
      <c r="F82" t="s">
        <v>165</v>
      </c>
      <c r="G82" t="s">
        <v>236</v>
      </c>
      <c r="H82" t="s">
        <v>670</v>
      </c>
      <c r="I82" t="s">
        <v>22</v>
      </c>
      <c r="J82" t="s">
        <v>631</v>
      </c>
      <c r="K82" s="77" t="s">
        <v>237</v>
      </c>
    </row>
    <row r="83" spans="1:11" x14ac:dyDescent="0.25">
      <c r="A83" s="77" t="s">
        <v>629</v>
      </c>
      <c r="B83" t="s">
        <v>677</v>
      </c>
      <c r="C83" t="s">
        <v>60</v>
      </c>
      <c r="D83" t="s">
        <v>43</v>
      </c>
      <c r="E83" t="s">
        <v>78</v>
      </c>
      <c r="F83" t="s">
        <v>79</v>
      </c>
      <c r="G83" t="s">
        <v>236</v>
      </c>
      <c r="H83" t="s">
        <v>670</v>
      </c>
      <c r="I83" t="s">
        <v>22</v>
      </c>
      <c r="J83" t="s">
        <v>631</v>
      </c>
      <c r="K83" s="77" t="s">
        <v>237</v>
      </c>
    </row>
    <row r="84" spans="1:11" x14ac:dyDescent="0.25">
      <c r="A84" s="77" t="s">
        <v>629</v>
      </c>
      <c r="B84" t="s">
        <v>677</v>
      </c>
      <c r="C84" t="s">
        <v>60</v>
      </c>
      <c r="D84" t="s">
        <v>43</v>
      </c>
      <c r="E84" t="s">
        <v>82</v>
      </c>
      <c r="F84" t="s">
        <v>83</v>
      </c>
      <c r="G84" t="s">
        <v>236</v>
      </c>
      <c r="H84" t="s">
        <v>670</v>
      </c>
      <c r="I84" t="s">
        <v>22</v>
      </c>
      <c r="J84" t="s">
        <v>631</v>
      </c>
      <c r="K84" s="77" t="s">
        <v>237</v>
      </c>
    </row>
    <row r="85" spans="1:11" x14ac:dyDescent="0.25">
      <c r="A85" s="77" t="s">
        <v>629</v>
      </c>
      <c r="B85" t="s">
        <v>677</v>
      </c>
      <c r="C85" t="s">
        <v>60</v>
      </c>
      <c r="D85" t="s">
        <v>43</v>
      </c>
      <c r="E85" t="s">
        <v>82</v>
      </c>
      <c r="F85" t="s">
        <v>255</v>
      </c>
      <c r="G85" t="s">
        <v>236</v>
      </c>
      <c r="H85" t="s">
        <v>670</v>
      </c>
      <c r="I85" t="s">
        <v>22</v>
      </c>
      <c r="J85" t="s">
        <v>631</v>
      </c>
      <c r="K85" s="77" t="s">
        <v>237</v>
      </c>
    </row>
    <row r="86" spans="1:11" x14ac:dyDescent="0.25">
      <c r="A86" s="77" t="s">
        <v>629</v>
      </c>
      <c r="B86" t="s">
        <v>677</v>
      </c>
      <c r="C86" t="s">
        <v>60</v>
      </c>
      <c r="D86" t="s">
        <v>43</v>
      </c>
      <c r="E86" t="s">
        <v>68</v>
      </c>
      <c r="F86" t="s">
        <v>164</v>
      </c>
      <c r="G86" t="s">
        <v>236</v>
      </c>
      <c r="H86" t="s">
        <v>670</v>
      </c>
      <c r="I86" t="s">
        <v>22</v>
      </c>
      <c r="J86" t="s">
        <v>631</v>
      </c>
      <c r="K86" s="77" t="s">
        <v>237</v>
      </c>
    </row>
    <row r="87" spans="1:11" x14ac:dyDescent="0.25">
      <c r="A87" s="77" t="s">
        <v>629</v>
      </c>
      <c r="B87" t="s">
        <v>677</v>
      </c>
      <c r="C87" t="s">
        <v>60</v>
      </c>
      <c r="D87" t="s">
        <v>43</v>
      </c>
      <c r="E87" t="s">
        <v>68</v>
      </c>
      <c r="F87" t="s">
        <v>165</v>
      </c>
      <c r="G87" t="s">
        <v>236</v>
      </c>
      <c r="H87" t="s">
        <v>670</v>
      </c>
      <c r="I87" t="s">
        <v>22</v>
      </c>
      <c r="J87" t="s">
        <v>631</v>
      </c>
      <c r="K87" s="77" t="s">
        <v>237</v>
      </c>
    </row>
    <row r="88" spans="1:11" x14ac:dyDescent="0.25">
      <c r="A88" s="77" t="s">
        <v>629</v>
      </c>
      <c r="B88" t="s">
        <v>678</v>
      </c>
      <c r="C88" t="s">
        <v>56</v>
      </c>
      <c r="D88" t="s">
        <v>41</v>
      </c>
      <c r="E88" t="s">
        <v>72</v>
      </c>
      <c r="F88" t="s">
        <v>73</v>
      </c>
      <c r="G88" t="s">
        <v>267</v>
      </c>
      <c r="H88" t="s">
        <v>670</v>
      </c>
      <c r="I88" t="s">
        <v>22</v>
      </c>
      <c r="J88" t="s">
        <v>631</v>
      </c>
      <c r="K88" s="77" t="s">
        <v>269</v>
      </c>
    </row>
    <row r="89" spans="1:11" x14ac:dyDescent="0.25">
      <c r="A89" s="77" t="s">
        <v>629</v>
      </c>
      <c r="B89" t="s">
        <v>678</v>
      </c>
      <c r="C89" t="s">
        <v>56</v>
      </c>
      <c r="D89" t="s">
        <v>41</v>
      </c>
      <c r="E89" t="s">
        <v>74</v>
      </c>
      <c r="F89" t="s">
        <v>75</v>
      </c>
      <c r="G89" t="s">
        <v>267</v>
      </c>
      <c r="H89" t="s">
        <v>670</v>
      </c>
      <c r="I89" t="s">
        <v>22</v>
      </c>
      <c r="J89" t="s">
        <v>631</v>
      </c>
      <c r="K89" s="77" t="s">
        <v>269</v>
      </c>
    </row>
    <row r="90" spans="1:11" x14ac:dyDescent="0.25">
      <c r="A90" s="77" t="s">
        <v>629</v>
      </c>
      <c r="B90" t="s">
        <v>678</v>
      </c>
      <c r="C90" t="s">
        <v>56</v>
      </c>
      <c r="D90" t="s">
        <v>41</v>
      </c>
      <c r="E90" t="s">
        <v>80</v>
      </c>
      <c r="F90" t="s">
        <v>281</v>
      </c>
      <c r="G90" t="s">
        <v>267</v>
      </c>
      <c r="H90" t="s">
        <v>670</v>
      </c>
      <c r="I90" t="s">
        <v>22</v>
      </c>
      <c r="J90" t="s">
        <v>631</v>
      </c>
      <c r="K90" s="77" t="s">
        <v>269</v>
      </c>
    </row>
    <row r="91" spans="1:11" x14ac:dyDescent="0.25">
      <c r="A91" s="77" t="s">
        <v>629</v>
      </c>
      <c r="B91" t="s">
        <v>678</v>
      </c>
      <c r="C91" t="s">
        <v>56</v>
      </c>
      <c r="D91" t="s">
        <v>41</v>
      </c>
      <c r="E91" t="s">
        <v>78</v>
      </c>
      <c r="F91" t="s">
        <v>212</v>
      </c>
      <c r="G91" t="s">
        <v>267</v>
      </c>
      <c r="H91" t="s">
        <v>670</v>
      </c>
      <c r="I91" t="s">
        <v>22</v>
      </c>
      <c r="J91" t="s">
        <v>631</v>
      </c>
      <c r="K91" s="77" t="s">
        <v>269</v>
      </c>
    </row>
    <row r="92" spans="1:11" x14ac:dyDescent="0.25">
      <c r="A92" s="77" t="s">
        <v>629</v>
      </c>
      <c r="B92" t="s">
        <v>678</v>
      </c>
      <c r="C92" t="s">
        <v>60</v>
      </c>
      <c r="D92" t="s">
        <v>39</v>
      </c>
      <c r="E92" t="s">
        <v>70</v>
      </c>
      <c r="F92" t="s">
        <v>71</v>
      </c>
      <c r="G92" t="s">
        <v>267</v>
      </c>
      <c r="H92" t="s">
        <v>670</v>
      </c>
      <c r="I92" t="s">
        <v>22</v>
      </c>
      <c r="J92" t="s">
        <v>631</v>
      </c>
      <c r="K92" s="77" t="s">
        <v>269</v>
      </c>
    </row>
    <row r="93" spans="1:11" x14ac:dyDescent="0.25">
      <c r="A93" s="77" t="s">
        <v>629</v>
      </c>
      <c r="B93" t="s">
        <v>678</v>
      </c>
      <c r="C93" t="s">
        <v>60</v>
      </c>
      <c r="D93" t="s">
        <v>39</v>
      </c>
      <c r="E93" t="s">
        <v>68</v>
      </c>
      <c r="F93" t="s">
        <v>165</v>
      </c>
      <c r="G93" t="s">
        <v>267</v>
      </c>
      <c r="H93" t="s">
        <v>670</v>
      </c>
      <c r="I93" t="s">
        <v>22</v>
      </c>
      <c r="J93" t="s">
        <v>631</v>
      </c>
      <c r="K93" s="77" t="s">
        <v>269</v>
      </c>
    </row>
    <row r="94" spans="1:11" x14ac:dyDescent="0.25">
      <c r="A94" s="77" t="s">
        <v>629</v>
      </c>
      <c r="B94" t="s">
        <v>678</v>
      </c>
      <c r="C94" t="s">
        <v>60</v>
      </c>
      <c r="D94" t="s">
        <v>41</v>
      </c>
      <c r="E94" t="s">
        <v>82</v>
      </c>
      <c r="F94" t="s">
        <v>83</v>
      </c>
      <c r="G94" t="s">
        <v>267</v>
      </c>
      <c r="H94" t="s">
        <v>670</v>
      </c>
      <c r="I94" t="s">
        <v>22</v>
      </c>
      <c r="J94" t="s">
        <v>631</v>
      </c>
      <c r="K94" s="77" t="s">
        <v>269</v>
      </c>
    </row>
    <row r="95" spans="1:11" x14ac:dyDescent="0.25">
      <c r="A95" s="77" t="s">
        <v>629</v>
      </c>
      <c r="B95" t="s">
        <v>678</v>
      </c>
      <c r="C95" t="s">
        <v>60</v>
      </c>
      <c r="D95" t="s">
        <v>41</v>
      </c>
      <c r="E95" t="s">
        <v>78</v>
      </c>
      <c r="F95" t="s">
        <v>79</v>
      </c>
      <c r="G95" t="s">
        <v>267</v>
      </c>
      <c r="H95" t="s">
        <v>670</v>
      </c>
      <c r="I95" t="s">
        <v>22</v>
      </c>
      <c r="J95" t="s">
        <v>631</v>
      </c>
      <c r="K95" s="77" t="s">
        <v>269</v>
      </c>
    </row>
    <row r="96" spans="1:11" x14ac:dyDescent="0.25">
      <c r="A96" s="77" t="s">
        <v>629</v>
      </c>
      <c r="B96" t="s">
        <v>678</v>
      </c>
      <c r="C96" t="s">
        <v>60</v>
      </c>
      <c r="D96" t="s">
        <v>43</v>
      </c>
      <c r="E96" t="s">
        <v>84</v>
      </c>
      <c r="F96" t="s">
        <v>85</v>
      </c>
      <c r="G96" t="s">
        <v>267</v>
      </c>
      <c r="H96" t="s">
        <v>670</v>
      </c>
      <c r="I96" t="s">
        <v>22</v>
      </c>
      <c r="J96" t="s">
        <v>631</v>
      </c>
      <c r="K96" s="77" t="s">
        <v>269</v>
      </c>
    </row>
    <row r="97" spans="1:11" x14ac:dyDescent="0.25">
      <c r="A97" s="77" t="s">
        <v>629</v>
      </c>
      <c r="B97" t="s">
        <v>678</v>
      </c>
      <c r="C97" t="s">
        <v>60</v>
      </c>
      <c r="D97" t="s">
        <v>43</v>
      </c>
      <c r="E97" t="s">
        <v>86</v>
      </c>
      <c r="F97" t="s">
        <v>87</v>
      </c>
      <c r="G97" t="s">
        <v>267</v>
      </c>
      <c r="H97" t="s">
        <v>670</v>
      </c>
      <c r="I97" t="s">
        <v>22</v>
      </c>
      <c r="J97" t="s">
        <v>631</v>
      </c>
      <c r="K97" s="77" t="s">
        <v>269</v>
      </c>
    </row>
    <row r="98" spans="1:11" x14ac:dyDescent="0.25">
      <c r="A98" s="77" t="s">
        <v>629</v>
      </c>
      <c r="B98" t="s">
        <v>678</v>
      </c>
      <c r="C98" t="s">
        <v>60</v>
      </c>
      <c r="D98" t="s">
        <v>43</v>
      </c>
      <c r="E98" t="s">
        <v>84</v>
      </c>
      <c r="F98" t="s">
        <v>282</v>
      </c>
      <c r="G98" t="s">
        <v>267</v>
      </c>
      <c r="H98" t="s">
        <v>670</v>
      </c>
      <c r="I98" t="s">
        <v>22</v>
      </c>
      <c r="J98" t="s">
        <v>631</v>
      </c>
      <c r="K98" s="77" t="s">
        <v>269</v>
      </c>
    </row>
    <row r="99" spans="1:11" x14ac:dyDescent="0.25">
      <c r="A99" s="77" t="s">
        <v>629</v>
      </c>
      <c r="B99" t="s">
        <v>679</v>
      </c>
      <c r="C99" t="s">
        <v>56</v>
      </c>
      <c r="D99" t="s">
        <v>39</v>
      </c>
      <c r="E99" t="s">
        <v>68</v>
      </c>
      <c r="F99" t="s">
        <v>164</v>
      </c>
      <c r="G99" t="s">
        <v>294</v>
      </c>
      <c r="H99" t="s">
        <v>670</v>
      </c>
      <c r="I99" t="s">
        <v>22</v>
      </c>
      <c r="J99" t="s">
        <v>631</v>
      </c>
      <c r="K99" s="77" t="s">
        <v>296</v>
      </c>
    </row>
    <row r="100" spans="1:11" x14ac:dyDescent="0.25">
      <c r="A100" s="77" t="s">
        <v>629</v>
      </c>
      <c r="B100" t="s">
        <v>679</v>
      </c>
      <c r="C100" t="s">
        <v>56</v>
      </c>
      <c r="D100" t="s">
        <v>39</v>
      </c>
      <c r="E100" t="s">
        <v>68</v>
      </c>
      <c r="F100" t="s">
        <v>163</v>
      </c>
      <c r="G100" t="s">
        <v>294</v>
      </c>
      <c r="H100" t="s">
        <v>670</v>
      </c>
      <c r="I100" t="s">
        <v>22</v>
      </c>
      <c r="J100" t="s">
        <v>631</v>
      </c>
      <c r="K100" s="77" t="s">
        <v>296</v>
      </c>
    </row>
    <row r="101" spans="1:11" x14ac:dyDescent="0.25">
      <c r="A101" s="77" t="s">
        <v>629</v>
      </c>
      <c r="B101" t="s">
        <v>679</v>
      </c>
      <c r="C101" t="s">
        <v>56</v>
      </c>
      <c r="D101" t="s">
        <v>39</v>
      </c>
      <c r="E101" t="s">
        <v>74</v>
      </c>
      <c r="F101" t="s">
        <v>310</v>
      </c>
      <c r="G101" t="s">
        <v>294</v>
      </c>
      <c r="H101" t="s">
        <v>670</v>
      </c>
      <c r="I101" t="s">
        <v>22</v>
      </c>
      <c r="J101" t="s">
        <v>631</v>
      </c>
      <c r="K101" s="77" t="s">
        <v>296</v>
      </c>
    </row>
    <row r="102" spans="1:11" x14ac:dyDescent="0.25">
      <c r="A102" s="77" t="s">
        <v>629</v>
      </c>
      <c r="B102" t="s">
        <v>679</v>
      </c>
      <c r="C102" t="s">
        <v>56</v>
      </c>
      <c r="D102" t="s">
        <v>39</v>
      </c>
      <c r="E102" t="s">
        <v>74</v>
      </c>
      <c r="F102" t="s">
        <v>311</v>
      </c>
      <c r="G102" t="s">
        <v>294</v>
      </c>
      <c r="H102" t="s">
        <v>670</v>
      </c>
      <c r="I102" t="s">
        <v>22</v>
      </c>
      <c r="J102" t="s">
        <v>631</v>
      </c>
      <c r="K102" s="77" t="s">
        <v>296</v>
      </c>
    </row>
    <row r="103" spans="1:11" x14ac:dyDescent="0.25">
      <c r="A103" s="77" t="s">
        <v>629</v>
      </c>
      <c r="B103" t="s">
        <v>679</v>
      </c>
      <c r="C103" t="s">
        <v>56</v>
      </c>
      <c r="D103" t="s">
        <v>39</v>
      </c>
      <c r="E103" t="s">
        <v>70</v>
      </c>
      <c r="F103" t="s">
        <v>71</v>
      </c>
      <c r="G103" t="s">
        <v>294</v>
      </c>
      <c r="H103" t="s">
        <v>670</v>
      </c>
      <c r="I103" t="s">
        <v>22</v>
      </c>
      <c r="J103" t="s">
        <v>631</v>
      </c>
      <c r="K103" s="77" t="s">
        <v>296</v>
      </c>
    </row>
    <row r="104" spans="1:11" x14ac:dyDescent="0.25">
      <c r="A104" s="77" t="s">
        <v>629</v>
      </c>
      <c r="B104" t="s">
        <v>679</v>
      </c>
      <c r="C104" t="s">
        <v>56</v>
      </c>
      <c r="D104" t="s">
        <v>39</v>
      </c>
      <c r="E104" t="s">
        <v>70</v>
      </c>
      <c r="F104" t="s">
        <v>312</v>
      </c>
      <c r="G104" t="s">
        <v>294</v>
      </c>
      <c r="H104" t="s">
        <v>670</v>
      </c>
      <c r="I104" t="s">
        <v>22</v>
      </c>
      <c r="J104" t="s">
        <v>631</v>
      </c>
      <c r="K104" s="77" t="s">
        <v>296</v>
      </c>
    </row>
    <row r="105" spans="1:11" x14ac:dyDescent="0.25">
      <c r="A105" s="77" t="s">
        <v>629</v>
      </c>
      <c r="B105" t="s">
        <v>679</v>
      </c>
      <c r="C105" t="s">
        <v>56</v>
      </c>
      <c r="D105" t="s">
        <v>39</v>
      </c>
      <c r="E105" t="s">
        <v>72</v>
      </c>
      <c r="F105" t="s">
        <v>73</v>
      </c>
      <c r="G105" t="s">
        <v>294</v>
      </c>
      <c r="H105" t="s">
        <v>670</v>
      </c>
      <c r="I105" t="s">
        <v>22</v>
      </c>
      <c r="J105" t="s">
        <v>631</v>
      </c>
      <c r="K105" s="77" t="s">
        <v>296</v>
      </c>
    </row>
    <row r="106" spans="1:11" x14ac:dyDescent="0.25">
      <c r="A106" s="77" t="s">
        <v>629</v>
      </c>
      <c r="B106" t="s">
        <v>679</v>
      </c>
      <c r="C106" t="s">
        <v>56</v>
      </c>
      <c r="D106" t="s">
        <v>39</v>
      </c>
      <c r="E106" t="s">
        <v>86</v>
      </c>
      <c r="F106" t="s">
        <v>168</v>
      </c>
      <c r="G106" t="s">
        <v>294</v>
      </c>
      <c r="H106" t="s">
        <v>670</v>
      </c>
      <c r="I106" t="s">
        <v>22</v>
      </c>
      <c r="J106" t="s">
        <v>631</v>
      </c>
      <c r="K106" s="77" t="s">
        <v>296</v>
      </c>
    </row>
    <row r="107" spans="1:11" x14ac:dyDescent="0.25">
      <c r="A107" s="77" t="s">
        <v>629</v>
      </c>
      <c r="B107" t="s">
        <v>679</v>
      </c>
      <c r="C107" t="s">
        <v>56</v>
      </c>
      <c r="D107" t="s">
        <v>39</v>
      </c>
      <c r="E107" t="s">
        <v>80</v>
      </c>
      <c r="F107" t="s">
        <v>170</v>
      </c>
      <c r="G107" t="s">
        <v>294</v>
      </c>
      <c r="H107" t="s">
        <v>670</v>
      </c>
      <c r="I107" t="s">
        <v>22</v>
      </c>
      <c r="J107" t="s">
        <v>631</v>
      </c>
      <c r="K107" s="77" t="s">
        <v>296</v>
      </c>
    </row>
    <row r="108" spans="1:11" x14ac:dyDescent="0.25">
      <c r="A108" s="77" t="s">
        <v>629</v>
      </c>
      <c r="B108" t="s">
        <v>679</v>
      </c>
      <c r="C108" t="s">
        <v>60</v>
      </c>
      <c r="D108" t="s">
        <v>41</v>
      </c>
      <c r="E108" t="s">
        <v>68</v>
      </c>
      <c r="F108" t="s">
        <v>313</v>
      </c>
      <c r="G108" t="s">
        <v>294</v>
      </c>
      <c r="H108" t="s">
        <v>670</v>
      </c>
      <c r="I108" t="s">
        <v>22</v>
      </c>
      <c r="J108" t="s">
        <v>631</v>
      </c>
      <c r="K108" s="77" t="s">
        <v>296</v>
      </c>
    </row>
    <row r="109" spans="1:11" x14ac:dyDescent="0.25">
      <c r="A109" s="77" t="s">
        <v>629</v>
      </c>
      <c r="B109" t="s">
        <v>679</v>
      </c>
      <c r="C109" t="s">
        <v>60</v>
      </c>
      <c r="D109" t="s">
        <v>41</v>
      </c>
      <c r="E109" t="s">
        <v>68</v>
      </c>
      <c r="F109" t="s">
        <v>165</v>
      </c>
      <c r="G109" t="s">
        <v>294</v>
      </c>
      <c r="H109" t="s">
        <v>670</v>
      </c>
      <c r="I109" t="s">
        <v>22</v>
      </c>
      <c r="J109" t="s">
        <v>631</v>
      </c>
      <c r="K109" s="77" t="s">
        <v>296</v>
      </c>
    </row>
    <row r="110" spans="1:11" x14ac:dyDescent="0.25">
      <c r="A110" s="77" t="s">
        <v>629</v>
      </c>
      <c r="B110" t="s">
        <v>679</v>
      </c>
      <c r="C110" t="s">
        <v>60</v>
      </c>
      <c r="D110" t="s">
        <v>41</v>
      </c>
      <c r="E110" t="s">
        <v>74</v>
      </c>
      <c r="F110" t="s">
        <v>310</v>
      </c>
      <c r="G110" t="s">
        <v>294</v>
      </c>
      <c r="H110" t="s">
        <v>670</v>
      </c>
      <c r="I110" t="s">
        <v>22</v>
      </c>
      <c r="J110" t="s">
        <v>631</v>
      </c>
      <c r="K110" s="77" t="s">
        <v>296</v>
      </c>
    </row>
    <row r="111" spans="1:11" x14ac:dyDescent="0.25">
      <c r="A111" s="77" t="s">
        <v>629</v>
      </c>
      <c r="B111" t="s">
        <v>679</v>
      </c>
      <c r="C111" t="s">
        <v>60</v>
      </c>
      <c r="D111" t="s">
        <v>41</v>
      </c>
      <c r="E111" t="s">
        <v>74</v>
      </c>
      <c r="F111" t="s">
        <v>314</v>
      </c>
      <c r="G111" t="s">
        <v>294</v>
      </c>
      <c r="H111" t="s">
        <v>670</v>
      </c>
      <c r="I111" t="s">
        <v>22</v>
      </c>
      <c r="J111" t="s">
        <v>631</v>
      </c>
      <c r="K111" s="77" t="s">
        <v>296</v>
      </c>
    </row>
    <row r="112" spans="1:11" x14ac:dyDescent="0.25">
      <c r="A112" s="77" t="s">
        <v>629</v>
      </c>
      <c r="B112" t="s">
        <v>679</v>
      </c>
      <c r="C112" t="s">
        <v>60</v>
      </c>
      <c r="D112" t="s">
        <v>41</v>
      </c>
      <c r="E112" t="s">
        <v>74</v>
      </c>
      <c r="F112" t="s">
        <v>210</v>
      </c>
      <c r="G112" t="s">
        <v>294</v>
      </c>
      <c r="H112" t="s">
        <v>670</v>
      </c>
      <c r="I112" t="s">
        <v>22</v>
      </c>
      <c r="J112" t="s">
        <v>631</v>
      </c>
      <c r="K112" s="77" t="s">
        <v>296</v>
      </c>
    </row>
    <row r="113" spans="1:11" x14ac:dyDescent="0.25">
      <c r="A113" s="77" t="s">
        <v>629</v>
      </c>
      <c r="B113" t="s">
        <v>679</v>
      </c>
      <c r="C113" t="s">
        <v>60</v>
      </c>
      <c r="D113" t="s">
        <v>41</v>
      </c>
      <c r="E113" t="s">
        <v>74</v>
      </c>
      <c r="F113" t="s">
        <v>75</v>
      </c>
      <c r="G113" t="s">
        <v>294</v>
      </c>
      <c r="H113" t="s">
        <v>670</v>
      </c>
      <c r="I113" t="s">
        <v>22</v>
      </c>
      <c r="J113" t="s">
        <v>631</v>
      </c>
      <c r="K113" s="77" t="s">
        <v>296</v>
      </c>
    </row>
    <row r="114" spans="1:11" x14ac:dyDescent="0.25">
      <c r="A114" s="77" t="s">
        <v>629</v>
      </c>
      <c r="B114" t="s">
        <v>679</v>
      </c>
      <c r="C114" t="s">
        <v>60</v>
      </c>
      <c r="D114" t="s">
        <v>41</v>
      </c>
      <c r="E114" t="s">
        <v>74</v>
      </c>
      <c r="F114" t="s">
        <v>311</v>
      </c>
      <c r="G114" t="s">
        <v>294</v>
      </c>
      <c r="H114" t="s">
        <v>670</v>
      </c>
      <c r="I114" t="s">
        <v>22</v>
      </c>
      <c r="J114" t="s">
        <v>631</v>
      </c>
      <c r="K114" s="77" t="s">
        <v>296</v>
      </c>
    </row>
    <row r="115" spans="1:11" x14ac:dyDescent="0.25">
      <c r="A115" s="77" t="s">
        <v>629</v>
      </c>
      <c r="B115" t="s">
        <v>679</v>
      </c>
      <c r="C115" t="s">
        <v>60</v>
      </c>
      <c r="D115" t="s">
        <v>43</v>
      </c>
      <c r="E115" t="s">
        <v>70</v>
      </c>
      <c r="F115" t="s">
        <v>71</v>
      </c>
      <c r="G115" t="s">
        <v>294</v>
      </c>
      <c r="H115" t="s">
        <v>670</v>
      </c>
      <c r="I115" t="s">
        <v>22</v>
      </c>
      <c r="J115" t="s">
        <v>631</v>
      </c>
      <c r="K115" s="77" t="s">
        <v>296</v>
      </c>
    </row>
    <row r="116" spans="1:11" x14ac:dyDescent="0.25">
      <c r="A116" s="77" t="s">
        <v>629</v>
      </c>
      <c r="B116" t="s">
        <v>679</v>
      </c>
      <c r="C116" t="s">
        <v>60</v>
      </c>
      <c r="D116" t="s">
        <v>43</v>
      </c>
      <c r="E116" t="s">
        <v>70</v>
      </c>
      <c r="F116" t="s">
        <v>312</v>
      </c>
      <c r="G116" t="s">
        <v>294</v>
      </c>
      <c r="H116" t="s">
        <v>670</v>
      </c>
      <c r="I116" t="s">
        <v>22</v>
      </c>
      <c r="J116" t="s">
        <v>631</v>
      </c>
      <c r="K116" s="77" t="s">
        <v>296</v>
      </c>
    </row>
    <row r="117" spans="1:11" x14ac:dyDescent="0.25">
      <c r="A117" s="77" t="s">
        <v>629</v>
      </c>
      <c r="B117" t="s">
        <v>679</v>
      </c>
      <c r="C117" t="s">
        <v>60</v>
      </c>
      <c r="D117" t="s">
        <v>41</v>
      </c>
      <c r="E117" t="s">
        <v>72</v>
      </c>
      <c r="F117" t="s">
        <v>167</v>
      </c>
      <c r="G117" t="s">
        <v>294</v>
      </c>
      <c r="H117" t="s">
        <v>670</v>
      </c>
      <c r="I117" t="s">
        <v>22</v>
      </c>
      <c r="J117" t="s">
        <v>631</v>
      </c>
      <c r="K117" s="77" t="s">
        <v>296</v>
      </c>
    </row>
    <row r="118" spans="1:11" x14ac:dyDescent="0.25">
      <c r="A118" s="77" t="s">
        <v>629</v>
      </c>
      <c r="B118" t="s">
        <v>679</v>
      </c>
      <c r="C118" t="s">
        <v>60</v>
      </c>
      <c r="D118" t="s">
        <v>41</v>
      </c>
      <c r="E118" t="s">
        <v>72</v>
      </c>
      <c r="F118" t="s">
        <v>166</v>
      </c>
      <c r="G118" t="s">
        <v>294</v>
      </c>
      <c r="H118" t="s">
        <v>670</v>
      </c>
      <c r="I118" t="s">
        <v>22</v>
      </c>
      <c r="J118" t="s">
        <v>631</v>
      </c>
      <c r="K118" s="77" t="s">
        <v>296</v>
      </c>
    </row>
    <row r="119" spans="1:11" x14ac:dyDescent="0.25">
      <c r="A119" s="77" t="s">
        <v>629</v>
      </c>
      <c r="B119" t="s">
        <v>679</v>
      </c>
      <c r="C119" t="s">
        <v>60</v>
      </c>
      <c r="D119" t="s">
        <v>41</v>
      </c>
      <c r="E119" t="s">
        <v>82</v>
      </c>
      <c r="F119" t="s">
        <v>171</v>
      </c>
      <c r="G119" t="s">
        <v>294</v>
      </c>
      <c r="H119" t="s">
        <v>670</v>
      </c>
      <c r="I119" t="s">
        <v>22</v>
      </c>
      <c r="J119" t="s">
        <v>631</v>
      </c>
      <c r="K119" s="77" t="s">
        <v>296</v>
      </c>
    </row>
    <row r="120" spans="1:11" x14ac:dyDescent="0.25">
      <c r="A120" s="77" t="s">
        <v>629</v>
      </c>
      <c r="B120" t="s">
        <v>680</v>
      </c>
      <c r="C120" t="s">
        <v>56</v>
      </c>
      <c r="D120" t="s">
        <v>39</v>
      </c>
      <c r="E120" t="s">
        <v>68</v>
      </c>
      <c r="F120" t="s">
        <v>165</v>
      </c>
      <c r="G120" t="s">
        <v>332</v>
      </c>
      <c r="H120" t="s">
        <v>670</v>
      </c>
      <c r="I120" t="s">
        <v>22</v>
      </c>
      <c r="J120" t="s">
        <v>631</v>
      </c>
      <c r="K120" s="77" t="s">
        <v>334</v>
      </c>
    </row>
    <row r="121" spans="1:11" x14ac:dyDescent="0.25">
      <c r="A121" s="77" t="s">
        <v>629</v>
      </c>
      <c r="B121" t="s">
        <v>680</v>
      </c>
      <c r="C121" t="s">
        <v>56</v>
      </c>
      <c r="D121" t="s">
        <v>43</v>
      </c>
      <c r="E121" t="s">
        <v>74</v>
      </c>
      <c r="F121" t="s">
        <v>210</v>
      </c>
      <c r="G121" t="s">
        <v>332</v>
      </c>
      <c r="H121" t="s">
        <v>670</v>
      </c>
      <c r="I121" t="s">
        <v>22</v>
      </c>
      <c r="J121" t="s">
        <v>631</v>
      </c>
      <c r="K121" s="77" t="s">
        <v>334</v>
      </c>
    </row>
    <row r="122" spans="1:11" x14ac:dyDescent="0.25">
      <c r="A122" s="77" t="s">
        <v>629</v>
      </c>
      <c r="B122" t="s">
        <v>680</v>
      </c>
      <c r="C122" t="s">
        <v>60</v>
      </c>
      <c r="D122" t="s">
        <v>39</v>
      </c>
      <c r="E122" t="s">
        <v>68</v>
      </c>
      <c r="F122" t="s">
        <v>163</v>
      </c>
      <c r="G122" t="s">
        <v>332</v>
      </c>
      <c r="H122" t="s">
        <v>670</v>
      </c>
      <c r="I122" t="s">
        <v>22</v>
      </c>
      <c r="J122" t="s">
        <v>631</v>
      </c>
      <c r="K122" s="77" t="s">
        <v>334</v>
      </c>
    </row>
    <row r="123" spans="1:11" x14ac:dyDescent="0.25">
      <c r="A123" s="77" t="s">
        <v>629</v>
      </c>
      <c r="B123" t="s">
        <v>680</v>
      </c>
      <c r="C123" t="s">
        <v>60</v>
      </c>
      <c r="D123" t="s">
        <v>39</v>
      </c>
      <c r="E123" t="s">
        <v>68</v>
      </c>
      <c r="F123" t="s">
        <v>130</v>
      </c>
      <c r="G123" t="s">
        <v>332</v>
      </c>
      <c r="H123" t="s">
        <v>670</v>
      </c>
      <c r="I123" t="s">
        <v>22</v>
      </c>
      <c r="J123" t="s">
        <v>631</v>
      </c>
      <c r="K123" s="77" t="s">
        <v>334</v>
      </c>
    </row>
    <row r="124" spans="1:11" x14ac:dyDescent="0.25">
      <c r="A124" s="77" t="s">
        <v>629</v>
      </c>
      <c r="B124" t="s">
        <v>680</v>
      </c>
      <c r="C124" t="s">
        <v>56</v>
      </c>
      <c r="D124" t="s">
        <v>41</v>
      </c>
      <c r="E124" t="s">
        <v>70</v>
      </c>
      <c r="F124" t="s">
        <v>312</v>
      </c>
      <c r="G124" t="s">
        <v>332</v>
      </c>
      <c r="H124" t="s">
        <v>670</v>
      </c>
      <c r="I124" t="s">
        <v>22</v>
      </c>
      <c r="J124" t="s">
        <v>631</v>
      </c>
      <c r="K124" s="77" t="s">
        <v>334</v>
      </c>
    </row>
    <row r="125" spans="1:11" x14ac:dyDescent="0.25">
      <c r="A125" s="77" t="s">
        <v>629</v>
      </c>
      <c r="B125" t="s">
        <v>680</v>
      </c>
      <c r="C125" t="s">
        <v>60</v>
      </c>
      <c r="D125" t="s">
        <v>41</v>
      </c>
      <c r="E125" t="s">
        <v>72</v>
      </c>
      <c r="F125" t="s">
        <v>73</v>
      </c>
      <c r="G125" t="s">
        <v>332</v>
      </c>
      <c r="H125" t="s">
        <v>670</v>
      </c>
      <c r="I125" t="s">
        <v>22</v>
      </c>
      <c r="J125" t="s">
        <v>631</v>
      </c>
      <c r="K125" s="77" t="s">
        <v>334</v>
      </c>
    </row>
    <row r="126" spans="1:11" x14ac:dyDescent="0.25">
      <c r="A126" s="77" t="s">
        <v>629</v>
      </c>
      <c r="B126" t="s">
        <v>680</v>
      </c>
      <c r="C126" t="s">
        <v>56</v>
      </c>
      <c r="D126" t="s">
        <v>39</v>
      </c>
      <c r="E126" t="s">
        <v>68</v>
      </c>
      <c r="F126" t="s">
        <v>69</v>
      </c>
      <c r="G126" t="s">
        <v>332</v>
      </c>
      <c r="H126" t="s">
        <v>670</v>
      </c>
      <c r="I126" t="s">
        <v>22</v>
      </c>
      <c r="J126" t="s">
        <v>631</v>
      </c>
      <c r="K126" s="77" t="s">
        <v>334</v>
      </c>
    </row>
    <row r="127" spans="1:11" x14ac:dyDescent="0.25">
      <c r="A127" s="77" t="s">
        <v>629</v>
      </c>
      <c r="B127" t="s">
        <v>680</v>
      </c>
      <c r="C127" t="s">
        <v>56</v>
      </c>
      <c r="D127" t="s">
        <v>43</v>
      </c>
      <c r="E127" t="s">
        <v>74</v>
      </c>
      <c r="F127" t="s">
        <v>314</v>
      </c>
      <c r="G127" t="s">
        <v>332</v>
      </c>
      <c r="H127" t="s">
        <v>670</v>
      </c>
      <c r="I127" t="s">
        <v>22</v>
      </c>
      <c r="J127" t="s">
        <v>631</v>
      </c>
      <c r="K127" s="77" t="s">
        <v>334</v>
      </c>
    </row>
    <row r="128" spans="1:11" x14ac:dyDescent="0.25">
      <c r="A128" s="77" t="s">
        <v>629</v>
      </c>
      <c r="B128" t="s">
        <v>680</v>
      </c>
      <c r="C128" t="s">
        <v>60</v>
      </c>
      <c r="D128" t="s">
        <v>43</v>
      </c>
      <c r="E128" t="s">
        <v>74</v>
      </c>
      <c r="F128" t="s">
        <v>75</v>
      </c>
      <c r="G128" t="s">
        <v>332</v>
      </c>
      <c r="H128" t="s">
        <v>670</v>
      </c>
      <c r="I128" t="s">
        <v>22</v>
      </c>
      <c r="J128" t="s">
        <v>631</v>
      </c>
      <c r="K128" s="77" t="s">
        <v>334</v>
      </c>
    </row>
    <row r="129" spans="1:11" x14ac:dyDescent="0.25">
      <c r="A129" s="77" t="s">
        <v>629</v>
      </c>
      <c r="B129" t="s">
        <v>680</v>
      </c>
      <c r="C129" t="s">
        <v>56</v>
      </c>
      <c r="D129" t="s">
        <v>43</v>
      </c>
      <c r="E129" t="s">
        <v>78</v>
      </c>
      <c r="F129" t="s">
        <v>169</v>
      </c>
      <c r="G129" t="s">
        <v>332</v>
      </c>
      <c r="H129" t="s">
        <v>670</v>
      </c>
      <c r="I129" t="s">
        <v>22</v>
      </c>
      <c r="J129" t="s">
        <v>631</v>
      </c>
      <c r="K129" s="77" t="s">
        <v>334</v>
      </c>
    </row>
    <row r="130" spans="1:11" x14ac:dyDescent="0.25">
      <c r="A130" s="77" t="s">
        <v>629</v>
      </c>
      <c r="B130" t="s">
        <v>680</v>
      </c>
      <c r="C130" t="s">
        <v>56</v>
      </c>
      <c r="D130" t="s">
        <v>39</v>
      </c>
      <c r="E130" t="s">
        <v>70</v>
      </c>
      <c r="F130" t="s">
        <v>132</v>
      </c>
      <c r="G130" t="s">
        <v>332</v>
      </c>
      <c r="H130" t="s">
        <v>670</v>
      </c>
      <c r="I130" t="s">
        <v>22</v>
      </c>
      <c r="J130" t="s">
        <v>631</v>
      </c>
      <c r="K130" s="77" t="s">
        <v>334</v>
      </c>
    </row>
    <row r="131" spans="1:11" x14ac:dyDescent="0.25">
      <c r="A131" s="77" t="s">
        <v>629</v>
      </c>
      <c r="B131" t="s">
        <v>680</v>
      </c>
      <c r="C131" t="s">
        <v>60</v>
      </c>
      <c r="D131" t="s">
        <v>41</v>
      </c>
      <c r="E131" t="s">
        <v>70</v>
      </c>
      <c r="F131" t="s">
        <v>344</v>
      </c>
      <c r="G131" t="s">
        <v>332</v>
      </c>
      <c r="H131" t="s">
        <v>670</v>
      </c>
      <c r="I131" t="s">
        <v>22</v>
      </c>
      <c r="J131" t="s">
        <v>631</v>
      </c>
      <c r="K131" s="77" t="s">
        <v>334</v>
      </c>
    </row>
    <row r="132" spans="1:11" x14ac:dyDescent="0.25">
      <c r="A132" s="77" t="s">
        <v>629</v>
      </c>
      <c r="B132" t="s">
        <v>680</v>
      </c>
      <c r="C132" t="s">
        <v>56</v>
      </c>
      <c r="D132" t="s">
        <v>39</v>
      </c>
      <c r="E132" t="s">
        <v>72</v>
      </c>
      <c r="F132" t="s">
        <v>131</v>
      </c>
      <c r="G132" t="s">
        <v>332</v>
      </c>
      <c r="H132" t="s">
        <v>670</v>
      </c>
      <c r="I132" t="s">
        <v>22</v>
      </c>
      <c r="J132" t="s">
        <v>631</v>
      </c>
      <c r="K132" s="77" t="s">
        <v>334</v>
      </c>
    </row>
    <row r="133" spans="1:11" x14ac:dyDescent="0.25">
      <c r="A133" s="77" t="s">
        <v>629</v>
      </c>
      <c r="B133" t="s">
        <v>680</v>
      </c>
      <c r="C133" t="s">
        <v>56</v>
      </c>
      <c r="D133" t="s">
        <v>39</v>
      </c>
      <c r="E133" t="s">
        <v>72</v>
      </c>
      <c r="F133" t="s">
        <v>166</v>
      </c>
      <c r="G133" t="s">
        <v>332</v>
      </c>
      <c r="H133" t="s">
        <v>670</v>
      </c>
      <c r="I133" t="s">
        <v>22</v>
      </c>
      <c r="J133" t="s">
        <v>631</v>
      </c>
      <c r="K133" s="77" t="s">
        <v>334</v>
      </c>
    </row>
    <row r="134" spans="1:11" x14ac:dyDescent="0.25">
      <c r="A134" s="77" t="s">
        <v>629</v>
      </c>
      <c r="B134" t="s">
        <v>680</v>
      </c>
      <c r="C134" t="s">
        <v>60</v>
      </c>
      <c r="D134" t="s">
        <v>41</v>
      </c>
      <c r="E134" t="s">
        <v>72</v>
      </c>
      <c r="F134" t="s">
        <v>345</v>
      </c>
      <c r="G134" t="s">
        <v>332</v>
      </c>
      <c r="H134" t="s">
        <v>670</v>
      </c>
      <c r="I134" t="s">
        <v>22</v>
      </c>
      <c r="J134" t="s">
        <v>631</v>
      </c>
      <c r="K134" s="77" t="s">
        <v>334</v>
      </c>
    </row>
    <row r="135" spans="1:11" x14ac:dyDescent="0.25">
      <c r="A135" s="77" t="s">
        <v>629</v>
      </c>
      <c r="B135" t="s">
        <v>680</v>
      </c>
      <c r="C135" t="s">
        <v>60</v>
      </c>
      <c r="D135" t="s">
        <v>41</v>
      </c>
      <c r="E135" t="s">
        <v>72</v>
      </c>
      <c r="F135" t="s">
        <v>167</v>
      </c>
      <c r="G135" t="s">
        <v>332</v>
      </c>
      <c r="H135" t="s">
        <v>670</v>
      </c>
      <c r="I135" t="s">
        <v>22</v>
      </c>
      <c r="J135" t="s">
        <v>631</v>
      </c>
      <c r="K135" s="77" t="s">
        <v>334</v>
      </c>
    </row>
    <row r="136" spans="1:11" x14ac:dyDescent="0.25">
      <c r="A136" s="77" t="s">
        <v>629</v>
      </c>
      <c r="B136" t="s">
        <v>680</v>
      </c>
      <c r="C136" t="s">
        <v>60</v>
      </c>
      <c r="D136" t="s">
        <v>41</v>
      </c>
      <c r="E136" t="s">
        <v>72</v>
      </c>
      <c r="F136" t="s">
        <v>211</v>
      </c>
      <c r="G136" t="s">
        <v>332</v>
      </c>
      <c r="H136" t="s">
        <v>670</v>
      </c>
      <c r="I136" t="s">
        <v>22</v>
      </c>
      <c r="J136" t="s">
        <v>631</v>
      </c>
      <c r="K136" s="77" t="s">
        <v>334</v>
      </c>
    </row>
    <row r="137" spans="1:11" x14ac:dyDescent="0.25">
      <c r="A137" s="77" t="s">
        <v>629</v>
      </c>
      <c r="B137" t="s">
        <v>681</v>
      </c>
      <c r="C137" t="s">
        <v>56</v>
      </c>
      <c r="D137" t="s">
        <v>39</v>
      </c>
      <c r="E137" t="s">
        <v>68</v>
      </c>
      <c r="F137" t="s">
        <v>69</v>
      </c>
      <c r="G137" t="s">
        <v>360</v>
      </c>
      <c r="H137" t="s">
        <v>670</v>
      </c>
      <c r="I137" t="s">
        <v>22</v>
      </c>
      <c r="J137" t="s">
        <v>631</v>
      </c>
      <c r="K137" s="77" t="s">
        <v>614</v>
      </c>
    </row>
    <row r="138" spans="1:11" x14ac:dyDescent="0.25">
      <c r="A138" s="77" t="s">
        <v>629</v>
      </c>
      <c r="B138" t="s">
        <v>681</v>
      </c>
      <c r="C138" t="s">
        <v>56</v>
      </c>
      <c r="D138" t="s">
        <v>43</v>
      </c>
      <c r="E138" t="s">
        <v>68</v>
      </c>
      <c r="F138" t="s">
        <v>130</v>
      </c>
      <c r="G138" t="s">
        <v>360</v>
      </c>
      <c r="H138" t="s">
        <v>670</v>
      </c>
      <c r="I138" t="s">
        <v>22</v>
      </c>
      <c r="J138" t="s">
        <v>631</v>
      </c>
      <c r="K138" s="77" t="s">
        <v>614</v>
      </c>
    </row>
    <row r="139" spans="1:11" x14ac:dyDescent="0.25">
      <c r="A139" s="77" t="s">
        <v>629</v>
      </c>
      <c r="B139" t="s">
        <v>681</v>
      </c>
      <c r="C139" t="s">
        <v>56</v>
      </c>
      <c r="D139" t="s">
        <v>39</v>
      </c>
      <c r="E139" t="s">
        <v>74</v>
      </c>
      <c r="F139" t="s">
        <v>75</v>
      </c>
      <c r="G139" t="s">
        <v>360</v>
      </c>
      <c r="H139" t="s">
        <v>670</v>
      </c>
      <c r="I139" t="s">
        <v>22</v>
      </c>
      <c r="J139" t="s">
        <v>631</v>
      </c>
      <c r="K139" s="77" t="s">
        <v>614</v>
      </c>
    </row>
    <row r="140" spans="1:11" x14ac:dyDescent="0.25">
      <c r="A140" s="77" t="s">
        <v>629</v>
      </c>
      <c r="B140" t="s">
        <v>681</v>
      </c>
      <c r="C140" t="s">
        <v>56</v>
      </c>
      <c r="D140" t="s">
        <v>43</v>
      </c>
      <c r="E140" t="s">
        <v>70</v>
      </c>
      <c r="F140" t="s">
        <v>209</v>
      </c>
      <c r="G140" t="s">
        <v>360</v>
      </c>
      <c r="H140" t="s">
        <v>670</v>
      </c>
      <c r="I140" t="s">
        <v>22</v>
      </c>
      <c r="J140" t="s">
        <v>631</v>
      </c>
      <c r="K140" s="77" t="s">
        <v>614</v>
      </c>
    </row>
    <row r="141" spans="1:11" x14ac:dyDescent="0.25">
      <c r="A141" s="77" t="s">
        <v>629</v>
      </c>
      <c r="B141" t="s">
        <v>681</v>
      </c>
      <c r="C141" t="s">
        <v>56</v>
      </c>
      <c r="D141" t="s">
        <v>39</v>
      </c>
      <c r="E141" t="s">
        <v>72</v>
      </c>
      <c r="F141" t="s">
        <v>211</v>
      </c>
      <c r="G141" t="s">
        <v>360</v>
      </c>
      <c r="H141" t="s">
        <v>670</v>
      </c>
      <c r="I141" t="s">
        <v>22</v>
      </c>
      <c r="J141" t="s">
        <v>631</v>
      </c>
      <c r="K141" s="77" t="s">
        <v>614</v>
      </c>
    </row>
    <row r="142" spans="1:11" x14ac:dyDescent="0.25">
      <c r="A142" s="77" t="s">
        <v>629</v>
      </c>
      <c r="B142" t="s">
        <v>681</v>
      </c>
      <c r="C142" t="s">
        <v>60</v>
      </c>
      <c r="D142" t="s">
        <v>43</v>
      </c>
      <c r="E142" t="s">
        <v>68</v>
      </c>
      <c r="F142" t="s">
        <v>130</v>
      </c>
      <c r="G142" t="s">
        <v>360</v>
      </c>
      <c r="H142" t="s">
        <v>670</v>
      </c>
      <c r="I142" t="s">
        <v>22</v>
      </c>
      <c r="J142" t="s">
        <v>631</v>
      </c>
      <c r="K142" s="77" t="s">
        <v>614</v>
      </c>
    </row>
    <row r="143" spans="1:11" x14ac:dyDescent="0.25">
      <c r="A143" s="77" t="s">
        <v>629</v>
      </c>
      <c r="B143" t="s">
        <v>681</v>
      </c>
      <c r="C143" t="s">
        <v>60</v>
      </c>
      <c r="D143" t="s">
        <v>41</v>
      </c>
      <c r="E143" t="s">
        <v>70</v>
      </c>
      <c r="F143" t="s">
        <v>71</v>
      </c>
      <c r="G143" t="s">
        <v>360</v>
      </c>
      <c r="H143" t="s">
        <v>670</v>
      </c>
      <c r="I143" t="s">
        <v>22</v>
      </c>
      <c r="J143" t="s">
        <v>631</v>
      </c>
      <c r="K143" s="77" t="s">
        <v>614</v>
      </c>
    </row>
    <row r="144" spans="1:11" x14ac:dyDescent="0.25">
      <c r="A144" s="77" t="s">
        <v>629</v>
      </c>
      <c r="B144" t="s">
        <v>681</v>
      </c>
      <c r="C144" t="s">
        <v>60</v>
      </c>
      <c r="D144" t="s">
        <v>41</v>
      </c>
      <c r="E144" t="s">
        <v>72</v>
      </c>
      <c r="F144" t="s">
        <v>131</v>
      </c>
      <c r="G144" t="s">
        <v>360</v>
      </c>
      <c r="H144" t="s">
        <v>670</v>
      </c>
      <c r="I144" t="s">
        <v>22</v>
      </c>
      <c r="J144" t="s">
        <v>631</v>
      </c>
      <c r="K144" s="77" t="s">
        <v>614</v>
      </c>
    </row>
    <row r="145" spans="1:11" x14ac:dyDescent="0.25">
      <c r="A145" s="77" t="s">
        <v>629</v>
      </c>
      <c r="B145" t="s">
        <v>681</v>
      </c>
      <c r="C145" t="s">
        <v>60</v>
      </c>
      <c r="D145" t="s">
        <v>41</v>
      </c>
      <c r="E145" t="s">
        <v>72</v>
      </c>
      <c r="F145" t="s">
        <v>166</v>
      </c>
      <c r="G145" t="s">
        <v>360</v>
      </c>
      <c r="H145" t="s">
        <v>670</v>
      </c>
      <c r="I145" t="s">
        <v>22</v>
      </c>
      <c r="J145" t="s">
        <v>631</v>
      </c>
      <c r="K145" s="77" t="s">
        <v>614</v>
      </c>
    </row>
    <row r="146" spans="1:11" x14ac:dyDescent="0.25">
      <c r="A146" s="77" t="s">
        <v>629</v>
      </c>
      <c r="B146" t="s">
        <v>682</v>
      </c>
      <c r="C146" t="s">
        <v>56</v>
      </c>
      <c r="D146" t="s">
        <v>39</v>
      </c>
      <c r="E146" t="s">
        <v>68</v>
      </c>
      <c r="F146" t="s">
        <v>69</v>
      </c>
      <c r="G146" t="s">
        <v>390</v>
      </c>
      <c r="H146" t="s">
        <v>670</v>
      </c>
      <c r="I146" t="s">
        <v>22</v>
      </c>
      <c r="J146" t="s">
        <v>631</v>
      </c>
      <c r="K146" s="77" t="s">
        <v>392</v>
      </c>
    </row>
    <row r="147" spans="1:11" x14ac:dyDescent="0.25">
      <c r="A147" s="77" t="s">
        <v>629</v>
      </c>
      <c r="B147" t="s">
        <v>682</v>
      </c>
      <c r="C147" t="s">
        <v>56</v>
      </c>
      <c r="D147" t="s">
        <v>39</v>
      </c>
      <c r="E147" t="s">
        <v>68</v>
      </c>
      <c r="F147" t="s">
        <v>164</v>
      </c>
      <c r="G147" t="s">
        <v>390</v>
      </c>
      <c r="H147" t="s">
        <v>670</v>
      </c>
      <c r="I147" t="s">
        <v>22</v>
      </c>
      <c r="J147" t="s">
        <v>631</v>
      </c>
      <c r="K147" s="77" t="s">
        <v>392</v>
      </c>
    </row>
    <row r="148" spans="1:11" x14ac:dyDescent="0.25">
      <c r="A148" s="77" t="s">
        <v>629</v>
      </c>
      <c r="B148" t="s">
        <v>682</v>
      </c>
      <c r="C148" t="s">
        <v>56</v>
      </c>
      <c r="D148" t="s">
        <v>39</v>
      </c>
      <c r="E148" t="s">
        <v>68</v>
      </c>
      <c r="F148" t="s">
        <v>130</v>
      </c>
      <c r="G148" t="s">
        <v>390</v>
      </c>
      <c r="H148" t="s">
        <v>670</v>
      </c>
      <c r="I148" t="s">
        <v>22</v>
      </c>
      <c r="J148" t="s">
        <v>631</v>
      </c>
      <c r="K148" s="77" t="s">
        <v>392</v>
      </c>
    </row>
    <row r="149" spans="1:11" x14ac:dyDescent="0.25">
      <c r="A149" s="77" t="s">
        <v>629</v>
      </c>
      <c r="B149" t="s">
        <v>682</v>
      </c>
      <c r="C149" t="s">
        <v>56</v>
      </c>
      <c r="D149" t="s">
        <v>39</v>
      </c>
      <c r="E149" t="s">
        <v>78</v>
      </c>
      <c r="F149" t="s">
        <v>405</v>
      </c>
      <c r="G149" t="s">
        <v>390</v>
      </c>
      <c r="H149" t="s">
        <v>670</v>
      </c>
      <c r="I149" t="s">
        <v>22</v>
      </c>
      <c r="J149" t="s">
        <v>631</v>
      </c>
      <c r="K149" s="77" t="s">
        <v>392</v>
      </c>
    </row>
    <row r="150" spans="1:11" x14ac:dyDescent="0.25">
      <c r="A150" s="77" t="s">
        <v>629</v>
      </c>
      <c r="B150" t="s">
        <v>682</v>
      </c>
      <c r="C150" t="s">
        <v>56</v>
      </c>
      <c r="D150" t="s">
        <v>39</v>
      </c>
      <c r="E150" t="s">
        <v>78</v>
      </c>
      <c r="F150" t="s">
        <v>212</v>
      </c>
      <c r="G150" t="s">
        <v>390</v>
      </c>
      <c r="H150" t="s">
        <v>670</v>
      </c>
      <c r="I150" t="s">
        <v>22</v>
      </c>
      <c r="J150" t="s">
        <v>631</v>
      </c>
      <c r="K150" s="77" t="s">
        <v>392</v>
      </c>
    </row>
    <row r="151" spans="1:11" x14ac:dyDescent="0.25">
      <c r="A151" s="77" t="s">
        <v>629</v>
      </c>
      <c r="B151" t="s">
        <v>682</v>
      </c>
      <c r="C151" t="s">
        <v>56</v>
      </c>
      <c r="D151" t="s">
        <v>39</v>
      </c>
      <c r="E151" t="s">
        <v>74</v>
      </c>
      <c r="F151" t="s">
        <v>75</v>
      </c>
      <c r="G151" t="s">
        <v>390</v>
      </c>
      <c r="H151" t="s">
        <v>670</v>
      </c>
      <c r="I151" t="s">
        <v>22</v>
      </c>
      <c r="J151" t="s">
        <v>631</v>
      </c>
      <c r="K151" s="77" t="s">
        <v>392</v>
      </c>
    </row>
    <row r="152" spans="1:11" x14ac:dyDescent="0.25">
      <c r="A152" s="77" t="s">
        <v>629</v>
      </c>
      <c r="B152" t="s">
        <v>682</v>
      </c>
      <c r="C152" t="s">
        <v>56</v>
      </c>
      <c r="D152" t="s">
        <v>39</v>
      </c>
      <c r="E152" t="s">
        <v>72</v>
      </c>
      <c r="F152" t="s">
        <v>211</v>
      </c>
      <c r="G152" t="s">
        <v>390</v>
      </c>
      <c r="H152" t="s">
        <v>670</v>
      </c>
      <c r="I152" t="s">
        <v>22</v>
      </c>
      <c r="J152" t="s">
        <v>631</v>
      </c>
      <c r="K152" s="77" t="s">
        <v>392</v>
      </c>
    </row>
    <row r="153" spans="1:11" x14ac:dyDescent="0.25">
      <c r="A153" s="77" t="s">
        <v>629</v>
      </c>
      <c r="B153" t="s">
        <v>682</v>
      </c>
      <c r="C153" t="s">
        <v>56</v>
      </c>
      <c r="D153" t="s">
        <v>39</v>
      </c>
      <c r="E153" t="s">
        <v>82</v>
      </c>
      <c r="F153" t="s">
        <v>406</v>
      </c>
      <c r="G153" t="s">
        <v>390</v>
      </c>
      <c r="H153" t="s">
        <v>670</v>
      </c>
      <c r="I153" t="s">
        <v>22</v>
      </c>
      <c r="J153" t="s">
        <v>631</v>
      </c>
      <c r="K153" s="77" t="s">
        <v>392</v>
      </c>
    </row>
    <row r="154" spans="1:11" x14ac:dyDescent="0.25">
      <c r="A154" s="77" t="s">
        <v>629</v>
      </c>
      <c r="B154" t="s">
        <v>682</v>
      </c>
      <c r="C154" t="s">
        <v>56</v>
      </c>
      <c r="D154" t="s">
        <v>39</v>
      </c>
      <c r="E154" t="s">
        <v>82</v>
      </c>
      <c r="F154" t="s">
        <v>83</v>
      </c>
      <c r="G154" t="s">
        <v>390</v>
      </c>
      <c r="H154" t="s">
        <v>670</v>
      </c>
      <c r="I154" t="s">
        <v>22</v>
      </c>
      <c r="J154" t="s">
        <v>631</v>
      </c>
      <c r="K154" s="77" t="s">
        <v>392</v>
      </c>
    </row>
    <row r="155" spans="1:11" x14ac:dyDescent="0.25">
      <c r="A155" s="77" t="s">
        <v>629</v>
      </c>
      <c r="B155" t="s">
        <v>682</v>
      </c>
      <c r="C155" t="s">
        <v>56</v>
      </c>
      <c r="D155" t="s">
        <v>39</v>
      </c>
      <c r="E155" t="s">
        <v>80</v>
      </c>
      <c r="F155" t="s">
        <v>170</v>
      </c>
      <c r="G155" t="s">
        <v>390</v>
      </c>
      <c r="H155" t="s">
        <v>670</v>
      </c>
      <c r="I155" t="s">
        <v>22</v>
      </c>
      <c r="J155" t="s">
        <v>631</v>
      </c>
      <c r="K155" s="77" t="s">
        <v>392</v>
      </c>
    </row>
    <row r="156" spans="1:11" x14ac:dyDescent="0.25">
      <c r="A156" s="77" t="s">
        <v>629</v>
      </c>
      <c r="B156" t="s">
        <v>682</v>
      </c>
      <c r="C156" t="s">
        <v>56</v>
      </c>
      <c r="D156" t="s">
        <v>39</v>
      </c>
      <c r="E156" t="s">
        <v>70</v>
      </c>
      <c r="F156" t="s">
        <v>71</v>
      </c>
      <c r="G156" t="s">
        <v>390</v>
      </c>
      <c r="H156" t="s">
        <v>670</v>
      </c>
      <c r="I156" t="s">
        <v>22</v>
      </c>
      <c r="J156" t="s">
        <v>631</v>
      </c>
      <c r="K156" s="77" t="s">
        <v>392</v>
      </c>
    </row>
    <row r="157" spans="1:11" x14ac:dyDescent="0.25">
      <c r="A157" s="77" t="s">
        <v>629</v>
      </c>
      <c r="B157" t="s">
        <v>682</v>
      </c>
      <c r="C157" t="s">
        <v>56</v>
      </c>
      <c r="D157" t="s">
        <v>39</v>
      </c>
      <c r="E157" t="s">
        <v>82</v>
      </c>
      <c r="F157" t="s">
        <v>407</v>
      </c>
      <c r="G157" t="s">
        <v>390</v>
      </c>
      <c r="H157" t="s">
        <v>670</v>
      </c>
      <c r="I157" t="s">
        <v>22</v>
      </c>
      <c r="J157" t="s">
        <v>631</v>
      </c>
      <c r="K157" s="77" t="s">
        <v>392</v>
      </c>
    </row>
    <row r="158" spans="1:11" x14ac:dyDescent="0.25">
      <c r="A158" s="77" t="s">
        <v>629</v>
      </c>
      <c r="B158" t="s">
        <v>682</v>
      </c>
      <c r="C158" t="s">
        <v>60</v>
      </c>
      <c r="D158" t="s">
        <v>41</v>
      </c>
      <c r="E158" t="s">
        <v>68</v>
      </c>
      <c r="F158" t="s">
        <v>69</v>
      </c>
      <c r="G158" t="s">
        <v>390</v>
      </c>
      <c r="H158" t="s">
        <v>670</v>
      </c>
      <c r="I158" t="s">
        <v>22</v>
      </c>
      <c r="J158" t="s">
        <v>631</v>
      </c>
      <c r="K158" s="77" t="s">
        <v>392</v>
      </c>
    </row>
    <row r="159" spans="1:11" x14ac:dyDescent="0.25">
      <c r="A159" s="77" t="s">
        <v>629</v>
      </c>
      <c r="B159" t="s">
        <v>682</v>
      </c>
      <c r="C159" t="s">
        <v>60</v>
      </c>
      <c r="D159" t="s">
        <v>41</v>
      </c>
      <c r="E159" t="s">
        <v>68</v>
      </c>
      <c r="F159" t="s">
        <v>164</v>
      </c>
      <c r="G159" t="s">
        <v>390</v>
      </c>
      <c r="H159" t="s">
        <v>670</v>
      </c>
      <c r="I159" t="s">
        <v>22</v>
      </c>
      <c r="J159" t="s">
        <v>631</v>
      </c>
      <c r="K159" s="77" t="s">
        <v>392</v>
      </c>
    </row>
    <row r="160" spans="1:11" x14ac:dyDescent="0.25">
      <c r="A160" s="77" t="s">
        <v>629</v>
      </c>
      <c r="B160" t="s">
        <v>682</v>
      </c>
      <c r="C160" t="s">
        <v>60</v>
      </c>
      <c r="D160" t="s">
        <v>41</v>
      </c>
      <c r="E160" t="s">
        <v>68</v>
      </c>
      <c r="F160" t="s">
        <v>165</v>
      </c>
      <c r="G160" t="s">
        <v>390</v>
      </c>
      <c r="H160" t="s">
        <v>670</v>
      </c>
      <c r="I160" t="s">
        <v>22</v>
      </c>
      <c r="J160" t="s">
        <v>631</v>
      </c>
      <c r="K160" s="77" t="s">
        <v>392</v>
      </c>
    </row>
    <row r="161" spans="1:11" x14ac:dyDescent="0.25">
      <c r="A161" s="77" t="s">
        <v>629</v>
      </c>
      <c r="B161" t="s">
        <v>682</v>
      </c>
      <c r="C161" t="s">
        <v>60</v>
      </c>
      <c r="D161" t="s">
        <v>41</v>
      </c>
      <c r="E161" t="s">
        <v>78</v>
      </c>
      <c r="F161" t="s">
        <v>405</v>
      </c>
      <c r="G161" t="s">
        <v>390</v>
      </c>
      <c r="H161" t="s">
        <v>670</v>
      </c>
      <c r="I161" t="s">
        <v>22</v>
      </c>
      <c r="J161" t="s">
        <v>631</v>
      </c>
      <c r="K161" s="77" t="s">
        <v>392</v>
      </c>
    </row>
    <row r="162" spans="1:11" x14ac:dyDescent="0.25">
      <c r="A162" s="77" t="s">
        <v>629</v>
      </c>
      <c r="B162" t="s">
        <v>682</v>
      </c>
      <c r="C162" t="s">
        <v>60</v>
      </c>
      <c r="D162" t="s">
        <v>41</v>
      </c>
      <c r="E162" t="s">
        <v>78</v>
      </c>
      <c r="F162" t="s">
        <v>212</v>
      </c>
      <c r="G162" t="s">
        <v>390</v>
      </c>
      <c r="H162" t="s">
        <v>670</v>
      </c>
      <c r="I162" t="s">
        <v>22</v>
      </c>
      <c r="J162" t="s">
        <v>631</v>
      </c>
      <c r="K162" s="77" t="s">
        <v>392</v>
      </c>
    </row>
    <row r="163" spans="1:11" x14ac:dyDescent="0.25">
      <c r="A163" s="77" t="s">
        <v>629</v>
      </c>
      <c r="B163" t="s">
        <v>682</v>
      </c>
      <c r="C163" t="s">
        <v>60</v>
      </c>
      <c r="D163" t="s">
        <v>41</v>
      </c>
      <c r="E163" t="s">
        <v>70</v>
      </c>
      <c r="F163" t="s">
        <v>71</v>
      </c>
      <c r="G163" t="s">
        <v>390</v>
      </c>
      <c r="H163" t="s">
        <v>670</v>
      </c>
      <c r="I163" t="s">
        <v>22</v>
      </c>
      <c r="J163" t="s">
        <v>631</v>
      </c>
      <c r="K163" s="77" t="s">
        <v>392</v>
      </c>
    </row>
    <row r="164" spans="1:11" x14ac:dyDescent="0.25">
      <c r="A164" s="77" t="s">
        <v>629</v>
      </c>
      <c r="B164" t="s">
        <v>682</v>
      </c>
      <c r="C164" t="s">
        <v>60</v>
      </c>
      <c r="D164" t="s">
        <v>41</v>
      </c>
      <c r="E164" t="s">
        <v>82</v>
      </c>
      <c r="F164" t="s">
        <v>171</v>
      </c>
      <c r="G164" t="s">
        <v>390</v>
      </c>
      <c r="H164" t="s">
        <v>670</v>
      </c>
      <c r="I164" t="s">
        <v>22</v>
      </c>
      <c r="J164" t="s">
        <v>631</v>
      </c>
      <c r="K164" s="77" t="s">
        <v>392</v>
      </c>
    </row>
    <row r="165" spans="1:11" x14ac:dyDescent="0.25">
      <c r="A165" s="77" t="s">
        <v>629</v>
      </c>
      <c r="B165" t="s">
        <v>682</v>
      </c>
      <c r="C165" t="s">
        <v>60</v>
      </c>
      <c r="D165" t="s">
        <v>41</v>
      </c>
      <c r="E165" t="s">
        <v>82</v>
      </c>
      <c r="F165" t="s">
        <v>255</v>
      </c>
      <c r="G165" t="s">
        <v>390</v>
      </c>
      <c r="H165" t="s">
        <v>670</v>
      </c>
      <c r="I165" t="s">
        <v>22</v>
      </c>
      <c r="J165" t="s">
        <v>631</v>
      </c>
      <c r="K165" s="77" t="s">
        <v>392</v>
      </c>
    </row>
    <row r="166" spans="1:11" x14ac:dyDescent="0.25">
      <c r="A166" s="77" t="s">
        <v>629</v>
      </c>
      <c r="B166" t="s">
        <v>682</v>
      </c>
      <c r="C166" t="s">
        <v>60</v>
      </c>
      <c r="D166" t="s">
        <v>41</v>
      </c>
      <c r="E166" t="s">
        <v>82</v>
      </c>
      <c r="F166" t="s">
        <v>83</v>
      </c>
      <c r="G166" t="s">
        <v>390</v>
      </c>
      <c r="H166" t="s">
        <v>670</v>
      </c>
      <c r="I166" t="s">
        <v>22</v>
      </c>
      <c r="J166" t="s">
        <v>631</v>
      </c>
      <c r="K166" s="77" t="s">
        <v>392</v>
      </c>
    </row>
    <row r="167" spans="1:11" x14ac:dyDescent="0.25">
      <c r="A167" s="77" t="s">
        <v>629</v>
      </c>
      <c r="B167" t="s">
        <v>684</v>
      </c>
      <c r="C167" t="s">
        <v>56</v>
      </c>
      <c r="D167" t="s">
        <v>39</v>
      </c>
      <c r="E167" t="s">
        <v>68</v>
      </c>
      <c r="F167" t="s">
        <v>69</v>
      </c>
      <c r="G167" t="s">
        <v>430</v>
      </c>
      <c r="H167" t="s">
        <v>670</v>
      </c>
      <c r="I167" t="s">
        <v>22</v>
      </c>
      <c r="J167" t="s">
        <v>631</v>
      </c>
      <c r="K167" s="77" t="s">
        <v>432</v>
      </c>
    </row>
    <row r="168" spans="1:11" x14ac:dyDescent="0.25">
      <c r="A168" s="77" t="s">
        <v>629</v>
      </c>
      <c r="B168" t="s">
        <v>684</v>
      </c>
      <c r="C168" t="s">
        <v>56</v>
      </c>
      <c r="D168" t="s">
        <v>39</v>
      </c>
      <c r="E168" t="s">
        <v>68</v>
      </c>
      <c r="F168" t="s">
        <v>163</v>
      </c>
      <c r="G168" t="s">
        <v>430</v>
      </c>
      <c r="H168" t="s">
        <v>670</v>
      </c>
      <c r="I168" t="s">
        <v>22</v>
      </c>
      <c r="J168" t="s">
        <v>631</v>
      </c>
      <c r="K168" s="77" t="s">
        <v>432</v>
      </c>
    </row>
    <row r="169" spans="1:11" x14ac:dyDescent="0.25">
      <c r="A169" s="77" t="s">
        <v>629</v>
      </c>
      <c r="B169" t="s">
        <v>684</v>
      </c>
      <c r="C169" t="s">
        <v>56</v>
      </c>
      <c r="D169" t="s">
        <v>43</v>
      </c>
      <c r="E169" t="s">
        <v>78</v>
      </c>
      <c r="F169" t="s">
        <v>212</v>
      </c>
      <c r="G169" t="s">
        <v>430</v>
      </c>
      <c r="H169" t="s">
        <v>670</v>
      </c>
      <c r="I169" t="s">
        <v>22</v>
      </c>
      <c r="J169" t="s">
        <v>631</v>
      </c>
      <c r="K169" s="77" t="s">
        <v>432</v>
      </c>
    </row>
    <row r="170" spans="1:11" x14ac:dyDescent="0.25">
      <c r="A170" s="77" t="s">
        <v>629</v>
      </c>
      <c r="B170" t="s">
        <v>684</v>
      </c>
      <c r="C170" t="s">
        <v>56</v>
      </c>
      <c r="D170" t="s">
        <v>39</v>
      </c>
      <c r="E170" t="s">
        <v>70</v>
      </c>
      <c r="F170" t="s">
        <v>71</v>
      </c>
      <c r="G170" t="s">
        <v>430</v>
      </c>
      <c r="H170" t="s">
        <v>670</v>
      </c>
      <c r="I170" t="s">
        <v>22</v>
      </c>
      <c r="J170" t="s">
        <v>631</v>
      </c>
      <c r="K170" s="77" t="s">
        <v>432</v>
      </c>
    </row>
    <row r="171" spans="1:11" x14ac:dyDescent="0.25">
      <c r="A171" s="77" t="s">
        <v>629</v>
      </c>
      <c r="B171" t="s">
        <v>684</v>
      </c>
      <c r="C171" t="s">
        <v>56</v>
      </c>
      <c r="D171" t="s">
        <v>39</v>
      </c>
      <c r="E171" t="s">
        <v>72</v>
      </c>
      <c r="F171" t="s">
        <v>167</v>
      </c>
      <c r="G171" t="s">
        <v>430</v>
      </c>
      <c r="H171" t="s">
        <v>670</v>
      </c>
      <c r="I171" t="s">
        <v>22</v>
      </c>
      <c r="J171" t="s">
        <v>631</v>
      </c>
      <c r="K171" s="77" t="s">
        <v>432</v>
      </c>
    </row>
    <row r="172" spans="1:11" x14ac:dyDescent="0.25">
      <c r="A172" s="77" t="s">
        <v>629</v>
      </c>
      <c r="B172" t="s">
        <v>684</v>
      </c>
      <c r="C172" t="s">
        <v>56</v>
      </c>
      <c r="D172" t="s">
        <v>39</v>
      </c>
      <c r="E172" t="s">
        <v>74</v>
      </c>
      <c r="F172" t="s">
        <v>310</v>
      </c>
      <c r="G172" t="s">
        <v>430</v>
      </c>
      <c r="H172" t="s">
        <v>670</v>
      </c>
      <c r="I172" t="s">
        <v>22</v>
      </c>
      <c r="J172" t="s">
        <v>631</v>
      </c>
      <c r="K172" s="77" t="s">
        <v>432</v>
      </c>
    </row>
    <row r="173" spans="1:11" x14ac:dyDescent="0.25">
      <c r="A173" s="77" t="s">
        <v>629</v>
      </c>
      <c r="B173" t="s">
        <v>684</v>
      </c>
      <c r="C173" t="s">
        <v>60</v>
      </c>
      <c r="D173" t="s">
        <v>41</v>
      </c>
      <c r="E173" t="s">
        <v>68</v>
      </c>
      <c r="F173" t="s">
        <v>69</v>
      </c>
      <c r="G173" t="s">
        <v>430</v>
      </c>
      <c r="H173" t="s">
        <v>670</v>
      </c>
      <c r="I173" t="s">
        <v>22</v>
      </c>
      <c r="J173" t="s">
        <v>631</v>
      </c>
      <c r="K173" s="77" t="s">
        <v>432</v>
      </c>
    </row>
    <row r="174" spans="1:11" x14ac:dyDescent="0.25">
      <c r="A174" s="77" t="s">
        <v>629</v>
      </c>
      <c r="B174" t="s">
        <v>684</v>
      </c>
      <c r="C174" t="s">
        <v>60</v>
      </c>
      <c r="D174" t="s">
        <v>41</v>
      </c>
      <c r="E174" t="s">
        <v>68</v>
      </c>
      <c r="F174" t="s">
        <v>163</v>
      </c>
      <c r="G174" t="s">
        <v>430</v>
      </c>
      <c r="H174" t="s">
        <v>670</v>
      </c>
      <c r="I174" t="s">
        <v>22</v>
      </c>
      <c r="J174" t="s">
        <v>631</v>
      </c>
      <c r="K174" s="77" t="s">
        <v>432</v>
      </c>
    </row>
    <row r="175" spans="1:11" x14ac:dyDescent="0.25">
      <c r="A175" s="77" t="s">
        <v>629</v>
      </c>
      <c r="B175" t="s">
        <v>684</v>
      </c>
      <c r="C175" t="s">
        <v>60</v>
      </c>
      <c r="D175" t="s">
        <v>41</v>
      </c>
      <c r="E175" t="s">
        <v>70</v>
      </c>
      <c r="F175" t="s">
        <v>71</v>
      </c>
      <c r="G175" t="s">
        <v>430</v>
      </c>
      <c r="H175" t="s">
        <v>670</v>
      </c>
      <c r="I175" t="s">
        <v>22</v>
      </c>
      <c r="J175" t="s">
        <v>631</v>
      </c>
      <c r="K175" s="77" t="s">
        <v>432</v>
      </c>
    </row>
    <row r="176" spans="1:11" x14ac:dyDescent="0.25">
      <c r="A176" s="77" t="s">
        <v>629</v>
      </c>
      <c r="B176" t="s">
        <v>684</v>
      </c>
      <c r="C176" t="s">
        <v>60</v>
      </c>
      <c r="D176" t="s">
        <v>41</v>
      </c>
      <c r="E176" t="s">
        <v>70</v>
      </c>
      <c r="F176" t="s">
        <v>312</v>
      </c>
      <c r="G176" t="s">
        <v>430</v>
      </c>
      <c r="H176" t="s">
        <v>670</v>
      </c>
      <c r="I176" t="s">
        <v>22</v>
      </c>
      <c r="J176" t="s">
        <v>631</v>
      </c>
      <c r="K176" s="77" t="s">
        <v>432</v>
      </c>
    </row>
    <row r="177" spans="1:11" x14ac:dyDescent="0.25">
      <c r="A177" s="77" t="s">
        <v>629</v>
      </c>
      <c r="B177" t="s">
        <v>684</v>
      </c>
      <c r="C177" t="s">
        <v>60</v>
      </c>
      <c r="D177" t="s">
        <v>43</v>
      </c>
      <c r="E177" t="s">
        <v>78</v>
      </c>
      <c r="F177" t="s">
        <v>212</v>
      </c>
      <c r="G177" t="s">
        <v>430</v>
      </c>
      <c r="H177" t="s">
        <v>670</v>
      </c>
      <c r="I177" t="s">
        <v>22</v>
      </c>
      <c r="J177" t="s">
        <v>631</v>
      </c>
      <c r="K177" s="77" t="s">
        <v>432</v>
      </c>
    </row>
    <row r="178" spans="1:11" x14ac:dyDescent="0.25">
      <c r="A178" s="77" t="s">
        <v>629</v>
      </c>
      <c r="B178" t="s">
        <v>683</v>
      </c>
      <c r="C178" t="s">
        <v>56</v>
      </c>
      <c r="D178" t="s">
        <v>41</v>
      </c>
      <c r="E178" t="s">
        <v>68</v>
      </c>
      <c r="F178" t="s">
        <v>164</v>
      </c>
      <c r="G178" t="s">
        <v>465</v>
      </c>
      <c r="H178" t="s">
        <v>670</v>
      </c>
      <c r="I178" t="s">
        <v>22</v>
      </c>
      <c r="J178" t="s">
        <v>631</v>
      </c>
      <c r="K178" s="77" t="s">
        <v>466</v>
      </c>
    </row>
    <row r="179" spans="1:11" x14ac:dyDescent="0.25">
      <c r="A179" s="77" t="s">
        <v>629</v>
      </c>
      <c r="B179" t="s">
        <v>683</v>
      </c>
      <c r="C179" t="s">
        <v>56</v>
      </c>
      <c r="D179" t="s">
        <v>39</v>
      </c>
      <c r="E179" t="s">
        <v>72</v>
      </c>
      <c r="F179" t="s">
        <v>73</v>
      </c>
      <c r="G179" t="s">
        <v>465</v>
      </c>
      <c r="H179" t="s">
        <v>670</v>
      </c>
      <c r="I179" t="s">
        <v>22</v>
      </c>
      <c r="J179" t="s">
        <v>631</v>
      </c>
      <c r="K179" s="77" t="s">
        <v>466</v>
      </c>
    </row>
    <row r="180" spans="1:11" x14ac:dyDescent="0.25">
      <c r="A180" s="77" t="s">
        <v>629</v>
      </c>
      <c r="B180" t="s">
        <v>683</v>
      </c>
      <c r="C180" t="s">
        <v>56</v>
      </c>
      <c r="D180" t="s">
        <v>43</v>
      </c>
      <c r="E180" t="s">
        <v>86</v>
      </c>
      <c r="F180" t="s">
        <v>87</v>
      </c>
      <c r="G180" t="s">
        <v>465</v>
      </c>
      <c r="H180" t="s">
        <v>670</v>
      </c>
      <c r="I180" t="s">
        <v>22</v>
      </c>
      <c r="J180" t="s">
        <v>631</v>
      </c>
      <c r="K180" s="77" t="s">
        <v>466</v>
      </c>
    </row>
    <row r="181" spans="1:11" x14ac:dyDescent="0.25">
      <c r="A181" s="77" t="s">
        <v>629</v>
      </c>
      <c r="B181" t="s">
        <v>683</v>
      </c>
      <c r="C181" t="s">
        <v>56</v>
      </c>
      <c r="D181" t="s">
        <v>39</v>
      </c>
      <c r="E181" t="s">
        <v>76</v>
      </c>
      <c r="F181" t="s">
        <v>479</v>
      </c>
      <c r="G181" t="s">
        <v>465</v>
      </c>
      <c r="H181" t="s">
        <v>670</v>
      </c>
      <c r="I181" t="s">
        <v>22</v>
      </c>
      <c r="J181" t="s">
        <v>631</v>
      </c>
      <c r="K181" s="77" t="s">
        <v>466</v>
      </c>
    </row>
    <row r="182" spans="1:11" x14ac:dyDescent="0.25">
      <c r="A182" s="77" t="s">
        <v>629</v>
      </c>
      <c r="B182" t="s">
        <v>683</v>
      </c>
      <c r="C182" t="s">
        <v>56</v>
      </c>
      <c r="D182" t="s">
        <v>39</v>
      </c>
      <c r="E182" t="s">
        <v>80</v>
      </c>
      <c r="F182" t="s">
        <v>480</v>
      </c>
      <c r="G182" t="s">
        <v>465</v>
      </c>
      <c r="H182" t="s">
        <v>670</v>
      </c>
      <c r="I182" t="s">
        <v>22</v>
      </c>
      <c r="J182" t="s">
        <v>631</v>
      </c>
      <c r="K182" s="77" t="s">
        <v>466</v>
      </c>
    </row>
    <row r="183" spans="1:11" x14ac:dyDescent="0.25">
      <c r="A183" s="77" t="s">
        <v>629</v>
      </c>
      <c r="B183" t="s">
        <v>683</v>
      </c>
      <c r="C183" t="s">
        <v>56</v>
      </c>
      <c r="D183" t="s">
        <v>39</v>
      </c>
      <c r="E183" t="s">
        <v>80</v>
      </c>
      <c r="F183" t="s">
        <v>81</v>
      </c>
      <c r="G183" t="s">
        <v>465</v>
      </c>
      <c r="H183" t="s">
        <v>670</v>
      </c>
      <c r="I183" t="s">
        <v>22</v>
      </c>
      <c r="J183" t="s">
        <v>631</v>
      </c>
      <c r="K183" s="77" t="s">
        <v>466</v>
      </c>
    </row>
    <row r="184" spans="1:11" x14ac:dyDescent="0.25">
      <c r="A184" s="77" t="s">
        <v>629</v>
      </c>
      <c r="B184" t="s">
        <v>683</v>
      </c>
      <c r="C184" t="s">
        <v>56</v>
      </c>
      <c r="D184" t="s">
        <v>39</v>
      </c>
      <c r="E184" t="s">
        <v>80</v>
      </c>
      <c r="F184" t="s">
        <v>481</v>
      </c>
      <c r="G184" t="s">
        <v>465</v>
      </c>
      <c r="H184" t="s">
        <v>670</v>
      </c>
      <c r="I184" t="s">
        <v>22</v>
      </c>
      <c r="J184" t="s">
        <v>631</v>
      </c>
      <c r="K184" s="77" t="s">
        <v>466</v>
      </c>
    </row>
    <row r="185" spans="1:11" x14ac:dyDescent="0.25">
      <c r="A185" s="77" t="s">
        <v>629</v>
      </c>
      <c r="B185" t="s">
        <v>683</v>
      </c>
      <c r="C185" t="s">
        <v>56</v>
      </c>
      <c r="D185" t="s">
        <v>39</v>
      </c>
      <c r="E185" t="s">
        <v>80</v>
      </c>
      <c r="F185" t="s">
        <v>170</v>
      </c>
      <c r="G185" t="s">
        <v>465</v>
      </c>
      <c r="H185" t="s">
        <v>670</v>
      </c>
      <c r="I185" t="s">
        <v>22</v>
      </c>
      <c r="J185" t="s">
        <v>631</v>
      </c>
      <c r="K185" s="77" t="s">
        <v>466</v>
      </c>
    </row>
    <row r="186" spans="1:11" x14ac:dyDescent="0.25">
      <c r="A186" s="77" t="s">
        <v>629</v>
      </c>
      <c r="B186" t="s">
        <v>683</v>
      </c>
      <c r="C186" t="s">
        <v>56</v>
      </c>
      <c r="D186" t="s">
        <v>39</v>
      </c>
      <c r="E186" t="s">
        <v>76</v>
      </c>
      <c r="F186" t="s">
        <v>482</v>
      </c>
      <c r="G186" t="s">
        <v>465</v>
      </c>
      <c r="H186" t="s">
        <v>670</v>
      </c>
      <c r="I186" t="s">
        <v>22</v>
      </c>
      <c r="J186" t="s">
        <v>631</v>
      </c>
      <c r="K186" s="77" t="s">
        <v>466</v>
      </c>
    </row>
    <row r="187" spans="1:11" x14ac:dyDescent="0.25">
      <c r="A187" s="77" t="s">
        <v>629</v>
      </c>
      <c r="B187" t="s">
        <v>683</v>
      </c>
      <c r="C187" t="s">
        <v>56</v>
      </c>
      <c r="D187" t="s">
        <v>39</v>
      </c>
      <c r="E187" t="s">
        <v>76</v>
      </c>
      <c r="F187" t="s">
        <v>483</v>
      </c>
      <c r="G187" t="s">
        <v>465</v>
      </c>
      <c r="H187" t="s">
        <v>670</v>
      </c>
      <c r="I187" t="s">
        <v>22</v>
      </c>
      <c r="J187" t="s">
        <v>631</v>
      </c>
      <c r="K187" s="77" t="s">
        <v>466</v>
      </c>
    </row>
    <row r="188" spans="1:11" x14ac:dyDescent="0.25">
      <c r="A188" s="77" t="s">
        <v>629</v>
      </c>
      <c r="B188" t="s">
        <v>683</v>
      </c>
      <c r="C188" t="s">
        <v>60</v>
      </c>
      <c r="D188" t="s">
        <v>41</v>
      </c>
      <c r="E188" t="s">
        <v>74</v>
      </c>
      <c r="F188" t="s">
        <v>210</v>
      </c>
      <c r="G188" t="s">
        <v>465</v>
      </c>
      <c r="H188" t="s">
        <v>670</v>
      </c>
      <c r="I188" t="s">
        <v>22</v>
      </c>
      <c r="J188" t="s">
        <v>631</v>
      </c>
      <c r="K188" s="77" t="s">
        <v>466</v>
      </c>
    </row>
    <row r="189" spans="1:11" x14ac:dyDescent="0.25">
      <c r="A189" s="77" t="s">
        <v>629</v>
      </c>
      <c r="B189" t="s">
        <v>683</v>
      </c>
      <c r="C189" t="s">
        <v>60</v>
      </c>
      <c r="D189" t="s">
        <v>41</v>
      </c>
      <c r="E189" t="s">
        <v>78</v>
      </c>
      <c r="F189" t="s">
        <v>212</v>
      </c>
      <c r="G189" t="s">
        <v>465</v>
      </c>
      <c r="H189" t="s">
        <v>670</v>
      </c>
      <c r="I189" t="s">
        <v>22</v>
      </c>
      <c r="J189" t="s">
        <v>631</v>
      </c>
      <c r="K189" s="77" t="s">
        <v>466</v>
      </c>
    </row>
    <row r="190" spans="1:11" x14ac:dyDescent="0.25">
      <c r="A190" s="77" t="s">
        <v>629</v>
      </c>
      <c r="B190" t="s">
        <v>683</v>
      </c>
      <c r="C190" t="s">
        <v>60</v>
      </c>
      <c r="D190" t="s">
        <v>43</v>
      </c>
      <c r="E190" t="s">
        <v>84</v>
      </c>
      <c r="F190" t="s">
        <v>85</v>
      </c>
      <c r="G190" t="s">
        <v>465</v>
      </c>
      <c r="H190" t="s">
        <v>670</v>
      </c>
      <c r="I190" t="s">
        <v>22</v>
      </c>
      <c r="J190" t="s">
        <v>631</v>
      </c>
      <c r="K190" s="77" t="s">
        <v>466</v>
      </c>
    </row>
    <row r="191" spans="1:11" x14ac:dyDescent="0.25">
      <c r="A191" s="77" t="s">
        <v>629</v>
      </c>
      <c r="B191" t="s">
        <v>683</v>
      </c>
      <c r="C191" t="s">
        <v>60</v>
      </c>
      <c r="D191" t="s">
        <v>41</v>
      </c>
      <c r="E191" t="s">
        <v>82</v>
      </c>
      <c r="F191" t="s">
        <v>83</v>
      </c>
      <c r="G191" t="s">
        <v>465</v>
      </c>
      <c r="H191" t="s">
        <v>670</v>
      </c>
      <c r="I191" t="s">
        <v>22</v>
      </c>
      <c r="J191" t="s">
        <v>631</v>
      </c>
      <c r="K191" s="77" t="s">
        <v>466</v>
      </c>
    </row>
    <row r="192" spans="1:11" x14ac:dyDescent="0.25">
      <c r="A192" s="77" t="s">
        <v>629</v>
      </c>
      <c r="B192" t="s">
        <v>683</v>
      </c>
      <c r="C192" t="s">
        <v>60</v>
      </c>
      <c r="D192" t="s">
        <v>39</v>
      </c>
      <c r="E192" t="s">
        <v>80</v>
      </c>
      <c r="F192" t="s">
        <v>81</v>
      </c>
      <c r="G192" t="s">
        <v>465</v>
      </c>
      <c r="H192" t="s">
        <v>670</v>
      </c>
      <c r="I192" t="s">
        <v>22</v>
      </c>
      <c r="J192" t="s">
        <v>631</v>
      </c>
      <c r="K192" s="77" t="s">
        <v>466</v>
      </c>
    </row>
    <row r="193" spans="1:11" x14ac:dyDescent="0.25">
      <c r="A193" s="77" t="s">
        <v>629</v>
      </c>
      <c r="B193" t="s">
        <v>683</v>
      </c>
      <c r="C193" t="s">
        <v>60</v>
      </c>
      <c r="D193" t="s">
        <v>43</v>
      </c>
      <c r="E193" t="s">
        <v>76</v>
      </c>
      <c r="F193" t="s">
        <v>77</v>
      </c>
      <c r="G193" t="s">
        <v>465</v>
      </c>
      <c r="H193" t="s">
        <v>670</v>
      </c>
      <c r="I193" t="s">
        <v>22</v>
      </c>
      <c r="J193" t="s">
        <v>631</v>
      </c>
      <c r="K193" s="77" t="s">
        <v>466</v>
      </c>
    </row>
    <row r="194" spans="1:11" x14ac:dyDescent="0.25">
      <c r="A194" s="77" t="s">
        <v>629</v>
      </c>
      <c r="B194" t="s">
        <v>683</v>
      </c>
      <c r="C194" t="s">
        <v>60</v>
      </c>
      <c r="D194" t="s">
        <v>43</v>
      </c>
      <c r="E194" t="s">
        <v>76</v>
      </c>
      <c r="F194" t="s">
        <v>479</v>
      </c>
      <c r="G194" t="s">
        <v>465</v>
      </c>
      <c r="H194" t="s">
        <v>670</v>
      </c>
      <c r="I194" t="s">
        <v>22</v>
      </c>
      <c r="J194" t="s">
        <v>631</v>
      </c>
      <c r="K194" s="77" t="s">
        <v>466</v>
      </c>
    </row>
    <row r="195" spans="1:11" x14ac:dyDescent="0.25">
      <c r="A195" s="77" t="s">
        <v>629</v>
      </c>
      <c r="B195" t="s">
        <v>683</v>
      </c>
      <c r="C195" t="s">
        <v>60</v>
      </c>
      <c r="D195" t="s">
        <v>43</v>
      </c>
      <c r="E195" t="s">
        <v>80</v>
      </c>
      <c r="F195" t="s">
        <v>480</v>
      </c>
      <c r="G195" t="s">
        <v>465</v>
      </c>
      <c r="H195" t="s">
        <v>670</v>
      </c>
      <c r="I195" t="s">
        <v>22</v>
      </c>
      <c r="J195" t="s">
        <v>631</v>
      </c>
      <c r="K195" s="77" t="s">
        <v>466</v>
      </c>
    </row>
    <row r="196" spans="1:11" x14ac:dyDescent="0.25">
      <c r="A196" s="77" t="s">
        <v>629</v>
      </c>
      <c r="B196" t="s">
        <v>683</v>
      </c>
      <c r="C196" t="s">
        <v>60</v>
      </c>
      <c r="D196" t="s">
        <v>43</v>
      </c>
      <c r="E196" t="s">
        <v>80</v>
      </c>
      <c r="F196" t="s">
        <v>484</v>
      </c>
      <c r="G196" t="s">
        <v>465</v>
      </c>
      <c r="H196" t="s">
        <v>670</v>
      </c>
      <c r="I196" t="s">
        <v>22</v>
      </c>
      <c r="J196" t="s">
        <v>631</v>
      </c>
      <c r="K196" s="77" t="s">
        <v>466</v>
      </c>
    </row>
    <row r="197" spans="1:11" x14ac:dyDescent="0.25">
      <c r="A197" s="77" t="s">
        <v>629</v>
      </c>
      <c r="B197" t="s">
        <v>683</v>
      </c>
      <c r="C197" t="s">
        <v>60</v>
      </c>
      <c r="D197" t="s">
        <v>43</v>
      </c>
      <c r="E197" t="s">
        <v>80</v>
      </c>
      <c r="F197" t="s">
        <v>485</v>
      </c>
      <c r="G197" t="s">
        <v>465</v>
      </c>
      <c r="H197" t="s">
        <v>670</v>
      </c>
      <c r="I197" t="s">
        <v>22</v>
      </c>
      <c r="J197" t="s">
        <v>631</v>
      </c>
      <c r="K197" s="77" t="s">
        <v>466</v>
      </c>
    </row>
    <row r="198" spans="1:11" x14ac:dyDescent="0.25">
      <c r="A198" s="77" t="s">
        <v>629</v>
      </c>
      <c r="B198" t="s">
        <v>683</v>
      </c>
      <c r="D198" t="s">
        <v>43</v>
      </c>
      <c r="E198" t="s">
        <v>84</v>
      </c>
      <c r="F198" t="s">
        <v>85</v>
      </c>
      <c r="G198" t="s">
        <v>465</v>
      </c>
      <c r="H198" t="s">
        <v>670</v>
      </c>
      <c r="I198" t="s">
        <v>22</v>
      </c>
      <c r="J198" t="s">
        <v>631</v>
      </c>
      <c r="K198" s="77" t="s">
        <v>466</v>
      </c>
    </row>
    <row r="199" spans="1:11" x14ac:dyDescent="0.25">
      <c r="A199" s="77" t="s">
        <v>629</v>
      </c>
      <c r="B199" t="s">
        <v>685</v>
      </c>
      <c r="C199" t="s">
        <v>56</v>
      </c>
      <c r="D199" t="s">
        <v>39</v>
      </c>
      <c r="E199" t="s">
        <v>68</v>
      </c>
      <c r="F199" t="s">
        <v>69</v>
      </c>
      <c r="G199" t="s">
        <v>512</v>
      </c>
      <c r="H199" t="s">
        <v>670</v>
      </c>
      <c r="I199" t="s">
        <v>22</v>
      </c>
      <c r="J199" t="s">
        <v>631</v>
      </c>
      <c r="K199" s="77" t="s">
        <v>513</v>
      </c>
    </row>
    <row r="200" spans="1:11" x14ac:dyDescent="0.25">
      <c r="A200" s="77" t="s">
        <v>629</v>
      </c>
      <c r="B200" t="s">
        <v>685</v>
      </c>
      <c r="C200" t="s">
        <v>56</v>
      </c>
      <c r="D200" t="s">
        <v>39</v>
      </c>
      <c r="E200" t="s">
        <v>70</v>
      </c>
      <c r="F200" t="s">
        <v>525</v>
      </c>
      <c r="G200" t="s">
        <v>512</v>
      </c>
      <c r="H200" t="s">
        <v>670</v>
      </c>
      <c r="I200" t="s">
        <v>22</v>
      </c>
      <c r="J200" t="s">
        <v>631</v>
      </c>
      <c r="K200" s="77" t="s">
        <v>513</v>
      </c>
    </row>
    <row r="201" spans="1:11" x14ac:dyDescent="0.25">
      <c r="A201" s="77" t="s">
        <v>629</v>
      </c>
      <c r="B201" t="s">
        <v>685</v>
      </c>
      <c r="C201" t="s">
        <v>56</v>
      </c>
      <c r="D201" t="s">
        <v>39</v>
      </c>
      <c r="E201" t="s">
        <v>72</v>
      </c>
      <c r="F201" t="s">
        <v>131</v>
      </c>
      <c r="G201" t="s">
        <v>512</v>
      </c>
      <c r="H201" t="s">
        <v>670</v>
      </c>
      <c r="I201" t="s">
        <v>22</v>
      </c>
      <c r="J201" t="s">
        <v>631</v>
      </c>
      <c r="K201" s="77" t="s">
        <v>513</v>
      </c>
    </row>
    <row r="202" spans="1:11" x14ac:dyDescent="0.25">
      <c r="A202" s="77" t="s">
        <v>629</v>
      </c>
      <c r="B202" t="s">
        <v>685</v>
      </c>
      <c r="C202" t="s">
        <v>56</v>
      </c>
      <c r="D202" t="s">
        <v>39</v>
      </c>
      <c r="E202" t="s">
        <v>70</v>
      </c>
      <c r="F202" t="s">
        <v>344</v>
      </c>
      <c r="G202" t="s">
        <v>512</v>
      </c>
      <c r="H202" t="s">
        <v>670</v>
      </c>
      <c r="I202" t="s">
        <v>22</v>
      </c>
      <c r="J202" t="s">
        <v>631</v>
      </c>
      <c r="K202" s="77" t="s">
        <v>513</v>
      </c>
    </row>
    <row r="203" spans="1:11" x14ac:dyDescent="0.25">
      <c r="A203" s="77" t="s">
        <v>629</v>
      </c>
      <c r="B203" t="s">
        <v>685</v>
      </c>
      <c r="C203" t="s">
        <v>56</v>
      </c>
      <c r="D203" t="s">
        <v>39</v>
      </c>
      <c r="E203" t="s">
        <v>68</v>
      </c>
      <c r="F203" t="s">
        <v>163</v>
      </c>
      <c r="G203" t="s">
        <v>512</v>
      </c>
      <c r="H203" t="s">
        <v>670</v>
      </c>
      <c r="I203" t="s">
        <v>22</v>
      </c>
      <c r="J203" t="s">
        <v>631</v>
      </c>
      <c r="K203" s="77" t="s">
        <v>513</v>
      </c>
    </row>
    <row r="204" spans="1:11" x14ac:dyDescent="0.25">
      <c r="A204" s="77" t="s">
        <v>629</v>
      </c>
      <c r="B204" t="s">
        <v>685</v>
      </c>
      <c r="C204" t="s">
        <v>56</v>
      </c>
      <c r="D204" t="s">
        <v>39</v>
      </c>
      <c r="E204" t="s">
        <v>68</v>
      </c>
      <c r="F204" t="s">
        <v>130</v>
      </c>
      <c r="G204" t="s">
        <v>512</v>
      </c>
      <c r="H204" t="s">
        <v>670</v>
      </c>
      <c r="I204" t="s">
        <v>22</v>
      </c>
      <c r="J204" t="s">
        <v>631</v>
      </c>
      <c r="K204" s="77" t="s">
        <v>513</v>
      </c>
    </row>
    <row r="205" spans="1:11" x14ac:dyDescent="0.25">
      <c r="A205" s="77" t="s">
        <v>629</v>
      </c>
      <c r="B205" t="s">
        <v>685</v>
      </c>
      <c r="C205" t="s">
        <v>56</v>
      </c>
      <c r="D205" t="s">
        <v>39</v>
      </c>
      <c r="E205" t="s">
        <v>68</v>
      </c>
      <c r="F205" t="s">
        <v>165</v>
      </c>
      <c r="G205" t="s">
        <v>512</v>
      </c>
      <c r="H205" t="s">
        <v>670</v>
      </c>
      <c r="I205" t="s">
        <v>22</v>
      </c>
      <c r="J205" t="s">
        <v>631</v>
      </c>
      <c r="K205" s="77" t="s">
        <v>513</v>
      </c>
    </row>
    <row r="206" spans="1:11" x14ac:dyDescent="0.25">
      <c r="A206" s="77" t="s">
        <v>629</v>
      </c>
      <c r="B206" t="s">
        <v>685</v>
      </c>
      <c r="C206" t="s">
        <v>56</v>
      </c>
      <c r="D206" t="s">
        <v>39</v>
      </c>
      <c r="E206" t="s">
        <v>78</v>
      </c>
      <c r="F206" t="s">
        <v>212</v>
      </c>
      <c r="G206" t="s">
        <v>512</v>
      </c>
      <c r="H206" t="s">
        <v>670</v>
      </c>
      <c r="I206" t="s">
        <v>22</v>
      </c>
      <c r="J206" t="s">
        <v>631</v>
      </c>
      <c r="K206" s="77" t="s">
        <v>513</v>
      </c>
    </row>
    <row r="207" spans="1:11" x14ac:dyDescent="0.25">
      <c r="A207" s="77" t="s">
        <v>629</v>
      </c>
      <c r="B207" t="s">
        <v>685</v>
      </c>
      <c r="C207" t="s">
        <v>56</v>
      </c>
      <c r="D207" t="s">
        <v>39</v>
      </c>
      <c r="E207" t="s">
        <v>82</v>
      </c>
      <c r="F207" t="s">
        <v>171</v>
      </c>
      <c r="G207" t="s">
        <v>512</v>
      </c>
      <c r="H207" t="s">
        <v>670</v>
      </c>
      <c r="I207" t="s">
        <v>22</v>
      </c>
      <c r="J207" t="s">
        <v>631</v>
      </c>
      <c r="K207" s="77" t="s">
        <v>513</v>
      </c>
    </row>
    <row r="208" spans="1:11" x14ac:dyDescent="0.25">
      <c r="A208" s="77" t="s">
        <v>629</v>
      </c>
      <c r="B208" t="s">
        <v>685</v>
      </c>
      <c r="C208" t="s">
        <v>56</v>
      </c>
      <c r="D208" t="s">
        <v>39</v>
      </c>
      <c r="E208" t="s">
        <v>82</v>
      </c>
      <c r="F208" t="s">
        <v>255</v>
      </c>
      <c r="G208" t="s">
        <v>512</v>
      </c>
      <c r="H208" t="s">
        <v>670</v>
      </c>
      <c r="I208" t="s">
        <v>22</v>
      </c>
      <c r="J208" t="s">
        <v>631</v>
      </c>
      <c r="K208" s="77" t="s">
        <v>513</v>
      </c>
    </row>
    <row r="209" spans="1:11" x14ac:dyDescent="0.25">
      <c r="A209" s="77" t="s">
        <v>629</v>
      </c>
      <c r="B209" t="s">
        <v>685</v>
      </c>
      <c r="C209" t="s">
        <v>56</v>
      </c>
      <c r="D209" t="s">
        <v>39</v>
      </c>
      <c r="E209" t="s">
        <v>82</v>
      </c>
      <c r="F209" t="s">
        <v>83</v>
      </c>
      <c r="G209" t="s">
        <v>512</v>
      </c>
      <c r="H209" t="s">
        <v>670</v>
      </c>
      <c r="I209" t="s">
        <v>22</v>
      </c>
      <c r="J209" t="s">
        <v>631</v>
      </c>
      <c r="K209" s="77" t="s">
        <v>513</v>
      </c>
    </row>
    <row r="210" spans="1:11" x14ac:dyDescent="0.25">
      <c r="A210" s="77" t="s">
        <v>629</v>
      </c>
      <c r="B210" t="s">
        <v>685</v>
      </c>
      <c r="C210" t="s">
        <v>60</v>
      </c>
      <c r="D210" t="s">
        <v>41</v>
      </c>
      <c r="E210" t="s">
        <v>68</v>
      </c>
      <c r="F210" t="s">
        <v>69</v>
      </c>
      <c r="G210" t="s">
        <v>512</v>
      </c>
      <c r="H210" t="s">
        <v>670</v>
      </c>
      <c r="I210" t="s">
        <v>22</v>
      </c>
      <c r="J210" t="s">
        <v>631</v>
      </c>
      <c r="K210" s="77" t="s">
        <v>513</v>
      </c>
    </row>
    <row r="211" spans="1:11" x14ac:dyDescent="0.25">
      <c r="A211" s="77" t="s">
        <v>629</v>
      </c>
      <c r="B211" t="s">
        <v>685</v>
      </c>
      <c r="C211" t="s">
        <v>60</v>
      </c>
      <c r="D211" t="s">
        <v>41</v>
      </c>
      <c r="E211" t="s">
        <v>68</v>
      </c>
      <c r="F211" t="s">
        <v>164</v>
      </c>
      <c r="G211" t="s">
        <v>512</v>
      </c>
      <c r="H211" t="s">
        <v>670</v>
      </c>
      <c r="I211" t="s">
        <v>22</v>
      </c>
      <c r="J211" t="s">
        <v>631</v>
      </c>
      <c r="K211" s="77" t="s">
        <v>513</v>
      </c>
    </row>
    <row r="212" spans="1:11" x14ac:dyDescent="0.25">
      <c r="A212" s="77" t="s">
        <v>629</v>
      </c>
      <c r="B212" t="s">
        <v>685</v>
      </c>
      <c r="C212" t="s">
        <v>60</v>
      </c>
      <c r="D212" t="s">
        <v>41</v>
      </c>
      <c r="E212" t="s">
        <v>70</v>
      </c>
      <c r="F212" t="s">
        <v>525</v>
      </c>
      <c r="G212" t="s">
        <v>512</v>
      </c>
      <c r="H212" t="s">
        <v>670</v>
      </c>
      <c r="I212" t="s">
        <v>22</v>
      </c>
      <c r="J212" t="s">
        <v>631</v>
      </c>
      <c r="K212" s="77" t="s">
        <v>513</v>
      </c>
    </row>
    <row r="213" spans="1:11" x14ac:dyDescent="0.25">
      <c r="A213" s="77" t="s">
        <v>629</v>
      </c>
      <c r="B213" t="s">
        <v>685</v>
      </c>
      <c r="C213" t="s">
        <v>60</v>
      </c>
      <c r="D213" t="s">
        <v>41</v>
      </c>
      <c r="E213" t="s">
        <v>72</v>
      </c>
      <c r="F213" t="s">
        <v>131</v>
      </c>
      <c r="G213" t="s">
        <v>512</v>
      </c>
      <c r="H213" t="s">
        <v>670</v>
      </c>
      <c r="I213" t="s">
        <v>22</v>
      </c>
      <c r="J213" t="s">
        <v>631</v>
      </c>
      <c r="K213" s="77" t="s">
        <v>513</v>
      </c>
    </row>
    <row r="214" spans="1:11" x14ac:dyDescent="0.25">
      <c r="A214" s="77" t="s">
        <v>629</v>
      </c>
      <c r="B214" t="s">
        <v>685</v>
      </c>
      <c r="C214" t="s">
        <v>60</v>
      </c>
      <c r="D214" t="s">
        <v>41</v>
      </c>
      <c r="E214" t="s">
        <v>82</v>
      </c>
      <c r="F214" t="s">
        <v>83</v>
      </c>
      <c r="G214" t="s">
        <v>512</v>
      </c>
      <c r="H214" t="s">
        <v>670</v>
      </c>
      <c r="I214" t="s">
        <v>22</v>
      </c>
      <c r="J214" t="s">
        <v>631</v>
      </c>
      <c r="K214" s="77" t="s">
        <v>513</v>
      </c>
    </row>
    <row r="215" spans="1:11" x14ac:dyDescent="0.25">
      <c r="A215" s="77" t="s">
        <v>629</v>
      </c>
      <c r="B215" t="s">
        <v>685</v>
      </c>
      <c r="C215" t="s">
        <v>60</v>
      </c>
      <c r="D215" t="s">
        <v>41</v>
      </c>
      <c r="E215" t="s">
        <v>86</v>
      </c>
      <c r="F215" t="s">
        <v>168</v>
      </c>
      <c r="G215" t="s">
        <v>512</v>
      </c>
      <c r="H215" t="s">
        <v>670</v>
      </c>
      <c r="I215" t="s">
        <v>22</v>
      </c>
      <c r="J215" t="s">
        <v>631</v>
      </c>
      <c r="K215" s="77" t="s">
        <v>513</v>
      </c>
    </row>
    <row r="216" spans="1:11" x14ac:dyDescent="0.25">
      <c r="A216" s="77" t="s">
        <v>629</v>
      </c>
      <c r="B216" t="s">
        <v>686</v>
      </c>
      <c r="C216" t="s">
        <v>56</v>
      </c>
      <c r="D216" t="s">
        <v>39</v>
      </c>
      <c r="E216" t="s">
        <v>78</v>
      </c>
      <c r="F216" t="s">
        <v>212</v>
      </c>
      <c r="G216" t="s">
        <v>538</v>
      </c>
      <c r="H216" t="s">
        <v>670</v>
      </c>
      <c r="I216" t="s">
        <v>22</v>
      </c>
      <c r="J216" t="s">
        <v>631</v>
      </c>
      <c r="K216" s="77" t="s">
        <v>603</v>
      </c>
    </row>
    <row r="217" spans="1:11" x14ac:dyDescent="0.25">
      <c r="A217" s="77" t="s">
        <v>629</v>
      </c>
      <c r="B217" t="s">
        <v>686</v>
      </c>
      <c r="C217" t="s">
        <v>56</v>
      </c>
      <c r="D217" t="s">
        <v>39</v>
      </c>
      <c r="E217" t="s">
        <v>86</v>
      </c>
      <c r="F217" t="s">
        <v>554</v>
      </c>
      <c r="G217" t="s">
        <v>538</v>
      </c>
      <c r="H217" t="s">
        <v>670</v>
      </c>
      <c r="I217" t="s">
        <v>22</v>
      </c>
      <c r="J217" t="s">
        <v>631</v>
      </c>
      <c r="K217" s="77" t="s">
        <v>603</v>
      </c>
    </row>
    <row r="218" spans="1:11" x14ac:dyDescent="0.25">
      <c r="A218" s="77" t="s">
        <v>629</v>
      </c>
      <c r="B218" t="s">
        <v>686</v>
      </c>
      <c r="C218" t="s">
        <v>56</v>
      </c>
      <c r="D218" t="s">
        <v>39</v>
      </c>
      <c r="E218" t="s">
        <v>76</v>
      </c>
      <c r="F218" t="s">
        <v>483</v>
      </c>
      <c r="G218" t="s">
        <v>538</v>
      </c>
      <c r="H218" t="s">
        <v>670</v>
      </c>
      <c r="I218" t="s">
        <v>22</v>
      </c>
      <c r="J218" t="s">
        <v>631</v>
      </c>
      <c r="K218" s="77" t="s">
        <v>603</v>
      </c>
    </row>
    <row r="219" spans="1:11" x14ac:dyDescent="0.25">
      <c r="A219" s="77" t="s">
        <v>629</v>
      </c>
      <c r="B219" t="s">
        <v>686</v>
      </c>
      <c r="C219" t="s">
        <v>56</v>
      </c>
      <c r="D219" t="s">
        <v>39</v>
      </c>
      <c r="E219" t="s">
        <v>76</v>
      </c>
      <c r="F219" t="s">
        <v>555</v>
      </c>
      <c r="G219" t="s">
        <v>538</v>
      </c>
      <c r="H219" t="s">
        <v>670</v>
      </c>
      <c r="I219" t="s">
        <v>22</v>
      </c>
      <c r="J219" t="s">
        <v>631</v>
      </c>
      <c r="K219" s="77" t="s">
        <v>603</v>
      </c>
    </row>
    <row r="220" spans="1:11" x14ac:dyDescent="0.25">
      <c r="A220" s="77" t="s">
        <v>629</v>
      </c>
      <c r="B220" t="s">
        <v>686</v>
      </c>
      <c r="C220" t="s">
        <v>56</v>
      </c>
      <c r="D220" t="s">
        <v>39</v>
      </c>
      <c r="E220" t="s">
        <v>80</v>
      </c>
      <c r="F220" t="s">
        <v>170</v>
      </c>
      <c r="G220" t="s">
        <v>538</v>
      </c>
      <c r="H220" t="s">
        <v>670</v>
      </c>
      <c r="I220" t="s">
        <v>22</v>
      </c>
      <c r="J220" t="s">
        <v>631</v>
      </c>
      <c r="K220" s="77" t="s">
        <v>603</v>
      </c>
    </row>
    <row r="221" spans="1:11" x14ac:dyDescent="0.25">
      <c r="A221" s="77" t="s">
        <v>629</v>
      </c>
      <c r="B221" t="s">
        <v>686</v>
      </c>
      <c r="C221" t="s">
        <v>56</v>
      </c>
      <c r="D221" t="s">
        <v>39</v>
      </c>
      <c r="E221" t="s">
        <v>76</v>
      </c>
      <c r="F221" t="s">
        <v>482</v>
      </c>
      <c r="G221" t="s">
        <v>538</v>
      </c>
      <c r="H221" t="s">
        <v>670</v>
      </c>
      <c r="I221" t="s">
        <v>22</v>
      </c>
      <c r="J221" t="s">
        <v>631</v>
      </c>
      <c r="K221" s="77" t="s">
        <v>603</v>
      </c>
    </row>
    <row r="222" spans="1:11" x14ac:dyDescent="0.25">
      <c r="A222" s="77" t="s">
        <v>629</v>
      </c>
      <c r="B222" t="s">
        <v>686</v>
      </c>
      <c r="C222" t="s">
        <v>56</v>
      </c>
      <c r="D222" t="s">
        <v>39</v>
      </c>
      <c r="E222" t="s">
        <v>76</v>
      </c>
      <c r="F222" t="s">
        <v>77</v>
      </c>
      <c r="G222" t="s">
        <v>538</v>
      </c>
      <c r="H222" t="s">
        <v>670</v>
      </c>
      <c r="I222" t="s">
        <v>22</v>
      </c>
      <c r="J222" t="s">
        <v>631</v>
      </c>
      <c r="K222" s="77" t="s">
        <v>603</v>
      </c>
    </row>
    <row r="223" spans="1:11" x14ac:dyDescent="0.25">
      <c r="A223" s="77" t="s">
        <v>629</v>
      </c>
      <c r="B223" t="s">
        <v>686</v>
      </c>
      <c r="C223" t="s">
        <v>56</v>
      </c>
      <c r="D223" t="s">
        <v>39</v>
      </c>
      <c r="E223" t="s">
        <v>80</v>
      </c>
      <c r="F223" t="s">
        <v>281</v>
      </c>
      <c r="G223" t="s">
        <v>538</v>
      </c>
      <c r="H223" t="s">
        <v>670</v>
      </c>
      <c r="I223" t="s">
        <v>22</v>
      </c>
      <c r="J223" t="s">
        <v>631</v>
      </c>
      <c r="K223" s="77" t="s">
        <v>603</v>
      </c>
    </row>
    <row r="224" spans="1:11" x14ac:dyDescent="0.25">
      <c r="A224" s="77" t="s">
        <v>629</v>
      </c>
      <c r="B224" t="s">
        <v>686</v>
      </c>
      <c r="C224" t="s">
        <v>56</v>
      </c>
      <c r="D224" t="s">
        <v>39</v>
      </c>
      <c r="E224" t="s">
        <v>80</v>
      </c>
      <c r="F224" t="s">
        <v>484</v>
      </c>
      <c r="G224" t="s">
        <v>538</v>
      </c>
      <c r="H224" t="s">
        <v>670</v>
      </c>
      <c r="I224" t="s">
        <v>22</v>
      </c>
      <c r="J224" t="s">
        <v>631</v>
      </c>
      <c r="K224" s="77" t="s">
        <v>603</v>
      </c>
    </row>
    <row r="225" spans="1:11" x14ac:dyDescent="0.25">
      <c r="A225" s="77" t="s">
        <v>629</v>
      </c>
      <c r="B225" t="s">
        <v>686</v>
      </c>
      <c r="C225" t="s">
        <v>56</v>
      </c>
      <c r="D225" t="s">
        <v>39</v>
      </c>
      <c r="E225" t="s">
        <v>80</v>
      </c>
      <c r="F225" t="s">
        <v>485</v>
      </c>
      <c r="G225" t="s">
        <v>538</v>
      </c>
      <c r="H225" t="s">
        <v>670</v>
      </c>
      <c r="I225" t="s">
        <v>22</v>
      </c>
      <c r="J225" t="s">
        <v>631</v>
      </c>
      <c r="K225" s="77" t="s">
        <v>603</v>
      </c>
    </row>
    <row r="226" spans="1:11" x14ac:dyDescent="0.25">
      <c r="A226" s="77" t="s">
        <v>629</v>
      </c>
      <c r="B226" t="s">
        <v>686</v>
      </c>
      <c r="C226" t="s">
        <v>60</v>
      </c>
      <c r="D226" t="s">
        <v>41</v>
      </c>
      <c r="E226" t="s">
        <v>70</v>
      </c>
      <c r="F226" t="s">
        <v>71</v>
      </c>
      <c r="G226" t="s">
        <v>538</v>
      </c>
      <c r="H226" t="s">
        <v>670</v>
      </c>
      <c r="I226" t="s">
        <v>22</v>
      </c>
      <c r="J226" t="s">
        <v>631</v>
      </c>
      <c r="K226" s="77" t="s">
        <v>603</v>
      </c>
    </row>
    <row r="227" spans="1:11" x14ac:dyDescent="0.25">
      <c r="A227" s="77" t="s">
        <v>629</v>
      </c>
      <c r="B227" t="s">
        <v>686</v>
      </c>
      <c r="C227" t="s">
        <v>60</v>
      </c>
      <c r="D227" t="s">
        <v>43</v>
      </c>
      <c r="E227" t="s">
        <v>84</v>
      </c>
      <c r="F227" t="s">
        <v>85</v>
      </c>
      <c r="G227" t="s">
        <v>538</v>
      </c>
      <c r="H227" t="s">
        <v>670</v>
      </c>
      <c r="I227" t="s">
        <v>22</v>
      </c>
      <c r="J227" t="s">
        <v>631</v>
      </c>
      <c r="K227" s="77" t="s">
        <v>603</v>
      </c>
    </row>
    <row r="228" spans="1:11" x14ac:dyDescent="0.25">
      <c r="A228" s="77" t="s">
        <v>629</v>
      </c>
      <c r="B228" t="s">
        <v>686</v>
      </c>
      <c r="C228" t="s">
        <v>60</v>
      </c>
      <c r="D228" t="s">
        <v>41</v>
      </c>
      <c r="E228" t="s">
        <v>82</v>
      </c>
      <c r="F228" t="s">
        <v>556</v>
      </c>
      <c r="G228" t="s">
        <v>538</v>
      </c>
      <c r="H228" t="s">
        <v>670</v>
      </c>
      <c r="I228" t="s">
        <v>22</v>
      </c>
      <c r="J228" t="s">
        <v>631</v>
      </c>
      <c r="K228" s="77" t="s">
        <v>603</v>
      </c>
    </row>
    <row r="229" spans="1:11" x14ac:dyDescent="0.25">
      <c r="A229" s="77" t="s">
        <v>629</v>
      </c>
      <c r="B229" t="s">
        <v>686</v>
      </c>
      <c r="C229" t="s">
        <v>60</v>
      </c>
      <c r="D229" t="s">
        <v>41</v>
      </c>
      <c r="E229" t="s">
        <v>76</v>
      </c>
      <c r="F229" t="s">
        <v>77</v>
      </c>
      <c r="G229" t="s">
        <v>538</v>
      </c>
      <c r="H229" t="s">
        <v>670</v>
      </c>
      <c r="I229" t="s">
        <v>22</v>
      </c>
      <c r="J229" t="s">
        <v>631</v>
      </c>
      <c r="K229" s="77" t="s">
        <v>603</v>
      </c>
    </row>
    <row r="230" spans="1:11" x14ac:dyDescent="0.25">
      <c r="A230" s="77" t="s">
        <v>629</v>
      </c>
      <c r="B230" t="s">
        <v>686</v>
      </c>
      <c r="C230" t="s">
        <v>60</v>
      </c>
      <c r="D230" t="s">
        <v>43</v>
      </c>
      <c r="E230" t="s">
        <v>80</v>
      </c>
      <c r="F230" t="s">
        <v>481</v>
      </c>
      <c r="G230" t="s">
        <v>538</v>
      </c>
      <c r="H230" t="s">
        <v>670</v>
      </c>
      <c r="I230" t="s">
        <v>22</v>
      </c>
      <c r="J230" t="s">
        <v>631</v>
      </c>
      <c r="K230" s="77" t="s">
        <v>603</v>
      </c>
    </row>
    <row r="231" spans="1:11" x14ac:dyDescent="0.25">
      <c r="A231" s="77" t="s">
        <v>629</v>
      </c>
      <c r="B231" t="s">
        <v>686</v>
      </c>
      <c r="C231" t="s">
        <v>60</v>
      </c>
      <c r="D231" t="s">
        <v>43</v>
      </c>
      <c r="E231" t="s">
        <v>80</v>
      </c>
      <c r="F231" t="s">
        <v>81</v>
      </c>
      <c r="G231" t="s">
        <v>538</v>
      </c>
      <c r="H231" t="s">
        <v>670</v>
      </c>
      <c r="I231" t="s">
        <v>22</v>
      </c>
      <c r="J231" t="s">
        <v>631</v>
      </c>
      <c r="K231" s="77" t="s">
        <v>603</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5DEFE-5A99-486A-88B2-6700AA29046D}">
  <sheetPr codeName="Sheet22"/>
  <dimension ref="A1:I103"/>
  <sheetViews>
    <sheetView workbookViewId="0">
      <selection activeCell="H14" sqref="H14"/>
    </sheetView>
  </sheetViews>
  <sheetFormatPr defaultColWidth="8.85546875" defaultRowHeight="15" x14ac:dyDescent="0.25"/>
  <cols>
    <col min="1" max="1" width="49" bestFit="1" customWidth="1"/>
    <col min="2" max="2" width="14.85546875" bestFit="1" customWidth="1"/>
    <col min="3" max="3" width="63.140625" bestFit="1" customWidth="1"/>
    <col min="4" max="4" width="14" bestFit="1" customWidth="1"/>
    <col min="5" max="5" width="16.42578125" bestFit="1" customWidth="1"/>
    <col min="6" max="6" width="12.7109375" bestFit="1" customWidth="1"/>
    <col min="7" max="7" width="16" bestFit="1" customWidth="1"/>
    <col min="8" max="8" width="14.42578125" bestFit="1" customWidth="1"/>
    <col min="9" max="9" width="12.140625" bestFit="1" customWidth="1"/>
  </cols>
  <sheetData>
    <row r="1" spans="1:9" x14ac:dyDescent="0.25">
      <c r="A1" t="s">
        <v>625</v>
      </c>
      <c r="B1" t="s">
        <v>609</v>
      </c>
      <c r="C1" t="s">
        <v>610</v>
      </c>
      <c r="D1" t="s">
        <v>26</v>
      </c>
      <c r="E1" t="s">
        <v>25</v>
      </c>
      <c r="F1" t="s">
        <v>649</v>
      </c>
      <c r="G1" t="s">
        <v>626</v>
      </c>
      <c r="H1" t="s">
        <v>627</v>
      </c>
      <c r="I1" t="s">
        <v>628</v>
      </c>
    </row>
    <row r="2" spans="1:9" x14ac:dyDescent="0.25">
      <c r="A2" t="s">
        <v>645</v>
      </c>
      <c r="B2" t="s">
        <v>615</v>
      </c>
      <c r="C2" t="s">
        <v>616</v>
      </c>
      <c r="D2" t="s">
        <v>27</v>
      </c>
      <c r="E2">
        <v>34</v>
      </c>
      <c r="F2" t="s">
        <v>687</v>
      </c>
      <c r="G2" t="s">
        <v>22</v>
      </c>
      <c r="H2" t="s">
        <v>646</v>
      </c>
      <c r="I2" t="s">
        <v>631</v>
      </c>
    </row>
    <row r="3" spans="1:9" x14ac:dyDescent="0.25">
      <c r="A3" t="s">
        <v>645</v>
      </c>
      <c r="B3" t="s">
        <v>615</v>
      </c>
      <c r="C3" t="s">
        <v>616</v>
      </c>
      <c r="D3" t="s">
        <v>28</v>
      </c>
      <c r="E3">
        <v>6</v>
      </c>
      <c r="F3" t="s">
        <v>687</v>
      </c>
      <c r="G3" t="s">
        <v>22</v>
      </c>
      <c r="H3" t="s">
        <v>646</v>
      </c>
      <c r="I3" t="s">
        <v>631</v>
      </c>
    </row>
    <row r="4" spans="1:9" x14ac:dyDescent="0.25">
      <c r="A4" t="s">
        <v>645</v>
      </c>
      <c r="B4" t="s">
        <v>615</v>
      </c>
      <c r="C4" t="s">
        <v>616</v>
      </c>
      <c r="D4" t="s">
        <v>29</v>
      </c>
      <c r="F4" t="s">
        <v>687</v>
      </c>
      <c r="G4" t="s">
        <v>22</v>
      </c>
      <c r="H4" t="s">
        <v>646</v>
      </c>
      <c r="I4" t="s">
        <v>631</v>
      </c>
    </row>
    <row r="5" spans="1:9" x14ac:dyDescent="0.25">
      <c r="A5" t="s">
        <v>645</v>
      </c>
      <c r="B5" t="s">
        <v>615</v>
      </c>
      <c r="C5" t="s">
        <v>616</v>
      </c>
      <c r="D5" t="s">
        <v>30</v>
      </c>
      <c r="E5">
        <v>4</v>
      </c>
      <c r="F5" t="s">
        <v>687</v>
      </c>
      <c r="G5" t="s">
        <v>22</v>
      </c>
      <c r="H5" t="s">
        <v>646</v>
      </c>
      <c r="I5" t="s">
        <v>631</v>
      </c>
    </row>
    <row r="6" spans="1:9" x14ac:dyDescent="0.25">
      <c r="A6" t="s">
        <v>645</v>
      </c>
      <c r="B6" t="s">
        <v>615</v>
      </c>
      <c r="C6" t="s">
        <v>616</v>
      </c>
      <c r="D6" t="s">
        <v>32</v>
      </c>
      <c r="F6" t="s">
        <v>687</v>
      </c>
      <c r="G6" t="s">
        <v>22</v>
      </c>
      <c r="H6" t="s">
        <v>646</v>
      </c>
      <c r="I6" t="s">
        <v>631</v>
      </c>
    </row>
    <row r="7" spans="1:9" x14ac:dyDescent="0.25">
      <c r="A7" t="s">
        <v>645</v>
      </c>
      <c r="B7" t="s">
        <v>615</v>
      </c>
      <c r="C7" t="s">
        <v>616</v>
      </c>
      <c r="D7" t="s">
        <v>34</v>
      </c>
      <c r="E7">
        <v>44</v>
      </c>
      <c r="F7" t="s">
        <v>687</v>
      </c>
      <c r="G7" t="s">
        <v>22</v>
      </c>
      <c r="H7" t="s">
        <v>646</v>
      </c>
      <c r="I7" t="s">
        <v>631</v>
      </c>
    </row>
    <row r="8" spans="1:9" x14ac:dyDescent="0.25">
      <c r="A8" t="s">
        <v>645</v>
      </c>
      <c r="B8" t="s">
        <v>619</v>
      </c>
      <c r="C8" t="s">
        <v>620</v>
      </c>
      <c r="D8" t="s">
        <v>27</v>
      </c>
      <c r="E8">
        <v>34</v>
      </c>
      <c r="F8" t="s">
        <v>687</v>
      </c>
      <c r="G8" t="s">
        <v>22</v>
      </c>
      <c r="H8" t="s">
        <v>647</v>
      </c>
      <c r="I8" t="s">
        <v>631</v>
      </c>
    </row>
    <row r="9" spans="1:9" x14ac:dyDescent="0.25">
      <c r="A9" t="s">
        <v>645</v>
      </c>
      <c r="B9" t="s">
        <v>619</v>
      </c>
      <c r="C9" t="s">
        <v>620</v>
      </c>
      <c r="D9" t="s">
        <v>28</v>
      </c>
      <c r="E9">
        <v>12</v>
      </c>
      <c r="F9" t="s">
        <v>687</v>
      </c>
      <c r="G9" t="s">
        <v>22</v>
      </c>
      <c r="H9" t="s">
        <v>647</v>
      </c>
      <c r="I9" t="s">
        <v>631</v>
      </c>
    </row>
    <row r="10" spans="1:9" x14ac:dyDescent="0.25">
      <c r="A10" t="s">
        <v>645</v>
      </c>
      <c r="B10" t="s">
        <v>619</v>
      </c>
      <c r="C10" t="s">
        <v>620</v>
      </c>
      <c r="D10" t="s">
        <v>29</v>
      </c>
      <c r="F10" t="s">
        <v>687</v>
      </c>
      <c r="G10" t="s">
        <v>22</v>
      </c>
      <c r="H10" t="s">
        <v>647</v>
      </c>
      <c r="I10" t="s">
        <v>631</v>
      </c>
    </row>
    <row r="11" spans="1:9" x14ac:dyDescent="0.25">
      <c r="A11" t="s">
        <v>645</v>
      </c>
      <c r="B11" t="s">
        <v>619</v>
      </c>
      <c r="C11" t="s">
        <v>620</v>
      </c>
      <c r="D11" t="s">
        <v>30</v>
      </c>
      <c r="E11">
        <v>2</v>
      </c>
      <c r="F11" t="s">
        <v>687</v>
      </c>
      <c r="G11" t="s">
        <v>22</v>
      </c>
      <c r="H11" t="s">
        <v>647</v>
      </c>
      <c r="I11" t="s">
        <v>631</v>
      </c>
    </row>
    <row r="12" spans="1:9" x14ac:dyDescent="0.25">
      <c r="A12" t="s">
        <v>645</v>
      </c>
      <c r="B12" t="s">
        <v>619</v>
      </c>
      <c r="C12" t="s">
        <v>620</v>
      </c>
      <c r="D12" t="s">
        <v>32</v>
      </c>
      <c r="F12" t="s">
        <v>687</v>
      </c>
      <c r="G12" t="s">
        <v>22</v>
      </c>
      <c r="H12" t="s">
        <v>647</v>
      </c>
      <c r="I12" t="s">
        <v>631</v>
      </c>
    </row>
    <row r="13" spans="1:9" x14ac:dyDescent="0.25">
      <c r="A13" t="s">
        <v>645</v>
      </c>
      <c r="B13" t="s">
        <v>619</v>
      </c>
      <c r="C13" t="s">
        <v>620</v>
      </c>
      <c r="D13" t="s">
        <v>34</v>
      </c>
      <c r="E13">
        <v>48</v>
      </c>
      <c r="F13" t="s">
        <v>687</v>
      </c>
      <c r="G13" t="s">
        <v>22</v>
      </c>
      <c r="H13" t="s">
        <v>647</v>
      </c>
      <c r="I13" t="s">
        <v>631</v>
      </c>
    </row>
    <row r="14" spans="1:9" x14ac:dyDescent="0.25">
      <c r="A14" t="s">
        <v>645</v>
      </c>
      <c r="B14" t="s">
        <v>622</v>
      </c>
      <c r="C14" t="s">
        <v>593</v>
      </c>
      <c r="D14" t="s">
        <v>27</v>
      </c>
      <c r="E14">
        <v>12</v>
      </c>
      <c r="F14" t="s">
        <v>687</v>
      </c>
      <c r="G14" t="s">
        <v>22</v>
      </c>
      <c r="H14" t="s">
        <v>648</v>
      </c>
      <c r="I14" t="s">
        <v>631</v>
      </c>
    </row>
    <row r="15" spans="1:9" x14ac:dyDescent="0.25">
      <c r="A15" t="s">
        <v>645</v>
      </c>
      <c r="B15" t="s">
        <v>622</v>
      </c>
      <c r="C15" t="s">
        <v>593</v>
      </c>
      <c r="D15" t="s">
        <v>28</v>
      </c>
      <c r="E15">
        <v>10</v>
      </c>
      <c r="F15" t="s">
        <v>687</v>
      </c>
      <c r="G15" t="s">
        <v>22</v>
      </c>
      <c r="H15" t="s">
        <v>648</v>
      </c>
      <c r="I15" t="s">
        <v>631</v>
      </c>
    </row>
    <row r="16" spans="1:9" x14ac:dyDescent="0.25">
      <c r="A16" t="s">
        <v>645</v>
      </c>
      <c r="B16" t="s">
        <v>622</v>
      </c>
      <c r="C16" t="s">
        <v>593</v>
      </c>
      <c r="D16" t="s">
        <v>29</v>
      </c>
      <c r="F16" t="s">
        <v>687</v>
      </c>
      <c r="G16" t="s">
        <v>22</v>
      </c>
      <c r="H16" t="s">
        <v>648</v>
      </c>
      <c r="I16" t="s">
        <v>631</v>
      </c>
    </row>
    <row r="17" spans="1:9" x14ac:dyDescent="0.25">
      <c r="A17" t="s">
        <v>645</v>
      </c>
      <c r="B17" t="s">
        <v>622</v>
      </c>
      <c r="C17" t="s">
        <v>593</v>
      </c>
      <c r="D17" t="s">
        <v>30</v>
      </c>
      <c r="F17" t="s">
        <v>687</v>
      </c>
      <c r="G17" t="s">
        <v>22</v>
      </c>
      <c r="H17" t="s">
        <v>648</v>
      </c>
      <c r="I17" t="s">
        <v>631</v>
      </c>
    </row>
    <row r="18" spans="1:9" x14ac:dyDescent="0.25">
      <c r="A18" t="s">
        <v>645</v>
      </c>
      <c r="B18" t="s">
        <v>622</v>
      </c>
      <c r="C18" t="s">
        <v>593</v>
      </c>
      <c r="D18" t="s">
        <v>32</v>
      </c>
      <c r="F18" t="s">
        <v>687</v>
      </c>
      <c r="G18" t="s">
        <v>22</v>
      </c>
      <c r="H18" t="s">
        <v>648</v>
      </c>
      <c r="I18" t="s">
        <v>631</v>
      </c>
    </row>
    <row r="19" spans="1:9" x14ac:dyDescent="0.25">
      <c r="A19" t="s">
        <v>645</v>
      </c>
      <c r="B19" t="s">
        <v>622</v>
      </c>
      <c r="C19" t="s">
        <v>593</v>
      </c>
      <c r="D19" t="s">
        <v>34</v>
      </c>
      <c r="E19">
        <v>22</v>
      </c>
      <c r="F19" t="s">
        <v>687</v>
      </c>
      <c r="G19" t="s">
        <v>22</v>
      </c>
      <c r="H19" t="s">
        <v>648</v>
      </c>
      <c r="I19" t="s">
        <v>631</v>
      </c>
    </row>
    <row r="20" spans="1:9" x14ac:dyDescent="0.25">
      <c r="A20" t="s">
        <v>629</v>
      </c>
      <c r="B20" t="s">
        <v>5</v>
      </c>
      <c r="C20" t="s">
        <v>8</v>
      </c>
      <c r="D20" t="s">
        <v>27</v>
      </c>
      <c r="E20">
        <v>22</v>
      </c>
      <c r="F20" t="s">
        <v>687</v>
      </c>
      <c r="G20" t="s">
        <v>22</v>
      </c>
      <c r="H20" t="s">
        <v>630</v>
      </c>
      <c r="I20" t="s">
        <v>631</v>
      </c>
    </row>
    <row r="21" spans="1:9" x14ac:dyDescent="0.25">
      <c r="A21" t="s">
        <v>629</v>
      </c>
      <c r="B21" t="s">
        <v>5</v>
      </c>
      <c r="C21" t="s">
        <v>8</v>
      </c>
      <c r="D21" t="s">
        <v>28</v>
      </c>
      <c r="E21">
        <v>10</v>
      </c>
      <c r="F21" t="s">
        <v>687</v>
      </c>
      <c r="G21" t="s">
        <v>22</v>
      </c>
      <c r="H21" t="s">
        <v>630</v>
      </c>
      <c r="I21" t="s">
        <v>631</v>
      </c>
    </row>
    <row r="22" spans="1:9" x14ac:dyDescent="0.25">
      <c r="A22" t="s">
        <v>629</v>
      </c>
      <c r="B22" t="s">
        <v>5</v>
      </c>
      <c r="C22" t="s">
        <v>8</v>
      </c>
      <c r="D22" t="s">
        <v>29</v>
      </c>
      <c r="E22">
        <v>4</v>
      </c>
      <c r="F22" t="s">
        <v>687</v>
      </c>
      <c r="G22" t="s">
        <v>22</v>
      </c>
      <c r="H22" t="s">
        <v>630</v>
      </c>
      <c r="I22" t="s">
        <v>631</v>
      </c>
    </row>
    <row r="23" spans="1:9" x14ac:dyDescent="0.25">
      <c r="A23" t="s">
        <v>629</v>
      </c>
      <c r="B23" t="s">
        <v>5</v>
      </c>
      <c r="C23" t="s">
        <v>8</v>
      </c>
      <c r="D23" t="s">
        <v>30</v>
      </c>
      <c r="E23">
        <v>8</v>
      </c>
      <c r="F23" t="s">
        <v>687</v>
      </c>
      <c r="G23" t="s">
        <v>22</v>
      </c>
      <c r="H23" t="s">
        <v>630</v>
      </c>
      <c r="I23" t="s">
        <v>631</v>
      </c>
    </row>
    <row r="24" spans="1:9" x14ac:dyDescent="0.25">
      <c r="A24" t="s">
        <v>629</v>
      </c>
      <c r="B24" t="s">
        <v>5</v>
      </c>
      <c r="C24" t="s">
        <v>8</v>
      </c>
      <c r="D24" t="s">
        <v>32</v>
      </c>
      <c r="E24">
        <v>0</v>
      </c>
      <c r="F24" t="s">
        <v>687</v>
      </c>
      <c r="G24" t="s">
        <v>22</v>
      </c>
      <c r="H24" t="s">
        <v>630</v>
      </c>
      <c r="I24" t="s">
        <v>631</v>
      </c>
    </row>
    <row r="25" spans="1:9" x14ac:dyDescent="0.25">
      <c r="A25" t="s">
        <v>629</v>
      </c>
      <c r="B25" t="s">
        <v>5</v>
      </c>
      <c r="C25" t="s">
        <v>8</v>
      </c>
      <c r="D25" t="s">
        <v>34</v>
      </c>
      <c r="E25">
        <v>44</v>
      </c>
      <c r="F25" t="s">
        <v>687</v>
      </c>
      <c r="G25" t="s">
        <v>22</v>
      </c>
      <c r="H25" t="s">
        <v>630</v>
      </c>
      <c r="I25" t="s">
        <v>631</v>
      </c>
    </row>
    <row r="26" spans="1:9" x14ac:dyDescent="0.25">
      <c r="A26" t="s">
        <v>629</v>
      </c>
      <c r="B26" t="s">
        <v>113</v>
      </c>
      <c r="C26" t="s">
        <v>613</v>
      </c>
      <c r="D26" t="s">
        <v>27</v>
      </c>
      <c r="E26">
        <v>22</v>
      </c>
      <c r="F26" t="s">
        <v>687</v>
      </c>
      <c r="G26" t="s">
        <v>22</v>
      </c>
      <c r="H26" t="s">
        <v>632</v>
      </c>
      <c r="I26" t="s">
        <v>631</v>
      </c>
    </row>
    <row r="27" spans="1:9" x14ac:dyDescent="0.25">
      <c r="A27" t="s">
        <v>629</v>
      </c>
      <c r="B27" t="s">
        <v>113</v>
      </c>
      <c r="C27" t="s">
        <v>613</v>
      </c>
      <c r="D27" t="s">
        <v>28</v>
      </c>
      <c r="E27">
        <v>18</v>
      </c>
      <c r="F27" t="s">
        <v>687</v>
      </c>
      <c r="G27" t="s">
        <v>22</v>
      </c>
      <c r="H27" t="s">
        <v>632</v>
      </c>
      <c r="I27" t="s">
        <v>631</v>
      </c>
    </row>
    <row r="28" spans="1:9" x14ac:dyDescent="0.25">
      <c r="A28" t="s">
        <v>629</v>
      </c>
      <c r="B28" t="s">
        <v>113</v>
      </c>
      <c r="C28" t="s">
        <v>613</v>
      </c>
      <c r="D28" t="s">
        <v>29</v>
      </c>
      <c r="F28" t="s">
        <v>687</v>
      </c>
      <c r="G28" t="s">
        <v>22</v>
      </c>
      <c r="H28" t="s">
        <v>632</v>
      </c>
      <c r="I28" t="s">
        <v>631</v>
      </c>
    </row>
    <row r="29" spans="1:9" x14ac:dyDescent="0.25">
      <c r="A29" t="s">
        <v>629</v>
      </c>
      <c r="B29" t="s">
        <v>113</v>
      </c>
      <c r="C29" t="s">
        <v>613</v>
      </c>
      <c r="D29" t="s">
        <v>30</v>
      </c>
      <c r="F29" t="s">
        <v>687</v>
      </c>
      <c r="G29" t="s">
        <v>22</v>
      </c>
      <c r="H29" t="s">
        <v>632</v>
      </c>
      <c r="I29" t="s">
        <v>631</v>
      </c>
    </row>
    <row r="30" spans="1:9" x14ac:dyDescent="0.25">
      <c r="A30" t="s">
        <v>629</v>
      </c>
      <c r="B30" t="s">
        <v>113</v>
      </c>
      <c r="C30" t="s">
        <v>613</v>
      </c>
      <c r="D30" t="s">
        <v>32</v>
      </c>
      <c r="F30" t="s">
        <v>687</v>
      </c>
      <c r="G30" t="s">
        <v>22</v>
      </c>
      <c r="H30" t="s">
        <v>632</v>
      </c>
      <c r="I30" t="s">
        <v>631</v>
      </c>
    </row>
    <row r="31" spans="1:9" x14ac:dyDescent="0.25">
      <c r="A31" t="s">
        <v>629</v>
      </c>
      <c r="B31" t="s">
        <v>113</v>
      </c>
      <c r="C31" t="s">
        <v>613</v>
      </c>
      <c r="D31" t="s">
        <v>34</v>
      </c>
      <c r="E31">
        <v>40</v>
      </c>
      <c r="F31" t="s">
        <v>687</v>
      </c>
      <c r="G31" t="s">
        <v>22</v>
      </c>
      <c r="H31" t="s">
        <v>632</v>
      </c>
      <c r="I31" t="s">
        <v>631</v>
      </c>
    </row>
    <row r="32" spans="1:9" x14ac:dyDescent="0.25">
      <c r="A32" t="s">
        <v>629</v>
      </c>
      <c r="B32" t="s">
        <v>144</v>
      </c>
      <c r="C32" t="s">
        <v>146</v>
      </c>
      <c r="D32" t="s">
        <v>27</v>
      </c>
      <c r="E32">
        <v>22</v>
      </c>
      <c r="F32" t="s">
        <v>687</v>
      </c>
      <c r="G32" t="s">
        <v>22</v>
      </c>
      <c r="H32" t="s">
        <v>633</v>
      </c>
      <c r="I32" t="s">
        <v>631</v>
      </c>
    </row>
    <row r="33" spans="1:9" x14ac:dyDescent="0.25">
      <c r="A33" t="s">
        <v>629</v>
      </c>
      <c r="B33" t="s">
        <v>144</v>
      </c>
      <c r="C33" t="s">
        <v>146</v>
      </c>
      <c r="D33" t="s">
        <v>28</v>
      </c>
      <c r="E33">
        <v>6</v>
      </c>
      <c r="F33" t="s">
        <v>687</v>
      </c>
      <c r="G33" t="s">
        <v>22</v>
      </c>
      <c r="H33" t="s">
        <v>633</v>
      </c>
      <c r="I33" t="s">
        <v>631</v>
      </c>
    </row>
    <row r="34" spans="1:9" x14ac:dyDescent="0.25">
      <c r="A34" t="s">
        <v>629</v>
      </c>
      <c r="B34" t="s">
        <v>144</v>
      </c>
      <c r="C34" t="s">
        <v>146</v>
      </c>
      <c r="D34" t="s">
        <v>29</v>
      </c>
      <c r="E34">
        <v>8</v>
      </c>
      <c r="F34" t="s">
        <v>687</v>
      </c>
      <c r="G34" t="s">
        <v>22</v>
      </c>
      <c r="H34" t="s">
        <v>633</v>
      </c>
      <c r="I34" t="s">
        <v>631</v>
      </c>
    </row>
    <row r="35" spans="1:9" x14ac:dyDescent="0.25">
      <c r="A35" t="s">
        <v>629</v>
      </c>
      <c r="B35" t="s">
        <v>144</v>
      </c>
      <c r="C35" t="s">
        <v>146</v>
      </c>
      <c r="D35" t="s">
        <v>30</v>
      </c>
      <c r="E35">
        <v>4</v>
      </c>
      <c r="F35" t="s">
        <v>687</v>
      </c>
      <c r="G35" t="s">
        <v>22</v>
      </c>
      <c r="H35" t="s">
        <v>633</v>
      </c>
      <c r="I35" t="s">
        <v>631</v>
      </c>
    </row>
    <row r="36" spans="1:9" x14ac:dyDescent="0.25">
      <c r="A36" t="s">
        <v>629</v>
      </c>
      <c r="B36" t="s">
        <v>144</v>
      </c>
      <c r="C36" t="s">
        <v>146</v>
      </c>
      <c r="D36" t="s">
        <v>32</v>
      </c>
      <c r="F36" t="s">
        <v>687</v>
      </c>
      <c r="G36" t="s">
        <v>22</v>
      </c>
      <c r="H36" t="s">
        <v>633</v>
      </c>
      <c r="I36" t="s">
        <v>631</v>
      </c>
    </row>
    <row r="37" spans="1:9" x14ac:dyDescent="0.25">
      <c r="A37" t="s">
        <v>629</v>
      </c>
      <c r="B37" t="s">
        <v>144</v>
      </c>
      <c r="C37" t="s">
        <v>146</v>
      </c>
      <c r="D37" t="s">
        <v>34</v>
      </c>
      <c r="E37">
        <v>40</v>
      </c>
      <c r="F37" t="s">
        <v>687</v>
      </c>
      <c r="G37" t="s">
        <v>22</v>
      </c>
      <c r="H37" t="s">
        <v>633</v>
      </c>
      <c r="I37" t="s">
        <v>631</v>
      </c>
    </row>
    <row r="38" spans="1:9" x14ac:dyDescent="0.25">
      <c r="A38" t="s">
        <v>629</v>
      </c>
      <c r="B38" t="s">
        <v>193</v>
      </c>
      <c r="C38" t="s">
        <v>195</v>
      </c>
      <c r="D38" t="s">
        <v>27</v>
      </c>
      <c r="E38">
        <v>20</v>
      </c>
      <c r="F38" t="s">
        <v>687</v>
      </c>
      <c r="G38" t="s">
        <v>22</v>
      </c>
      <c r="H38" t="s">
        <v>634</v>
      </c>
      <c r="I38" t="s">
        <v>631</v>
      </c>
    </row>
    <row r="39" spans="1:9" x14ac:dyDescent="0.25">
      <c r="A39" t="s">
        <v>629</v>
      </c>
      <c r="B39" t="s">
        <v>193</v>
      </c>
      <c r="C39" t="s">
        <v>195</v>
      </c>
      <c r="D39" t="s">
        <v>28</v>
      </c>
      <c r="E39">
        <v>8</v>
      </c>
      <c r="F39" t="s">
        <v>687</v>
      </c>
      <c r="G39" t="s">
        <v>22</v>
      </c>
      <c r="H39" t="s">
        <v>634</v>
      </c>
      <c r="I39" t="s">
        <v>631</v>
      </c>
    </row>
    <row r="40" spans="1:9" x14ac:dyDescent="0.25">
      <c r="A40" t="s">
        <v>629</v>
      </c>
      <c r="B40" t="s">
        <v>193</v>
      </c>
      <c r="C40" t="s">
        <v>195</v>
      </c>
      <c r="D40" t="s">
        <v>29</v>
      </c>
      <c r="E40">
        <v>8</v>
      </c>
      <c r="F40" t="s">
        <v>687</v>
      </c>
      <c r="G40" t="s">
        <v>22</v>
      </c>
      <c r="H40" t="s">
        <v>634</v>
      </c>
      <c r="I40" t="s">
        <v>631</v>
      </c>
    </row>
    <row r="41" spans="1:9" x14ac:dyDescent="0.25">
      <c r="A41" t="s">
        <v>629</v>
      </c>
      <c r="B41" t="s">
        <v>193</v>
      </c>
      <c r="C41" t="s">
        <v>195</v>
      </c>
      <c r="D41" t="s">
        <v>30</v>
      </c>
      <c r="E41">
        <v>8</v>
      </c>
      <c r="F41" t="s">
        <v>687</v>
      </c>
      <c r="G41" t="s">
        <v>22</v>
      </c>
      <c r="H41" t="s">
        <v>634</v>
      </c>
      <c r="I41" t="s">
        <v>631</v>
      </c>
    </row>
    <row r="42" spans="1:9" x14ac:dyDescent="0.25">
      <c r="A42" t="s">
        <v>629</v>
      </c>
      <c r="B42" t="s">
        <v>193</v>
      </c>
      <c r="C42" t="s">
        <v>195</v>
      </c>
      <c r="D42" t="s">
        <v>32</v>
      </c>
      <c r="E42">
        <v>4</v>
      </c>
      <c r="F42" t="s">
        <v>687</v>
      </c>
      <c r="G42" t="s">
        <v>22</v>
      </c>
      <c r="H42" t="s">
        <v>634</v>
      </c>
      <c r="I42" t="s">
        <v>631</v>
      </c>
    </row>
    <row r="43" spans="1:9" x14ac:dyDescent="0.25">
      <c r="A43" t="s">
        <v>629</v>
      </c>
      <c r="B43" t="s">
        <v>193</v>
      </c>
      <c r="C43" t="s">
        <v>195</v>
      </c>
      <c r="D43" t="s">
        <v>34</v>
      </c>
      <c r="E43">
        <v>48</v>
      </c>
      <c r="F43" t="s">
        <v>687</v>
      </c>
      <c r="G43" t="s">
        <v>22</v>
      </c>
      <c r="H43" t="s">
        <v>634</v>
      </c>
      <c r="I43" t="s">
        <v>631</v>
      </c>
    </row>
    <row r="44" spans="1:9" x14ac:dyDescent="0.25">
      <c r="A44" t="s">
        <v>629</v>
      </c>
      <c r="B44" t="s">
        <v>236</v>
      </c>
      <c r="C44" t="s">
        <v>237</v>
      </c>
      <c r="D44" t="s">
        <v>27</v>
      </c>
      <c r="E44">
        <v>42</v>
      </c>
      <c r="F44" t="s">
        <v>687</v>
      </c>
      <c r="G44" t="s">
        <v>22</v>
      </c>
      <c r="H44" t="s">
        <v>635</v>
      </c>
      <c r="I44" t="s">
        <v>631</v>
      </c>
    </row>
    <row r="45" spans="1:9" x14ac:dyDescent="0.25">
      <c r="A45" t="s">
        <v>629</v>
      </c>
      <c r="B45" t="s">
        <v>236</v>
      </c>
      <c r="C45" t="s">
        <v>237</v>
      </c>
      <c r="D45" t="s">
        <v>28</v>
      </c>
      <c r="F45" t="s">
        <v>687</v>
      </c>
      <c r="G45" t="s">
        <v>22</v>
      </c>
      <c r="H45" t="s">
        <v>635</v>
      </c>
      <c r="I45" t="s">
        <v>631</v>
      </c>
    </row>
    <row r="46" spans="1:9" x14ac:dyDescent="0.25">
      <c r="A46" t="s">
        <v>629</v>
      </c>
      <c r="B46" t="s">
        <v>236</v>
      </c>
      <c r="C46" t="s">
        <v>237</v>
      </c>
      <c r="D46" t="s">
        <v>29</v>
      </c>
      <c r="F46" t="s">
        <v>687</v>
      </c>
      <c r="G46" t="s">
        <v>22</v>
      </c>
      <c r="H46" t="s">
        <v>635</v>
      </c>
      <c r="I46" t="s">
        <v>631</v>
      </c>
    </row>
    <row r="47" spans="1:9" x14ac:dyDescent="0.25">
      <c r="A47" t="s">
        <v>629</v>
      </c>
      <c r="B47" t="s">
        <v>236</v>
      </c>
      <c r="C47" t="s">
        <v>237</v>
      </c>
      <c r="D47" t="s">
        <v>30</v>
      </c>
      <c r="F47" t="s">
        <v>687</v>
      </c>
      <c r="G47" t="s">
        <v>22</v>
      </c>
      <c r="H47" t="s">
        <v>635</v>
      </c>
      <c r="I47" t="s">
        <v>631</v>
      </c>
    </row>
    <row r="48" spans="1:9" x14ac:dyDescent="0.25">
      <c r="A48" t="s">
        <v>629</v>
      </c>
      <c r="B48" t="s">
        <v>236</v>
      </c>
      <c r="C48" t="s">
        <v>237</v>
      </c>
      <c r="D48" t="s">
        <v>32</v>
      </c>
      <c r="F48" t="s">
        <v>687</v>
      </c>
      <c r="G48" t="s">
        <v>22</v>
      </c>
      <c r="H48" t="s">
        <v>635</v>
      </c>
      <c r="I48" t="s">
        <v>631</v>
      </c>
    </row>
    <row r="49" spans="1:9" x14ac:dyDescent="0.25">
      <c r="A49" t="s">
        <v>629</v>
      </c>
      <c r="B49" t="s">
        <v>236</v>
      </c>
      <c r="C49" t="s">
        <v>237</v>
      </c>
      <c r="D49" t="s">
        <v>34</v>
      </c>
      <c r="E49">
        <v>42</v>
      </c>
      <c r="F49" t="s">
        <v>687</v>
      </c>
      <c r="G49" t="s">
        <v>22</v>
      </c>
      <c r="H49" t="s">
        <v>635</v>
      </c>
      <c r="I49" t="s">
        <v>631</v>
      </c>
    </row>
    <row r="50" spans="1:9" x14ac:dyDescent="0.25">
      <c r="A50" t="s">
        <v>629</v>
      </c>
      <c r="B50" t="s">
        <v>267</v>
      </c>
      <c r="C50" t="s">
        <v>269</v>
      </c>
      <c r="D50" t="s">
        <v>27</v>
      </c>
      <c r="E50">
        <v>22</v>
      </c>
      <c r="F50" t="s">
        <v>687</v>
      </c>
      <c r="G50" t="s">
        <v>22</v>
      </c>
      <c r="H50" t="s">
        <v>636</v>
      </c>
      <c r="I50" t="s">
        <v>631</v>
      </c>
    </row>
    <row r="51" spans="1:9" x14ac:dyDescent="0.25">
      <c r="A51" t="s">
        <v>629</v>
      </c>
      <c r="B51" t="s">
        <v>267</v>
      </c>
      <c r="C51" t="s">
        <v>269</v>
      </c>
      <c r="D51" t="s">
        <v>28</v>
      </c>
      <c r="E51">
        <v>10</v>
      </c>
      <c r="F51" t="s">
        <v>687</v>
      </c>
      <c r="G51" t="s">
        <v>22</v>
      </c>
      <c r="H51" t="s">
        <v>636</v>
      </c>
      <c r="I51" t="s">
        <v>631</v>
      </c>
    </row>
    <row r="52" spans="1:9" x14ac:dyDescent="0.25">
      <c r="A52" t="s">
        <v>629</v>
      </c>
      <c r="B52" t="s">
        <v>267</v>
      </c>
      <c r="C52" t="s">
        <v>269</v>
      </c>
      <c r="D52" t="s">
        <v>29</v>
      </c>
      <c r="E52">
        <v>4</v>
      </c>
      <c r="F52" t="s">
        <v>687</v>
      </c>
      <c r="G52" t="s">
        <v>22</v>
      </c>
      <c r="H52" t="s">
        <v>636</v>
      </c>
      <c r="I52" t="s">
        <v>631</v>
      </c>
    </row>
    <row r="53" spans="1:9" x14ac:dyDescent="0.25">
      <c r="A53" t="s">
        <v>629</v>
      </c>
      <c r="B53" t="s">
        <v>267</v>
      </c>
      <c r="C53" t="s">
        <v>269</v>
      </c>
      <c r="D53" t="s">
        <v>30</v>
      </c>
      <c r="E53">
        <v>8</v>
      </c>
      <c r="F53" t="s">
        <v>687</v>
      </c>
      <c r="G53" t="s">
        <v>22</v>
      </c>
      <c r="H53" t="s">
        <v>636</v>
      </c>
      <c r="I53" t="s">
        <v>631</v>
      </c>
    </row>
    <row r="54" spans="1:9" x14ac:dyDescent="0.25">
      <c r="A54" t="s">
        <v>629</v>
      </c>
      <c r="B54" t="s">
        <v>267</v>
      </c>
      <c r="C54" t="s">
        <v>269</v>
      </c>
      <c r="D54" t="s">
        <v>32</v>
      </c>
      <c r="E54">
        <v>0</v>
      </c>
      <c r="F54" t="s">
        <v>687</v>
      </c>
      <c r="G54" t="s">
        <v>22</v>
      </c>
      <c r="H54" t="s">
        <v>636</v>
      </c>
      <c r="I54" t="s">
        <v>631</v>
      </c>
    </row>
    <row r="55" spans="1:9" x14ac:dyDescent="0.25">
      <c r="A55" t="s">
        <v>629</v>
      </c>
      <c r="B55" t="s">
        <v>267</v>
      </c>
      <c r="C55" t="s">
        <v>269</v>
      </c>
      <c r="D55" t="s">
        <v>34</v>
      </c>
      <c r="E55">
        <v>44</v>
      </c>
      <c r="F55" t="s">
        <v>687</v>
      </c>
      <c r="G55" t="s">
        <v>22</v>
      </c>
      <c r="H55" t="s">
        <v>636</v>
      </c>
      <c r="I55" t="s">
        <v>631</v>
      </c>
    </row>
    <row r="56" spans="1:9" x14ac:dyDescent="0.25">
      <c r="A56" t="s">
        <v>629</v>
      </c>
      <c r="B56" t="s">
        <v>294</v>
      </c>
      <c r="C56" t="s">
        <v>296</v>
      </c>
      <c r="D56" t="s">
        <v>27</v>
      </c>
      <c r="E56">
        <v>18</v>
      </c>
      <c r="F56" t="s">
        <v>687</v>
      </c>
      <c r="G56" t="s">
        <v>22</v>
      </c>
      <c r="H56" t="s">
        <v>637</v>
      </c>
      <c r="I56" t="s">
        <v>631</v>
      </c>
    </row>
    <row r="57" spans="1:9" x14ac:dyDescent="0.25">
      <c r="A57" t="s">
        <v>629</v>
      </c>
      <c r="B57" t="s">
        <v>294</v>
      </c>
      <c r="C57" t="s">
        <v>296</v>
      </c>
      <c r="D57" t="s">
        <v>28</v>
      </c>
      <c r="E57">
        <v>4</v>
      </c>
      <c r="F57" t="s">
        <v>687</v>
      </c>
      <c r="G57" t="s">
        <v>22</v>
      </c>
      <c r="H57" t="s">
        <v>637</v>
      </c>
      <c r="I57" t="s">
        <v>631</v>
      </c>
    </row>
    <row r="58" spans="1:9" x14ac:dyDescent="0.25">
      <c r="A58" t="s">
        <v>629</v>
      </c>
      <c r="B58" t="s">
        <v>294</v>
      </c>
      <c r="C58" t="s">
        <v>296</v>
      </c>
      <c r="D58" t="s">
        <v>29</v>
      </c>
      <c r="E58">
        <v>16</v>
      </c>
      <c r="F58" t="s">
        <v>687</v>
      </c>
      <c r="G58" t="s">
        <v>22</v>
      </c>
      <c r="H58" t="s">
        <v>637</v>
      </c>
      <c r="I58" t="s">
        <v>631</v>
      </c>
    </row>
    <row r="59" spans="1:9" x14ac:dyDescent="0.25">
      <c r="A59" t="s">
        <v>629</v>
      </c>
      <c r="B59" t="s">
        <v>294</v>
      </c>
      <c r="C59" t="s">
        <v>296</v>
      </c>
      <c r="D59" t="s">
        <v>30</v>
      </c>
      <c r="E59">
        <v>0</v>
      </c>
      <c r="F59" t="s">
        <v>687</v>
      </c>
      <c r="G59" t="s">
        <v>22</v>
      </c>
      <c r="H59" t="s">
        <v>637</v>
      </c>
      <c r="I59" t="s">
        <v>631</v>
      </c>
    </row>
    <row r="60" spans="1:9" x14ac:dyDescent="0.25">
      <c r="A60" t="s">
        <v>629</v>
      </c>
      <c r="B60" t="s">
        <v>294</v>
      </c>
      <c r="C60" t="s">
        <v>296</v>
      </c>
      <c r="D60" t="s">
        <v>32</v>
      </c>
      <c r="E60">
        <v>4</v>
      </c>
      <c r="F60" t="s">
        <v>687</v>
      </c>
      <c r="G60" t="s">
        <v>22</v>
      </c>
      <c r="H60" t="s">
        <v>637</v>
      </c>
      <c r="I60" t="s">
        <v>631</v>
      </c>
    </row>
    <row r="61" spans="1:9" x14ac:dyDescent="0.25">
      <c r="A61" t="s">
        <v>629</v>
      </c>
      <c r="B61" t="s">
        <v>294</v>
      </c>
      <c r="C61" t="s">
        <v>296</v>
      </c>
      <c r="D61" t="s">
        <v>34</v>
      </c>
      <c r="E61">
        <v>42</v>
      </c>
      <c r="F61" t="s">
        <v>687</v>
      </c>
      <c r="G61" t="s">
        <v>22</v>
      </c>
      <c r="H61" t="s">
        <v>637</v>
      </c>
      <c r="I61" t="s">
        <v>631</v>
      </c>
    </row>
    <row r="62" spans="1:9" x14ac:dyDescent="0.25">
      <c r="A62" t="s">
        <v>629</v>
      </c>
      <c r="B62" t="s">
        <v>332</v>
      </c>
      <c r="C62" t="s">
        <v>334</v>
      </c>
      <c r="D62" t="s">
        <v>27</v>
      </c>
      <c r="E62">
        <v>22</v>
      </c>
      <c r="F62" t="s">
        <v>687</v>
      </c>
      <c r="G62" t="s">
        <v>22</v>
      </c>
      <c r="H62" t="s">
        <v>638</v>
      </c>
      <c r="I62" t="s">
        <v>631</v>
      </c>
    </row>
    <row r="63" spans="1:9" x14ac:dyDescent="0.25">
      <c r="A63" t="s">
        <v>629</v>
      </c>
      <c r="B63" t="s">
        <v>332</v>
      </c>
      <c r="C63" t="s">
        <v>334</v>
      </c>
      <c r="D63" t="s">
        <v>28</v>
      </c>
      <c r="E63">
        <v>22</v>
      </c>
      <c r="F63" t="s">
        <v>687</v>
      </c>
      <c r="G63" t="s">
        <v>22</v>
      </c>
      <c r="H63" t="s">
        <v>638</v>
      </c>
      <c r="I63" t="s">
        <v>631</v>
      </c>
    </row>
    <row r="64" spans="1:9" x14ac:dyDescent="0.25">
      <c r="A64" t="s">
        <v>629</v>
      </c>
      <c r="B64" t="s">
        <v>332</v>
      </c>
      <c r="C64" t="s">
        <v>334</v>
      </c>
      <c r="D64" t="s">
        <v>29</v>
      </c>
      <c r="F64" t="s">
        <v>687</v>
      </c>
      <c r="G64" t="s">
        <v>22</v>
      </c>
      <c r="H64" t="s">
        <v>638</v>
      </c>
      <c r="I64" t="s">
        <v>631</v>
      </c>
    </row>
    <row r="65" spans="1:9" x14ac:dyDescent="0.25">
      <c r="A65" t="s">
        <v>629</v>
      </c>
      <c r="B65" t="s">
        <v>332</v>
      </c>
      <c r="C65" t="s">
        <v>334</v>
      </c>
      <c r="D65" t="s">
        <v>30</v>
      </c>
      <c r="F65" t="s">
        <v>687</v>
      </c>
      <c r="G65" t="s">
        <v>22</v>
      </c>
      <c r="H65" t="s">
        <v>638</v>
      </c>
      <c r="I65" t="s">
        <v>631</v>
      </c>
    </row>
    <row r="66" spans="1:9" x14ac:dyDescent="0.25">
      <c r="A66" t="s">
        <v>629</v>
      </c>
      <c r="B66" t="s">
        <v>332</v>
      </c>
      <c r="C66" t="s">
        <v>334</v>
      </c>
      <c r="D66" t="s">
        <v>32</v>
      </c>
      <c r="F66" t="s">
        <v>687</v>
      </c>
      <c r="G66" t="s">
        <v>22</v>
      </c>
      <c r="H66" t="s">
        <v>638</v>
      </c>
      <c r="I66" t="s">
        <v>631</v>
      </c>
    </row>
    <row r="67" spans="1:9" x14ac:dyDescent="0.25">
      <c r="A67" t="s">
        <v>629</v>
      </c>
      <c r="B67" t="s">
        <v>332</v>
      </c>
      <c r="C67" t="s">
        <v>334</v>
      </c>
      <c r="D67" t="s">
        <v>34</v>
      </c>
      <c r="E67">
        <v>44</v>
      </c>
      <c r="F67" t="s">
        <v>687</v>
      </c>
      <c r="G67" t="s">
        <v>22</v>
      </c>
      <c r="H67" t="s">
        <v>638</v>
      </c>
      <c r="I67" t="s">
        <v>631</v>
      </c>
    </row>
    <row r="68" spans="1:9" x14ac:dyDescent="0.25">
      <c r="A68" t="s">
        <v>629</v>
      </c>
      <c r="B68" t="s">
        <v>360</v>
      </c>
      <c r="C68" t="s">
        <v>614</v>
      </c>
      <c r="D68" t="s">
        <v>27</v>
      </c>
      <c r="E68">
        <v>22</v>
      </c>
      <c r="F68" t="s">
        <v>687</v>
      </c>
      <c r="G68" t="s">
        <v>22</v>
      </c>
      <c r="H68" t="s">
        <v>639</v>
      </c>
      <c r="I68" t="s">
        <v>631</v>
      </c>
    </row>
    <row r="69" spans="1:9" x14ac:dyDescent="0.25">
      <c r="A69" t="s">
        <v>629</v>
      </c>
      <c r="B69" t="s">
        <v>360</v>
      </c>
      <c r="C69" t="s">
        <v>614</v>
      </c>
      <c r="D69" t="s">
        <v>28</v>
      </c>
      <c r="E69">
        <v>18</v>
      </c>
      <c r="F69" t="s">
        <v>687</v>
      </c>
      <c r="G69" t="s">
        <v>22</v>
      </c>
      <c r="H69" t="s">
        <v>639</v>
      </c>
      <c r="I69" t="s">
        <v>631</v>
      </c>
    </row>
    <row r="70" spans="1:9" x14ac:dyDescent="0.25">
      <c r="A70" t="s">
        <v>629</v>
      </c>
      <c r="B70" t="s">
        <v>360</v>
      </c>
      <c r="C70" t="s">
        <v>614</v>
      </c>
      <c r="D70" t="s">
        <v>29</v>
      </c>
      <c r="F70" t="s">
        <v>687</v>
      </c>
      <c r="G70" t="s">
        <v>22</v>
      </c>
      <c r="H70" t="s">
        <v>639</v>
      </c>
      <c r="I70" t="s">
        <v>631</v>
      </c>
    </row>
    <row r="71" spans="1:9" x14ac:dyDescent="0.25">
      <c r="A71" t="s">
        <v>629</v>
      </c>
      <c r="B71" t="s">
        <v>360</v>
      </c>
      <c r="C71" t="s">
        <v>614</v>
      </c>
      <c r="D71" t="s">
        <v>30</v>
      </c>
      <c r="F71" t="s">
        <v>687</v>
      </c>
      <c r="G71" t="s">
        <v>22</v>
      </c>
      <c r="H71" t="s">
        <v>639</v>
      </c>
      <c r="I71" t="s">
        <v>631</v>
      </c>
    </row>
    <row r="72" spans="1:9" x14ac:dyDescent="0.25">
      <c r="A72" t="s">
        <v>629</v>
      </c>
      <c r="B72" t="s">
        <v>360</v>
      </c>
      <c r="C72" t="s">
        <v>614</v>
      </c>
      <c r="D72" t="s">
        <v>32</v>
      </c>
      <c r="F72" t="s">
        <v>687</v>
      </c>
      <c r="G72" t="s">
        <v>22</v>
      </c>
      <c r="H72" t="s">
        <v>639</v>
      </c>
      <c r="I72" t="s">
        <v>631</v>
      </c>
    </row>
    <row r="73" spans="1:9" x14ac:dyDescent="0.25">
      <c r="A73" t="s">
        <v>629</v>
      </c>
      <c r="B73" t="s">
        <v>360</v>
      </c>
      <c r="C73" t="s">
        <v>614</v>
      </c>
      <c r="D73" t="s">
        <v>34</v>
      </c>
      <c r="E73">
        <v>40</v>
      </c>
      <c r="F73" t="s">
        <v>687</v>
      </c>
      <c r="G73" t="s">
        <v>22</v>
      </c>
      <c r="H73" t="s">
        <v>639</v>
      </c>
      <c r="I73" t="s">
        <v>631</v>
      </c>
    </row>
    <row r="74" spans="1:9" x14ac:dyDescent="0.25">
      <c r="A74" t="s">
        <v>629</v>
      </c>
      <c r="B74" t="s">
        <v>390</v>
      </c>
      <c r="C74" t="s">
        <v>392</v>
      </c>
      <c r="D74" t="s">
        <v>27</v>
      </c>
      <c r="E74">
        <v>38</v>
      </c>
      <c r="F74" t="s">
        <v>687</v>
      </c>
      <c r="G74" t="s">
        <v>22</v>
      </c>
      <c r="H74" t="s">
        <v>640</v>
      </c>
      <c r="I74" t="s">
        <v>631</v>
      </c>
    </row>
    <row r="75" spans="1:9" x14ac:dyDescent="0.25">
      <c r="A75" t="s">
        <v>629</v>
      </c>
      <c r="B75" t="s">
        <v>390</v>
      </c>
      <c r="C75" t="s">
        <v>392</v>
      </c>
      <c r="D75" t="s">
        <v>28</v>
      </c>
      <c r="E75">
        <v>6</v>
      </c>
      <c r="F75" t="s">
        <v>687</v>
      </c>
      <c r="G75" t="s">
        <v>22</v>
      </c>
      <c r="H75" t="s">
        <v>640</v>
      </c>
      <c r="I75" t="s">
        <v>631</v>
      </c>
    </row>
    <row r="76" spans="1:9" x14ac:dyDescent="0.25">
      <c r="A76" t="s">
        <v>629</v>
      </c>
      <c r="B76" t="s">
        <v>390</v>
      </c>
      <c r="C76" t="s">
        <v>392</v>
      </c>
      <c r="D76" t="s">
        <v>29</v>
      </c>
      <c r="E76">
        <v>0</v>
      </c>
      <c r="F76" t="s">
        <v>687</v>
      </c>
      <c r="G76" t="s">
        <v>22</v>
      </c>
      <c r="H76" t="s">
        <v>640</v>
      </c>
      <c r="I76" t="s">
        <v>631</v>
      </c>
    </row>
    <row r="77" spans="1:9" x14ac:dyDescent="0.25">
      <c r="A77" t="s">
        <v>629</v>
      </c>
      <c r="B77" t="s">
        <v>390</v>
      </c>
      <c r="C77" t="s">
        <v>392</v>
      </c>
      <c r="D77" t="s">
        <v>30</v>
      </c>
      <c r="E77">
        <v>0</v>
      </c>
      <c r="F77" t="s">
        <v>687</v>
      </c>
      <c r="G77" t="s">
        <v>22</v>
      </c>
      <c r="H77" t="s">
        <v>640</v>
      </c>
      <c r="I77" t="s">
        <v>631</v>
      </c>
    </row>
    <row r="78" spans="1:9" x14ac:dyDescent="0.25">
      <c r="A78" t="s">
        <v>629</v>
      </c>
      <c r="B78" t="s">
        <v>390</v>
      </c>
      <c r="C78" t="s">
        <v>392</v>
      </c>
      <c r="D78" t="s">
        <v>32</v>
      </c>
      <c r="E78">
        <v>0</v>
      </c>
      <c r="F78" t="s">
        <v>687</v>
      </c>
      <c r="G78" t="s">
        <v>22</v>
      </c>
      <c r="H78" t="s">
        <v>640</v>
      </c>
      <c r="I78" t="s">
        <v>631</v>
      </c>
    </row>
    <row r="79" spans="1:9" x14ac:dyDescent="0.25">
      <c r="A79" t="s">
        <v>629</v>
      </c>
      <c r="B79" t="s">
        <v>390</v>
      </c>
      <c r="C79" t="s">
        <v>392</v>
      </c>
      <c r="D79" t="s">
        <v>34</v>
      </c>
      <c r="E79">
        <v>44</v>
      </c>
      <c r="F79" t="s">
        <v>687</v>
      </c>
      <c r="G79" t="s">
        <v>22</v>
      </c>
      <c r="H79" t="s">
        <v>640</v>
      </c>
      <c r="I79" t="s">
        <v>631</v>
      </c>
    </row>
    <row r="80" spans="1:9" x14ac:dyDescent="0.25">
      <c r="A80" t="s">
        <v>629</v>
      </c>
      <c r="B80" t="s">
        <v>430</v>
      </c>
      <c r="C80" t="s">
        <v>432</v>
      </c>
      <c r="D80" t="s">
        <v>27</v>
      </c>
      <c r="E80">
        <v>22</v>
      </c>
      <c r="F80" t="s">
        <v>687</v>
      </c>
      <c r="G80" t="s">
        <v>22</v>
      </c>
      <c r="H80" t="s">
        <v>642</v>
      </c>
      <c r="I80" t="s">
        <v>631</v>
      </c>
    </row>
    <row r="81" spans="1:9" x14ac:dyDescent="0.25">
      <c r="A81" t="s">
        <v>629</v>
      </c>
      <c r="B81" t="s">
        <v>430</v>
      </c>
      <c r="C81" t="s">
        <v>432</v>
      </c>
      <c r="D81" t="s">
        <v>28</v>
      </c>
      <c r="F81" t="s">
        <v>687</v>
      </c>
      <c r="G81" t="s">
        <v>22</v>
      </c>
      <c r="H81" t="s">
        <v>642</v>
      </c>
      <c r="I81" t="s">
        <v>631</v>
      </c>
    </row>
    <row r="82" spans="1:9" x14ac:dyDescent="0.25">
      <c r="A82" t="s">
        <v>629</v>
      </c>
      <c r="B82" t="s">
        <v>430</v>
      </c>
      <c r="C82" t="s">
        <v>432</v>
      </c>
      <c r="D82" t="s">
        <v>29</v>
      </c>
      <c r="E82">
        <v>8</v>
      </c>
      <c r="F82" t="s">
        <v>687</v>
      </c>
      <c r="G82" t="s">
        <v>22</v>
      </c>
      <c r="H82" t="s">
        <v>642</v>
      </c>
      <c r="I82" t="s">
        <v>631</v>
      </c>
    </row>
    <row r="83" spans="1:9" x14ac:dyDescent="0.25">
      <c r="A83" t="s">
        <v>629</v>
      </c>
      <c r="B83" t="s">
        <v>430</v>
      </c>
      <c r="C83" t="s">
        <v>432</v>
      </c>
      <c r="D83" t="s">
        <v>30</v>
      </c>
      <c r="E83">
        <v>14</v>
      </c>
      <c r="F83" t="s">
        <v>687</v>
      </c>
      <c r="G83" t="s">
        <v>22</v>
      </c>
      <c r="H83" t="s">
        <v>642</v>
      </c>
      <c r="I83" t="s">
        <v>631</v>
      </c>
    </row>
    <row r="84" spans="1:9" x14ac:dyDescent="0.25">
      <c r="A84" t="s">
        <v>629</v>
      </c>
      <c r="B84" t="s">
        <v>430</v>
      </c>
      <c r="C84" t="s">
        <v>432</v>
      </c>
      <c r="D84" t="s">
        <v>32</v>
      </c>
      <c r="F84" t="s">
        <v>687</v>
      </c>
      <c r="G84" t="s">
        <v>22</v>
      </c>
      <c r="H84" t="s">
        <v>642</v>
      </c>
      <c r="I84" t="s">
        <v>631</v>
      </c>
    </row>
    <row r="85" spans="1:9" x14ac:dyDescent="0.25">
      <c r="A85" t="s">
        <v>629</v>
      </c>
      <c r="B85" t="s">
        <v>430</v>
      </c>
      <c r="C85" t="s">
        <v>432</v>
      </c>
      <c r="D85" t="s">
        <v>34</v>
      </c>
      <c r="E85">
        <v>44</v>
      </c>
      <c r="F85" t="s">
        <v>687</v>
      </c>
      <c r="G85" t="s">
        <v>22</v>
      </c>
      <c r="H85" t="s">
        <v>642</v>
      </c>
      <c r="I85" t="s">
        <v>631</v>
      </c>
    </row>
    <row r="86" spans="1:9" x14ac:dyDescent="0.25">
      <c r="A86" t="s">
        <v>629</v>
      </c>
      <c r="B86" t="s">
        <v>465</v>
      </c>
      <c r="C86" t="s">
        <v>466</v>
      </c>
      <c r="D86" t="s">
        <v>27</v>
      </c>
      <c r="E86">
        <v>18</v>
      </c>
      <c r="F86" t="s">
        <v>687</v>
      </c>
      <c r="G86" t="s">
        <v>22</v>
      </c>
      <c r="H86" t="s">
        <v>641</v>
      </c>
      <c r="I86" t="s">
        <v>631</v>
      </c>
    </row>
    <row r="87" spans="1:9" x14ac:dyDescent="0.25">
      <c r="A87" t="s">
        <v>629</v>
      </c>
      <c r="B87" t="s">
        <v>465</v>
      </c>
      <c r="C87" t="s">
        <v>466</v>
      </c>
      <c r="D87" t="s">
        <v>28</v>
      </c>
      <c r="E87">
        <v>4</v>
      </c>
      <c r="F87" t="s">
        <v>687</v>
      </c>
      <c r="G87" t="s">
        <v>22</v>
      </c>
      <c r="H87" t="s">
        <v>641</v>
      </c>
      <c r="I87" t="s">
        <v>631</v>
      </c>
    </row>
    <row r="88" spans="1:9" x14ac:dyDescent="0.25">
      <c r="A88" t="s">
        <v>629</v>
      </c>
      <c r="B88" t="s">
        <v>465</v>
      </c>
      <c r="C88" t="s">
        <v>466</v>
      </c>
      <c r="D88" t="s">
        <v>29</v>
      </c>
      <c r="F88" t="s">
        <v>687</v>
      </c>
      <c r="G88" t="s">
        <v>22</v>
      </c>
      <c r="H88" t="s">
        <v>641</v>
      </c>
      <c r="I88" t="s">
        <v>631</v>
      </c>
    </row>
    <row r="89" spans="1:9" x14ac:dyDescent="0.25">
      <c r="A89" t="s">
        <v>629</v>
      </c>
      <c r="B89" t="s">
        <v>465</v>
      </c>
      <c r="C89" t="s">
        <v>466</v>
      </c>
      <c r="D89" t="s">
        <v>30</v>
      </c>
      <c r="E89">
        <v>18</v>
      </c>
      <c r="F89" t="s">
        <v>687</v>
      </c>
      <c r="G89" t="s">
        <v>22</v>
      </c>
      <c r="H89" t="s">
        <v>641</v>
      </c>
      <c r="I89" t="s">
        <v>631</v>
      </c>
    </row>
    <row r="90" spans="1:9" x14ac:dyDescent="0.25">
      <c r="A90" t="s">
        <v>629</v>
      </c>
      <c r="B90" t="s">
        <v>465</v>
      </c>
      <c r="C90" t="s">
        <v>466</v>
      </c>
      <c r="D90" t="s">
        <v>32</v>
      </c>
      <c r="F90" t="s">
        <v>687</v>
      </c>
      <c r="G90" t="s">
        <v>22</v>
      </c>
      <c r="H90" t="s">
        <v>641</v>
      </c>
      <c r="I90" t="s">
        <v>631</v>
      </c>
    </row>
    <row r="91" spans="1:9" x14ac:dyDescent="0.25">
      <c r="A91" t="s">
        <v>629</v>
      </c>
      <c r="B91" t="s">
        <v>465</v>
      </c>
      <c r="C91" t="s">
        <v>466</v>
      </c>
      <c r="D91" t="s">
        <v>34</v>
      </c>
      <c r="E91">
        <v>40</v>
      </c>
      <c r="F91" t="s">
        <v>687</v>
      </c>
      <c r="G91" t="s">
        <v>22</v>
      </c>
      <c r="H91" t="s">
        <v>641</v>
      </c>
      <c r="I91" t="s">
        <v>631</v>
      </c>
    </row>
    <row r="92" spans="1:9" x14ac:dyDescent="0.25">
      <c r="A92" t="s">
        <v>629</v>
      </c>
      <c r="B92" t="s">
        <v>512</v>
      </c>
      <c r="C92" t="s">
        <v>513</v>
      </c>
      <c r="D92" t="s">
        <v>27</v>
      </c>
      <c r="E92">
        <v>22</v>
      </c>
      <c r="F92" t="s">
        <v>687</v>
      </c>
      <c r="G92" t="s">
        <v>22</v>
      </c>
      <c r="H92" t="s">
        <v>643</v>
      </c>
      <c r="I92" t="s">
        <v>631</v>
      </c>
    </row>
    <row r="93" spans="1:9" x14ac:dyDescent="0.25">
      <c r="A93" t="s">
        <v>629</v>
      </c>
      <c r="B93" t="s">
        <v>512</v>
      </c>
      <c r="C93" t="s">
        <v>513</v>
      </c>
      <c r="D93" t="s">
        <v>28</v>
      </c>
      <c r="E93">
        <v>22</v>
      </c>
      <c r="F93" t="s">
        <v>687</v>
      </c>
      <c r="G93" t="s">
        <v>22</v>
      </c>
      <c r="H93" t="s">
        <v>643</v>
      </c>
      <c r="I93" t="s">
        <v>631</v>
      </c>
    </row>
    <row r="94" spans="1:9" x14ac:dyDescent="0.25">
      <c r="A94" t="s">
        <v>629</v>
      </c>
      <c r="B94" t="s">
        <v>512</v>
      </c>
      <c r="C94" t="s">
        <v>513</v>
      </c>
      <c r="D94" t="s">
        <v>29</v>
      </c>
      <c r="F94" t="s">
        <v>687</v>
      </c>
      <c r="G94" t="s">
        <v>22</v>
      </c>
      <c r="H94" t="s">
        <v>643</v>
      </c>
      <c r="I94" t="s">
        <v>631</v>
      </c>
    </row>
    <row r="95" spans="1:9" x14ac:dyDescent="0.25">
      <c r="A95" t="s">
        <v>629</v>
      </c>
      <c r="B95" t="s">
        <v>512</v>
      </c>
      <c r="C95" t="s">
        <v>513</v>
      </c>
      <c r="D95" t="s">
        <v>30</v>
      </c>
      <c r="F95" t="s">
        <v>687</v>
      </c>
      <c r="G95" t="s">
        <v>22</v>
      </c>
      <c r="H95" t="s">
        <v>643</v>
      </c>
      <c r="I95" t="s">
        <v>631</v>
      </c>
    </row>
    <row r="96" spans="1:9" x14ac:dyDescent="0.25">
      <c r="A96" t="s">
        <v>629</v>
      </c>
      <c r="B96" t="s">
        <v>512</v>
      </c>
      <c r="C96" t="s">
        <v>513</v>
      </c>
      <c r="D96" t="s">
        <v>32</v>
      </c>
      <c r="F96" t="s">
        <v>687</v>
      </c>
      <c r="G96" t="s">
        <v>22</v>
      </c>
      <c r="H96" t="s">
        <v>643</v>
      </c>
      <c r="I96" t="s">
        <v>631</v>
      </c>
    </row>
    <row r="97" spans="1:9" x14ac:dyDescent="0.25">
      <c r="A97" t="s">
        <v>629</v>
      </c>
      <c r="B97" t="s">
        <v>512</v>
      </c>
      <c r="C97" t="s">
        <v>513</v>
      </c>
      <c r="D97" t="s">
        <v>34</v>
      </c>
      <c r="E97">
        <v>44</v>
      </c>
      <c r="F97" t="s">
        <v>687</v>
      </c>
      <c r="G97" t="s">
        <v>22</v>
      </c>
      <c r="H97" t="s">
        <v>643</v>
      </c>
      <c r="I97" t="s">
        <v>631</v>
      </c>
    </row>
    <row r="98" spans="1:9" x14ac:dyDescent="0.25">
      <c r="A98" t="s">
        <v>629</v>
      </c>
      <c r="B98" t="s">
        <v>538</v>
      </c>
      <c r="C98" t="s">
        <v>603</v>
      </c>
      <c r="D98" t="s">
        <v>27</v>
      </c>
      <c r="F98" t="s">
        <v>687</v>
      </c>
      <c r="G98" t="s">
        <v>22</v>
      </c>
      <c r="H98" t="s">
        <v>644</v>
      </c>
      <c r="I98" t="s">
        <v>631</v>
      </c>
    </row>
    <row r="99" spans="1:9" x14ac:dyDescent="0.25">
      <c r="A99" t="s">
        <v>629</v>
      </c>
      <c r="B99" t="s">
        <v>538</v>
      </c>
      <c r="C99" t="s">
        <v>603</v>
      </c>
      <c r="D99" t="s">
        <v>28</v>
      </c>
      <c r="E99">
        <v>10</v>
      </c>
      <c r="F99" t="s">
        <v>687</v>
      </c>
      <c r="G99" t="s">
        <v>22</v>
      </c>
      <c r="H99" t="s">
        <v>644</v>
      </c>
      <c r="I99" t="s">
        <v>631</v>
      </c>
    </row>
    <row r="100" spans="1:9" x14ac:dyDescent="0.25">
      <c r="A100" t="s">
        <v>629</v>
      </c>
      <c r="B100" t="s">
        <v>538</v>
      </c>
      <c r="C100" t="s">
        <v>603</v>
      </c>
      <c r="D100" t="s">
        <v>29</v>
      </c>
      <c r="E100">
        <v>30</v>
      </c>
      <c r="F100" t="s">
        <v>687</v>
      </c>
      <c r="G100" t="s">
        <v>22</v>
      </c>
      <c r="H100" t="s">
        <v>644</v>
      </c>
      <c r="I100" t="s">
        <v>631</v>
      </c>
    </row>
    <row r="101" spans="1:9" x14ac:dyDescent="0.25">
      <c r="A101" t="s">
        <v>629</v>
      </c>
      <c r="B101" t="s">
        <v>538</v>
      </c>
      <c r="C101" t="s">
        <v>603</v>
      </c>
      <c r="D101" t="s">
        <v>30</v>
      </c>
      <c r="E101">
        <v>6</v>
      </c>
      <c r="F101" t="s">
        <v>687</v>
      </c>
      <c r="G101" t="s">
        <v>22</v>
      </c>
      <c r="H101" t="s">
        <v>644</v>
      </c>
      <c r="I101" t="s">
        <v>631</v>
      </c>
    </row>
    <row r="102" spans="1:9" x14ac:dyDescent="0.25">
      <c r="A102" t="s">
        <v>629</v>
      </c>
      <c r="B102" t="s">
        <v>538</v>
      </c>
      <c r="C102" t="s">
        <v>603</v>
      </c>
      <c r="D102" t="s">
        <v>32</v>
      </c>
      <c r="F102" t="s">
        <v>687</v>
      </c>
      <c r="G102" t="s">
        <v>22</v>
      </c>
      <c r="H102" t="s">
        <v>644</v>
      </c>
      <c r="I102" t="s">
        <v>631</v>
      </c>
    </row>
    <row r="103" spans="1:9" x14ac:dyDescent="0.25">
      <c r="A103" t="s">
        <v>629</v>
      </c>
      <c r="B103" t="s">
        <v>538</v>
      </c>
      <c r="C103" t="s">
        <v>603</v>
      </c>
      <c r="D103" t="s">
        <v>34</v>
      </c>
      <c r="E103">
        <v>46</v>
      </c>
      <c r="F103" t="s">
        <v>687</v>
      </c>
      <c r="G103" t="s">
        <v>22</v>
      </c>
      <c r="H103" t="s">
        <v>644</v>
      </c>
      <c r="I103" t="s">
        <v>631</v>
      </c>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5F675-15B4-4CAC-9942-63AACB64F011}">
  <sheetPr codeName="Sheet23"/>
  <dimension ref="A1:M35"/>
  <sheetViews>
    <sheetView workbookViewId="0">
      <selection activeCell="C39" sqref="C39"/>
    </sheetView>
  </sheetViews>
  <sheetFormatPr defaultColWidth="8.85546875" defaultRowHeight="15" x14ac:dyDescent="0.25"/>
  <cols>
    <col min="1" max="1" width="49" bestFit="1" customWidth="1"/>
    <col min="2" max="2" width="14.85546875" bestFit="1" customWidth="1"/>
    <col min="3" max="3" width="63.140625" bestFit="1" customWidth="1"/>
    <col min="4" max="4" width="17.42578125" bestFit="1" customWidth="1"/>
    <col min="5" max="5" width="19.140625" bestFit="1" customWidth="1"/>
    <col min="6" max="6" width="23.7109375" bestFit="1" customWidth="1"/>
    <col min="7" max="7" width="81.140625" bestFit="1" customWidth="1"/>
    <col min="8" max="8" width="12.42578125" bestFit="1" customWidth="1"/>
    <col min="9" max="9" width="26" bestFit="1" customWidth="1"/>
    <col min="10" max="10" width="15.28515625" bestFit="1" customWidth="1"/>
    <col min="11" max="11" width="12.7109375" bestFit="1" customWidth="1"/>
    <col min="12" max="12" width="16" bestFit="1" customWidth="1"/>
    <col min="13" max="13" width="12.140625" bestFit="1" customWidth="1"/>
  </cols>
  <sheetData>
    <row r="1" spans="1:13" x14ac:dyDescent="0.25">
      <c r="A1" t="s">
        <v>625</v>
      </c>
      <c r="B1" t="s">
        <v>609</v>
      </c>
      <c r="C1" t="s">
        <v>610</v>
      </c>
      <c r="D1" t="s">
        <v>50</v>
      </c>
      <c r="E1" t="s">
        <v>51</v>
      </c>
      <c r="F1" t="s">
        <v>52</v>
      </c>
      <c r="G1" t="s">
        <v>53</v>
      </c>
      <c r="H1" t="s">
        <v>54</v>
      </c>
      <c r="I1" t="s">
        <v>55</v>
      </c>
      <c r="J1" t="s">
        <v>627</v>
      </c>
      <c r="K1" t="s">
        <v>649</v>
      </c>
      <c r="L1" t="s">
        <v>626</v>
      </c>
      <c r="M1" t="s">
        <v>628</v>
      </c>
    </row>
    <row r="2" spans="1:13" x14ac:dyDescent="0.25">
      <c r="A2" t="s">
        <v>645</v>
      </c>
      <c r="B2" t="s">
        <v>615</v>
      </c>
      <c r="C2" t="s">
        <v>616</v>
      </c>
      <c r="D2" t="s">
        <v>56</v>
      </c>
      <c r="E2" t="s">
        <v>127</v>
      </c>
      <c r="G2" t="s">
        <v>766</v>
      </c>
      <c r="H2">
        <v>0.3</v>
      </c>
      <c r="I2">
        <v>7</v>
      </c>
      <c r="J2" t="s">
        <v>688</v>
      </c>
      <c r="K2" t="s">
        <v>689</v>
      </c>
      <c r="L2" t="s">
        <v>22</v>
      </c>
      <c r="M2" t="s">
        <v>631</v>
      </c>
    </row>
    <row r="3" spans="1:13" x14ac:dyDescent="0.25">
      <c r="A3" t="s">
        <v>645</v>
      </c>
      <c r="B3" t="s">
        <v>615</v>
      </c>
      <c r="C3" t="s">
        <v>616</v>
      </c>
      <c r="D3" t="s">
        <v>60</v>
      </c>
      <c r="E3" t="s">
        <v>127</v>
      </c>
      <c r="G3" t="s">
        <v>767</v>
      </c>
      <c r="H3">
        <v>0.7</v>
      </c>
      <c r="I3" t="s">
        <v>690</v>
      </c>
      <c r="J3" t="s">
        <v>688</v>
      </c>
      <c r="K3" t="s">
        <v>689</v>
      </c>
      <c r="L3" t="s">
        <v>22</v>
      </c>
      <c r="M3" t="s">
        <v>631</v>
      </c>
    </row>
    <row r="4" spans="1:13" x14ac:dyDescent="0.25">
      <c r="A4" t="s">
        <v>645</v>
      </c>
      <c r="B4" t="s">
        <v>619</v>
      </c>
      <c r="C4" t="s">
        <v>620</v>
      </c>
      <c r="D4" t="s">
        <v>56</v>
      </c>
      <c r="E4" t="s">
        <v>125</v>
      </c>
      <c r="F4" t="s">
        <v>278</v>
      </c>
      <c r="G4" t="s">
        <v>768</v>
      </c>
      <c r="H4">
        <v>0.6</v>
      </c>
      <c r="I4">
        <v>6</v>
      </c>
      <c r="J4" t="s">
        <v>691</v>
      </c>
      <c r="K4" t="s">
        <v>689</v>
      </c>
      <c r="L4" t="s">
        <v>22</v>
      </c>
      <c r="M4" t="s">
        <v>631</v>
      </c>
    </row>
    <row r="5" spans="1:13" x14ac:dyDescent="0.25">
      <c r="A5" t="s">
        <v>645</v>
      </c>
      <c r="B5" t="s">
        <v>619</v>
      </c>
      <c r="C5" t="s">
        <v>620</v>
      </c>
      <c r="D5" t="s">
        <v>60</v>
      </c>
      <c r="E5" t="s">
        <v>206</v>
      </c>
      <c r="F5" t="s">
        <v>375</v>
      </c>
      <c r="G5" t="s">
        <v>769</v>
      </c>
      <c r="H5">
        <v>0.4</v>
      </c>
      <c r="I5" t="s">
        <v>770</v>
      </c>
      <c r="J5" t="s">
        <v>691</v>
      </c>
      <c r="K5" t="s">
        <v>689</v>
      </c>
      <c r="L5" t="s">
        <v>22</v>
      </c>
      <c r="M5" t="s">
        <v>631</v>
      </c>
    </row>
    <row r="6" spans="1:13" x14ac:dyDescent="0.25">
      <c r="A6" t="s">
        <v>645</v>
      </c>
      <c r="B6" t="s">
        <v>622</v>
      </c>
      <c r="C6" t="s">
        <v>593</v>
      </c>
      <c r="D6" t="s">
        <v>56</v>
      </c>
      <c r="E6" t="s">
        <v>206</v>
      </c>
      <c r="F6" t="s">
        <v>692</v>
      </c>
      <c r="G6" t="s">
        <v>771</v>
      </c>
      <c r="H6">
        <v>0.6</v>
      </c>
      <c r="I6">
        <v>28</v>
      </c>
      <c r="J6" t="s">
        <v>693</v>
      </c>
      <c r="K6" t="s">
        <v>689</v>
      </c>
      <c r="L6" t="s">
        <v>22</v>
      </c>
      <c r="M6" t="s">
        <v>631</v>
      </c>
    </row>
    <row r="7" spans="1:13" x14ac:dyDescent="0.25">
      <c r="A7" t="s">
        <v>645</v>
      </c>
      <c r="B7" t="s">
        <v>622</v>
      </c>
      <c r="C7" t="s">
        <v>593</v>
      </c>
      <c r="D7" t="s">
        <v>60</v>
      </c>
      <c r="E7" t="s">
        <v>125</v>
      </c>
      <c r="F7" t="s">
        <v>694</v>
      </c>
      <c r="G7" t="s">
        <v>695</v>
      </c>
      <c r="H7">
        <v>0.4</v>
      </c>
      <c r="I7">
        <v>28</v>
      </c>
      <c r="J7" t="s">
        <v>693</v>
      </c>
      <c r="K7" t="s">
        <v>689</v>
      </c>
      <c r="L7" t="s">
        <v>22</v>
      </c>
      <c r="M7" t="s">
        <v>631</v>
      </c>
    </row>
    <row r="8" spans="1:13" x14ac:dyDescent="0.25">
      <c r="A8" t="s">
        <v>629</v>
      </c>
      <c r="B8" t="s">
        <v>5</v>
      </c>
      <c r="C8" t="s">
        <v>8</v>
      </c>
      <c r="D8" t="s">
        <v>56</v>
      </c>
      <c r="E8" t="s">
        <v>57</v>
      </c>
      <c r="F8" t="s">
        <v>58</v>
      </c>
      <c r="G8" t="s">
        <v>59</v>
      </c>
      <c r="H8">
        <v>0.5</v>
      </c>
      <c r="I8">
        <v>6</v>
      </c>
      <c r="J8" t="s">
        <v>696</v>
      </c>
      <c r="K8" t="s">
        <v>689</v>
      </c>
      <c r="L8" t="s">
        <v>22</v>
      </c>
      <c r="M8" t="s">
        <v>631</v>
      </c>
    </row>
    <row r="9" spans="1:13" x14ac:dyDescent="0.25">
      <c r="A9" t="s">
        <v>629</v>
      </c>
      <c r="B9" t="s">
        <v>5</v>
      </c>
      <c r="C9" t="s">
        <v>8</v>
      </c>
      <c r="D9" t="s">
        <v>60</v>
      </c>
      <c r="E9" t="s">
        <v>57</v>
      </c>
      <c r="F9" t="s">
        <v>61</v>
      </c>
      <c r="G9" t="s">
        <v>62</v>
      </c>
      <c r="H9">
        <v>0.5</v>
      </c>
      <c r="I9">
        <v>12</v>
      </c>
      <c r="J9" t="s">
        <v>696</v>
      </c>
      <c r="K9" t="s">
        <v>689</v>
      </c>
      <c r="L9" t="s">
        <v>22</v>
      </c>
      <c r="M9" t="s">
        <v>631</v>
      </c>
    </row>
    <row r="10" spans="1:13" x14ac:dyDescent="0.25">
      <c r="A10" t="s">
        <v>629</v>
      </c>
      <c r="B10" t="s">
        <v>113</v>
      </c>
      <c r="C10" t="s">
        <v>613</v>
      </c>
      <c r="D10" t="s">
        <v>56</v>
      </c>
      <c r="E10" t="s">
        <v>125</v>
      </c>
      <c r="G10" t="s">
        <v>126</v>
      </c>
      <c r="H10">
        <v>0.5</v>
      </c>
      <c r="I10">
        <v>29</v>
      </c>
      <c r="J10" t="s">
        <v>697</v>
      </c>
      <c r="K10" t="s">
        <v>689</v>
      </c>
      <c r="L10" t="s">
        <v>22</v>
      </c>
      <c r="M10" t="s">
        <v>631</v>
      </c>
    </row>
    <row r="11" spans="1:13" x14ac:dyDescent="0.25">
      <c r="A11" t="s">
        <v>629</v>
      </c>
      <c r="B11" t="s">
        <v>113</v>
      </c>
      <c r="C11" t="s">
        <v>613</v>
      </c>
      <c r="D11" t="s">
        <v>60</v>
      </c>
      <c r="E11" t="s">
        <v>127</v>
      </c>
      <c r="G11" t="s">
        <v>128</v>
      </c>
      <c r="H11">
        <v>0.5</v>
      </c>
      <c r="I11" t="s">
        <v>129</v>
      </c>
      <c r="J11" t="s">
        <v>697</v>
      </c>
      <c r="K11" t="s">
        <v>689</v>
      </c>
      <c r="L11" t="s">
        <v>22</v>
      </c>
      <c r="M11" t="s">
        <v>631</v>
      </c>
    </row>
    <row r="12" spans="1:13" x14ac:dyDescent="0.25">
      <c r="A12" t="s">
        <v>629</v>
      </c>
      <c r="B12" t="s">
        <v>144</v>
      </c>
      <c r="C12" t="s">
        <v>146</v>
      </c>
      <c r="D12" t="s">
        <v>56</v>
      </c>
      <c r="E12" t="s">
        <v>127</v>
      </c>
      <c r="G12" t="s">
        <v>161</v>
      </c>
      <c r="H12">
        <v>0.5</v>
      </c>
      <c r="I12">
        <v>6</v>
      </c>
      <c r="J12" t="s">
        <v>698</v>
      </c>
      <c r="K12" t="s">
        <v>689</v>
      </c>
      <c r="L12" t="s">
        <v>22</v>
      </c>
      <c r="M12" t="s">
        <v>631</v>
      </c>
    </row>
    <row r="13" spans="1:13" x14ac:dyDescent="0.25">
      <c r="A13" t="s">
        <v>629</v>
      </c>
      <c r="B13" t="s">
        <v>144</v>
      </c>
      <c r="C13" t="s">
        <v>146</v>
      </c>
      <c r="D13" t="s">
        <v>60</v>
      </c>
      <c r="E13" t="s">
        <v>29</v>
      </c>
      <c r="G13" t="s">
        <v>162</v>
      </c>
      <c r="H13">
        <v>0.5</v>
      </c>
      <c r="I13">
        <v>12</v>
      </c>
      <c r="J13" t="s">
        <v>698</v>
      </c>
      <c r="K13" t="s">
        <v>689</v>
      </c>
      <c r="L13" t="s">
        <v>22</v>
      </c>
      <c r="M13" t="s">
        <v>631</v>
      </c>
    </row>
    <row r="14" spans="1:13" x14ac:dyDescent="0.25">
      <c r="A14" t="s">
        <v>629</v>
      </c>
      <c r="B14" t="s">
        <v>193</v>
      </c>
      <c r="C14" t="s">
        <v>195</v>
      </c>
      <c r="D14" t="s">
        <v>56</v>
      </c>
      <c r="E14" t="s">
        <v>57</v>
      </c>
      <c r="F14" t="s">
        <v>204</v>
      </c>
      <c r="G14" t="s">
        <v>205</v>
      </c>
      <c r="H14">
        <v>0.5</v>
      </c>
      <c r="I14">
        <v>6</v>
      </c>
      <c r="J14" t="s">
        <v>699</v>
      </c>
      <c r="K14" t="s">
        <v>689</v>
      </c>
      <c r="L14" t="s">
        <v>22</v>
      </c>
      <c r="M14" t="s">
        <v>631</v>
      </c>
    </row>
    <row r="15" spans="1:13" x14ac:dyDescent="0.25">
      <c r="A15" t="s">
        <v>629</v>
      </c>
      <c r="B15" t="s">
        <v>193</v>
      </c>
      <c r="C15" t="s">
        <v>195</v>
      </c>
      <c r="D15" t="s">
        <v>60</v>
      </c>
      <c r="E15" t="s">
        <v>206</v>
      </c>
      <c r="F15" t="s">
        <v>207</v>
      </c>
      <c r="G15" t="s">
        <v>208</v>
      </c>
      <c r="H15">
        <v>0.5</v>
      </c>
      <c r="I15">
        <v>12</v>
      </c>
      <c r="J15" t="s">
        <v>699</v>
      </c>
      <c r="K15" t="s">
        <v>689</v>
      </c>
      <c r="L15" t="s">
        <v>22</v>
      </c>
      <c r="M15" t="s">
        <v>631</v>
      </c>
    </row>
    <row r="16" spans="1:13" x14ac:dyDescent="0.25">
      <c r="A16" t="s">
        <v>629</v>
      </c>
      <c r="B16" t="s">
        <v>236</v>
      </c>
      <c r="C16" t="s">
        <v>237</v>
      </c>
      <c r="D16" t="s">
        <v>56</v>
      </c>
      <c r="E16" t="s">
        <v>127</v>
      </c>
      <c r="F16" t="s">
        <v>250</v>
      </c>
      <c r="G16" t="s">
        <v>251</v>
      </c>
      <c r="H16">
        <v>0.5</v>
      </c>
      <c r="I16" t="s">
        <v>252</v>
      </c>
      <c r="J16" t="s">
        <v>700</v>
      </c>
      <c r="K16" t="s">
        <v>689</v>
      </c>
      <c r="L16" t="s">
        <v>22</v>
      </c>
      <c r="M16" t="s">
        <v>631</v>
      </c>
    </row>
    <row r="17" spans="1:13" x14ac:dyDescent="0.25">
      <c r="A17" t="s">
        <v>629</v>
      </c>
      <c r="B17" t="s">
        <v>236</v>
      </c>
      <c r="C17" t="s">
        <v>237</v>
      </c>
      <c r="D17" t="s">
        <v>60</v>
      </c>
      <c r="E17" t="s">
        <v>127</v>
      </c>
      <c r="F17" t="s">
        <v>250</v>
      </c>
      <c r="G17" t="s">
        <v>253</v>
      </c>
      <c r="H17">
        <v>0.5</v>
      </c>
      <c r="I17" t="s">
        <v>254</v>
      </c>
      <c r="J17" t="s">
        <v>700</v>
      </c>
      <c r="K17" t="s">
        <v>689</v>
      </c>
      <c r="L17" t="s">
        <v>22</v>
      </c>
      <c r="M17" t="s">
        <v>631</v>
      </c>
    </row>
    <row r="18" spans="1:13" x14ac:dyDescent="0.25">
      <c r="A18" t="s">
        <v>629</v>
      </c>
      <c r="B18" t="s">
        <v>267</v>
      </c>
      <c r="C18" t="s">
        <v>269</v>
      </c>
      <c r="D18" t="s">
        <v>56</v>
      </c>
      <c r="E18" t="s">
        <v>125</v>
      </c>
      <c r="F18" t="s">
        <v>278</v>
      </c>
      <c r="G18" t="s">
        <v>279</v>
      </c>
      <c r="H18">
        <v>0.4</v>
      </c>
      <c r="I18">
        <v>25</v>
      </c>
      <c r="J18" t="s">
        <v>701</v>
      </c>
      <c r="K18" t="s">
        <v>689</v>
      </c>
      <c r="L18" t="s">
        <v>22</v>
      </c>
      <c r="M18" t="s">
        <v>631</v>
      </c>
    </row>
    <row r="19" spans="1:13" x14ac:dyDescent="0.25">
      <c r="A19" t="s">
        <v>629</v>
      </c>
      <c r="B19" t="s">
        <v>267</v>
      </c>
      <c r="C19" t="s">
        <v>269</v>
      </c>
      <c r="D19" t="s">
        <v>60</v>
      </c>
      <c r="E19" t="s">
        <v>206</v>
      </c>
      <c r="F19" t="s">
        <v>61</v>
      </c>
      <c r="G19" t="s">
        <v>280</v>
      </c>
      <c r="H19">
        <v>0.6</v>
      </c>
      <c r="I19">
        <v>32</v>
      </c>
      <c r="J19" t="s">
        <v>701</v>
      </c>
      <c r="K19" t="s">
        <v>689</v>
      </c>
      <c r="L19" t="s">
        <v>22</v>
      </c>
      <c r="M19" t="s">
        <v>631</v>
      </c>
    </row>
    <row r="20" spans="1:13" x14ac:dyDescent="0.25">
      <c r="A20" t="s">
        <v>629</v>
      </c>
      <c r="B20" t="s">
        <v>294</v>
      </c>
      <c r="C20" t="s">
        <v>296</v>
      </c>
      <c r="D20" t="s">
        <v>56</v>
      </c>
      <c r="E20" t="s">
        <v>125</v>
      </c>
      <c r="F20" t="s">
        <v>278</v>
      </c>
      <c r="G20" t="s">
        <v>306</v>
      </c>
      <c r="H20">
        <v>0.4</v>
      </c>
      <c r="I20">
        <v>8</v>
      </c>
      <c r="J20" t="s">
        <v>702</v>
      </c>
      <c r="K20" t="s">
        <v>689</v>
      </c>
      <c r="L20" t="s">
        <v>22</v>
      </c>
      <c r="M20" t="s">
        <v>631</v>
      </c>
    </row>
    <row r="21" spans="1:13" x14ac:dyDescent="0.25">
      <c r="A21" t="s">
        <v>629</v>
      </c>
      <c r="B21" t="s">
        <v>294</v>
      </c>
      <c r="C21" t="s">
        <v>296</v>
      </c>
      <c r="D21" t="s">
        <v>60</v>
      </c>
      <c r="E21" t="s">
        <v>206</v>
      </c>
      <c r="F21" t="s">
        <v>307</v>
      </c>
      <c r="G21" t="s">
        <v>308</v>
      </c>
      <c r="H21">
        <v>0.6</v>
      </c>
      <c r="I21" t="s">
        <v>309</v>
      </c>
      <c r="J21" t="s">
        <v>702</v>
      </c>
      <c r="K21" t="s">
        <v>689</v>
      </c>
      <c r="L21" t="s">
        <v>22</v>
      </c>
      <c r="M21" t="s">
        <v>631</v>
      </c>
    </row>
    <row r="22" spans="1:13" x14ac:dyDescent="0.25">
      <c r="A22" t="s">
        <v>629</v>
      </c>
      <c r="B22" t="s">
        <v>332</v>
      </c>
      <c r="C22" t="s">
        <v>334</v>
      </c>
      <c r="D22" t="s">
        <v>56</v>
      </c>
      <c r="E22" t="s">
        <v>206</v>
      </c>
      <c r="F22" t="s">
        <v>341</v>
      </c>
      <c r="G22" t="s">
        <v>342</v>
      </c>
      <c r="H22">
        <v>0.6</v>
      </c>
      <c r="I22">
        <v>8</v>
      </c>
      <c r="J22" t="s">
        <v>703</v>
      </c>
      <c r="K22" t="s">
        <v>689</v>
      </c>
      <c r="L22" t="s">
        <v>22</v>
      </c>
      <c r="M22" t="s">
        <v>631</v>
      </c>
    </row>
    <row r="23" spans="1:13" x14ac:dyDescent="0.25">
      <c r="A23" t="s">
        <v>629</v>
      </c>
      <c r="B23" t="s">
        <v>332</v>
      </c>
      <c r="C23" t="s">
        <v>334</v>
      </c>
      <c r="D23" t="s">
        <v>60</v>
      </c>
      <c r="E23" t="s">
        <v>125</v>
      </c>
      <c r="F23" t="s">
        <v>278</v>
      </c>
      <c r="G23" t="s">
        <v>343</v>
      </c>
      <c r="H23">
        <v>0.4</v>
      </c>
      <c r="I23">
        <v>17</v>
      </c>
      <c r="J23" t="s">
        <v>703</v>
      </c>
      <c r="K23" t="s">
        <v>689</v>
      </c>
      <c r="L23" t="s">
        <v>22</v>
      </c>
      <c r="M23" t="s">
        <v>631</v>
      </c>
    </row>
    <row r="24" spans="1:13" x14ac:dyDescent="0.25">
      <c r="A24" t="s">
        <v>629</v>
      </c>
      <c r="B24" t="s">
        <v>360</v>
      </c>
      <c r="C24" t="s">
        <v>614</v>
      </c>
      <c r="D24" t="s">
        <v>56</v>
      </c>
      <c r="E24" t="s">
        <v>206</v>
      </c>
      <c r="F24" t="s">
        <v>207</v>
      </c>
      <c r="G24" t="s">
        <v>374</v>
      </c>
      <c r="H24">
        <v>0.5</v>
      </c>
      <c r="I24">
        <v>8</v>
      </c>
      <c r="J24" t="s">
        <v>704</v>
      </c>
      <c r="K24" t="s">
        <v>689</v>
      </c>
      <c r="L24" t="s">
        <v>22</v>
      </c>
      <c r="M24" t="s">
        <v>631</v>
      </c>
    </row>
    <row r="25" spans="1:13" x14ac:dyDescent="0.25">
      <c r="A25" t="s">
        <v>629</v>
      </c>
      <c r="B25" t="s">
        <v>360</v>
      </c>
      <c r="C25" t="s">
        <v>614</v>
      </c>
      <c r="D25" t="s">
        <v>60</v>
      </c>
      <c r="E25" t="s">
        <v>127</v>
      </c>
      <c r="F25" t="s">
        <v>375</v>
      </c>
      <c r="G25" t="s">
        <v>376</v>
      </c>
      <c r="H25">
        <v>0.5</v>
      </c>
      <c r="I25" t="s">
        <v>377</v>
      </c>
      <c r="J25" t="s">
        <v>704</v>
      </c>
      <c r="K25" t="s">
        <v>689</v>
      </c>
      <c r="L25" t="s">
        <v>22</v>
      </c>
      <c r="M25" t="s">
        <v>631</v>
      </c>
    </row>
    <row r="26" spans="1:13" x14ac:dyDescent="0.25">
      <c r="A26" t="s">
        <v>629</v>
      </c>
      <c r="B26" t="s">
        <v>390</v>
      </c>
      <c r="C26" t="s">
        <v>392</v>
      </c>
      <c r="D26" t="s">
        <v>56</v>
      </c>
      <c r="E26" t="s">
        <v>125</v>
      </c>
      <c r="F26" t="s">
        <v>402</v>
      </c>
      <c r="G26" t="s">
        <v>403</v>
      </c>
      <c r="H26">
        <v>0.5</v>
      </c>
      <c r="I26">
        <v>8</v>
      </c>
      <c r="J26" t="s">
        <v>705</v>
      </c>
      <c r="K26" t="s">
        <v>689</v>
      </c>
      <c r="L26" t="s">
        <v>22</v>
      </c>
      <c r="M26" t="s">
        <v>631</v>
      </c>
    </row>
    <row r="27" spans="1:13" x14ac:dyDescent="0.25">
      <c r="A27" t="s">
        <v>629</v>
      </c>
      <c r="B27" t="s">
        <v>390</v>
      </c>
      <c r="C27" t="s">
        <v>392</v>
      </c>
      <c r="D27" t="s">
        <v>60</v>
      </c>
      <c r="E27" t="s">
        <v>127</v>
      </c>
      <c r="F27" t="s">
        <v>127</v>
      </c>
      <c r="G27" t="s">
        <v>404</v>
      </c>
      <c r="H27">
        <v>0.5</v>
      </c>
      <c r="I27" t="s">
        <v>309</v>
      </c>
      <c r="J27" t="s">
        <v>705</v>
      </c>
      <c r="K27" t="s">
        <v>689</v>
      </c>
      <c r="L27" t="s">
        <v>22</v>
      </c>
      <c r="M27" t="s">
        <v>631</v>
      </c>
    </row>
    <row r="28" spans="1:13" x14ac:dyDescent="0.25">
      <c r="A28" t="s">
        <v>629</v>
      </c>
      <c r="B28" t="s">
        <v>430</v>
      </c>
      <c r="C28" t="s">
        <v>432</v>
      </c>
      <c r="D28" t="s">
        <v>56</v>
      </c>
      <c r="E28" t="s">
        <v>206</v>
      </c>
      <c r="G28" t="s">
        <v>442</v>
      </c>
      <c r="H28">
        <v>0.5</v>
      </c>
      <c r="I28">
        <v>8</v>
      </c>
      <c r="J28" t="s">
        <v>707</v>
      </c>
      <c r="K28" t="s">
        <v>689</v>
      </c>
      <c r="L28" t="s">
        <v>22</v>
      </c>
      <c r="M28" t="s">
        <v>631</v>
      </c>
    </row>
    <row r="29" spans="1:13" x14ac:dyDescent="0.25">
      <c r="A29" t="s">
        <v>629</v>
      </c>
      <c r="B29" t="s">
        <v>430</v>
      </c>
      <c r="C29" t="s">
        <v>432</v>
      </c>
      <c r="D29" t="s">
        <v>60</v>
      </c>
      <c r="E29" t="s">
        <v>127</v>
      </c>
      <c r="F29" t="s">
        <v>375</v>
      </c>
      <c r="G29" t="s">
        <v>443</v>
      </c>
      <c r="H29">
        <v>0.5</v>
      </c>
      <c r="I29">
        <v>17</v>
      </c>
      <c r="J29" t="s">
        <v>707</v>
      </c>
      <c r="K29" t="s">
        <v>689</v>
      </c>
      <c r="L29" t="s">
        <v>22</v>
      </c>
      <c r="M29" t="s">
        <v>631</v>
      </c>
    </row>
    <row r="30" spans="1:13" x14ac:dyDescent="0.25">
      <c r="A30" t="s">
        <v>629</v>
      </c>
      <c r="B30" t="s">
        <v>465</v>
      </c>
      <c r="C30" t="s">
        <v>466</v>
      </c>
      <c r="D30" t="s">
        <v>56</v>
      </c>
      <c r="E30" t="s">
        <v>125</v>
      </c>
      <c r="F30" t="s">
        <v>278</v>
      </c>
      <c r="G30" t="s">
        <v>476</v>
      </c>
      <c r="H30">
        <v>0.4</v>
      </c>
      <c r="I30">
        <v>12</v>
      </c>
      <c r="J30" t="s">
        <v>706</v>
      </c>
      <c r="K30" t="s">
        <v>689</v>
      </c>
      <c r="L30" t="s">
        <v>22</v>
      </c>
      <c r="M30" t="s">
        <v>631</v>
      </c>
    </row>
    <row r="31" spans="1:13" x14ac:dyDescent="0.25">
      <c r="A31" t="s">
        <v>629</v>
      </c>
      <c r="B31" t="s">
        <v>465</v>
      </c>
      <c r="C31" t="s">
        <v>466</v>
      </c>
      <c r="D31" t="s">
        <v>60</v>
      </c>
      <c r="E31" t="s">
        <v>125</v>
      </c>
      <c r="F31" t="s">
        <v>477</v>
      </c>
      <c r="G31" t="s">
        <v>478</v>
      </c>
      <c r="H31">
        <v>0.6</v>
      </c>
      <c r="I31">
        <v>12</v>
      </c>
      <c r="J31" t="s">
        <v>706</v>
      </c>
      <c r="K31" t="s">
        <v>689</v>
      </c>
      <c r="L31" t="s">
        <v>22</v>
      </c>
      <c r="M31" t="s">
        <v>631</v>
      </c>
    </row>
    <row r="32" spans="1:13" x14ac:dyDescent="0.25">
      <c r="A32" t="s">
        <v>629</v>
      </c>
      <c r="B32" t="s">
        <v>512</v>
      </c>
      <c r="C32" t="s">
        <v>513</v>
      </c>
      <c r="D32" t="s">
        <v>56</v>
      </c>
      <c r="E32" t="s">
        <v>206</v>
      </c>
      <c r="F32" t="s">
        <v>61</v>
      </c>
      <c r="G32" t="s">
        <v>522</v>
      </c>
      <c r="H32">
        <v>0.5</v>
      </c>
      <c r="I32">
        <v>6</v>
      </c>
      <c r="J32" t="s">
        <v>708</v>
      </c>
      <c r="K32" t="s">
        <v>689</v>
      </c>
      <c r="L32" t="s">
        <v>22</v>
      </c>
      <c r="M32" t="s">
        <v>631</v>
      </c>
    </row>
    <row r="33" spans="1:13" x14ac:dyDescent="0.25">
      <c r="A33" t="s">
        <v>629</v>
      </c>
      <c r="B33" t="s">
        <v>512</v>
      </c>
      <c r="C33" t="s">
        <v>513</v>
      </c>
      <c r="D33" t="s">
        <v>60</v>
      </c>
      <c r="E33" t="s">
        <v>127</v>
      </c>
      <c r="F33" t="s">
        <v>250</v>
      </c>
      <c r="G33" t="s">
        <v>523</v>
      </c>
      <c r="H33">
        <v>0.5</v>
      </c>
      <c r="I33" t="s">
        <v>524</v>
      </c>
      <c r="J33" t="s">
        <v>708</v>
      </c>
      <c r="K33" t="s">
        <v>689</v>
      </c>
      <c r="L33" t="s">
        <v>22</v>
      </c>
      <c r="M33" t="s">
        <v>631</v>
      </c>
    </row>
    <row r="34" spans="1:13" x14ac:dyDescent="0.25">
      <c r="A34" t="s">
        <v>629</v>
      </c>
      <c r="B34" t="s">
        <v>538</v>
      </c>
      <c r="C34" t="s">
        <v>603</v>
      </c>
      <c r="D34" t="s">
        <v>56</v>
      </c>
      <c r="E34" t="s">
        <v>57</v>
      </c>
      <c r="G34" t="s">
        <v>552</v>
      </c>
      <c r="H34">
        <v>0.4</v>
      </c>
      <c r="I34">
        <v>12</v>
      </c>
      <c r="J34" t="s">
        <v>709</v>
      </c>
      <c r="K34" t="s">
        <v>689</v>
      </c>
      <c r="L34" t="s">
        <v>22</v>
      </c>
      <c r="M34" t="s">
        <v>631</v>
      </c>
    </row>
    <row r="35" spans="1:13" x14ac:dyDescent="0.25">
      <c r="A35" t="s">
        <v>629</v>
      </c>
      <c r="B35" t="s">
        <v>538</v>
      </c>
      <c r="C35" t="s">
        <v>603</v>
      </c>
      <c r="D35" t="s">
        <v>60</v>
      </c>
      <c r="E35" t="s">
        <v>206</v>
      </c>
      <c r="F35" t="s">
        <v>375</v>
      </c>
      <c r="G35" t="s">
        <v>553</v>
      </c>
      <c r="H35">
        <v>0.6</v>
      </c>
      <c r="I35">
        <v>12</v>
      </c>
      <c r="J35" t="s">
        <v>709</v>
      </c>
      <c r="K35" t="s">
        <v>689</v>
      </c>
      <c r="L35" t="s">
        <v>22</v>
      </c>
      <c r="M35" t="s">
        <v>631</v>
      </c>
    </row>
  </sheetData>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A787C-88E5-469F-B5CB-860D0226D814}">
  <sheetPr codeName="Sheet24"/>
  <dimension ref="A1:I52"/>
  <sheetViews>
    <sheetView workbookViewId="0">
      <selection activeCell="H14" sqref="H14"/>
    </sheetView>
  </sheetViews>
  <sheetFormatPr defaultColWidth="8.85546875" defaultRowHeight="15" x14ac:dyDescent="0.25"/>
  <cols>
    <col min="1" max="1" width="49" bestFit="1" customWidth="1"/>
    <col min="2" max="2" width="16" bestFit="1" customWidth="1"/>
    <col min="3" max="3" width="14.85546875" bestFit="1" customWidth="1"/>
    <col min="4" max="4" width="63.140625" bestFit="1" customWidth="1"/>
    <col min="5" max="5" width="13.42578125" bestFit="1" customWidth="1"/>
    <col min="6" max="6" width="81.140625" bestFit="1" customWidth="1"/>
    <col min="7" max="7" width="13.42578125" bestFit="1" customWidth="1"/>
    <col min="8" max="8" width="12.7109375" bestFit="1" customWidth="1"/>
    <col min="9" max="9" width="12.140625" bestFit="1" customWidth="1"/>
  </cols>
  <sheetData>
    <row r="1" spans="1:9" x14ac:dyDescent="0.25">
      <c r="A1" t="s">
        <v>625</v>
      </c>
      <c r="B1" t="s">
        <v>626</v>
      </c>
      <c r="C1" t="s">
        <v>609</v>
      </c>
      <c r="D1" t="s">
        <v>610</v>
      </c>
      <c r="E1" t="s">
        <v>37</v>
      </c>
      <c r="F1" t="s">
        <v>38</v>
      </c>
      <c r="G1" t="s">
        <v>627</v>
      </c>
      <c r="H1" t="s">
        <v>649</v>
      </c>
      <c r="I1" t="s">
        <v>628</v>
      </c>
    </row>
    <row r="2" spans="1:9" x14ac:dyDescent="0.25">
      <c r="A2" s="77" t="s">
        <v>645</v>
      </c>
      <c r="B2" t="s">
        <v>22</v>
      </c>
      <c r="C2" t="s">
        <v>615</v>
      </c>
      <c r="D2" s="77" t="s">
        <v>616</v>
      </c>
      <c r="E2" t="s">
        <v>39</v>
      </c>
      <c r="F2" t="s">
        <v>710</v>
      </c>
      <c r="G2" t="s">
        <v>711</v>
      </c>
      <c r="H2" t="s">
        <v>712</v>
      </c>
      <c r="I2" t="s">
        <v>631</v>
      </c>
    </row>
    <row r="3" spans="1:9" x14ac:dyDescent="0.25">
      <c r="A3" s="77" t="s">
        <v>645</v>
      </c>
      <c r="B3" t="s">
        <v>22</v>
      </c>
      <c r="C3" t="s">
        <v>615</v>
      </c>
      <c r="D3" s="77" t="s">
        <v>616</v>
      </c>
      <c r="E3" t="s">
        <v>41</v>
      </c>
      <c r="F3" t="s">
        <v>713</v>
      </c>
      <c r="G3" t="s">
        <v>711</v>
      </c>
      <c r="H3" t="s">
        <v>712</v>
      </c>
      <c r="I3" t="s">
        <v>631</v>
      </c>
    </row>
    <row r="4" spans="1:9" x14ac:dyDescent="0.25">
      <c r="A4" s="77" t="s">
        <v>645</v>
      </c>
      <c r="B4" t="s">
        <v>22</v>
      </c>
      <c r="C4" t="s">
        <v>619</v>
      </c>
      <c r="D4" s="77" t="s">
        <v>620</v>
      </c>
      <c r="E4" t="s">
        <v>39</v>
      </c>
      <c r="F4" t="s">
        <v>714</v>
      </c>
      <c r="G4" t="s">
        <v>715</v>
      </c>
      <c r="H4" t="s">
        <v>712</v>
      </c>
      <c r="I4" t="s">
        <v>631</v>
      </c>
    </row>
    <row r="5" spans="1:9" x14ac:dyDescent="0.25">
      <c r="A5" s="77" t="s">
        <v>645</v>
      </c>
      <c r="B5" t="s">
        <v>22</v>
      </c>
      <c r="C5" t="s">
        <v>619</v>
      </c>
      <c r="D5" s="77" t="s">
        <v>620</v>
      </c>
      <c r="E5" t="s">
        <v>41</v>
      </c>
      <c r="F5" t="s">
        <v>797</v>
      </c>
      <c r="G5" t="s">
        <v>715</v>
      </c>
      <c r="H5" t="s">
        <v>712</v>
      </c>
      <c r="I5" t="s">
        <v>631</v>
      </c>
    </row>
    <row r="6" spans="1:9" x14ac:dyDescent="0.25">
      <c r="A6" s="77" t="s">
        <v>645</v>
      </c>
      <c r="B6" t="s">
        <v>22</v>
      </c>
      <c r="C6" t="s">
        <v>619</v>
      </c>
      <c r="D6" s="77" t="s">
        <v>620</v>
      </c>
      <c r="E6" t="s">
        <v>43</v>
      </c>
      <c r="F6" t="s">
        <v>716</v>
      </c>
      <c r="G6" t="s">
        <v>715</v>
      </c>
      <c r="H6" t="s">
        <v>712</v>
      </c>
      <c r="I6" t="s">
        <v>631</v>
      </c>
    </row>
    <row r="7" spans="1:9" x14ac:dyDescent="0.25">
      <c r="A7" s="77" t="s">
        <v>645</v>
      </c>
      <c r="B7" t="s">
        <v>22</v>
      </c>
      <c r="C7" t="s">
        <v>622</v>
      </c>
      <c r="D7" s="77" t="s">
        <v>593</v>
      </c>
      <c r="E7" t="s">
        <v>39</v>
      </c>
      <c r="F7" t="s">
        <v>717</v>
      </c>
      <c r="G7" t="s">
        <v>718</v>
      </c>
      <c r="H7" t="s">
        <v>712</v>
      </c>
      <c r="I7" t="s">
        <v>631</v>
      </c>
    </row>
    <row r="8" spans="1:9" x14ac:dyDescent="0.25">
      <c r="A8" s="77" t="s">
        <v>645</v>
      </c>
      <c r="B8" t="s">
        <v>22</v>
      </c>
      <c r="C8" t="s">
        <v>622</v>
      </c>
      <c r="D8" s="77" t="s">
        <v>593</v>
      </c>
      <c r="E8" t="s">
        <v>41</v>
      </c>
      <c r="F8" t="s">
        <v>719</v>
      </c>
      <c r="G8" t="s">
        <v>718</v>
      </c>
      <c r="H8" t="s">
        <v>712</v>
      </c>
      <c r="I8" t="s">
        <v>631</v>
      </c>
    </row>
    <row r="9" spans="1:9" x14ac:dyDescent="0.25">
      <c r="A9" s="77" t="s">
        <v>645</v>
      </c>
      <c r="B9" t="s">
        <v>22</v>
      </c>
      <c r="C9" t="s">
        <v>622</v>
      </c>
      <c r="D9" s="77" t="s">
        <v>593</v>
      </c>
      <c r="E9" t="s">
        <v>43</v>
      </c>
      <c r="F9" t="s">
        <v>720</v>
      </c>
      <c r="G9" t="s">
        <v>718</v>
      </c>
      <c r="H9" t="s">
        <v>712</v>
      </c>
      <c r="I9" t="s">
        <v>631</v>
      </c>
    </row>
    <row r="10" spans="1:9" x14ac:dyDescent="0.25">
      <c r="A10" s="77" t="s">
        <v>629</v>
      </c>
      <c r="B10" t="s">
        <v>22</v>
      </c>
      <c r="C10" t="s">
        <v>5</v>
      </c>
      <c r="D10" s="77" t="s">
        <v>8</v>
      </c>
      <c r="E10" t="s">
        <v>39</v>
      </c>
      <c r="F10" t="s">
        <v>40</v>
      </c>
      <c r="G10" t="s">
        <v>721</v>
      </c>
      <c r="H10" t="s">
        <v>712</v>
      </c>
      <c r="I10" t="s">
        <v>631</v>
      </c>
    </row>
    <row r="11" spans="1:9" x14ac:dyDescent="0.25">
      <c r="A11" s="77" t="s">
        <v>629</v>
      </c>
      <c r="B11" t="s">
        <v>22</v>
      </c>
      <c r="C11" t="s">
        <v>5</v>
      </c>
      <c r="D11" s="77" t="s">
        <v>8</v>
      </c>
      <c r="E11" t="s">
        <v>41</v>
      </c>
      <c r="F11" t="s">
        <v>42</v>
      </c>
      <c r="G11" t="s">
        <v>721</v>
      </c>
      <c r="H11" t="s">
        <v>712</v>
      </c>
      <c r="I11" t="s">
        <v>631</v>
      </c>
    </row>
    <row r="12" spans="1:9" x14ac:dyDescent="0.25">
      <c r="A12" s="77" t="s">
        <v>629</v>
      </c>
      <c r="B12" t="s">
        <v>22</v>
      </c>
      <c r="C12" t="s">
        <v>5</v>
      </c>
      <c r="D12" s="77" t="s">
        <v>8</v>
      </c>
      <c r="E12" t="s">
        <v>43</v>
      </c>
      <c r="F12" t="s">
        <v>44</v>
      </c>
      <c r="G12" t="s">
        <v>721</v>
      </c>
      <c r="H12" t="s">
        <v>712</v>
      </c>
      <c r="I12" t="s">
        <v>631</v>
      </c>
    </row>
    <row r="13" spans="1:9" x14ac:dyDescent="0.25">
      <c r="A13" s="77" t="s">
        <v>629</v>
      </c>
      <c r="B13" t="s">
        <v>22</v>
      </c>
      <c r="C13" t="s">
        <v>5</v>
      </c>
      <c r="D13" s="77" t="s">
        <v>8</v>
      </c>
      <c r="E13" t="s">
        <v>45</v>
      </c>
      <c r="F13" t="s">
        <v>46</v>
      </c>
      <c r="G13" t="s">
        <v>721</v>
      </c>
      <c r="H13" t="s">
        <v>712</v>
      </c>
      <c r="I13" t="s">
        <v>631</v>
      </c>
    </row>
    <row r="14" spans="1:9" x14ac:dyDescent="0.25">
      <c r="A14" s="77" t="s">
        <v>629</v>
      </c>
      <c r="B14" t="s">
        <v>22</v>
      </c>
      <c r="C14" t="s">
        <v>5</v>
      </c>
      <c r="D14" s="77" t="s">
        <v>8</v>
      </c>
      <c r="E14" t="s">
        <v>47</v>
      </c>
      <c r="F14" t="s">
        <v>48</v>
      </c>
      <c r="G14" t="s">
        <v>721</v>
      </c>
      <c r="H14" t="s">
        <v>712</v>
      </c>
      <c r="I14" t="s">
        <v>631</v>
      </c>
    </row>
    <row r="15" spans="1:9" x14ac:dyDescent="0.25">
      <c r="A15" s="77" t="s">
        <v>629</v>
      </c>
      <c r="B15" t="s">
        <v>22</v>
      </c>
      <c r="C15" t="s">
        <v>113</v>
      </c>
      <c r="D15" s="77" t="s">
        <v>613</v>
      </c>
      <c r="E15" t="s">
        <v>39</v>
      </c>
      <c r="F15" t="s">
        <v>122</v>
      </c>
      <c r="G15" t="s">
        <v>722</v>
      </c>
      <c r="H15" t="s">
        <v>712</v>
      </c>
      <c r="I15" t="s">
        <v>631</v>
      </c>
    </row>
    <row r="16" spans="1:9" x14ac:dyDescent="0.25">
      <c r="A16" s="77" t="s">
        <v>629</v>
      </c>
      <c r="B16" t="s">
        <v>22</v>
      </c>
      <c r="C16" t="s">
        <v>113</v>
      </c>
      <c r="D16" s="77" t="s">
        <v>613</v>
      </c>
      <c r="E16" t="s">
        <v>41</v>
      </c>
      <c r="F16" t="s">
        <v>123</v>
      </c>
      <c r="G16" t="s">
        <v>722</v>
      </c>
      <c r="H16" t="s">
        <v>712</v>
      </c>
      <c r="I16" t="s">
        <v>631</v>
      </c>
    </row>
    <row r="17" spans="1:9" x14ac:dyDescent="0.25">
      <c r="A17" s="77" t="s">
        <v>629</v>
      </c>
      <c r="B17" t="s">
        <v>22</v>
      </c>
      <c r="C17" t="s">
        <v>113</v>
      </c>
      <c r="D17" s="77" t="s">
        <v>613</v>
      </c>
      <c r="E17" t="s">
        <v>43</v>
      </c>
      <c r="F17" t="s">
        <v>124</v>
      </c>
      <c r="G17" t="s">
        <v>722</v>
      </c>
      <c r="H17" t="s">
        <v>712</v>
      </c>
      <c r="I17" t="s">
        <v>631</v>
      </c>
    </row>
    <row r="18" spans="1:9" x14ac:dyDescent="0.25">
      <c r="A18" s="77" t="s">
        <v>629</v>
      </c>
      <c r="B18" t="s">
        <v>22</v>
      </c>
      <c r="C18" t="s">
        <v>144</v>
      </c>
      <c r="D18" s="77" t="s">
        <v>146</v>
      </c>
      <c r="E18" t="s">
        <v>39</v>
      </c>
      <c r="F18" t="s">
        <v>155</v>
      </c>
      <c r="G18" t="s">
        <v>723</v>
      </c>
      <c r="H18" t="s">
        <v>712</v>
      </c>
      <c r="I18" t="s">
        <v>631</v>
      </c>
    </row>
    <row r="19" spans="1:9" x14ac:dyDescent="0.25">
      <c r="A19" s="77" t="s">
        <v>629</v>
      </c>
      <c r="B19" t="s">
        <v>22</v>
      </c>
      <c r="C19" t="s">
        <v>144</v>
      </c>
      <c r="D19" s="77" t="s">
        <v>146</v>
      </c>
      <c r="E19" t="s">
        <v>41</v>
      </c>
      <c r="F19" t="s">
        <v>156</v>
      </c>
      <c r="G19" t="s">
        <v>723</v>
      </c>
      <c r="H19" t="s">
        <v>712</v>
      </c>
      <c r="I19" t="s">
        <v>631</v>
      </c>
    </row>
    <row r="20" spans="1:9" x14ac:dyDescent="0.25">
      <c r="A20" s="77" t="s">
        <v>629</v>
      </c>
      <c r="B20" t="s">
        <v>22</v>
      </c>
      <c r="C20" t="s">
        <v>144</v>
      </c>
      <c r="D20" s="77" t="s">
        <v>146</v>
      </c>
      <c r="E20" t="s">
        <v>43</v>
      </c>
      <c r="F20" t="s">
        <v>158</v>
      </c>
      <c r="G20" t="s">
        <v>723</v>
      </c>
      <c r="H20" t="s">
        <v>712</v>
      </c>
      <c r="I20" t="s">
        <v>631</v>
      </c>
    </row>
    <row r="21" spans="1:9" x14ac:dyDescent="0.25">
      <c r="A21" s="77" t="s">
        <v>629</v>
      </c>
      <c r="B21" t="s">
        <v>22</v>
      </c>
      <c r="C21" t="s">
        <v>144</v>
      </c>
      <c r="D21" s="77" t="s">
        <v>146</v>
      </c>
      <c r="E21" t="s">
        <v>45</v>
      </c>
      <c r="F21" t="s">
        <v>160</v>
      </c>
      <c r="G21" t="s">
        <v>723</v>
      </c>
      <c r="H21" t="s">
        <v>712</v>
      </c>
      <c r="I21" t="s">
        <v>631</v>
      </c>
    </row>
    <row r="22" spans="1:9" x14ac:dyDescent="0.25">
      <c r="A22" s="77" t="s">
        <v>629</v>
      </c>
      <c r="B22" t="s">
        <v>22</v>
      </c>
      <c r="C22" t="s">
        <v>193</v>
      </c>
      <c r="D22" s="77" t="s">
        <v>195</v>
      </c>
      <c r="E22" t="s">
        <v>39</v>
      </c>
      <c r="F22" t="s">
        <v>201</v>
      </c>
      <c r="G22" t="s">
        <v>724</v>
      </c>
      <c r="H22" t="s">
        <v>712</v>
      </c>
      <c r="I22" t="s">
        <v>631</v>
      </c>
    </row>
    <row r="23" spans="1:9" x14ac:dyDescent="0.25">
      <c r="A23" s="77" t="s">
        <v>629</v>
      </c>
      <c r="B23" t="s">
        <v>22</v>
      </c>
      <c r="C23" t="s">
        <v>193</v>
      </c>
      <c r="D23" s="77" t="s">
        <v>195</v>
      </c>
      <c r="E23" t="s">
        <v>41</v>
      </c>
      <c r="F23" t="s">
        <v>202</v>
      </c>
      <c r="G23" t="s">
        <v>724</v>
      </c>
      <c r="H23" t="s">
        <v>712</v>
      </c>
      <c r="I23" t="s">
        <v>631</v>
      </c>
    </row>
    <row r="24" spans="1:9" x14ac:dyDescent="0.25">
      <c r="A24" s="77" t="s">
        <v>629</v>
      </c>
      <c r="B24" t="s">
        <v>22</v>
      </c>
      <c r="C24" t="s">
        <v>193</v>
      </c>
      <c r="D24" s="77" t="s">
        <v>195</v>
      </c>
      <c r="E24" t="s">
        <v>43</v>
      </c>
      <c r="F24" t="s">
        <v>203</v>
      </c>
      <c r="G24" t="s">
        <v>724</v>
      </c>
      <c r="H24" t="s">
        <v>712</v>
      </c>
      <c r="I24" t="s">
        <v>631</v>
      </c>
    </row>
    <row r="25" spans="1:9" x14ac:dyDescent="0.25">
      <c r="A25" s="77" t="s">
        <v>629</v>
      </c>
      <c r="B25" t="s">
        <v>22</v>
      </c>
      <c r="C25" t="s">
        <v>236</v>
      </c>
      <c r="D25" s="77" t="s">
        <v>237</v>
      </c>
      <c r="E25" t="s">
        <v>39</v>
      </c>
      <c r="F25" t="s">
        <v>247</v>
      </c>
      <c r="G25" t="s">
        <v>725</v>
      </c>
      <c r="H25" t="s">
        <v>712</v>
      </c>
      <c r="I25" t="s">
        <v>631</v>
      </c>
    </row>
    <row r="26" spans="1:9" x14ac:dyDescent="0.25">
      <c r="A26" s="77" t="s">
        <v>629</v>
      </c>
      <c r="B26" t="s">
        <v>22</v>
      </c>
      <c r="C26" t="s">
        <v>236</v>
      </c>
      <c r="D26" s="77" t="s">
        <v>237</v>
      </c>
      <c r="E26" t="s">
        <v>41</v>
      </c>
      <c r="F26" t="s">
        <v>248</v>
      </c>
      <c r="G26" t="s">
        <v>725</v>
      </c>
      <c r="H26" t="s">
        <v>712</v>
      </c>
      <c r="I26" t="s">
        <v>631</v>
      </c>
    </row>
    <row r="27" spans="1:9" x14ac:dyDescent="0.25">
      <c r="A27" s="77" t="s">
        <v>629</v>
      </c>
      <c r="B27" t="s">
        <v>22</v>
      </c>
      <c r="C27" t="s">
        <v>236</v>
      </c>
      <c r="D27" s="77" t="s">
        <v>237</v>
      </c>
      <c r="E27" t="s">
        <v>43</v>
      </c>
      <c r="F27" t="s">
        <v>249</v>
      </c>
      <c r="G27" t="s">
        <v>725</v>
      </c>
      <c r="H27" t="s">
        <v>712</v>
      </c>
      <c r="I27" t="s">
        <v>631</v>
      </c>
    </row>
    <row r="28" spans="1:9" x14ac:dyDescent="0.25">
      <c r="A28" s="77" t="s">
        <v>629</v>
      </c>
      <c r="B28" t="s">
        <v>22</v>
      </c>
      <c r="C28" t="s">
        <v>267</v>
      </c>
      <c r="D28" s="77" t="s">
        <v>269</v>
      </c>
      <c r="E28" t="s">
        <v>39</v>
      </c>
      <c r="F28" t="s">
        <v>275</v>
      </c>
      <c r="G28" t="s">
        <v>726</v>
      </c>
      <c r="H28" t="s">
        <v>712</v>
      </c>
      <c r="I28" t="s">
        <v>631</v>
      </c>
    </row>
    <row r="29" spans="1:9" x14ac:dyDescent="0.25">
      <c r="A29" s="77" t="s">
        <v>629</v>
      </c>
      <c r="B29" t="s">
        <v>22</v>
      </c>
      <c r="C29" t="s">
        <v>267</v>
      </c>
      <c r="D29" s="77" t="s">
        <v>269</v>
      </c>
      <c r="E29" t="s">
        <v>41</v>
      </c>
      <c r="F29" t="s">
        <v>276</v>
      </c>
      <c r="G29" t="s">
        <v>726</v>
      </c>
      <c r="H29" t="s">
        <v>712</v>
      </c>
      <c r="I29" t="s">
        <v>631</v>
      </c>
    </row>
    <row r="30" spans="1:9" x14ac:dyDescent="0.25">
      <c r="A30" s="77" t="s">
        <v>629</v>
      </c>
      <c r="B30" t="s">
        <v>22</v>
      </c>
      <c r="C30" t="s">
        <v>267</v>
      </c>
      <c r="D30" s="77" t="s">
        <v>269</v>
      </c>
      <c r="E30" t="s">
        <v>43</v>
      </c>
      <c r="F30" t="s">
        <v>277</v>
      </c>
      <c r="G30" t="s">
        <v>726</v>
      </c>
      <c r="H30" t="s">
        <v>712</v>
      </c>
      <c r="I30" t="s">
        <v>631</v>
      </c>
    </row>
    <row r="31" spans="1:9" x14ac:dyDescent="0.25">
      <c r="A31" s="77" t="s">
        <v>629</v>
      </c>
      <c r="B31" t="s">
        <v>22</v>
      </c>
      <c r="C31" t="s">
        <v>294</v>
      </c>
      <c r="D31" s="77" t="s">
        <v>296</v>
      </c>
      <c r="E31" t="s">
        <v>39</v>
      </c>
      <c r="F31" t="s">
        <v>303</v>
      </c>
      <c r="G31" t="s">
        <v>727</v>
      </c>
      <c r="H31" t="s">
        <v>712</v>
      </c>
      <c r="I31" t="s">
        <v>631</v>
      </c>
    </row>
    <row r="32" spans="1:9" x14ac:dyDescent="0.25">
      <c r="A32" s="77" t="s">
        <v>629</v>
      </c>
      <c r="B32" t="s">
        <v>22</v>
      </c>
      <c r="C32" t="s">
        <v>294</v>
      </c>
      <c r="D32" s="77" t="s">
        <v>296</v>
      </c>
      <c r="E32" t="s">
        <v>41</v>
      </c>
      <c r="F32" t="s">
        <v>304</v>
      </c>
      <c r="G32" t="s">
        <v>727</v>
      </c>
      <c r="H32" t="s">
        <v>712</v>
      </c>
      <c r="I32" t="s">
        <v>631</v>
      </c>
    </row>
    <row r="33" spans="1:9" x14ac:dyDescent="0.25">
      <c r="A33" s="77" t="s">
        <v>629</v>
      </c>
      <c r="B33" t="s">
        <v>22</v>
      </c>
      <c r="C33" t="s">
        <v>294</v>
      </c>
      <c r="D33" s="77" t="s">
        <v>296</v>
      </c>
      <c r="E33" t="s">
        <v>43</v>
      </c>
      <c r="F33" t="s">
        <v>305</v>
      </c>
      <c r="G33" t="s">
        <v>727</v>
      </c>
      <c r="H33" t="s">
        <v>712</v>
      </c>
      <c r="I33" t="s">
        <v>631</v>
      </c>
    </row>
    <row r="34" spans="1:9" x14ac:dyDescent="0.25">
      <c r="A34" s="77" t="s">
        <v>629</v>
      </c>
      <c r="B34" t="s">
        <v>22</v>
      </c>
      <c r="C34" t="s">
        <v>332</v>
      </c>
      <c r="D34" s="77" t="s">
        <v>334</v>
      </c>
      <c r="E34" t="s">
        <v>39</v>
      </c>
      <c r="F34" t="s">
        <v>338</v>
      </c>
      <c r="G34" t="s">
        <v>728</v>
      </c>
      <c r="H34" t="s">
        <v>712</v>
      </c>
      <c r="I34" t="s">
        <v>631</v>
      </c>
    </row>
    <row r="35" spans="1:9" x14ac:dyDescent="0.25">
      <c r="A35" s="77" t="s">
        <v>629</v>
      </c>
      <c r="B35" t="s">
        <v>22</v>
      </c>
      <c r="C35" t="s">
        <v>332</v>
      </c>
      <c r="D35" s="77" t="s">
        <v>334</v>
      </c>
      <c r="E35" t="s">
        <v>41</v>
      </c>
      <c r="F35" t="s">
        <v>339</v>
      </c>
      <c r="G35" t="s">
        <v>728</v>
      </c>
      <c r="H35" t="s">
        <v>712</v>
      </c>
      <c r="I35" t="s">
        <v>631</v>
      </c>
    </row>
    <row r="36" spans="1:9" x14ac:dyDescent="0.25">
      <c r="A36" s="77" t="s">
        <v>629</v>
      </c>
      <c r="B36" t="s">
        <v>22</v>
      </c>
      <c r="C36" t="s">
        <v>332</v>
      </c>
      <c r="D36" s="77" t="s">
        <v>334</v>
      </c>
      <c r="E36" t="s">
        <v>43</v>
      </c>
      <c r="F36" t="s">
        <v>340</v>
      </c>
      <c r="G36" t="s">
        <v>728</v>
      </c>
      <c r="H36" t="s">
        <v>712</v>
      </c>
      <c r="I36" t="s">
        <v>631</v>
      </c>
    </row>
    <row r="37" spans="1:9" x14ac:dyDescent="0.25">
      <c r="A37" s="77" t="s">
        <v>629</v>
      </c>
      <c r="B37" t="s">
        <v>22</v>
      </c>
      <c r="C37" t="s">
        <v>360</v>
      </c>
      <c r="D37" s="77" t="s">
        <v>614</v>
      </c>
      <c r="E37" t="s">
        <v>39</v>
      </c>
      <c r="F37" t="s">
        <v>371</v>
      </c>
      <c r="G37" t="s">
        <v>729</v>
      </c>
      <c r="H37" t="s">
        <v>712</v>
      </c>
      <c r="I37" t="s">
        <v>631</v>
      </c>
    </row>
    <row r="38" spans="1:9" x14ac:dyDescent="0.25">
      <c r="A38" s="77" t="s">
        <v>629</v>
      </c>
      <c r="B38" t="s">
        <v>22</v>
      </c>
      <c r="C38" t="s">
        <v>360</v>
      </c>
      <c r="D38" s="77" t="s">
        <v>614</v>
      </c>
      <c r="E38" t="s">
        <v>41</v>
      </c>
      <c r="F38" t="s">
        <v>372</v>
      </c>
      <c r="G38" t="s">
        <v>729</v>
      </c>
      <c r="H38" t="s">
        <v>712</v>
      </c>
      <c r="I38" t="s">
        <v>631</v>
      </c>
    </row>
    <row r="39" spans="1:9" x14ac:dyDescent="0.25">
      <c r="A39" s="77" t="s">
        <v>629</v>
      </c>
      <c r="B39" t="s">
        <v>22</v>
      </c>
      <c r="C39" t="s">
        <v>360</v>
      </c>
      <c r="D39" s="77" t="s">
        <v>614</v>
      </c>
      <c r="E39" t="s">
        <v>43</v>
      </c>
      <c r="F39" t="s">
        <v>373</v>
      </c>
      <c r="G39" t="s">
        <v>729</v>
      </c>
      <c r="H39" t="s">
        <v>712</v>
      </c>
      <c r="I39" t="s">
        <v>631</v>
      </c>
    </row>
    <row r="40" spans="1:9" x14ac:dyDescent="0.25">
      <c r="A40" s="77" t="s">
        <v>629</v>
      </c>
      <c r="B40" t="s">
        <v>22</v>
      </c>
      <c r="C40" t="s">
        <v>390</v>
      </c>
      <c r="D40" s="77" t="s">
        <v>392</v>
      </c>
      <c r="E40" t="s">
        <v>39</v>
      </c>
      <c r="F40" t="s">
        <v>400</v>
      </c>
      <c r="G40" t="s">
        <v>730</v>
      </c>
      <c r="H40" t="s">
        <v>712</v>
      </c>
      <c r="I40" t="s">
        <v>631</v>
      </c>
    </row>
    <row r="41" spans="1:9" x14ac:dyDescent="0.25">
      <c r="A41" s="77" t="s">
        <v>629</v>
      </c>
      <c r="B41" t="s">
        <v>22</v>
      </c>
      <c r="C41" t="s">
        <v>390</v>
      </c>
      <c r="D41" s="77" t="s">
        <v>392</v>
      </c>
      <c r="E41" t="s">
        <v>41</v>
      </c>
      <c r="F41" t="s">
        <v>401</v>
      </c>
      <c r="G41" t="s">
        <v>730</v>
      </c>
      <c r="H41" t="s">
        <v>712</v>
      </c>
      <c r="I41" t="s">
        <v>631</v>
      </c>
    </row>
    <row r="42" spans="1:9" x14ac:dyDescent="0.25">
      <c r="A42" s="77" t="s">
        <v>629</v>
      </c>
      <c r="B42" t="s">
        <v>22</v>
      </c>
      <c r="C42" t="s">
        <v>430</v>
      </c>
      <c r="D42" s="77" t="s">
        <v>432</v>
      </c>
      <c r="E42" t="s">
        <v>39</v>
      </c>
      <c r="F42" t="s">
        <v>439</v>
      </c>
      <c r="G42" t="s">
        <v>732</v>
      </c>
      <c r="H42" t="s">
        <v>712</v>
      </c>
      <c r="I42" t="s">
        <v>631</v>
      </c>
    </row>
    <row r="43" spans="1:9" x14ac:dyDescent="0.25">
      <c r="A43" s="77" t="s">
        <v>629</v>
      </c>
      <c r="B43" t="s">
        <v>22</v>
      </c>
      <c r="C43" t="s">
        <v>430</v>
      </c>
      <c r="D43" s="77" t="s">
        <v>432</v>
      </c>
      <c r="E43" t="s">
        <v>41</v>
      </c>
      <c r="F43" t="s">
        <v>440</v>
      </c>
      <c r="G43" t="s">
        <v>732</v>
      </c>
      <c r="H43" t="s">
        <v>712</v>
      </c>
      <c r="I43" t="s">
        <v>631</v>
      </c>
    </row>
    <row r="44" spans="1:9" x14ac:dyDescent="0.25">
      <c r="A44" s="77" t="s">
        <v>629</v>
      </c>
      <c r="B44" t="s">
        <v>22</v>
      </c>
      <c r="C44" t="s">
        <v>430</v>
      </c>
      <c r="D44" s="77" t="s">
        <v>432</v>
      </c>
      <c r="E44" t="s">
        <v>43</v>
      </c>
      <c r="F44" t="s">
        <v>441</v>
      </c>
      <c r="G44" t="s">
        <v>732</v>
      </c>
      <c r="H44" t="s">
        <v>712</v>
      </c>
      <c r="I44" t="s">
        <v>631</v>
      </c>
    </row>
    <row r="45" spans="1:9" x14ac:dyDescent="0.25">
      <c r="A45" s="77" t="s">
        <v>629</v>
      </c>
      <c r="B45" t="s">
        <v>22</v>
      </c>
      <c r="C45" t="s">
        <v>465</v>
      </c>
      <c r="D45" s="77" t="s">
        <v>466</v>
      </c>
      <c r="E45" t="s">
        <v>39</v>
      </c>
      <c r="F45" t="s">
        <v>473</v>
      </c>
      <c r="G45" t="s">
        <v>731</v>
      </c>
      <c r="H45" t="s">
        <v>712</v>
      </c>
      <c r="I45" t="s">
        <v>631</v>
      </c>
    </row>
    <row r="46" spans="1:9" x14ac:dyDescent="0.25">
      <c r="A46" s="77" t="s">
        <v>629</v>
      </c>
      <c r="B46" t="s">
        <v>22</v>
      </c>
      <c r="C46" t="s">
        <v>465</v>
      </c>
      <c r="D46" s="77" t="s">
        <v>466</v>
      </c>
      <c r="E46" t="s">
        <v>41</v>
      </c>
      <c r="F46" t="s">
        <v>474</v>
      </c>
      <c r="G46" t="s">
        <v>731</v>
      </c>
      <c r="H46" t="s">
        <v>712</v>
      </c>
      <c r="I46" t="s">
        <v>631</v>
      </c>
    </row>
    <row r="47" spans="1:9" x14ac:dyDescent="0.25">
      <c r="A47" s="77" t="s">
        <v>629</v>
      </c>
      <c r="B47" t="s">
        <v>22</v>
      </c>
      <c r="C47" t="s">
        <v>465</v>
      </c>
      <c r="D47" s="77" t="s">
        <v>466</v>
      </c>
      <c r="E47" t="s">
        <v>43</v>
      </c>
      <c r="F47" t="s">
        <v>475</v>
      </c>
      <c r="G47" t="s">
        <v>731</v>
      </c>
      <c r="H47" t="s">
        <v>712</v>
      </c>
      <c r="I47" t="s">
        <v>631</v>
      </c>
    </row>
    <row r="48" spans="1:9" x14ac:dyDescent="0.25">
      <c r="A48" s="77" t="s">
        <v>629</v>
      </c>
      <c r="B48" t="s">
        <v>22</v>
      </c>
      <c r="C48" t="s">
        <v>512</v>
      </c>
      <c r="D48" s="77" t="s">
        <v>513</v>
      </c>
      <c r="E48" t="s">
        <v>39</v>
      </c>
      <c r="F48" t="s">
        <v>520</v>
      </c>
      <c r="G48" t="s">
        <v>733</v>
      </c>
      <c r="H48" t="s">
        <v>712</v>
      </c>
      <c r="I48" t="s">
        <v>631</v>
      </c>
    </row>
    <row r="49" spans="1:9" x14ac:dyDescent="0.25">
      <c r="A49" s="77" t="s">
        <v>629</v>
      </c>
      <c r="B49" t="s">
        <v>22</v>
      </c>
      <c r="C49" t="s">
        <v>512</v>
      </c>
      <c r="D49" s="77" t="s">
        <v>513</v>
      </c>
      <c r="E49" t="s">
        <v>41</v>
      </c>
      <c r="F49" t="s">
        <v>521</v>
      </c>
      <c r="G49" t="s">
        <v>733</v>
      </c>
      <c r="H49" t="s">
        <v>712</v>
      </c>
      <c r="I49" t="s">
        <v>631</v>
      </c>
    </row>
    <row r="50" spans="1:9" x14ac:dyDescent="0.25">
      <c r="A50" s="77" t="s">
        <v>629</v>
      </c>
      <c r="B50" t="s">
        <v>22</v>
      </c>
      <c r="C50" t="s">
        <v>538</v>
      </c>
      <c r="D50" s="77" t="s">
        <v>603</v>
      </c>
      <c r="E50" t="s">
        <v>39</v>
      </c>
      <c r="F50" t="s">
        <v>549</v>
      </c>
      <c r="G50" t="s">
        <v>734</v>
      </c>
      <c r="H50" t="s">
        <v>712</v>
      </c>
      <c r="I50" t="s">
        <v>631</v>
      </c>
    </row>
    <row r="51" spans="1:9" x14ac:dyDescent="0.25">
      <c r="A51" s="77" t="s">
        <v>629</v>
      </c>
      <c r="B51" t="s">
        <v>22</v>
      </c>
      <c r="C51" t="s">
        <v>538</v>
      </c>
      <c r="D51" s="77" t="s">
        <v>603</v>
      </c>
      <c r="E51" t="s">
        <v>41</v>
      </c>
      <c r="F51" t="s">
        <v>550</v>
      </c>
      <c r="G51" t="s">
        <v>734</v>
      </c>
      <c r="H51" t="s">
        <v>712</v>
      </c>
      <c r="I51" t="s">
        <v>631</v>
      </c>
    </row>
    <row r="52" spans="1:9" x14ac:dyDescent="0.25">
      <c r="A52" s="77" t="s">
        <v>629</v>
      </c>
      <c r="B52" t="s">
        <v>22</v>
      </c>
      <c r="C52" t="s">
        <v>538</v>
      </c>
      <c r="D52" s="77" t="s">
        <v>603</v>
      </c>
      <c r="E52" t="s">
        <v>43</v>
      </c>
      <c r="F52" t="s">
        <v>551</v>
      </c>
      <c r="G52" t="s">
        <v>734</v>
      </c>
      <c r="H52" t="s">
        <v>712</v>
      </c>
      <c r="I52" t="s">
        <v>631</v>
      </c>
    </row>
  </sheetData>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457D0-4829-4A0C-B5B8-109F2BBF5305}">
  <sheetPr codeName="Sheet25"/>
  <dimension ref="A1:I137"/>
  <sheetViews>
    <sheetView workbookViewId="0">
      <selection activeCell="H14" sqref="H14"/>
    </sheetView>
  </sheetViews>
  <sheetFormatPr defaultColWidth="8.85546875" defaultRowHeight="15" x14ac:dyDescent="0.25"/>
  <cols>
    <col min="1" max="1" width="49" bestFit="1" customWidth="1"/>
    <col min="2" max="2" width="13.42578125" bestFit="1" customWidth="1"/>
    <col min="3" max="3" width="14.5703125" bestFit="1" customWidth="1"/>
    <col min="4" max="4" width="63.5703125" bestFit="1" customWidth="1"/>
    <col min="5" max="5" width="14.85546875" bestFit="1" customWidth="1"/>
    <col min="6" max="6" width="12.7109375" bestFit="1" customWidth="1"/>
    <col min="7" max="7" width="16" bestFit="1" customWidth="1"/>
    <col min="8" max="8" width="12.140625" bestFit="1" customWidth="1"/>
    <col min="9" max="9" width="63.140625" bestFit="1" customWidth="1"/>
  </cols>
  <sheetData>
    <row r="1" spans="1:9" x14ac:dyDescent="0.25">
      <c r="A1" t="s">
        <v>625</v>
      </c>
      <c r="B1" t="s">
        <v>627</v>
      </c>
      <c r="C1" t="s">
        <v>1</v>
      </c>
      <c r="D1" t="s">
        <v>2</v>
      </c>
      <c r="E1" t="s">
        <v>609</v>
      </c>
      <c r="F1" t="s">
        <v>649</v>
      </c>
      <c r="G1" t="s">
        <v>626</v>
      </c>
      <c r="H1" t="s">
        <v>628</v>
      </c>
      <c r="I1" t="s">
        <v>610</v>
      </c>
    </row>
    <row r="2" spans="1:9" x14ac:dyDescent="0.25">
      <c r="A2" t="s">
        <v>645</v>
      </c>
      <c r="B2" t="s">
        <v>665</v>
      </c>
      <c r="C2" t="s">
        <v>4</v>
      </c>
      <c r="D2" t="s">
        <v>615</v>
      </c>
      <c r="E2" t="s">
        <v>615</v>
      </c>
      <c r="F2" t="s">
        <v>651</v>
      </c>
      <c r="G2" t="s">
        <v>22</v>
      </c>
      <c r="H2" t="s">
        <v>631</v>
      </c>
      <c r="I2" t="s">
        <v>616</v>
      </c>
    </row>
    <row r="3" spans="1:9" x14ac:dyDescent="0.25">
      <c r="A3" t="s">
        <v>645</v>
      </c>
      <c r="B3" t="s">
        <v>665</v>
      </c>
      <c r="C3" t="s">
        <v>7</v>
      </c>
      <c r="D3" t="s">
        <v>616</v>
      </c>
      <c r="E3" t="s">
        <v>615</v>
      </c>
      <c r="F3" t="s">
        <v>651</v>
      </c>
      <c r="G3" t="s">
        <v>22</v>
      </c>
      <c r="H3" t="s">
        <v>631</v>
      </c>
      <c r="I3" t="s">
        <v>616</v>
      </c>
    </row>
    <row r="4" spans="1:9" x14ac:dyDescent="0.25">
      <c r="A4" t="s">
        <v>645</v>
      </c>
      <c r="B4" t="s">
        <v>665</v>
      </c>
      <c r="C4" t="s">
        <v>10</v>
      </c>
      <c r="D4">
        <v>20</v>
      </c>
      <c r="E4" t="s">
        <v>615</v>
      </c>
      <c r="F4" t="s">
        <v>651</v>
      </c>
      <c r="G4" t="s">
        <v>22</v>
      </c>
      <c r="H4" t="s">
        <v>631</v>
      </c>
      <c r="I4" t="s">
        <v>616</v>
      </c>
    </row>
    <row r="5" spans="1:9" x14ac:dyDescent="0.25">
      <c r="A5" t="s">
        <v>645</v>
      </c>
      <c r="B5" t="s">
        <v>665</v>
      </c>
      <c r="C5" t="s">
        <v>11</v>
      </c>
      <c r="D5">
        <v>2</v>
      </c>
      <c r="E5" t="s">
        <v>615</v>
      </c>
      <c r="F5" t="s">
        <v>651</v>
      </c>
      <c r="G5" t="s">
        <v>22</v>
      </c>
      <c r="H5" t="s">
        <v>631</v>
      </c>
      <c r="I5" t="s">
        <v>616</v>
      </c>
    </row>
    <row r="6" spans="1:9" x14ac:dyDescent="0.25">
      <c r="A6" t="s">
        <v>645</v>
      </c>
      <c r="B6" t="s">
        <v>665</v>
      </c>
      <c r="C6" t="s">
        <v>13</v>
      </c>
      <c r="D6">
        <v>4</v>
      </c>
      <c r="E6" t="s">
        <v>615</v>
      </c>
      <c r="F6" t="s">
        <v>651</v>
      </c>
      <c r="G6" t="s">
        <v>22</v>
      </c>
      <c r="H6" t="s">
        <v>631</v>
      </c>
      <c r="I6" t="s">
        <v>616</v>
      </c>
    </row>
    <row r="7" spans="1:9" x14ac:dyDescent="0.25">
      <c r="A7" t="s">
        <v>645</v>
      </c>
      <c r="B7" t="s">
        <v>665</v>
      </c>
      <c r="C7" t="s">
        <v>15</v>
      </c>
      <c r="D7" t="s">
        <v>617</v>
      </c>
      <c r="E7" t="s">
        <v>615</v>
      </c>
      <c r="F7" t="s">
        <v>651</v>
      </c>
      <c r="G7" t="s">
        <v>22</v>
      </c>
      <c r="H7" t="s">
        <v>631</v>
      </c>
      <c r="I7" t="s">
        <v>616</v>
      </c>
    </row>
    <row r="8" spans="1:9" x14ac:dyDescent="0.25">
      <c r="A8" t="s">
        <v>645</v>
      </c>
      <c r="B8" t="s">
        <v>665</v>
      </c>
      <c r="C8" t="s">
        <v>18</v>
      </c>
      <c r="D8" t="s">
        <v>618</v>
      </c>
      <c r="E8" t="s">
        <v>615</v>
      </c>
      <c r="F8" t="s">
        <v>651</v>
      </c>
      <c r="G8" t="s">
        <v>22</v>
      </c>
      <c r="H8" t="s">
        <v>631</v>
      </c>
      <c r="I8" t="s">
        <v>616</v>
      </c>
    </row>
    <row r="9" spans="1:9" x14ac:dyDescent="0.25">
      <c r="A9" t="s">
        <v>645</v>
      </c>
      <c r="B9" t="s">
        <v>665</v>
      </c>
      <c r="C9" t="s">
        <v>21</v>
      </c>
      <c r="D9" t="s">
        <v>396</v>
      </c>
      <c r="E9" t="s">
        <v>615</v>
      </c>
      <c r="F9" t="s">
        <v>651</v>
      </c>
      <c r="G9" t="s">
        <v>22</v>
      </c>
      <c r="H9" t="s">
        <v>631</v>
      </c>
      <c r="I9" t="s">
        <v>616</v>
      </c>
    </row>
    <row r="10" spans="1:9" x14ac:dyDescent="0.25">
      <c r="A10" t="s">
        <v>645</v>
      </c>
      <c r="B10" t="s">
        <v>666</v>
      </c>
      <c r="C10" t="s">
        <v>4</v>
      </c>
      <c r="D10" t="s">
        <v>619</v>
      </c>
      <c r="E10" t="s">
        <v>619</v>
      </c>
      <c r="F10" t="s">
        <v>651</v>
      </c>
      <c r="G10" t="s">
        <v>22</v>
      </c>
      <c r="H10" t="s">
        <v>631</v>
      </c>
      <c r="I10" t="s">
        <v>620</v>
      </c>
    </row>
    <row r="11" spans="1:9" x14ac:dyDescent="0.25">
      <c r="A11" t="s">
        <v>645</v>
      </c>
      <c r="B11" t="s">
        <v>666</v>
      </c>
      <c r="C11" t="s">
        <v>7</v>
      </c>
      <c r="D11" t="s">
        <v>620</v>
      </c>
      <c r="E11" t="s">
        <v>619</v>
      </c>
      <c r="F11" t="s">
        <v>651</v>
      </c>
      <c r="G11" t="s">
        <v>22</v>
      </c>
      <c r="H11" t="s">
        <v>631</v>
      </c>
      <c r="I11" t="s">
        <v>620</v>
      </c>
    </row>
    <row r="12" spans="1:9" x14ac:dyDescent="0.25">
      <c r="A12" t="s">
        <v>645</v>
      </c>
      <c r="B12" t="s">
        <v>666</v>
      </c>
      <c r="C12" t="s">
        <v>10</v>
      </c>
      <c r="D12">
        <v>20</v>
      </c>
      <c r="E12" t="s">
        <v>619</v>
      </c>
      <c r="F12" t="s">
        <v>651</v>
      </c>
      <c r="G12" t="s">
        <v>22</v>
      </c>
      <c r="H12" t="s">
        <v>631</v>
      </c>
      <c r="I12" t="s">
        <v>620</v>
      </c>
    </row>
    <row r="13" spans="1:9" x14ac:dyDescent="0.25">
      <c r="A13" t="s">
        <v>645</v>
      </c>
      <c r="B13" t="s">
        <v>666</v>
      </c>
      <c r="C13" t="s">
        <v>11</v>
      </c>
      <c r="D13">
        <v>2</v>
      </c>
      <c r="E13" t="s">
        <v>619</v>
      </c>
      <c r="F13" t="s">
        <v>651</v>
      </c>
      <c r="G13" t="s">
        <v>22</v>
      </c>
      <c r="H13" t="s">
        <v>631</v>
      </c>
      <c r="I13" t="s">
        <v>620</v>
      </c>
    </row>
    <row r="14" spans="1:9" x14ac:dyDescent="0.25">
      <c r="A14" t="s">
        <v>645</v>
      </c>
      <c r="B14" t="s">
        <v>666</v>
      </c>
      <c r="C14" t="s">
        <v>13</v>
      </c>
      <c r="D14">
        <v>5</v>
      </c>
      <c r="E14" t="s">
        <v>619</v>
      </c>
      <c r="F14" t="s">
        <v>651</v>
      </c>
      <c r="G14" t="s">
        <v>22</v>
      </c>
      <c r="H14" t="s">
        <v>631</v>
      </c>
      <c r="I14" t="s">
        <v>620</v>
      </c>
    </row>
    <row r="15" spans="1:9" x14ac:dyDescent="0.25">
      <c r="A15" t="s">
        <v>645</v>
      </c>
      <c r="B15" t="s">
        <v>666</v>
      </c>
      <c r="C15" t="s">
        <v>15</v>
      </c>
      <c r="D15" t="s">
        <v>621</v>
      </c>
      <c r="E15" t="s">
        <v>619</v>
      </c>
      <c r="F15" t="s">
        <v>651</v>
      </c>
      <c r="G15" t="s">
        <v>22</v>
      </c>
      <c r="H15" t="s">
        <v>631</v>
      </c>
      <c r="I15" t="s">
        <v>620</v>
      </c>
    </row>
    <row r="16" spans="1:9" x14ac:dyDescent="0.25">
      <c r="A16" t="s">
        <v>645</v>
      </c>
      <c r="B16" t="s">
        <v>666</v>
      </c>
      <c r="C16" t="s">
        <v>18</v>
      </c>
      <c r="D16" t="s">
        <v>618</v>
      </c>
      <c r="E16" t="s">
        <v>619</v>
      </c>
      <c r="F16" t="s">
        <v>651</v>
      </c>
      <c r="G16" t="s">
        <v>22</v>
      </c>
      <c r="H16" t="s">
        <v>631</v>
      </c>
      <c r="I16" t="s">
        <v>620</v>
      </c>
    </row>
    <row r="17" spans="1:9" x14ac:dyDescent="0.25">
      <c r="A17" t="s">
        <v>645</v>
      </c>
      <c r="B17" t="s">
        <v>666</v>
      </c>
      <c r="C17" t="s">
        <v>21</v>
      </c>
      <c r="D17" t="s">
        <v>396</v>
      </c>
      <c r="E17" t="s">
        <v>619</v>
      </c>
      <c r="F17" t="s">
        <v>651</v>
      </c>
      <c r="G17" t="s">
        <v>22</v>
      </c>
      <c r="H17" t="s">
        <v>631</v>
      </c>
      <c r="I17" t="s">
        <v>620</v>
      </c>
    </row>
    <row r="18" spans="1:9" x14ac:dyDescent="0.25">
      <c r="A18" t="s">
        <v>645</v>
      </c>
      <c r="B18" t="s">
        <v>668</v>
      </c>
      <c r="C18" t="s">
        <v>4</v>
      </c>
      <c r="D18" t="s">
        <v>622</v>
      </c>
      <c r="E18" t="s">
        <v>622</v>
      </c>
      <c r="F18" t="s">
        <v>651</v>
      </c>
      <c r="G18" t="s">
        <v>22</v>
      </c>
      <c r="H18" t="s">
        <v>631</v>
      </c>
      <c r="I18" t="s">
        <v>593</v>
      </c>
    </row>
    <row r="19" spans="1:9" x14ac:dyDescent="0.25">
      <c r="A19" t="s">
        <v>645</v>
      </c>
      <c r="B19" t="s">
        <v>668</v>
      </c>
      <c r="C19" t="s">
        <v>7</v>
      </c>
      <c r="D19" t="s">
        <v>593</v>
      </c>
      <c r="E19" t="s">
        <v>622</v>
      </c>
      <c r="F19" t="s">
        <v>651</v>
      </c>
      <c r="G19" t="s">
        <v>22</v>
      </c>
      <c r="H19" t="s">
        <v>631</v>
      </c>
      <c r="I19" t="s">
        <v>593</v>
      </c>
    </row>
    <row r="20" spans="1:9" x14ac:dyDescent="0.25">
      <c r="A20" t="s">
        <v>645</v>
      </c>
      <c r="B20" t="s">
        <v>668</v>
      </c>
      <c r="C20" t="s">
        <v>10</v>
      </c>
      <c r="D20">
        <v>40</v>
      </c>
      <c r="E20" t="s">
        <v>622</v>
      </c>
      <c r="F20" t="s">
        <v>651</v>
      </c>
      <c r="G20" t="s">
        <v>22</v>
      </c>
      <c r="H20" t="s">
        <v>631</v>
      </c>
      <c r="I20" t="s">
        <v>593</v>
      </c>
    </row>
    <row r="21" spans="1:9" x14ac:dyDescent="0.25">
      <c r="A21" t="s">
        <v>645</v>
      </c>
      <c r="B21" t="s">
        <v>668</v>
      </c>
      <c r="C21" t="s">
        <v>11</v>
      </c>
      <c r="D21" t="s">
        <v>667</v>
      </c>
      <c r="E21" t="s">
        <v>622</v>
      </c>
      <c r="F21" t="s">
        <v>651</v>
      </c>
      <c r="G21" t="s">
        <v>22</v>
      </c>
      <c r="H21" t="s">
        <v>631</v>
      </c>
      <c r="I21" t="s">
        <v>593</v>
      </c>
    </row>
    <row r="22" spans="1:9" x14ac:dyDescent="0.25">
      <c r="A22" t="s">
        <v>645</v>
      </c>
      <c r="B22" t="s">
        <v>668</v>
      </c>
      <c r="C22" t="s">
        <v>13</v>
      </c>
      <c r="D22">
        <v>6</v>
      </c>
      <c r="E22" t="s">
        <v>622</v>
      </c>
      <c r="F22" t="s">
        <v>651</v>
      </c>
      <c r="G22" t="s">
        <v>22</v>
      </c>
      <c r="H22" t="s">
        <v>631</v>
      </c>
      <c r="I22" t="s">
        <v>593</v>
      </c>
    </row>
    <row r="23" spans="1:9" x14ac:dyDescent="0.25">
      <c r="A23" t="s">
        <v>645</v>
      </c>
      <c r="B23" t="s">
        <v>668</v>
      </c>
      <c r="C23" t="s">
        <v>15</v>
      </c>
      <c r="D23" t="s">
        <v>623</v>
      </c>
      <c r="E23" t="s">
        <v>622</v>
      </c>
      <c r="F23" t="s">
        <v>651</v>
      </c>
      <c r="G23" t="s">
        <v>22</v>
      </c>
      <c r="H23" t="s">
        <v>631</v>
      </c>
      <c r="I23" t="s">
        <v>593</v>
      </c>
    </row>
    <row r="24" spans="1:9" x14ac:dyDescent="0.25">
      <c r="A24" t="s">
        <v>645</v>
      </c>
      <c r="B24" t="s">
        <v>668</v>
      </c>
      <c r="C24" t="s">
        <v>18</v>
      </c>
      <c r="D24" t="s">
        <v>624</v>
      </c>
      <c r="E24" t="s">
        <v>622</v>
      </c>
      <c r="F24" t="s">
        <v>651</v>
      </c>
      <c r="G24" t="s">
        <v>22</v>
      </c>
      <c r="H24" t="s">
        <v>631</v>
      </c>
      <c r="I24" t="s">
        <v>593</v>
      </c>
    </row>
    <row r="25" spans="1:9" x14ac:dyDescent="0.25">
      <c r="A25" t="s">
        <v>645</v>
      </c>
      <c r="B25" t="s">
        <v>668</v>
      </c>
      <c r="C25" t="s">
        <v>21</v>
      </c>
      <c r="D25" t="s">
        <v>396</v>
      </c>
      <c r="E25" t="s">
        <v>622</v>
      </c>
      <c r="F25" t="s">
        <v>651</v>
      </c>
      <c r="G25" t="s">
        <v>22</v>
      </c>
      <c r="H25" t="s">
        <v>631</v>
      </c>
      <c r="I25" t="s">
        <v>593</v>
      </c>
    </row>
    <row r="26" spans="1:9" x14ac:dyDescent="0.25">
      <c r="A26" t="s">
        <v>629</v>
      </c>
      <c r="B26" t="s">
        <v>650</v>
      </c>
      <c r="C26" t="s">
        <v>4</v>
      </c>
      <c r="D26" t="s">
        <v>5</v>
      </c>
      <c r="E26" t="s">
        <v>5</v>
      </c>
      <c r="F26" t="s">
        <v>651</v>
      </c>
      <c r="G26" t="s">
        <v>22</v>
      </c>
      <c r="H26" t="s">
        <v>631</v>
      </c>
      <c r="I26" t="s">
        <v>8</v>
      </c>
    </row>
    <row r="27" spans="1:9" x14ac:dyDescent="0.25">
      <c r="A27" t="s">
        <v>629</v>
      </c>
      <c r="B27" t="s">
        <v>650</v>
      </c>
      <c r="C27" t="s">
        <v>7</v>
      </c>
      <c r="D27" t="s">
        <v>8</v>
      </c>
      <c r="E27" t="s">
        <v>5</v>
      </c>
      <c r="F27" t="s">
        <v>651</v>
      </c>
      <c r="G27" t="s">
        <v>22</v>
      </c>
      <c r="H27" t="s">
        <v>631</v>
      </c>
      <c r="I27" t="s">
        <v>8</v>
      </c>
    </row>
    <row r="28" spans="1:9" x14ac:dyDescent="0.25">
      <c r="A28" t="s">
        <v>629</v>
      </c>
      <c r="B28" t="s">
        <v>650</v>
      </c>
      <c r="C28" t="s">
        <v>10</v>
      </c>
      <c r="D28">
        <v>20</v>
      </c>
      <c r="E28" t="s">
        <v>5</v>
      </c>
      <c r="F28" t="s">
        <v>651</v>
      </c>
      <c r="G28" t="s">
        <v>22</v>
      </c>
      <c r="H28" t="s">
        <v>631</v>
      </c>
      <c r="I28" t="s">
        <v>8</v>
      </c>
    </row>
    <row r="29" spans="1:9" x14ac:dyDescent="0.25">
      <c r="A29" t="s">
        <v>629</v>
      </c>
      <c r="B29" t="s">
        <v>650</v>
      </c>
      <c r="C29" t="s">
        <v>11</v>
      </c>
      <c r="D29">
        <v>1</v>
      </c>
      <c r="E29" t="s">
        <v>5</v>
      </c>
      <c r="F29" t="s">
        <v>651</v>
      </c>
      <c r="G29" t="s">
        <v>22</v>
      </c>
      <c r="H29" t="s">
        <v>631</v>
      </c>
      <c r="I29" t="s">
        <v>8</v>
      </c>
    </row>
    <row r="30" spans="1:9" x14ac:dyDescent="0.25">
      <c r="A30" t="s">
        <v>629</v>
      </c>
      <c r="B30" t="s">
        <v>650</v>
      </c>
      <c r="C30" t="s">
        <v>13</v>
      </c>
      <c r="D30">
        <v>4</v>
      </c>
      <c r="E30" t="s">
        <v>5</v>
      </c>
      <c r="F30" t="s">
        <v>651</v>
      </c>
      <c r="G30" t="s">
        <v>22</v>
      </c>
      <c r="H30" t="s">
        <v>631</v>
      </c>
      <c r="I30" t="s">
        <v>8</v>
      </c>
    </row>
    <row r="31" spans="1:9" x14ac:dyDescent="0.25">
      <c r="A31" t="s">
        <v>629</v>
      </c>
      <c r="B31" t="s">
        <v>650</v>
      </c>
      <c r="C31" t="s">
        <v>15</v>
      </c>
      <c r="D31" t="s">
        <v>16</v>
      </c>
      <c r="E31" t="s">
        <v>5</v>
      </c>
      <c r="F31" t="s">
        <v>651</v>
      </c>
      <c r="G31" t="s">
        <v>22</v>
      </c>
      <c r="H31" t="s">
        <v>631</v>
      </c>
      <c r="I31" t="s">
        <v>8</v>
      </c>
    </row>
    <row r="32" spans="1:9" x14ac:dyDescent="0.25">
      <c r="A32" t="s">
        <v>629</v>
      </c>
      <c r="B32" t="s">
        <v>650</v>
      </c>
      <c r="C32" t="s">
        <v>18</v>
      </c>
      <c r="D32" t="s">
        <v>19</v>
      </c>
      <c r="E32" t="s">
        <v>5</v>
      </c>
      <c r="F32" t="s">
        <v>651</v>
      </c>
      <c r="G32" t="s">
        <v>22</v>
      </c>
      <c r="H32" t="s">
        <v>631</v>
      </c>
      <c r="I32" t="s">
        <v>8</v>
      </c>
    </row>
    <row r="33" spans="1:9" x14ac:dyDescent="0.25">
      <c r="A33" t="s">
        <v>629</v>
      </c>
      <c r="B33" t="s">
        <v>650</v>
      </c>
      <c r="C33" t="s">
        <v>21</v>
      </c>
      <c r="D33" t="s">
        <v>22</v>
      </c>
      <c r="E33" t="s">
        <v>5</v>
      </c>
      <c r="F33" t="s">
        <v>651</v>
      </c>
      <c r="G33" t="s">
        <v>22</v>
      </c>
      <c r="H33" t="s">
        <v>631</v>
      </c>
      <c r="I33" t="s">
        <v>8</v>
      </c>
    </row>
    <row r="34" spans="1:9" x14ac:dyDescent="0.25">
      <c r="A34" t="s">
        <v>629</v>
      </c>
      <c r="B34" t="s">
        <v>652</v>
      </c>
      <c r="C34" t="s">
        <v>4</v>
      </c>
      <c r="D34" t="s">
        <v>113</v>
      </c>
      <c r="E34" t="s">
        <v>113</v>
      </c>
      <c r="F34" t="s">
        <v>651</v>
      </c>
      <c r="G34" t="s">
        <v>22</v>
      </c>
      <c r="H34" t="s">
        <v>631</v>
      </c>
      <c r="I34" t="s">
        <v>613</v>
      </c>
    </row>
    <row r="35" spans="1:9" x14ac:dyDescent="0.25">
      <c r="A35" t="s">
        <v>629</v>
      </c>
      <c r="B35" t="s">
        <v>652</v>
      </c>
      <c r="C35" t="s">
        <v>7</v>
      </c>
      <c r="D35" t="s">
        <v>115</v>
      </c>
      <c r="E35" t="s">
        <v>113</v>
      </c>
      <c r="F35" t="s">
        <v>651</v>
      </c>
      <c r="G35" t="s">
        <v>22</v>
      </c>
      <c r="H35" t="s">
        <v>631</v>
      </c>
      <c r="I35" t="s">
        <v>613</v>
      </c>
    </row>
    <row r="36" spans="1:9" x14ac:dyDescent="0.25">
      <c r="A36" t="s">
        <v>629</v>
      </c>
      <c r="B36" t="s">
        <v>652</v>
      </c>
      <c r="C36" t="s">
        <v>10</v>
      </c>
      <c r="D36">
        <v>20</v>
      </c>
      <c r="E36" t="s">
        <v>113</v>
      </c>
      <c r="F36" t="s">
        <v>651</v>
      </c>
      <c r="G36" t="s">
        <v>22</v>
      </c>
      <c r="H36" t="s">
        <v>631</v>
      </c>
      <c r="I36" t="s">
        <v>613</v>
      </c>
    </row>
    <row r="37" spans="1:9" x14ac:dyDescent="0.25">
      <c r="A37" t="s">
        <v>629</v>
      </c>
      <c r="B37" t="s">
        <v>652</v>
      </c>
      <c r="C37" t="s">
        <v>11</v>
      </c>
      <c r="D37">
        <v>2</v>
      </c>
      <c r="E37" t="s">
        <v>113</v>
      </c>
      <c r="F37" t="s">
        <v>651</v>
      </c>
      <c r="G37" t="s">
        <v>22</v>
      </c>
      <c r="H37" t="s">
        <v>631</v>
      </c>
      <c r="I37" t="s">
        <v>613</v>
      </c>
    </row>
    <row r="38" spans="1:9" x14ac:dyDescent="0.25">
      <c r="A38" t="s">
        <v>629</v>
      </c>
      <c r="B38" t="s">
        <v>652</v>
      </c>
      <c r="C38" t="s">
        <v>13</v>
      </c>
      <c r="D38">
        <v>4</v>
      </c>
      <c r="E38" t="s">
        <v>113</v>
      </c>
      <c r="F38" t="s">
        <v>651</v>
      </c>
      <c r="G38" t="s">
        <v>22</v>
      </c>
      <c r="H38" t="s">
        <v>631</v>
      </c>
      <c r="I38" t="s">
        <v>613</v>
      </c>
    </row>
    <row r="39" spans="1:9" x14ac:dyDescent="0.25">
      <c r="A39" t="s">
        <v>629</v>
      </c>
      <c r="B39" t="s">
        <v>652</v>
      </c>
      <c r="C39" t="s">
        <v>15</v>
      </c>
      <c r="D39" t="s">
        <v>117</v>
      </c>
      <c r="E39" t="s">
        <v>113</v>
      </c>
      <c r="F39" t="s">
        <v>651</v>
      </c>
      <c r="G39" t="s">
        <v>22</v>
      </c>
      <c r="H39" t="s">
        <v>631</v>
      </c>
      <c r="I39" t="s">
        <v>613</v>
      </c>
    </row>
    <row r="40" spans="1:9" x14ac:dyDescent="0.25">
      <c r="A40" t="s">
        <v>629</v>
      </c>
      <c r="B40" t="s">
        <v>652</v>
      </c>
      <c r="C40" t="s">
        <v>18</v>
      </c>
      <c r="D40" t="s">
        <v>119</v>
      </c>
      <c r="E40" t="s">
        <v>113</v>
      </c>
      <c r="F40" t="s">
        <v>651</v>
      </c>
      <c r="G40" t="s">
        <v>22</v>
      </c>
      <c r="H40" t="s">
        <v>631</v>
      </c>
      <c r="I40" t="s">
        <v>613</v>
      </c>
    </row>
    <row r="41" spans="1:9" x14ac:dyDescent="0.25">
      <c r="A41" t="s">
        <v>629</v>
      </c>
      <c r="B41" t="s">
        <v>652</v>
      </c>
      <c r="C41" t="s">
        <v>21</v>
      </c>
      <c r="D41" t="s">
        <v>22</v>
      </c>
      <c r="E41" t="s">
        <v>113</v>
      </c>
      <c r="F41" t="s">
        <v>651</v>
      </c>
      <c r="G41" t="s">
        <v>22</v>
      </c>
      <c r="H41" t="s">
        <v>631</v>
      </c>
      <c r="I41" t="s">
        <v>613</v>
      </c>
    </row>
    <row r="42" spans="1:9" x14ac:dyDescent="0.25">
      <c r="A42" t="s">
        <v>629</v>
      </c>
      <c r="B42" t="s">
        <v>653</v>
      </c>
      <c r="C42" t="s">
        <v>4</v>
      </c>
      <c r="D42" t="s">
        <v>144</v>
      </c>
      <c r="E42" t="s">
        <v>144</v>
      </c>
      <c r="F42" t="s">
        <v>651</v>
      </c>
      <c r="G42" t="s">
        <v>22</v>
      </c>
      <c r="H42" t="s">
        <v>631</v>
      </c>
      <c r="I42" t="s">
        <v>146</v>
      </c>
    </row>
    <row r="43" spans="1:9" x14ac:dyDescent="0.25">
      <c r="A43" t="s">
        <v>629</v>
      </c>
      <c r="B43" t="s">
        <v>653</v>
      </c>
      <c r="C43" t="s">
        <v>7</v>
      </c>
      <c r="D43" t="s">
        <v>146</v>
      </c>
      <c r="E43" t="s">
        <v>144</v>
      </c>
      <c r="F43" t="s">
        <v>651</v>
      </c>
      <c r="G43" t="s">
        <v>22</v>
      </c>
      <c r="H43" t="s">
        <v>631</v>
      </c>
      <c r="I43" t="s">
        <v>146</v>
      </c>
    </row>
    <row r="44" spans="1:9" x14ac:dyDescent="0.25">
      <c r="A44" t="s">
        <v>629</v>
      </c>
      <c r="B44" t="s">
        <v>653</v>
      </c>
      <c r="C44" t="s">
        <v>10</v>
      </c>
      <c r="D44">
        <v>20</v>
      </c>
      <c r="E44" t="s">
        <v>144</v>
      </c>
      <c r="F44" t="s">
        <v>651</v>
      </c>
      <c r="G44" t="s">
        <v>22</v>
      </c>
      <c r="H44" t="s">
        <v>631</v>
      </c>
      <c r="I44" t="s">
        <v>146</v>
      </c>
    </row>
    <row r="45" spans="1:9" x14ac:dyDescent="0.25">
      <c r="A45" t="s">
        <v>629</v>
      </c>
      <c r="B45" t="s">
        <v>653</v>
      </c>
      <c r="C45" t="s">
        <v>11</v>
      </c>
      <c r="D45">
        <v>2</v>
      </c>
      <c r="E45" t="s">
        <v>144</v>
      </c>
      <c r="F45" t="s">
        <v>651</v>
      </c>
      <c r="G45" t="s">
        <v>22</v>
      </c>
      <c r="H45" t="s">
        <v>631</v>
      </c>
      <c r="I45" t="s">
        <v>146</v>
      </c>
    </row>
    <row r="46" spans="1:9" x14ac:dyDescent="0.25">
      <c r="A46" t="s">
        <v>629</v>
      </c>
      <c r="B46" t="s">
        <v>653</v>
      </c>
      <c r="C46" t="s">
        <v>13</v>
      </c>
      <c r="D46">
        <v>4</v>
      </c>
      <c r="E46" t="s">
        <v>144</v>
      </c>
      <c r="F46" t="s">
        <v>651</v>
      </c>
      <c r="G46" t="s">
        <v>22</v>
      </c>
      <c r="H46" t="s">
        <v>631</v>
      </c>
      <c r="I46" t="s">
        <v>146</v>
      </c>
    </row>
    <row r="47" spans="1:9" x14ac:dyDescent="0.25">
      <c r="A47" t="s">
        <v>629</v>
      </c>
      <c r="B47" t="s">
        <v>653</v>
      </c>
      <c r="C47" t="s">
        <v>15</v>
      </c>
      <c r="D47" t="s">
        <v>148</v>
      </c>
      <c r="E47" t="s">
        <v>144</v>
      </c>
      <c r="F47" t="s">
        <v>651</v>
      </c>
      <c r="G47" t="s">
        <v>22</v>
      </c>
      <c r="H47" t="s">
        <v>631</v>
      </c>
      <c r="I47" t="s">
        <v>146</v>
      </c>
    </row>
    <row r="48" spans="1:9" x14ac:dyDescent="0.25">
      <c r="A48" t="s">
        <v>629</v>
      </c>
      <c r="B48" t="s">
        <v>653</v>
      </c>
      <c r="C48" t="s">
        <v>18</v>
      </c>
      <c r="D48" t="s">
        <v>119</v>
      </c>
      <c r="E48" t="s">
        <v>144</v>
      </c>
      <c r="F48" t="s">
        <v>651</v>
      </c>
      <c r="G48" t="s">
        <v>22</v>
      </c>
      <c r="H48" t="s">
        <v>631</v>
      </c>
      <c r="I48" t="s">
        <v>146</v>
      </c>
    </row>
    <row r="49" spans="1:9" x14ac:dyDescent="0.25">
      <c r="A49" t="s">
        <v>629</v>
      </c>
      <c r="B49" t="s">
        <v>653</v>
      </c>
      <c r="C49" t="s">
        <v>21</v>
      </c>
      <c r="D49" t="s">
        <v>22</v>
      </c>
      <c r="E49" t="s">
        <v>144</v>
      </c>
      <c r="F49" t="s">
        <v>651</v>
      </c>
      <c r="G49" t="s">
        <v>22</v>
      </c>
      <c r="H49" t="s">
        <v>631</v>
      </c>
      <c r="I49" t="s">
        <v>146</v>
      </c>
    </row>
    <row r="50" spans="1:9" x14ac:dyDescent="0.25">
      <c r="A50" t="s">
        <v>629</v>
      </c>
      <c r="B50" t="s">
        <v>654</v>
      </c>
      <c r="C50" t="s">
        <v>4</v>
      </c>
      <c r="D50" t="s">
        <v>193</v>
      </c>
      <c r="E50" t="s">
        <v>193</v>
      </c>
      <c r="F50" t="s">
        <v>651</v>
      </c>
      <c r="G50" t="s">
        <v>22</v>
      </c>
      <c r="H50" t="s">
        <v>631</v>
      </c>
      <c r="I50" t="s">
        <v>195</v>
      </c>
    </row>
    <row r="51" spans="1:9" x14ac:dyDescent="0.25">
      <c r="A51" t="s">
        <v>629</v>
      </c>
      <c r="B51" t="s">
        <v>654</v>
      </c>
      <c r="C51" t="s">
        <v>7</v>
      </c>
      <c r="D51" t="s">
        <v>195</v>
      </c>
      <c r="E51" t="s">
        <v>193</v>
      </c>
      <c r="F51" t="s">
        <v>651</v>
      </c>
      <c r="G51" t="s">
        <v>22</v>
      </c>
      <c r="H51" t="s">
        <v>631</v>
      </c>
      <c r="I51" t="s">
        <v>195</v>
      </c>
    </row>
    <row r="52" spans="1:9" x14ac:dyDescent="0.25">
      <c r="A52" t="s">
        <v>629</v>
      </c>
      <c r="B52" t="s">
        <v>654</v>
      </c>
      <c r="C52" t="s">
        <v>10</v>
      </c>
      <c r="D52">
        <v>20</v>
      </c>
      <c r="E52" t="s">
        <v>193</v>
      </c>
      <c r="F52" t="s">
        <v>651</v>
      </c>
      <c r="G52" t="s">
        <v>22</v>
      </c>
      <c r="H52" t="s">
        <v>631</v>
      </c>
      <c r="I52" t="s">
        <v>195</v>
      </c>
    </row>
    <row r="53" spans="1:9" x14ac:dyDescent="0.25">
      <c r="A53" t="s">
        <v>629</v>
      </c>
      <c r="B53" t="s">
        <v>654</v>
      </c>
      <c r="C53" t="s">
        <v>11</v>
      </c>
      <c r="D53">
        <v>1</v>
      </c>
      <c r="E53" t="s">
        <v>193</v>
      </c>
      <c r="F53" t="s">
        <v>651</v>
      </c>
      <c r="G53" t="s">
        <v>22</v>
      </c>
      <c r="H53" t="s">
        <v>631</v>
      </c>
      <c r="I53" t="s">
        <v>195</v>
      </c>
    </row>
    <row r="54" spans="1:9" x14ac:dyDescent="0.25">
      <c r="A54" t="s">
        <v>629</v>
      </c>
      <c r="B54" t="s">
        <v>654</v>
      </c>
      <c r="C54" t="s">
        <v>13</v>
      </c>
      <c r="D54">
        <v>4</v>
      </c>
      <c r="E54" t="s">
        <v>193</v>
      </c>
      <c r="F54" t="s">
        <v>651</v>
      </c>
      <c r="G54" t="s">
        <v>22</v>
      </c>
      <c r="H54" t="s">
        <v>631</v>
      </c>
      <c r="I54" t="s">
        <v>195</v>
      </c>
    </row>
    <row r="55" spans="1:9" x14ac:dyDescent="0.25">
      <c r="A55" t="s">
        <v>629</v>
      </c>
      <c r="B55" t="s">
        <v>654</v>
      </c>
      <c r="C55" t="s">
        <v>15</v>
      </c>
      <c r="D55" t="s">
        <v>16</v>
      </c>
      <c r="E55" t="s">
        <v>193</v>
      </c>
      <c r="F55" t="s">
        <v>651</v>
      </c>
      <c r="G55" t="s">
        <v>22</v>
      </c>
      <c r="H55" t="s">
        <v>631</v>
      </c>
      <c r="I55" t="s">
        <v>195</v>
      </c>
    </row>
    <row r="56" spans="1:9" x14ac:dyDescent="0.25">
      <c r="A56" t="s">
        <v>629</v>
      </c>
      <c r="B56" t="s">
        <v>654</v>
      </c>
      <c r="C56" t="s">
        <v>18</v>
      </c>
      <c r="D56" t="s">
        <v>119</v>
      </c>
      <c r="E56" t="s">
        <v>193</v>
      </c>
      <c r="F56" t="s">
        <v>651</v>
      </c>
      <c r="G56" t="s">
        <v>22</v>
      </c>
      <c r="H56" t="s">
        <v>631</v>
      </c>
      <c r="I56" t="s">
        <v>195</v>
      </c>
    </row>
    <row r="57" spans="1:9" x14ac:dyDescent="0.25">
      <c r="A57" t="s">
        <v>629</v>
      </c>
      <c r="B57" t="s">
        <v>654</v>
      </c>
      <c r="C57" t="s">
        <v>21</v>
      </c>
      <c r="D57" t="s">
        <v>22</v>
      </c>
      <c r="E57" t="s">
        <v>193</v>
      </c>
      <c r="F57" t="s">
        <v>651</v>
      </c>
      <c r="G57" t="s">
        <v>22</v>
      </c>
      <c r="H57" t="s">
        <v>631</v>
      </c>
      <c r="I57" t="s">
        <v>195</v>
      </c>
    </row>
    <row r="58" spans="1:9" x14ac:dyDescent="0.25">
      <c r="A58" t="s">
        <v>629</v>
      </c>
      <c r="B58" t="s">
        <v>655</v>
      </c>
      <c r="C58" t="s">
        <v>4</v>
      </c>
      <c r="D58" t="s">
        <v>236</v>
      </c>
      <c r="E58" t="s">
        <v>236</v>
      </c>
      <c r="F58" t="s">
        <v>651</v>
      </c>
      <c r="G58" t="s">
        <v>22</v>
      </c>
      <c r="H58" t="s">
        <v>631</v>
      </c>
      <c r="I58" t="s">
        <v>237</v>
      </c>
    </row>
    <row r="59" spans="1:9" x14ac:dyDescent="0.25">
      <c r="A59" t="s">
        <v>629</v>
      </c>
      <c r="B59" t="s">
        <v>655</v>
      </c>
      <c r="C59" t="s">
        <v>7</v>
      </c>
      <c r="D59" t="s">
        <v>237</v>
      </c>
      <c r="E59" t="s">
        <v>236</v>
      </c>
      <c r="F59" t="s">
        <v>651</v>
      </c>
      <c r="G59" t="s">
        <v>22</v>
      </c>
      <c r="H59" t="s">
        <v>631</v>
      </c>
      <c r="I59" t="s">
        <v>237</v>
      </c>
    </row>
    <row r="60" spans="1:9" x14ac:dyDescent="0.25">
      <c r="A60" t="s">
        <v>629</v>
      </c>
      <c r="B60" t="s">
        <v>655</v>
      </c>
      <c r="C60" t="s">
        <v>10</v>
      </c>
      <c r="D60">
        <v>20</v>
      </c>
      <c r="E60" t="s">
        <v>236</v>
      </c>
      <c r="F60" t="s">
        <v>651</v>
      </c>
      <c r="G60" t="s">
        <v>22</v>
      </c>
      <c r="H60" t="s">
        <v>631</v>
      </c>
      <c r="I60" t="s">
        <v>237</v>
      </c>
    </row>
    <row r="61" spans="1:9" x14ac:dyDescent="0.25">
      <c r="A61" t="s">
        <v>629</v>
      </c>
      <c r="B61" t="s">
        <v>655</v>
      </c>
      <c r="C61" t="s">
        <v>11</v>
      </c>
      <c r="D61">
        <v>1</v>
      </c>
      <c r="E61" t="s">
        <v>236</v>
      </c>
      <c r="F61" t="s">
        <v>651</v>
      </c>
      <c r="G61" t="s">
        <v>22</v>
      </c>
      <c r="H61" t="s">
        <v>631</v>
      </c>
      <c r="I61" t="s">
        <v>237</v>
      </c>
    </row>
    <row r="62" spans="1:9" x14ac:dyDescent="0.25">
      <c r="A62" t="s">
        <v>629</v>
      </c>
      <c r="B62" t="s">
        <v>655</v>
      </c>
      <c r="C62" t="s">
        <v>13</v>
      </c>
      <c r="D62">
        <v>4</v>
      </c>
      <c r="E62" t="s">
        <v>236</v>
      </c>
      <c r="F62" t="s">
        <v>651</v>
      </c>
      <c r="G62" t="s">
        <v>22</v>
      </c>
      <c r="H62" t="s">
        <v>631</v>
      </c>
      <c r="I62" t="s">
        <v>237</v>
      </c>
    </row>
    <row r="63" spans="1:9" x14ac:dyDescent="0.25">
      <c r="A63" t="s">
        <v>629</v>
      </c>
      <c r="B63" t="s">
        <v>655</v>
      </c>
      <c r="C63" t="s">
        <v>15</v>
      </c>
      <c r="D63" t="s">
        <v>240</v>
      </c>
      <c r="E63" t="s">
        <v>236</v>
      </c>
      <c r="F63" t="s">
        <v>651</v>
      </c>
      <c r="G63" t="s">
        <v>22</v>
      </c>
      <c r="H63" t="s">
        <v>631</v>
      </c>
      <c r="I63" t="s">
        <v>237</v>
      </c>
    </row>
    <row r="64" spans="1:9" x14ac:dyDescent="0.25">
      <c r="A64" t="s">
        <v>629</v>
      </c>
      <c r="B64" t="s">
        <v>655</v>
      </c>
      <c r="C64" t="s">
        <v>18</v>
      </c>
      <c r="D64" t="s">
        <v>119</v>
      </c>
      <c r="E64" t="s">
        <v>236</v>
      </c>
      <c r="F64" t="s">
        <v>651</v>
      </c>
      <c r="G64" t="s">
        <v>22</v>
      </c>
      <c r="H64" t="s">
        <v>631</v>
      </c>
      <c r="I64" t="s">
        <v>237</v>
      </c>
    </row>
    <row r="65" spans="1:9" x14ac:dyDescent="0.25">
      <c r="A65" t="s">
        <v>629</v>
      </c>
      <c r="B65" t="s">
        <v>655</v>
      </c>
      <c r="C65" t="s">
        <v>21</v>
      </c>
      <c r="D65" t="s">
        <v>243</v>
      </c>
      <c r="E65" t="s">
        <v>236</v>
      </c>
      <c r="F65" t="s">
        <v>651</v>
      </c>
      <c r="G65" t="s">
        <v>22</v>
      </c>
      <c r="H65" t="s">
        <v>631</v>
      </c>
      <c r="I65" t="s">
        <v>237</v>
      </c>
    </row>
    <row r="66" spans="1:9" x14ac:dyDescent="0.25">
      <c r="A66" t="s">
        <v>629</v>
      </c>
      <c r="B66" t="s">
        <v>656</v>
      </c>
      <c r="C66" t="s">
        <v>4</v>
      </c>
      <c r="D66" t="s">
        <v>267</v>
      </c>
      <c r="E66" t="s">
        <v>267</v>
      </c>
      <c r="F66" t="s">
        <v>651</v>
      </c>
      <c r="G66" t="s">
        <v>22</v>
      </c>
      <c r="H66" t="s">
        <v>631</v>
      </c>
      <c r="I66" t="s">
        <v>269</v>
      </c>
    </row>
    <row r="67" spans="1:9" x14ac:dyDescent="0.25">
      <c r="A67" t="s">
        <v>629</v>
      </c>
      <c r="B67" t="s">
        <v>656</v>
      </c>
      <c r="C67" t="s">
        <v>7</v>
      </c>
      <c r="D67" t="s">
        <v>269</v>
      </c>
      <c r="E67" t="s">
        <v>267</v>
      </c>
      <c r="F67" t="s">
        <v>651</v>
      </c>
      <c r="G67" t="s">
        <v>22</v>
      </c>
      <c r="H67" t="s">
        <v>631</v>
      </c>
      <c r="I67" t="s">
        <v>269</v>
      </c>
    </row>
    <row r="68" spans="1:9" x14ac:dyDescent="0.25">
      <c r="A68" t="s">
        <v>629</v>
      </c>
      <c r="B68" t="s">
        <v>656</v>
      </c>
      <c r="C68" t="s">
        <v>10</v>
      </c>
      <c r="D68">
        <v>20</v>
      </c>
      <c r="E68" t="s">
        <v>267</v>
      </c>
      <c r="F68" t="s">
        <v>651</v>
      </c>
      <c r="G68" t="s">
        <v>22</v>
      </c>
      <c r="H68" t="s">
        <v>631</v>
      </c>
      <c r="I68" t="s">
        <v>269</v>
      </c>
    </row>
    <row r="69" spans="1:9" x14ac:dyDescent="0.25">
      <c r="A69" t="s">
        <v>629</v>
      </c>
      <c r="B69" t="s">
        <v>656</v>
      </c>
      <c r="C69" t="s">
        <v>11</v>
      </c>
      <c r="D69">
        <v>2</v>
      </c>
      <c r="E69" t="s">
        <v>267</v>
      </c>
      <c r="F69" t="s">
        <v>651</v>
      </c>
      <c r="G69" t="s">
        <v>22</v>
      </c>
      <c r="H69" t="s">
        <v>631</v>
      </c>
      <c r="I69" t="s">
        <v>269</v>
      </c>
    </row>
    <row r="70" spans="1:9" x14ac:dyDescent="0.25">
      <c r="A70" t="s">
        <v>629</v>
      </c>
      <c r="B70" t="s">
        <v>656</v>
      </c>
      <c r="C70" t="s">
        <v>13</v>
      </c>
      <c r="D70">
        <v>5</v>
      </c>
      <c r="E70" t="s">
        <v>267</v>
      </c>
      <c r="F70" t="s">
        <v>651</v>
      </c>
      <c r="G70" t="s">
        <v>22</v>
      </c>
      <c r="H70" t="s">
        <v>631</v>
      </c>
      <c r="I70" t="s">
        <v>269</v>
      </c>
    </row>
    <row r="71" spans="1:9" x14ac:dyDescent="0.25">
      <c r="A71" t="s">
        <v>629</v>
      </c>
      <c r="B71" t="s">
        <v>656</v>
      </c>
      <c r="C71" t="s">
        <v>15</v>
      </c>
      <c r="D71" t="s">
        <v>16</v>
      </c>
      <c r="E71" t="s">
        <v>267</v>
      </c>
      <c r="F71" t="s">
        <v>651</v>
      </c>
      <c r="G71" t="s">
        <v>22</v>
      </c>
      <c r="H71" t="s">
        <v>631</v>
      </c>
      <c r="I71" t="s">
        <v>269</v>
      </c>
    </row>
    <row r="72" spans="1:9" x14ac:dyDescent="0.25">
      <c r="A72" t="s">
        <v>629</v>
      </c>
      <c r="B72" t="s">
        <v>656</v>
      </c>
      <c r="C72" t="s">
        <v>18</v>
      </c>
      <c r="D72" t="s">
        <v>19</v>
      </c>
      <c r="E72" t="s">
        <v>267</v>
      </c>
      <c r="F72" t="s">
        <v>651</v>
      </c>
      <c r="G72" t="s">
        <v>22</v>
      </c>
      <c r="H72" t="s">
        <v>631</v>
      </c>
      <c r="I72" t="s">
        <v>269</v>
      </c>
    </row>
    <row r="73" spans="1:9" x14ac:dyDescent="0.25">
      <c r="A73" t="s">
        <v>629</v>
      </c>
      <c r="B73" t="s">
        <v>656</v>
      </c>
      <c r="C73" t="s">
        <v>21</v>
      </c>
      <c r="D73" t="s">
        <v>22</v>
      </c>
      <c r="E73" t="s">
        <v>267</v>
      </c>
      <c r="F73" t="s">
        <v>651</v>
      </c>
      <c r="G73" t="s">
        <v>22</v>
      </c>
      <c r="H73" t="s">
        <v>631</v>
      </c>
      <c r="I73" t="s">
        <v>269</v>
      </c>
    </row>
    <row r="74" spans="1:9" x14ac:dyDescent="0.25">
      <c r="A74" t="s">
        <v>629</v>
      </c>
      <c r="B74" t="s">
        <v>657</v>
      </c>
      <c r="C74" t="s">
        <v>4</v>
      </c>
      <c r="D74" t="s">
        <v>294</v>
      </c>
      <c r="E74" t="s">
        <v>294</v>
      </c>
      <c r="F74" t="s">
        <v>651</v>
      </c>
      <c r="G74" t="s">
        <v>22</v>
      </c>
      <c r="H74" t="s">
        <v>631</v>
      </c>
      <c r="I74" t="s">
        <v>296</v>
      </c>
    </row>
    <row r="75" spans="1:9" x14ac:dyDescent="0.25">
      <c r="A75" t="s">
        <v>629</v>
      </c>
      <c r="B75" t="s">
        <v>657</v>
      </c>
      <c r="C75" t="s">
        <v>7</v>
      </c>
      <c r="D75" t="s">
        <v>296</v>
      </c>
      <c r="E75" t="s">
        <v>294</v>
      </c>
      <c r="F75" t="s">
        <v>651</v>
      </c>
      <c r="G75" t="s">
        <v>22</v>
      </c>
      <c r="H75" t="s">
        <v>631</v>
      </c>
      <c r="I75" t="s">
        <v>296</v>
      </c>
    </row>
    <row r="76" spans="1:9" x14ac:dyDescent="0.25">
      <c r="A76" t="s">
        <v>629</v>
      </c>
      <c r="B76" t="s">
        <v>657</v>
      </c>
      <c r="C76" t="s">
        <v>10</v>
      </c>
      <c r="D76">
        <v>20</v>
      </c>
      <c r="E76" t="s">
        <v>294</v>
      </c>
      <c r="F76" t="s">
        <v>651</v>
      </c>
      <c r="G76" t="s">
        <v>22</v>
      </c>
      <c r="H76" t="s">
        <v>631</v>
      </c>
      <c r="I76" t="s">
        <v>296</v>
      </c>
    </row>
    <row r="77" spans="1:9" x14ac:dyDescent="0.25">
      <c r="A77" t="s">
        <v>629</v>
      </c>
      <c r="B77" t="s">
        <v>657</v>
      </c>
      <c r="C77" t="s">
        <v>11</v>
      </c>
      <c r="D77">
        <v>1</v>
      </c>
      <c r="E77" t="s">
        <v>294</v>
      </c>
      <c r="F77" t="s">
        <v>651</v>
      </c>
      <c r="G77" t="s">
        <v>22</v>
      </c>
      <c r="H77" t="s">
        <v>631</v>
      </c>
      <c r="I77" t="s">
        <v>296</v>
      </c>
    </row>
    <row r="78" spans="1:9" x14ac:dyDescent="0.25">
      <c r="A78" t="s">
        <v>629</v>
      </c>
      <c r="B78" t="s">
        <v>657</v>
      </c>
      <c r="C78" t="s">
        <v>13</v>
      </c>
      <c r="D78">
        <v>5</v>
      </c>
      <c r="E78" t="s">
        <v>294</v>
      </c>
      <c r="F78" t="s">
        <v>651</v>
      </c>
      <c r="G78" t="s">
        <v>22</v>
      </c>
      <c r="H78" t="s">
        <v>631</v>
      </c>
      <c r="I78" t="s">
        <v>296</v>
      </c>
    </row>
    <row r="79" spans="1:9" x14ac:dyDescent="0.25">
      <c r="A79" t="s">
        <v>629</v>
      </c>
      <c r="B79" t="s">
        <v>657</v>
      </c>
      <c r="C79" t="s">
        <v>15</v>
      </c>
      <c r="D79" t="s">
        <v>299</v>
      </c>
      <c r="E79" t="s">
        <v>294</v>
      </c>
      <c r="F79" t="s">
        <v>651</v>
      </c>
      <c r="G79" t="s">
        <v>22</v>
      </c>
      <c r="H79" t="s">
        <v>631</v>
      </c>
      <c r="I79" t="s">
        <v>296</v>
      </c>
    </row>
    <row r="80" spans="1:9" x14ac:dyDescent="0.25">
      <c r="A80" t="s">
        <v>629</v>
      </c>
      <c r="B80" t="s">
        <v>657</v>
      </c>
      <c r="C80" t="s">
        <v>18</v>
      </c>
      <c r="D80" t="s">
        <v>119</v>
      </c>
      <c r="E80" t="s">
        <v>294</v>
      </c>
      <c r="F80" t="s">
        <v>651</v>
      </c>
      <c r="G80" t="s">
        <v>22</v>
      </c>
      <c r="H80" t="s">
        <v>631</v>
      </c>
      <c r="I80" t="s">
        <v>296</v>
      </c>
    </row>
    <row r="81" spans="1:9" x14ac:dyDescent="0.25">
      <c r="A81" t="s">
        <v>629</v>
      </c>
      <c r="B81" t="s">
        <v>657</v>
      </c>
      <c r="C81" t="s">
        <v>21</v>
      </c>
      <c r="D81" t="s">
        <v>22</v>
      </c>
      <c r="E81" t="s">
        <v>294</v>
      </c>
      <c r="F81" t="s">
        <v>651</v>
      </c>
      <c r="G81" t="s">
        <v>22</v>
      </c>
      <c r="H81" t="s">
        <v>631</v>
      </c>
      <c r="I81" t="s">
        <v>296</v>
      </c>
    </row>
    <row r="82" spans="1:9" x14ac:dyDescent="0.25">
      <c r="A82" t="s">
        <v>629</v>
      </c>
      <c r="B82" t="s">
        <v>658</v>
      </c>
      <c r="C82" t="s">
        <v>4</v>
      </c>
      <c r="D82" t="s">
        <v>332</v>
      </c>
      <c r="E82" t="s">
        <v>332</v>
      </c>
      <c r="F82" t="s">
        <v>651</v>
      </c>
      <c r="G82" t="s">
        <v>22</v>
      </c>
      <c r="H82" t="s">
        <v>631</v>
      </c>
      <c r="I82" t="s">
        <v>334</v>
      </c>
    </row>
    <row r="83" spans="1:9" x14ac:dyDescent="0.25">
      <c r="A83" t="s">
        <v>629</v>
      </c>
      <c r="B83" t="s">
        <v>658</v>
      </c>
      <c r="C83" t="s">
        <v>7</v>
      </c>
      <c r="D83" t="s">
        <v>334</v>
      </c>
      <c r="E83" t="s">
        <v>332</v>
      </c>
      <c r="F83" t="s">
        <v>651</v>
      </c>
      <c r="G83" t="s">
        <v>22</v>
      </c>
      <c r="H83" t="s">
        <v>631</v>
      </c>
      <c r="I83" t="s">
        <v>334</v>
      </c>
    </row>
    <row r="84" spans="1:9" x14ac:dyDescent="0.25">
      <c r="A84" t="s">
        <v>629</v>
      </c>
      <c r="B84" t="s">
        <v>658</v>
      </c>
      <c r="C84" t="s">
        <v>10</v>
      </c>
      <c r="D84">
        <v>20</v>
      </c>
      <c r="E84" t="s">
        <v>332</v>
      </c>
      <c r="F84" t="s">
        <v>651</v>
      </c>
      <c r="G84" t="s">
        <v>22</v>
      </c>
      <c r="H84" t="s">
        <v>631</v>
      </c>
      <c r="I84" t="s">
        <v>334</v>
      </c>
    </row>
    <row r="85" spans="1:9" x14ac:dyDescent="0.25">
      <c r="A85" t="s">
        <v>629</v>
      </c>
      <c r="B85" t="s">
        <v>658</v>
      </c>
      <c r="C85" t="s">
        <v>11</v>
      </c>
      <c r="D85">
        <v>1</v>
      </c>
      <c r="E85" t="s">
        <v>332</v>
      </c>
      <c r="F85" t="s">
        <v>651</v>
      </c>
      <c r="G85" t="s">
        <v>22</v>
      </c>
      <c r="H85" t="s">
        <v>631</v>
      </c>
      <c r="I85" t="s">
        <v>334</v>
      </c>
    </row>
    <row r="86" spans="1:9" x14ac:dyDescent="0.25">
      <c r="A86" t="s">
        <v>629</v>
      </c>
      <c r="B86" t="s">
        <v>658</v>
      </c>
      <c r="C86" t="s">
        <v>13</v>
      </c>
      <c r="D86">
        <v>5</v>
      </c>
      <c r="E86" t="s">
        <v>332</v>
      </c>
      <c r="F86" t="s">
        <v>651</v>
      </c>
      <c r="G86" t="s">
        <v>22</v>
      </c>
      <c r="H86" t="s">
        <v>631</v>
      </c>
      <c r="I86" t="s">
        <v>334</v>
      </c>
    </row>
    <row r="87" spans="1:9" x14ac:dyDescent="0.25">
      <c r="A87" t="s">
        <v>629</v>
      </c>
      <c r="B87" t="s">
        <v>658</v>
      </c>
      <c r="C87" t="s">
        <v>15</v>
      </c>
      <c r="D87" t="s">
        <v>336</v>
      </c>
      <c r="E87" t="s">
        <v>332</v>
      </c>
      <c r="F87" t="s">
        <v>651</v>
      </c>
      <c r="G87" t="s">
        <v>22</v>
      </c>
      <c r="H87" t="s">
        <v>631</v>
      </c>
      <c r="I87" t="s">
        <v>334</v>
      </c>
    </row>
    <row r="88" spans="1:9" x14ac:dyDescent="0.25">
      <c r="A88" t="s">
        <v>629</v>
      </c>
      <c r="B88" t="s">
        <v>658</v>
      </c>
      <c r="C88" t="s">
        <v>18</v>
      </c>
      <c r="D88" t="s">
        <v>119</v>
      </c>
      <c r="E88" t="s">
        <v>332</v>
      </c>
      <c r="F88" t="s">
        <v>651</v>
      </c>
      <c r="G88" t="s">
        <v>22</v>
      </c>
      <c r="H88" t="s">
        <v>631</v>
      </c>
      <c r="I88" t="s">
        <v>334</v>
      </c>
    </row>
    <row r="89" spans="1:9" x14ac:dyDescent="0.25">
      <c r="A89" t="s">
        <v>629</v>
      </c>
      <c r="B89" t="s">
        <v>658</v>
      </c>
      <c r="C89" t="s">
        <v>21</v>
      </c>
      <c r="D89" t="s">
        <v>22</v>
      </c>
      <c r="E89" t="s">
        <v>332</v>
      </c>
      <c r="F89" t="s">
        <v>651</v>
      </c>
      <c r="G89" t="s">
        <v>22</v>
      </c>
      <c r="H89" t="s">
        <v>631</v>
      </c>
      <c r="I89" t="s">
        <v>334</v>
      </c>
    </row>
    <row r="90" spans="1:9" x14ac:dyDescent="0.25">
      <c r="A90" t="s">
        <v>629</v>
      </c>
      <c r="B90" t="s">
        <v>659</v>
      </c>
      <c r="C90" t="s">
        <v>4</v>
      </c>
      <c r="D90" t="s">
        <v>360</v>
      </c>
      <c r="E90" t="s">
        <v>360</v>
      </c>
      <c r="F90" t="s">
        <v>651</v>
      </c>
      <c r="G90" t="s">
        <v>22</v>
      </c>
      <c r="H90" t="s">
        <v>631</v>
      </c>
      <c r="I90" t="s">
        <v>614</v>
      </c>
    </row>
    <row r="91" spans="1:9" x14ac:dyDescent="0.25">
      <c r="A91" t="s">
        <v>629</v>
      </c>
      <c r="B91" t="s">
        <v>659</v>
      </c>
      <c r="C91" t="s">
        <v>7</v>
      </c>
      <c r="D91" t="s">
        <v>362</v>
      </c>
      <c r="E91" t="s">
        <v>360</v>
      </c>
      <c r="F91" t="s">
        <v>651</v>
      </c>
      <c r="G91" t="s">
        <v>22</v>
      </c>
      <c r="H91" t="s">
        <v>631</v>
      </c>
      <c r="I91" t="s">
        <v>614</v>
      </c>
    </row>
    <row r="92" spans="1:9" x14ac:dyDescent="0.25">
      <c r="A92" t="s">
        <v>629</v>
      </c>
      <c r="B92" t="s">
        <v>659</v>
      </c>
      <c r="C92" t="s">
        <v>10</v>
      </c>
      <c r="D92">
        <v>20</v>
      </c>
      <c r="E92" t="s">
        <v>360</v>
      </c>
      <c r="F92" t="s">
        <v>651</v>
      </c>
      <c r="G92" t="s">
        <v>22</v>
      </c>
      <c r="H92" t="s">
        <v>631</v>
      </c>
      <c r="I92" t="s">
        <v>614</v>
      </c>
    </row>
    <row r="93" spans="1:9" x14ac:dyDescent="0.25">
      <c r="A93" t="s">
        <v>629</v>
      </c>
      <c r="B93" t="s">
        <v>659</v>
      </c>
      <c r="C93" t="s">
        <v>11</v>
      </c>
      <c r="D93">
        <v>1</v>
      </c>
      <c r="E93" t="s">
        <v>360</v>
      </c>
      <c r="F93" t="s">
        <v>651</v>
      </c>
      <c r="G93" t="s">
        <v>22</v>
      </c>
      <c r="H93" t="s">
        <v>631</v>
      </c>
      <c r="I93" t="s">
        <v>614</v>
      </c>
    </row>
    <row r="94" spans="1:9" x14ac:dyDescent="0.25">
      <c r="A94" t="s">
        <v>629</v>
      </c>
      <c r="B94" t="s">
        <v>659</v>
      </c>
      <c r="C94" t="s">
        <v>13</v>
      </c>
      <c r="D94">
        <v>5</v>
      </c>
      <c r="E94" t="s">
        <v>360</v>
      </c>
      <c r="F94" t="s">
        <v>651</v>
      </c>
      <c r="G94" t="s">
        <v>22</v>
      </c>
      <c r="H94" t="s">
        <v>631</v>
      </c>
      <c r="I94" t="s">
        <v>614</v>
      </c>
    </row>
    <row r="95" spans="1:9" x14ac:dyDescent="0.25">
      <c r="A95" t="s">
        <v>629</v>
      </c>
      <c r="B95" t="s">
        <v>659</v>
      </c>
      <c r="C95" t="s">
        <v>15</v>
      </c>
      <c r="D95" t="s">
        <v>365</v>
      </c>
      <c r="E95" t="s">
        <v>360</v>
      </c>
      <c r="F95" t="s">
        <v>651</v>
      </c>
      <c r="G95" t="s">
        <v>22</v>
      </c>
      <c r="H95" t="s">
        <v>631</v>
      </c>
      <c r="I95" t="s">
        <v>614</v>
      </c>
    </row>
    <row r="96" spans="1:9" x14ac:dyDescent="0.25">
      <c r="A96" t="s">
        <v>629</v>
      </c>
      <c r="B96" t="s">
        <v>659</v>
      </c>
      <c r="C96" t="s">
        <v>18</v>
      </c>
      <c r="D96" t="s">
        <v>119</v>
      </c>
      <c r="E96" t="s">
        <v>360</v>
      </c>
      <c r="F96" t="s">
        <v>651</v>
      </c>
      <c r="G96" t="s">
        <v>22</v>
      </c>
      <c r="H96" t="s">
        <v>631</v>
      </c>
      <c r="I96" t="s">
        <v>614</v>
      </c>
    </row>
    <row r="97" spans="1:9" x14ac:dyDescent="0.25">
      <c r="A97" t="s">
        <v>629</v>
      </c>
      <c r="B97" t="s">
        <v>659</v>
      </c>
      <c r="C97" t="s">
        <v>21</v>
      </c>
      <c r="D97" t="s">
        <v>22</v>
      </c>
      <c r="E97" t="s">
        <v>360</v>
      </c>
      <c r="F97" t="s">
        <v>651</v>
      </c>
      <c r="G97" t="s">
        <v>22</v>
      </c>
      <c r="H97" t="s">
        <v>631</v>
      </c>
      <c r="I97" t="s">
        <v>614</v>
      </c>
    </row>
    <row r="98" spans="1:9" x14ac:dyDescent="0.25">
      <c r="A98" t="s">
        <v>629</v>
      </c>
      <c r="B98" t="s">
        <v>660</v>
      </c>
      <c r="C98" t="s">
        <v>4</v>
      </c>
      <c r="D98" t="s">
        <v>390</v>
      </c>
      <c r="E98" t="s">
        <v>390</v>
      </c>
      <c r="F98" t="s">
        <v>651</v>
      </c>
      <c r="G98" t="s">
        <v>22</v>
      </c>
      <c r="H98" t="s">
        <v>631</v>
      </c>
      <c r="I98" t="s">
        <v>392</v>
      </c>
    </row>
    <row r="99" spans="1:9" x14ac:dyDescent="0.25">
      <c r="A99" t="s">
        <v>629</v>
      </c>
      <c r="B99" t="s">
        <v>660</v>
      </c>
      <c r="C99" t="s">
        <v>7</v>
      </c>
      <c r="D99" t="s">
        <v>392</v>
      </c>
      <c r="E99" t="s">
        <v>390</v>
      </c>
      <c r="F99" t="s">
        <v>651</v>
      </c>
      <c r="G99" t="s">
        <v>22</v>
      </c>
      <c r="H99" t="s">
        <v>631</v>
      </c>
      <c r="I99" t="s">
        <v>392</v>
      </c>
    </row>
    <row r="100" spans="1:9" x14ac:dyDescent="0.25">
      <c r="A100" t="s">
        <v>629</v>
      </c>
      <c r="B100" t="s">
        <v>660</v>
      </c>
      <c r="C100" t="s">
        <v>10</v>
      </c>
      <c r="D100">
        <v>20</v>
      </c>
      <c r="E100" t="s">
        <v>390</v>
      </c>
      <c r="F100" t="s">
        <v>651</v>
      </c>
      <c r="G100" t="s">
        <v>22</v>
      </c>
      <c r="H100" t="s">
        <v>631</v>
      </c>
      <c r="I100" t="s">
        <v>392</v>
      </c>
    </row>
    <row r="101" spans="1:9" x14ac:dyDescent="0.25">
      <c r="A101" t="s">
        <v>629</v>
      </c>
      <c r="B101" t="s">
        <v>660</v>
      </c>
      <c r="C101" t="s">
        <v>11</v>
      </c>
      <c r="D101">
        <v>2</v>
      </c>
      <c r="E101" t="s">
        <v>390</v>
      </c>
      <c r="F101" t="s">
        <v>651</v>
      </c>
      <c r="G101" t="s">
        <v>22</v>
      </c>
      <c r="H101" t="s">
        <v>631</v>
      </c>
      <c r="I101" t="s">
        <v>392</v>
      </c>
    </row>
    <row r="102" spans="1:9" x14ac:dyDescent="0.25">
      <c r="A102" t="s">
        <v>629</v>
      </c>
      <c r="B102" t="s">
        <v>660</v>
      </c>
      <c r="C102" t="s">
        <v>13</v>
      </c>
      <c r="D102">
        <v>5</v>
      </c>
      <c r="E102" t="s">
        <v>390</v>
      </c>
      <c r="F102" t="s">
        <v>651</v>
      </c>
      <c r="G102" t="s">
        <v>22</v>
      </c>
      <c r="H102" t="s">
        <v>631</v>
      </c>
      <c r="I102" t="s">
        <v>392</v>
      </c>
    </row>
    <row r="103" spans="1:9" x14ac:dyDescent="0.25">
      <c r="A103" t="s">
        <v>629</v>
      </c>
      <c r="B103" t="s">
        <v>660</v>
      </c>
      <c r="C103" t="s">
        <v>15</v>
      </c>
      <c r="D103" t="s">
        <v>299</v>
      </c>
      <c r="E103" t="s">
        <v>390</v>
      </c>
      <c r="F103" t="s">
        <v>651</v>
      </c>
      <c r="G103" t="s">
        <v>22</v>
      </c>
      <c r="H103" t="s">
        <v>631</v>
      </c>
      <c r="I103" t="s">
        <v>392</v>
      </c>
    </row>
    <row r="104" spans="1:9" x14ac:dyDescent="0.25">
      <c r="A104" t="s">
        <v>629</v>
      </c>
      <c r="B104" t="s">
        <v>660</v>
      </c>
      <c r="C104" t="s">
        <v>18</v>
      </c>
      <c r="D104" t="s">
        <v>119</v>
      </c>
      <c r="E104" t="s">
        <v>390</v>
      </c>
      <c r="F104" t="s">
        <v>651</v>
      </c>
      <c r="G104" t="s">
        <v>22</v>
      </c>
      <c r="H104" t="s">
        <v>631</v>
      </c>
      <c r="I104" t="s">
        <v>392</v>
      </c>
    </row>
    <row r="105" spans="1:9" x14ac:dyDescent="0.25">
      <c r="A105" t="s">
        <v>629</v>
      </c>
      <c r="B105" t="s">
        <v>660</v>
      </c>
      <c r="C105" t="s">
        <v>21</v>
      </c>
      <c r="D105" t="s">
        <v>396</v>
      </c>
      <c r="E105" t="s">
        <v>390</v>
      </c>
      <c r="F105" t="s">
        <v>651</v>
      </c>
      <c r="G105" t="s">
        <v>22</v>
      </c>
      <c r="H105" t="s">
        <v>631</v>
      </c>
      <c r="I105" t="s">
        <v>392</v>
      </c>
    </row>
    <row r="106" spans="1:9" x14ac:dyDescent="0.25">
      <c r="A106" t="s">
        <v>629</v>
      </c>
      <c r="B106" t="s">
        <v>662</v>
      </c>
      <c r="C106" t="s">
        <v>4</v>
      </c>
      <c r="D106" t="s">
        <v>430</v>
      </c>
      <c r="E106" t="s">
        <v>430</v>
      </c>
      <c r="F106" t="s">
        <v>651</v>
      </c>
      <c r="G106" t="s">
        <v>22</v>
      </c>
      <c r="H106" t="s">
        <v>631</v>
      </c>
      <c r="I106" t="s">
        <v>432</v>
      </c>
    </row>
    <row r="107" spans="1:9" x14ac:dyDescent="0.25">
      <c r="A107" t="s">
        <v>629</v>
      </c>
      <c r="B107" t="s">
        <v>662</v>
      </c>
      <c r="C107" t="s">
        <v>7</v>
      </c>
      <c r="D107" t="s">
        <v>432</v>
      </c>
      <c r="E107" t="s">
        <v>430</v>
      </c>
      <c r="F107" t="s">
        <v>651</v>
      </c>
      <c r="G107" t="s">
        <v>22</v>
      </c>
      <c r="H107" t="s">
        <v>631</v>
      </c>
      <c r="I107" t="s">
        <v>432</v>
      </c>
    </row>
    <row r="108" spans="1:9" x14ac:dyDescent="0.25">
      <c r="A108" t="s">
        <v>629</v>
      </c>
      <c r="B108" t="s">
        <v>662</v>
      </c>
      <c r="C108" t="s">
        <v>10</v>
      </c>
      <c r="D108">
        <v>20</v>
      </c>
      <c r="E108" t="s">
        <v>430</v>
      </c>
      <c r="F108" t="s">
        <v>651</v>
      </c>
      <c r="G108" t="s">
        <v>22</v>
      </c>
      <c r="H108" t="s">
        <v>631</v>
      </c>
      <c r="I108" t="s">
        <v>432</v>
      </c>
    </row>
    <row r="109" spans="1:9" x14ac:dyDescent="0.25">
      <c r="A109" t="s">
        <v>629</v>
      </c>
      <c r="B109" t="s">
        <v>662</v>
      </c>
      <c r="C109" t="s">
        <v>11</v>
      </c>
      <c r="D109">
        <v>1</v>
      </c>
      <c r="E109" t="s">
        <v>430</v>
      </c>
      <c r="F109" t="s">
        <v>651</v>
      </c>
      <c r="G109" t="s">
        <v>22</v>
      </c>
      <c r="H109" t="s">
        <v>631</v>
      </c>
      <c r="I109" t="s">
        <v>432</v>
      </c>
    </row>
    <row r="110" spans="1:9" x14ac:dyDescent="0.25">
      <c r="A110" t="s">
        <v>629</v>
      </c>
      <c r="B110" t="s">
        <v>662</v>
      </c>
      <c r="C110" t="s">
        <v>13</v>
      </c>
      <c r="D110">
        <v>6</v>
      </c>
      <c r="E110" t="s">
        <v>430</v>
      </c>
      <c r="F110" t="s">
        <v>651</v>
      </c>
      <c r="G110" t="s">
        <v>22</v>
      </c>
      <c r="H110" t="s">
        <v>631</v>
      </c>
      <c r="I110" t="s">
        <v>432</v>
      </c>
    </row>
    <row r="111" spans="1:9" x14ac:dyDescent="0.25">
      <c r="A111" t="s">
        <v>629</v>
      </c>
      <c r="B111" t="s">
        <v>662</v>
      </c>
      <c r="C111" t="s">
        <v>15</v>
      </c>
      <c r="D111" t="s">
        <v>434</v>
      </c>
      <c r="E111" t="s">
        <v>430</v>
      </c>
      <c r="F111" t="s">
        <v>651</v>
      </c>
      <c r="G111" t="s">
        <v>22</v>
      </c>
      <c r="H111" t="s">
        <v>631</v>
      </c>
      <c r="I111" t="s">
        <v>432</v>
      </c>
    </row>
    <row r="112" spans="1:9" x14ac:dyDescent="0.25">
      <c r="A112" t="s">
        <v>629</v>
      </c>
      <c r="B112" t="s">
        <v>662</v>
      </c>
      <c r="C112" t="s">
        <v>18</v>
      </c>
      <c r="D112" t="s">
        <v>119</v>
      </c>
      <c r="E112" t="s">
        <v>430</v>
      </c>
      <c r="F112" t="s">
        <v>651</v>
      </c>
      <c r="G112" t="s">
        <v>22</v>
      </c>
      <c r="H112" t="s">
        <v>631</v>
      </c>
      <c r="I112" t="s">
        <v>432</v>
      </c>
    </row>
    <row r="113" spans="1:9" x14ac:dyDescent="0.25">
      <c r="A113" t="s">
        <v>629</v>
      </c>
      <c r="B113" t="s">
        <v>662</v>
      </c>
      <c r="C113" t="s">
        <v>21</v>
      </c>
      <c r="D113" t="s">
        <v>243</v>
      </c>
      <c r="E113" t="s">
        <v>430</v>
      </c>
      <c r="F113" t="s">
        <v>651</v>
      </c>
      <c r="G113" t="s">
        <v>22</v>
      </c>
      <c r="H113" t="s">
        <v>631</v>
      </c>
      <c r="I113" t="s">
        <v>432</v>
      </c>
    </row>
    <row r="114" spans="1:9" x14ac:dyDescent="0.25">
      <c r="A114" t="s">
        <v>629</v>
      </c>
      <c r="B114" t="s">
        <v>661</v>
      </c>
      <c r="C114" t="s">
        <v>4</v>
      </c>
      <c r="D114" t="s">
        <v>465</v>
      </c>
      <c r="E114" t="s">
        <v>465</v>
      </c>
      <c r="F114" t="s">
        <v>651</v>
      </c>
      <c r="G114" t="s">
        <v>22</v>
      </c>
      <c r="H114" t="s">
        <v>631</v>
      </c>
      <c r="I114" t="s">
        <v>466</v>
      </c>
    </row>
    <row r="115" spans="1:9" x14ac:dyDescent="0.25">
      <c r="A115" t="s">
        <v>629</v>
      </c>
      <c r="B115" t="s">
        <v>661</v>
      </c>
      <c r="C115" t="s">
        <v>7</v>
      </c>
      <c r="D115" t="s">
        <v>466</v>
      </c>
      <c r="E115" t="s">
        <v>465</v>
      </c>
      <c r="F115" t="s">
        <v>651</v>
      </c>
      <c r="G115" t="s">
        <v>22</v>
      </c>
      <c r="H115" t="s">
        <v>631</v>
      </c>
      <c r="I115" t="s">
        <v>466</v>
      </c>
    </row>
    <row r="116" spans="1:9" x14ac:dyDescent="0.25">
      <c r="A116" t="s">
        <v>629</v>
      </c>
      <c r="B116" t="s">
        <v>661</v>
      </c>
      <c r="C116" t="s">
        <v>10</v>
      </c>
      <c r="D116">
        <v>20</v>
      </c>
      <c r="E116" t="s">
        <v>465</v>
      </c>
      <c r="F116" t="s">
        <v>651</v>
      </c>
      <c r="G116" t="s">
        <v>22</v>
      </c>
      <c r="H116" t="s">
        <v>631</v>
      </c>
      <c r="I116" t="s">
        <v>466</v>
      </c>
    </row>
    <row r="117" spans="1:9" x14ac:dyDescent="0.25">
      <c r="A117" t="s">
        <v>629</v>
      </c>
      <c r="B117" t="s">
        <v>661</v>
      </c>
      <c r="C117" t="s">
        <v>11</v>
      </c>
      <c r="D117">
        <v>1</v>
      </c>
      <c r="E117" t="s">
        <v>465</v>
      </c>
      <c r="F117" t="s">
        <v>651</v>
      </c>
      <c r="G117" t="s">
        <v>22</v>
      </c>
      <c r="H117" t="s">
        <v>631</v>
      </c>
      <c r="I117" t="s">
        <v>466</v>
      </c>
    </row>
    <row r="118" spans="1:9" x14ac:dyDescent="0.25">
      <c r="A118" t="s">
        <v>629</v>
      </c>
      <c r="B118" t="s">
        <v>661</v>
      </c>
      <c r="C118" t="s">
        <v>13</v>
      </c>
      <c r="D118">
        <v>6</v>
      </c>
      <c r="E118" t="s">
        <v>465</v>
      </c>
      <c r="F118" t="s">
        <v>651</v>
      </c>
      <c r="G118" t="s">
        <v>22</v>
      </c>
      <c r="H118" t="s">
        <v>631</v>
      </c>
      <c r="I118" t="s">
        <v>466</v>
      </c>
    </row>
    <row r="119" spans="1:9" x14ac:dyDescent="0.25">
      <c r="A119" t="s">
        <v>629</v>
      </c>
      <c r="B119" t="s">
        <v>661</v>
      </c>
      <c r="C119" t="s">
        <v>15</v>
      </c>
      <c r="D119" t="s">
        <v>469</v>
      </c>
      <c r="E119" t="s">
        <v>465</v>
      </c>
      <c r="F119" t="s">
        <v>651</v>
      </c>
      <c r="G119" t="s">
        <v>22</v>
      </c>
      <c r="H119" t="s">
        <v>631</v>
      </c>
      <c r="I119" t="s">
        <v>466</v>
      </c>
    </row>
    <row r="120" spans="1:9" x14ac:dyDescent="0.25">
      <c r="A120" t="s">
        <v>629</v>
      </c>
      <c r="B120" t="s">
        <v>661</v>
      </c>
      <c r="C120" t="s">
        <v>18</v>
      </c>
      <c r="D120" t="s">
        <v>19</v>
      </c>
      <c r="E120" t="s">
        <v>465</v>
      </c>
      <c r="F120" t="s">
        <v>651</v>
      </c>
      <c r="G120" t="s">
        <v>22</v>
      </c>
      <c r="H120" t="s">
        <v>631</v>
      </c>
      <c r="I120" t="s">
        <v>466</v>
      </c>
    </row>
    <row r="121" spans="1:9" x14ac:dyDescent="0.25">
      <c r="A121" t="s">
        <v>629</v>
      </c>
      <c r="B121" t="s">
        <v>661</v>
      </c>
      <c r="C121" t="s">
        <v>21</v>
      </c>
      <c r="D121" t="s">
        <v>22</v>
      </c>
      <c r="E121" t="s">
        <v>465</v>
      </c>
      <c r="F121" t="s">
        <v>651</v>
      </c>
      <c r="G121" t="s">
        <v>22</v>
      </c>
      <c r="H121" t="s">
        <v>631</v>
      </c>
      <c r="I121" t="s">
        <v>466</v>
      </c>
    </row>
    <row r="122" spans="1:9" x14ac:dyDescent="0.25">
      <c r="A122" t="s">
        <v>629</v>
      </c>
      <c r="B122" t="s">
        <v>663</v>
      </c>
      <c r="C122" t="s">
        <v>4</v>
      </c>
      <c r="D122" t="s">
        <v>512</v>
      </c>
      <c r="E122" t="s">
        <v>512</v>
      </c>
      <c r="F122" t="s">
        <v>651</v>
      </c>
      <c r="G122" t="s">
        <v>22</v>
      </c>
      <c r="H122" t="s">
        <v>631</v>
      </c>
      <c r="I122" t="s">
        <v>513</v>
      </c>
    </row>
    <row r="123" spans="1:9" x14ac:dyDescent="0.25">
      <c r="A123" t="s">
        <v>629</v>
      </c>
      <c r="B123" t="s">
        <v>663</v>
      </c>
      <c r="C123" t="s">
        <v>7</v>
      </c>
      <c r="D123" t="s">
        <v>513</v>
      </c>
      <c r="E123" t="s">
        <v>512</v>
      </c>
      <c r="F123" t="s">
        <v>651</v>
      </c>
      <c r="G123" t="s">
        <v>22</v>
      </c>
      <c r="H123" t="s">
        <v>631</v>
      </c>
      <c r="I123" t="s">
        <v>513</v>
      </c>
    </row>
    <row r="124" spans="1:9" x14ac:dyDescent="0.25">
      <c r="A124" t="s">
        <v>629</v>
      </c>
      <c r="B124" t="s">
        <v>663</v>
      </c>
      <c r="C124" t="s">
        <v>10</v>
      </c>
      <c r="D124">
        <v>20</v>
      </c>
      <c r="E124" t="s">
        <v>512</v>
      </c>
      <c r="F124" t="s">
        <v>651</v>
      </c>
      <c r="G124" t="s">
        <v>22</v>
      </c>
      <c r="H124" t="s">
        <v>631</v>
      </c>
      <c r="I124" t="s">
        <v>513</v>
      </c>
    </row>
    <row r="125" spans="1:9" x14ac:dyDescent="0.25">
      <c r="A125" t="s">
        <v>629</v>
      </c>
      <c r="B125" t="s">
        <v>663</v>
      </c>
      <c r="C125" t="s">
        <v>11</v>
      </c>
      <c r="D125">
        <v>2</v>
      </c>
      <c r="E125" t="s">
        <v>512</v>
      </c>
      <c r="F125" t="s">
        <v>651</v>
      </c>
      <c r="G125" t="s">
        <v>22</v>
      </c>
      <c r="H125" t="s">
        <v>631</v>
      </c>
      <c r="I125" t="s">
        <v>513</v>
      </c>
    </row>
    <row r="126" spans="1:9" x14ac:dyDescent="0.25">
      <c r="A126" t="s">
        <v>629</v>
      </c>
      <c r="B126" t="s">
        <v>663</v>
      </c>
      <c r="C126" t="s">
        <v>13</v>
      </c>
      <c r="D126">
        <v>6</v>
      </c>
      <c r="E126" t="s">
        <v>512</v>
      </c>
      <c r="F126" t="s">
        <v>651</v>
      </c>
      <c r="G126" t="s">
        <v>22</v>
      </c>
      <c r="H126" t="s">
        <v>631</v>
      </c>
      <c r="I126" t="s">
        <v>513</v>
      </c>
    </row>
    <row r="127" spans="1:9" x14ac:dyDescent="0.25">
      <c r="A127" t="s">
        <v>629</v>
      </c>
      <c r="B127" t="s">
        <v>663</v>
      </c>
      <c r="C127" t="s">
        <v>15</v>
      </c>
      <c r="D127" t="s">
        <v>516</v>
      </c>
      <c r="E127" t="s">
        <v>512</v>
      </c>
      <c r="F127" t="s">
        <v>651</v>
      </c>
      <c r="G127" t="s">
        <v>22</v>
      </c>
      <c r="H127" t="s">
        <v>631</v>
      </c>
      <c r="I127" t="s">
        <v>513</v>
      </c>
    </row>
    <row r="128" spans="1:9" x14ac:dyDescent="0.25">
      <c r="A128" t="s">
        <v>629</v>
      </c>
      <c r="B128" t="s">
        <v>663</v>
      </c>
      <c r="C128" t="s">
        <v>18</v>
      </c>
      <c r="D128" t="s">
        <v>119</v>
      </c>
      <c r="E128" t="s">
        <v>512</v>
      </c>
      <c r="F128" t="s">
        <v>651</v>
      </c>
      <c r="G128" t="s">
        <v>22</v>
      </c>
      <c r="H128" t="s">
        <v>631</v>
      </c>
      <c r="I128" t="s">
        <v>513</v>
      </c>
    </row>
    <row r="129" spans="1:9" x14ac:dyDescent="0.25">
      <c r="A129" t="s">
        <v>629</v>
      </c>
      <c r="B129" t="s">
        <v>663</v>
      </c>
      <c r="C129" t="s">
        <v>21</v>
      </c>
      <c r="D129" t="s">
        <v>243</v>
      </c>
      <c r="E129" t="s">
        <v>512</v>
      </c>
      <c r="F129" t="s">
        <v>651</v>
      </c>
      <c r="G129" t="s">
        <v>22</v>
      </c>
      <c r="H129" t="s">
        <v>631</v>
      </c>
      <c r="I129" t="s">
        <v>513</v>
      </c>
    </row>
    <row r="130" spans="1:9" x14ac:dyDescent="0.25">
      <c r="A130" t="s">
        <v>629</v>
      </c>
      <c r="B130" t="s">
        <v>664</v>
      </c>
      <c r="C130" t="s">
        <v>4</v>
      </c>
      <c r="D130" t="s">
        <v>538</v>
      </c>
      <c r="E130" t="s">
        <v>538</v>
      </c>
      <c r="F130" t="s">
        <v>651</v>
      </c>
      <c r="G130" t="s">
        <v>22</v>
      </c>
      <c r="H130" t="s">
        <v>631</v>
      </c>
      <c r="I130" t="s">
        <v>603</v>
      </c>
    </row>
    <row r="131" spans="1:9" x14ac:dyDescent="0.25">
      <c r="A131" t="s">
        <v>629</v>
      </c>
      <c r="B131" t="s">
        <v>664</v>
      </c>
      <c r="C131" t="s">
        <v>7</v>
      </c>
      <c r="D131" t="s">
        <v>540</v>
      </c>
      <c r="E131" t="s">
        <v>538</v>
      </c>
      <c r="F131" t="s">
        <v>651</v>
      </c>
      <c r="G131" t="s">
        <v>22</v>
      </c>
      <c r="H131" t="s">
        <v>631</v>
      </c>
      <c r="I131" t="s">
        <v>603</v>
      </c>
    </row>
    <row r="132" spans="1:9" x14ac:dyDescent="0.25">
      <c r="A132" t="s">
        <v>629</v>
      </c>
      <c r="B132" t="s">
        <v>664</v>
      </c>
      <c r="C132" t="s">
        <v>10</v>
      </c>
      <c r="D132">
        <v>20</v>
      </c>
      <c r="E132" t="s">
        <v>538</v>
      </c>
      <c r="F132" t="s">
        <v>651</v>
      </c>
      <c r="G132" t="s">
        <v>22</v>
      </c>
      <c r="H132" t="s">
        <v>631</v>
      </c>
      <c r="I132" t="s">
        <v>603</v>
      </c>
    </row>
    <row r="133" spans="1:9" x14ac:dyDescent="0.25">
      <c r="A133" t="s">
        <v>629</v>
      </c>
      <c r="B133" t="s">
        <v>664</v>
      </c>
      <c r="C133" t="s">
        <v>11</v>
      </c>
      <c r="D133">
        <v>2</v>
      </c>
      <c r="E133" t="s">
        <v>538</v>
      </c>
      <c r="F133" t="s">
        <v>651</v>
      </c>
      <c r="G133" t="s">
        <v>22</v>
      </c>
      <c r="H133" t="s">
        <v>631</v>
      </c>
      <c r="I133" t="s">
        <v>603</v>
      </c>
    </row>
    <row r="134" spans="1:9" x14ac:dyDescent="0.25">
      <c r="A134" t="s">
        <v>629</v>
      </c>
      <c r="B134" t="s">
        <v>664</v>
      </c>
      <c r="C134" t="s">
        <v>13</v>
      </c>
      <c r="D134">
        <v>6</v>
      </c>
      <c r="E134" t="s">
        <v>538</v>
      </c>
      <c r="F134" t="s">
        <v>651</v>
      </c>
      <c r="G134" t="s">
        <v>22</v>
      </c>
      <c r="H134" t="s">
        <v>631</v>
      </c>
      <c r="I134" t="s">
        <v>603</v>
      </c>
    </row>
    <row r="135" spans="1:9" x14ac:dyDescent="0.25">
      <c r="A135" t="s">
        <v>629</v>
      </c>
      <c r="B135" t="s">
        <v>664</v>
      </c>
      <c r="C135" t="s">
        <v>15</v>
      </c>
      <c r="D135" t="s">
        <v>469</v>
      </c>
      <c r="E135" t="s">
        <v>538</v>
      </c>
      <c r="F135" t="s">
        <v>651</v>
      </c>
      <c r="G135" t="s">
        <v>22</v>
      </c>
      <c r="H135" t="s">
        <v>631</v>
      </c>
      <c r="I135" t="s">
        <v>603</v>
      </c>
    </row>
    <row r="136" spans="1:9" x14ac:dyDescent="0.25">
      <c r="A136" t="s">
        <v>629</v>
      </c>
      <c r="B136" t="s">
        <v>664</v>
      </c>
      <c r="C136" t="s">
        <v>18</v>
      </c>
      <c r="D136" t="s">
        <v>543</v>
      </c>
      <c r="E136" t="s">
        <v>538</v>
      </c>
      <c r="F136" t="s">
        <v>651</v>
      </c>
      <c r="G136" t="s">
        <v>22</v>
      </c>
      <c r="H136" t="s">
        <v>631</v>
      </c>
      <c r="I136" t="s">
        <v>603</v>
      </c>
    </row>
    <row r="137" spans="1:9" x14ac:dyDescent="0.25">
      <c r="A137" t="s">
        <v>629</v>
      </c>
      <c r="B137" t="s">
        <v>664</v>
      </c>
      <c r="C137" t="s">
        <v>21</v>
      </c>
      <c r="D137" t="s">
        <v>22</v>
      </c>
      <c r="E137" t="s">
        <v>538</v>
      </c>
      <c r="F137" t="s">
        <v>651</v>
      </c>
      <c r="G137" t="s">
        <v>22</v>
      </c>
      <c r="H137" t="s">
        <v>631</v>
      </c>
      <c r="I137" t="s">
        <v>603</v>
      </c>
    </row>
  </sheetData>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BB1DD-F469-4B0C-8EE9-FF16EC784179}">
  <sheetPr codeName="Sheet16"/>
  <dimension ref="C4:T102"/>
  <sheetViews>
    <sheetView workbookViewId="0">
      <selection activeCell="H14" sqref="H14"/>
    </sheetView>
  </sheetViews>
  <sheetFormatPr defaultColWidth="8.85546875" defaultRowHeight="15" x14ac:dyDescent="0.25"/>
  <cols>
    <col min="7" max="7" width="11.28515625" customWidth="1"/>
    <col min="10" max="10" width="19.28515625" bestFit="1" customWidth="1"/>
    <col min="19" max="19" width="28.28515625" customWidth="1"/>
    <col min="20" max="20" width="16.140625" customWidth="1"/>
  </cols>
  <sheetData>
    <row r="4" spans="3:10" x14ac:dyDescent="0.25">
      <c r="C4" t="s">
        <v>735</v>
      </c>
      <c r="E4" t="s">
        <v>736</v>
      </c>
      <c r="G4" t="s">
        <v>736</v>
      </c>
      <c r="J4" t="s">
        <v>737</v>
      </c>
    </row>
    <row r="7" spans="3:10" ht="15.75" customHeight="1" x14ac:dyDescent="0.25">
      <c r="C7" s="6">
        <v>1</v>
      </c>
      <c r="E7" t="s">
        <v>39</v>
      </c>
      <c r="G7" t="s">
        <v>206</v>
      </c>
      <c r="J7" t="s">
        <v>68</v>
      </c>
    </row>
    <row r="8" spans="3:10" x14ac:dyDescent="0.25">
      <c r="C8" s="6">
        <v>2</v>
      </c>
      <c r="E8" t="s">
        <v>41</v>
      </c>
      <c r="G8" t="s">
        <v>127</v>
      </c>
      <c r="J8" t="s">
        <v>74</v>
      </c>
    </row>
    <row r="9" spans="3:10" x14ac:dyDescent="0.25">
      <c r="C9" s="6" t="s">
        <v>667</v>
      </c>
      <c r="E9" t="s">
        <v>43</v>
      </c>
      <c r="G9" t="s">
        <v>125</v>
      </c>
      <c r="J9" t="s">
        <v>78</v>
      </c>
    </row>
    <row r="10" spans="3:10" x14ac:dyDescent="0.25">
      <c r="E10" t="s">
        <v>45</v>
      </c>
      <c r="G10" t="s">
        <v>29</v>
      </c>
      <c r="J10" t="s">
        <v>70</v>
      </c>
    </row>
    <row r="11" spans="3:10" x14ac:dyDescent="0.25">
      <c r="C11" s="6">
        <v>3</v>
      </c>
      <c r="E11" t="s">
        <v>47</v>
      </c>
      <c r="G11" t="s">
        <v>57</v>
      </c>
      <c r="J11" t="s">
        <v>84</v>
      </c>
    </row>
    <row r="12" spans="3:10" x14ac:dyDescent="0.25">
      <c r="C12" s="6">
        <v>4</v>
      </c>
      <c r="J12" t="s">
        <v>72</v>
      </c>
    </row>
    <row r="13" spans="3:10" x14ac:dyDescent="0.25">
      <c r="C13" s="6">
        <v>5</v>
      </c>
      <c r="J13" t="s">
        <v>82</v>
      </c>
    </row>
    <row r="14" spans="3:10" x14ac:dyDescent="0.25">
      <c r="C14" s="6">
        <v>6</v>
      </c>
      <c r="G14" t="s">
        <v>52</v>
      </c>
      <c r="J14" t="s">
        <v>86</v>
      </c>
    </row>
    <row r="15" spans="3:10" x14ac:dyDescent="0.25">
      <c r="C15" s="6">
        <v>7</v>
      </c>
      <c r="G15" t="s">
        <v>341</v>
      </c>
      <c r="J15" t="s">
        <v>76</v>
      </c>
    </row>
    <row r="16" spans="3:10" x14ac:dyDescent="0.25">
      <c r="G16" t="s">
        <v>477</v>
      </c>
      <c r="J16" t="s">
        <v>80</v>
      </c>
    </row>
    <row r="17" spans="3:20" x14ac:dyDescent="0.25">
      <c r="C17" t="s">
        <v>19</v>
      </c>
      <c r="G17" t="s">
        <v>692</v>
      </c>
    </row>
    <row r="18" spans="3:20" x14ac:dyDescent="0.25">
      <c r="C18" t="s">
        <v>618</v>
      </c>
      <c r="G18" t="s">
        <v>375</v>
      </c>
    </row>
    <row r="19" spans="3:20" x14ac:dyDescent="0.25">
      <c r="C19" t="s">
        <v>624</v>
      </c>
      <c r="G19" t="s">
        <v>278</v>
      </c>
      <c r="J19" t="s">
        <v>582</v>
      </c>
      <c r="K19" t="s">
        <v>583</v>
      </c>
    </row>
    <row r="20" spans="3:20" x14ac:dyDescent="0.25">
      <c r="C20" t="s">
        <v>543</v>
      </c>
      <c r="G20" t="s">
        <v>694</v>
      </c>
      <c r="J20" t="s">
        <v>68</v>
      </c>
      <c r="K20" t="s">
        <v>69</v>
      </c>
      <c r="O20" s="51" t="s">
        <v>738</v>
      </c>
      <c r="S20" s="52" t="s">
        <v>739</v>
      </c>
      <c r="T20" s="53" t="s">
        <v>740</v>
      </c>
    </row>
    <row r="21" spans="3:20" x14ac:dyDescent="0.25">
      <c r="C21" t="s">
        <v>741</v>
      </c>
      <c r="G21" t="s">
        <v>61</v>
      </c>
      <c r="J21" t="s">
        <v>68</v>
      </c>
      <c r="K21" t="s">
        <v>163</v>
      </c>
      <c r="O21" t="str" cm="1">
        <f t="array" ref="O21:O26">_xlfn._xlws.FILTER(LISTS_Table[Skill],LISTS_Table[Category]="Scientific Knowledge")</f>
        <v>Critical thinking</v>
      </c>
      <c r="S21" s="54" t="s">
        <v>68</v>
      </c>
      <c r="T21" s="55" t="s">
        <v>742</v>
      </c>
    </row>
    <row r="22" spans="3:20" x14ac:dyDescent="0.25">
      <c r="C22" t="s">
        <v>119</v>
      </c>
      <c r="G22" t="s">
        <v>204</v>
      </c>
      <c r="J22" t="s">
        <v>68</v>
      </c>
      <c r="K22" t="s">
        <v>164</v>
      </c>
      <c r="O22" t="str">
        <v>Scientific literacy</v>
      </c>
      <c r="S22" s="56" t="s">
        <v>74</v>
      </c>
      <c r="T22" s="57" t="s">
        <v>743</v>
      </c>
    </row>
    <row r="23" spans="3:20" x14ac:dyDescent="0.25">
      <c r="G23" t="s">
        <v>58</v>
      </c>
      <c r="J23" t="s">
        <v>68</v>
      </c>
      <c r="K23" t="s">
        <v>130</v>
      </c>
      <c r="O23" t="str">
        <v>Information retrieval</v>
      </c>
      <c r="S23" s="54" t="s">
        <v>78</v>
      </c>
      <c r="T23" s="55" t="s">
        <v>744</v>
      </c>
    </row>
    <row r="24" spans="3:20" x14ac:dyDescent="0.25">
      <c r="G24" t="s">
        <v>207</v>
      </c>
      <c r="J24" t="s">
        <v>68</v>
      </c>
      <c r="K24" t="s">
        <v>313</v>
      </c>
      <c r="O24" t="str">
        <v>Knowledge synthesis</v>
      </c>
      <c r="S24" s="56" t="s">
        <v>70</v>
      </c>
      <c r="T24" s="57" t="s">
        <v>745</v>
      </c>
    </row>
    <row r="25" spans="3:20" x14ac:dyDescent="0.25">
      <c r="G25" t="s">
        <v>746</v>
      </c>
      <c r="J25" t="s">
        <v>68</v>
      </c>
      <c r="K25" t="s">
        <v>165</v>
      </c>
      <c r="O25" t="str">
        <v>Domain-specific analytical skills</v>
      </c>
      <c r="S25" s="54" t="s">
        <v>84</v>
      </c>
      <c r="T25" s="55" t="s">
        <v>747</v>
      </c>
    </row>
    <row r="26" spans="3:20" x14ac:dyDescent="0.25">
      <c r="C26" t="s">
        <v>748</v>
      </c>
      <c r="G26" t="s">
        <v>749</v>
      </c>
      <c r="J26" t="s">
        <v>74</v>
      </c>
      <c r="K26" t="s">
        <v>310</v>
      </c>
      <c r="O26" t="str">
        <v>Evidence evaluation</v>
      </c>
      <c r="S26" s="56" t="s">
        <v>72</v>
      </c>
      <c r="T26" s="57" t="s">
        <v>72</v>
      </c>
    </row>
    <row r="27" spans="3:20" x14ac:dyDescent="0.25">
      <c r="C27" t="s">
        <v>750</v>
      </c>
      <c r="G27" t="s">
        <v>751</v>
      </c>
      <c r="J27" t="s">
        <v>74</v>
      </c>
      <c r="K27" t="s">
        <v>314</v>
      </c>
      <c r="S27" s="54" t="s">
        <v>82</v>
      </c>
      <c r="T27" s="55" t="s">
        <v>752</v>
      </c>
    </row>
    <row r="28" spans="3:20" x14ac:dyDescent="0.25">
      <c r="C28" t="s">
        <v>753</v>
      </c>
      <c r="G28" t="s">
        <v>250</v>
      </c>
      <c r="J28" t="s">
        <v>74</v>
      </c>
      <c r="K28" t="s">
        <v>210</v>
      </c>
      <c r="O28" s="47" t="s">
        <v>754</v>
      </c>
      <c r="S28" s="56" t="s">
        <v>86</v>
      </c>
      <c r="T28" s="57" t="s">
        <v>755</v>
      </c>
    </row>
    <row r="29" spans="3:20" x14ac:dyDescent="0.25">
      <c r="C29" t="s">
        <v>756</v>
      </c>
      <c r="J29" t="s">
        <v>74</v>
      </c>
      <c r="K29" t="s">
        <v>75</v>
      </c>
      <c r="O29" t="str" cm="1">
        <f t="array" ref="O29:O34">_xlfn._xlws.FILTER(LISTS_Table[Skill],LISTS_Table[Category]="Technical Skills")</f>
        <v>Laboratory/clinical techniques</v>
      </c>
      <c r="S29" s="54" t="s">
        <v>76</v>
      </c>
      <c r="T29" s="55" t="s">
        <v>757</v>
      </c>
    </row>
    <row r="30" spans="3:20" x14ac:dyDescent="0.25">
      <c r="C30" t="s">
        <v>758</v>
      </c>
      <c r="J30" t="s">
        <v>74</v>
      </c>
      <c r="K30" t="s">
        <v>311</v>
      </c>
      <c r="O30" t="str">
        <v>Data collection</v>
      </c>
      <c r="S30" s="58" t="s">
        <v>80</v>
      </c>
      <c r="T30" s="59" t="s">
        <v>759</v>
      </c>
    </row>
    <row r="31" spans="3:20" x14ac:dyDescent="0.25">
      <c r="C31" t="s">
        <v>22</v>
      </c>
      <c r="J31" t="s">
        <v>74</v>
      </c>
      <c r="K31" t="s">
        <v>592</v>
      </c>
      <c r="O31" t="str">
        <v>Data analysis</v>
      </c>
    </row>
    <row r="32" spans="3:20" x14ac:dyDescent="0.25">
      <c r="C32" t="s">
        <v>396</v>
      </c>
      <c r="J32" t="s">
        <v>78</v>
      </c>
      <c r="K32" t="s">
        <v>169</v>
      </c>
      <c r="O32" t="str">
        <v>Digital literacy</v>
      </c>
    </row>
    <row r="33" spans="3:15" x14ac:dyDescent="0.25">
      <c r="C33" t="s">
        <v>760</v>
      </c>
      <c r="J33" t="s">
        <v>78</v>
      </c>
      <c r="K33" t="s">
        <v>405</v>
      </c>
      <c r="O33" t="str">
        <v>Equipment and technology utilisation</v>
      </c>
    </row>
    <row r="34" spans="3:15" x14ac:dyDescent="0.25">
      <c r="C34" t="s">
        <v>761</v>
      </c>
      <c r="J34" t="s">
        <v>78</v>
      </c>
      <c r="K34" t="s">
        <v>212</v>
      </c>
      <c r="O34" t="str">
        <v>Technical proficiency</v>
      </c>
    </row>
    <row r="35" spans="3:15" x14ac:dyDescent="0.25">
      <c r="C35" t="s">
        <v>762</v>
      </c>
      <c r="J35" t="s">
        <v>78</v>
      </c>
      <c r="K35" t="s">
        <v>79</v>
      </c>
    </row>
    <row r="36" spans="3:15" x14ac:dyDescent="0.25">
      <c r="C36" t="s">
        <v>763</v>
      </c>
      <c r="J36" t="s">
        <v>78</v>
      </c>
      <c r="K36" t="s">
        <v>595</v>
      </c>
      <c r="O36" s="51" t="s">
        <v>764</v>
      </c>
    </row>
    <row r="37" spans="3:15" x14ac:dyDescent="0.25">
      <c r="C37" t="s">
        <v>243</v>
      </c>
      <c r="J37" t="s">
        <v>78</v>
      </c>
      <c r="K37" t="s">
        <v>594</v>
      </c>
      <c r="O37" t="str" cm="1">
        <f t="array" ref="O37:O42">_xlfn._xlws.FILTER(LISTS_Table[Skill],LISTS_Table[Category]="Application of Knowledge and skills")</f>
        <v>Decision-making</v>
      </c>
    </row>
    <row r="38" spans="3:15" x14ac:dyDescent="0.25">
      <c r="J38" t="s">
        <v>70</v>
      </c>
      <c r="K38" t="s">
        <v>525</v>
      </c>
      <c r="O38" t="str">
        <v>Translational practice</v>
      </c>
    </row>
    <row r="39" spans="3:15" x14ac:dyDescent="0.25">
      <c r="J39" t="s">
        <v>70</v>
      </c>
      <c r="K39" t="s">
        <v>209</v>
      </c>
      <c r="O39" t="str">
        <v>Contextual application</v>
      </c>
    </row>
    <row r="40" spans="3:15" x14ac:dyDescent="0.25">
      <c r="J40" t="s">
        <v>70</v>
      </c>
      <c r="K40" t="s">
        <v>71</v>
      </c>
      <c r="O40" t="str">
        <v>Professional judgement</v>
      </c>
    </row>
    <row r="41" spans="3:15" x14ac:dyDescent="0.25">
      <c r="J41" t="s">
        <v>70</v>
      </c>
      <c r="K41" t="s">
        <v>312</v>
      </c>
      <c r="O41" t="str">
        <v>Adaptability</v>
      </c>
    </row>
    <row r="42" spans="3:15" x14ac:dyDescent="0.25">
      <c r="J42" t="s">
        <v>70</v>
      </c>
      <c r="K42" t="s">
        <v>344</v>
      </c>
      <c r="O42" t="str">
        <v>Risk assessment</v>
      </c>
    </row>
    <row r="43" spans="3:15" x14ac:dyDescent="0.25">
      <c r="J43" t="s">
        <v>70</v>
      </c>
      <c r="K43" t="s">
        <v>132</v>
      </c>
    </row>
    <row r="44" spans="3:15" x14ac:dyDescent="0.25">
      <c r="J44" t="s">
        <v>84</v>
      </c>
      <c r="K44" t="s">
        <v>85</v>
      </c>
      <c r="O44" s="60" t="s">
        <v>70</v>
      </c>
    </row>
    <row r="45" spans="3:15" x14ac:dyDescent="0.25">
      <c r="J45" t="s">
        <v>84</v>
      </c>
      <c r="K45" t="s">
        <v>282</v>
      </c>
      <c r="O45" t="str" cm="1">
        <f t="array" ref="O45:O50">_xlfn._xlws.FILTER(LISTS_Table[Skill],LISTS_Table[Category]="Understanding and use of research")</f>
        <v>Research literacy</v>
      </c>
    </row>
    <row r="46" spans="3:15" x14ac:dyDescent="0.25">
      <c r="J46" t="s">
        <v>84</v>
      </c>
      <c r="K46" t="s">
        <v>89</v>
      </c>
      <c r="O46" t="str">
        <v>Literature searching</v>
      </c>
    </row>
    <row r="47" spans="3:15" x14ac:dyDescent="0.25">
      <c r="J47" t="s">
        <v>84</v>
      </c>
      <c r="K47" t="s">
        <v>88</v>
      </c>
      <c r="O47" t="str">
        <v>Critical appraisal</v>
      </c>
    </row>
    <row r="48" spans="3:15" x14ac:dyDescent="0.25">
      <c r="J48" t="s">
        <v>84</v>
      </c>
      <c r="K48" t="s">
        <v>599</v>
      </c>
      <c r="O48" t="str">
        <v>Data interpretation</v>
      </c>
    </row>
    <row r="49" spans="10:15" x14ac:dyDescent="0.25">
      <c r="J49" t="s">
        <v>84</v>
      </c>
      <c r="K49" t="s">
        <v>600</v>
      </c>
      <c r="O49" t="str">
        <v>Evidence-based practice</v>
      </c>
    </row>
    <row r="50" spans="10:15" x14ac:dyDescent="0.25">
      <c r="J50" t="s">
        <v>84</v>
      </c>
      <c r="K50" t="s">
        <v>601</v>
      </c>
      <c r="O50" t="str">
        <v>Research communication</v>
      </c>
    </row>
    <row r="51" spans="10:15" x14ac:dyDescent="0.25">
      <c r="J51" t="s">
        <v>72</v>
      </c>
      <c r="K51" t="s">
        <v>131</v>
      </c>
    </row>
    <row r="52" spans="10:15" x14ac:dyDescent="0.25">
      <c r="J52" t="s">
        <v>72</v>
      </c>
      <c r="K52" t="s">
        <v>73</v>
      </c>
      <c r="O52" s="60" t="s">
        <v>84</v>
      </c>
    </row>
    <row r="53" spans="10:15" x14ac:dyDescent="0.25">
      <c r="J53" t="s">
        <v>72</v>
      </c>
      <c r="K53" t="s">
        <v>345</v>
      </c>
      <c r="O53" t="str" cm="1">
        <f t="array" ref="O53:O59">_xlfn._xlws.FILTER(LISTS_Table[Skill],LISTS_Table[Category]="Self-evaluation and professional development")</f>
        <v>Reflective practice</v>
      </c>
    </row>
    <row r="54" spans="10:15" x14ac:dyDescent="0.25">
      <c r="J54" t="s">
        <v>72</v>
      </c>
      <c r="K54" t="s">
        <v>166</v>
      </c>
      <c r="O54" t="str">
        <v>Self-awareness</v>
      </c>
    </row>
    <row r="55" spans="10:15" x14ac:dyDescent="0.25">
      <c r="J55" t="s">
        <v>72</v>
      </c>
      <c r="K55" t="s">
        <v>167</v>
      </c>
      <c r="O55" t="str">
        <v>Lifelong learning</v>
      </c>
    </row>
    <row r="56" spans="10:15" x14ac:dyDescent="0.25">
      <c r="J56" t="s">
        <v>72</v>
      </c>
      <c r="K56" t="s">
        <v>211</v>
      </c>
      <c r="O56" t="str">
        <v>Personal development planning</v>
      </c>
    </row>
    <row r="57" spans="10:15" x14ac:dyDescent="0.25">
      <c r="J57" t="s">
        <v>82</v>
      </c>
      <c r="K57" t="s">
        <v>171</v>
      </c>
      <c r="O57" t="str">
        <v>Resilience</v>
      </c>
    </row>
    <row r="58" spans="10:15" x14ac:dyDescent="0.25">
      <c r="J58" t="s">
        <v>82</v>
      </c>
      <c r="K58" t="s">
        <v>255</v>
      </c>
      <c r="O58" t="str">
        <v>Initiative</v>
      </c>
    </row>
    <row r="59" spans="10:15" x14ac:dyDescent="0.25">
      <c r="J59" t="s">
        <v>82</v>
      </c>
      <c r="K59" t="s">
        <v>406</v>
      </c>
      <c r="O59" t="str">
        <v>Accountability</v>
      </c>
    </row>
    <row r="60" spans="10:15" x14ac:dyDescent="0.25">
      <c r="J60" t="s">
        <v>82</v>
      </c>
      <c r="K60" t="s">
        <v>83</v>
      </c>
    </row>
    <row r="61" spans="10:15" x14ac:dyDescent="0.25">
      <c r="J61" t="s">
        <v>82</v>
      </c>
      <c r="K61" t="s">
        <v>407</v>
      </c>
      <c r="O61" s="61" t="s">
        <v>72</v>
      </c>
    </row>
    <row r="62" spans="10:15" x14ac:dyDescent="0.25">
      <c r="J62" t="s">
        <v>82</v>
      </c>
      <c r="K62" t="s">
        <v>556</v>
      </c>
      <c r="O62" t="str" cm="1">
        <f t="array" ref="O62:O67">_xlfn._xlws.FILTER(LISTS_Table[Skill],LISTS_Table[Category]="Communication")</f>
        <v>Written communication</v>
      </c>
    </row>
    <row r="63" spans="10:15" x14ac:dyDescent="0.25">
      <c r="J63" t="s">
        <v>86</v>
      </c>
      <c r="K63" t="s">
        <v>554</v>
      </c>
      <c r="O63" t="str">
        <v>Oral presentation</v>
      </c>
    </row>
    <row r="64" spans="10:15" x14ac:dyDescent="0.25">
      <c r="J64" t="s">
        <v>86</v>
      </c>
      <c r="K64" t="s">
        <v>604</v>
      </c>
      <c r="O64" t="str">
        <v>Active listening</v>
      </c>
    </row>
    <row r="65" spans="10:15" x14ac:dyDescent="0.25">
      <c r="J65" t="s">
        <v>86</v>
      </c>
      <c r="K65" t="s">
        <v>168</v>
      </c>
      <c r="O65" t="str">
        <v>Scientific writing</v>
      </c>
    </row>
    <row r="66" spans="10:15" x14ac:dyDescent="0.25">
      <c r="J66" t="s">
        <v>86</v>
      </c>
      <c r="K66" t="s">
        <v>87</v>
      </c>
      <c r="O66" t="str">
        <v>Interpersonal communication</v>
      </c>
    </row>
    <row r="67" spans="10:15" x14ac:dyDescent="0.25">
      <c r="J67" t="s">
        <v>86</v>
      </c>
      <c r="K67" t="s">
        <v>598</v>
      </c>
      <c r="O67" t="str">
        <v>Digital communication</v>
      </c>
    </row>
    <row r="68" spans="10:15" x14ac:dyDescent="0.25">
      <c r="J68" t="s">
        <v>86</v>
      </c>
      <c r="K68" t="s">
        <v>605</v>
      </c>
    </row>
    <row r="69" spans="10:15" x14ac:dyDescent="0.25">
      <c r="J69" t="s">
        <v>86</v>
      </c>
      <c r="K69" t="s">
        <v>606</v>
      </c>
      <c r="O69" s="61" t="s">
        <v>82</v>
      </c>
    </row>
    <row r="70" spans="10:15" x14ac:dyDescent="0.25">
      <c r="J70" t="s">
        <v>86</v>
      </c>
      <c r="K70" t="s">
        <v>607</v>
      </c>
      <c r="O70" t="str" cm="1">
        <f t="array" ref="O70:O75">_xlfn._xlws.FILTER(LISTS_Table[Skill],LISTS_Table[Category]="Problem solving and impact")</f>
        <v>Analytical thinking</v>
      </c>
    </row>
    <row r="71" spans="10:15" x14ac:dyDescent="0.25">
      <c r="J71" t="s">
        <v>86</v>
      </c>
      <c r="K71" t="s">
        <v>608</v>
      </c>
      <c r="O71" t="str">
        <v>problem identification</v>
      </c>
    </row>
    <row r="72" spans="10:15" x14ac:dyDescent="0.25">
      <c r="J72" t="s">
        <v>76</v>
      </c>
      <c r="K72" t="s">
        <v>483</v>
      </c>
      <c r="O72" t="str">
        <v>Creative thinking</v>
      </c>
    </row>
    <row r="73" spans="10:15" x14ac:dyDescent="0.25">
      <c r="J73" t="s">
        <v>76</v>
      </c>
      <c r="K73" t="s">
        <v>479</v>
      </c>
      <c r="O73" t="str">
        <v>Evidence-based decision making</v>
      </c>
    </row>
    <row r="74" spans="10:15" x14ac:dyDescent="0.25">
      <c r="J74" t="s">
        <v>76</v>
      </c>
      <c r="K74" t="s">
        <v>482</v>
      </c>
      <c r="O74" t="str">
        <v>Innovation</v>
      </c>
    </row>
    <row r="75" spans="10:15" x14ac:dyDescent="0.25">
      <c r="J75" t="s">
        <v>76</v>
      </c>
      <c r="K75" t="s">
        <v>555</v>
      </c>
      <c r="O75" t="str">
        <v>Evaluation of outcomes</v>
      </c>
    </row>
    <row r="76" spans="10:15" x14ac:dyDescent="0.25">
      <c r="J76" t="s">
        <v>76</v>
      </c>
      <c r="K76" t="s">
        <v>77</v>
      </c>
    </row>
    <row r="77" spans="10:15" x14ac:dyDescent="0.25">
      <c r="J77" t="s">
        <v>80</v>
      </c>
      <c r="K77" t="s">
        <v>170</v>
      </c>
      <c r="O77" s="61" t="s">
        <v>86</v>
      </c>
    </row>
    <row r="78" spans="10:15" x14ac:dyDescent="0.25">
      <c r="J78" t="s">
        <v>80</v>
      </c>
      <c r="K78" t="s">
        <v>281</v>
      </c>
      <c r="O78" t="str" cm="1">
        <f t="array" ref="O78:O86">_xlfn._xlws.FILTER(LISTS_Table[Skill],LISTS_Table[Category]="Management of self and others")</f>
        <v>Leadership</v>
      </c>
    </row>
    <row r="79" spans="10:15" x14ac:dyDescent="0.25">
      <c r="J79" t="s">
        <v>80</v>
      </c>
      <c r="K79" t="s">
        <v>81</v>
      </c>
      <c r="O79" t="str">
        <v>Coaching and mentoring</v>
      </c>
    </row>
    <row r="80" spans="10:15" x14ac:dyDescent="0.25">
      <c r="J80" t="s">
        <v>80</v>
      </c>
      <c r="K80" t="s">
        <v>481</v>
      </c>
      <c r="O80" t="str">
        <v>Time management</v>
      </c>
    </row>
    <row r="81" spans="10:15" x14ac:dyDescent="0.25">
      <c r="J81" t="s">
        <v>80</v>
      </c>
      <c r="K81" t="s">
        <v>480</v>
      </c>
      <c r="O81" t="str">
        <v>Organisation</v>
      </c>
    </row>
    <row r="82" spans="10:15" x14ac:dyDescent="0.25">
      <c r="J82" t="s">
        <v>80</v>
      </c>
      <c r="K82" t="s">
        <v>484</v>
      </c>
      <c r="O82" t="str">
        <v>Delegation</v>
      </c>
    </row>
    <row r="83" spans="10:15" x14ac:dyDescent="0.25">
      <c r="J83" t="s">
        <v>80</v>
      </c>
      <c r="K83" t="s">
        <v>485</v>
      </c>
      <c r="O83" t="str">
        <v>Conflict resolution</v>
      </c>
    </row>
    <row r="84" spans="10:15" x14ac:dyDescent="0.25">
      <c r="O84" t="str">
        <v>Empathy</v>
      </c>
    </row>
    <row r="85" spans="10:15" x14ac:dyDescent="0.25">
      <c r="O85" t="str">
        <v>Multi-tasking</v>
      </c>
    </row>
    <row r="86" spans="10:15" x14ac:dyDescent="0.25">
      <c r="O86" t="str">
        <v>Resource management</v>
      </c>
    </row>
    <row r="88" spans="10:15" x14ac:dyDescent="0.25">
      <c r="O88" s="60" t="s">
        <v>76</v>
      </c>
    </row>
    <row r="89" spans="10:15" x14ac:dyDescent="0.25">
      <c r="O89" t="str" cm="1">
        <f t="array" ref="O89:O93">_xlfn._xlws.FILTER(LISTS_Table[Skill],LISTS_Table[Category]="Understanding the delivery environment")</f>
        <v>Organisational awareness</v>
      </c>
    </row>
    <row r="90" spans="10:15" x14ac:dyDescent="0.25">
      <c r="O90" t="str">
        <v>Policy interpretation</v>
      </c>
    </row>
    <row r="91" spans="10:15" x14ac:dyDescent="0.25">
      <c r="O91" t="str">
        <v>Stakeholder awareness</v>
      </c>
    </row>
    <row r="92" spans="10:15" x14ac:dyDescent="0.25">
      <c r="O92" t="str">
        <v>Service delivery</v>
      </c>
    </row>
    <row r="93" spans="10:15" x14ac:dyDescent="0.25">
      <c r="O93" t="str">
        <v>Professional awareness</v>
      </c>
    </row>
    <row r="95" spans="10:15" x14ac:dyDescent="0.25">
      <c r="O95" s="61" t="s">
        <v>765</v>
      </c>
    </row>
    <row r="96" spans="10:15" x14ac:dyDescent="0.25">
      <c r="O96" t="str" cm="1">
        <f t="array" ref="O96:O102">_xlfn._xlws.FILTER(LISTS_Table[Skill],LISTS_Table[Category]="Professional relationships and behaviours")</f>
        <v>Teamwork</v>
      </c>
    </row>
    <row r="97" spans="15:15" x14ac:dyDescent="0.25">
      <c r="O97" t="str">
        <v>Collaboration/multi-disciplinary working</v>
      </c>
    </row>
    <row r="98" spans="15:15" x14ac:dyDescent="0.25">
      <c r="O98" t="str">
        <v>Ethical practice</v>
      </c>
    </row>
    <row r="99" spans="15:15" x14ac:dyDescent="0.25">
      <c r="O99" t="str">
        <v>Professionalism</v>
      </c>
    </row>
    <row r="100" spans="15:15" x14ac:dyDescent="0.25">
      <c r="O100" t="str">
        <v>Cultural awareness and competence</v>
      </c>
    </row>
    <row r="101" spans="15:15" x14ac:dyDescent="0.25">
      <c r="O101" t="str">
        <v>Integrity</v>
      </c>
    </row>
    <row r="102" spans="15:15" x14ac:dyDescent="0.25">
      <c r="O102" t="str">
        <v>Respect</v>
      </c>
    </row>
  </sheetData>
  <sheetProtection sheet="1" objects="1" scenarios="1" formatCells="0" formatColumns="0" formatRows="0" insertHyperlinks="0"/>
  <sortState xmlns:xlrd2="http://schemas.microsoft.com/office/spreadsheetml/2017/richdata2" ref="C26:C31">
    <sortCondition ref="C31"/>
  </sortState>
  <phoneticPr fontId="2" type="noConversion"/>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F5424D8F461E94980DF8EC8486B8636" ma:contentTypeVersion="10" ma:contentTypeDescription="Create a new document." ma:contentTypeScope="" ma:versionID="bcfcf74337161f6441250f8f4cf7d932">
  <xsd:schema xmlns:xsd="http://www.w3.org/2001/XMLSchema" xmlns:xs="http://www.w3.org/2001/XMLSchema" xmlns:p="http://schemas.microsoft.com/office/2006/metadata/properties" xmlns:ns2="f1436123-e04c-43f8-b7d8-6e3401685a6a" xmlns:ns3="e2acc87f-978a-4c56-9887-574fe2c7e53e" targetNamespace="http://schemas.microsoft.com/office/2006/metadata/properties" ma:root="true" ma:fieldsID="c081e04d381fea11733dd13b3c4e862f" ns2:_="" ns3:_="">
    <xsd:import namespace="f1436123-e04c-43f8-b7d8-6e3401685a6a"/>
    <xsd:import namespace="e2acc87f-978a-4c56-9887-574fe2c7e53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Location"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436123-e04c-43f8-b7d8-6e3401685a6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3fea976-0fb7-4036-bc8a-08177e9f5879" ma:termSetId="09814cd3-568e-fe90-9814-8d621ff8fb84" ma:anchorId="fba54fb3-c3e1-fe81-a776-ca4b69148c4d" ma:open="true" ma:isKeyword="false">
      <xsd:complexType>
        <xsd:sequence>
          <xsd:element ref="pc:Terms" minOccurs="0" maxOccurs="1"/>
        </xsd:sequence>
      </xsd:complexType>
    </xsd:element>
    <xsd:element name="MediaServiceLocation" ma:index="15" nillable="true" ma:displayName="Location" ma:indexed="true"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2acc87f-978a-4c56-9887-574fe2c7e53e"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ac9bdcf-c2d0-47d2-a991-206be5278a68}" ma:internalName="TaxCatchAll" ma:showField="CatchAllData" ma:web="e2acc87f-978a-4c56-9887-574fe2c7e53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1436123-e04c-43f8-b7d8-6e3401685a6a">
      <Terms xmlns="http://schemas.microsoft.com/office/infopath/2007/PartnerControls"/>
    </lcf76f155ced4ddcb4097134ff3c332f>
    <TaxCatchAll xmlns="e2acc87f-978a-4c56-9887-574fe2c7e53e" xsi:nil="true"/>
  </documentManagement>
</p:properties>
</file>

<file path=customXml/item4.xml>��
</file>

<file path=customXml/itemProps1.xml><?xml version="1.0" encoding="utf-8"?>
<ds:datastoreItem xmlns:ds="http://schemas.openxmlformats.org/officeDocument/2006/customXml" ds:itemID="{7D5095FC-C62C-4499-9B94-75B8B467726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436123-e04c-43f8-b7d8-6e3401685a6a"/>
    <ds:schemaRef ds:uri="e2acc87f-978a-4c56-9887-574fe2c7e53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C39B57-AB03-492D-AAEC-9AAE8EDCD617}">
  <ds:schemaRefs>
    <ds:schemaRef ds:uri="http://schemas.microsoft.com/sharepoint/v3/contenttype/forms"/>
  </ds:schemaRefs>
</ds:datastoreItem>
</file>

<file path=customXml/itemProps3.xml><?xml version="1.0" encoding="utf-8"?>
<ds:datastoreItem xmlns:ds="http://schemas.openxmlformats.org/officeDocument/2006/customXml" ds:itemID="{3C4D41C7-950E-4207-8DDA-A001BEF4E2FA}">
  <ds:schemaRefs>
    <ds:schemaRef ds:uri="http://purl.org/dc/dcmitype/"/>
    <ds:schemaRef ds:uri="http://schemas.microsoft.com/office/2006/metadata/properties"/>
    <ds:schemaRef ds:uri="http://purl.org/dc/elements/1.1/"/>
    <ds:schemaRef ds:uri="http://schemas.microsoft.com/office/2006/documentManagement/types"/>
    <ds:schemaRef ds:uri="e2acc87f-978a-4c56-9887-574fe2c7e53e"/>
    <ds:schemaRef ds:uri="http://www.w3.org/XML/1998/namespace"/>
    <ds:schemaRef ds:uri="http://schemas.microsoft.com/office/infopath/2007/PartnerControls"/>
    <ds:schemaRef ds:uri="http://schemas.openxmlformats.org/package/2006/metadata/core-properties"/>
    <ds:schemaRef ds:uri="f1436123-e04c-43f8-b7d8-6e3401685a6a"/>
    <ds:schemaRef ds:uri="http://purl.org/dc/terms/"/>
  </ds:schemaRefs>
</ds:datastoreItem>
</file>

<file path=customXml/itemProps4.xml><?xml version="1.0" encoding="utf-8"?>
<ds:datastoreItem xmlns:ds="http://schemas.openxmlformats.org/officeDocument/2006/customXml" ds:itemID="{AEC66D88-6D76-4DFB-975D-81B0716F903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vt:i4>
      </vt:variant>
    </vt:vector>
  </HeadingPairs>
  <TitlesOfParts>
    <vt:vector size="26" baseType="lpstr">
      <vt:lpstr>4051SPS</vt:lpstr>
      <vt:lpstr>4052SPS</vt:lpstr>
      <vt:lpstr>4053SPS</vt:lpstr>
      <vt:lpstr>4054SPS</vt:lpstr>
      <vt:lpstr>4093SPS</vt:lpstr>
      <vt:lpstr>5051SPS</vt:lpstr>
      <vt:lpstr>5052SPS</vt:lpstr>
      <vt:lpstr>5053SPS</vt:lpstr>
      <vt:lpstr>5054SPS</vt:lpstr>
      <vt:lpstr>5093SPS</vt:lpstr>
      <vt:lpstr>6052SPS</vt:lpstr>
      <vt:lpstr>6051SPS</vt:lpstr>
      <vt:lpstr>6053SPS</vt:lpstr>
      <vt:lpstr>6054SPS</vt:lpstr>
      <vt:lpstr>Template</vt:lpstr>
      <vt:lpstr>PSYC_SkillsCoverage</vt:lpstr>
      <vt:lpstr>PSYC_Module_Overview</vt:lpstr>
      <vt:lpstr>PSYC_Hours_Wide</vt:lpstr>
      <vt:lpstr>PSYC_Meta_Wide</vt:lpstr>
      <vt:lpstr>PSYC_Mapping</vt:lpstr>
      <vt:lpstr>PSYC_Hours</vt:lpstr>
      <vt:lpstr>PSYC_Assess</vt:lpstr>
      <vt:lpstr>PSYC_LO</vt:lpstr>
      <vt:lpstr>PSYC_Meta</vt:lpstr>
      <vt:lpstr>LISTS</vt:lpstr>
      <vt:lpstr>SkillNameMap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Robinson, Mark</dc:creator>
  <cp:keywords/>
  <dc:description/>
  <cp:lastModifiedBy>Robinson, Mark</cp:lastModifiedBy>
  <cp:revision/>
  <dcterms:created xsi:type="dcterms:W3CDTF">2026-07-01T09:36:48Z</dcterms:created>
  <dcterms:modified xsi:type="dcterms:W3CDTF">2026-10-22T06:27:18Z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0x010100AF5424D8F461E94980DF8EC8486B8636</vt:lpwstr>
  </property>
  <property fmtid="{D5CDD505-2E9C-101B-9397-08002B2CF9AE}" pid="3" name="MediaServiceImageTags">
    <vt:lpwstr/>
  </property>
</Properties>
</file>