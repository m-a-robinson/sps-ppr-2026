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queryTables/queryTable1.xml" ContentType="application/vnd.openxmlformats-officedocument.spreadsheetml.queryTable+xml"/>
  <Override PartName="/xl/tables/table132.xml" ContentType="application/vnd.openxmlformats-officedocument.spreadsheetml.table+xml"/>
  <Override PartName="/xl/queryTables/queryTable2.xml" ContentType="application/vnd.openxmlformats-officedocument.spreadsheetml.queryTable+xml"/>
  <Override PartName="/xl/tables/table133.xml" ContentType="application/vnd.openxmlformats-officedocument.spreadsheetml.table+xml"/>
  <Override PartName="/xl/queryTables/queryTable3.xml" ContentType="application/vnd.openxmlformats-officedocument.spreadsheetml.queryTable+xml"/>
  <Override PartName="/xl/tables/table134.xml" ContentType="application/vnd.openxmlformats-officedocument.spreadsheetml.table+xml"/>
  <Override PartName="/xl/queryTables/queryTable4.xml" ContentType="application/vnd.openxmlformats-officedocument.spreadsheetml.queryTable+xml"/>
  <Override PartName="/xl/tables/table135.xml" ContentType="application/vnd.openxmlformats-officedocument.spreadsheetml.table+xml"/>
  <Override PartName="/xl/queryTables/queryTable5.xml" ContentType="application/vnd.openxmlformats-officedocument.spreadsheetml.queryTable+xml"/>
  <Override PartName="/xl/tables/table136.xml" ContentType="application/vnd.openxmlformats-officedocument.spreadsheetml.table+xml"/>
  <Override PartName="/xl/queryTables/queryTable6.xml" ContentType="application/vnd.openxmlformats-officedocument.spreadsheetml.queryTable+xml"/>
  <Override PartName="/xl/tables/table137.xml" ContentType="application/vnd.openxmlformats-officedocument.spreadsheetml.table+xml"/>
  <Override PartName="/xl/queryTables/queryTable7.xml" ContentType="application/vnd.openxmlformats-officedocument.spreadsheetml.queryTable+xml"/>
  <Override PartName="/xl/tables/table138.xml" ContentType="application/vnd.openxmlformats-officedocument.spreadsheetml.table+xml"/>
  <Override PartName="/xl/queryTables/queryTable8.xml" ContentType="application/vnd.openxmlformats-officedocument.spreadsheetml.queryTable+xml"/>
  <Override PartName="/xl/tables/table139.xml" ContentType="application/vnd.openxmlformats-officedocument.spreadsheetml.table+xml"/>
  <Override PartName="/xl/queryTables/queryTable9.xml" ContentType="application/vnd.openxmlformats-officedocument.spreadsheetml.queryTable+xml"/>
  <Override PartName="/xl/tables/table140.xml" ContentType="application/vnd.openxmlformats-officedocument.spreadsheetml.table+xml"/>
  <Override PartName="/xl/tables/table14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202300"/>
  <mc:AlternateContent xmlns:mc="http://schemas.openxmlformats.org/markup-compatibility/2006">
    <mc:Choice Requires="x15">
      <x15ac:absPath xmlns:x15ac="http://schemas.microsoft.com/office/spreadsheetml/2010/11/ac" url="https://ljmu.sharepoint.com/teams/SPSRe-validation2026Team/Shared Documents/Sport Nutrition/Module Documents/"/>
    </mc:Choice>
  </mc:AlternateContent>
  <xr:revisionPtr revIDLastSave="879" documentId="8_{B01DC254-9A30-4C57-BC7B-87830A70EFAD}" xr6:coauthVersionLast="47" xr6:coauthVersionMax="47" xr10:uidLastSave="{7296C759-02DD-4589-940D-D671B43067BB}"/>
  <bookViews>
    <workbookView xWindow="1770" yWindow="1695" windowWidth="33075" windowHeight="20760" xr2:uid="{8D7B9789-0724-4FF2-A9AF-E462B2920CAC}"/>
  </bookViews>
  <sheets>
    <sheet name="4001SPS" sheetId="93" r:id="rId1"/>
    <sheet name="4003SPS" sheetId="75" r:id="rId2"/>
    <sheet name="4004SPS" sheetId="76" r:id="rId3"/>
    <sheet name="4006SPS" sheetId="77" r:id="rId4"/>
    <sheet name="5001SPS" sheetId="78" r:id="rId5"/>
    <sheet name="5014SPS" sheetId="79" r:id="rId6"/>
    <sheet name="5015SPS" sheetId="80" r:id="rId7"/>
    <sheet name="5005SPS" sheetId="81" r:id="rId8"/>
    <sheet name="6003SPS" sheetId="82" r:id="rId9"/>
    <sheet name="6004SPS" sheetId="83" r:id="rId10"/>
    <sheet name="6007SPS" sheetId="84" r:id="rId11"/>
    <sheet name="6008SPS" sheetId="85" r:id="rId12"/>
    <sheet name="6006SPS" sheetId="86" r:id="rId13"/>
    <sheet name="SN_Meta_Wide" sheetId="99" r:id="rId14"/>
    <sheet name="SN_Module_Overview" sheetId="101" r:id="rId15"/>
    <sheet name="SN_Hours_Wide" sheetId="100" r:id="rId16"/>
    <sheet name="SN_SkillsCoverage" sheetId="102" r:id="rId17"/>
    <sheet name="SN_Mapping" sheetId="98" r:id="rId18"/>
    <sheet name="SN_Hours" sheetId="97" r:id="rId19"/>
    <sheet name="SN_Meta" sheetId="94" r:id="rId20"/>
    <sheet name="SN_Assess" sheetId="96" r:id="rId21"/>
    <sheet name="SN_LO" sheetId="95" r:id="rId22"/>
    <sheet name="LISTS" sheetId="4" r:id="rId23"/>
  </sheets>
  <definedNames>
    <definedName name="ApplicationofKnowledge">_xlfn.ANCHORARRAY(LISTS!$O$37)</definedName>
    <definedName name="Communication">_xlfn.ANCHORARRAY(LISTS!$O$62)</definedName>
    <definedName name="DeliveryEnvironment">_xlfn.ANCHORARRAY(LISTS!$O$89)</definedName>
    <definedName name="ExternalData_1" localSheetId="19" hidden="1">SN_Meta!$A$1:$I$145</definedName>
    <definedName name="ExternalData_2" localSheetId="21" hidden="1">SN_LO!$A$1:$I$47</definedName>
    <definedName name="ExternalData_3" localSheetId="20" hidden="1">SN_Assess!$A$1:$M$33</definedName>
    <definedName name="ExternalData_4" localSheetId="18" hidden="1">SN_Hours!$A$1:$I$109</definedName>
    <definedName name="ExternalData_5" localSheetId="17" hidden="1">SN_Mapping!$A$1:$K$198</definedName>
    <definedName name="ExternalData_6" localSheetId="13" hidden="1">SN_Meta_Wide!$A$1:$O$19</definedName>
    <definedName name="ExternalData_7" localSheetId="15" hidden="1">SN_Hours_Wide!$A$1:$M$19</definedName>
    <definedName name="ExternalData_8" localSheetId="14" hidden="1">SN_Module_Overview!$A$1:$I$19</definedName>
    <definedName name="ExternalData_9" localSheetId="16" hidden="1">SN_SkillsCoverage!$A$1:$E$69</definedName>
    <definedName name="MgmtSelf">_xlfn.ANCHORARRAY(LISTS!$O$78)</definedName>
    <definedName name="ProblemSolving">_xlfn.ANCHORARRAY(LISTS!$O$70)</definedName>
    <definedName name="ProfRelationships">_xlfn.ANCHORARRAY(LISTS!$O$96)</definedName>
    <definedName name="ScientificKnowledge">_xlfn.ANCHORARRAY(LISTS!$O$21)</definedName>
    <definedName name="SelfEvaluation">_xlfn.ANCHORARRAY(LISTS!$O$53)</definedName>
    <definedName name="SkillNameMap">LISTS!$S$20:$T$30</definedName>
    <definedName name="TechnicalSkills">_xlfn.ANCHORARRAY(LISTS!$O$29)</definedName>
    <definedName name="UnderstandingResearch">_xlfn.ANCHORARRAY(LISTS!$O$45)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 i="93" l="1"/>
  <c r="D24" i="93"/>
  <c r="C2" i="93"/>
  <c r="D24" i="86"/>
  <c r="D2" i="86"/>
  <c r="C2" i="86"/>
  <c r="D24" i="85"/>
  <c r="D2" i="85"/>
  <c r="C2" i="85"/>
  <c r="D24" i="84"/>
  <c r="D2" i="84"/>
  <c r="C2" i="84"/>
  <c r="D24" i="83"/>
  <c r="D2" i="83"/>
  <c r="C2" i="83"/>
  <c r="D24" i="82"/>
  <c r="D2" i="82"/>
  <c r="C2" i="82"/>
  <c r="D24" i="81"/>
  <c r="D2" i="81"/>
  <c r="C2" i="81"/>
  <c r="D24" i="80"/>
  <c r="D2" i="80"/>
  <c r="C2" i="80"/>
  <c r="D24" i="79"/>
  <c r="D2" i="79"/>
  <c r="C2" i="79"/>
  <c r="D24" i="78"/>
  <c r="D2" i="78"/>
  <c r="C2" i="78"/>
  <c r="D24" i="77"/>
  <c r="D2" i="77"/>
  <c r="C2" i="77"/>
  <c r="D24" i="76"/>
  <c r="D2" i="76"/>
  <c r="C2" i="76"/>
  <c r="D24" i="75"/>
  <c r="D2" i="75"/>
  <c r="C2" i="75"/>
  <c r="O96" i="4" a="1"/>
  <c r="O89" i="4" a="1"/>
  <c r="O78" i="4" a="1"/>
  <c r="O70" i="4" a="1"/>
  <c r="O62" i="4" a="1"/>
  <c r="O53" i="4" a="1"/>
  <c r="O45" i="4" a="1"/>
  <c r="O37" i="4" a="1"/>
  <c r="O29" i="4" a="1"/>
  <c r="O21" i="4" a="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79ED035-9922-4D12-B356-A35A504F5001}" keepAlive="1" name="Query - fnItemTable" description="Connection to the 'fnItemTable' query in the workbook." type="5" refreshedVersion="0" background="1">
    <dbPr connection="Provider=Microsoft.Mashup.OleDb.1;Data Source=$Workbook$;Location=fnItemTable;Extended Properties=&quot;&quot;" command="SELECT * FROM [fnItemTable]"/>
  </connection>
  <connection id="2" xr16:uid="{DA29FB4F-39C1-4D10-ADE7-B45AB9DC3F9D}" keepAlive="1" name="Query - fnModuleOverview" description="Connection to the 'fnModuleOverview' query in the workbook." type="5" refreshedVersion="0" background="1">
    <dbPr connection="Provider=Microsoft.Mashup.OleDb.1;Data Source=$Workbook$;Location=fnModuleOverview;Extended Properties=&quot;&quot;" command="SELECT * FROM [fnModuleOverview]"/>
  </connection>
  <connection id="3" xr16:uid="{DBF4C215-A771-4F71-9F13-CE5E450EC9B7}" keepAlive="1" name="Query - fnParseTableName" description="Connection to the 'fnParseTableName' query in the workbook." type="5" refreshedVersion="0" background="1">
    <dbPr connection="Provider=Microsoft.Mashup.OleDb.1;Data Source=$Workbook$;Location=fnParseTableName;Extended Properties=&quot;&quot;" command="SELECT * FROM [fnParseTableName]"/>
  </connection>
  <connection id="4" xr16:uid="{974517FB-0E50-4DBC-ADF8-60894CD66225}" keepAlive="1" name="Query - fnPivotKeyValue" description="Connection to the 'fnPivotKeyValue' query in the workbook." type="5" refreshedVersion="0" background="1">
    <dbPr connection="Provider=Microsoft.Mashup.OleDb.1;Data Source=$Workbook$;Location=fnPivotKeyValue;Extended Properties=&quot;&quot;" command="SELECT * FROM [fnPivotKeyValue]"/>
  </connection>
  <connection id="5" xr16:uid="{C5C1A983-66C2-46C9-B180-AC7B2D041BEF}" keepAlive="1" name="Query - fnSkillsCoverage" description="Connection to the 'fnSkillsCoverage' query in the workbook." type="5" refreshedVersion="0" background="1">
    <dbPr connection="Provider=Microsoft.Mashup.OleDb.1;Data Source=$Workbook$;Location=fnSkillsCoverage;Extended Properties=&quot;&quot;" command="SELECT * FROM [fnSkillsCoverage]"/>
  </connection>
  <connection id="6" xr16:uid="{C4E60B8C-0A9F-4915-A52A-36F894D653C9}" keepAlive="1" name="Query - GetRegisterFileContent" description="Connection to the 'GetRegisterFileContent' query in the workbook." type="5" refreshedVersion="0" background="1">
    <dbPr connection="Provider=Microsoft.Mashup.OleDb.1;Data Source=$Workbook$;Location=GetRegisterFileContent;Extended Properties=&quot;&quot;" command="SELECT * FROM [GetRegisterFileContent]"/>
  </connection>
  <connection id="7" xr16:uid="{D3739B10-D8F6-42A3-880E-2EFC62295361}" keepAlive="1" name="Query - GetWorkbookFiles" description="Connection to the 'GetWorkbookFiles' query in the workbook." type="5" refreshedVersion="0" background="1">
    <dbPr connection="Provider=Microsoft.Mashup.OleDb.1;Data Source=$Workbook$;Location=GetWorkbookFiles;Extended Properties=&quot;&quot;" command="SELECT * FROM [GetWorkbookFiles]"/>
  </connection>
  <connection id="8" xr16:uid="{7208A358-B759-4176-8021-5406D93B92AC}" keepAlive="1" name="Query - GraduateSkillsCatalogue" description="Connection to the 'GraduateSkillsCatalogue' query in the workbook." type="5" refreshedVersion="0" background="1">
    <dbPr connection="Provider=Microsoft.Mashup.OleDb.1;Data Source=$Workbook$;Location=GraduateSkillsCatalogue;Extended Properties=&quot;&quot;" command="SELECT * FROM [GraduateSkillsCatalogue]"/>
  </connection>
  <connection id="9" xr16:uid="{6FC5B657-681C-4FF2-A819-25AB7E416F69}" keepAlive="1" name="Query - ModuleRegister" description="Connection to the 'ModuleRegister' query in the workbook." type="5" refreshedVersion="0" background="1">
    <dbPr connection="Provider=Microsoft.Mashup.OleDb.1;Data Source=$Workbook$;Location=ModuleRegister;Extended Properties=&quot;&quot;" command="SELECT * FROM [ModuleRegister]"/>
  </connection>
  <connection id="10" xr16:uid="{5188DB9F-FB55-4AB9-84E9-CDEAB02CAD94}" keepAlive="1" name="Query - RegisterBlocks" description="Connection to the 'RegisterBlocks' query in the workbook." type="5" refreshedVersion="0" background="1">
    <dbPr connection="Provider=Microsoft.Mashup.OleDb.1;Data Source=$Workbook$;Location=RegisterBlocks;Extended Properties=&quot;&quot;" command="SELECT * FROM [RegisterBlocks]"/>
  </connection>
  <connection id="11" xr16:uid="{D5BC82BC-C688-4EE4-A8AB-753A97635233}" keepAlive="1" name="Query - RelevantItems" description="Connection to the 'RelevantItems' query in the workbook." type="5" refreshedVersion="0" background="1">
    <dbPr connection="Provider=Microsoft.Mashup.OleDb.1;Data Source=$Workbook$;Location=RelevantItems;Extended Properties=&quot;&quot;" command="SELECT * FROM [RelevantItems]"/>
  </connection>
  <connection id="12" xr16:uid="{76368630-0CEF-425A-8738-A2B9A375C376}" keepAlive="1" name="Query - SharePointSiteRoot" description="Connection to the 'SharePointSiteRoot' query in the workbook." type="5" refreshedVersion="0" background="1">
    <dbPr connection="Provider=Microsoft.Mashup.OleDb.1;Data Source=$Workbook$;Location=SharePointSiteRoot;Extended Properties=&quot;&quot;" command="SELECT * FROM [SharePointSiteRoot]"/>
  </connection>
  <connection id="13" xr16:uid="{98073A92-846A-4C98-9EA7-36859EE37DAC}" keepAlive="1" name="Query - SN_Assess" description="Connection to the 'SN_Assess' query in the workbook." type="5" refreshedVersion="8" background="1" saveData="1">
    <dbPr connection="Provider=Microsoft.Mashup.OleDb.1;Data Source=$Workbook$;Location=SN_Assess;Extended Properties=&quot;&quot;" command="SELECT * FROM [SN_Assess]"/>
  </connection>
  <connection id="14" xr16:uid="{B21E6B42-2CC9-4480-9374-6C5AD21A9B81}" keepAlive="1" name="Query - SN_Hours" description="Connection to the 'SN_Hours' query in the workbook." type="5" refreshedVersion="8" background="1" saveData="1">
    <dbPr connection="Provider=Microsoft.Mashup.OleDb.1;Data Source=$Workbook$;Location=SN_Hours;Extended Properties=&quot;&quot;" command="SELECT * FROM [SN_Hours]"/>
  </connection>
  <connection id="15" xr16:uid="{CB98FF25-A993-4B97-BC3E-AACC00C78FF4}" keepAlive="1" name="Query - SN_Hours_Wide" description="Connection to the 'SN_Hours_Wide' query in the workbook." type="5" refreshedVersion="8" background="1" saveData="1">
    <dbPr connection="Provider=Microsoft.Mashup.OleDb.1;Data Source=$Workbook$;Location=SN_Hours_Wide;Extended Properties=&quot;&quot;" command="SELECT * FROM [SN_Hours_Wide]"/>
  </connection>
  <connection id="16" xr16:uid="{19002DC3-3AC5-4E93-888C-94B837CEB486}" keepAlive="1" name="Query - SN_LO" description="Connection to the 'SN_LO' query in the workbook." type="5" refreshedVersion="8" background="1" saveData="1">
    <dbPr connection="Provider=Microsoft.Mashup.OleDb.1;Data Source=$Workbook$;Location=SN_LO;Extended Properties=&quot;&quot;" command="SELECT * FROM [SN_LO]"/>
  </connection>
  <connection id="17" xr16:uid="{D914A453-2030-4844-A89A-F947EC0F6ABC}" keepAlive="1" name="Query - SN_Mapping" description="Connection to the 'SN_Mapping' query in the workbook." type="5" refreshedVersion="8" background="1" saveData="1">
    <dbPr connection="Provider=Microsoft.Mashup.OleDb.1;Data Source=$Workbook$;Location=SN_Mapping;Extended Properties=&quot;&quot;" command="SELECT * FROM [SN_Mapping]"/>
  </connection>
  <connection id="18" xr16:uid="{4F7A69B9-2CAD-4916-B467-DC6DF559777D}" keepAlive="1" name="Query - SN_Meta" description="Connection to the 'SN_Meta' query in the workbook." type="5" refreshedVersion="8" background="1" saveData="1">
    <dbPr connection="Provider=Microsoft.Mashup.OleDb.1;Data Source=$Workbook$;Location=SN_Meta;Extended Properties=&quot;&quot;" command="SELECT * FROM [SN_Meta]"/>
  </connection>
  <connection id="19" xr16:uid="{EBF2E43C-CA14-4E91-AC53-2EB080E8D049}" keepAlive="1" name="Query - SN_Meta_Wide" description="Connection to the 'SN_Meta_Wide' query in the workbook." type="5" refreshedVersion="8" background="1" saveData="1">
    <dbPr connection="Provider=Microsoft.Mashup.OleDb.1;Data Source=$Workbook$;Location=SN_Meta_Wide;Extended Properties=&quot;&quot;" command="SELECT * FROM [SN_Meta_Wide]"/>
  </connection>
  <connection id="20" xr16:uid="{CFCD897A-4249-46BA-B11C-3DF6FF8AE9BE}" keepAlive="1" name="Query - SN_Module_Overview" description="Connection to the 'SN_Module_Overview' query in the workbook." type="5" refreshedVersion="8" background="1" saveData="1">
    <dbPr connection="Provider=Microsoft.Mashup.OleDb.1;Data Source=$Workbook$;Location=SN_Module_Overview;Extended Properties=&quot;&quot;" command="SELECT * FROM [SN_Module_Overview]"/>
  </connection>
  <connection id="21" xr16:uid="{E5FF7E46-F9CF-4F9A-9377-850B6826EEAD}" keepAlive="1" name="Query - SN_SkillsCoverage" description="Connection to the 'SN_SkillsCoverage' query in the workbook." type="5" refreshedVersion="8" background="1" saveData="1">
    <dbPr connection="Provider=Microsoft.Mashup.OleDb.1;Data Source=$Workbook$;Location=SN_SkillsCoverage;Extended Properties=&quot;&quot;" command="SELECT * FROM [SN_SkillsCoverage]"/>
  </connection>
  <connection id="22" xr16:uid="{6D2EA10F-4559-44D5-B610-26DC6D99A709}" keepAlive="1" name="Query - SourceTables" description="Connection to the 'SourceTables' query in the workbook." type="5" refreshedVersion="0" background="1">
    <dbPr connection="Provider=Microsoft.Mashup.OleDb.1;Data Source=$Workbook$;Location=SourceTables;Extended Properties=&quot;&quot;" command="SELECT * FROM [SourceTables]"/>
  </connection>
  <connection id="23" xr16:uid="{81CBC8C1-1719-4766-A6F3-DB32759DB6D8}" keepAlive="1" name="Query - SourceTablesParsed" description="Connection to the 'SourceTablesParsed' query in the workbook." type="5" refreshedVersion="0" background="1">
    <dbPr connection="Provider=Microsoft.Mashup.OleDb.1;Data Source=$Workbook$;Location=SourceTablesParsed;Extended Properties=&quot;&quot;" command="SELECT * FROM [SourceTablesParsed]"/>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<sst xmlns="http://schemas.openxmlformats.org/spreadsheetml/2006/main" count="7447" uniqueCount="981">
  <si>
    <t>Module Information</t>
  </si>
  <si>
    <t>Module Data</t>
  </si>
  <si>
    <t>Details</t>
  </si>
  <si>
    <t>Aims</t>
  </si>
  <si>
    <t>Module Code</t>
  </si>
  <si>
    <t>4001SPS</t>
  </si>
  <si>
    <t>To establish the foundations of professional practice: the practical toolkit of nutritional assessment, the standards and ethics of a regulated profession, and the beginnings of a practitioner identity that develops through the Professional Practice strand to Level 6.</t>
  </si>
  <si>
    <t>Module Title</t>
  </si>
  <si>
    <t>Professional Practice 1 in Sport Nutrition</t>
  </si>
  <si>
    <t>Credits</t>
  </si>
  <si>
    <t>Semester</t>
  </si>
  <si>
    <t>YL</t>
  </si>
  <si>
    <t>Outline Syllabus</t>
  </si>
  <si>
    <t>Level</t>
  </si>
  <si>
    <r>
      <t>(Apply)</t>
    </r>
    <r>
      <rPr>
        <sz val="11"/>
        <color theme="1"/>
        <rFont val="Arial"/>
        <family val="2"/>
        <charset val="1"/>
      </rPr>
      <t xml:space="preserve"> Select and demonstrate appropriate methods to assess energy intake, energy expenditure and body composition, justifying the method chosen for a given purpose.</t>
    </r>
  </si>
  <si>
    <t>Module Leader</t>
  </si>
  <si>
    <t>Sam Moss</t>
  </si>
  <si>
    <t>Module Type</t>
  </si>
  <si>
    <t>Prof Practice Strand</t>
  </si>
  <si>
    <t>Programme(s)</t>
  </si>
  <si>
    <t>Sport Nutrition</t>
  </si>
  <si>
    <t>Module Overview</t>
  </si>
  <si>
    <t>This module introduces what it means to practise as a nutrition professional. You will build the core practical toolkit for assessing what people eat and how their bodies use energy, while learning the standards, ethics and scope of practice that govern the profession. Through consultation role-play and a Peer Learning Group, you begin to develop and reflect on your own practitioner identity, a thread that continues through Professional Practice 2 and into your final-year work.</t>
  </si>
  <si>
    <t>Contact Hours</t>
  </si>
  <si>
    <t>Component</t>
  </si>
  <si>
    <t>Lecture</t>
  </si>
  <si>
    <t>Seminar</t>
  </si>
  <si>
    <t>Practical</t>
  </si>
  <si>
    <t>Workshop</t>
  </si>
  <si>
    <t>Additional Information/Notes</t>
  </si>
  <si>
    <t>Online</t>
  </si>
  <si>
    <r>
      <t>Golden thread:</t>
    </r>
    <r>
      <rPr>
        <sz val="11"/>
        <color theme="1"/>
        <rFont val="Arial"/>
        <family val="2"/>
        <charset val="1"/>
      </rPr>
      <t xml:space="preserve"> </t>
    </r>
    <r>
      <rPr>
        <i/>
        <sz val="11"/>
        <color theme="1"/>
        <rFont val="Arial"/>
        <family val="2"/>
        <charset val="1"/>
      </rPr>
      <t>“Who am I becoming, and how do I know what I am measuring is true?”</t>
    </r>
    <r>
      <rPr>
        <sz val="11"/>
        <color theme="1"/>
        <rFont val="Arial"/>
        <family val="2"/>
        <charset val="1"/>
      </rPr>
      <t xml:space="preserve"> The module tracks a single developing practitioner identity, with each week adding one tool to the toolkit and one facet of professional conduct, so that by week 12 the student has both a populated portfolio and a defensible account of their own development.</t>
    </r>
  </si>
  <si>
    <t>Total</t>
  </si>
  <si>
    <r>
      <t>Formative</t>
    </r>
    <r>
      <rPr>
        <sz val="11"/>
        <color theme="1"/>
        <rFont val="Arial"/>
        <family val="2"/>
        <charset val="1"/>
      </rPr>
      <t xml:space="preserve"> - structured peer feedback on a task that tests professional practices, week 5, same criteria as AS2.</t>
    </r>
  </si>
  <si>
    <r>
      <t>AI-development touchpoint:</t>
    </r>
    <r>
      <rPr>
        <sz val="11"/>
        <color theme="1"/>
        <rFont val="Arial"/>
        <family val="2"/>
        <charset val="1"/>
      </rPr>
      <t xml:space="preserve"> an AI output audit exercise where students check an AI-generated assessment summary against their own recorded data and against primary sources.</t>
    </r>
  </si>
  <si>
    <r>
      <t>AI design.</t>
    </r>
    <r>
      <rPr>
        <sz val="11"/>
        <color theme="1"/>
        <rFont val="Arial"/>
        <family val="2"/>
        <charset val="1"/>
      </rPr>
      <t xml:space="preserve"> Both summative items are session-anchored and cannot be produced by a tool that did not attend, so security comes from the format, not from surveillance. The developmental AI work sits in the formative task, where the stakes are low and the skill being taught is verification.</t>
    </r>
  </si>
  <si>
    <t>Learning Outcomes</t>
  </si>
  <si>
    <t>After completing the module the student should be able to:</t>
  </si>
  <si>
    <r>
      <t>AfN (2025).</t>
    </r>
    <r>
      <rPr>
        <sz val="11"/>
        <color theme="1"/>
        <rFont val="Arial"/>
        <family val="2"/>
        <charset val="1"/>
      </rPr>
      <t xml:space="preserve"> CC1a (SH), CC1b (SH), CC1c (KH), CC2f (KH), CC2g (SH), CC3g (SH), CC4g (KH).</t>
    </r>
  </si>
  <si>
    <t>LO Number</t>
  </si>
  <si>
    <t>LO Description</t>
  </si>
  <si>
    <r>
      <t>Enhancement.</t>
    </r>
    <r>
      <rPr>
        <sz val="11"/>
        <color theme="1"/>
        <rFont val="Arial"/>
        <family val="2"/>
        <charset val="1"/>
      </rPr>
      <t xml:space="preserve"> Transition and belonging: PLG groups formed week 1 and held stable across the year. Graduate competency: Professional Relationships and Behaviours; Communication; Self-Evaluation.</t>
    </r>
  </si>
  <si>
    <t>LO1</t>
  </si>
  <si>
    <r>
      <t xml:space="preserve">PLG reflection points: weeks 3, 7 and 11. Prompt: Who am I becoming as a practitioner? </t>
    </r>
    <r>
      <rPr>
        <b/>
        <i/>
        <sz val="11"/>
        <color theme="1"/>
        <rFont val="Arial"/>
        <family val="2"/>
        <charset val="1"/>
      </rPr>
      <t>Assessed</t>
    </r>
    <r>
      <rPr>
        <i/>
        <sz val="11"/>
        <color theme="1"/>
        <rFont val="Arial"/>
        <family val="2"/>
        <charset val="1"/>
      </rPr>
      <t xml:space="preserve"> via the reflective log.</t>
    </r>
  </si>
  <si>
    <t>LO2</t>
  </si>
  <si>
    <r>
      <t>(Understand)</t>
    </r>
    <r>
      <rPr>
        <sz val="11"/>
        <color theme="1"/>
        <rFont val="Arial"/>
        <family val="2"/>
        <charset val="1"/>
      </rPr>
      <t xml:space="preserve"> Explain the professional, ethical and legal expectations placed on a nutrition practitioner, including scope of practice and equality, diversity, equity and inclusion.</t>
    </r>
  </si>
  <si>
    <t>LO3</t>
  </si>
  <si>
    <r>
      <t>(Understand)</t>
    </r>
    <r>
      <rPr>
        <sz val="11"/>
        <color theme="1"/>
        <rFont val="Arial"/>
        <family val="2"/>
        <charset val="1"/>
      </rPr>
      <t xml:space="preserve"> Reflect on their own developing professional practice and identify areas for development.</t>
    </r>
  </si>
  <si>
    <t>LO4</t>
  </si>
  <si>
    <t>LO5</t>
  </si>
  <si>
    <t>Assessment</t>
  </si>
  <si>
    <t>Assessment No</t>
  </si>
  <si>
    <t>Assessment Type</t>
  </si>
  <si>
    <t>Assessment Specific</t>
  </si>
  <si>
    <t>Assessment Description</t>
  </si>
  <si>
    <t>Weighting</t>
  </si>
  <si>
    <t>Due Week</t>
  </si>
  <si>
    <t>A1</t>
  </si>
  <si>
    <t>Portfolio</t>
  </si>
  <si>
    <t>Practitioner portfolio</t>
  </si>
  <si>
    <r>
      <t xml:space="preserve">Assessment data collected in-session, with justification and interpretation. Tests MLO1 (Apply) and MLO2 (Understand). </t>
    </r>
    <r>
      <rPr>
        <i/>
        <sz val="11"/>
        <color theme="1"/>
        <rFont val="Arial"/>
        <family val="2"/>
        <charset val="1"/>
      </rPr>
      <t>Thread A and B origin: this is where the consultation and measurement formats are first practised.</t>
    </r>
  </si>
  <si>
    <t>A2</t>
  </si>
  <si>
    <t>PLG reflective log</t>
  </si>
  <si>
    <t>Entries written in-session, referencing named peers and the student’s own recorded consultation. Tests MLO2 and MLO3 (Understand).</t>
  </si>
  <si>
    <t>A3</t>
  </si>
  <si>
    <t>A4</t>
  </si>
  <si>
    <t>Assessment Mapping</t>
  </si>
  <si>
    <t>Graduate Skills Category</t>
  </si>
  <si>
    <t>Graduate Skill</t>
  </si>
  <si>
    <t>Self-evaluation and professional development</t>
  </si>
  <si>
    <t>Reflective practice</t>
  </si>
  <si>
    <t>Application of knowledge and skills</t>
  </si>
  <si>
    <t>Translational practice</t>
  </si>
  <si>
    <t>Communication</t>
  </si>
  <si>
    <t>Interpersonal communication</t>
  </si>
  <si>
    <t>Self-awareness</t>
  </si>
  <si>
    <t>Weekly Content</t>
  </si>
  <si>
    <t xml:space="preserve">Semester </t>
  </si>
  <si>
    <t>Week Number</t>
  </si>
  <si>
    <t>Weekly Content 1</t>
  </si>
  <si>
    <t>Weekly Content 2</t>
  </si>
  <si>
    <t>Weekly Content 3</t>
  </si>
  <si>
    <t>The nutrition professions and practitioner identity</t>
  </si>
  <si>
    <t>Who am I becoming - PLG groups formed</t>
  </si>
  <si>
    <t>PLG formation; professional-body landscape</t>
  </si>
  <si>
    <t>Standards, ethics and scope of practice</t>
  </si>
  <si>
    <t>The rules I will work within</t>
  </si>
  <si>
    <t>UKVRN standards workshop</t>
  </si>
  <si>
    <t>EDEI in nutrition practice</t>
  </si>
  <si>
    <t>Practising fairly</t>
  </si>
  <si>
    <t>Case discussion; belief, culture, access</t>
  </si>
  <si>
    <t>Assessing energy intake: dietary assessment methods</t>
  </si>
  <si>
    <t>First tool in the kit</t>
  </si>
  <si>
    <t>Practical: 24h recall, food diary</t>
  </si>
  <si>
    <t>Dietary analysis software and interpretation</t>
  </si>
  <si>
    <t>Making the measurement mean something</t>
  </si>
  <si>
    <t>Digital Lab: dietary analysis software</t>
  </si>
  <si>
    <t>The nutritional interview (role-play strand)</t>
  </si>
  <si>
    <r>
      <t>Formative checkpoint</t>
    </r>
    <r>
      <rPr>
        <sz val="11"/>
        <color theme="1"/>
        <rFont val="Arial"/>
        <family val="2"/>
        <charset val="1"/>
      </rPr>
      <t>: practice consultation (rung 2)</t>
    </r>
  </si>
  <si>
    <t>Role-play consultation with peer feedback</t>
  </si>
  <si>
    <t>Assessing energy expenditure</t>
  </si>
  <si>
    <t>Second tool in the kit</t>
  </si>
  <si>
    <t>Practical: expenditure estimation</t>
  </si>
  <si>
    <t>Body composition assessment</t>
  </si>
  <si>
    <t>Third tool, and its error</t>
  </si>
  <si>
    <t>Practical: anthropometry</t>
  </si>
  <si>
    <t>Is what I measured true? Verifying against evidence</t>
  </si>
  <si>
    <t>How do I know it is true - AI output audit</t>
  </si>
  <si>
    <t>AI-development session: audit an AI summary against own data</t>
  </si>
  <si>
    <t>Record keeping, data and confidentiality</t>
  </si>
  <si>
    <t>Handling a client’s data responsibly</t>
  </si>
  <si>
    <t>Data-management workshop</t>
  </si>
  <si>
    <t>Reflective practice and professional development</t>
  </si>
  <si>
    <t>Accounting for who I am becoming</t>
  </si>
  <si>
    <t>PLG reflective session</t>
  </si>
  <si>
    <t>Portfolio synthesis and assessment preparation</t>
  </si>
  <si>
    <t>Pulling the thread together</t>
  </si>
  <si>
    <t>Portfolio surgery; PLG log review</t>
  </si>
  <si>
    <t>4003SPS</t>
  </si>
  <si>
    <t>To establish the scientific foundations of human nutrition: what nutrients are, how they function, how requirements are derived, and the consequences of inadequate or excessive intake.</t>
  </si>
  <si>
    <t>Principles of Human Nutrition</t>
  </si>
  <si>
    <t>Nutrition and energy balance; carbohydrate, protein and fat (structure, function, food sources); water- and fat-soluble vitamins; minerals and trace elements; water, hydration and electrolyte balance; deriving Dietary Reference Values and their limitations; consequences of inadequate and excessive intake; introductory nutrition chemistry and the chemistry of food components.</t>
  </si>
  <si>
    <t>Richie Kirwan</t>
  </si>
  <si>
    <t>Core module</t>
  </si>
  <si>
    <t>This module builds the scientific foundations of human nutrition. You will follow each nutrient from the food on the plate to its function in the body and the consequences when intake is too little or too much, learning a method you can apply to any nutrient rather than a list to memorise. You will also learn how dietary reference values are derived and begin to evaluate real diets against them, underpinning the applied and clinical modules across the whole programme.</t>
  </si>
  <si>
    <r>
      <t>Formative</t>
    </r>
    <r>
      <rPr>
        <sz val="11"/>
        <color theme="1"/>
        <rFont val="Arial"/>
        <family val="2"/>
        <charset val="1"/>
      </rPr>
      <t xml:space="preserve"> - weekly low-stakes quizzes with feedback aligned to the exam.</t>
    </r>
  </si>
  <si>
    <r>
      <t>AI-development touchpoint:</t>
    </r>
    <r>
      <rPr>
        <sz val="11"/>
        <color theme="1"/>
        <rFont val="Arial"/>
        <family val="2"/>
        <charset val="1"/>
      </rPr>
      <t xml:space="preserve"> an AI output audit - students verify an AI-generated nutrient summary containing embedded errors against DRV tables and primary sources.</t>
    </r>
  </si>
  <si>
    <r>
      <t>AI design.</t>
    </r>
    <r>
      <rPr>
        <sz val="11"/>
        <color theme="1"/>
        <rFont val="Arial"/>
        <family val="2"/>
        <charset val="1"/>
      </rPr>
      <t xml:space="preserve"> Both summative items are secured, one by role-play anchoring and one by invigilation. The AI literacy work is developmental and formative, teaching verification at the exact point students are most likely to use these tools uncritically.</t>
    </r>
  </si>
  <si>
    <r>
      <t>AfN (2025).</t>
    </r>
    <r>
      <rPr>
        <sz val="11"/>
        <color theme="1"/>
        <rFont val="Arial"/>
        <family val="2"/>
        <charset val="1"/>
      </rPr>
      <t xml:space="preserve"> CC2a (KW), CC2b (KH), CC2c (KH), CC3a (KW), CC3d (KH), CC5a (KH)</t>
    </r>
  </si>
  <si>
    <r>
      <t>Golden thread:</t>
    </r>
    <r>
      <rPr>
        <sz val="11"/>
        <color theme="1"/>
        <rFont val="Arial"/>
        <family val="2"/>
        <charset val="1"/>
      </rPr>
      <t xml:space="preserve"> </t>
    </r>
    <r>
      <rPr>
        <i/>
        <sz val="11"/>
        <color theme="1"/>
        <rFont val="Arial"/>
        <family val="2"/>
        <charset val="1"/>
      </rPr>
      <t>“Follow the nutrient from plate to function to deficiency.”</t>
    </r>
    <r>
      <rPr>
        <sz val="11"/>
        <color theme="1"/>
        <rFont val="Arial"/>
        <family val="2"/>
        <charset val="1"/>
      </rPr>
      <t xml:space="preserve"> Each nutrient group is traced along the same path - what it is, what it does, how much is needed, and what happens when intake is wrong - so students internalise a method they can apply to any nutrient rather than memorising a list.</t>
    </r>
  </si>
  <si>
    <r>
      <t>(Understand)</t>
    </r>
    <r>
      <rPr>
        <sz val="11"/>
        <color theme="1"/>
        <rFont val="Arial"/>
        <family val="2"/>
        <charset val="1"/>
      </rPr>
      <t xml:space="preserve"> Describe the functions, food sources and metabolic roles of the major and minor nutrients and the consequences of inappropriate intakes.</t>
    </r>
  </si>
  <si>
    <r>
      <t>(Apply)</t>
    </r>
    <r>
      <rPr>
        <sz val="11"/>
        <color theme="1"/>
        <rFont val="Arial"/>
        <family val="2"/>
        <charset val="1"/>
      </rPr>
      <t xml:space="preserve"> Apply Dietary Reference Values to evaluate the adequacy of a described diet and explain how those values are derived.</t>
    </r>
  </si>
  <si>
    <r>
      <t>(Understand)</t>
    </r>
    <r>
      <rPr>
        <sz val="11"/>
        <color theme="1"/>
        <rFont val="Arial"/>
        <family val="2"/>
        <charset val="1"/>
      </rPr>
      <t xml:space="preserve"> Explain the chemical properties of nutrients and food components that determine their nutritional behaviour.</t>
    </r>
  </si>
  <si>
    <t>Presentation</t>
  </si>
  <si>
    <t>Dietary history role-play and nutrient case analysis</t>
  </si>
  <si>
    <r>
      <t>Partially secured.</t>
    </r>
    <r>
      <rPr>
        <sz val="11"/>
        <color theme="1"/>
        <rFont val="Arial"/>
        <family val="2"/>
        <charset val="1"/>
      </rPr>
      <t xml:space="preserve"> A short in-session dietary-history role-play (Thread A, foundational) generates the case; students then analyse the described pattern against DRVs and identify likely inadequacies. Tests MLO1 (Understand) and MLO2 (Apply).</t>
    </r>
  </si>
  <si>
    <t>Exam</t>
  </si>
  <si>
    <t>Invigilated examination</t>
  </si>
  <si>
    <t>Scientific knowledge</t>
  </si>
  <si>
    <t>Information retrieval</t>
  </si>
  <si>
    <t>Oral presentation</t>
  </si>
  <si>
    <t>Nutrition, energy and the plate-to-function idea</t>
  </si>
  <si>
    <t>Introducing the thread</t>
  </si>
  <si>
    <t>Lecture; the nutrient’s journey</t>
  </si>
  <si>
    <t>Introductory nutrition chemistry</t>
  </si>
  <si>
    <t>Why structure determines behaviour</t>
  </si>
  <si>
    <t>Chemistry of food components</t>
  </si>
  <si>
    <t>Carbohydrate: structure, function, sources</t>
  </si>
  <si>
    <t>Following carbohydrate</t>
  </si>
  <si>
    <t>Lecture and food-sources workshop</t>
  </si>
  <si>
    <t>Protein and amino acids</t>
  </si>
  <si>
    <t>Following protein</t>
  </si>
  <si>
    <t>Lecture; quality and sources</t>
  </si>
  <si>
    <t>Fat and fatty acids</t>
  </si>
  <si>
    <t>Following fat</t>
  </si>
  <si>
    <t>Lecture; food matrix intro</t>
  </si>
  <si>
    <t>Dietary history role-play (rung 1)</t>
  </si>
  <si>
    <r>
      <t>Formative checkpoint</t>
    </r>
    <r>
      <rPr>
        <sz val="11"/>
        <color theme="1"/>
        <rFont val="Arial"/>
        <family val="2"/>
        <charset val="1"/>
      </rPr>
      <t>: taking a history</t>
    </r>
  </si>
  <si>
    <t>Role-play: dietary-history taking</t>
  </si>
  <si>
    <t>Fat- and water-soluble vitamins</t>
  </si>
  <si>
    <t>Following the micronutrients</t>
  </si>
  <si>
    <t>Lecture; deficiency signs</t>
  </si>
  <si>
    <t>Minerals and trace elements</t>
  </si>
  <si>
    <t>Lecture; bioavailability</t>
  </si>
  <si>
    <t>Water, hydration and electrolytes</t>
  </si>
  <si>
    <t>Following water</t>
  </si>
  <si>
    <t>Lecture and applied examples</t>
  </si>
  <si>
    <t>Deriving Dietary Reference Values</t>
  </si>
  <si>
    <t>How much is enough, and how we know</t>
  </si>
  <si>
    <t>DRV derivation workshop</t>
  </si>
  <si>
    <t>Is this AI summary right? Verifying nutrient claims</t>
  </si>
  <si>
    <t>End of the thread: deficiency and error</t>
  </si>
  <si>
    <t>AI-development session: audit nutrient summary vs DRVs</t>
  </si>
  <si>
    <t>Consolidation and exam preparation</t>
  </si>
  <si>
    <t>Whole journey reviewed</t>
  </si>
  <si>
    <t>Case-analysis practice; exam prep</t>
  </si>
  <si>
    <t>4004SPS</t>
  </si>
  <si>
    <t>To develop understanding of nutrition at the molecular and cellular level, following the journey from intake through digestion, absorption, transport and metabolism to excretion, establishing the biochemical foundations that Level 5 applies and Level 6 examines critically.</t>
  </si>
  <si>
    <t>Nutritional Biochemistry and Metabolism</t>
  </si>
  <si>
    <t>Digestion, absorption and their regulation across the gastrointestinal tract; energy metabolism (glycolysis, glycogenolysis, beta-oxidation, TCA cycle, electron transport chain, gluconeogenesis); lipid transport and synthesis; protein metabolism and nitrogen balance; integration and regulation of metabolism in the fed and fasted states; introductory cell signalling and gene expression; dysregulation and non-communicable disease.</t>
  </si>
  <si>
    <t>Ian Davies</t>
  </si>
  <si>
    <t>This module explores nutrition at the molecular and cellular level by tracing a single meal through the body, from digestion and absorption to metabolism and regulation. Through laboratory work you will generate and interpret your own biochemical data, developing practical skills that build across the programme. The module establishes the biochemical foundations that Level 5 applies to exercise and Level 6 examines critically.</t>
  </si>
  <si>
    <r>
      <t>Formative</t>
    </r>
    <r>
      <rPr>
        <sz val="11"/>
        <color theme="1"/>
        <rFont val="Arial"/>
        <family val="2"/>
        <charset val="1"/>
      </rPr>
      <t xml:space="preserve"> - submission of handwritten lab books for practicals 1 and 2, with feedback feeding the lab exam.</t>
    </r>
  </si>
  <si>
    <r>
      <t>AI design.</t>
    </r>
    <r>
      <rPr>
        <sz val="11"/>
        <color theme="1"/>
        <rFont val="Arial"/>
        <family val="2"/>
        <charset val="1"/>
      </rPr>
      <t xml:space="preserve"> Both items are secured by their live or in-person nature.</t>
    </r>
  </si>
  <si>
    <r>
      <t>AI-development touchpoint:</t>
    </r>
    <r>
      <rPr>
        <sz val="11"/>
        <color theme="1"/>
        <rFont val="Arial"/>
        <family val="2"/>
        <charset val="1"/>
      </rPr>
      <t xml:space="preserve"> in a formative session, students compare their own data interpretation against an AI-generated one and justify where they differ - AI as a foil, not a source.</t>
    </r>
  </si>
  <si>
    <r>
      <t>AfN (2025).</t>
    </r>
    <r>
      <rPr>
        <sz val="11"/>
        <color theme="1"/>
        <rFont val="Arial"/>
        <family val="2"/>
        <charset val="1"/>
      </rPr>
      <t xml:space="preserve"> CC2a (KW), CC2b (KH), CC2c (KH), CC2d (KH), CC2e (KW).</t>
    </r>
  </si>
  <si>
    <r>
      <t>Enhancement.</t>
    </r>
    <r>
      <rPr>
        <sz val="11"/>
        <color theme="1"/>
        <rFont val="Arial"/>
        <family val="2"/>
        <charset val="1"/>
      </rPr>
      <t xml:space="preserve"> Level calibration: cell signalling kept deliberately introductory (basic signalling and ATP generation) and signposted as the foundation for L5 Exercise Biochemistry. Graduate competency: Scientific Knowledge; Technical Skills.</t>
    </r>
  </si>
  <si>
    <t>Syllabus and weekly delivery.</t>
  </si>
  <si>
    <r>
      <t>Understand)</t>
    </r>
    <r>
      <rPr>
        <sz val="11"/>
        <color theme="1"/>
        <rFont val="Arial"/>
        <family val="2"/>
        <charset val="1"/>
      </rPr>
      <t xml:space="preserve"> Explain the principal biochemical pathways and how they are integrated and regulated in the fed and fasted states.</t>
    </r>
  </si>
  <si>
    <r>
      <t>Golden thread:</t>
    </r>
    <r>
      <rPr>
        <sz val="11"/>
        <color theme="1"/>
        <rFont val="Arial"/>
        <family val="2"/>
        <charset val="1"/>
      </rPr>
      <t xml:space="preserve"> </t>
    </r>
    <r>
      <rPr>
        <i/>
        <sz val="11"/>
        <color theme="1"/>
        <rFont val="Arial"/>
        <family val="2"/>
        <charset val="1"/>
      </rPr>
      <t>“Trace one meal through the body.”</t>
    </r>
    <r>
      <rPr>
        <sz val="11"/>
        <color theme="1"/>
        <rFont val="Arial"/>
        <family val="2"/>
        <charset val="1"/>
      </rPr>
      <t xml:space="preserve"> A single mixed meal is followed from mouth to mitochondria and back out, so digestion, absorption, metabolism and regulation are experienced as one continuous story that the lab work then interrogates.</t>
    </r>
  </si>
  <si>
    <r>
      <rPr>
        <b/>
        <sz val="11"/>
        <color rgb="FF000000"/>
        <rFont val="Arial"/>
        <family val="2"/>
      </rPr>
      <t>(Understand)</t>
    </r>
    <r>
      <rPr>
        <sz val="11"/>
        <color rgb="FF000000"/>
        <rFont val="Arial"/>
        <family val="2"/>
      </rPr>
      <t xml:space="preserve"> Describe how metabolic pathways contribute to health and performance.</t>
    </r>
  </si>
  <si>
    <r>
      <rPr>
        <b/>
        <sz val="11"/>
        <color rgb="FF000000"/>
        <rFont val="Arial"/>
        <family val="2"/>
      </rPr>
      <t>Analyse)</t>
    </r>
    <r>
      <rPr>
        <sz val="11"/>
        <color rgb="FF000000"/>
        <rFont val="Arial"/>
        <family val="2"/>
      </rPr>
      <t xml:space="preserve"> Analyse and interpret biochemical and metabolic data to draw supported conclusions.</t>
    </r>
  </si>
  <si>
    <t>In-person practical lab exam</t>
  </si>
  <si>
    <r>
      <t xml:space="preserve">Two practice and training labs across the module, then one final in-person lab exam comprising a completed handwritten proforma and submission of the handwritten lab book. Tests MLO1 (Understand) and MLO3 (Analyse). </t>
    </r>
    <r>
      <rPr>
        <i/>
        <sz val="11"/>
        <color theme="1"/>
        <rFont val="Arial"/>
        <family val="2"/>
        <charset val="1"/>
      </rPr>
      <t>Thread B origin: this is where lab competency and data interpretation are first assessed under secure conditions, maturing at L5 Exercise Biochemistry and L6 Molecular.</t>
    </r>
  </si>
  <si>
    <t>Group mini-teach presentation</t>
  </si>
  <si>
    <t xml:space="preserve">Teach a scientific concept to a targeted group </t>
  </si>
  <si>
    <t>Scientific literacy</t>
  </si>
  <si>
    <t>Decision-making</t>
  </si>
  <si>
    <t>Knowledge synthesis</t>
  </si>
  <si>
    <t>The meal, and the map of where it goes</t>
  </si>
  <si>
    <t>Overview lecture</t>
  </si>
  <si>
    <t>Digestion and absorption across the GI tract</t>
  </si>
  <si>
    <t>The meal enters</t>
  </si>
  <si>
    <t>Lecture; practical lab 1 (formative)</t>
  </si>
  <si>
    <t>Carbohydrate metabolism: glycolysis, glycogen</t>
  </si>
  <si>
    <t>Fuelling from the meal</t>
  </si>
  <si>
    <t>Lecture; pathway mapping</t>
  </si>
  <si>
    <t>The TCA cycle and electron transport</t>
  </si>
  <si>
    <t>Extracting energy</t>
  </si>
  <si>
    <t>Lecture; ATP generation</t>
  </si>
  <si>
    <t>Lipid transport, storage and beta-oxidation</t>
  </si>
  <si>
    <t>Storing and burning fat</t>
  </si>
  <si>
    <t>Lecture; practical lab 2 (formative)</t>
  </si>
  <si>
    <t>Protein metabolism and nitrogen balance</t>
  </si>
  <si>
    <t>Building and turning over</t>
  </si>
  <si>
    <r>
      <t>Formative checkpoint</t>
    </r>
    <r>
      <rPr>
        <sz val="11"/>
        <color theme="1"/>
        <rFont val="Arial"/>
        <family val="2"/>
        <charset val="1"/>
      </rPr>
      <t>: lab books returned</t>
    </r>
  </si>
  <si>
    <t>Gluconeogenesis and the fasted state</t>
  </si>
  <si>
    <t>The meal runs out</t>
  </si>
  <si>
    <t>Lecture; fed-fasted transition</t>
  </si>
  <si>
    <t>Integration and regulation of metabolism</t>
  </si>
  <si>
    <t>The whole map connected</t>
  </si>
  <si>
    <t>Integration workshop</t>
  </si>
  <si>
    <t>Introductory cell signalling and gene expression</t>
  </si>
  <si>
    <t>How the body decides</t>
  </si>
  <si>
    <t>Lecture; signposts L5</t>
  </si>
  <si>
    <t>Data day: comparing my reading with AI’s</t>
  </si>
  <si>
    <t>Interrogating the story</t>
  </si>
  <si>
    <t>AI-development session: own vs AI interpretation</t>
  </si>
  <si>
    <t>Dysregulation and non-communicable disease</t>
  </si>
  <si>
    <t>When the story goes wrong</t>
  </si>
  <si>
    <t>Lecture; applied cases</t>
  </si>
  <si>
    <t>Lab-exam preparation and mini-teach</t>
  </si>
  <si>
    <t>Retelling the whole journey</t>
  </si>
  <si>
    <t>Lab-exam prep; mini-teach rehearsal</t>
  </si>
  <si>
    <t>4006SPS</t>
  </si>
  <si>
    <t>To introduce the principles of performance nutrition, building on Principles of Human Nutrition: how energy availability, macronutrient and micronutrient status and hydration affect performance, and how evidence-based, sport-specific recommendations are produced from position stands and consensus statements.</t>
  </si>
  <si>
    <t>Performance Nutrition</t>
  </si>
  <si>
    <t>The performance nutritionist’s role and scope; energy availability and relative energy deficiency in sport; carbohydrate, protein and fat for training and competition; hydration and electrolyte strategies; micronutrients of concern in athletic populations; periodised nutrition; sport-specific application (endurance, strength and power, team, weight-restricted); critical reading of position stands and consensus statements.</t>
  </si>
  <si>
    <t>Ian Sadler</t>
  </si>
  <si>
    <t>This module introduces the principles of performance nutrition, building on your foundational knowledge of nutrients and metabolism. Working with a single athlete case that develops week by week, you will examine how energy availability, macronutrients, hydration and micronutrient status affect performance, and learn to produce evidence-based, sport-specific recommendations from position stands and consensus statements. You will also begin to read the research critically and to weigh the strengths and limits of the evidence behind a recommendation.</t>
  </si>
  <si>
    <r>
      <t>Formative</t>
    </r>
    <r>
      <rPr>
        <sz val="11"/>
        <color theme="1"/>
        <rFont val="Arial"/>
        <family val="2"/>
        <charset val="1"/>
      </rPr>
      <t xml:space="preserve"> - critical appraisal workshop on a single position stand (Thread C, first outing).</t>
    </r>
  </si>
  <si>
    <r>
      <t>AfN (2025).</t>
    </r>
    <r>
      <rPr>
        <sz val="11"/>
        <color theme="1"/>
        <rFont val="Arial"/>
        <family val="2"/>
        <charset val="1"/>
      </rPr>
      <t xml:space="preserve"> CC2d (KH), CC2g (SH), CC4f (SH), CC5a (KH), CC2h (KH).</t>
    </r>
  </si>
  <si>
    <r>
      <t>Enhancement.</t>
    </r>
    <r>
      <rPr>
        <sz val="11"/>
        <color theme="1"/>
        <rFont val="Arial"/>
        <family val="2"/>
        <charset val="1"/>
      </rPr>
      <t xml:space="preserve"> Thread C begins here: students first appraise position stands formatively at L4, evaluate them summatively at L5, and defend a position at L6. The AI evidence-search appendix is the Level 4 rung of the AI developmental thread (“check the machine’s homework”), preceding generate-and-refine at Level 5 and integrate-and-defend at Level 6. Graduate competency: Application of Knowledge and Skills; Understanding and Use of Research.</t>
    </r>
  </si>
  <si>
    <r>
      <t>Golden thread:</t>
    </r>
    <r>
      <rPr>
        <sz val="11"/>
        <color theme="1"/>
        <rFont val="Arial"/>
        <family val="2"/>
        <charset val="1"/>
      </rPr>
      <t xml:space="preserve"> </t>
    </r>
    <r>
      <rPr>
        <i/>
        <sz val="11"/>
        <color theme="1"/>
        <rFont val="Arial"/>
        <family val="2"/>
        <charset val="1"/>
      </rPr>
      <t>“Build a recommendation for one athlete, one demand at a time.”</t>
    </r>
    <r>
      <rPr>
        <sz val="11"/>
        <color theme="1"/>
        <rFont val="Arial"/>
        <family val="2"/>
        <charset val="1"/>
      </rPr>
      <t xml:space="preserve"> A single athlete case is introduced in week 1 and revisited each week as a new demand (energy, carbohydrate, hydration and so on) is added, so the final recommendation is assembled across the module rather than written at the end.</t>
    </r>
  </si>
  <si>
    <r>
      <t>(Understand)</t>
    </r>
    <r>
      <rPr>
        <sz val="11"/>
        <color theme="1"/>
        <rFont val="Arial"/>
        <family val="2"/>
        <charset val="1"/>
      </rPr>
      <t xml:space="preserve"> Explain how energy availability, macronutrient and micronutrient status and hydration influence exercise performance.</t>
    </r>
  </si>
  <si>
    <r>
      <rPr>
        <b/>
        <sz val="11"/>
        <color rgb="FF000000"/>
        <rFont val="Arial"/>
        <family val="2"/>
      </rPr>
      <t>(Apply)</t>
    </r>
    <r>
      <rPr>
        <sz val="11"/>
        <color rgb="FF000000"/>
        <rFont val="Arial"/>
        <family val="2"/>
      </rPr>
      <t xml:space="preserve"> Apply current position stands and consensus statements to produce evidence-based nutritional recommendations for a specified sport and context.</t>
    </r>
  </si>
  <si>
    <r>
      <rPr>
        <b/>
        <sz val="11"/>
        <color rgb="FF000000"/>
        <rFont val="Arial"/>
        <family val="2"/>
      </rPr>
      <t>(Analyse)</t>
    </r>
    <r>
      <rPr>
        <sz val="11"/>
        <color rgb="FF000000"/>
        <rFont val="Arial"/>
        <family val="2"/>
      </rPr>
      <t xml:space="preserve"> Examine the strengths and limitations of the evidence underpinning a given nutritional recommendation.</t>
    </r>
  </si>
  <si>
    <t>Report</t>
  </si>
  <si>
    <t>Case Study</t>
  </si>
  <si>
    <r>
      <t>Position Stand report, 2,500 words (50%). Open, AI-development.</t>
    </r>
    <r>
      <rPr>
        <sz val="11"/>
        <color theme="1"/>
        <rFont val="Arial"/>
        <family val="2"/>
        <charset val="1"/>
      </rPr>
      <t xml:space="preserve"> Tests MLO3 (Analyse). Supported by a short AI evidence-search appendix: students run an AI-generated evidence search and a structured database search on the same topic, record what AI returned that the database did not and what it missed, misattributed or fabricated, and state which sources were carried into the position stand and why. This adds no new summative item and anchors the report in a process the student performed.</t>
    </r>
  </si>
  <si>
    <t>In Person Exam</t>
  </si>
  <si>
    <t>MCQ and Short Answer Questions, 2-hours (50%)</t>
  </si>
  <si>
    <t>Technical skills</t>
  </si>
  <si>
    <t>Digital literacy</t>
  </si>
  <si>
    <t>Problem solving and impact</t>
  </si>
  <si>
    <t>Evidence-based decision making</t>
  </si>
  <si>
    <t>The performance nutritionist and the case athlete</t>
  </si>
  <si>
    <t>Workshop: Meet the athlete</t>
  </si>
  <si>
    <t>Case introduced</t>
  </si>
  <si>
    <t>Energy availability and RED-S</t>
  </si>
  <si>
    <t>Practical: The athlete’s energy demand</t>
  </si>
  <si>
    <t>Lecture; applied to case</t>
  </si>
  <si>
    <t>Carbohydrate for training and competition</t>
  </si>
  <si>
    <t>Practical: Fuelling the athlete</t>
  </si>
  <si>
    <t>Lecture; case update</t>
  </si>
  <si>
    <t>Protein for training adaptation/Repairing the athlete</t>
  </si>
  <si>
    <t>Fat, and periodised fuelling</t>
  </si>
  <si>
    <t>Reading a position stand (Thread C)</t>
  </si>
  <si>
    <r>
      <t>Formative checkpoint</t>
    </r>
    <r>
      <rPr>
        <sz val="11"/>
        <color theme="1"/>
        <rFont val="Arial"/>
        <family val="2"/>
        <charset val="1"/>
      </rPr>
      <t>: appraisal workshop</t>
    </r>
  </si>
  <si>
    <t>Critical appraisal of one position stand</t>
  </si>
  <si>
    <t>Hydration and electrolyte strategies</t>
  </si>
  <si>
    <t>Workshop: Position Stand</t>
  </si>
  <si>
    <t>Micronutrients of concern in athletes</t>
  </si>
  <si>
    <t>AI search versus database search</t>
  </si>
  <si>
    <t>Evidencing the recommendation</t>
  </si>
  <si>
    <t>AI-development session: compare search methods</t>
  </si>
  <si>
    <t>Sport-specific application</t>
  </si>
  <si>
    <t>Tailoring to the sport</t>
  </si>
  <si>
    <t>Workshop across sport types</t>
  </si>
  <si>
    <t>Assembling the full recommendation</t>
  </si>
  <si>
    <t>The thread pulled together</t>
  </si>
  <si>
    <t>Case-build workshop</t>
  </si>
  <si>
    <t>Whole athlete reviewed</t>
  </si>
  <si>
    <t>Exam prep; case finalisation</t>
  </si>
  <si>
    <t>5001SPS</t>
  </si>
  <si>
    <t>To develop professional practice from foundational skill to applied competence, moving students from performing techniques to responding to real client complexity through behaviour change, communication and ethical reasoning.</t>
  </si>
  <si>
    <t>Professional Practice 2 in Sport Nutrition</t>
  </si>
  <si>
    <t>students move from performing a consultation to exercising professional judgement within one.</t>
  </si>
  <si>
    <r>
      <t>Indicative syllabus.</t>
    </r>
    <r>
      <rPr>
        <sz val="11"/>
        <color theme="1"/>
        <rFont val="Arial"/>
        <family val="2"/>
        <charset val="1"/>
      </rPr>
      <t xml:space="preserve"> Client-centred assessment and needs analysis; behaviour change theory and its application; designing, implementing and evaluating an intervention; communication for specialist and non-specialist audiences; health literacy and social marketing; the consultation with psychosocial complexity; professional judgement, boundaries and referral; evaluating own practice against professional standards; the Peer Learning Group.</t>
    </r>
  </si>
  <si>
    <t>This module develops your professional practice from performing techniques to exercising judgement with real clients. Building on Professional Practice 1, you will apply behaviour change theory, communication skills and ethical reasoning as you design interventions and respond to clients whose circumstances are more complex than any textbook case. Live consultation and continued Peer Learning Group reflection prepare you for the professional accountability expected in your final year.</t>
  </si>
  <si>
    <r>
      <t>AI-development.</t>
    </r>
    <r>
      <rPr>
        <sz val="11"/>
        <color theme="1"/>
        <rFont val="Arial"/>
        <family val="2"/>
        <charset val="1"/>
      </rPr>
      <t xml:space="preserve"> A creative reflective artefact in which students may use AI to draft and are required to annotate their use and reflect on it. Tests MLO3 (Evaluate).</t>
    </r>
  </si>
  <si>
    <r>
      <t>Formative</t>
    </r>
    <r>
      <rPr>
        <sz val="11"/>
        <color theme="1"/>
        <rFont val="Arial"/>
        <family val="2"/>
        <charset val="1"/>
      </rPr>
      <t xml:space="preserve"> - recorded practice consultation with peer and tutor feedback.</t>
    </r>
  </si>
  <si>
    <r>
      <t>AI design.</t>
    </r>
    <r>
      <rPr>
        <sz val="11"/>
        <color theme="1"/>
        <rFont val="Arial"/>
        <family val="2"/>
        <charset val="1"/>
      </rPr>
      <t xml:space="preserve"> AS1 is secured by being live; AS2 is deliberately open, with AI used as a drafting tool and the student’s contribution made visible through annotation and reflection. That pairing - one secured, one open - is the pattern repeated across the programme.</t>
    </r>
  </si>
  <si>
    <r>
      <t>AfN (2025).</t>
    </r>
    <r>
      <rPr>
        <sz val="11"/>
        <color theme="1"/>
        <rFont val="Arial"/>
        <family val="2"/>
        <charset val="1"/>
      </rPr>
      <t xml:space="preserve"> CC1a (SH), CC1b (SH/D), CC1c (SH), CC4d (SH), CC4e (SH), CC4f (SH), CC5d (KH).</t>
    </r>
  </si>
  <si>
    <r>
      <t>Enhancement.</t>
    </r>
    <r>
      <rPr>
        <sz val="11"/>
        <color theme="1"/>
        <rFont val="Arial"/>
        <family val="2"/>
        <charset val="1"/>
      </rPr>
      <t xml:space="preserve"> PLG groups reconstituted with continuity from L4. Graduate competency: Communication; Application of Knowledge and Skills; Management of Self, Others and Practice.</t>
    </r>
  </si>
  <si>
    <r>
      <t>(Create)</t>
    </r>
    <r>
      <rPr>
        <sz val="11"/>
        <color theme="1"/>
        <rFont val="Arial"/>
        <family val="2"/>
        <charset val="1"/>
      </rPr>
      <t xml:space="preserve"> Design an evidence-based nutritional intervention appropriate to a client’s circumstances, values and context, following a needs analysis.</t>
    </r>
  </si>
  <si>
    <r>
      <t>Golden thread:</t>
    </r>
    <r>
      <rPr>
        <sz val="11"/>
        <color theme="1"/>
        <rFont val="Arial"/>
        <family val="2"/>
        <charset val="1"/>
      </rPr>
      <t xml:space="preserve"> </t>
    </r>
    <r>
      <rPr>
        <i/>
        <sz val="11"/>
        <color theme="1"/>
        <rFont val="Arial"/>
        <family val="2"/>
        <charset val="1"/>
      </rPr>
      <t>“From technique to judgement: the same client, growing more complex.”</t>
    </r>
    <r>
      <rPr>
        <sz val="11"/>
        <color theme="1"/>
        <rFont val="Arial"/>
        <family val="2"/>
        <charset val="1"/>
      </rPr>
      <t xml:space="preserve"> The consultation skill practised at Level 4 is deepened week by week as psychosocial complexity is layered onto the client, so students move from performing a consultation to exercising professional judgement within one.</t>
    </r>
  </si>
  <si>
    <r>
      <rPr>
        <b/>
        <sz val="11"/>
        <color rgb="FF000000"/>
        <rFont val="Arial"/>
        <family val="2"/>
      </rPr>
      <t>(Apply)</t>
    </r>
    <r>
      <rPr>
        <sz val="11"/>
        <color rgb="FF000000"/>
        <rFont val="Arial"/>
        <family val="2"/>
      </rPr>
      <t xml:space="preserve"> Communicate nutritional information appropriately to a specified audience, adapting method and message.</t>
    </r>
  </si>
  <si>
    <r>
      <rPr>
        <b/>
        <sz val="11"/>
        <color rgb="FF000000"/>
        <rFont val="Arial"/>
        <family val="2"/>
      </rPr>
      <t>(Evaluate)</t>
    </r>
    <r>
      <rPr>
        <sz val="11"/>
        <color rgb="FF000000"/>
        <rFont val="Arial"/>
        <family val="2"/>
      </rPr>
      <t xml:space="preserve"> Critically appraise their own professional practice against recognised professional standards.</t>
    </r>
  </si>
  <si>
    <t>Individual Presentation</t>
  </si>
  <si>
    <r>
      <t>Live consultation with case report (50%). Secured (live).</t>
    </r>
    <r>
      <rPr>
        <sz val="11"/>
        <color theme="1"/>
        <rFont val="Arial"/>
        <family val="2"/>
        <charset val="1"/>
      </rPr>
      <t xml:space="preserve"> Consultation conducted in-session with a briefed client presenting psychosocial complexity; the report must reference decisions taken in that session. Tests MLO1 (Create) and MLO2 (Apply). </t>
    </r>
    <r>
      <rPr>
        <i/>
        <sz val="11"/>
        <color theme="1"/>
        <rFont val="Arial"/>
        <family val="2"/>
        <charset val="1"/>
      </rPr>
      <t>Thread A matures here: the format practised at L4 now carries complexity and higher weight.</t>
    </r>
  </si>
  <si>
    <t>PLG creative professional-development portfolio</t>
  </si>
  <si>
    <t>Initiative</t>
  </si>
  <si>
    <t>Written communication</t>
  </si>
  <si>
    <t>From L4 technique to L5 judgement</t>
  </si>
  <si>
    <t>Reintroducing the client</t>
  </si>
  <si>
    <t>PLG reconstituted; recap</t>
  </si>
  <si>
    <t>Client-centred assessment and needs analysis</t>
  </si>
  <si>
    <t>Understanding the client</t>
  </si>
  <si>
    <t>Needs-analysis workshop</t>
  </si>
  <si>
    <t>Behaviour change theory</t>
  </si>
  <si>
    <t>Why the client does what they do</t>
  </si>
  <si>
    <t>Lecture; theory to practice</t>
  </si>
  <si>
    <t>Designing a nutritional intervention</t>
  </si>
  <si>
    <t>Planning for the client</t>
  </si>
  <si>
    <t>Intervention-design workshop</t>
  </si>
  <si>
    <t>Communication and health literacy</t>
  </si>
  <si>
    <t>Reaching the client</t>
  </si>
  <si>
    <t>Audience-adaptation practical</t>
  </si>
  <si>
    <t>The consultation with complexity (rung 4)</t>
  </si>
  <si>
    <r>
      <t>Formative checkpoint</t>
    </r>
    <r>
      <rPr>
        <sz val="11"/>
        <color theme="1"/>
        <rFont val="Arial"/>
        <family val="2"/>
        <charset val="1"/>
      </rPr>
      <t>: recorded practice consultation</t>
    </r>
  </si>
  <si>
    <t>Recorded consultation; peer and tutor feedback</t>
  </si>
  <si>
    <t>Professional judgement, boundaries, referral</t>
  </si>
  <si>
    <t>Knowing the limits</t>
  </si>
  <si>
    <t>Case-based decision workshop</t>
  </si>
  <si>
    <t>Implementing and evaluating the intervention</t>
  </si>
  <si>
    <t>Following through</t>
  </si>
  <si>
    <t>Evaluation-methods session</t>
  </si>
  <si>
    <t>Social marketing and public messaging</t>
  </si>
  <si>
    <t>Scaling the message</t>
  </si>
  <si>
    <t>Applied workshop</t>
  </si>
  <si>
    <t>Creative reflective practice and AI</t>
  </si>
  <si>
    <t>Accounting for my own practice</t>
  </si>
  <si>
    <t>AI-development session: creative artefact drafting</t>
  </si>
  <si>
    <t>Evaluating own practice against standards</t>
  </si>
  <si>
    <t>Judging myself</t>
  </si>
  <si>
    <t>Consultation synthesis and assessment preparation</t>
  </si>
  <si>
    <t>Thread pulled together</t>
  </si>
  <si>
    <t>Consultation rehearsal; portfolio surgery</t>
  </si>
  <si>
    <t>5014SPS</t>
  </si>
  <si>
    <t>To develop understanding of how food moves from production to consumer and how that journey shapes nutritional quality, sustainability and health, combining food systems analysis with the applied science of developing a sport nutrition product.</t>
  </si>
  <si>
    <t>Product Development for Sport Nutrition</t>
  </si>
  <si>
    <t>Global food supply chains (production, processing, manufacture, distribution, retail); staple foods, key nutrient sources, novel foods and alternative proteins; how production, processing, preservation, fortification and cooking affect composition and quality; the food matrix; sustainability, environmental impact and sustainable diets; national and international frameworks; political, ethical and economic dimensions of food production; food safety, quality, packaging and labelling; product development (formulation, sensory evaluation, practical work); regulation of nutrition and health claims.</t>
  </si>
  <si>
    <t>Katie Lane</t>
  </si>
  <si>
    <t>This module follows food from field to shelf to athlete, examining how that journey shapes nutritional quality, sustainability and health. You will analyse food supply chains and the environmental and ethical challenges of producing food sustainably, then apply that understanding to develop and defend your own sport nutrition product against a live industry brief. Sustainability is central to the module rather than an add-on, and you will work in the laboratory and kitchen as well as the classroom.</t>
  </si>
  <si>
    <r>
      <t>Formative</t>
    </r>
    <r>
      <rPr>
        <sz val="11"/>
        <color theme="1"/>
        <rFont val="Arial"/>
        <family val="2"/>
        <charset val="1"/>
      </rPr>
      <t xml:space="preserve"> - laboratory and kitchen style practical sessions feeding the brief.</t>
    </r>
  </si>
  <si>
    <r>
      <t>AI design.</t>
    </r>
    <r>
      <rPr>
        <sz val="11"/>
        <color theme="1"/>
        <rFont val="Arial"/>
        <family val="2"/>
        <charset val="1"/>
      </rPr>
      <t xml:space="preserve"> The pitch is secured by live defence; the written analysis is the open, AI-development item. Standard pairing.</t>
    </r>
  </si>
  <si>
    <r>
      <t>AfN (2025).</t>
    </r>
    <r>
      <rPr>
        <sz val="11"/>
        <color theme="1"/>
        <rFont val="Arial"/>
        <family val="2"/>
        <charset val="1"/>
      </rPr>
      <t xml:space="preserve"> CC3a (KH), CC3b (KH), CC3c (SH), CC3f (SH), CC5e (SH). </t>
    </r>
    <r>
      <rPr>
        <i/>
        <sz val="11"/>
        <color theme="1"/>
        <rFont val="Arial"/>
        <family val="2"/>
        <charset val="1"/>
      </rPr>
      <t>CC3e</t>
    </r>
  </si>
  <si>
    <r>
      <t>Enhancement.</t>
    </r>
    <r>
      <rPr>
        <sz val="11"/>
        <color theme="1"/>
        <rFont val="Arial"/>
        <family val="2"/>
        <charset val="1"/>
      </rPr>
      <t xml:space="preserve"> ESD is assessed directly in MLO2, not bolted on.</t>
    </r>
  </si>
  <si>
    <r>
      <t>Golden thread:</t>
    </r>
    <r>
      <rPr>
        <sz val="11"/>
        <color theme="1"/>
        <rFont val="Arial"/>
        <family val="2"/>
        <charset val="1"/>
      </rPr>
      <t xml:space="preserve"> </t>
    </r>
    <r>
      <rPr>
        <i/>
        <sz val="11"/>
        <color theme="1"/>
        <rFont val="Arial"/>
        <family val="2"/>
        <charset val="1"/>
      </rPr>
      <t>“From field to shelf to athlete: develop a product and defend its journey.”</t>
    </r>
    <r>
      <rPr>
        <sz val="11"/>
        <color theme="1"/>
        <rFont val="Arial"/>
        <family val="2"/>
        <charset val="1"/>
      </rPr>
      <t xml:space="preserve"> A live product brief runs the whole module; each week examines one stage of the food journey and feeds a decision into the developing product, so sustainability and formulation are reasoned about together rather than separately.</t>
    </r>
  </si>
  <si>
    <r>
      <t>(Analyse)</t>
    </r>
    <r>
      <rPr>
        <sz val="11"/>
        <color theme="1"/>
        <rFont val="Arial"/>
        <family val="2"/>
        <charset val="1"/>
      </rPr>
      <t xml:space="preserve"> Analyse how food supply chains and methods of production and processing affect the nutritional quality and sustainability of food.</t>
    </r>
  </si>
  <si>
    <r>
      <rPr>
        <b/>
        <sz val="11"/>
        <color rgb="FF000000"/>
        <rFont val="Arial"/>
        <family val="2"/>
      </rPr>
      <t>(Evaluate)</t>
    </r>
    <r>
      <rPr>
        <sz val="11"/>
        <color rgb="FF000000"/>
        <rFont val="Arial"/>
        <family val="2"/>
      </rPr>
      <t xml:space="preserve"> Critically evaluate the environmental, ethical and societal challenges of sustainable food production with reference to recognised frameworks.</t>
    </r>
  </si>
  <si>
    <r>
      <rPr>
        <b/>
        <sz val="11"/>
        <color rgb="FF000000"/>
        <rFont val="Arial"/>
        <family val="2"/>
      </rPr>
      <t>(Create)</t>
    </r>
    <r>
      <rPr>
        <sz val="11"/>
        <color rgb="FF000000"/>
        <rFont val="Arial"/>
        <family val="2"/>
      </rPr>
      <t xml:space="preserve"> Develop and justify a sport nutrition product concept, evidencing formulation decisions and compliance with claims regulation.</t>
    </r>
  </si>
  <si>
    <t>Group Presentation</t>
  </si>
  <si>
    <r>
      <t>Product development brief and pitch (50%). Secured (live defence).</t>
    </r>
    <r>
      <rPr>
        <sz val="11"/>
        <color theme="1"/>
        <rFont val="Arial"/>
        <family val="2"/>
        <charset val="1"/>
      </rPr>
      <t xml:space="preserve"> Live brief with industry input; pitch defended through Q and A. Tests MLO3 (Create) and MLO1 (Analyse) where formulation engages the supply chain. </t>
    </r>
    <r>
      <rPr>
        <i/>
        <sz val="11"/>
        <color theme="1"/>
        <rFont val="Arial"/>
        <family val="2"/>
        <charset val="1"/>
      </rPr>
      <t>Thread D and the create-and-defend format; the live Q and A secures it.</t>
    </r>
  </si>
  <si>
    <t>Lab Report</t>
  </si>
  <si>
    <r>
      <t>Food systems critical analysis (50%). Open, AI-development.</t>
    </r>
    <r>
      <rPr>
        <sz val="11"/>
        <color theme="1"/>
        <rFont val="Arial"/>
        <family val="2"/>
        <charset val="1"/>
      </rPr>
      <t xml:space="preserve"> Tests MLO1 (Analyse) and MLO2 (Evaluate). A synthesis task where AI genuinely helps; students submit an annotated AI-assisted draft or a prompt-and-refine record so their judgement is visible.</t>
    </r>
  </si>
  <si>
    <t>Analytical thinking</t>
  </si>
  <si>
    <t>Contextual application</t>
  </si>
  <si>
    <t>The food journey and the product brief</t>
  </si>
  <si>
    <t>Brief introduced</t>
  </si>
  <si>
    <t>Live brief set with industry input</t>
  </si>
  <si>
    <t>Primary production and supply chains</t>
  </si>
  <si>
    <t>Where food starts</t>
  </si>
  <si>
    <t>Lecture; supply-chain mapping</t>
  </si>
  <si>
    <t>Processing, preservation and the food matrix</t>
  </si>
  <si>
    <t>How processing changes food</t>
  </si>
  <si>
    <t>Lecture; matrix workshop</t>
  </si>
  <si>
    <t>Staple foods, novel foods, alternative proteins</t>
  </si>
  <si>
    <t>Choosing ingredients</t>
  </si>
  <si>
    <t>Ingredient-selection workshop</t>
  </si>
  <si>
    <t>Sustainability and environmental impact</t>
  </si>
  <si>
    <t>The journey’s footprint</t>
  </si>
  <si>
    <t>Lecture; frameworks introduced</t>
  </si>
  <si>
    <t>Sustainable diets and their frameworks</t>
  </si>
  <si>
    <r>
      <t>Formative checkpoint</t>
    </r>
    <r>
      <rPr>
        <sz val="11"/>
        <color theme="1"/>
        <rFont val="Arial"/>
        <family val="2"/>
        <charset val="1"/>
      </rPr>
      <t>: sustainability analysis outline</t>
    </r>
  </si>
  <si>
    <t>Framework application workshop</t>
  </si>
  <si>
    <t>Political, ethical and economic dimensions</t>
  </si>
  <si>
    <t>The contested journey</t>
  </si>
  <si>
    <t>Debate; food systems</t>
  </si>
  <si>
    <t>Formulation and sensory evaluation</t>
  </si>
  <si>
    <t>Building the product</t>
  </si>
  <si>
    <t>Kitchen/lab practical</t>
  </si>
  <si>
    <t>Food safety, quality, packaging</t>
  </si>
  <si>
    <t>Making it safe and sellable</t>
  </si>
  <si>
    <t>Practical; labelling</t>
  </si>
  <si>
    <t>Regulation of nutrition and health claims</t>
  </si>
  <si>
    <t>What I am allowed to say</t>
  </si>
  <si>
    <t>Claims-regulation workshop</t>
  </si>
  <si>
    <t>Refining the product and AI-assisted synthesis</t>
  </si>
  <si>
    <t>Drafting the analysis</t>
  </si>
  <si>
    <t>AI-development session: annotated draft</t>
  </si>
  <si>
    <t>Pitch rehearsal and assessment preparation</t>
  </si>
  <si>
    <t>Defending the journey</t>
  </si>
  <si>
    <t>Pitch practice with Q and A</t>
  </si>
  <si>
    <t>5015SPS</t>
  </si>
  <si>
    <t>To develop mechanistic understanding of how nutrition and exercise interact at the molecular and cellular level - nutrient sensing, signalling, appetite and energy-balance regulation, and training adaptation. Omics, nutrigenetics and precision nutrition are signposted here as a bridge and developed critically at Level 6 Molecular, so this module stays focused on applied exercise mechanism.</t>
  </si>
  <si>
    <t>Exercise Biochemistry</t>
  </si>
  <si>
    <t>Substrate utilisation and metabolic flexibility during exercise; nutrient sensing and signalling (mTOR, AMPK, PGC-1 alpha); the molecular basis of training adaptation, train-low and nutrient-exercise interactions; muscle protein synthesis and breakdown; mitochondrial biogenesis; endocrine and regulatory control; hormonal and neural control of appetite and satiety; the gut-brain axis and the gut microbiome; omics, nutrigenetics and precision nutrition signposted as a bridge to Level 6.</t>
  </si>
  <si>
    <t>Keslie Johnson</t>
  </si>
  <si>
    <t>This module explains why the body responds as it does to training and feeding, working from an applied question down to the underlying mechanism each week. You will study substrate use, nutrient signalling, training adaptation, appetite regulation and the gut microbiome, always in service of a performance or health question rather than as abstract biochemistry. The module bridges your Level 4 biochemistry to the gene-level and precision material you will meet in Molecular Nutrition and Genetics at Level 6.</t>
  </si>
  <si>
    <r>
      <t>Formative</t>
    </r>
    <r>
      <rPr>
        <sz val="11"/>
        <color theme="1"/>
        <rFont val="Arial"/>
        <family val="2"/>
        <charset val="1"/>
      </rPr>
      <t xml:space="preserve"> - data interpretation workshop.</t>
    </r>
  </si>
  <si>
    <r>
      <t>AI-development touchpoint:</t>
    </r>
    <r>
      <rPr>
        <sz val="11"/>
        <color theme="1"/>
        <rFont val="Arial"/>
        <family val="2"/>
        <charset val="1"/>
      </rPr>
      <t xml:space="preserve"> appraise AI-generated marketing copy for a sport nutrition product, checking claims against evidence. (The direct-to-consumer </t>
    </r>
    <r>
      <rPr>
        <i/>
        <sz val="11"/>
        <color theme="1"/>
        <rFont val="Arial"/>
        <family val="2"/>
        <charset val="1"/>
      </rPr>
      <t>genetic</t>
    </r>
    <r>
      <rPr>
        <sz val="11"/>
        <color theme="1"/>
        <rFont val="Arial"/>
        <family val="2"/>
        <charset val="1"/>
      </rPr>
      <t xml:space="preserve"> test critique moves up to L6 Molecular, where the nutrigenetics content now sits.)</t>
    </r>
  </si>
  <si>
    <r>
      <t>AI design.</t>
    </r>
    <r>
      <rPr>
        <sz val="11"/>
        <color theme="1"/>
        <rFont val="Arial"/>
        <family val="2"/>
        <charset val="1"/>
      </rPr>
      <t xml:space="preserve"> Both summative items are secured (own data, live explanation); the developmental AI work sits formatively.</t>
    </r>
  </si>
  <si>
    <r>
      <t>AfN (2025).</t>
    </r>
    <r>
      <rPr>
        <sz val="11"/>
        <color theme="1"/>
        <rFont val="Arial"/>
        <family val="2"/>
        <charset val="1"/>
      </rPr>
      <t xml:space="preserve"> CC2b (KH), CC2c (KH), CC2d (SH), CC2e (KH), CC5c (KH).</t>
    </r>
  </si>
  <si>
    <r>
      <t>Enhancement.</t>
    </r>
    <r>
      <rPr>
        <sz val="11"/>
        <color theme="1"/>
        <rFont val="Arial"/>
        <family val="2"/>
        <charset val="1"/>
      </rPr>
      <t xml:space="preserve"> Endocrine and regulatory-control content added for 5005, the appetite-regulation mechanism and gut microbiome. Nutrigenetics, nutrigenomics, omics and precision nutrition have been consolidated up at L6 Molecular rather than split across both modules, which removes the duplication and sharpens the level logic: applied exercise mechanism here, gene-level regulation and precision there. Graduate competency: Scientific Knowledge; Technical Skills; Understanding and Use of Research.</t>
    </r>
  </si>
  <si>
    <r>
      <t>(Understand)</t>
    </r>
    <r>
      <rPr>
        <sz val="11"/>
        <color theme="1"/>
        <rFont val="Arial"/>
        <family val="2"/>
        <charset val="1"/>
      </rPr>
      <t xml:space="preserve"> Explain the molecular and physiological mechanisms through which nutrient availability, exercise and appetite regulation interact to control metabolic and adaptive responses.</t>
    </r>
  </si>
  <si>
    <r>
      <t>Golden thread:</t>
    </r>
    <r>
      <rPr>
        <sz val="11"/>
        <color theme="1"/>
        <rFont val="Arial"/>
        <family val="2"/>
        <charset val="1"/>
      </rPr>
      <t xml:space="preserve"> </t>
    </r>
    <r>
      <rPr>
        <i/>
        <sz val="11"/>
        <color theme="1"/>
        <rFont val="Arial"/>
        <family val="2"/>
        <charset val="1"/>
      </rPr>
      <t>“Why does the body respond to this exercise session and because of this meal/food?”</t>
    </r>
    <r>
      <rPr>
        <sz val="11"/>
        <color theme="1"/>
        <rFont val="Arial"/>
        <family val="2"/>
        <charset val="1"/>
      </rPr>
      <t xml:space="preserve"> Each week takes a training or feeding scenario and works down to the mechanism, so the molecular detail is always in service of an applied question rather than taught as abstract biochemistry.</t>
    </r>
  </si>
  <si>
    <r>
      <rPr>
        <b/>
        <sz val="11"/>
        <color rgb="FF000000"/>
        <rFont val="Arial"/>
        <family val="2"/>
      </rPr>
      <t>(Analyse)</t>
    </r>
    <r>
      <rPr>
        <sz val="11"/>
        <color rgb="FF000000"/>
        <rFont val="Arial"/>
        <family val="2"/>
      </rPr>
      <t xml:space="preserve"> Analyse and interpret molecular and biochemical data to draw supported conclusions about nutritional and training interventions.</t>
    </r>
  </si>
  <si>
    <r>
      <rPr>
        <b/>
        <sz val="11"/>
        <color rgb="FF000000"/>
        <rFont val="Arial"/>
        <family val="2"/>
      </rPr>
      <t>(Apply)</t>
    </r>
    <r>
      <rPr>
        <sz val="11"/>
        <color rgb="FF000000"/>
        <rFont val="Arial"/>
        <family val="2"/>
      </rPr>
      <t xml:space="preserve"> Communicate applied exercise and nutrition evidence for performance and health outcomes to a specified audience.</t>
    </r>
  </si>
  <si>
    <r>
      <t>Laboratory report on a nutrient-exercise dataset (50%). Secured (own data).</t>
    </r>
    <r>
      <rPr>
        <sz val="11"/>
        <color theme="1"/>
        <rFont val="Arial"/>
        <family val="2"/>
        <charset val="1"/>
      </rPr>
      <t xml:space="preserve"> Tests MLO1 (Understand) and MLO2 (Analyse). </t>
    </r>
    <r>
      <rPr>
        <i/>
        <sz val="11"/>
        <color theme="1"/>
        <rFont val="Arial"/>
        <family val="2"/>
        <charset val="1"/>
      </rPr>
      <t>Thread B matures: more complex data than L4, less than L6 Molecular.</t>
    </r>
  </si>
  <si>
    <r>
      <t>Client explanation of biochemical rationale (rung 3) (50%). Secured (live).</t>
    </r>
    <r>
      <rPr>
        <sz val="11"/>
        <color theme="1"/>
        <rFont val="Arial"/>
        <family val="2"/>
        <charset val="1"/>
      </rPr>
      <t xml:space="preserve"> A face-to-face explanation to a client (role-play, building toward the health-scenario “dummies” idea) of why, biochemically, certain recommendations follow. Tests MLO3 (Apply).</t>
    </r>
  </si>
  <si>
    <t>Scientific writing</t>
  </si>
  <si>
    <t>Professional judgement</t>
  </si>
  <si>
    <t>The applied question and the mechanism map</t>
  </si>
  <si>
    <t>Overview; scenario bank</t>
  </si>
  <si>
    <t>Substrate use and metabolic flexibility</t>
  </si>
  <si>
    <t>Why fuel use shifts in a session</t>
  </si>
  <si>
    <t>Lecture; data intro</t>
  </si>
  <si>
    <t>Nutrient sensing: mTOR, AMPK, PGC-1 alpha</t>
  </si>
  <si>
    <t>How the cell reads the session</t>
  </si>
  <si>
    <t>Lecture; signalling</t>
  </si>
  <si>
    <t>Molecular basis of training adaptation</t>
  </si>
  <si>
    <t>Why training changes the muscle</t>
  </si>
  <si>
    <t>Lecture; train-low</t>
  </si>
  <si>
    <t>Muscle protein synthesis and breakdown</t>
  </si>
  <si>
    <t>Why protein timing matters</t>
  </si>
  <si>
    <t>Lecture; data workshop</t>
  </si>
  <si>
    <t>Data interpretation workshop</t>
  </si>
  <si>
    <r>
      <t>Formative checkpoint</t>
    </r>
    <r>
      <rPr>
        <sz val="11"/>
        <color theme="1"/>
        <rFont val="Arial"/>
        <family val="2"/>
        <charset val="1"/>
      </rPr>
      <t>: reading the dataset</t>
    </r>
  </si>
  <si>
    <t>Nutrient-exercise data practical</t>
  </si>
  <si>
    <t>Mitochondrial biogenesis</t>
  </si>
  <si>
    <t>Why endurance training works</t>
  </si>
  <si>
    <t>Lecture; applied</t>
  </si>
  <si>
    <t>Endocrine and regulatory control</t>
  </si>
  <si>
    <t>The hormonal layer</t>
  </si>
  <si>
    <t>Appetite and satiety: hormonal and neural control</t>
  </si>
  <si>
    <t>Why the athlete feels hungry</t>
  </si>
  <si>
    <t>Lecture; gut-brain axis</t>
  </si>
  <si>
    <t>The gut microbiome and energy balance</t>
  </si>
  <si>
    <t>The microbial layer</t>
  </si>
  <si>
    <t>Lecture; current evidence</t>
  </si>
  <si>
    <t>Can I trust this product’s claims?</t>
  </si>
  <si>
    <t>Applying mechanism to marketing</t>
  </si>
  <si>
    <t>AI-development session: appraise AI marketing copy</t>
  </si>
  <si>
    <t>Precision nutrition signpost; assessment preparation</t>
  </si>
  <si>
    <t>Bridge to L6; thread reviewed</t>
  </si>
  <si>
    <t>Lab-report surgery; client-explanation rehearsal</t>
  </si>
  <si>
    <t>5005SPS</t>
  </si>
  <si>
    <t>To examine nutritional requirements and eating behaviour across the life course, integrating biological, psychological and social perspectives, including sport and performance contexts across the lifespan and some consideration of special populations.</t>
  </si>
  <si>
    <t>Lifespan Nutrition and Eating Behaviour</t>
  </si>
  <si>
    <t>Nutrition across the life course (maternal and infant, childhood and adolescence, adulthood, older age); foetal programming and the developmental origins of health and disease; sport and performance contexts across the lifespan; psychosocial models of eating (restraint, disinhibition, intuitive and mindful eating); the food environment; socio-economic, cultural and religious determinants of intake; disordered eating and eating disorders (recognition, scope, referral); weight stigma and its effect on health outcomes; population-level dietary data; science communication.</t>
  </si>
  <si>
    <t xml:space="preserve">Lucy Richardson </t>
  </si>
  <si>
    <t>This module follows nutritional need and eating behaviour across the whole life course, from conception to older age, returning at each stage to the psychological, social and environmental pressures that shape what people actually eat. You will examine the determinants of intake, weight stigma and the food environment, and consider how practitioners work with individuals and populations whose relationship with food is shaped by far more than nutritional knowledge. Some content is sensitive, and the module is delivered with appropriate care and signposting.</t>
  </si>
  <si>
    <r>
      <t>Formative</t>
    </r>
    <r>
      <rPr>
        <sz val="11"/>
        <color theme="1"/>
        <rFont val="Arial"/>
        <family val="2"/>
        <charset val="1"/>
      </rPr>
      <t xml:space="preserve"> - peer review of a draft communication element.</t>
    </r>
  </si>
  <si>
    <r>
      <t>AI design.</t>
    </r>
    <r>
      <rPr>
        <sz val="11"/>
        <color theme="1"/>
        <rFont val="Arial"/>
        <family val="2"/>
        <charset val="1"/>
      </rPr>
      <t xml:space="preserve"> The role-play is secured live; the case analysis is the open, AI-development item.</t>
    </r>
  </si>
  <si>
    <r>
      <t>AfN (2025).</t>
    </r>
    <r>
      <rPr>
        <sz val="11"/>
        <color theme="1"/>
        <rFont val="Arial"/>
        <family val="2"/>
        <charset val="1"/>
      </rPr>
      <t xml:space="preserve"> CC2e (SH), CC4a (SH), CC4b (KH), CC4c (KH), CC5c (SH), CC5f (SH), CC3g (SH).</t>
    </r>
  </si>
  <si>
    <r>
      <t>Enhancement</t>
    </r>
    <r>
      <rPr>
        <sz val="11"/>
        <color theme="1"/>
        <rFont val="Arial"/>
        <family val="2"/>
        <charset val="1"/>
      </rPr>
      <t xml:space="preserve">. </t>
    </r>
    <r>
      <rPr>
        <b/>
        <sz val="11"/>
        <color theme="1"/>
        <rFont val="Arial"/>
        <family val="2"/>
        <charset val="1"/>
      </rPr>
      <t>EDEI:</t>
    </r>
    <r>
      <rPr>
        <sz val="11"/>
        <color theme="1"/>
        <rFont val="Arial"/>
        <family val="2"/>
        <charset val="1"/>
      </rPr>
      <t xml:space="preserve"> heaviest EDEI load in the programme - weight stigma, socio-economic and cultural determinants are integral to MLO2, satisfying PLO 12. </t>
    </r>
    <r>
      <rPr>
        <b/>
        <sz val="11"/>
        <color theme="1"/>
        <rFont val="Arial"/>
        <family val="2"/>
        <charset val="1"/>
      </rPr>
      <t>Wellbeing:</t>
    </r>
    <r>
      <rPr>
        <sz val="11"/>
        <color theme="1"/>
        <rFont val="Arial"/>
        <family val="2"/>
        <charset val="1"/>
      </rPr>
      <t xml:space="preserve"> disordered-eating content needs content warnings, signposting and a clear clinical-versus-lived-experience framing. Graduate competency: Communication; Understanding of the Delivery Environment; Professional Relationships and Behaviours.</t>
    </r>
  </si>
  <si>
    <r>
      <t>Golden thread:</t>
    </r>
    <r>
      <rPr>
        <sz val="11"/>
        <color theme="1"/>
        <rFont val="Arial"/>
        <family val="2"/>
        <charset val="1"/>
      </rPr>
      <t xml:space="preserve"> </t>
    </r>
    <r>
      <rPr>
        <i/>
        <sz val="11"/>
        <color theme="1"/>
        <rFont val="Arial"/>
        <family val="2"/>
        <charset val="1"/>
      </rPr>
      <t>“The same person, across a lifetime and its pressures.”</t>
    </r>
    <r>
      <rPr>
        <sz val="11"/>
        <color theme="1"/>
        <rFont val="Arial"/>
        <family val="2"/>
        <charset val="1"/>
      </rPr>
      <t xml:space="preserve"> The module follows nutritional need and eating behaviour from conception to older age, returning at each stage to the psychosocial and environmental pressures that shape what a person actually eats, so biology and behaviour are always held together.</t>
    </r>
  </si>
  <si>
    <r>
      <t>(Evaluate)</t>
    </r>
    <r>
      <rPr>
        <sz val="11"/>
        <color theme="1"/>
        <rFont val="Arial"/>
        <family val="2"/>
        <charset val="1"/>
      </rPr>
      <t xml:space="preserve"> Critically evaluate how nutritional requirements and dietary patterns change across the life course and the psychological, social and environmental factors that shape them.</t>
    </r>
  </si>
  <si>
    <r>
      <rPr>
        <b/>
        <sz val="11"/>
        <color rgb="FF000000"/>
        <rFont val="Arial"/>
        <family val="2"/>
      </rPr>
      <t>(Analyse)</t>
    </r>
    <r>
      <rPr>
        <sz val="11"/>
        <color rgb="FF000000"/>
        <rFont val="Arial"/>
        <family val="2"/>
      </rPr>
      <t xml:space="preserve"> Analyse the psychosocial and environmental determinants of eating behaviour and their implications for practice with individuals and population groups.</t>
    </r>
  </si>
  <si>
    <r>
      <rPr>
        <b/>
        <sz val="11"/>
        <color rgb="FF000000"/>
        <rFont val="Arial"/>
        <family val="2"/>
      </rPr>
      <t>(Apply)</t>
    </r>
    <r>
      <rPr>
        <sz val="11"/>
        <color rgb="FF000000"/>
        <rFont val="Arial"/>
        <family val="2"/>
      </rPr>
      <t xml:space="preserve"> Conduct a life-stage-appropriate consultation, adapting communication and dietary advice to the individual’s circumstances.</t>
    </r>
  </si>
  <si>
    <r>
      <t>Life-stage role-play consultation (50%). Secured (live).</t>
    </r>
    <r>
      <rPr>
        <sz val="11"/>
        <color theme="1"/>
        <rFont val="Arial"/>
        <family val="2"/>
        <charset val="1"/>
      </rPr>
      <t xml:space="preserve"> A briefed client at a specified life stage (Thread A, specialist-population outing). Tests MLO3 (Apply).</t>
    </r>
  </si>
  <si>
    <r>
      <t>Life course case analysis (50%). Open, AI-development.</t>
    </r>
    <r>
      <rPr>
        <sz val="11"/>
        <color theme="1"/>
        <rFont val="Arial"/>
        <family val="2"/>
        <charset val="1"/>
      </rPr>
      <t xml:space="preserve"> Following the role-play, a named individual with defined social, cultural and economic circumstances. Tests MLO1 (Evaluate) and MLO2 (Analyse). AI permitted for drafting public-facing elements, with annotation.</t>
    </r>
  </si>
  <si>
    <t>Understanding and use of research</t>
  </si>
  <si>
    <t>Evidence-based practice</t>
  </si>
  <si>
    <t>Active listening</t>
  </si>
  <si>
    <t>problem identification</t>
  </si>
  <si>
    <t>The life course and the person we will follow</t>
  </si>
  <si>
    <t>Overview; life-course framing</t>
  </si>
  <si>
    <t>Maternal, infant nutrition and foetal programming</t>
  </si>
  <si>
    <t>The start of the life</t>
  </si>
  <si>
    <t>Lecture; Developmental Origins of Health and Disease</t>
  </si>
  <si>
    <t>Childhood and adolescence</t>
  </si>
  <si>
    <t>Growing up</t>
  </si>
  <si>
    <t>Lecture; sport contexts</t>
  </si>
  <si>
    <t>Adulthood and older age</t>
  </si>
  <si>
    <t>The later life</t>
  </si>
  <si>
    <t>Lecture; special populations</t>
  </si>
  <si>
    <t>Psychosocial models of eating behaviour</t>
  </si>
  <si>
    <t>Why the person eats as they do</t>
  </si>
  <si>
    <t>Lecture; restraint and disinhibition</t>
  </si>
  <si>
    <t>The food environment and determinants of intake</t>
  </si>
  <si>
    <t>The pressures around the person</t>
  </si>
  <si>
    <r>
      <t>Formative checkpoint</t>
    </r>
    <r>
      <rPr>
        <sz val="11"/>
        <color theme="1"/>
        <rFont val="Arial"/>
        <family val="2"/>
        <charset val="1"/>
      </rPr>
      <t>: communication draft review</t>
    </r>
  </si>
  <si>
    <t>Socio-economic, cultural and religious determinants</t>
  </si>
  <si>
    <t>Fairness across a lifetime (EDEI)</t>
  </si>
  <si>
    <t>Case discussion</t>
  </si>
  <si>
    <r>
      <t xml:space="preserve">Weight stigma and health outcomes </t>
    </r>
    <r>
      <rPr>
        <i/>
        <sz val="11"/>
        <color theme="1"/>
        <rFont val="Arial"/>
        <family val="2"/>
        <charset val="1"/>
      </rPr>
      <t>(wellbeing-sensitive)</t>
    </r>
  </si>
  <si>
    <t>The cost of stigma</t>
  </si>
  <si>
    <t>Lecture; signposting built in</t>
  </si>
  <si>
    <r>
      <t xml:space="preserve">Disordered eating: recognition, scope, referral </t>
    </r>
    <r>
      <rPr>
        <i/>
        <sz val="11"/>
        <color theme="1"/>
        <rFont val="Arial"/>
        <family val="2"/>
        <charset val="1"/>
      </rPr>
      <t>(wellbeing-sensitive)</t>
    </r>
  </si>
  <si>
    <t>Knowing the limits of practice</t>
  </si>
  <si>
    <t>Lecture; content warning and support</t>
  </si>
  <si>
    <t>Life-stage consultation (rung 5)</t>
  </si>
  <si>
    <t>Meeting the person</t>
  </si>
  <si>
    <t>Role-play consultation practice</t>
  </si>
  <si>
    <t>Population data and science communication</t>
  </si>
  <si>
    <t>Speaking to the public</t>
  </si>
  <si>
    <t>AI-development session: drafting public-facing content</t>
  </si>
  <si>
    <t>Case synthesis and assessment preparation</t>
  </si>
  <si>
    <t>Case-analysis surgery; role-play rehearsal</t>
  </si>
  <si>
    <t>6003SPS</t>
  </si>
  <si>
    <t>To provide an in-depth, critical exploration of molecular nutrition: how dietary bioactive compounds modulate biochemical systems and gene expression, how energy balance and appetite are regulated at the level of the gene, and how omics technologies support precision and personalised nutrition, using sport performance and health examples.</t>
  </si>
  <si>
    <t>Molecular Nutrition and Genetics</t>
  </si>
  <si>
    <t>Molecular mechanisms of nutrient action and gene expression; nutrient-mediated transcriptional and post-transcriptional regulation; molecular actions of fatty acids and bioactive compounds; genetic variation and interindividual response; SNPs in sport and exercise nutrition; gene-level regulation of appetite and energy balance; nutrigenetics and nutrigenomics; omics and multi-omics; precision and personalised nutrition; critical appraisal of direct-to-consumer genetic testing; molecular laboratory techniques (ELISA, gel electrophoresis).</t>
  </si>
  <si>
    <t>This module offers an in-depth, critical exploration of molecular nutrition and genetics, asking how precise nutrition can really be. You will examine how nutrients modulate biochemical systems and gene expression, how genetic variation shapes individual response, and how omics technologies and direct-to-consumer testing support, or overstate, precision and personalised nutrition. Advanced laboratory work and critical appraisal draw together the molecular thread that runs from Level 4 biochemistry through Level 5.</t>
  </si>
  <si>
    <r>
      <t>Formative</t>
    </r>
    <r>
      <rPr>
        <sz val="11"/>
        <color theme="1"/>
        <rFont val="Arial"/>
        <family val="2"/>
        <charset val="1"/>
      </rPr>
      <t xml:space="preserve"> - laboratory logbook documenting procedures, data and reflective evaluation, in preparation for AS1.</t>
    </r>
  </si>
  <si>
    <r>
      <t>AI design.</t>
    </r>
    <r>
      <rPr>
        <sz val="11"/>
        <color theme="1"/>
        <rFont val="Arial"/>
        <family val="2"/>
        <charset val="1"/>
      </rPr>
      <t xml:space="preserve"> AS1 secured by own data; AS2 openly and deliberately AI-integrated, with critique the point of the task. This is the clearest expression in the programme of AI as a development tool.</t>
    </r>
  </si>
  <si>
    <r>
      <t>AfN (2025).</t>
    </r>
    <r>
      <rPr>
        <sz val="11"/>
        <color theme="1"/>
        <rFont val="Arial"/>
        <family val="2"/>
        <charset val="1"/>
      </rPr>
      <t xml:space="preserve"> CC2b (KH), CC2c (KH), CC2d (SH), CC2e (SH), CC2h (SH), CC2j (SH), CC5b (KH), CC5c (KH).</t>
    </r>
  </si>
  <si>
    <r>
      <t>Enhancement.</t>
    </r>
    <r>
      <rPr>
        <sz val="11"/>
        <color theme="1"/>
        <rFont val="Arial"/>
        <family val="2"/>
        <charset val="1"/>
      </rPr>
      <t xml:space="preserve"> Completes the biochemistry-to-molecular progression across L4 to L6 and consolidates laboratory competency. Graduate competency: Scientific Knowledge; Technical Skills; Understanding and Use of Research.</t>
    </r>
  </si>
  <si>
    <r>
      <t>Golden thread:</t>
    </r>
    <r>
      <rPr>
        <sz val="11"/>
        <color theme="1"/>
        <rFont val="Arial"/>
        <family val="2"/>
        <charset val="1"/>
      </rPr>
      <t xml:space="preserve"> </t>
    </r>
    <r>
      <rPr>
        <i/>
        <sz val="11"/>
        <color theme="1"/>
        <rFont val="Arial"/>
        <family val="2"/>
        <charset val="1"/>
      </rPr>
      <t>“From gene to plate to person: how precise can nutrition really be?”</t>
    </r>
    <r>
      <rPr>
        <sz val="11"/>
        <color theme="1"/>
        <rFont val="Arial"/>
        <family val="2"/>
        <charset val="1"/>
      </rPr>
      <t xml:space="preserve"> A running interrogation of the precision-nutrition promise threads the module: each mechanism is examined for what it genuinely supports and where the evidence and the commercial claims part company.</t>
    </r>
  </si>
  <si>
    <r>
      <t>(Evaluate)</t>
    </r>
    <r>
      <rPr>
        <sz val="11"/>
        <color theme="1"/>
        <rFont val="Arial"/>
        <family val="2"/>
        <charset val="1"/>
      </rPr>
      <t xml:space="preserve"> Critically evaluate the molecular mechanisms through which nutrients modulate exercise, adaptation, performance and health.</t>
    </r>
  </si>
  <si>
    <r>
      <rPr>
        <b/>
        <sz val="11"/>
        <color rgb="FF000000"/>
        <rFont val="Arial"/>
        <family val="2"/>
      </rPr>
      <t>(Analyse)</t>
    </r>
    <r>
      <rPr>
        <sz val="11"/>
        <color rgb="FF000000"/>
        <rFont val="Arial"/>
        <family val="2"/>
      </rPr>
      <t xml:space="preserve"> Analyse and interpret molecular nutrition data to develop evidence-based arguments and make scientifically informed judgements.</t>
    </r>
  </si>
  <si>
    <r>
      <rPr>
        <b/>
        <sz val="11"/>
        <color rgb="FF000000"/>
        <rFont val="Arial"/>
        <family val="2"/>
      </rPr>
      <t>(Evaluate)</t>
    </r>
    <r>
      <rPr>
        <sz val="11"/>
        <color rgb="FF000000"/>
        <rFont val="Arial"/>
        <family val="2"/>
      </rPr>
      <t xml:space="preserve"> Critically evaluate the application of nutrigenetics and nutrigenomics to precision nutrition in sport and exercise contexts.</t>
    </r>
  </si>
  <si>
    <t>Group presentation on biomechanical principles in weightlifting</t>
  </si>
  <si>
    <t>Research literacy</t>
  </si>
  <si>
    <t>Critical appraisal</t>
  </si>
  <si>
    <t>Critical thinking</t>
  </si>
  <si>
    <t>The precision-nutrition promise, and the thread</t>
  </si>
  <si>
    <t>Framing the interrogation</t>
  </si>
  <si>
    <t>Overview; the claim to test</t>
  </si>
  <si>
    <t>Molecular mechanisms of nutrient action</t>
  </si>
  <si>
    <t>How nutrients reach the gene</t>
  </si>
  <si>
    <t>Nutrient-mediated gene expression</t>
  </si>
  <si>
    <t>Turning genes up and down</t>
  </si>
  <si>
    <t>Lecture; transcriptional control</t>
  </si>
  <si>
    <t>Molecular actions of fatty acids and bioactives</t>
  </si>
  <si>
    <t>Specific molecular examples</t>
  </si>
  <si>
    <t>Laboratory techniques: ELISA, electrophoresis</t>
  </si>
  <si>
    <t>Generating the evidence</t>
  </si>
  <si>
    <t>Lab practical; logbook begins</t>
  </si>
  <si>
    <t>Genetic variation and interindividual response</t>
  </si>
  <si>
    <t>Why people differ</t>
  </si>
  <si>
    <r>
      <t>Formative checkpoint</t>
    </r>
    <r>
      <rPr>
        <sz val="11"/>
        <color theme="1"/>
        <rFont val="Arial"/>
        <family val="2"/>
        <charset val="1"/>
      </rPr>
      <t>: logbook review</t>
    </r>
  </si>
  <si>
    <t>SNPs in sport and exercise nutrition</t>
  </si>
  <si>
    <t>The genetics of performance</t>
  </si>
  <si>
    <t>Lecture; case examples</t>
  </si>
  <si>
    <t>Gene-level appetite and energy-balance regulation</t>
  </si>
  <si>
    <t>The genetic layer of intake</t>
  </si>
  <si>
    <t>Lecture; builds on L5</t>
  </si>
  <si>
    <t>Nutrigenetics, nutrigenomics and omics</t>
  </si>
  <si>
    <t>The precision toolkit</t>
  </si>
  <si>
    <t>Lecture; multi-omics</t>
  </si>
  <si>
    <t>Direct-to-consumer testing under scrutiny</t>
  </si>
  <si>
    <t>Where claims outrun evidence</t>
  </si>
  <si>
    <t>Critical-appraisal workshop</t>
  </si>
  <si>
    <t>AI-integrated molecular case study</t>
  </si>
  <si>
    <t>Testing the promise with, and on, AI</t>
  </si>
  <si>
    <t>AI-development session: generate, challenge, refine</t>
  </si>
  <si>
    <t>Synthesis and assessment preparation</t>
  </si>
  <si>
    <t>Verdict on the promise</t>
  </si>
  <si>
    <t>Lab-report and case surgery</t>
  </si>
  <si>
    <t>6004SPS</t>
  </si>
  <si>
    <t>To develop critical and professional judgement about supplement use in sport and to engage students with contemporary, unresolved issues, evaluating efficacy, mechanism, safety and regulation, and examining the practitioner’s anti-doping responsibilities.</t>
  </si>
  <si>
    <t>Sport Supplements and Contemporary Issues</t>
  </si>
  <si>
    <t>Evidence for ergogenic aids across strength, high-intensity, endurance and cognitive domains; molecular mechanisms of supplement action; supplement regulation, quality assurance, batch testing and contamination; regulation of nutrition and health claims for supplements; doping, inadvertent doping and anti-doping procedures; the practitioner’s role and liability; contemporary and unresolved issues; conflicts of interest, sponsorship and influencer activity.</t>
  </si>
  <si>
    <t xml:space="preserve">Neil Chester </t>
  </si>
  <si>
    <t>This module develops the critical and professional judgement needed to advise on supplement use in sport. You will evaluate the efficacy, mechanism, safety and regulation of ergogenic aids, examine anti-doping responsibilities and the risk of inadvertent doping, and engage with contemporary issues where the evidence has not yet settled. Throughout, you will work toward positions you can construct, justify and defend as an accountable practitioner.</t>
  </si>
  <si>
    <r>
      <t>Formative</t>
    </r>
    <r>
      <rPr>
        <sz val="11"/>
        <color theme="1"/>
        <rFont val="Arial"/>
        <family val="2"/>
        <charset val="1"/>
      </rPr>
      <t xml:space="preserve"> - structured debate on a contested supplement.</t>
    </r>
  </si>
  <si>
    <r>
      <t>AI design.</t>
    </r>
    <r>
      <rPr>
        <sz val="11"/>
        <color theme="1"/>
        <rFont val="Arial"/>
        <family val="2"/>
        <charset val="1"/>
      </rPr>
      <t xml:space="preserve"> The viva is the securing mechanism and mirrors the professional reality of defending advice verbally to athletes, coaches and medical staff.</t>
    </r>
  </si>
  <si>
    <r>
      <t>AI-development touchpoint:</t>
    </r>
    <r>
      <rPr>
        <sz val="11"/>
        <color theme="1"/>
        <rFont val="Arial"/>
        <family val="2"/>
        <charset val="1"/>
      </rPr>
      <t xml:space="preserve"> students may use AI to prepare the written statement provided they can defend every claim in the viva, which is itself a lesson in not over-trusting AI output.</t>
    </r>
  </si>
  <si>
    <r>
      <t>AfN (2025).</t>
    </r>
    <r>
      <rPr>
        <sz val="11"/>
        <color theme="1"/>
        <rFont val="Arial"/>
        <family val="2"/>
        <charset val="1"/>
      </rPr>
      <t xml:space="preserve"> CC1a (D), CC2h (SH), CC3e (SH), CC5b (SH), CC5c (KH). </t>
    </r>
    <r>
      <rPr>
        <i/>
        <sz val="11"/>
        <color theme="1"/>
        <rFont val="Arial"/>
        <family val="2"/>
        <charset val="1"/>
      </rPr>
      <t>CC3e lands here from Product Development, giving that competency a second home.</t>
    </r>
  </si>
  <si>
    <r>
      <t>Enhancement.</t>
    </r>
    <r>
      <rPr>
        <sz val="11"/>
        <color theme="1"/>
        <rFont val="Arial"/>
        <family val="2"/>
        <charset val="1"/>
      </rPr>
      <t xml:space="preserve"> Graduate competency: Problem Solving and Impact; Professional Relationships and Behaviours; Communication.</t>
    </r>
  </si>
  <si>
    <r>
      <t>(Evaluate)</t>
    </r>
    <r>
      <rPr>
        <sz val="11"/>
        <color theme="1"/>
        <rFont val="Arial"/>
        <family val="2"/>
        <charset val="1"/>
      </rPr>
      <t xml:space="preserve"> Critically evaluate the efficacy, mechanism and safety of ergogenic aids for specified exercise contexts.</t>
    </r>
  </si>
  <si>
    <r>
      <t>Golden thread:</t>
    </r>
    <r>
      <rPr>
        <sz val="11"/>
        <color theme="1"/>
        <rFont val="Arial"/>
        <family val="2"/>
        <charset val="1"/>
      </rPr>
      <t xml:space="preserve"> </t>
    </r>
    <r>
      <rPr>
        <i/>
        <sz val="11"/>
        <color theme="1"/>
        <rFont val="Arial"/>
        <family val="2"/>
        <charset val="1"/>
      </rPr>
      <t>“Would you put your name to this recommendation?”</t>
    </r>
    <r>
      <rPr>
        <sz val="11"/>
        <color theme="1"/>
        <rFont val="Arial"/>
        <family val="2"/>
        <charset val="1"/>
      </rPr>
      <t xml:space="preserve"> Every supplement and every contemporary issue is examined through the lens of professional accountability, so the module builds toward a position the student can defend rather than a set of facts they can recall.</t>
    </r>
  </si>
  <si>
    <r>
      <rPr>
        <b/>
        <sz val="11"/>
        <color rgb="FF000000"/>
        <rFont val="Arial"/>
        <family val="2"/>
      </rPr>
      <t>(Evaluate)</t>
    </r>
    <r>
      <rPr>
        <sz val="11"/>
        <color rgb="FF000000"/>
        <rFont val="Arial"/>
        <family val="2"/>
      </rPr>
      <t xml:space="preserve"> Critically analyse the risk of inadvertent doping and evaluate the practitioner’s professional and ethical responsibilities within anti-doping frameworks.</t>
    </r>
  </si>
  <si>
    <r>
      <rPr>
        <b/>
        <sz val="11"/>
        <color rgb="FF000000"/>
        <rFont val="Arial"/>
        <family val="2"/>
      </rPr>
      <t>(Create)</t>
    </r>
    <r>
      <rPr>
        <sz val="11"/>
        <color rgb="FF000000"/>
        <rFont val="Arial"/>
        <family val="2"/>
      </rPr>
      <t xml:space="preserve"> Construct and defend an evidence-based professional position on a contemporary issue where consensus is absent.</t>
    </r>
  </si>
  <si>
    <t>MLO1 and MLO2</t>
  </si>
  <si>
    <r>
      <t>Professional position statement with viva defence (50%). Secured (viva).</t>
    </r>
    <r>
      <rPr>
        <sz val="11"/>
        <color theme="1"/>
        <rFont val="Arial"/>
        <family val="2"/>
        <charset val="1"/>
      </rPr>
      <t xml:space="preserve"> Written statement on a contemporary issue, defended through structured questioning on the specific claims made. Tests MLO1 and MLO3 (Create). </t>
    </r>
    <r>
      <rPr>
        <i/>
        <sz val="11"/>
        <color theme="1"/>
        <rFont val="Arial"/>
        <family val="2"/>
        <charset val="1"/>
      </rPr>
      <t>Thread C destination: the appraise-and-defend skill first practised at L4 and evaluated at L5 now reaches full viva defence.</t>
    </r>
  </si>
  <si>
    <t>Research communication</t>
  </si>
  <si>
    <t>Accountability and the practitioner’s name</t>
  </si>
  <si>
    <t>Framing the thread</t>
  </si>
  <si>
    <t>Overview; the accountability test</t>
  </si>
  <si>
    <t>Evidence for ergogenic aids: strength and power</t>
  </si>
  <si>
    <t>Would I recommend this?</t>
  </si>
  <si>
    <t>Evidence-appraisal lecture</t>
  </si>
  <si>
    <t>Ergogenic aids: endurance and high-intensity</t>
  </si>
  <si>
    <t>Ergogenic aids: cognitive and emerging</t>
  </si>
  <si>
    <t>Molecular mechanisms of supplement action</t>
  </si>
  <si>
    <t>Why it works, if it works</t>
  </si>
  <si>
    <t>Lecture; mechanism</t>
  </si>
  <si>
    <t>Contested supplement debate</t>
  </si>
  <si>
    <r>
      <t>Formative checkpoint</t>
    </r>
    <r>
      <rPr>
        <sz val="11"/>
        <color theme="1"/>
        <rFont val="Arial"/>
        <family val="2"/>
        <charset val="1"/>
      </rPr>
      <t>: structured debate</t>
    </r>
  </si>
  <si>
    <t>Debate with peer challenge</t>
  </si>
  <si>
    <t>Supplement regulation and quality assurance</t>
  </si>
  <si>
    <t>Can I trust the product?</t>
  </si>
  <si>
    <t>Lecture; batch testing</t>
  </si>
  <si>
    <t>Claims regulation for supplements (CC3e)</t>
  </si>
  <si>
    <t>What I am allowed to claim</t>
  </si>
  <si>
    <t>Doping and inadvertent doping</t>
  </si>
  <si>
    <t>The gravest accountability</t>
  </si>
  <si>
    <t>Lecture; anti-doping procedures</t>
  </si>
  <si>
    <t>The practitioner’s role, liability, conflicts</t>
  </si>
  <si>
    <t>Whose interest do I serve?</t>
  </si>
  <si>
    <t>Case workshop; sponsorship</t>
  </si>
  <si>
    <t>Contemporary issues without consensus</t>
  </si>
  <si>
    <t>Taking a defensible position</t>
  </si>
  <si>
    <t>Position-building workshop</t>
  </si>
  <si>
    <t>Position statement and viva preparation</t>
  </si>
  <si>
    <t>Putting my name to it</t>
  </si>
  <si>
    <t>Viva rehearsal; exam prep</t>
  </si>
  <si>
    <t>6007SPS</t>
  </si>
  <si>
    <t>To examine critically the role of nutrition in supporting adaptation, recovery and long-term athlete health - recovery, immune function, injury, energy availability and the health consequences of sustained athletic demand - with authentic science communication to athlete populations.</t>
  </si>
  <si>
    <t>Sport Nutrition for Health, Adaptation and Recovery</t>
  </si>
  <si>
    <t>Nutritional support for training adaptation, nutrient timing and periodisation; recovery (glycogen resynthesis, protein for repair, rehydration, sleep); nutrition, immune function and illness risk; injury (nutritional support for healing, immobilisation, return to play); relative energy deficiency in sport (mechanisms, identification, management, referral); bone, endocrine and cardiovascular consequences of low energy availability; precision and personalised approaches to adaptation and recovery; long-term athlete health and duty of care; science communication.</t>
  </si>
  <si>
    <t>Liz Mahon</t>
  </si>
  <si>
    <t>This module looks beyond performance to the athlete who is also recovering, healing and staying well over the long term. You will critically examine nutrition for adaptation, recovery, immune function, injury and energy availability, and the health consequences of sustained athletic demand. Working with a real client group, you will produce evidence-based communication resources and reflect on what it means to support athlete health responsibly. Some content is sensitive and is delivered with appropriate care and signposting.</t>
  </si>
  <si>
    <r>
      <t>Formative</t>
    </r>
    <r>
      <rPr>
        <sz val="11"/>
        <color theme="1"/>
        <rFont val="Arial"/>
        <family val="2"/>
        <charset val="1"/>
      </rPr>
      <t xml:space="preserve"> - case-conference session presenting initial reasoning for challenge.</t>
    </r>
  </si>
  <si>
    <r>
      <t>AI design.</t>
    </r>
    <r>
      <rPr>
        <sz val="11"/>
        <color theme="1"/>
        <rFont val="Arial"/>
        <family val="2"/>
        <charset val="1"/>
      </rPr>
      <t xml:space="preserve"> The group project is the open AI-development item; the individual reflection is secured by being personal and experiential. The reflection also requires students to account for their own AI use, closing the Thread E loop.</t>
    </r>
  </si>
  <si>
    <r>
      <t>AfN (2025).</t>
    </r>
    <r>
      <rPr>
        <sz val="11"/>
        <color theme="1"/>
        <rFont val="Arial"/>
        <family val="2"/>
        <charset val="1"/>
      </rPr>
      <t xml:space="preserve"> CC2d (SH), CC2e (SH), CC5c (SH), CC5e (SH), CC1a (D).</t>
    </r>
  </si>
  <si>
    <r>
      <t>Enhancement.</t>
    </r>
    <r>
      <rPr>
        <sz val="11"/>
        <color theme="1"/>
        <rFont val="Arial"/>
        <family val="2"/>
        <charset val="1"/>
      </rPr>
      <t xml:space="preserve"> </t>
    </r>
    <r>
      <rPr>
        <b/>
        <sz val="11"/>
        <color theme="1"/>
        <rFont val="Arial"/>
        <family val="2"/>
        <charset val="1"/>
      </rPr>
      <t>Wellbeing:</t>
    </r>
    <r>
      <rPr>
        <sz val="11"/>
        <color theme="1"/>
        <rFont val="Arial"/>
        <family val="2"/>
        <charset val="1"/>
      </rPr>
      <t xml:space="preserve"> RED-S and low-energy-availability content requires careful framing and signposting, as in Lifespan. Graduate competency: Application of Knowledge and Skills; Professional Relationships and Behaviours; Communication.</t>
    </r>
  </si>
  <si>
    <r>
      <t>Golden thread:</t>
    </r>
    <r>
      <rPr>
        <sz val="11"/>
        <color theme="1"/>
        <rFont val="Arial"/>
        <family val="2"/>
        <charset val="1"/>
      </rPr>
      <t xml:space="preserve"> </t>
    </r>
    <r>
      <rPr>
        <i/>
        <sz val="11"/>
        <color theme="1"/>
        <rFont val="Arial"/>
        <family val="2"/>
        <charset val="1"/>
      </rPr>
      <t>“Supporting the athlete who is not only performing but recovering, healing and staying well.”</t>
    </r>
    <r>
      <rPr>
        <sz val="11"/>
        <color theme="1"/>
        <rFont val="Arial"/>
        <family val="2"/>
        <charset val="1"/>
      </rPr>
      <t xml:space="preserve"> The module follows the athlete beyond performance into adaptation, recovery and long-term health, culminating in real communication resources co-produced with the physio clinic.</t>
    </r>
  </si>
  <si>
    <r>
      <t>(Evaluate)</t>
    </r>
    <r>
      <rPr>
        <sz val="11"/>
        <color theme="1"/>
        <rFont val="Arial"/>
        <family val="2"/>
        <charset val="1"/>
      </rPr>
      <t xml:space="preserve"> Critically evaluate the mechanisms by which nutritional strategies support adaptation, recovery and immune function.</t>
    </r>
  </si>
  <si>
    <r>
      <rPr>
        <b/>
        <sz val="11"/>
        <color rgb="FF000000"/>
        <rFont val="Arial"/>
        <family val="2"/>
      </rPr>
      <t>Evaluate)</t>
    </r>
    <r>
      <rPr>
        <sz val="11"/>
        <color rgb="FF000000"/>
        <rFont val="Arial"/>
        <family val="2"/>
      </rPr>
      <t xml:space="preserve"> Critically appraise the evidence underpinning contemporary recovery and personalised nutrition practices, including their limitations.</t>
    </r>
  </si>
  <si>
    <r>
      <rPr>
        <b/>
        <sz val="11"/>
        <color rgb="FF000000"/>
        <rFont val="Arial"/>
        <family val="2"/>
      </rPr>
      <t>(Create)</t>
    </r>
    <r>
      <rPr>
        <sz val="11"/>
        <color rgb="FF000000"/>
        <rFont val="Arial"/>
        <family val="2"/>
      </rPr>
      <t xml:space="preserve"> Produce evidence-based science communication resources for a specified athlete or specialist audience.</t>
    </r>
  </si>
  <si>
    <r>
      <t>Science communication group project (50%). Open, AI-development.</t>
    </r>
    <r>
      <rPr>
        <sz val="11"/>
        <color theme="1"/>
        <rFont val="Arial"/>
        <family val="2"/>
        <charset val="1"/>
      </rPr>
      <t xml:space="preserve"> Working with the physio clinic for example, create resources supporting athlete rehabilitation. Tests MLO1 (Evaluate) and MLO3 (Create). </t>
    </r>
    <r>
      <rPr>
        <i/>
        <sz val="11"/>
        <color theme="1"/>
        <rFont val="Arial"/>
        <family val="2"/>
        <charset val="1"/>
      </rPr>
      <t>Thread D destination: authentic, real-client communication; AI permitted for resource drafting with the process documented.</t>
    </r>
  </si>
  <si>
    <t>Essay</t>
  </si>
  <si>
    <r>
      <t>Individual critical reflection on the group project (50%). Secured (personal).</t>
    </r>
    <r>
      <rPr>
        <sz val="11"/>
        <color theme="1"/>
        <rFont val="Arial"/>
        <family val="2"/>
        <charset val="1"/>
      </rPr>
      <t xml:space="preserve"> Evaluation of process, AI use, and critical appraisal of the chosen recovery strategies and communication tools. Tests MLO2 (Evaluate). </t>
    </r>
    <r>
      <rPr>
        <i/>
        <sz val="11"/>
        <color theme="1"/>
        <rFont val="Arial"/>
        <family val="2"/>
        <charset val="1"/>
      </rPr>
      <t>Anchored to the student’s own project experience, which AI cannot supply, and where accounting for AI use is part of the task.</t>
    </r>
  </si>
  <si>
    <t>Digital communication</t>
  </si>
  <si>
    <t>Beyond performance: the recovering athlete</t>
  </si>
  <si>
    <t xml:space="preserve">Lecture Overview (2hr); physio-clinic brief set (workshop 2hr) </t>
  </si>
  <si>
    <t>Nutritional support for training adaptation</t>
  </si>
  <si>
    <t>Adapting well</t>
  </si>
  <si>
    <t xml:space="preserve">Lecture (2hr); timing and periodisation 
Online (1 hr) </t>
  </si>
  <si>
    <t>Recovery: glycogen, protein, rehydration, sleep</t>
  </si>
  <si>
    <t>Recovering well</t>
  </si>
  <si>
    <t xml:space="preserve">Lecture (2hr); applied 
+ 
Science communication workshop (2hr) </t>
  </si>
  <si>
    <t>Nutrition, immune function and illness risk</t>
  </si>
  <si>
    <t>Staying well</t>
  </si>
  <si>
    <t xml:space="preserve">Lecture (2 hr) 
Online (1 hr) </t>
  </si>
  <si>
    <t>Injury: healing, immobilisation, return to play</t>
  </si>
  <si>
    <t>Healing well</t>
  </si>
  <si>
    <t xml:space="preserve">Lecture (2hr); applied cases (workshop 2hr) </t>
  </si>
  <si>
    <t>Case conference</t>
  </si>
  <si>
    <r>
      <t>Formative checkpoint</t>
    </r>
    <r>
      <rPr>
        <sz val="11"/>
        <color theme="1"/>
        <rFont val="Arial"/>
        <family val="2"/>
        <charset val="1"/>
      </rPr>
      <t>: reasoning presented for challenge</t>
    </r>
  </si>
  <si>
    <t>Case-conference session</t>
  </si>
  <si>
    <r>
      <t xml:space="preserve">RED-S: mechanisms and identification </t>
    </r>
    <r>
      <rPr>
        <i/>
        <sz val="11"/>
        <color theme="1"/>
        <rFont val="Arial"/>
        <family val="2"/>
        <charset val="1"/>
      </rPr>
      <t>(wellbeing-sensitive)</t>
    </r>
  </si>
  <si>
    <t>When health is at risk</t>
  </si>
  <si>
    <t xml:space="preserve">Lecture; signposting built in (2hr) 
+ 
Science communication workshop (2hr) </t>
  </si>
  <si>
    <r>
      <t xml:space="preserve">Consequences of low energy availability </t>
    </r>
    <r>
      <rPr>
        <i/>
        <sz val="11"/>
        <color theme="1"/>
        <rFont val="Arial"/>
        <family val="2"/>
        <charset val="1"/>
      </rPr>
      <t>(wellbeing-sensitive)</t>
    </r>
  </si>
  <si>
    <t>The long-term cost</t>
  </si>
  <si>
    <t xml:space="preserve">Lecture (2hr); bone, endocrine, cardiovascular 
Online (1hr) </t>
  </si>
  <si>
    <t>Precision approaches to recovery</t>
  </si>
  <si>
    <t>Personalising recovery</t>
  </si>
  <si>
    <t xml:space="preserve">Lecture; (2hr) 
+  
Working with athletes workshop (2hr) </t>
  </si>
  <si>
    <t>Long-term athlete health and duty of care</t>
  </si>
  <si>
    <t>The practitioner’s responsibility</t>
  </si>
  <si>
    <t xml:space="preserve">Lecture; referral (2hr) 
Online (1 hr) </t>
  </si>
  <si>
    <t>Co-producing communication resources with AI</t>
  </si>
  <si>
    <t>Speaking to the athlete</t>
  </si>
  <si>
    <t xml:space="preserve">AI-development session: resource drafting with physio clinic (workshop 4hr) </t>
  </si>
  <si>
    <t>Project synthesis and reflection preparation</t>
  </si>
  <si>
    <t xml:space="preserve">Group-project surgery; reflection prep 
(workshop 4hr) </t>
  </si>
  <si>
    <t>6008SPS</t>
  </si>
  <si>
    <t xml:space="preserve">Capstone Placement Project </t>
  </si>
  <si>
    <t>Wendy Johnston</t>
  </si>
  <si>
    <t>Equipment and technology utilisation</t>
  </si>
  <si>
    <t>6006SPS</t>
  </si>
  <si>
    <t xml:space="preserve">Applied Placement </t>
  </si>
  <si>
    <t xml:space="preserve">Wendy Johnston </t>
  </si>
  <si>
    <t>Introduction to biomechanics</t>
  </si>
  <si>
    <t>Linear kinematics</t>
  </si>
  <si>
    <t>2D motion analysis practical</t>
  </si>
  <si>
    <t>Angular kinematics</t>
  </si>
  <si>
    <t>Forces and Newton’s laws</t>
  </si>
  <si>
    <t>Force platform practical</t>
  </si>
  <si>
    <t>Work, energy, and power</t>
  </si>
  <si>
    <t>Momentum and impulse</t>
  </si>
  <si>
    <t>Fluid mechanics</t>
  </si>
  <si>
    <t>Tissue mechanics</t>
  </si>
  <si>
    <t>Biomechanical modelling</t>
  </si>
  <si>
    <t>Measurement techniques</t>
  </si>
  <si>
    <t xml:space="preserve">Markerless practical </t>
  </si>
  <si>
    <t>Data analysis</t>
  </si>
  <si>
    <t>Revision / assessment preparation</t>
  </si>
  <si>
    <t>Table 1</t>
  </si>
  <si>
    <t>Table 3</t>
  </si>
  <si>
    <t>Table 5</t>
  </si>
  <si>
    <t>Management of self and others</t>
  </si>
  <si>
    <t>Understanding the delivery environment</t>
  </si>
  <si>
    <t>Viva</t>
  </si>
  <si>
    <t>Professional relationships and behaviours</t>
  </si>
  <si>
    <t>Dissertation</t>
  </si>
  <si>
    <t>Research Strand</t>
  </si>
  <si>
    <t>Research Project</t>
  </si>
  <si>
    <t>Category</t>
  </si>
  <si>
    <t>Skill</t>
  </si>
  <si>
    <t>Placement</t>
  </si>
  <si>
    <t>Scientific Knowledge</t>
  </si>
  <si>
    <t>Category text shown to user</t>
  </si>
  <si>
    <t>Defined Name</t>
  </si>
  <si>
    <t>Option module</t>
  </si>
  <si>
    <t>ScientificKnowledge</t>
  </si>
  <si>
    <t>Data Analysis</t>
  </si>
  <si>
    <t>TechnicalSkills</t>
  </si>
  <si>
    <t>Video</t>
  </si>
  <si>
    <t>ApplicationofKnowledge</t>
  </si>
  <si>
    <t>Infographic</t>
  </si>
  <si>
    <t>Domain-specific analytical skills</t>
  </si>
  <si>
    <t>UnderstandingResearch</t>
  </si>
  <si>
    <t>Reflection</t>
  </si>
  <si>
    <t>Evidence evaluation</t>
  </si>
  <si>
    <t>SelfEvaluation</t>
  </si>
  <si>
    <t>Football Science</t>
  </si>
  <si>
    <t>Journal</t>
  </si>
  <si>
    <t>Laboratory/clinical techniques</t>
  </si>
  <si>
    <t>Physical Education</t>
  </si>
  <si>
    <t>MCQ Online Test</t>
  </si>
  <si>
    <t>Data collection</t>
  </si>
  <si>
    <t>ProblemSolving</t>
  </si>
  <si>
    <t>Sport and Exercise Science</t>
  </si>
  <si>
    <t>Technical Skills</t>
  </si>
  <si>
    <t>MgmtSelf</t>
  </si>
  <si>
    <t>Sport Coaching</t>
  </si>
  <si>
    <t>DeliveryEnvironment</t>
  </si>
  <si>
    <t>ProfRelationships</t>
  </si>
  <si>
    <t>Sport Psychology</t>
  </si>
  <si>
    <t>Technical proficiency</t>
  </si>
  <si>
    <t>All Programmes</t>
  </si>
  <si>
    <t>SES and FS</t>
  </si>
  <si>
    <t>SES, SC, PE</t>
  </si>
  <si>
    <t>SES and SN</t>
  </si>
  <si>
    <t>SC and PE</t>
  </si>
  <si>
    <t>Adaptability</t>
  </si>
  <si>
    <t>Application of Knowledge &amp; Skills</t>
  </si>
  <si>
    <t>Other combination</t>
  </si>
  <si>
    <t>Risk assessment</t>
  </si>
  <si>
    <t>Literature searching</t>
  </si>
  <si>
    <t>Data interpretation</t>
  </si>
  <si>
    <t>Lifelong learning</t>
  </si>
  <si>
    <t>Personal development planning</t>
  </si>
  <si>
    <t>Resilience</t>
  </si>
  <si>
    <t>Accountability</t>
  </si>
  <si>
    <t>Creative thinking</t>
  </si>
  <si>
    <t>Innovation</t>
  </si>
  <si>
    <t>Evaluation of outcomes</t>
  </si>
  <si>
    <t>Leadership</t>
  </si>
  <si>
    <t>Coaching and mentoring</t>
  </si>
  <si>
    <t>Time management</t>
  </si>
  <si>
    <t>Organisation</t>
  </si>
  <si>
    <t>Delegation</t>
  </si>
  <si>
    <t>Conflict resolution</t>
  </si>
  <si>
    <t>Empathy</t>
  </si>
  <si>
    <t>Multi-tasking</t>
  </si>
  <si>
    <t>Resource management</t>
  </si>
  <si>
    <t>Organisational awareness</t>
  </si>
  <si>
    <t>Policy interpretation</t>
  </si>
  <si>
    <t>Stakeholder awareness</t>
  </si>
  <si>
    <t>Service delivery</t>
  </si>
  <si>
    <t>Professional awareness</t>
  </si>
  <si>
    <t>Teamwork</t>
  </si>
  <si>
    <t>Collaboration/multi-disciplinary working</t>
  </si>
  <si>
    <t>Ethical practice</t>
  </si>
  <si>
    <t>Professionalism</t>
  </si>
  <si>
    <t>Cultural awareness and competence</t>
  </si>
  <si>
    <t>Integrity</t>
  </si>
  <si>
    <t>Respect</t>
  </si>
  <si>
    <t>Professional relationships &amp; behaviours</t>
  </si>
  <si>
    <t>SourceWorkbook</t>
  </si>
  <si>
    <t>TableName</t>
  </si>
  <si>
    <t>ModuleCode</t>
  </si>
  <si>
    <t>ItemSuffix</t>
  </si>
  <si>
    <t>Programme</t>
  </si>
  <si>
    <t>ProgCode</t>
  </si>
  <si>
    <t>ModuleTitle</t>
  </si>
  <si>
    <t>Sport and Exercise Science - AllModuleProformas.xlsx</t>
  </si>
  <si>
    <t>4091SPS_Meta</t>
  </si>
  <si>
    <t>4091SPS</t>
  </si>
  <si>
    <t>Meta</t>
  </si>
  <si>
    <t>NUTR</t>
  </si>
  <si>
    <t>Research Methods 1</t>
  </si>
  <si>
    <t>Theodoors Bampouras</t>
  </si>
  <si>
    <t>4092SPS_Meta</t>
  </si>
  <si>
    <t>4092SPS</t>
  </si>
  <si>
    <t>Exercise Phys L4</t>
  </si>
  <si>
    <t>xxx</t>
  </si>
  <si>
    <t>Gemma Miller (TBC)</t>
  </si>
  <si>
    <t>5091SPS_Meta</t>
  </si>
  <si>
    <t>5091SPS</t>
  </si>
  <si>
    <t>Research Methods 2</t>
  </si>
  <si>
    <t>Jonathan Foulkes</t>
  </si>
  <si>
    <t>5092SPS_Meta</t>
  </si>
  <si>
    <t>5092SPS</t>
  </si>
  <si>
    <t>Physiological adaptations to exercise</t>
  </si>
  <si>
    <t>Pascale Kippelen</t>
  </si>
  <si>
    <t>6091SPS_Meta</t>
  </si>
  <si>
    <t>6091SPS</t>
  </si>
  <si>
    <t>Major Project</t>
  </si>
  <si>
    <t>Dave Low</t>
  </si>
  <si>
    <t>4091SPS_LO</t>
  </si>
  <si>
    <t>Identify characteristics of different research designs</t>
  </si>
  <si>
    <t>LO</t>
  </si>
  <si>
    <t>Apply, interpret and report quantitative and qualitative techniques</t>
  </si>
  <si>
    <t>4092SPS_LO</t>
  </si>
  <si>
    <t>Describe the basic structure and function of key physiological systems and metabolic processes.</t>
  </si>
  <si>
    <t>Describe and explain how key physiological systems and metabolic processes respond to acute exercise.</t>
  </si>
  <si>
    <t>Collect, present and interpret physiological data using appropriate scientific methods and conventions.</t>
  </si>
  <si>
    <t>5091SPS_LO</t>
  </si>
  <si>
    <t>Deploy accurately established techniques of analysis and enquiry within a discipline</t>
  </si>
  <si>
    <t>Describe and comment upon aspects of current research, or equivalent advanced scholarship, in the discipline</t>
  </si>
  <si>
    <t>Manage their own learning, and to make use of scholarly reviews and primary sources (for example, refereed research articles and/or original materials appropriate to the discipline).</t>
  </si>
  <si>
    <t>5092SPS_LO</t>
  </si>
  <si>
    <t>Analyse and critically evaluate the physiological effects of sport and exercise interventions in diverse populations.</t>
  </si>
  <si>
    <t>Critically assess the impact of environmental factors, nutritional interventions, and disease states on physiological responses and adaptations to exercise training,</t>
  </si>
  <si>
    <t>6091SPS_LO</t>
  </si>
  <si>
    <t>Apply skills and competencies to conduct research in an area relevant to their programme of study</t>
  </si>
  <si>
    <t>Critically appraise the research in a written format as specified by the major project guidelines</t>
  </si>
  <si>
    <t>Present and defend the progress and summary of the project and its findings in a scientific manner</t>
  </si>
  <si>
    <t>4091SPS_Assess</t>
  </si>
  <si>
    <t>Online test with multiple-choice, fill in the gap or true/false questions. The questions are based around the content of the first 4 weeks. Practice questions will be available on Canvas.</t>
  </si>
  <si>
    <t>Assess</t>
  </si>
  <si>
    <t>Online exam with multiple-choice, fill in the gap or true/false questions. The questions are based around the remaining content (after 4 weeks) of the module. Practice questions will be available on Canvas.</t>
  </si>
  <si>
    <t>Assessment period</t>
  </si>
  <si>
    <t>4092SPS_Assess</t>
  </si>
  <si>
    <t>Lab Report Portfolio: Lab Report 1 Submission + Peer Review Activity + Reflection + Lab Report 2 Submission</t>
  </si>
  <si>
    <t xml:space="preserve">In person Online MCQ Exam </t>
  </si>
  <si>
    <t>5091SPS_Assess</t>
  </si>
  <si>
    <t>Group presentation demonstrating analysis of mixed-methods data</t>
  </si>
  <si>
    <t>Research Proposal outlining a feasible study to undertake at L6</t>
  </si>
  <si>
    <t>5092SPS_Assess</t>
  </si>
  <si>
    <t>Using the experimental data provided and an AI-generated draft report, students will produce a scientific laboratory report that analyses and evaluates the physiological effects of exercise training</t>
  </si>
  <si>
    <t>Pro/con debate: working in groups, students will research, prepare, and participate in a structured debate on a controversial topic related to sport and exercise physiology</t>
  </si>
  <si>
    <t>Assessment week</t>
  </si>
  <si>
    <t>6091SPS_Assess</t>
  </si>
  <si>
    <t>Students are required to submit a thesis that describes and reports the major project that they conducted using the scientific method, e.g., Introduction, Methods, Results and Discussion. This could be in the format of an Empirical type project or a Systeamtic Review type project.</t>
  </si>
  <si>
    <t xml:space="preserve">Students are required to manage their own project throughout the year and produce, present and defend their major project </t>
  </si>
  <si>
    <t>4091SPS_Hours</t>
  </si>
  <si>
    <t>Hours</t>
  </si>
  <si>
    <t>4092SPS_Hours</t>
  </si>
  <si>
    <t>5091SPS_Hours</t>
  </si>
  <si>
    <t>5092SPS_Hours</t>
  </si>
  <si>
    <t>6091SPS_Hours</t>
  </si>
  <si>
    <t>4091SPS_Mapping</t>
  </si>
  <si>
    <t>Mapping</t>
  </si>
  <si>
    <t>4092SPS_Mapping</t>
  </si>
  <si>
    <t>5091SPS_Mapping</t>
  </si>
  <si>
    <t>5092SPS_Mapping</t>
  </si>
  <si>
    <t>6091SPS_Mapping</t>
  </si>
  <si>
    <t>Modules Covering</t>
  </si>
  <si>
    <t>Module Count</t>
  </si>
  <si>
    <t>Covered</t>
  </si>
  <si>
    <t>Research Methods 1; Exercise Phys L4; Research Methods 2; Physiological adaptations to exercise; Major Project</t>
  </si>
  <si>
    <t>Domian-specfic analytical skills</t>
  </si>
  <si>
    <t>Exercise Phys L4; Major Project</t>
  </si>
  <si>
    <t>Reserch literacy</t>
  </si>
  <si>
    <t>Evidne-based practice</t>
  </si>
  <si>
    <t>Interpesronal communication</t>
  </si>
  <si>
    <t>Physiological adaptations to exercise; Major Project</t>
  </si>
  <si>
    <t>Total Contact Hours</t>
  </si>
  <si>
    <t>Hours per Credit</t>
  </si>
  <si>
    <t>Sport Nutrition - AllModuleProformas.xlsx</t>
  </si>
  <si>
    <t>_4001SPS_Hours</t>
  </si>
  <si>
    <t>_4003SPS_Hours</t>
  </si>
  <si>
    <t>_4004SPS_Hours</t>
  </si>
  <si>
    <t>_4006SPS_Hours</t>
  </si>
  <si>
    <t>_5001SPS_Hours</t>
  </si>
  <si>
    <t>_5014SPS_Hours</t>
  </si>
  <si>
    <t>_5015SPS_Hours</t>
  </si>
  <si>
    <t>_5005SPS_Hours</t>
  </si>
  <si>
    <t>_6003SPS_Hours</t>
  </si>
  <si>
    <t>_6004SPS_Hours</t>
  </si>
  <si>
    <t>_6007SPS_Hours</t>
  </si>
  <si>
    <t>_6008SPS_Hours</t>
  </si>
  <si>
    <t>Capstone Placment Project</t>
  </si>
  <si>
    <t>_6006SPS_Hours</t>
  </si>
  <si>
    <t>Applied Placement  (currently 6006SPS)</t>
  </si>
  <si>
    <t>_4001SPS_Mapping</t>
  </si>
  <si>
    <t>_4003SPS_Mapping</t>
  </si>
  <si>
    <t>_4004SPS_Mapping</t>
  </si>
  <si>
    <t>_4006SPS_Mapping</t>
  </si>
  <si>
    <t>_5001SPS_Mapping</t>
  </si>
  <si>
    <t>_5014SPS_Mapping</t>
  </si>
  <si>
    <t>_5015SPS_Mapping</t>
  </si>
  <si>
    <t>_5005SPS_Mapping</t>
  </si>
  <si>
    <t>_6003SPS_Mapping</t>
  </si>
  <si>
    <t>_6004SPS_Mapping</t>
  </si>
  <si>
    <t>_6007SPS_Mapping</t>
  </si>
  <si>
    <t>_6008SPS_Mapping</t>
  </si>
  <si>
    <t>_6006SPS_Mapping</t>
  </si>
  <si>
    <t>_4001SPS_Meta</t>
  </si>
  <si>
    <t>_4003SPS_Meta</t>
  </si>
  <si>
    <t>_4004SPS_Meta</t>
  </si>
  <si>
    <t>_4006SPS_Meta</t>
  </si>
  <si>
    <t>_5001SPS_Meta</t>
  </si>
  <si>
    <t>_5014SPS_Meta</t>
  </si>
  <si>
    <t>_5015SPS_Meta</t>
  </si>
  <si>
    <t>_5005SPS_Meta</t>
  </si>
  <si>
    <t>_6003SPS_Meta</t>
  </si>
  <si>
    <t>_6004SPS_Meta</t>
  </si>
  <si>
    <t>_6007SPS_Meta</t>
  </si>
  <si>
    <t>_6008SPS_Meta</t>
  </si>
  <si>
    <t>_6006SPS_Meta</t>
  </si>
  <si>
    <t>_4001SPS_Assess</t>
  </si>
  <si>
    <t>Assessment data collected in-session, with justification and interpretation. Tests MLO1 (Apply) and MLO2 (Understand). Thread A and B origin: this is where the consultation and measurement formats are first practised.</t>
  </si>
  <si>
    <t>_4003SPS_Assess</t>
  </si>
  <si>
    <t>Partially secured. A short in-session dietary-history role-play (Thread A, foundational) generates the case; students then analyse the described pattern against DRVs and identify likely inadequacies. Tests MLO1 (Understand) and MLO2 (Apply).</t>
  </si>
  <si>
    <t>_4004SPS_Assess</t>
  </si>
  <si>
    <t>Two practice and training labs across the module, then one final in-person lab exam comprising a completed handwritten proforma and submission of the handwritten lab book. Tests MLO1 (Understand) and MLO3 (Analyse). Thread B origin: this is where lab competency and data interpretation are first assessed under secure conditions, maturing at L5 Exercise Biochemistry and L6 Molecular.</t>
  </si>
  <si>
    <t>_4006SPS_Assess</t>
  </si>
  <si>
    <t>Position Stand report, 2,500 words (50%). Open, AI-development. Tests MLO3 (Analyse). Supported by a short AI evidence-search appendix: students run an AI-generated evidence search and a structured database search on the same topic, record what AI returned that the database did not and what it missed, misattributed or fabricated, and state which sources were carried into the position stand and why. This adds no new summative item and anchors the report in a process the student performed.</t>
  </si>
  <si>
    <t>_5001SPS_Assess</t>
  </si>
  <si>
    <t>Live consultation with case report (50%). Secured (live). Consultation conducted in-session with a briefed client presenting psychosocial complexity; the report must reference decisions taken in that session. Tests MLO1 (Create) and MLO2 (Apply). Thread A matures here: the format practised at L4 now carries complexity and higher weight.</t>
  </si>
  <si>
    <t>_5014SPS_Assess</t>
  </si>
  <si>
    <t>Product development brief and pitch (50%). Secured (live defence). Live brief with industry input; pitch defended through Q and A. Tests MLO3 (Create) and MLO1 (Analyse) where formulation engages the supply chain. Thread D and the create-and-defend format; the live Q and A secures it.</t>
  </si>
  <si>
    <t>Food systems critical analysis (50%). Open, AI-development. Tests MLO1 (Analyse) and MLO2 (Evaluate). A synthesis task where AI genuinely helps; students submit an annotated AI-assisted draft or a prompt-and-refine record so their judgement is visible.</t>
  </si>
  <si>
    <t>_5015SPS_Assess</t>
  </si>
  <si>
    <t>Laboratory report on a nutrient-exercise dataset (50%). Secured (own data). Tests MLO1 (Understand) and MLO2 (Analyse). Thread B matures: more complex data than L4, less than L6 Molecular.</t>
  </si>
  <si>
    <t>Client explanation of biochemical rationale (rung 3) (50%). Secured (live). A face-to-face explanation to a client (role-play, building toward the health-scenario “dummies” idea) of why, biochemically, certain recommendations follow. Tests MLO3 (Apply).</t>
  </si>
  <si>
    <t>_5005SPS_Assess</t>
  </si>
  <si>
    <t>Life-stage role-play consultation (50%). Secured (live). A briefed client at a specified life stage (Thread A, specialist-population outing). Tests MLO3 (Apply).</t>
  </si>
  <si>
    <t>Life course case analysis (50%). Open, AI-development. Following the role-play, a named individual with defined social, cultural and economic circumstances. Tests MLO1 (Evaluate) and MLO2 (Analyse). AI permitted for drafting public-facing elements, with annotation.</t>
  </si>
  <si>
    <t>_6003SPS_Assess</t>
  </si>
  <si>
    <t>_6004SPS_Assess</t>
  </si>
  <si>
    <t>Professional position statement with viva defence (50%). Secured (viva). Written statement on a contemporary issue, defended through structured questioning on the specific claims made. Tests MLO1 and MLO3 (Create). Thread C destination: the appraise-and-defend skill first practised at L4 and evaluated at L5 now reaches full viva defence.</t>
  </si>
  <si>
    <t>_6007SPS_Assess</t>
  </si>
  <si>
    <t>Science communication group project (50%). Open, AI-development. Working with the physio clinic for example, create resources supporting athlete rehabilitation. Tests MLO1 (Evaluate) and MLO3 (Create). Thread D destination: authentic, real-client communication; AI permitted for resource drafting with the process documented.</t>
  </si>
  <si>
    <t>Individual critical reflection on the group project (50%). Secured (personal). Evaluation of process, AI use, and critical appraisal of the chosen recovery strategies and communication tools. Tests MLO2 (Evaluate). Anchored to the student’s own project experience, which AI cannot supply, and where accounting for AI use is part of the task.</t>
  </si>
  <si>
    <t>_6006SPS_Assess</t>
  </si>
  <si>
    <t>_4001SPS_LO</t>
  </si>
  <si>
    <t>(Apply) Select and demonstrate appropriate methods to assess energy intake, energy expenditure and body composition, justifying the method chosen for a given purpose.</t>
  </si>
  <si>
    <t>(Understand) Explain the professional, ethical and legal expectations placed on a nutrition practitioner, including scope of practice and equality, diversity, equity and inclusion.</t>
  </si>
  <si>
    <t>(Understand) Reflect on their own developing professional practice and identify areas for development.</t>
  </si>
  <si>
    <t>_4003SPS_LO</t>
  </si>
  <si>
    <t>(Understand) Describe the functions, food sources and metabolic roles of the major and minor nutrients and the consequences of inappropriate intakes.</t>
  </si>
  <si>
    <t>(Apply) Apply Dietary Reference Values to evaluate the adequacy of a described diet and explain how those values are derived.</t>
  </si>
  <si>
    <t>(Understand) Explain the chemical properties of nutrients and food components that determine their nutritional behaviour.</t>
  </si>
  <si>
    <t>_4004SPS_LO</t>
  </si>
  <si>
    <t>Understand) Explain the principal biochemical pathways and how they are integrated and regulated in the fed and fasted states.</t>
  </si>
  <si>
    <t>(Understand) Describe how metabolic pathways contribute to health and performance.</t>
  </si>
  <si>
    <t>Analyse) Analyse and interpret biochemical and metabolic data to draw supported conclusions.</t>
  </si>
  <si>
    <t>_4006SPS_LO</t>
  </si>
  <si>
    <t>(Understand) Explain how energy availability, macronutrient and micronutrient status and hydration influence exercise performance.</t>
  </si>
  <si>
    <t>(Apply) Apply current position stands and consensus statements to produce evidence-based nutritional recommendations for a specified sport and context.</t>
  </si>
  <si>
    <t>(Analyse) Examine the strengths and limitations of the evidence underpinning a given nutritional recommendation.</t>
  </si>
  <si>
    <t>_5001SPS_LO</t>
  </si>
  <si>
    <t>(Create) Design an evidence-based nutritional intervention appropriate to a client’s circumstances, values and context, following a needs analysis.</t>
  </si>
  <si>
    <t>(Apply) Communicate nutritional information appropriately to a specified audience, adapting method and message.</t>
  </si>
  <si>
    <t>(Evaluate) Critically appraise their own professional practice against recognised professional standards.</t>
  </si>
  <si>
    <t>_5014SPS_LO</t>
  </si>
  <si>
    <t>(Analyse) Analyse how food supply chains and methods of production and processing affect the nutritional quality and sustainability of food.</t>
  </si>
  <si>
    <t>(Evaluate) Critically evaluate the environmental, ethical and societal challenges of sustainable food production with reference to recognised frameworks.</t>
  </si>
  <si>
    <t>(Create) Develop and justify a sport nutrition product concept, evidencing formulation decisions and compliance with claims regulation.</t>
  </si>
  <si>
    <t>_5015SPS_LO</t>
  </si>
  <si>
    <t>(Understand) Explain the molecular and physiological mechanisms through which nutrient availability, exercise and appetite regulation interact to control metabolic and adaptive responses.</t>
  </si>
  <si>
    <t>(Analyse) Analyse and interpret molecular and biochemical data to draw supported conclusions about nutritional and training interventions.</t>
  </si>
  <si>
    <t>(Apply) Communicate applied exercise and nutrition evidence for performance and health outcomes to a specified audience.</t>
  </si>
  <si>
    <t>_5005SPS_LO</t>
  </si>
  <si>
    <t>(Evaluate) Critically evaluate how nutritional requirements and dietary patterns change across the life course and the psychological, social and environmental factors that shape them.</t>
  </si>
  <si>
    <t>(Analyse) Analyse the psychosocial and environmental determinants of eating behaviour and their implications for practice with individuals and population groups.</t>
  </si>
  <si>
    <t>(Apply) Conduct a life-stage-appropriate consultation, adapting communication and dietary advice to the individual’s circumstances.</t>
  </si>
  <si>
    <t>_6003SPS_LO</t>
  </si>
  <si>
    <t>(Evaluate) Critically evaluate the molecular mechanisms through which nutrients modulate exercise, adaptation, performance and health.</t>
  </si>
  <si>
    <t>(Analyse) Analyse and interpret molecular nutrition data to develop evidence-based arguments and make scientifically informed judgements.</t>
  </si>
  <si>
    <t>(Evaluate) Critically evaluate the application of nutrigenetics and nutrigenomics to precision nutrition in sport and exercise contexts.</t>
  </si>
  <si>
    <t>_6004SPS_LO</t>
  </si>
  <si>
    <t>(Evaluate) Critically evaluate the efficacy, mechanism and safety of ergogenic aids for specified exercise contexts.</t>
  </si>
  <si>
    <t>(Evaluate) Critically analyse the risk of inadvertent doping and evaluate the practitioner’s professional and ethical responsibilities within anti-doping frameworks.</t>
  </si>
  <si>
    <t>(Create) Construct and defend an evidence-based professional position on a contemporary issue where consensus is absent.</t>
  </si>
  <si>
    <t>_6007SPS_LO</t>
  </si>
  <si>
    <t>(Evaluate) Critically evaluate the mechanisms by which nutritional strategies support adaptation, recovery and immune function.</t>
  </si>
  <si>
    <t>Evaluate) Critically appraise the evidence underpinning contemporary recovery and personalised nutrition practices, including their limitations.</t>
  </si>
  <si>
    <t>(Create) Produce evidence-based science communication resources for a specified athlete or specialist audience.</t>
  </si>
  <si>
    <t>Exercise Phys L4; Physiological adaptations to exercise; Major Project; Molecular Nutrition and Genetics</t>
  </si>
  <si>
    <t>Research Methods 1; Research Methods 2; Principles of Human Nutrition; Nutritional Biochemistry and Metabolism; Performance Nutrition; Capstone Placment Project; Applied Placement  (currently 6006SPS)</t>
  </si>
  <si>
    <t>Research Methods 1; Exercise Phys L4; Research Methods 2; Physiological adaptations to exercise; Major Project; Nutritional Biochemistry and Metabolism; Performance Nutrition; Professional Practice 2 in Sport Nutrition; Product Development for Sport Nutrition; Exercise Biochemistry; Lifespan Nutrition and Eating Behaviour; Molecular Nutrition and Genetics; Sport Supplements and Contemporary Issues; Sport Nutrition for Health, Adaptation and Recovery; Capstone Placment Project; Applied Placement  (currently 6006SPS)</t>
  </si>
  <si>
    <t>Research Methods 1; Research Methods 2; Capstone Placment Project; Applied Placement  (currently 6006SPS)</t>
  </si>
  <si>
    <t>Major Project; Nutritional Biochemistry and Metabolism; Product Development for Sport Nutrition; Exercise Biochemistry; Molecular Nutrition and Genetics; Sport Supplements and Contemporary Issues</t>
  </si>
  <si>
    <t>Research Methods 1; Product Development for Sport Nutrition; Sport Supplements and Contemporary Issues</t>
  </si>
  <si>
    <t>Research Methods 1; Exercise Phys L4; Professional Practice 1 in Sport Nutrition; Professional Practice 2 in Sport Nutrition; Sport Nutrition for Health, Adaptation and Recovery</t>
  </si>
  <si>
    <t>Exercise Phys L4; Professional Practice 2 in Sport Nutrition</t>
  </si>
  <si>
    <t>Exercise Phys L4; Major Project; Exercise Biochemistry</t>
  </si>
  <si>
    <t>Research Methods 2; Nutritional Biochemistry and Metabolism; Capstone Placment Project; Applied Placement  (currently 6006SPS)</t>
  </si>
  <si>
    <t>Research Methods 2; Physiological adaptations to exercise; Major Project; Principles of Human Nutrition; Nutritional Biochemistry and Metabolism; Product Development for Sport Nutrition; Sport Supplements and Contemporary Issues; Capstone Placment Project; Applied Placement  (currently 6006SPS)</t>
  </si>
  <si>
    <t>Professional Practice 1 in Sport Nutrition; Principles of Human Nutrition; Professional Practice 2 in Sport Nutrition; Lifespan Nutrition and Eating Behaviour; Sport Nutrition for Health, Adaptation and Recovery</t>
  </si>
  <si>
    <t>Research Methods 2; Physiological adaptations to exercise; Major Project; Exercise Biochemistry; Molecular Nutrition and Genetics</t>
  </si>
  <si>
    <t>Physiological adaptations to exercise; Lifespan Nutrition and Eating Behaviour</t>
  </si>
  <si>
    <t>Physiological adaptations to exercise; Molecular Nutrition and Genetics</t>
  </si>
  <si>
    <t>Professional Practice 2 in Sport Nutrition; Lifespan Nutrition and Eating Behaviour</t>
  </si>
  <si>
    <t>Lifespan Nutrition and Eating Behaviour; Sport Nutrition for Health, Adaptation and Recovery</t>
  </si>
  <si>
    <t>Professional Practice 1 in Sport Nutrition; Principles of Human Nutrition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</si>
</sst>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Aptos Narrow"/>
      <family val="2"/>
      <scheme val="minor"/>
    </font>
    <font>
      <b/>
      <sz val="11"/>
      <color theme="1"/>
      <name val="Aptos Narrow"/>
      <family val="2"/>
      <scheme val="minor"/>
    </font>
    <font>
      <sz val="8"/>
      <name val="Aptos Narrow"/>
      <family val="2"/>
      <scheme val="minor"/>
    </font>
    <font>
      <b/>
      <sz val="14"/>
      <color theme="1"/>
      <name val="Aptos Narrow"/>
      <family val="2"/>
      <scheme val="minor"/>
    </font>
    <font>
      <b/>
      <sz val="20"/>
      <color theme="1"/>
      <name val="Aptos Narrow"/>
      <family val="2"/>
      <scheme val="minor"/>
    </font>
    <font>
      <b/>
      <sz val="11"/>
      <color theme="0"/>
      <name val="Aptos Narrow"/>
      <family val="2"/>
      <scheme val="minor"/>
    </font>
    <font>
      <i/>
      <sz val="12"/>
      <color theme="1"/>
      <name val="Aptos Narrow"/>
      <family val="2"/>
    </font>
    <font>
      <sz val="11"/>
      <color theme="1"/>
      <name val="Arial"/>
      <family val="2"/>
      <charset val="1"/>
    </font>
    <font>
      <b/>
      <sz val="11"/>
      <color theme="1"/>
      <name val="Arial"/>
      <family val="2"/>
    </font>
    <font>
      <b/>
      <sz val="11"/>
      <color theme="1"/>
      <name val="Arial"/>
      <family val="2"/>
      <charset val="1"/>
    </font>
    <font>
      <i/>
      <sz val="11"/>
      <color theme="1"/>
      <name val="Arial"/>
      <family val="2"/>
      <charset val="1"/>
    </font>
    <font>
      <b/>
      <sz val="11"/>
      <color rgb="FF000000"/>
      <name val="Arial"/>
      <family val="2"/>
    </font>
    <font>
      <sz val="11"/>
      <color rgb="FF000000"/>
      <name val="Arial"/>
      <family val="2"/>
    </font>
    <font>
      <b/>
      <i/>
      <sz val="11"/>
      <color theme="1"/>
      <name val="Arial"/>
      <family val="2"/>
      <charset val="1"/>
    </font>
  </fonts>
  <fills count="5">
    <fill>
      <patternFill patternType="none"/>
    </fill>
    <fill>
      <patternFill patternType="gray125"/>
    </fill>
    <fill>
      <patternFill patternType="solid">
        <fgColor theme="4" tint="0.79998168889431442"/>
        <bgColor theme="4" tint="0.79998168889431442"/>
      </patternFill>
    </fill>
    <fill>
      <patternFill patternType="solid">
        <fgColor theme="4"/>
        <bgColor theme="4"/>
      </patternFill>
    </fill>
    <fill>
      <patternFill patternType="solid">
        <fgColor theme="0" tint="-0.14999847407452621"/>
        <bgColor indexed="64"/>
      </patternFill>
    </fill>
  </fills>
  <borders count="18">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theme="4" tint="0.39997558519241921"/>
      </right>
      <top style="thin">
        <color theme="4" tint="0.39997558519241921"/>
      </top>
      <bottom/>
      <diagonal/>
    </border>
    <border>
      <left style="thin">
        <color rgb="FF808080"/>
      </left>
      <right style="thin">
        <color rgb="FF808080"/>
      </right>
      <top style="thin">
        <color rgb="FF808080"/>
      </top>
      <bottom style="thin">
        <color rgb="FF808080"/>
      </bottom>
      <diagonal/>
    </border>
    <border>
      <left style="thin">
        <color rgb="FF808080"/>
      </left>
      <right style="thin">
        <color rgb="FFBFBFBF"/>
      </right>
      <top style="thin">
        <color rgb="FF808080"/>
      </top>
      <bottom style="thin">
        <color rgb="FF808080"/>
      </bottom>
      <diagonal/>
    </border>
    <border>
      <left style="thin">
        <color rgb="FFBFBFBF"/>
      </left>
      <right style="thin">
        <color rgb="FFBFBFBF"/>
      </right>
      <top style="thin">
        <color rgb="FF808080"/>
      </top>
      <bottom style="thin">
        <color rgb="FF808080"/>
      </bottom>
      <diagonal/>
    </border>
    <border>
      <left style="thin">
        <color rgb="FFBFBFBF"/>
      </left>
      <right style="thin">
        <color rgb="FF808080"/>
      </right>
      <top style="thin">
        <color rgb="FF808080"/>
      </top>
      <bottom style="thin">
        <color rgb="FF808080"/>
      </bottom>
      <diagonal/>
    </border>
    <border>
      <left style="thin">
        <color rgb="FF808080"/>
      </left>
      <right style="thin">
        <color rgb="FFBFBFBF"/>
      </right>
      <top style="thin">
        <color rgb="FF808080"/>
      </top>
      <bottom style="thin">
        <color indexed="64"/>
      </bottom>
      <diagonal/>
    </border>
    <border>
      <left style="thin">
        <color rgb="FFBFBFBF"/>
      </left>
      <right style="thin">
        <color rgb="FFBFBFBF"/>
      </right>
      <top style="thin">
        <color rgb="FF808080"/>
      </top>
      <bottom style="thin">
        <color indexed="64"/>
      </bottom>
      <diagonal/>
    </border>
    <border>
      <left style="thin">
        <color rgb="FFBFBFBF"/>
      </left>
      <right style="thin">
        <color rgb="FF808080"/>
      </right>
      <top style="thin">
        <color rgb="FF808080"/>
      </top>
      <bottom style="thin">
        <color indexed="64"/>
      </bottom>
      <diagonal/>
    </border>
    <border>
      <left style="thin">
        <color rgb="FF808080"/>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808080"/>
      </right>
      <top style="thin">
        <color rgb="FFBFBFBF"/>
      </top>
      <bottom style="thin">
        <color rgb="FFBFBFBF"/>
      </bottom>
      <diagonal/>
    </border>
    <border>
      <left style="thin">
        <color rgb="FF808080"/>
      </left>
      <right style="thin">
        <color rgb="FFBFBFBF"/>
      </right>
      <top style="thin">
        <color rgb="FFBFBFBF"/>
      </top>
      <bottom style="thin">
        <color rgb="FF808080"/>
      </bottom>
      <diagonal/>
    </border>
    <border>
      <left style="thin">
        <color rgb="FFBFBFBF"/>
      </left>
      <right style="thin">
        <color rgb="FFBFBFBF"/>
      </right>
      <top style="thin">
        <color rgb="FFBFBFBF"/>
      </top>
      <bottom style="thin">
        <color rgb="FF808080"/>
      </bottom>
      <diagonal/>
    </border>
    <border>
      <left style="thin">
        <color rgb="FFBFBFBF"/>
      </left>
      <right style="thin">
        <color rgb="FF808080"/>
      </right>
      <top style="thin">
        <color rgb="FFBFBFBF"/>
      </top>
      <bottom style="thin">
        <color rgb="FF808080"/>
      </bottom>
      <diagonal/>
    </border>
  </borders>
  <cellStyleXfs count="1">
    <xf numFmtId="0" fontId="0" fillId="0" borderId="0"/>
  </cellStyleXfs>
  <cellXfs count="51">
    <xf numFmtId="0" fontId="0" fillId="0" borderId="0" xfId="0"/>
    <xf numFmtId="0" fontId="0" fillId="0" borderId="0" xfId="0" applyAlignment="1" applyProtection="1">
      <alignment horizontal="left" vertical="center" wrapText="1"/>
      <protection locked="0"/>
    </xf>
    <xf numFmtId="0" fontId="0" fillId="0" borderId="0" xfId="0" applyAlignment="1" applyProtection="1">
      <alignment horizontal="center" vertical="center" wrapText="1"/>
      <protection locked="0"/>
    </xf>
    <xf numFmtId="9" fontId="0" fillId="0" borderId="0" xfId="0" applyNumberFormat="1" applyAlignment="1" applyProtection="1">
      <alignment horizontal="left" vertical="center" wrapText="1"/>
      <protection locked="0"/>
    </xf>
    <xf numFmtId="0" fontId="0" fillId="0" borderId="0" xfId="0" applyProtection="1">
      <protection locked="0"/>
    </xf>
    <xf numFmtId="0" fontId="1" fillId="0" borderId="0" xfId="0" applyFont="1" applyProtection="1">
      <protection locked="0"/>
    </xf>
    <xf numFmtId="0" fontId="7" fillId="0" borderId="0" xfId="0" applyFont="1" applyProtection="1">
      <protection locked="0"/>
    </xf>
    <xf numFmtId="0" fontId="8" fillId="0" borderId="0" xfId="0" applyFont="1" applyProtection="1">
      <protection locked="0"/>
    </xf>
    <xf numFmtId="0" fontId="9" fillId="0" borderId="0" xfId="0" applyFont="1" applyProtection="1">
      <protection locked="0"/>
    </xf>
    <xf numFmtId="0" fontId="11" fillId="0" borderId="0" xfId="0" applyFont="1" applyProtection="1">
      <protection locked="0"/>
    </xf>
    <xf numFmtId="0" fontId="10" fillId="0" borderId="0" xfId="0" applyFont="1" applyProtection="1">
      <protection locked="0"/>
    </xf>
    <xf numFmtId="0" fontId="7" fillId="0" borderId="5" xfId="0" applyFont="1" applyBorder="1" applyProtection="1">
      <protection locked="0"/>
    </xf>
    <xf numFmtId="0" fontId="7" fillId="0" borderId="6" xfId="0" applyFont="1" applyBorder="1" applyProtection="1">
      <protection locked="0"/>
    </xf>
    <xf numFmtId="0" fontId="7" fillId="0" borderId="7" xfId="0" applyFont="1" applyBorder="1" applyProtection="1">
      <protection locked="0"/>
    </xf>
    <xf numFmtId="0" fontId="7" fillId="0" borderId="8" xfId="0" applyFont="1" applyBorder="1" applyProtection="1">
      <protection locked="0"/>
    </xf>
    <xf numFmtId="0" fontId="7" fillId="0" borderId="9" xfId="0" applyFont="1" applyBorder="1" applyProtection="1">
      <protection locked="0"/>
    </xf>
    <xf numFmtId="0" fontId="7" fillId="0" borderId="10" xfId="0" applyFont="1" applyBorder="1" applyProtection="1">
      <protection locked="0"/>
    </xf>
    <xf numFmtId="0" fontId="7" fillId="0" borderId="11" xfId="0" applyFont="1" applyBorder="1" applyProtection="1">
      <protection locked="0"/>
    </xf>
    <xf numFmtId="0" fontId="7" fillId="0" borderId="12" xfId="0" applyFont="1" applyBorder="1" applyProtection="1">
      <protection locked="0"/>
    </xf>
    <xf numFmtId="0" fontId="7" fillId="0" borderId="13" xfId="0" applyFont="1" applyBorder="1" applyProtection="1">
      <protection locked="0"/>
    </xf>
    <xf numFmtId="0" fontId="7" fillId="0" borderId="14" xfId="0" applyFont="1" applyBorder="1" applyProtection="1">
      <protection locked="0"/>
    </xf>
    <xf numFmtId="0" fontId="10" fillId="0" borderId="13" xfId="0" applyFont="1" applyBorder="1" applyProtection="1">
      <protection locked="0"/>
    </xf>
    <xf numFmtId="0" fontId="7" fillId="0" borderId="15" xfId="0" applyFont="1" applyBorder="1" applyProtection="1">
      <protection locked="0"/>
    </xf>
    <xf numFmtId="0" fontId="7" fillId="0" borderId="16" xfId="0" applyFont="1" applyBorder="1" applyProtection="1">
      <protection locked="0"/>
    </xf>
    <xf numFmtId="0" fontId="7" fillId="0" borderId="17" xfId="0" applyFont="1" applyBorder="1" applyProtection="1">
      <protection locked="0"/>
    </xf>
    <xf numFmtId="0" fontId="12" fillId="0" borderId="0" xfId="0" applyFont="1" applyProtection="1">
      <protection locked="0"/>
    </xf>
    <xf numFmtId="0" fontId="10" fillId="0" borderId="14" xfId="0" applyFont="1" applyBorder="1" applyProtection="1">
      <protection locked="0"/>
    </xf>
    <xf numFmtId="0" fontId="0" fillId="0" borderId="0" xfId="0" applyProtection="1"/>
    <xf numFmtId="0" fontId="4" fillId="4" borderId="0" xfId="0" applyFont="1" applyFill="1" applyProtection="1"/>
    <xf numFmtId="0" fontId="1" fillId="0" borderId="0" xfId="0" applyFont="1" applyAlignment="1" applyProtection="1">
      <alignment horizontal="center" vertical="center" wrapText="1"/>
    </xf>
    <xf numFmtId="0" fontId="0" fillId="0" borderId="0" xfId="0" applyAlignment="1" applyProtection="1">
      <alignment vertical="center" wrapText="1"/>
    </xf>
    <xf numFmtId="0" fontId="3" fillId="0" borderId="0" xfId="0" applyFont="1" applyAlignment="1" applyProtection="1">
      <alignment vertical="center" wrapText="1"/>
    </xf>
    <xf numFmtId="0" fontId="1" fillId="0" borderId="0" xfId="0" applyFont="1" applyAlignment="1" applyProtection="1">
      <alignment horizontal="left" vertical="center" wrapText="1"/>
    </xf>
    <xf numFmtId="0" fontId="0" fillId="0" borderId="0" xfId="0" applyAlignment="1" applyProtection="1">
      <alignment horizontal="left" vertical="center" wrapText="1"/>
    </xf>
    <xf numFmtId="0" fontId="6" fillId="0" borderId="0" xfId="0" applyFont="1" applyProtection="1"/>
    <xf numFmtId="0" fontId="1" fillId="0" borderId="0" xfId="0" applyFont="1" applyProtection="1"/>
    <xf numFmtId="0" fontId="0" fillId="0" borderId="0" xfId="0" applyAlignment="1" applyProtection="1">
      <alignment horizontal="center"/>
    </xf>
    <xf numFmtId="0" fontId="1" fillId="0" borderId="0" xfId="0" applyFont="1" applyAlignment="1" applyProtection="1">
      <alignment horizontal="left" vertical="center" wrapText="1"/>
      <protection locked="0"/>
    </xf>
    <xf numFmtId="0" fontId="0" fillId="0" borderId="0" xfId="0" applyAlignment="1" applyProtection="1">
      <alignment horizontal="center"/>
      <protection locked="0"/>
    </xf>
    <xf numFmtId="0" fontId="1" fillId="0" borderId="0" xfId="0" applyFont="1" applyAlignment="1" applyProtection="1">
      <alignment horizontal="center" vertical="center" wrapText="1"/>
      <protection locked="0"/>
    </xf>
    <xf numFmtId="0" fontId="1" fillId="2" borderId="1" xfId="0" applyFont="1" applyFill="1" applyBorder="1" applyProtection="1"/>
    <xf numFmtId="0" fontId="5" fillId="3" borderId="3" xfId="0" applyFont="1" applyFill="1" applyBorder="1" applyProtection="1"/>
    <xf numFmtId="0" fontId="5" fillId="3" borderId="4" xfId="0" applyFont="1" applyFill="1" applyBorder="1" applyProtection="1"/>
    <xf numFmtId="0" fontId="0" fillId="2" borderId="3" xfId="0" applyFill="1" applyBorder="1" applyProtection="1"/>
    <xf numFmtId="0" fontId="0" fillId="2" borderId="4" xfId="0" applyFill="1" applyBorder="1" applyProtection="1"/>
    <xf numFmtId="0" fontId="0" fillId="0" borderId="3" xfId="0" applyBorder="1" applyProtection="1"/>
    <xf numFmtId="0" fontId="0" fillId="0" borderId="4" xfId="0" applyBorder="1" applyProtection="1"/>
    <xf numFmtId="0" fontId="0" fillId="0" borderId="1" xfId="0" applyBorder="1" applyProtection="1"/>
    <xf numFmtId="0" fontId="0" fillId="0" borderId="2" xfId="0" applyBorder="1" applyProtection="1"/>
    <xf numFmtId="0" fontId="0" fillId="2" borderId="1" xfId="0" applyFill="1" applyBorder="1" applyProtection="1"/>
    <xf numFmtId="0" fontId="1" fillId="0" borderId="1" xfId="0" applyFont="1" applyBorder="1" applyProtection="1"/>
  </cellXfs>
  <cellStyles count="1">
    <cellStyle name="Normal" xfId="0" builtinId="0"/>
  </cellStyles>
  <dxfs count="608">
    <dxf>
      <protection locked="1" hidden="0"/>
    </dxf>
    <dxf>
      <protection locked="1" hidden="0"/>
    </dxf>
    <dxf>
      <protection locked="1" hidden="0"/>
    </dxf>
    <dxf>
      <protection locked="1" hidden="0"/>
    </dxf>
    <dxf>
      <protection locked="1" hidden="0"/>
    </dxf>
    <dxf>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onnections" Target="connections.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6" connectionId="19" xr16:uid="{916DEAE3-AAEC-4370-89D4-2FE2ACD175E8}" autoFormatId="16" applyNumberFormats="0" applyBorderFormats="0" applyFontFormats="0" applyPatternFormats="0" applyAlignmentFormats="0" applyWidthHeightFormats="0">
  <queryTableRefresh nextId="16">
    <queryTableFields count="15">
      <queryTableField id="1" name="SourceWorkbook" tableColumnId="1"/>
      <queryTableField id="2" name="TableName" tableColumnId="2"/>
      <queryTableField id="3" name="ModuleCode" tableColumnId="3"/>
      <queryTableField id="4" name="ItemSuffix" tableColumnId="4"/>
      <queryTableField id="5" name="Programme" tableColumnId="5"/>
      <queryTableField id="6" name="ProgCode" tableColumnId="6"/>
      <queryTableField id="7" name="ModuleTitle" tableColumnId="7"/>
      <queryTableField id="8" name="Module Code" tableColumnId="8"/>
      <queryTableField id="9" name="Module Title" tableColumnId="9"/>
      <queryTableField id="10" name="Credits" tableColumnId="10"/>
      <queryTableField id="11" name="Semester" tableColumnId="11"/>
      <queryTableField id="12" name="Level" tableColumnId="12"/>
      <queryTableField id="13" name="Module Leader" tableColumnId="13"/>
      <queryTableField id="14" name="Module Type" tableColumnId="14"/>
      <queryTableField id="15" name="Programme(s)" tableColumnId="1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8" connectionId="20" xr16:uid="{96849767-AECF-435C-A6E7-7570FB20FC20}" autoFormatId="16" applyNumberFormats="0" applyBorderFormats="0" applyFontFormats="0" applyPatternFormats="0" applyAlignmentFormats="0" applyWidthHeightFormats="0">
  <queryTableRefresh nextId="10">
    <queryTableFields count="9">
      <queryTableField id="1" name="ModuleCode" tableColumnId="1"/>
      <queryTableField id="2" name="ModuleTitle" tableColumnId="2"/>
      <queryTableField id="3" name="Level" tableColumnId="3"/>
      <queryTableField id="4" name="Semester" tableColumnId="4"/>
      <queryTableField id="5" name="Credits" tableColumnId="5"/>
      <queryTableField id="6" name="Module Leader" tableColumnId="6"/>
      <queryTableField id="7" name="Module Type" tableColumnId="7"/>
      <queryTableField id="8" name="Total Contact Hours" tableColumnId="8"/>
      <queryTableField id="9" name="Hours per Credit" tableColumnId="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7" connectionId="15" xr16:uid="{0F73619B-4FF7-4012-B940-790FDD4F4B4C}" autoFormatId="16" applyNumberFormats="0" applyBorderFormats="0" applyFontFormats="0" applyPatternFormats="0" applyAlignmentFormats="0" applyWidthHeightFormats="0">
  <queryTableRefresh nextId="14">
    <queryTableFields count="13">
      <queryTableField id="1" name="SourceWorkbook" tableColumnId="1"/>
      <queryTableField id="2" name="TableName" tableColumnId="2"/>
      <queryTableField id="3" name="ModuleCode" tableColumnId="3"/>
      <queryTableField id="4" name="ItemSuffix" tableColumnId="4"/>
      <queryTableField id="5" name="Programme" tableColumnId="5"/>
      <queryTableField id="6" name="ProgCode" tableColumnId="6"/>
      <queryTableField id="7" name="ModuleTitle" tableColumnId="7"/>
      <queryTableField id="8" name="Lecture" tableColumnId="8"/>
      <queryTableField id="9" name="Seminar" tableColumnId="9"/>
      <queryTableField id="10" name="Practical" tableColumnId="10"/>
      <queryTableField id="11" name="Workshop" tableColumnId="11"/>
      <queryTableField id="12" name="Online" tableColumnId="12"/>
      <queryTableField id="13" name="Total"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9" connectionId="21" xr16:uid="{1570BD5C-B538-4127-B793-44D261610559}" autoFormatId="16" applyNumberFormats="0" applyBorderFormats="0" applyFontFormats="0" applyPatternFormats="0" applyAlignmentFormats="0" applyWidthHeightFormats="0">
  <queryTableRefresh nextId="6">
    <queryTableFields count="5">
      <queryTableField id="1" name="Category" tableColumnId="1"/>
      <queryTableField id="2" name="Skill" tableColumnId="2"/>
      <queryTableField id="3" name="Modules Covering" tableColumnId="3"/>
      <queryTableField id="4" name="Module Count" tableColumnId="4"/>
      <queryTableField id="5" name="Covered" tableColumnId="5"/>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connectionId="17" xr16:uid="{045D08CE-44ED-47CA-8598-9E38F28A719D}" autoFormatId="16" applyNumberFormats="0" applyBorderFormats="0" applyFontFormats="0" applyPatternFormats="0" applyAlignmentFormats="0" applyWidthHeightFormats="0">
  <queryTableRefresh nextId="12">
    <queryTableFields count="11">
      <queryTableField id="1" name="SourceWorkbook" tableColumnId="1"/>
      <queryTableField id="2" name="TableName" tableColumnId="2"/>
      <queryTableField id="3" name="Assessment No" tableColumnId="3"/>
      <queryTableField id="4" name="LO Number" tableColumnId="4"/>
      <queryTableField id="5" name="Graduate Skills Category" tableColumnId="5"/>
      <queryTableField id="6" name="Graduate Skill" tableColumnId="6"/>
      <queryTableField id="7" name="ModuleCode" tableColumnId="7"/>
      <queryTableField id="8" name="ItemSuffix" tableColumnId="8"/>
      <queryTableField id="9" name="Programme" tableColumnId="9"/>
      <queryTableField id="10" name="ProgCode" tableColumnId="10"/>
      <queryTableField id="11" name="ModuleTitle" tableColumnId="11"/>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4" connectionId="14" xr16:uid="{EC183800-48D8-4C4D-B648-36369D233520}"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Component" tableColumnId="3"/>
      <queryTableField id="4" name="Contact Hours"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connectionId="18" xr16:uid="{B6C2DCF2-8797-45F8-9F98-FF34A7BCD214}"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Module Data" tableColumnId="3"/>
      <queryTableField id="4" name="Details"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3" connectionId="13" xr16:uid="{79C16526-1E7A-4102-8CBD-8443F4A11A28}" autoFormatId="16" applyNumberFormats="0" applyBorderFormats="0" applyFontFormats="0" applyPatternFormats="0" applyAlignmentFormats="0" applyWidthHeightFormats="0">
  <queryTableRefresh nextId="14">
    <queryTableFields count="13">
      <queryTableField id="1" name="SourceWorkbook" tableColumnId="1"/>
      <queryTableField id="2" name="TableName" tableColumnId="2"/>
      <queryTableField id="3" name="Assessment No" tableColumnId="3"/>
      <queryTableField id="4" name="Assessment Type" tableColumnId="4"/>
      <queryTableField id="5" name="Assessment Specific" tableColumnId="5"/>
      <queryTableField id="6" name="Assessment Description" tableColumnId="6"/>
      <queryTableField id="7" name="Weighting" tableColumnId="7"/>
      <queryTableField id="8" name="Due Week" tableColumnId="8"/>
      <queryTableField id="9" name="ModuleCode" tableColumnId="9"/>
      <queryTableField id="10" name="ItemSuffix" tableColumnId="10"/>
      <queryTableField id="11" name="Programme" tableColumnId="11"/>
      <queryTableField id="12" name="ProgCode" tableColumnId="12"/>
      <queryTableField id="13" name="ModuleTitle" tableColumnId="13"/>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2" connectionId="16" xr16:uid="{2699240A-D0BF-43CF-A14C-6B1A7C54F244}"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LO Number" tableColumnId="3"/>
      <queryTableField id="4" name="LO Description"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tables/_rels/table13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3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3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13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3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3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137.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38.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39.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4" xr:uid="{1414709A-4675-4471-85EE-DA0D00B4BFD4}" name="_4001SPS_Meta" displayName="_4001SPS_Meta" ref="C6:D14" totalsRowShown="0" headerRowDxfId="591" dataDxfId="579">
  <autoFilter ref="C6:D14" xr:uid="{CD75D2A7-14B1-4ABD-B64D-6E875F9BC652}">
    <filterColumn colId="0" hiddenButton="1"/>
    <filterColumn colId="1" hiddenButton="1"/>
  </autoFilter>
  <tableColumns count="2">
    <tableColumn id="1" xr3:uid="{8F10F388-99AB-4D28-B816-601553218F24}" name="Module Data" dataDxfId="581"/>
    <tableColumn id="2" xr3:uid="{AE7AA7A8-FBD0-4010-AD14-259A290F3DBF}" name="Details" dataDxfId="580"/>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5" xr:uid="{19D7E4CA-6D4B-4290-ADC9-EBD889ED7090}" name="_4001SPS_LO" displayName="_4001SPS_LO" ref="C28:D33" totalsRowShown="0" headerRowDxfId="590" dataDxfId="576">
  <autoFilter ref="C28:D33" xr:uid="{22316987-6BEB-4FAF-9619-BF9BE9909CFA}">
    <filterColumn colId="0" hiddenButton="1"/>
    <filterColumn colId="1" hiddenButton="1"/>
  </autoFilter>
  <tableColumns count="2">
    <tableColumn id="1" xr3:uid="{65874036-7B81-4E0E-AD1F-388C30468A0C}" name="LO Number" dataDxfId="578"/>
    <tableColumn id="2" xr3:uid="{AB5F4256-8EBE-42B2-864C-6175401C4B94}" name="LO Description" dataDxfId="577"/>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6" xr:uid="{94DF75FA-7885-457B-A760-4C33470CB4F2}" name="_4001SPS_Assess" displayName="_4001SPS_Assess" ref="C37:H41" totalsRowShown="0" headerRowDxfId="589" dataDxfId="56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F1C107EB-6EF5-4321-A9D3-7F0F473733A9}" name="Assessment No" dataDxfId="575"/>
    <tableColumn id="2" xr3:uid="{A7D8377D-26A9-4C0C-89E5-2BBF15A2C53A}" name="Assessment Type" dataDxfId="574"/>
    <tableColumn id="7" xr3:uid="{902CD105-3E65-4D48-9EBC-28A512F14EA4}" name="Assessment Specific" dataDxfId="573"/>
    <tableColumn id="3" xr3:uid="{F0188AEF-B58B-42EE-B788-6BDBEC8A2666}" name="Assessment Description" dataDxfId="572"/>
    <tableColumn id="4" xr3:uid="{463AE76C-D818-4D0D-9C85-14C568E969CF}" name="Weighting" dataDxfId="571"/>
    <tableColumn id="5" xr3:uid="{F3A74D3A-9891-4785-8514-2F35F953399C}" name="Due Week" dataDxfId="570"/>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7" xr:uid="{134F8FF6-FA26-4083-80C6-B1D636160277}" name="_4001SPS_Weekly" displayName="_4001SPS_Weekly" ref="B70:F94" totalsRowShown="0" headerRowDxfId="588" dataDxfId="563">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1B3410E0-1738-4226-A94C-CA8EF9997135}" name="Semester " dataDxfId="568"/>
    <tableColumn id="2" xr3:uid="{779570F9-536A-4051-99E1-6CF566D7A0D1}" name="Week Number" dataDxfId="567"/>
    <tableColumn id="3" xr3:uid="{B34499F2-A07D-444A-9F9C-30E044383158}" name="Weekly Content 1" dataDxfId="566"/>
    <tableColumn id="4" xr3:uid="{F39D2B5F-C444-4352-91E8-C0744DF26B06}" name="Weekly Content 2" dataDxfId="565"/>
    <tableColumn id="5" xr3:uid="{694E2C5F-AF9A-4034-8744-D2347A9BD5B9}" name="Weekly Content 3" dataDxfId="564"/>
  </tableColumns>
  <tableStyleInfo name="TableStyleMedium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8" xr:uid="{8667F49A-5642-4195-9AEF-E5818E9EAE7C}" name="_4001SPS_Hours" displayName="_4001SPS_Hours" ref="C18:D24" totalsRowShown="0" headerRowDxfId="587" dataDxfId="560">
  <autoFilter ref="C18:D24" xr:uid="{B71A3569-AA65-4A4E-98A2-885F5C38B46D}">
    <filterColumn colId="0" hiddenButton="1"/>
    <filterColumn colId="1" hiddenButton="1"/>
  </autoFilter>
  <tableColumns count="2">
    <tableColumn id="1" xr3:uid="{AACE1E36-CD18-4943-8A94-8FD55C616649}" name="Component" dataDxfId="562"/>
    <tableColumn id="2" xr3:uid="{B1979956-177B-4D66-BF9C-2582ABBB4BF9}" name="Contact Hours" dataDxfId="561"/>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9" xr:uid="{6BC11C12-EA0A-40E7-AEE3-4C9A37EEC326}" name="_4001SPS_Mapping" displayName="_4001SPS_Mapping" ref="C45:F66" totalsRowShown="0" headerRowDxfId="586" dataDxfId="555">
  <autoFilter ref="C45:F66" xr:uid="{E0A841BB-B6D5-4048-B5F2-18CF9F502EBA}">
    <filterColumn colId="0" hiddenButton="1"/>
    <filterColumn colId="1" hiddenButton="1"/>
    <filterColumn colId="2" hiddenButton="1"/>
    <filterColumn colId="3" hiddenButton="1"/>
  </autoFilter>
  <tableColumns count="4">
    <tableColumn id="1" xr3:uid="{DF7309A3-37E0-4C87-875E-A6B27799A75B}" name="Assessment No" dataDxfId="559"/>
    <tableColumn id="2" xr3:uid="{BBF5102E-4D62-467D-89A8-6878CBB973B5}" name="LO Number" dataDxfId="558"/>
    <tableColumn id="3" xr3:uid="{19F9550F-E174-446A-8CD8-FB222F828FA2}" name="Graduate Skills Category" dataDxfId="557"/>
    <tableColumn id="4" xr3:uid="{22926E4B-AB40-45D5-A07C-199AB2307121}" name="Graduate Skill" dataDxfId="556"/>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0" xr:uid="{B1B8FE6F-CFA3-45B4-9B48-293E0069DBF8}" name="_4001SPS_Aims" displayName="_4001SPS_Aims" ref="F6:F8" totalsRowShown="0" headerRowDxfId="585" dataDxfId="553">
  <autoFilter ref="F6:F8" xr:uid="{9552138F-2332-4BC4-A585-0E13162881A5}"/>
  <tableColumns count="1">
    <tableColumn id="1" xr3:uid="{75179496-A8E3-4C17-A2D2-8AF29C0BD18A}" name="Aims" dataDxfId="554"/>
  </tableColumns>
  <tableStyleInfo name="TableStyleMedium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1" xr:uid="{50E39927-606F-4D55-95D1-99519B04C2BA}" name="_4001SPS_Syllabus" displayName="_4001SPS_Syllabus" ref="F10:F13" totalsRowShown="0" headerRowDxfId="584" dataDxfId="551">
  <autoFilter ref="F10:F13" xr:uid="{94F18F67-3F10-4F6E-A953-4FE3399B07F2}"/>
  <tableColumns count="1">
    <tableColumn id="1" xr3:uid="{C11B339B-A121-4F67-998C-0EB7843C79D2}" name="Outline Syllabus" dataDxfId="552"/>
  </tableColumns>
  <tableStyleInfo name="TableStyleMedium6"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2" xr:uid="{7E5EA307-5AA4-450B-8B5B-62AEA252D8BA}" name="_4001SPS_Overview" displayName="_4001SPS_Overview" ref="F15:F20" totalsRowShown="0" headerRowDxfId="583" dataDxfId="549">
  <autoFilter ref="F15:F20" xr:uid="{1B2BCD7B-6C15-4B1C-86BC-48FF83D8F225}"/>
  <tableColumns count="1">
    <tableColumn id="1" xr3:uid="{B644A5C6-F53D-4CAC-B23F-A22EE05D52F7}" name="Module Overview" dataDxfId="550"/>
  </tableColumns>
  <tableStyleInfo name="TableStyleMedium6"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3" xr:uid="{65D3AED5-41D6-4638-A570-DE51FA0102F6}" name="_4001SPS_Notes" displayName="_4001SPS_Notes" ref="F22:F33" totalsRowShown="0" headerRowDxfId="582" dataDxfId="547">
  <autoFilter ref="F22:F33" xr:uid="{D5968C0A-6D7E-4221-87EE-78A85A4039B3}"/>
  <tableColumns count="1">
    <tableColumn id="1" xr3:uid="{17E3BB4C-BB7C-4827-AAED-6C9AECAD47FE}" name="Additional Information/Notes" dataDxfId="548"/>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F8365005-B598-4738-B9AF-07D1E238BC9C}" name="_4003SPS_Meta" displayName="_4003SPS_Meta" ref="C6:D14" totalsRowShown="0" headerRowDxfId="546" dataDxfId="534">
  <autoFilter ref="C6:D14" xr:uid="{CD75D2A7-14B1-4ABD-B64D-6E875F9BC652}">
    <filterColumn colId="0" hiddenButton="1"/>
    <filterColumn colId="1" hiddenButton="1"/>
  </autoFilter>
  <tableColumns count="2">
    <tableColumn id="1" xr3:uid="{7B568BCE-928C-447D-BD05-0832B97C0D72}" name="Module Data" dataDxfId="536"/>
    <tableColumn id="2" xr3:uid="{706D7CC6-0EB1-4219-8291-567821A0A5B8}" name="Details" dataDxfId="535"/>
  </tableColumns>
  <tableStyleInfo name="TableStyleMedium6"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A7A07E87-B596-4463-9B78-6555D43A4B3D}" name="_4003SPS_LO" displayName="_4003SPS_LO" ref="C28:D33" totalsRowShown="0" headerRowDxfId="545" dataDxfId="531">
  <autoFilter ref="C28:D33" xr:uid="{22316987-6BEB-4FAF-9619-BF9BE9909CFA}">
    <filterColumn colId="0" hiddenButton="1"/>
    <filterColumn colId="1" hiddenButton="1"/>
  </autoFilter>
  <tableColumns count="2">
    <tableColumn id="1" xr3:uid="{C19B4674-B83E-4A42-A7E5-5468C8752F20}" name="LO Number" dataDxfId="533"/>
    <tableColumn id="2" xr3:uid="{78F135DA-0213-417E-88FD-2F76325B6D58}" name="LO Description" dataDxfId="532"/>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8F69EEF1-22B4-4163-8A76-0105B5FDEC70}" name="_4003SPS_Assess" displayName="_4003SPS_Assess" ref="C37:H41" totalsRowShown="0" headerRowDxfId="544" dataDxfId="52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892EAF8-7C5D-41E6-A727-FB21DB64B28D}" name="Assessment No" dataDxfId="530"/>
    <tableColumn id="2" xr3:uid="{43E55016-0B24-4AE6-8341-2CF6FE45EFE0}" name="Assessment Type" dataDxfId="529"/>
    <tableColumn id="7" xr3:uid="{74FB69C4-57FE-4D4F-92C7-425CCB32340D}" name="Assessment Specific" dataDxfId="528"/>
    <tableColumn id="3" xr3:uid="{F392CA10-65BB-49CE-8FEA-065DB3B1250A}" name="Assessment Description" dataDxfId="527"/>
    <tableColumn id="4" xr3:uid="{63105FFB-71CB-4889-BE3D-BA168F2B1D15}" name="Weighting" dataDxfId="526"/>
    <tableColumn id="5" xr3:uid="{942301B1-78DA-47AC-B487-4A82010FBC22}" name="Due Week" dataDxfId="525"/>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D89A5C6D-23F5-46A1-94E8-CF627C641E3E}" name="_4003SPS_Weekly" displayName="_4003SPS_Weekly" ref="B70:F94" totalsRowShown="0" headerRowDxfId="543" dataDxfId="518">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1345FE91-A274-4410-84E7-94ACC245A1B0}" name="Semester " dataDxfId="523"/>
    <tableColumn id="2" xr3:uid="{D37085D6-4B13-4E18-BF1D-72E1D211C5E2}" name="Week Number" dataDxfId="522"/>
    <tableColumn id="3" xr3:uid="{E63B3791-EF8C-42D0-9D20-9E40C6780395}" name="Weekly Content 1" dataDxfId="521"/>
    <tableColumn id="4" xr3:uid="{B1BA8E95-AF48-472D-8022-4FFD3C39E6FD}" name="Weekly Content 2" dataDxfId="520"/>
    <tableColumn id="5" xr3:uid="{77ED77D2-DF2D-4913-862F-82B54D142645}" name="Weekly Content 3" dataDxfId="519"/>
  </tableColumns>
  <tableStyleInfo name="TableStyleMedium4"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13D81E92-9BBD-40B0-B885-F022CB13A68D}" name="_4003SPS_Hours" displayName="_4003SPS_Hours" ref="C18:D24" totalsRowShown="0" headerRowDxfId="542" dataDxfId="515">
  <autoFilter ref="C18:D24" xr:uid="{B71A3569-AA65-4A4E-98A2-885F5C38B46D}">
    <filterColumn colId="0" hiddenButton="1"/>
    <filterColumn colId="1" hiddenButton="1"/>
  </autoFilter>
  <tableColumns count="2">
    <tableColumn id="1" xr3:uid="{A4027C00-55EA-4E91-A17F-FC7D936AA12D}" name="Component" dataDxfId="517"/>
    <tableColumn id="2" xr3:uid="{2B461470-C937-400F-A861-E1EF437460FC}" name="Contact Hours" dataDxfId="516"/>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93DE5F36-B6B6-48CA-B033-B6C2A61B46F8}" name="_4003SPS_Mapping" displayName="_4003SPS_Mapping" ref="C45:F66" totalsRowShown="0" headerRowDxfId="541" dataDxfId="510">
  <autoFilter ref="C45:F66" xr:uid="{E0A841BB-B6D5-4048-B5F2-18CF9F502EBA}">
    <filterColumn colId="0" hiddenButton="1"/>
    <filterColumn colId="1" hiddenButton="1"/>
    <filterColumn colId="2" hiddenButton="1"/>
    <filterColumn colId="3" hiddenButton="1"/>
  </autoFilter>
  <tableColumns count="4">
    <tableColumn id="1" xr3:uid="{318F8255-76AC-4F17-ABBB-6A771AD200A7}" name="Assessment No" dataDxfId="514"/>
    <tableColumn id="2" xr3:uid="{01ED9B44-AD4B-499E-8D3C-3B9247E57323}" name="LO Number" dataDxfId="513"/>
    <tableColumn id="3" xr3:uid="{D52384A9-63E3-4ABE-86FB-4619A06E02AF}" name="Graduate Skills Category" dataDxfId="512"/>
    <tableColumn id="4" xr3:uid="{B45DCF04-04F9-4B36-A81D-CEBACC18D2E8}" name="Graduate Skill" dataDxfId="511"/>
  </tableColumns>
  <tableStyleInfo name="TableStyleMedium3"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3046BD9A-2B11-4104-9334-CBD68741AB03}" name="_4003SPS_Aims" displayName="_4003SPS_Aims" ref="F6:F8" totalsRowShown="0" headerRowDxfId="540" dataDxfId="508">
  <autoFilter ref="F6:F8" xr:uid="{9552138F-2332-4BC4-A585-0E13162881A5}"/>
  <tableColumns count="1">
    <tableColumn id="1" xr3:uid="{00C11AD8-5667-494A-85B4-23C210D1B918}" name="Aims" dataDxfId="509"/>
  </tableColumns>
  <tableStyleInfo name="TableStyleMedium6"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26B305FF-72A4-4559-8E2D-B9A63503D4FA}" name="_4003SPS_Syllabus" displayName="_4003SPS_Syllabus" ref="F10:F13" totalsRowShown="0" headerRowDxfId="539" dataDxfId="506">
  <autoFilter ref="F10:F13" xr:uid="{94F18F67-3F10-4F6E-A953-4FE3399B07F2}"/>
  <tableColumns count="1">
    <tableColumn id="1" xr3:uid="{8917F32D-2D78-4B3C-93BA-03E82057EA4B}" name="Outline Syllabus" dataDxfId="507"/>
  </tableColumns>
  <tableStyleInfo name="TableStyleMedium6"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8A8B96ED-8A76-44E9-8A2C-4B9FD261E59C}" name="_4003SPS_Overview" displayName="_4003SPS_Overview" ref="F15:F20" totalsRowShown="0" headerRowDxfId="538" dataDxfId="504">
  <autoFilter ref="F15:F20" xr:uid="{1B2BCD7B-6C15-4B1C-86BC-48FF83D8F225}"/>
  <tableColumns count="1">
    <tableColumn id="1" xr3:uid="{B53F9EDB-3125-4C5C-A219-EFA16F274EFC}" name="Module Overview" dataDxfId="505"/>
  </tableColumns>
  <tableStyleInfo name="TableStyleMedium6"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2B219707-18B1-442D-9B23-49B95E064644}" name="_4003SPS_Notes" displayName="_4003SPS_Notes" ref="F22:F33" totalsRowShown="0" headerRowDxfId="537" dataDxfId="502">
  <autoFilter ref="F22:F33" xr:uid="{D5968C0A-6D7E-4221-87EE-78A85A4039B3}"/>
  <tableColumns count="1">
    <tableColumn id="1" xr3:uid="{2E1C0BC3-8EFB-4AA5-A23B-DEAB35C7DEA7}" name="Additional Information/Notes" dataDxfId="503"/>
  </tableColumns>
  <tableStyleInfo name="TableStyleMedium6"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E9FA17F3-8510-4713-9EFA-F81B9896C75F}" name="_4004SPS_Meta" displayName="_4004SPS_Meta" ref="C6:D14" totalsRowShown="0" headerRowDxfId="501" dataDxfId="489">
  <autoFilter ref="C6:D14" xr:uid="{CD75D2A7-14B1-4ABD-B64D-6E875F9BC652}">
    <filterColumn colId="0" hiddenButton="1"/>
    <filterColumn colId="1" hiddenButton="1"/>
  </autoFilter>
  <tableColumns count="2">
    <tableColumn id="1" xr3:uid="{644E4444-F68A-4E74-BD5D-8748CD05A7D2}" name="Module Data" dataDxfId="491"/>
    <tableColumn id="2" xr3:uid="{AF6CCCE6-633B-4669-B570-EB4F893B50C4}" name="Details" dataDxfId="490"/>
  </tableColumns>
  <tableStyleInfo name="TableStyleMedium6"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A4EE75AE-77CE-4A68-A718-983DED4FF7A1}" name="_4004SPS_LO" displayName="_4004SPS_LO" ref="C28:D33" totalsRowShown="0" headerRowDxfId="500" dataDxfId="486">
  <autoFilter ref="C28:D33" xr:uid="{22316987-6BEB-4FAF-9619-BF9BE9909CFA}">
    <filterColumn colId="0" hiddenButton="1"/>
    <filterColumn colId="1" hiddenButton="1"/>
  </autoFilter>
  <tableColumns count="2">
    <tableColumn id="1" xr3:uid="{589112ED-5C99-4CD7-912A-F216AEC245F3}" name="LO Number" dataDxfId="488"/>
    <tableColumn id="2" xr3:uid="{D42319CA-BEAF-49C8-8EC7-B45F24386E7A}" name="LO Description" dataDxfId="487"/>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FCAE2B91-6BD8-4529-8B59-5DB7121B1D24}" name="_4004SPS_Assess" displayName="_4004SPS_Assess" ref="C37:H41" totalsRowShown="0" headerRowDxfId="499" dataDxfId="47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FED30EF-9DFC-4FCF-9A98-B1395296BD26}" name="Assessment No" dataDxfId="485"/>
    <tableColumn id="2" xr3:uid="{0C168E40-BC62-40F7-8494-D9D585BBF5DD}" name="Assessment Type" dataDxfId="484"/>
    <tableColumn id="7" xr3:uid="{03042C7C-BE5A-4EDB-B18A-F162688CAFDA}" name="Assessment Specific" dataDxfId="483"/>
    <tableColumn id="3" xr3:uid="{B536E57C-91CB-491F-8850-5E1F4FFB6EC2}" name="Assessment Description" dataDxfId="482"/>
    <tableColumn id="4" xr3:uid="{CFEF4DCA-7026-4AB8-9930-965F672B21EC}" name="Weighting" dataDxfId="481"/>
    <tableColumn id="5" xr3:uid="{268A91DF-58B1-43BF-A340-0E1D33705BAA}" name="Due Week" dataDxfId="480"/>
  </tableColumns>
  <tableStyleInfo name="TableStyleMedium3"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FAFDD563-D76D-4667-B964-69DE19A2F370}" name="_4004SPS_Weekly" displayName="_4004SPS_Weekly" ref="B70:F94" totalsRowShown="0" headerRowDxfId="498" dataDxfId="473">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2EC0DE77-F537-4352-B465-CD91C72B6257}" name="Semester " dataDxfId="478"/>
    <tableColumn id="2" xr3:uid="{916AD303-2708-4E40-8E0C-DE9D347BA8EA}" name="Week Number" dataDxfId="477"/>
    <tableColumn id="3" xr3:uid="{66580F8A-FF82-4503-9EBF-1B44DD45F9F5}" name="Weekly Content 1" dataDxfId="476"/>
    <tableColumn id="4" xr3:uid="{5E6D35EA-634F-45B1-8A96-068CB99E3BA7}" name="Weekly Content 2" dataDxfId="475"/>
    <tableColumn id="5" xr3:uid="{25F8B45E-A68A-40F6-AADD-D3228D0F228B}" name="Weekly Content 3" dataDxfId="474"/>
  </tableColumns>
  <tableStyleInfo name="TableStyleMedium4"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102355DE-CDC7-4C13-A897-B84D0D96A8FC}" name="_4004SPS_Hours" displayName="_4004SPS_Hours" ref="C18:D24" totalsRowShown="0" headerRowDxfId="497" dataDxfId="470">
  <autoFilter ref="C18:D24" xr:uid="{B71A3569-AA65-4A4E-98A2-885F5C38B46D}">
    <filterColumn colId="0" hiddenButton="1"/>
    <filterColumn colId="1" hiddenButton="1"/>
  </autoFilter>
  <tableColumns count="2">
    <tableColumn id="1" xr3:uid="{E6DA5AB3-0374-477C-BB37-91CD5B04A8A7}" name="Component" dataDxfId="472"/>
    <tableColumn id="2" xr3:uid="{25171EA2-F360-4480-9A69-30F0637E5E19}" name="Contact Hours" dataDxfId="47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20E05B93-0CDB-4250-BCA8-9C03D039B5AA}" name="_4004SPS_Mapping" displayName="_4004SPS_Mapping" ref="C45:F66" totalsRowShown="0" headerRowDxfId="496" dataDxfId="465">
  <autoFilter ref="C45:F66" xr:uid="{E0A841BB-B6D5-4048-B5F2-18CF9F502EBA}">
    <filterColumn colId="0" hiddenButton="1"/>
    <filterColumn colId="1" hiddenButton="1"/>
    <filterColumn colId="2" hiddenButton="1"/>
    <filterColumn colId="3" hiddenButton="1"/>
  </autoFilter>
  <tableColumns count="4">
    <tableColumn id="1" xr3:uid="{5D5BD11A-55EF-4A54-875D-6C3259B55C2B}" name="Assessment No" dataDxfId="469"/>
    <tableColumn id="2" xr3:uid="{220CCF7F-D01D-41B9-83FA-AB3772B56C47}" name="LO Number" dataDxfId="468"/>
    <tableColumn id="3" xr3:uid="{35876AFA-8C5D-4EB6-A40B-8013521A5A47}" name="Graduate Skills Category" dataDxfId="467"/>
    <tableColumn id="4" xr3:uid="{8CC8B0ED-B11D-43C6-AB11-C69764FE383C}" name="Graduate Skill" dataDxfId="466"/>
  </tableColumns>
  <tableStyleInfo name="TableStyleMedium3"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AD421795-C657-4B23-85A2-74B0174B165C}" name="_4004SPS_Aims" displayName="_4004SPS_Aims" ref="F6:F8" totalsRowShown="0" headerRowDxfId="495" dataDxfId="463">
  <autoFilter ref="F6:F8" xr:uid="{9552138F-2332-4BC4-A585-0E13162881A5}"/>
  <tableColumns count="1">
    <tableColumn id="1" xr3:uid="{17C9A3A3-D0C1-421C-8D52-32617D054C2E}" name="Aims" dataDxfId="464"/>
  </tableColumns>
  <tableStyleInfo name="TableStyleMedium6"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4C708692-CFFF-4D84-88A9-BCE4B09138E0}" name="_4004SPS_Syllabus" displayName="_4004SPS_Syllabus" ref="F10:F13" totalsRowShown="0" headerRowDxfId="494" dataDxfId="461">
  <autoFilter ref="F10:F13" xr:uid="{94F18F67-3F10-4F6E-A953-4FE3399B07F2}"/>
  <tableColumns count="1">
    <tableColumn id="1" xr3:uid="{D7FF23A0-D568-4D96-9868-A6319DCE887A}" name="Outline Syllabus" dataDxfId="462"/>
  </tableColumns>
  <tableStyleInfo name="TableStyleMedium6"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54CADD0E-07B9-4D59-8E61-01F39F116463}" name="_4004SPS_Overview" displayName="_4004SPS_Overview" ref="F15:F20" totalsRowShown="0" headerRowDxfId="493" dataDxfId="459">
  <autoFilter ref="F15:F20" xr:uid="{1B2BCD7B-6C15-4B1C-86BC-48FF83D8F225}"/>
  <tableColumns count="1">
    <tableColumn id="1" xr3:uid="{E558D902-00D8-4FEB-8431-38F38D3FD8C5}" name="Module Overview" dataDxfId="460"/>
  </tableColumns>
  <tableStyleInfo name="TableStyleMedium6"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AF1F5DED-CF26-4C92-A936-AD81E729AA08}" name="_4004SPS_Notes" displayName="_4004SPS_Notes" ref="F22:F33" totalsRowShown="0" headerRowDxfId="492" dataDxfId="457">
  <autoFilter ref="F22:F33" xr:uid="{D5968C0A-6D7E-4221-87EE-78A85A4039B3}"/>
  <tableColumns count="1">
    <tableColumn id="1" xr3:uid="{C6EF2F48-EFDC-40BF-8A10-F2C80BC78705}" name="Additional Information/Notes" dataDxfId="458"/>
  </tableColumns>
  <tableStyleInfo name="TableStyleMedium6"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6C1815BC-3D96-4CE2-A3C0-E524ED84C584}" name="_4006SPS_Meta" displayName="_4006SPS_Meta" ref="C6:D14" totalsRowShown="0" headerRowDxfId="456" dataDxfId="444">
  <autoFilter ref="C6:D14" xr:uid="{CD75D2A7-14B1-4ABD-B64D-6E875F9BC652}">
    <filterColumn colId="0" hiddenButton="1"/>
    <filterColumn colId="1" hiddenButton="1"/>
  </autoFilter>
  <tableColumns count="2">
    <tableColumn id="1" xr3:uid="{5D38FCD1-7A3F-4025-AC69-E6A90C68A79E}" name="Module Data" dataDxfId="446"/>
    <tableColumn id="2" xr3:uid="{ACE861FD-0C1D-4D19-A0A8-AC83427FA81A}" name="Details" dataDxfId="445"/>
  </tableColumns>
  <tableStyleInfo name="TableStyleMedium6"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D5D2633F-A72A-4EBD-BB0D-2D2560E496A6}" name="_4006SPS_LO" displayName="_4006SPS_LO" ref="C28:D33" totalsRowShown="0" headerRowDxfId="455" dataDxfId="441">
  <autoFilter ref="C28:D33" xr:uid="{22316987-6BEB-4FAF-9619-BF9BE9909CFA}">
    <filterColumn colId="0" hiddenButton="1"/>
    <filterColumn colId="1" hiddenButton="1"/>
  </autoFilter>
  <tableColumns count="2">
    <tableColumn id="1" xr3:uid="{92FDE3DF-EAC0-4CA6-A5B4-E15BAAC4A01D}" name="LO Number" dataDxfId="443"/>
    <tableColumn id="2" xr3:uid="{A384CFCB-55B0-46B7-AF9A-FAAC6022096A}" name="LO Description" dataDxfId="442"/>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F820147B-082B-4FA1-97BA-0F1A0D69376D}" name="_4006SPS_Assess" displayName="_4006SPS_Assess" ref="C37:H41" totalsRowShown="0" headerRowDxfId="454" dataDxfId="43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2063B804-9290-4363-A24F-BA34F88A89EF}" name="Assessment No" dataDxfId="440"/>
    <tableColumn id="2" xr3:uid="{390EF809-FA62-405F-B84C-B2AD571CEBAA}" name="Assessment Type" dataDxfId="439"/>
    <tableColumn id="7" xr3:uid="{2B1618E6-AA98-4A15-AE0C-79993F1BAFB7}" name="Assessment Specific" dataDxfId="438"/>
    <tableColumn id="3" xr3:uid="{138C3352-0967-40A6-A5BE-4B32DEC01ACB}" name="Assessment Description" dataDxfId="437"/>
    <tableColumn id="4" xr3:uid="{F4B4B6BF-3460-42E3-849C-1BBE242E83C3}" name="Weighting" dataDxfId="436"/>
    <tableColumn id="5" xr3:uid="{E52307F9-F56A-42FC-9A76-6A630F2C5B71}" name="Due Week" dataDxfId="435"/>
  </tableColumns>
  <tableStyleInfo name="TableStyleMedium3"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036DF56C-F5DF-42FA-9C3E-466BEB6A9B25}" name="_4006SPS_Weekly" displayName="_4006SPS_Weekly" ref="B70:F94" totalsRowShown="0" headerRowDxfId="453" dataDxfId="428">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5D23D0B-4E1E-44F9-A154-416BAE9F0E6A}" name="Semester " dataDxfId="433"/>
    <tableColumn id="2" xr3:uid="{1B7B234D-0DD9-4913-9C62-18CC4E0FD5D6}" name="Week Number" dataDxfId="432"/>
    <tableColumn id="3" xr3:uid="{FDA6287D-7D09-41DC-96F1-E9BCD4B11D2E}" name="Weekly Content 1" dataDxfId="431"/>
    <tableColumn id="4" xr3:uid="{C104D628-2E09-432B-BC7A-B7E29838D1BD}" name="Weekly Content 2" dataDxfId="430"/>
    <tableColumn id="5" xr3:uid="{6CD950CC-83A5-4FD3-93FC-B284F6F6350E}" name="Weekly Content 3" dataDxfId="429"/>
  </tableColumns>
  <tableStyleInfo name="TableStyleMedium4"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92B2FE4A-AD2A-4354-81FF-92DECA27A716}" name="_4006SPS_Hours" displayName="_4006SPS_Hours" ref="C18:D24" totalsRowShown="0" headerRowDxfId="452" dataDxfId="425">
  <autoFilter ref="C18:D24" xr:uid="{B71A3569-AA65-4A4E-98A2-885F5C38B46D}">
    <filterColumn colId="0" hiddenButton="1"/>
    <filterColumn colId="1" hiddenButton="1"/>
  </autoFilter>
  <tableColumns count="2">
    <tableColumn id="1" xr3:uid="{27F817B7-6395-4976-9120-60D5C9775BA5}" name="Component" dataDxfId="427"/>
    <tableColumn id="2" xr3:uid="{D9B68E50-AFDD-4B94-80F2-BAB157C2FF40}" name="Contact Hours" dataDxfId="426"/>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BACD4F23-19CD-490A-863B-D357A075F62D}" name="_4006SPS_Mapping" displayName="_4006SPS_Mapping" ref="C45:F66" totalsRowShown="0" headerRowDxfId="451" dataDxfId="420">
  <autoFilter ref="C45:F66" xr:uid="{E0A841BB-B6D5-4048-B5F2-18CF9F502EBA}">
    <filterColumn colId="0" hiddenButton="1"/>
    <filterColumn colId="1" hiddenButton="1"/>
    <filterColumn colId="2" hiddenButton="1"/>
    <filterColumn colId="3" hiddenButton="1"/>
  </autoFilter>
  <tableColumns count="4">
    <tableColumn id="1" xr3:uid="{4320F17F-7532-4CD6-9873-A1CBAAFA9F7C}" name="Assessment No" dataDxfId="424"/>
    <tableColumn id="2" xr3:uid="{CF29F699-8C1A-4AC4-A563-FCBB128AC8F3}" name="LO Number" dataDxfId="423"/>
    <tableColumn id="3" xr3:uid="{B1082C18-E8C1-42F9-B74D-584EBA4A0A39}" name="Graduate Skills Category" dataDxfId="422"/>
    <tableColumn id="4" xr3:uid="{BD6D6488-ABFD-45B6-B06F-748690280986}" name="Graduate Skill" dataDxfId="421"/>
  </tableColumns>
  <tableStyleInfo name="TableStyleMedium3"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0BD2BE49-9025-454E-A9D0-BE88D8AF0F0B}" name="_4006SPS_Aims" displayName="_4006SPS_Aims" ref="F6:F8" totalsRowShown="0" headerRowDxfId="450" dataDxfId="418">
  <autoFilter ref="F6:F8" xr:uid="{9552138F-2332-4BC4-A585-0E13162881A5}"/>
  <tableColumns count="1">
    <tableColumn id="1" xr3:uid="{E2B338AF-53C9-469A-B45D-DF4BE4CCBDD0}" name="Aims" dataDxfId="419"/>
  </tableColumns>
  <tableStyleInfo name="TableStyleMedium6"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963A62B5-6BD6-4FF7-AC53-AE2CCA7AF0AD}" name="_4006SPS_Syllabus" displayName="_4006SPS_Syllabus" ref="F10:F13" totalsRowShown="0" headerRowDxfId="449" dataDxfId="416">
  <autoFilter ref="F10:F13" xr:uid="{94F18F67-3F10-4F6E-A953-4FE3399B07F2}"/>
  <tableColumns count="1">
    <tableColumn id="1" xr3:uid="{0B585185-EFA9-44AB-A953-91DF09E1C8F4}" name="Outline Syllabus" dataDxfId="417"/>
  </tableColumns>
  <tableStyleInfo name="TableStyleMedium6"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49D78F64-BBE3-4F16-BBE6-34802F612A15}" name="_4006SPS_Overview" displayName="_4006SPS_Overview" ref="F15:F20" totalsRowShown="0" headerRowDxfId="448" dataDxfId="414">
  <autoFilter ref="F15:F20" xr:uid="{1B2BCD7B-6C15-4B1C-86BC-48FF83D8F225}"/>
  <tableColumns count="1">
    <tableColumn id="1" xr3:uid="{8DA5C005-FC9F-4CBE-A281-B2B92A53526A}" name="Module Overview" dataDxfId="415"/>
  </tableColumns>
  <tableStyleInfo name="TableStyleMedium6"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3BE2516B-A7EA-432E-92EE-6643A09A6407}" name="_4006SPS_Notes" displayName="_4006SPS_Notes" ref="F22:F33" totalsRowShown="0" headerRowDxfId="447" dataDxfId="412">
  <autoFilter ref="F22:F33" xr:uid="{D5968C0A-6D7E-4221-87EE-78A85A4039B3}"/>
  <tableColumns count="1">
    <tableColumn id="1" xr3:uid="{D67854B5-D179-408B-A477-7F6E3033D84B}" name="Additional Information/Notes" dataDxfId="413"/>
  </tableColumns>
  <tableStyleInfo name="TableStyleMedium6"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D3D9C059-9C0F-4D85-8B52-4BE4E2F3A820}" name="_5001SPS_Meta" displayName="_5001SPS_Meta" ref="C6:D14" totalsRowShown="0" headerRowDxfId="411" dataDxfId="399">
  <autoFilter ref="C6:D14" xr:uid="{CD75D2A7-14B1-4ABD-B64D-6E875F9BC652}">
    <filterColumn colId="0" hiddenButton="1"/>
    <filterColumn colId="1" hiddenButton="1"/>
  </autoFilter>
  <tableColumns count="2">
    <tableColumn id="1" xr3:uid="{294825A0-B000-4273-A73D-4BDF1B0EEF00}" name="Module Data" dataDxfId="401"/>
    <tableColumn id="2" xr3:uid="{BFFFACD7-D0A7-40F6-BF15-469686406C3F}" name="Details" dataDxfId="400"/>
  </tableColumns>
  <tableStyleInfo name="TableStyleMedium6"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DD0C48BE-F6F8-4E15-8EEF-3079EE79AB53}" name="_5001SPS_LO" displayName="_5001SPS_LO" ref="C28:D33" totalsRowShown="0" headerRowDxfId="410" dataDxfId="396">
  <autoFilter ref="C28:D33" xr:uid="{22316987-6BEB-4FAF-9619-BF9BE9909CFA}">
    <filterColumn colId="0" hiddenButton="1"/>
    <filterColumn colId="1" hiddenButton="1"/>
  </autoFilter>
  <tableColumns count="2">
    <tableColumn id="1" xr3:uid="{EB0958A2-9E66-44D9-A8DF-610B48FE0AC6}" name="LO Number" dataDxfId="398"/>
    <tableColumn id="2" xr3:uid="{0F368925-4523-471B-A68D-184E05AABCF7}" name="LO Description" dataDxfId="397"/>
  </tableColumns>
  <tableStyleInfo name="TableStyleMedium2"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FBE7F226-F525-4AEE-9051-8E8C19804E49}" name="_5001SPS_Assess" displayName="_5001SPS_Assess" ref="C37:H41" totalsRowShown="0" headerRowDxfId="409" dataDxfId="38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1623195A-EACB-49C4-931F-4FDDF41A020A}" name="Assessment No" dataDxfId="395"/>
    <tableColumn id="2" xr3:uid="{1FA5C130-1C0E-45D6-8735-EA79A0166F2D}" name="Assessment Type" dataDxfId="394"/>
    <tableColumn id="7" xr3:uid="{34024CC2-5A32-45FD-95BD-978953E7F41B}" name="Assessment Specific" dataDxfId="393"/>
    <tableColumn id="3" xr3:uid="{5DA2B338-CCFE-4568-ACFD-CC8F0B883170}" name="Assessment Description" dataDxfId="392"/>
    <tableColumn id="4" xr3:uid="{597ADF95-B9B9-411B-8079-7F615E89550C}" name="Weighting" dataDxfId="391"/>
    <tableColumn id="5" xr3:uid="{A0D1FD19-8DF8-4595-ADE8-675937B4A7F4}" name="Due Week" dataDxfId="390"/>
  </tableColumns>
  <tableStyleInfo name="TableStyleMedium3"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7F94D071-7B51-4AEF-B4B4-033ED66B10D3}" name="_5001SPS_Weekly" displayName="_5001SPS_Weekly" ref="B70:F94" totalsRowShown="0" headerRowDxfId="408" dataDxfId="383">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57BA6DA9-286D-48FA-A29C-33DB01958BBC}" name="Semester " dataDxfId="388"/>
    <tableColumn id="2" xr3:uid="{633971FF-9E7F-4A44-865E-D409908313D1}" name="Week Number" dataDxfId="387"/>
    <tableColumn id="3" xr3:uid="{77413702-BFB9-4DEA-BF99-C2A188E22509}" name="Weekly Content 1" dataDxfId="386"/>
    <tableColumn id="4" xr3:uid="{DD1B7D42-32B3-4CC2-9308-AD66B052F8DB}" name="Weekly Content 2" dataDxfId="385"/>
    <tableColumn id="5" xr3:uid="{504E9A1A-C43C-49D3-BB42-E4DD5A49EFCE}" name="Weekly Content 3" dataDxfId="384"/>
  </tableColumns>
  <tableStyleInfo name="TableStyleMedium4"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E1658A09-6752-4A08-B64F-A2B57CA717E6}" name="_5001SPS_Hours" displayName="_5001SPS_Hours" ref="C18:D24" totalsRowShown="0" headerRowDxfId="407" dataDxfId="380">
  <autoFilter ref="C18:D24" xr:uid="{B71A3569-AA65-4A4E-98A2-885F5C38B46D}">
    <filterColumn colId="0" hiddenButton="1"/>
    <filterColumn colId="1" hiddenButton="1"/>
  </autoFilter>
  <tableColumns count="2">
    <tableColumn id="1" xr3:uid="{5D165BDB-09FC-4AAA-91DB-E67A247DFF72}" name="Component" dataDxfId="382"/>
    <tableColumn id="2" xr3:uid="{E28A3B10-E692-47D9-A3AD-18128B6A4794}" name="Contact Hours" dataDxfId="381"/>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374EC906-9B9F-48BF-8818-9671FFE04486}" name="_5001SPS_Mapping" displayName="_5001SPS_Mapping" ref="C45:F66" totalsRowShown="0" headerRowDxfId="406" dataDxfId="375">
  <autoFilter ref="C45:F66" xr:uid="{E0A841BB-B6D5-4048-B5F2-18CF9F502EBA}">
    <filterColumn colId="0" hiddenButton="1"/>
    <filterColumn colId="1" hiddenButton="1"/>
    <filterColumn colId="2" hiddenButton="1"/>
    <filterColumn colId="3" hiddenButton="1"/>
  </autoFilter>
  <tableColumns count="4">
    <tableColumn id="1" xr3:uid="{BF66E6C2-D388-4188-90AD-9408AE3ED7DA}" name="Assessment No" dataDxfId="379"/>
    <tableColumn id="2" xr3:uid="{A7D6827C-7020-4950-BD3E-00625169C68E}" name="LO Number" dataDxfId="378"/>
    <tableColumn id="3" xr3:uid="{1F68EB03-6C47-4955-9791-229A42D1A45A}" name="Graduate Skills Category" dataDxfId="377"/>
    <tableColumn id="4" xr3:uid="{1FD832D4-8E97-4B72-9B09-606CF407E6C7}" name="Graduate Skill" dataDxfId="376"/>
  </tableColumns>
  <tableStyleInfo name="TableStyleMedium3"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59817139-EB2F-4EEA-A5A5-14E06D17B2BD}" name="_5001SPS_Aims" displayName="_5001SPS_Aims" ref="F6:F8" totalsRowShown="0" headerRowDxfId="405" dataDxfId="373">
  <autoFilter ref="F6:F8" xr:uid="{9552138F-2332-4BC4-A585-0E13162881A5}"/>
  <tableColumns count="1">
    <tableColumn id="1" xr3:uid="{2EE5D059-BB6B-4406-AF24-CB56C5C24856}" name="Aims" dataDxfId="374"/>
  </tableColumns>
  <tableStyleInfo name="TableStyleMedium6"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32FF468F-C8D3-4B79-9797-F22B3B7B3D03}" name="_5001SPS_Syllabus" displayName="_5001SPS_Syllabus" ref="F10:F13" totalsRowShown="0" headerRowDxfId="404" dataDxfId="371">
  <autoFilter ref="F10:F13" xr:uid="{94F18F67-3F10-4F6E-A953-4FE3399B07F2}"/>
  <tableColumns count="1">
    <tableColumn id="1" xr3:uid="{CF8ACDF4-0E48-466C-AF99-EC810B28E6AF}" name="Outline Syllabus" dataDxfId="372"/>
  </tableColumns>
  <tableStyleInfo name="TableStyleMedium6"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38871805-3392-4A3F-AFF8-B6F3E2CBA152}" name="_5001SPS_Overview" displayName="_5001SPS_Overview" ref="F15:F20" totalsRowShown="0" headerRowDxfId="403" dataDxfId="369">
  <autoFilter ref="F15:F20" xr:uid="{1B2BCD7B-6C15-4B1C-86BC-48FF83D8F225}"/>
  <tableColumns count="1">
    <tableColumn id="1" xr3:uid="{C16E0E90-DC44-4185-AB55-C39332B32B2D}" name="Module Overview" dataDxfId="370"/>
  </tableColumns>
  <tableStyleInfo name="TableStyleMedium6"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641172B8-C240-400A-88D4-1BDB4D30A1C9}" name="_5001SPS_Notes" displayName="_5001SPS_Notes" ref="F22:F33" totalsRowShown="0" headerRowDxfId="402" dataDxfId="367">
  <autoFilter ref="F22:F33" xr:uid="{D5968C0A-6D7E-4221-87EE-78A85A4039B3}"/>
  <tableColumns count="1">
    <tableColumn id="1" xr3:uid="{719B4DA9-E67A-4094-A58E-921C645096BE}" name="Additional Information/Notes" dataDxfId="368"/>
  </tableColumns>
  <tableStyleInfo name="TableStyleMedium6"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C86E48D9-F82B-402B-A44C-BC8F8F7303D0}" name="_5014SPS_Meta" displayName="_5014SPS_Meta" ref="C6:D14" totalsRowShown="0" headerRowDxfId="366" dataDxfId="354">
  <autoFilter ref="C6:D14" xr:uid="{CD75D2A7-14B1-4ABD-B64D-6E875F9BC652}">
    <filterColumn colId="0" hiddenButton="1"/>
    <filterColumn colId="1" hiddenButton="1"/>
  </autoFilter>
  <tableColumns count="2">
    <tableColumn id="1" xr3:uid="{7833E623-ED87-40CE-93D2-B78B6A7D7E94}" name="Module Data" dataDxfId="356"/>
    <tableColumn id="2" xr3:uid="{0659839B-A1DA-4204-9267-1A4CC295A6EF}" name="Details" dataDxfId="355"/>
  </tableColumns>
  <tableStyleInfo name="TableStyleMedium6"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E32A9936-076B-4BC2-B13B-069BFBBB1804}" name="_5014SPS_LO" displayName="_5014SPS_LO" ref="C28:D33" totalsRowShown="0" headerRowDxfId="365" dataDxfId="351">
  <autoFilter ref="C28:D33" xr:uid="{22316987-6BEB-4FAF-9619-BF9BE9909CFA}">
    <filterColumn colId="0" hiddenButton="1"/>
    <filterColumn colId="1" hiddenButton="1"/>
  </autoFilter>
  <tableColumns count="2">
    <tableColumn id="1" xr3:uid="{FEDC5FCD-23F6-4532-A565-C979DFEE6452}" name="LO Number" dataDxfId="353"/>
    <tableColumn id="2" xr3:uid="{1F64A8B9-B360-490C-BD12-64A29F9CF82F}" name="LO Description" dataDxfId="352"/>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A199E17E-33E1-438A-8DFD-E5E7B9D9B6AD}" name="_5014SPS_Assess" displayName="_5014SPS_Assess" ref="C37:H41" totalsRowShown="0" headerRowDxfId="364" dataDxfId="34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257FCD3-320E-4A09-882E-104641C1FD58}" name="Assessment No" dataDxfId="350"/>
    <tableColumn id="2" xr3:uid="{0FE47FA8-B999-4405-B49D-E106E82A7509}" name="Assessment Type" dataDxfId="349"/>
    <tableColumn id="7" xr3:uid="{61D6D411-EDDD-4962-A754-A4B5EEB96263}" name="Assessment Specific" dataDxfId="348"/>
    <tableColumn id="3" xr3:uid="{1A288D47-FFDF-4BA0-94F1-9B647BE04DCC}" name="Assessment Description" dataDxfId="347"/>
    <tableColumn id="4" xr3:uid="{ED08857B-A938-490D-9B30-962DE64252AB}" name="Weighting" dataDxfId="346"/>
    <tableColumn id="5" xr3:uid="{581E13F4-4545-426B-8995-08E09758F5CB}" name="Due Week" dataDxfId="345"/>
  </tableColumns>
  <tableStyleInfo name="TableStyleMedium3"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CBF4AD49-2241-4DE3-B6F1-0E1C2F3DE17D}" name="_5014SPS_Weekly" displayName="_5014SPS_Weekly" ref="B70:F94" totalsRowShown="0" headerRowDxfId="363" dataDxfId="338">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D1DA16D2-1087-49A1-9BB0-8496A2968E4A}" name="Semester " dataDxfId="343"/>
    <tableColumn id="2" xr3:uid="{BED16F5A-D8C5-4300-A763-C0065F48E598}" name="Week Number" dataDxfId="342"/>
    <tableColumn id="3" xr3:uid="{1C3278D5-9F89-43C0-84A5-ACE6AE3BF8C8}" name="Weekly Content 1" dataDxfId="341"/>
    <tableColumn id="4" xr3:uid="{8ADEF497-35DC-4945-B42C-DCA4C8DB67C9}" name="Weekly Content 2" dataDxfId="340"/>
    <tableColumn id="5" xr3:uid="{E6B69E39-A78E-4994-8E8F-40C76F0002A1}" name="Weekly Content 3" dataDxfId="339"/>
  </tableColumns>
  <tableStyleInfo name="TableStyleMedium4"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2E7FD2E5-9819-4DDA-9192-9962A61B1C4E}" name="_5014SPS_Hours" displayName="_5014SPS_Hours" ref="C18:D24" totalsRowShown="0" headerRowDxfId="362" dataDxfId="335">
  <autoFilter ref="C18:D24" xr:uid="{B71A3569-AA65-4A4E-98A2-885F5C38B46D}">
    <filterColumn colId="0" hiddenButton="1"/>
    <filterColumn colId="1" hiddenButton="1"/>
  </autoFilter>
  <tableColumns count="2">
    <tableColumn id="1" xr3:uid="{2FFE33E1-E3D8-499A-B70C-70494FCFC11F}" name="Component" dataDxfId="337"/>
    <tableColumn id="2" xr3:uid="{D8D74B7C-DED1-4107-9D9B-A69709137AF1}" name="Contact Hours" dataDxfId="336"/>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568775CE-CA9A-402A-A796-7C84FDD56B4E}" name="_5014SPS_Mapping" displayName="_5014SPS_Mapping" ref="C45:F66" totalsRowShown="0" headerRowDxfId="361" dataDxfId="330">
  <autoFilter ref="C45:F66" xr:uid="{E0A841BB-B6D5-4048-B5F2-18CF9F502EBA}">
    <filterColumn colId="0" hiddenButton="1"/>
    <filterColumn colId="1" hiddenButton="1"/>
    <filterColumn colId="2" hiddenButton="1"/>
    <filterColumn colId="3" hiddenButton="1"/>
  </autoFilter>
  <tableColumns count="4">
    <tableColumn id="1" xr3:uid="{1EFBBED1-A4EE-4381-813E-E578917BA7ED}" name="Assessment No" dataDxfId="334"/>
    <tableColumn id="2" xr3:uid="{3DE98FE2-3138-46D6-BD99-F2FB47042775}" name="LO Number" dataDxfId="333"/>
    <tableColumn id="3" xr3:uid="{810A03D8-C153-4962-9C3C-D761D27C4A3F}" name="Graduate Skills Category" dataDxfId="332"/>
    <tableColumn id="4" xr3:uid="{C3B0D1F6-1274-4ED1-9705-01F40BB1E2F2}" name="Graduate Skill" dataDxfId="331"/>
  </tableColumns>
  <tableStyleInfo name="TableStyleMedium3"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DF6D575A-6B50-40E0-9195-2B0B7EBAA31D}" name="_5014SPS_Aims" displayName="_5014SPS_Aims" ref="F6:F8" totalsRowShown="0" headerRowDxfId="360" dataDxfId="328">
  <autoFilter ref="F6:F8" xr:uid="{9552138F-2332-4BC4-A585-0E13162881A5}"/>
  <tableColumns count="1">
    <tableColumn id="1" xr3:uid="{C445F0C7-61B3-46CB-A56F-67D79AE54D5C}" name="Aims" dataDxfId="329"/>
  </tableColumns>
  <tableStyleInfo name="TableStyleMedium6"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4737D9A0-1182-4F4B-8A02-69208479CE71}" name="_5014SPS_Syllabus" displayName="_5014SPS_Syllabus" ref="F10:F13" totalsRowShown="0" headerRowDxfId="359" dataDxfId="326">
  <autoFilter ref="F10:F13" xr:uid="{94F18F67-3F10-4F6E-A953-4FE3399B07F2}"/>
  <tableColumns count="1">
    <tableColumn id="1" xr3:uid="{CAABEA9D-6FBF-459A-AD97-585A17318A01}" name="Outline Syllabus" dataDxfId="327"/>
  </tableColumns>
  <tableStyleInfo name="TableStyleMedium6"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235D63BF-CDCE-4B35-AC53-8391B5EC5408}" name="_5014SPS_Overview" displayName="_5014SPS_Overview" ref="F15:F20" totalsRowShown="0" headerRowDxfId="358" dataDxfId="324">
  <autoFilter ref="F15:F20" xr:uid="{1B2BCD7B-6C15-4B1C-86BC-48FF83D8F225}"/>
  <tableColumns count="1">
    <tableColumn id="1" xr3:uid="{A14625FC-0807-41B3-BEF3-09E7E979EFED}" name="Module Overview" dataDxfId="325"/>
  </tableColumns>
  <tableStyleInfo name="TableStyleMedium6"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69E4EB89-A002-43BB-BD42-A6CBE09A1C1C}" name="_5014SPS_Notes" displayName="_5014SPS_Notes" ref="F22:F33" totalsRowShown="0" headerRowDxfId="357" dataDxfId="322">
  <autoFilter ref="F22:F33" xr:uid="{D5968C0A-6D7E-4221-87EE-78A85A4039B3}"/>
  <tableColumns count="1">
    <tableColumn id="1" xr3:uid="{0F69CA79-BA33-4E25-8FA9-233F7FC95036}" name="Additional Information/Notes" dataDxfId="323"/>
  </tableColumns>
  <tableStyleInfo name="TableStyleMedium6"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17E94F5D-87D3-4DF8-986C-B28A1AFAD773}" name="_5015SPS_Meta" displayName="_5015SPS_Meta" ref="C6:D14" totalsRowShown="0" headerRowDxfId="321" dataDxfId="309">
  <autoFilter ref="C6:D14" xr:uid="{CD75D2A7-14B1-4ABD-B64D-6E875F9BC652}">
    <filterColumn colId="0" hiddenButton="1"/>
    <filterColumn colId="1" hiddenButton="1"/>
  </autoFilter>
  <tableColumns count="2">
    <tableColumn id="1" xr3:uid="{DC5E8FB2-F1EF-4C76-ADAD-8DF1D4236058}" name="Module Data" dataDxfId="311"/>
    <tableColumn id="2" xr3:uid="{3CEC4644-C90E-484A-BB04-BC7E2522484B}" name="Details" dataDxfId="310"/>
  </tableColumns>
  <tableStyleInfo name="TableStyleMedium6"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9E236EF1-A2F6-44EA-9CD3-686F2C6247E0}" name="_5015SPS_LO" displayName="_5015SPS_LO" ref="C28:D33" totalsRowShown="0" headerRowDxfId="320" dataDxfId="306">
  <autoFilter ref="C28:D33" xr:uid="{22316987-6BEB-4FAF-9619-BF9BE9909CFA}">
    <filterColumn colId="0" hiddenButton="1"/>
    <filterColumn colId="1" hiddenButton="1"/>
  </autoFilter>
  <tableColumns count="2">
    <tableColumn id="1" xr3:uid="{96E1C0A4-F310-4104-877A-16C95A9DF8F8}" name="LO Number" dataDxfId="308"/>
    <tableColumn id="2" xr3:uid="{5193B932-1BB4-4665-BB60-1094CB27D2FB}" name="LO Description" dataDxfId="307"/>
  </tableColumns>
  <tableStyleInfo name="TableStyleMedium2"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8FFE59E6-A839-4DF2-B28B-BA390FAAC7FF}" name="_5015SPS_Assess" displayName="_5015SPS_Assess" ref="C37:H41" totalsRowShown="0" headerRowDxfId="319" dataDxfId="29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0154566D-F16C-483F-9906-53214A1163EC}" name="Assessment No" dataDxfId="305"/>
    <tableColumn id="2" xr3:uid="{F6CC8F23-24C9-49E1-A7E1-F0C42C5E4062}" name="Assessment Type" dataDxfId="304"/>
    <tableColumn id="7" xr3:uid="{23445359-B102-481A-9626-644EC1147971}" name="Assessment Specific" dataDxfId="303"/>
    <tableColumn id="3" xr3:uid="{09F68760-DB1D-47DA-9C3B-991E85819122}" name="Assessment Description" dataDxfId="302"/>
    <tableColumn id="4" xr3:uid="{9C4EFAF0-0549-4906-AB40-C8046612A4D0}" name="Weighting" dataDxfId="301"/>
    <tableColumn id="5" xr3:uid="{6867F2EF-8B96-4C7F-A3F0-4AD115D6B611}" name="Due Week" dataDxfId="300"/>
  </tableColumns>
  <tableStyleInfo name="TableStyleMedium3"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563A272D-E3F6-4799-9E67-4B36BC407350}" name="_5015SPS_Weekly" displayName="_5015SPS_Weekly" ref="B70:F94" totalsRowShown="0" headerRowDxfId="318" dataDxfId="293">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DB0408B6-1C06-4309-B9B2-E387A6531EBC}" name="Semester " dataDxfId="298"/>
    <tableColumn id="2" xr3:uid="{3DC0D0B8-ED93-4FAA-ACD1-6A257B8D7D8B}" name="Week Number" dataDxfId="297"/>
    <tableColumn id="3" xr3:uid="{396A1CD9-0EA8-4576-AC19-41A37C40C78C}" name="Weekly Content 1" dataDxfId="296"/>
    <tableColumn id="4" xr3:uid="{27E6FFD2-4BB2-4380-B643-929F8059E10C}" name="Weekly Content 2" dataDxfId="295"/>
    <tableColumn id="5" xr3:uid="{5D410880-EC3B-476E-B727-61773B3F1720}" name="Weekly Content 3" dataDxfId="294"/>
  </tableColumns>
  <tableStyleInfo name="TableStyleMedium4"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2034533F-3C96-4BBB-B91F-96B2BF107FF6}" name="_5015SPS_Hours" displayName="_5015SPS_Hours" ref="C18:D24" totalsRowShown="0" headerRowDxfId="317" dataDxfId="290">
  <autoFilter ref="C18:D24" xr:uid="{B71A3569-AA65-4A4E-98A2-885F5C38B46D}">
    <filterColumn colId="0" hiddenButton="1"/>
    <filterColumn colId="1" hiddenButton="1"/>
  </autoFilter>
  <tableColumns count="2">
    <tableColumn id="1" xr3:uid="{50ADF208-83C1-48D5-9F5C-65E697F266B7}" name="Component" dataDxfId="292"/>
    <tableColumn id="2" xr3:uid="{1EADC3A3-1557-4323-A40A-C84AEA0F188A}" name="Contact Hours" dataDxfId="291"/>
  </tableColumns>
  <tableStyleInfo name="TableStyleMedium2"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5BB88119-4CEC-4B9F-9734-616397E661D4}" name="_5015SPS_Mapping" displayName="_5015SPS_Mapping" ref="C45:F66" totalsRowShown="0" headerRowDxfId="316" dataDxfId="285">
  <autoFilter ref="C45:F66" xr:uid="{E0A841BB-B6D5-4048-B5F2-18CF9F502EBA}">
    <filterColumn colId="0" hiddenButton="1"/>
    <filterColumn colId="1" hiddenButton="1"/>
    <filterColumn colId="2" hiddenButton="1"/>
    <filterColumn colId="3" hiddenButton="1"/>
  </autoFilter>
  <tableColumns count="4">
    <tableColumn id="1" xr3:uid="{4F176BC0-31BF-4358-B856-EFBB6BB7AAB0}" name="Assessment No" dataDxfId="289"/>
    <tableColumn id="2" xr3:uid="{162D175A-F572-46B3-8399-9FF334864C28}" name="LO Number" dataDxfId="288"/>
    <tableColumn id="3" xr3:uid="{4B8F87D6-8076-4256-870F-FFB0D542729A}" name="Graduate Skills Category" dataDxfId="287"/>
    <tableColumn id="4" xr3:uid="{3DB5254F-E5B1-45EA-B3FC-772579673F08}" name="Graduate Skill" dataDxfId="286"/>
  </tableColumns>
  <tableStyleInfo name="TableStyleMedium3"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66D0C022-EFBE-4464-91FC-F436D7DFB43A}" name="_5015SPS_Aims" displayName="_5015SPS_Aims" ref="F6:F8" totalsRowShown="0" headerRowDxfId="315" dataDxfId="283">
  <autoFilter ref="F6:F8" xr:uid="{9552138F-2332-4BC4-A585-0E13162881A5}"/>
  <tableColumns count="1">
    <tableColumn id="1" xr3:uid="{D5911F00-3A12-4884-94FA-2461F2E6A773}" name="Aims" dataDxfId="284"/>
  </tableColumns>
  <tableStyleInfo name="TableStyleMedium6"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5F89D8F4-40FF-4A85-91D9-660D46503FEA}" name="_5015SPS_Syllabus" displayName="_5015SPS_Syllabus" ref="F10:F13" totalsRowShown="0" headerRowDxfId="314" dataDxfId="281">
  <autoFilter ref="F10:F13" xr:uid="{94F18F67-3F10-4F6E-A953-4FE3399B07F2}"/>
  <tableColumns count="1">
    <tableColumn id="1" xr3:uid="{1984609B-7A7C-44AA-A114-5466EF451351}" name="Outline Syllabus" dataDxfId="282"/>
  </tableColumns>
  <tableStyleInfo name="TableStyleMedium6"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2CE8D45C-F32D-403F-87CE-50D315C2F149}" name="_5015SPS_Overview" displayName="_5015SPS_Overview" ref="F15:F20" totalsRowShown="0" headerRowDxfId="313" dataDxfId="279">
  <autoFilter ref="F15:F20" xr:uid="{1B2BCD7B-6C15-4B1C-86BC-48FF83D8F225}"/>
  <tableColumns count="1">
    <tableColumn id="1" xr3:uid="{19A46962-3EFC-4EE2-ACCE-5363E30EDC4F}" name="Module Overview" dataDxfId="280"/>
  </tableColumns>
  <tableStyleInfo name="TableStyleMedium6"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9A33D543-C10F-446B-A3DE-E3B66E260D5A}" name="_5015SPS_Notes" displayName="_5015SPS_Notes" ref="F22:F33" totalsRowShown="0" headerRowDxfId="312" dataDxfId="277">
  <autoFilter ref="F22:F33" xr:uid="{D5968C0A-6D7E-4221-87EE-78A85A4039B3}"/>
  <tableColumns count="1">
    <tableColumn id="1" xr3:uid="{EEDA3204-13C4-4B95-A550-B650C09B689D}" name="Additional Information/Notes" dataDxfId="278"/>
  </tableColumns>
  <tableStyleInfo name="TableStyleMedium6"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74B2B836-FEE3-4D8C-A583-FCE8AD37DA97}" name="_5005SPS_Meta" displayName="_5005SPS_Meta" ref="C6:D14" totalsRowShown="0" headerRowDxfId="276" dataDxfId="264">
  <autoFilter ref="C6:D14" xr:uid="{CD75D2A7-14B1-4ABD-B64D-6E875F9BC652}">
    <filterColumn colId="0" hiddenButton="1"/>
    <filterColumn colId="1" hiddenButton="1"/>
  </autoFilter>
  <tableColumns count="2">
    <tableColumn id="1" xr3:uid="{4312B193-D095-44A4-B0FA-8864AE0BCBEF}" name="Module Data" dataDxfId="266"/>
    <tableColumn id="2" xr3:uid="{4F08D2F7-88F2-4061-857B-CBAD6623F570}" name="Details" dataDxfId="265"/>
  </tableColumns>
  <tableStyleInfo name="TableStyleMedium6"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6B4EAB99-124D-42E9-8E49-DC0D3280A770}" name="_5005SPS_LO" displayName="_5005SPS_LO" ref="C28:D33" totalsRowShown="0" headerRowDxfId="275" dataDxfId="261">
  <autoFilter ref="C28:D33" xr:uid="{22316987-6BEB-4FAF-9619-BF9BE9909CFA}">
    <filterColumn colId="0" hiddenButton="1"/>
    <filterColumn colId="1" hiddenButton="1"/>
  </autoFilter>
  <tableColumns count="2">
    <tableColumn id="1" xr3:uid="{87282965-A2DA-4B4E-8D06-98090F28BEEF}" name="LO Number" dataDxfId="263"/>
    <tableColumn id="2" xr3:uid="{5860F21B-133F-4A88-A61B-07CF39BC7E21}" name="LO Description" dataDxfId="262"/>
  </tableColumns>
  <tableStyleInfo name="TableStyleMedium2"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C3B225F4-04B9-42E5-AA5E-0B231BCFA0EF}" name="_5005SPS_Assess" displayName="_5005SPS_Assess" ref="C37:H41" totalsRowShown="0" headerRowDxfId="274" dataDxfId="25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8DF47951-A7BD-47A8-B1ED-B6F5AF65DA1D}" name="Assessment No" dataDxfId="260"/>
    <tableColumn id="2" xr3:uid="{02E86080-DD71-4108-821B-E566F188DEA2}" name="Assessment Type" dataDxfId="259"/>
    <tableColumn id="7" xr3:uid="{47CA01EB-2FAC-4F47-BB5B-4ACF9B64B490}" name="Assessment Specific" dataDxfId="258"/>
    <tableColumn id="3" xr3:uid="{FBD48AF8-7B7F-4162-9266-C7CCFD60F0E7}" name="Assessment Description" dataDxfId="257"/>
    <tableColumn id="4" xr3:uid="{B1C6A884-1B35-475C-8890-451E2B62B45B}" name="Weighting" dataDxfId="256"/>
    <tableColumn id="5" xr3:uid="{52275FFC-C744-424D-9DA8-F4384F058801}" name="Due Week" dataDxfId="255"/>
  </tableColumns>
  <tableStyleInfo name="TableStyleMedium3"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811C1444-7D9D-41F0-B07B-761DA8B67262}" name="_5005SPS_Weekly" displayName="_5005SPS_Weekly" ref="B70:F94" totalsRowShown="0" headerRowDxfId="273" dataDxfId="248">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A171258-098F-40B4-886F-EAA2D59C0870}" name="Semester " dataDxfId="253"/>
    <tableColumn id="2" xr3:uid="{F2C231FA-6829-4DDE-AADC-3E8FA43A1138}" name="Week Number" dataDxfId="252"/>
    <tableColumn id="3" xr3:uid="{BF2905C5-0007-47A2-850C-6A3A59009B1B}" name="Weekly Content 1" dataDxfId="251"/>
    <tableColumn id="4" xr3:uid="{87E349A9-C7DB-4B62-AE2D-73DF6FE87FF2}" name="Weekly Content 2" dataDxfId="250"/>
    <tableColumn id="5" xr3:uid="{9335E186-D4FA-4BC9-96F6-48CA2E66C8B8}" name="Weekly Content 3" dataDxfId="249"/>
  </tableColumns>
  <tableStyleInfo name="TableStyleMedium4"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A93C3D93-C0B3-4DC1-A2AD-C094B48CCC3E}" name="_5005SPS_Hours" displayName="_5005SPS_Hours" ref="C18:D24" totalsRowShown="0" headerRowDxfId="272" dataDxfId="245">
  <autoFilter ref="C18:D24" xr:uid="{B71A3569-AA65-4A4E-98A2-885F5C38B46D}">
    <filterColumn colId="0" hiddenButton="1"/>
    <filterColumn colId="1" hiddenButton="1"/>
  </autoFilter>
  <tableColumns count="2">
    <tableColumn id="1" xr3:uid="{9CDDC04F-6E44-4B1D-B2F7-BCFB91288FF8}" name="Component" dataDxfId="247"/>
    <tableColumn id="2" xr3:uid="{0A78BA71-0A43-4908-AD5D-EAD433A8F0CB}" name="Contact Hours" dataDxfId="246"/>
  </tableColumns>
  <tableStyleInfo name="TableStyleMedium2"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074D72A6-497B-41F6-AEDC-764E0477FB4D}" name="_5005SPS_Mapping" displayName="_5005SPS_Mapping" ref="C45:F66" totalsRowShown="0" headerRowDxfId="271" dataDxfId="240">
  <autoFilter ref="C45:F66" xr:uid="{E0A841BB-B6D5-4048-B5F2-18CF9F502EBA}">
    <filterColumn colId="0" hiddenButton="1"/>
    <filterColumn colId="1" hiddenButton="1"/>
    <filterColumn colId="2" hiddenButton="1"/>
    <filterColumn colId="3" hiddenButton="1"/>
  </autoFilter>
  <tableColumns count="4">
    <tableColumn id="1" xr3:uid="{EACDE5D0-DCC0-4C25-9632-DAE8298C79C4}" name="Assessment No" dataDxfId="244"/>
    <tableColumn id="2" xr3:uid="{38F835BE-5EB1-4FFA-8259-BEB6E39C8FA1}" name="LO Number" dataDxfId="243"/>
    <tableColumn id="3" xr3:uid="{C6B979A3-0E5A-464F-B5CD-CBA3047E98BE}" name="Graduate Skills Category" dataDxfId="242"/>
    <tableColumn id="4" xr3:uid="{2D7AD4B8-14A9-4533-A3C6-5E7125BAACC7}" name="Graduate Skill" dataDxfId="241"/>
  </tableColumns>
  <tableStyleInfo name="TableStyleMedium3"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03DFB63D-58AB-47FF-9208-A470E9348B6F}" name="_5005SPS_Aims" displayName="_5005SPS_Aims" ref="F6:F8" totalsRowShown="0" headerRowDxfId="270" dataDxfId="238">
  <autoFilter ref="F6:F8" xr:uid="{9552138F-2332-4BC4-A585-0E13162881A5}"/>
  <tableColumns count="1">
    <tableColumn id="1" xr3:uid="{9E1F2909-CE11-40D2-90E4-0F2548AB10B2}" name="Aims" dataDxfId="239"/>
  </tableColumns>
  <tableStyleInfo name="TableStyleMedium6"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5CFA8ECE-8F57-4ECA-B2A5-317B767EA53F}" name="_5005SPS_Syllabus" displayName="_5005SPS_Syllabus" ref="F10:F13" totalsRowShown="0" headerRowDxfId="269" dataDxfId="236">
  <autoFilter ref="F10:F13" xr:uid="{94F18F67-3F10-4F6E-A953-4FE3399B07F2}"/>
  <tableColumns count="1">
    <tableColumn id="1" xr3:uid="{454BC257-77E7-4C9C-B231-D65E8EE20325}" name="Outline Syllabus" dataDxfId="237"/>
  </tableColumns>
  <tableStyleInfo name="TableStyleMedium6"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3CDE255B-3A1A-451C-A13C-91436E9FCF71}" name="_5005SPS_Overview" displayName="_5005SPS_Overview" ref="F15:F20" totalsRowShown="0" headerRowDxfId="268" dataDxfId="234">
  <autoFilter ref="F15:F20" xr:uid="{1B2BCD7B-6C15-4B1C-86BC-48FF83D8F225}"/>
  <tableColumns count="1">
    <tableColumn id="1" xr3:uid="{D37E1C0D-C9AF-4C78-BCFF-8B2CE993F50A}" name="Module Overview" dataDxfId="235"/>
  </tableColumns>
  <tableStyleInfo name="TableStyleMedium6"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1D041108-8D42-47AB-9472-C648C6F01A1B}" name="_5005SPS_Notes" displayName="_5005SPS_Notes" ref="F22:F33" totalsRowShown="0" headerRowDxfId="267" dataDxfId="232">
  <autoFilter ref="F22:F33" xr:uid="{D5968C0A-6D7E-4221-87EE-78A85A4039B3}"/>
  <tableColumns count="1">
    <tableColumn id="1" xr3:uid="{E8342C1A-2B62-4E1C-B80B-B12917066000}" name="Additional Information/Notes" dataDxfId="233"/>
  </tableColumns>
  <tableStyleInfo name="TableStyleMedium6"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85DC69C9-BE42-468F-B2BB-4E80EFAA9DB8}" name="_6003SPS_Meta" displayName="_6003SPS_Meta" ref="C6:D14" totalsRowShown="0" headerRowDxfId="231" dataDxfId="219">
  <autoFilter ref="C6:D14" xr:uid="{CD75D2A7-14B1-4ABD-B64D-6E875F9BC652}">
    <filterColumn colId="0" hiddenButton="1"/>
    <filterColumn colId="1" hiddenButton="1"/>
  </autoFilter>
  <tableColumns count="2">
    <tableColumn id="1" xr3:uid="{EB65BA05-1DE9-4FD7-BDBD-BDE47DF298A4}" name="Module Data" dataDxfId="221"/>
    <tableColumn id="2" xr3:uid="{310F2A93-D88D-4CC8-AC0C-C016B97380F6}" name="Details" dataDxfId="220"/>
  </tableColumns>
  <tableStyleInfo name="TableStyleMedium6"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F0EF7517-CDCA-4E4C-9047-154277CCFA43}" name="_6003SPS_LO" displayName="_6003SPS_LO" ref="C28:D33" totalsRowShown="0" headerRowDxfId="230" dataDxfId="216">
  <autoFilter ref="C28:D33" xr:uid="{22316987-6BEB-4FAF-9619-BF9BE9909CFA}">
    <filterColumn colId="0" hiddenButton="1"/>
    <filterColumn colId="1" hiddenButton="1"/>
  </autoFilter>
  <tableColumns count="2">
    <tableColumn id="1" xr3:uid="{2DA2E0DF-8487-4F48-AD57-6C8EF1F6A824}" name="LO Number" dataDxfId="218"/>
    <tableColumn id="2" xr3:uid="{5F671E3D-DB5F-4A86-A8E8-215D497F640F}" name="LO Description" dataDxfId="217"/>
  </tableColumns>
  <tableStyleInfo name="TableStyleMedium2"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1BB2DB77-32B9-47E3-B172-5236610AB17A}" name="_6003SPS_Assess" displayName="_6003SPS_Assess" ref="C37:H41" totalsRowShown="0" headerRowDxfId="229" dataDxfId="20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786E370-A6E2-472B-A06D-0B294D362273}" name="Assessment No" dataDxfId="215"/>
    <tableColumn id="2" xr3:uid="{99037CEE-E227-4DE7-AC0C-42C69784F090}" name="Assessment Type" dataDxfId="214"/>
    <tableColumn id="7" xr3:uid="{EE90A0B1-86AF-42EC-AB37-5E98D709E3E4}" name="Assessment Specific" dataDxfId="213"/>
    <tableColumn id="3" xr3:uid="{8B0C1721-2FDC-4C1A-AECE-975C6F1434A1}" name="Assessment Description" dataDxfId="212"/>
    <tableColumn id="4" xr3:uid="{876D72EC-520F-497B-8AC7-6AF0A5409783}" name="Weighting" dataDxfId="211"/>
    <tableColumn id="5" xr3:uid="{31A1A910-0DF5-428E-806F-6E026C606C3B}" name="Due Week" dataDxfId="210"/>
  </tableColumns>
  <tableStyleInfo name="TableStyleMedium3"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407C2B80-44A8-4EFD-ACE8-01F8593CF4E1}" name="_6003SPS_Weekly" displayName="_6003SPS_Weekly" ref="B70:F94" totalsRowShown="0" headerRowDxfId="228" dataDxfId="203">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F8C77D5A-A698-44A7-A4E3-08630D8FD36A}" name="Semester " dataDxfId="208"/>
    <tableColumn id="2" xr3:uid="{8C49AFEC-B460-42E3-B373-FC0AB260F379}" name="Week Number" dataDxfId="207"/>
    <tableColumn id="3" xr3:uid="{A81B53B3-7EE2-4FDF-9110-0A8C17CA27E0}" name="Weekly Content 1" dataDxfId="206"/>
    <tableColumn id="4" xr3:uid="{362C63E5-C442-416C-9DB4-4F34D3EDDEF3}" name="Weekly Content 2" dataDxfId="205"/>
    <tableColumn id="5" xr3:uid="{E3C14089-4743-4CA8-9480-E777866BAF64}" name="Weekly Content 3" dataDxfId="204"/>
  </tableColumns>
  <tableStyleInfo name="TableStyleMedium4"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6A30B449-6643-4D56-A6EF-AE96296A3D03}" name="_6003SPS_Hours" displayName="_6003SPS_Hours" ref="C18:D24" totalsRowShown="0" headerRowDxfId="227" dataDxfId="200">
  <autoFilter ref="C18:D24" xr:uid="{B71A3569-AA65-4A4E-98A2-885F5C38B46D}">
    <filterColumn colId="0" hiddenButton="1"/>
    <filterColumn colId="1" hiddenButton="1"/>
  </autoFilter>
  <tableColumns count="2">
    <tableColumn id="1" xr3:uid="{7C918E81-2521-4CC2-B784-37E43EEC3CDD}" name="Component" dataDxfId="202"/>
    <tableColumn id="2" xr3:uid="{0D2A69D7-E2F7-4C5C-8E4D-714C66054E76}" name="Contact Hours" dataDxfId="201"/>
  </tableColumns>
  <tableStyleInfo name="TableStyleMedium2"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0723641A-ADF0-4C69-969E-9516C86FC569}" name="_6003SPS_Mapping" displayName="_6003SPS_Mapping" ref="C45:F66" totalsRowShown="0" headerRowDxfId="226" dataDxfId="195">
  <autoFilter ref="C45:F66" xr:uid="{E0A841BB-B6D5-4048-B5F2-18CF9F502EBA}">
    <filterColumn colId="0" hiddenButton="1"/>
    <filterColumn colId="1" hiddenButton="1"/>
    <filterColumn colId="2" hiddenButton="1"/>
    <filterColumn colId="3" hiddenButton="1"/>
  </autoFilter>
  <tableColumns count="4">
    <tableColumn id="1" xr3:uid="{B6420078-6983-409A-AD6E-9EAEEF45A138}" name="Assessment No" dataDxfId="199"/>
    <tableColumn id="2" xr3:uid="{8D3D6147-F8A2-4D54-BC97-772B8CE44EA3}" name="LO Number" dataDxfId="198"/>
    <tableColumn id="3" xr3:uid="{C41D8ED0-797F-45E8-B847-5F5796F9B51E}" name="Graduate Skills Category" dataDxfId="197"/>
    <tableColumn id="4" xr3:uid="{28997C86-0364-497D-A258-1C7BA682BCAA}" name="Graduate Skill" dataDxfId="196"/>
  </tableColumns>
  <tableStyleInfo name="TableStyleMedium3"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17BE3C87-0560-4F04-B07A-C606EE2CC56D}" name="_6003SPS_Aims" displayName="_6003SPS_Aims" ref="F6:F8" totalsRowShown="0" headerRowDxfId="225" dataDxfId="193">
  <autoFilter ref="F6:F8" xr:uid="{9552138F-2332-4BC4-A585-0E13162881A5}"/>
  <tableColumns count="1">
    <tableColumn id="1" xr3:uid="{3E728AAA-21E1-43D6-98EC-781D610D5B5C}" name="Aims" dataDxfId="194"/>
  </tableColumns>
  <tableStyleInfo name="TableStyleMedium6"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24DBD723-9435-4154-9659-24C8E488A767}" name="_6003SPS_Syllabus" displayName="_6003SPS_Syllabus" ref="F10:F13" totalsRowShown="0" headerRowDxfId="224" dataDxfId="191">
  <autoFilter ref="F10:F13" xr:uid="{94F18F67-3F10-4F6E-A953-4FE3399B07F2}"/>
  <tableColumns count="1">
    <tableColumn id="1" xr3:uid="{CAFF733E-EEBF-4C10-ACD1-A6DDCD33C63A}" name="Outline Syllabus" dataDxfId="192"/>
  </tableColumns>
  <tableStyleInfo name="TableStyleMedium6"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C47F6AB6-EF50-4395-B0F7-E6C315358556}" name="_6003SPS_Overview" displayName="_6003SPS_Overview" ref="F15:F20" totalsRowShown="0" headerRowDxfId="223" dataDxfId="189">
  <autoFilter ref="F15:F20" xr:uid="{1B2BCD7B-6C15-4B1C-86BC-48FF83D8F225}"/>
  <tableColumns count="1">
    <tableColumn id="1" xr3:uid="{3D131B43-1A6C-42C4-B635-F81D00AEF103}" name="Module Overview" dataDxfId="190"/>
  </tableColumns>
  <tableStyleInfo name="TableStyleMedium6"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759B136A-3D50-4F87-9E82-4E8BACD02961}" name="_6003SPS_Notes" displayName="_6003SPS_Notes" ref="F22:F33" totalsRowShown="0" headerRowDxfId="222" dataDxfId="187">
  <autoFilter ref="F22:F33" xr:uid="{D5968C0A-6D7E-4221-87EE-78A85A4039B3}"/>
  <tableColumns count="1">
    <tableColumn id="1" xr3:uid="{DBD01D3B-64A5-4A59-96FF-8858AB682507}" name="Additional Information/Notes" dataDxfId="188"/>
  </tableColumns>
  <tableStyleInfo name="TableStyleMedium6"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5270F11D-EB2D-4D37-A0C7-A548812199C3}" name="_6004SPS_Meta" displayName="_6004SPS_Meta" ref="C6:D14" totalsRowShown="0" headerRowDxfId="186" dataDxfId="174">
  <autoFilter ref="C6:D14" xr:uid="{CD75D2A7-14B1-4ABD-B64D-6E875F9BC652}">
    <filterColumn colId="0" hiddenButton="1"/>
    <filterColumn colId="1" hiddenButton="1"/>
  </autoFilter>
  <tableColumns count="2">
    <tableColumn id="1" xr3:uid="{29D4E0BE-5C0F-4EF3-BF95-85E95BCEF890}" name="Module Data" dataDxfId="176"/>
    <tableColumn id="2" xr3:uid="{8CF62EB8-FFB4-436A-9EE3-575FDB15387F}" name="Details" dataDxfId="175"/>
  </tableColumns>
  <tableStyleInfo name="TableStyleMedium6"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237020EB-E434-4CF8-BA7F-AAE80EFFA7DE}" name="_6004SPS_LO" displayName="_6004SPS_LO" ref="C28:D33" totalsRowShown="0" headerRowDxfId="185" dataDxfId="171">
  <autoFilter ref="C28:D33" xr:uid="{22316987-6BEB-4FAF-9619-BF9BE9909CFA}">
    <filterColumn colId="0" hiddenButton="1"/>
    <filterColumn colId="1" hiddenButton="1"/>
  </autoFilter>
  <tableColumns count="2">
    <tableColumn id="1" xr3:uid="{ABACB5F8-1C23-4668-B7BA-EF2517F6F237}" name="LO Number" dataDxfId="173"/>
    <tableColumn id="2" xr3:uid="{16EFEC94-FB26-48E6-A1CD-F272E329A036}" name="LO Description" dataDxfId="172"/>
  </tableColumns>
  <tableStyleInfo name="TableStyleMedium2"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D1E80F96-254A-4374-9350-7B1F947FEA77}" name="_6004SPS_Assess" displayName="_6004SPS_Assess" ref="C37:H41" totalsRowShown="0" headerRowDxfId="184" dataDxfId="16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0550122-E287-466F-A05A-EEEF3BC2A7B1}" name="Assessment No" dataDxfId="170"/>
    <tableColumn id="2" xr3:uid="{2BC12B11-B6CF-4E7C-B492-9E71A2A4DCFC}" name="Assessment Type" dataDxfId="169"/>
    <tableColumn id="7" xr3:uid="{F22466C0-E91B-4130-82AB-931BDD5DAFD5}" name="Assessment Specific" dataDxfId="168"/>
    <tableColumn id="3" xr3:uid="{A2D2688F-0CD2-442B-B2C4-399FA320B460}" name="Assessment Description" dataDxfId="167"/>
    <tableColumn id="4" xr3:uid="{9C3172F4-207C-490E-A1A4-3782CCE0F62E}" name="Weighting" dataDxfId="166"/>
    <tableColumn id="5" xr3:uid="{5D552087-F8C1-4DC6-AB58-461CAA57A675}" name="Due Week" dataDxfId="165"/>
  </tableColumns>
  <tableStyleInfo name="TableStyleMedium3"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A4E79B66-A399-44F9-AC05-30A8D8E4EFFC}" name="_6004SPS_Weekly" displayName="_6004SPS_Weekly" ref="B70:F94" totalsRowShown="0" headerRowDxfId="183" dataDxfId="158">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761211FD-07C5-4C60-8E49-B011DF71603B}" name="Semester " dataDxfId="163"/>
    <tableColumn id="2" xr3:uid="{C3767A97-7DDC-4C9C-BAA0-36AD5C496EEE}" name="Week Number" dataDxfId="162"/>
    <tableColumn id="3" xr3:uid="{ECEBB099-0848-4BF9-A0F1-A91B05144BDE}" name="Weekly Content 1" dataDxfId="161"/>
    <tableColumn id="4" xr3:uid="{C2073020-3A29-4533-9629-7F40A8DD2B8B}" name="Weekly Content 2" dataDxfId="160"/>
    <tableColumn id="5" xr3:uid="{6345D17D-CE7F-4BE7-9354-5B3222EE1FDE}" name="Weekly Content 3" dataDxfId="159"/>
  </tableColumns>
  <tableStyleInfo name="TableStyleMedium4"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BDFBF6B0-B509-44BE-828C-EF93C1923EC6}" name="_6004SPS_Hours" displayName="_6004SPS_Hours" ref="C18:D24" totalsRowShown="0" headerRowDxfId="182" dataDxfId="155">
  <autoFilter ref="C18:D24" xr:uid="{B71A3569-AA65-4A4E-98A2-885F5C38B46D}">
    <filterColumn colId="0" hiddenButton="1"/>
    <filterColumn colId="1" hiddenButton="1"/>
  </autoFilter>
  <tableColumns count="2">
    <tableColumn id="1" xr3:uid="{B46B0870-C95C-4D4E-B01A-05CA40485288}" name="Component" dataDxfId="157"/>
    <tableColumn id="2" xr3:uid="{A34E191B-0F4D-40A9-98C4-DFC5C0ED5B03}" name="Contact Hours" dataDxfId="156"/>
  </tableColumns>
  <tableStyleInfo name="TableStyleMedium2"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F74075A1-DA58-473A-9E54-24D876995322}" name="_6004SPS_Mapping" displayName="_6004SPS_Mapping" ref="C45:F66" totalsRowShown="0" headerRowDxfId="181" dataDxfId="150">
  <autoFilter ref="C45:F66" xr:uid="{E0A841BB-B6D5-4048-B5F2-18CF9F502EBA}">
    <filterColumn colId="0" hiddenButton="1"/>
    <filterColumn colId="1" hiddenButton="1"/>
    <filterColumn colId="2" hiddenButton="1"/>
    <filterColumn colId="3" hiddenButton="1"/>
  </autoFilter>
  <tableColumns count="4">
    <tableColumn id="1" xr3:uid="{33F03CAC-37A3-4CB5-BBBE-230DBDFC5B6B}" name="Assessment No" dataDxfId="154"/>
    <tableColumn id="2" xr3:uid="{D948967E-B1D8-422E-BC05-E5DE64BFE116}" name="LO Number" dataDxfId="153"/>
    <tableColumn id="3" xr3:uid="{41BBFD1D-FBB9-4518-8884-EB40901F4694}" name="Graduate Skills Category" dataDxfId="152"/>
    <tableColumn id="4" xr3:uid="{913662D7-6EF1-491B-A990-50699C27238F}" name="Graduate Skill" dataDxfId="151"/>
  </tableColumns>
  <tableStyleInfo name="TableStyleMedium3"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5AE026F8-16C4-406D-B110-7288CB09E506}" name="_6004SPS_Aims" displayName="_6004SPS_Aims" ref="F6:F8" totalsRowShown="0" headerRowDxfId="180" dataDxfId="148">
  <autoFilter ref="F6:F8" xr:uid="{9552138F-2332-4BC4-A585-0E13162881A5}"/>
  <tableColumns count="1">
    <tableColumn id="1" xr3:uid="{2CF6523F-40A9-456F-8FAA-4363371E379D}" name="Aims" dataDxfId="149"/>
  </tableColumns>
  <tableStyleInfo name="TableStyleMedium6"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7E8C1BBC-E995-4B58-8CC6-9D5E3880A081}" name="_6004SPS_Syllabus" displayName="_6004SPS_Syllabus" ref="F10:F13" totalsRowShown="0" headerRowDxfId="179" dataDxfId="146">
  <autoFilter ref="F10:F13" xr:uid="{94F18F67-3F10-4F6E-A953-4FE3399B07F2}"/>
  <tableColumns count="1">
    <tableColumn id="1" xr3:uid="{5BDD719A-56F8-4CFB-8C2B-B09D9EFEEBC9}" name="Outline Syllabus" dataDxfId="147"/>
  </tableColumns>
  <tableStyleInfo name="TableStyleMedium6"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3B6B7C2B-C63A-4C91-BFC7-FEAD7D7A4AAB}" name="_6004SPS_Overview" displayName="_6004SPS_Overview" ref="F15:F20" totalsRowShown="0" headerRowDxfId="178" dataDxfId="144">
  <autoFilter ref="F15:F20" xr:uid="{1B2BCD7B-6C15-4B1C-86BC-48FF83D8F225}"/>
  <tableColumns count="1">
    <tableColumn id="1" xr3:uid="{6FA2E212-5F86-4DAE-AF6E-5A52409DCB13}" name="Module Overview" dataDxfId="145"/>
  </tableColumns>
  <tableStyleInfo name="TableStyleMedium6"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B8EDE4E8-58B3-4823-B749-470799FC0595}" name="_6004SPS_Notes" displayName="_6004SPS_Notes" ref="F22:F33" totalsRowShown="0" headerRowDxfId="177" dataDxfId="142">
  <autoFilter ref="F22:F33" xr:uid="{D5968C0A-6D7E-4221-87EE-78A85A4039B3}"/>
  <tableColumns count="1">
    <tableColumn id="1" xr3:uid="{8FE8F154-AB86-4DDE-9840-555725F99393}" name="Additional Information/Notes" dataDxfId="143"/>
  </tableColumns>
  <tableStyleInfo name="TableStyleMedium6"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EB3195DA-61BF-4DC3-AA26-8375196AC911}" name="_6007SPS_Meta" displayName="_6007SPS_Meta" ref="C6:D14" totalsRowShown="0" headerRowDxfId="141" dataDxfId="129">
  <autoFilter ref="C6:D14" xr:uid="{CD75D2A7-14B1-4ABD-B64D-6E875F9BC652}">
    <filterColumn colId="0" hiddenButton="1"/>
    <filterColumn colId="1" hiddenButton="1"/>
  </autoFilter>
  <tableColumns count="2">
    <tableColumn id="1" xr3:uid="{259296C2-F94D-4D8E-8A48-375C8B32976A}" name="Module Data" dataDxfId="131"/>
    <tableColumn id="2" xr3:uid="{FBE26AB7-C871-483E-8BF5-3102A6CBA6A9}" name="Details" dataDxfId="130"/>
  </tableColumns>
  <tableStyleInfo name="TableStyleMedium6"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0B0C6758-C764-42DF-8334-275486F59160}" name="_6007SPS_LO" displayName="_6007SPS_LO" ref="C28:D33" totalsRowShown="0" headerRowDxfId="140" dataDxfId="126">
  <autoFilter ref="C28:D33" xr:uid="{22316987-6BEB-4FAF-9619-BF9BE9909CFA}">
    <filterColumn colId="0" hiddenButton="1"/>
    <filterColumn colId="1" hiddenButton="1"/>
  </autoFilter>
  <tableColumns count="2">
    <tableColumn id="1" xr3:uid="{A4A042E5-B73A-4E95-83BE-374230EAEF75}" name="LO Number" dataDxfId="128"/>
    <tableColumn id="2" xr3:uid="{4CC50DE2-34DC-4FAA-BB54-72EB81C5A918}" name="LO Description" dataDxfId="127"/>
  </tableColumns>
  <tableStyleInfo name="TableStyleMedium2"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3825F8F9-FE98-45C9-AC62-4DE90913B2D5}" name="_6007SPS_Assess" displayName="_6007SPS_Assess" ref="C37:H41" totalsRowShown="0" headerRowDxfId="139" dataDxfId="11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B86A69A5-1E61-43A0-B8A8-D409B7E2AEA6}" name="Assessment No" dataDxfId="125"/>
    <tableColumn id="2" xr3:uid="{846FFE48-B8E8-4A55-98C3-5451769A8EB5}" name="Assessment Type" dataDxfId="124"/>
    <tableColumn id="7" xr3:uid="{82AE06D6-F94C-441D-B6C3-297200BD5794}" name="Assessment Specific" dataDxfId="123"/>
    <tableColumn id="3" xr3:uid="{FEAAD1E7-46DD-4E01-9EEE-AB9037A04A09}" name="Assessment Description" dataDxfId="122"/>
    <tableColumn id="4" xr3:uid="{C4BFD846-DFE3-41AB-966C-3EFB00B2A790}" name="Weighting" dataDxfId="121"/>
    <tableColumn id="5" xr3:uid="{476F5563-CB55-4B33-88F8-D363824819FD}" name="Due Week" dataDxfId="120"/>
  </tableColumns>
  <tableStyleInfo name="TableStyleMedium3"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D46EDFDA-9AB0-4331-B17D-30F807C2D6D5}" name="_6007SPS_Weekly" displayName="_6007SPS_Weekly" ref="B70:F94" totalsRowShown="0" headerRowDxfId="138" dataDxfId="113">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68B6C85-E233-4451-9163-94A920B533E6}" name="Semester " dataDxfId="118"/>
    <tableColumn id="2" xr3:uid="{B9620A06-7C82-4FF4-995F-02655A14B62E}" name="Week Number" dataDxfId="117"/>
    <tableColumn id="3" xr3:uid="{90BEA63A-0B10-4F26-B07B-76B2D9A73B94}" name="Weekly Content 1" dataDxfId="116"/>
    <tableColumn id="4" xr3:uid="{BA0A787E-3BAF-4419-9436-D40693419273}" name="Weekly Content 2" dataDxfId="115"/>
    <tableColumn id="5" xr3:uid="{3E95C25D-5EE2-483B-B9C6-B69D6222BD63}" name="Weekly Content 3" dataDxfId="114"/>
  </tableColumns>
  <tableStyleInfo name="TableStyleMedium4"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B7F0130C-63E7-417A-B41E-9C3A0D03AD17}" name="_6007SPS_Hours" displayName="_6007SPS_Hours" ref="C18:D24" totalsRowShown="0" headerRowDxfId="137" dataDxfId="110">
  <autoFilter ref="C18:D24" xr:uid="{B71A3569-AA65-4A4E-98A2-885F5C38B46D}">
    <filterColumn colId="0" hiddenButton="1"/>
    <filterColumn colId="1" hiddenButton="1"/>
  </autoFilter>
  <tableColumns count="2">
    <tableColumn id="1" xr3:uid="{17D1F957-8C58-47BC-9BD8-09011C101FC1}" name="Component" dataDxfId="112"/>
    <tableColumn id="2" xr3:uid="{F76831A8-1692-44D6-9D6D-3D5E7EBE7CB7}" name="Contact Hours" dataDxfId="111"/>
  </tableColumns>
  <tableStyleInfo name="TableStyleMedium2"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6E2263C1-7862-4289-A529-F692C072B024}" name="_6007SPS_Mapping" displayName="_6007SPS_Mapping" ref="C45:F66" totalsRowShown="0" headerRowDxfId="136" dataDxfId="105">
  <autoFilter ref="C45:F66" xr:uid="{E0A841BB-B6D5-4048-B5F2-18CF9F502EBA}">
    <filterColumn colId="0" hiddenButton="1"/>
    <filterColumn colId="1" hiddenButton="1"/>
    <filterColumn colId="2" hiddenButton="1"/>
    <filterColumn colId="3" hiddenButton="1"/>
  </autoFilter>
  <tableColumns count="4">
    <tableColumn id="1" xr3:uid="{5FF07F7A-0B59-4A66-94E8-2AA6F3FABE01}" name="Assessment No" dataDxfId="109"/>
    <tableColumn id="2" xr3:uid="{AFA09957-495C-47A6-9409-B82CF20C9FEE}" name="LO Number" dataDxfId="108"/>
    <tableColumn id="3" xr3:uid="{4A6EF506-39E0-4A77-AB9A-A419A13B11BA}" name="Graduate Skills Category" dataDxfId="107"/>
    <tableColumn id="4" xr3:uid="{1CC8553E-650D-4CC9-BCBD-8A5C77CF26BC}" name="Graduate Skill" dataDxfId="106"/>
  </tableColumns>
  <tableStyleInfo name="TableStyleMedium3"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F218F218-BF90-416D-B952-D9393923801D}" name="_6007SPS_Aims" displayName="_6007SPS_Aims" ref="F6:F8" totalsRowShown="0" headerRowDxfId="135" dataDxfId="103">
  <autoFilter ref="F6:F8" xr:uid="{9552138F-2332-4BC4-A585-0E13162881A5}"/>
  <tableColumns count="1">
    <tableColumn id="1" xr3:uid="{8B84DA76-C73A-484B-AB85-93CE53A85FF5}" name="Aims" dataDxfId="104"/>
  </tableColumns>
  <tableStyleInfo name="TableStyleMedium6"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9405DABE-6D82-46AB-84E5-8BBBD87BD0BB}" name="_6007SPS_Syllabus" displayName="_6007SPS_Syllabus" ref="F10:F13" totalsRowShown="0" headerRowDxfId="134" dataDxfId="101">
  <autoFilter ref="F10:F13" xr:uid="{94F18F67-3F10-4F6E-A953-4FE3399B07F2}"/>
  <tableColumns count="1">
    <tableColumn id="1" xr3:uid="{7BB23C35-AB5C-4E42-B2E9-C41B68F5AF1F}" name="Outline Syllabus" dataDxfId="102"/>
  </tableColumns>
  <tableStyleInfo name="TableStyleMedium6"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7AFB107C-53D3-4975-A4F4-CAB65BC99D03}" name="_6007SPS_Overview" displayName="_6007SPS_Overview" ref="F15:F20" totalsRowShown="0" headerRowDxfId="133" dataDxfId="99">
  <autoFilter ref="F15:F20" xr:uid="{1B2BCD7B-6C15-4B1C-86BC-48FF83D8F225}"/>
  <tableColumns count="1">
    <tableColumn id="1" xr3:uid="{A7EAB096-E6DB-40BE-B37B-256679A7DD5C}" name="Module Overview" dataDxfId="100"/>
  </tableColumns>
  <tableStyleInfo name="TableStyleMedium6"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D37E2A52-3152-415A-95CE-C4D6FD7B7CAC}" name="_6007SPS_Notes" displayName="_6007SPS_Notes" ref="F22:F33" totalsRowShown="0" headerRowDxfId="132" dataDxfId="97">
  <autoFilter ref="F22:F33" xr:uid="{D5968C0A-6D7E-4221-87EE-78A85A4039B3}"/>
  <tableColumns count="1">
    <tableColumn id="1" xr3:uid="{C72ADE2C-BCB8-499B-B1B7-EDB3A3B2FE5B}" name="Additional Information/Notes" dataDxfId="98"/>
  </tableColumns>
  <tableStyleInfo name="TableStyleMedium6"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40940089-4244-43F1-B97C-810AAAE444CF}" name="_6008SPS_Meta" displayName="_6008SPS_Meta" ref="C6:D14" totalsRowShown="0" headerRowDxfId="96" dataDxfId="84">
  <autoFilter ref="C6:D14" xr:uid="{CD75D2A7-14B1-4ABD-B64D-6E875F9BC652}">
    <filterColumn colId="0" hiddenButton="1"/>
    <filterColumn colId="1" hiddenButton="1"/>
  </autoFilter>
  <tableColumns count="2">
    <tableColumn id="1" xr3:uid="{070BBF13-BA41-4DE1-A713-FB0E8630711C}" name="Module Data" dataDxfId="86"/>
    <tableColumn id="2" xr3:uid="{0E3F0926-B28A-4EA7-AAE9-E35BEC0A4DF5}" name="Details" dataDxfId="85"/>
  </tableColumns>
  <tableStyleInfo name="TableStyleMedium6"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0696BD3D-C247-4096-9138-5992AFD94B43}" name="_6008SPS_LO" displayName="_6008SPS_LO" ref="C28:D33" totalsRowShown="0" headerRowDxfId="95" dataDxfId="81">
  <autoFilter ref="C28:D33" xr:uid="{22316987-6BEB-4FAF-9619-BF9BE9909CFA}">
    <filterColumn colId="0" hiddenButton="1"/>
    <filterColumn colId="1" hiddenButton="1"/>
  </autoFilter>
  <tableColumns count="2">
    <tableColumn id="1" xr3:uid="{6088F306-C9B4-4ED7-9EEC-A674129ECCC9}" name="LO Number" dataDxfId="83"/>
    <tableColumn id="2" xr3:uid="{43834854-BE01-444E-8E1C-AE64963B358A}" name="LO Description" dataDxfId="82"/>
  </tableColumns>
  <tableStyleInfo name="TableStyleMedium2"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F396ADA4-3F6E-4C44-8B94-249567CBD6BD}" name="_6008SPS_Assess" displayName="_6008SPS_Assess" ref="C37:H41" totalsRowShown="0" headerRowDxfId="94" dataDxfId="7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2E1276A-52B5-424B-9BBA-9CC123ECC641}" name="Assessment No" dataDxfId="80"/>
    <tableColumn id="2" xr3:uid="{E2407AF6-3C98-4FD1-B31B-CB85A955F2E3}" name="Assessment Type" dataDxfId="79"/>
    <tableColumn id="7" xr3:uid="{803004E8-4057-430E-BD7F-E6A122487416}" name="Assessment Specific" dataDxfId="78"/>
    <tableColumn id="3" xr3:uid="{E82EABFF-0858-4F25-A741-AD63FC636934}" name="Assessment Description" dataDxfId="77"/>
    <tableColumn id="4" xr3:uid="{C435B8B1-D65F-4F43-8C3B-45550CBDD4FC}" name="Weighting" dataDxfId="76"/>
    <tableColumn id="5" xr3:uid="{03FBD12C-63B3-45F3-8CCB-172C1C96BB7E}" name="Due Week" dataDxfId="75"/>
  </tableColumns>
  <tableStyleInfo name="TableStyleMedium3"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C8359A26-B512-45F8-8655-ACB9669F3576}" name="_6008SPS_Weekly" displayName="_6008SPS_Weekly" ref="B70:F94" totalsRowShown="0" headerRowDxfId="93" dataDxfId="68">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92701B6C-B731-4332-A2BC-EDB90DA0F8C9}" name="Semester " dataDxfId="73"/>
    <tableColumn id="2" xr3:uid="{0DEEBD8D-895D-4DB2-9CAB-767B56867428}" name="Week Number" dataDxfId="72"/>
    <tableColumn id="3" xr3:uid="{7E2D8092-2899-4612-BA2F-D50BF49F0F02}" name="Weekly Content 1" dataDxfId="71"/>
    <tableColumn id="4" xr3:uid="{543E0828-8F90-405C-8DC4-A27DEA150475}" name="Weekly Content 2" dataDxfId="70"/>
    <tableColumn id="5" xr3:uid="{CFCB0F41-D4BE-4456-B805-D7551BF9E83C}" name="Weekly Content 3" dataDxfId="69"/>
  </tableColumns>
  <tableStyleInfo name="TableStyleMedium4"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AE8A534E-D29F-4551-AB97-6D70C45149F5}" name="_6008SPS_Hours" displayName="_6008SPS_Hours" ref="C18:D24" totalsRowShown="0" headerRowDxfId="92" dataDxfId="65">
  <autoFilter ref="C18:D24" xr:uid="{B71A3569-AA65-4A4E-98A2-885F5C38B46D}">
    <filterColumn colId="0" hiddenButton="1"/>
    <filterColumn colId="1" hiddenButton="1"/>
  </autoFilter>
  <tableColumns count="2">
    <tableColumn id="1" xr3:uid="{A95790DB-8258-4803-8284-4A4A89FC1A81}" name="Component" dataDxfId="67"/>
    <tableColumn id="2" xr3:uid="{F8CDBB8B-28A2-40B8-8AB1-6707537C499B}" name="Contact Hours" dataDxfId="66"/>
  </tableColumns>
  <tableStyleInfo name="TableStyleMedium2"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56D173C9-B42C-49E7-9D87-A5745A22D1C2}" name="_6008SPS_Mapping" displayName="_6008SPS_Mapping" ref="C45:F66" totalsRowShown="0" headerRowDxfId="91" dataDxfId="60">
  <autoFilter ref="C45:F66" xr:uid="{E0A841BB-B6D5-4048-B5F2-18CF9F502EBA}">
    <filterColumn colId="0" hiddenButton="1"/>
    <filterColumn colId="1" hiddenButton="1"/>
    <filterColumn colId="2" hiddenButton="1"/>
    <filterColumn colId="3" hiddenButton="1"/>
  </autoFilter>
  <tableColumns count="4">
    <tableColumn id="1" xr3:uid="{01E2F7EB-60A0-4C13-A872-0336F07EDF9F}" name="Assessment No" dataDxfId="64"/>
    <tableColumn id="2" xr3:uid="{0A9CFE48-B3C3-4D3C-9F56-3062488E96D8}" name="LO Number" dataDxfId="63"/>
    <tableColumn id="3" xr3:uid="{F14AC592-27AF-4E15-B730-92515D2D5861}" name="Graduate Skills Category" dataDxfId="62"/>
    <tableColumn id="4" xr3:uid="{33BA90E8-AAD8-435C-9AC1-A549EDBF7228}" name="Graduate Skill" dataDxfId="61"/>
  </tableColumns>
  <tableStyleInfo name="TableStyleMedium3"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2059C37A-58BE-4D59-894C-B91B91BF8452}" name="_6008SPS_Aims" displayName="_6008SPS_Aims" ref="F6:F8" totalsRowShown="0" headerRowDxfId="90" dataDxfId="58">
  <autoFilter ref="F6:F8" xr:uid="{9552138F-2332-4BC4-A585-0E13162881A5}"/>
  <tableColumns count="1">
    <tableColumn id="1" xr3:uid="{95B55738-9EA9-42EF-9542-C1E475114357}" name="Aims" dataDxfId="59"/>
  </tableColumns>
  <tableStyleInfo name="TableStyleMedium6"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1" xr:uid="{D10F85BC-1345-43FC-B85A-FF83FDB98376}" name="_6008SPS_Syllabus" displayName="_6008SPS_Syllabus" ref="F10:F13" totalsRowShown="0" headerRowDxfId="89" dataDxfId="56">
  <autoFilter ref="F10:F13" xr:uid="{94F18F67-3F10-4F6E-A953-4FE3399B07F2}"/>
  <tableColumns count="1">
    <tableColumn id="1" xr3:uid="{773F3BC1-153C-4CA9-9626-F7014E9C09FC}" name="Outline Syllabus" dataDxfId="57"/>
  </tableColumns>
  <tableStyleInfo name="TableStyleMedium6"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2" xr:uid="{9361160D-E085-4AC4-8943-5386B5E8545C}" name="_6008SPS_Overview" displayName="_6008SPS_Overview" ref="F15:F20" totalsRowShown="0" headerRowDxfId="88" dataDxfId="54">
  <autoFilter ref="F15:F20" xr:uid="{1B2BCD7B-6C15-4B1C-86BC-48FF83D8F225}"/>
  <tableColumns count="1">
    <tableColumn id="1" xr3:uid="{5AB497BE-0287-4B15-828E-068ECF632096}" name="Module Overview" dataDxfId="55"/>
  </tableColumns>
  <tableStyleInfo name="TableStyleMedium6"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3" xr:uid="{2BD2469B-FE6E-4B79-8C1A-DBD7F029C0E0}" name="_6008SPS_Notes" displayName="_6008SPS_Notes" ref="F22:F33" totalsRowShown="0" headerRowDxfId="87" dataDxfId="52">
  <autoFilter ref="F22:F33" xr:uid="{D5968C0A-6D7E-4221-87EE-78A85A4039B3}"/>
  <tableColumns count="1">
    <tableColumn id="1" xr3:uid="{050403C8-321F-4DA4-B6C6-73EFBF9C2B3A}" name="Additional Information/Notes" dataDxfId="53"/>
  </tableColumns>
  <tableStyleInfo name="TableStyleMedium6"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4" xr:uid="{624550D8-3246-406D-9203-C76D3E1169A8}" name="_6006SPS_Meta" displayName="_6006SPS_Meta" ref="C6:D14" totalsRowShown="0" headerRowDxfId="51" dataDxfId="39">
  <autoFilter ref="C6:D14" xr:uid="{CD75D2A7-14B1-4ABD-B64D-6E875F9BC652}">
    <filterColumn colId="0" hiddenButton="1"/>
    <filterColumn colId="1" hiddenButton="1"/>
  </autoFilter>
  <tableColumns count="2">
    <tableColumn id="1" xr3:uid="{F75C39EB-FA62-46B2-BBD7-C15273288588}" name="Module Data" dataDxfId="41"/>
    <tableColumn id="2" xr3:uid="{AFAD978E-7AB7-41A9-B9E1-ABF4834D59E6}" name="Details" dataDxfId="40"/>
  </tableColumns>
  <tableStyleInfo name="TableStyleMedium6"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5" xr:uid="{B3A0DF70-76CC-43CC-B01A-C5B9F6018DA1}" name="_6006SPS_LO" displayName="_6006SPS_LO" ref="C28:D33" totalsRowShown="0" headerRowDxfId="50" dataDxfId="36">
  <autoFilter ref="C28:D33" xr:uid="{22316987-6BEB-4FAF-9619-BF9BE9909CFA}">
    <filterColumn colId="0" hiddenButton="1"/>
    <filterColumn colId="1" hiddenButton="1"/>
  </autoFilter>
  <tableColumns count="2">
    <tableColumn id="1" xr3:uid="{03889838-3692-4CDB-B3C9-843AC2EB8510}" name="LO Number" dataDxfId="38"/>
    <tableColumn id="2" xr3:uid="{EBF4F997-F685-4171-8E33-10C81A9AA6BD}" name="LO Description" dataDxfId="37"/>
  </tableColumns>
  <tableStyleInfo name="TableStyleMedium2"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6" xr:uid="{D5DD12BE-6599-42D1-AC02-0B9161A223C5}" name="_6006SPS_Assess" displayName="_6006SPS_Assess" ref="C37:H41" totalsRowShown="0" headerRowDxfId="49" dataDxfId="2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4894FCF-0035-4C97-A904-AD8F7449DA67}" name="Assessment No" dataDxfId="35"/>
    <tableColumn id="2" xr3:uid="{154AA898-EB51-423F-971E-2D54E7AE168D}" name="Assessment Type" dataDxfId="34"/>
    <tableColumn id="7" xr3:uid="{9983984E-B1DF-4F0D-9268-C2C69B7257DE}" name="Assessment Specific" dataDxfId="33"/>
    <tableColumn id="3" xr3:uid="{7393D08E-D15D-482F-94F5-3955E2087F8B}" name="Assessment Description" dataDxfId="32"/>
    <tableColumn id="4" xr3:uid="{A7B8D88B-748B-437A-9A1C-F9ED211ABF56}" name="Weighting" dataDxfId="31"/>
    <tableColumn id="5" xr3:uid="{79ED1616-9922-40C9-8AED-68B6819817F9}" name="Due Week" dataDxfId="30"/>
  </tableColumns>
  <tableStyleInfo name="TableStyleMedium3"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7" xr:uid="{5549275A-166A-4CD3-9308-81EDEF3B26DB}" name="_6006SPS_Weekly" displayName="_6006SPS_Weekly" ref="B70:F94" totalsRowShown="0" headerRowDxfId="48" dataDxfId="23">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B7FA3159-D6A2-414C-94D8-A2E8568CD41C}" name="Semester " dataDxfId="28"/>
    <tableColumn id="2" xr3:uid="{FFEC1971-8BF4-44B8-BD5C-805779F987C9}" name="Week Number" dataDxfId="27"/>
    <tableColumn id="3" xr3:uid="{A9F5297B-ACA7-4D9D-842B-9A24FD16BA05}" name="Weekly Content 1" dataDxfId="26"/>
    <tableColumn id="4" xr3:uid="{B96BEEEA-7F39-4C28-9F20-2E7BAC5D76C4}" name="Weekly Content 2" dataDxfId="25"/>
    <tableColumn id="5" xr3:uid="{6D853DE2-8A0D-4998-B49D-5DECC81696CA}" name="Weekly Content 3" dataDxfId="24"/>
  </tableColumns>
  <tableStyleInfo name="TableStyleMedium4"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8" xr:uid="{C3DF0F01-A9D0-4761-8965-A2F4863E2A4E}" name="_6006SPS_Hours" displayName="_6006SPS_Hours" ref="C18:D24" totalsRowShown="0" headerRowDxfId="47" dataDxfId="20">
  <autoFilter ref="C18:D24" xr:uid="{B71A3569-AA65-4A4E-98A2-885F5C38B46D}">
    <filterColumn colId="0" hiddenButton="1"/>
    <filterColumn colId="1" hiddenButton="1"/>
  </autoFilter>
  <tableColumns count="2">
    <tableColumn id="1" xr3:uid="{E1F6A0CE-A0D1-484E-806D-5F1EE294F6C5}" name="Component" dataDxfId="22"/>
    <tableColumn id="2" xr3:uid="{C29C0E16-5D02-4470-B9A3-F33C24B509D3}" name="Contact Hours" dataDxfId="21"/>
  </tableColumns>
  <tableStyleInfo name="TableStyleMedium2"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9" xr:uid="{D55D786C-9F3A-48CE-8767-1DD44ED57855}" name="_6006SPS_Mapping" displayName="_6006SPS_Mapping" ref="C45:F66" totalsRowShown="0" headerRowDxfId="46" dataDxfId="15">
  <autoFilter ref="C45:F66" xr:uid="{E0A841BB-B6D5-4048-B5F2-18CF9F502EBA}">
    <filterColumn colId="0" hiddenButton="1"/>
    <filterColumn colId="1" hiddenButton="1"/>
    <filterColumn colId="2" hiddenButton="1"/>
    <filterColumn colId="3" hiddenButton="1"/>
  </autoFilter>
  <tableColumns count="4">
    <tableColumn id="1" xr3:uid="{351B8FDB-16CD-4D24-AF2C-C5AD529DF595}" name="Assessment No" dataDxfId="19"/>
    <tableColumn id="2" xr3:uid="{9CB0238A-1328-4A0D-AAE2-50C376C7235C}" name="LO Number" dataDxfId="18"/>
    <tableColumn id="3" xr3:uid="{96B6D864-B246-4570-9A1C-3387C1ABD880}" name="Graduate Skills Category" dataDxfId="17"/>
    <tableColumn id="4" xr3:uid="{D00C4D9A-F418-40FC-AB6A-A84F0B2A9E4C}" name="Graduate Skill" dataDxfId="16"/>
  </tableColumns>
  <tableStyleInfo name="TableStyleMedium3"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0" xr:uid="{0ABE8A2B-4753-418C-8174-04E8DA313A71}" name="_6006SPS_Aims" displayName="_6006SPS_Aims" ref="F6:F8" totalsRowShown="0" headerRowDxfId="45" dataDxfId="13">
  <autoFilter ref="F6:F8" xr:uid="{9552138F-2332-4BC4-A585-0E13162881A5}"/>
  <tableColumns count="1">
    <tableColumn id="1" xr3:uid="{31A9816E-6125-4BB1-B024-023BC57E4CF3}" name="Aims" dataDxfId="14"/>
  </tableColumns>
  <tableStyleInfo name="TableStyleMedium6"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1" xr:uid="{1747F9EA-8662-4F26-A01D-803EAD3C1FD5}" name="_6006SPS_Syllabus" displayName="_6006SPS_Syllabus" ref="F10:F13" totalsRowShown="0" headerRowDxfId="44" dataDxfId="11">
  <autoFilter ref="F10:F13" xr:uid="{94F18F67-3F10-4F6E-A953-4FE3399B07F2}"/>
  <tableColumns count="1">
    <tableColumn id="1" xr3:uid="{6A2A3EA9-0D72-4A0E-A2B5-FF641EDBA034}" name="Outline Syllabus" dataDxfId="12"/>
  </tableColumns>
  <tableStyleInfo name="TableStyleMedium6"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2" xr:uid="{26F3C05B-4EDF-47A0-9FA6-60C5FAD6ECCD}" name="_6006SPS_Overview" displayName="_6006SPS_Overview" ref="F15:F20" totalsRowShown="0" headerRowDxfId="43" dataDxfId="9">
  <autoFilter ref="F15:F20" xr:uid="{1B2BCD7B-6C15-4B1C-86BC-48FF83D8F225}"/>
  <tableColumns count="1">
    <tableColumn id="1" xr3:uid="{3ECD395E-FA33-4C57-93BB-6A0232B1FB84}" name="Module Overview" dataDxfId="10"/>
  </tableColumns>
  <tableStyleInfo name="TableStyleMedium6"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3" xr:uid="{3B1F6B96-9B9D-4196-A72D-C9C91B0E85E6}" name="_6006SPS_Notes" displayName="_6006SPS_Notes" ref="F22:F33" totalsRowShown="0" headerRowDxfId="42" dataDxfId="7">
  <autoFilter ref="F22:F33" xr:uid="{D5968C0A-6D7E-4221-87EE-78A85A4039B3}"/>
  <tableColumns count="1">
    <tableColumn id="1" xr3:uid="{7082D249-848A-49C3-8DF4-B67EE67DF58C}" name="Additional Information/Notes" dataDxfId="8"/>
  </tableColumns>
  <tableStyleInfo name="TableStyleMedium6"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D83EF05-D6CD-40F3-A3B0-B42FA58AE706}" name="SN_Meta_Wide" displayName="SN_Meta_Wide" ref="A1:O19" tableType="queryTable" totalsRowShown="0">
  <autoFilter ref="A1:O19" xr:uid="{9D83EF05-D6CD-40F3-A3B0-B42FA58AE706}"/>
  <tableColumns count="15">
    <tableColumn id="1" xr3:uid="{1D6F2E5D-907D-454A-BC2A-AA20F3AE8738}" uniqueName="1" name="SourceWorkbook" queryTableFieldId="1" dataDxfId="607"/>
    <tableColumn id="2" xr3:uid="{056A59DD-9EE6-4C2A-ACAA-89B6E46C910E}" uniqueName="2" name="TableName" queryTableFieldId="2"/>
    <tableColumn id="3" xr3:uid="{8DF6802B-D410-45AE-9D15-C50E9117609F}" uniqueName="3" name="ModuleCode" queryTableFieldId="3"/>
    <tableColumn id="4" xr3:uid="{E0C4B368-BA73-4CCE-A9F5-8922F5861C9B}" uniqueName="4" name="ItemSuffix" queryTableFieldId="4"/>
    <tableColumn id="5" xr3:uid="{2797B127-D16F-454E-84C7-272E31B7482A}" uniqueName="5" name="Programme" queryTableFieldId="5"/>
    <tableColumn id="6" xr3:uid="{D6F8079E-6D5C-4C36-BABE-28EB36E4012F}" uniqueName="6" name="ProgCode" queryTableFieldId="6"/>
    <tableColumn id="7" xr3:uid="{8D14C48D-CBC3-400E-81E9-6F0681692934}" uniqueName="7" name="ModuleTitle" queryTableFieldId="7" dataDxfId="606"/>
    <tableColumn id="8" xr3:uid="{DF7DA70B-93A0-40DD-98AA-4C08124C70BA}" uniqueName="8" name="Module Code" queryTableFieldId="8"/>
    <tableColumn id="9" xr3:uid="{FAAE5880-C92F-481C-8097-8F8322253A9B}" uniqueName="9" name="Module Title" queryTableFieldId="9"/>
    <tableColumn id="10" xr3:uid="{E6AE5C3B-DF30-49E7-8765-50C4DB804E41}" uniqueName="10" name="Credits" queryTableFieldId="10"/>
    <tableColumn id="11" xr3:uid="{A57425FF-B3CB-45A6-995C-75A6F4B8C891}" uniqueName="11" name="Semester" queryTableFieldId="11"/>
    <tableColumn id="12" xr3:uid="{6CD989A4-11EA-4B0A-A48A-1EE8E37FAC22}" uniqueName="12" name="Level" queryTableFieldId="12"/>
    <tableColumn id="13" xr3:uid="{CF4BAA35-2ABF-4C79-9029-1716BC66177D}" uniqueName="13" name="Module Leader" queryTableFieldId="13"/>
    <tableColumn id="14" xr3:uid="{3535CA93-28B3-4CB5-8CA6-08960EF98B3C}" uniqueName="14" name="Module Type" queryTableFieldId="14"/>
    <tableColumn id="15" xr3:uid="{76DCAC03-903D-4828-9953-4251AEB1E9C8}" uniqueName="15" name="Programme(s)" queryTableFieldId="15"/>
  </tableColumns>
  <tableStyleInfo name="TableStyleMedium7"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F247321-C0E5-47F4-B08E-A84840CA9014}" name="SN_Module_Overview" displayName="SN_Module_Overview" ref="A1:I19" tableType="queryTable" totalsRowShown="0">
  <autoFilter ref="A1:I19" xr:uid="{0F247321-C0E5-47F4-B08E-A84840CA9014}"/>
  <tableColumns count="9">
    <tableColumn id="1" xr3:uid="{2AE1AA27-4E85-47A3-9B7D-64188709B2DC}" uniqueName="1" name="ModuleCode" queryTableFieldId="1"/>
    <tableColumn id="2" xr3:uid="{1FF69297-C8D7-43FE-BF7D-AD7F344C8A27}" uniqueName="2" name="ModuleTitle" queryTableFieldId="2" dataDxfId="605"/>
    <tableColumn id="3" xr3:uid="{6CF8F607-91ED-4067-82DD-CD2F50CFE063}" uniqueName="3" name="Level" queryTableFieldId="3"/>
    <tableColumn id="4" xr3:uid="{5C58CFE9-D357-4AE1-82E4-2332113240F9}" uniqueName="4" name="Semester" queryTableFieldId="4"/>
    <tableColumn id="5" xr3:uid="{960521E9-3C40-4061-96F5-CC49E6D374A2}" uniqueName="5" name="Credits" queryTableFieldId="5"/>
    <tableColumn id="6" xr3:uid="{4ECF8367-0AC8-4675-BDBE-97286FC526B9}" uniqueName="6" name="Module Leader" queryTableFieldId="6"/>
    <tableColumn id="7" xr3:uid="{70E8F0DF-346E-41B7-AB81-B5F8A7FBFA39}" uniqueName="7" name="Module Type" queryTableFieldId="7"/>
    <tableColumn id="8" xr3:uid="{525342BE-D77D-44B6-B21C-02CD9DC7383E}" uniqueName="8" name="Total Contact Hours" queryTableFieldId="8"/>
    <tableColumn id="9" xr3:uid="{E44A9F5F-5C8F-49E8-A973-89885A6FE04C}" uniqueName="9" name="Hours per Credit" queryTableFieldId="9"/>
  </tableColumns>
  <tableStyleInfo name="TableStyleMedium7"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2E72646-0645-4A95-8C10-1DF55F132F8D}" name="SN_Hours_Wide" displayName="SN_Hours_Wide" ref="A1:M19" tableType="queryTable" totalsRowShown="0">
  <autoFilter ref="A1:M19" xr:uid="{92E72646-0645-4A95-8C10-1DF55F132F8D}"/>
  <tableColumns count="13">
    <tableColumn id="1" xr3:uid="{45B061DB-2DBB-4587-80A9-CD720342BD3F}" uniqueName="1" name="SourceWorkbook" queryTableFieldId="1" dataDxfId="604"/>
    <tableColumn id="2" xr3:uid="{1AD63889-1B3A-420A-A87F-5D153750BAA9}" uniqueName="2" name="TableName" queryTableFieldId="2"/>
    <tableColumn id="3" xr3:uid="{C02F5651-616C-4020-9A72-79AFE0DDCA0F}" uniqueName="3" name="ModuleCode" queryTableFieldId="3"/>
    <tableColumn id="4" xr3:uid="{3A667AEA-B302-45F7-ADF3-31315E680696}" uniqueName="4" name="ItemSuffix" queryTableFieldId="4"/>
    <tableColumn id="5" xr3:uid="{ABBFD919-0B4C-4CD6-982B-65F959951A67}" uniqueName="5" name="Programme" queryTableFieldId="5"/>
    <tableColumn id="6" xr3:uid="{1CE32898-254A-4828-8A2B-2761FB94361B}" uniqueName="6" name="ProgCode" queryTableFieldId="6"/>
    <tableColumn id="7" xr3:uid="{2DE5BB6A-EBA2-45F9-AE25-D299B13B1FE5}" uniqueName="7" name="ModuleTitle" queryTableFieldId="7" dataDxfId="603"/>
    <tableColumn id="8" xr3:uid="{C69C4945-9E46-45C5-8B2D-AA67FA114C8D}" uniqueName="8" name="Lecture" queryTableFieldId="8"/>
    <tableColumn id="9" xr3:uid="{D9C41D27-9B1D-420D-9C0F-46B281096372}" uniqueName="9" name="Seminar" queryTableFieldId="9"/>
    <tableColumn id="10" xr3:uid="{7439345E-72B5-4348-896D-D3A77582CB3B}" uniqueName="10" name="Practical" queryTableFieldId="10"/>
    <tableColumn id="11" xr3:uid="{B696B92F-8FAB-49E4-B391-5EA37D5C95EB}" uniqueName="11" name="Workshop" queryTableFieldId="11"/>
    <tableColumn id="12" xr3:uid="{4DABCD70-15B2-44FE-A5B2-D9E41B73B5FF}" uniqueName="12" name="Online" queryTableFieldId="12"/>
    <tableColumn id="13" xr3:uid="{86A4E1D7-7249-408A-A00F-98A7F4AE80F9}" uniqueName="13" name="Total" queryTableFieldId="13"/>
  </tableColumns>
  <tableStyleInfo name="TableStyleMedium7"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B23B270-D800-42FF-B90C-0DC728DA4A31}" name="SN_SkillsCoverage" displayName="SN_SkillsCoverage" ref="A1:E69" tableType="queryTable" totalsRowShown="0">
  <autoFilter ref="A1:E69" xr:uid="{AB23B270-D800-42FF-B90C-0DC728DA4A31}"/>
  <tableColumns count="5">
    <tableColumn id="1" xr3:uid="{0726BA83-813F-45BA-B8A2-A202273E5C44}" uniqueName="1" name="Category" queryTableFieldId="1"/>
    <tableColumn id="2" xr3:uid="{FCA4B703-8D79-47EE-9AB0-B94BCAAE9804}" uniqueName="2" name="Skill" queryTableFieldId="2"/>
    <tableColumn id="3" xr3:uid="{231610F0-9DCE-4501-9308-DF8082FA7C22}" uniqueName="3" name="Modules Covering" queryTableFieldId="3" dataDxfId="602"/>
    <tableColumn id="4" xr3:uid="{7954AE73-89F2-4A97-B6A1-0B7ECD98F8B7}" uniqueName="4" name="Module Count" queryTableFieldId="4"/>
    <tableColumn id="5" xr3:uid="{13B0DAB1-7AE5-4991-B376-5A9938206F3F}" uniqueName="5" name="Covered" queryTableFieldId="5"/>
  </tableColumns>
  <tableStyleInfo name="TableStyleMedium7"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DCD3492-99A2-440E-BCAB-D2B33A1A8D4D}" name="SN_Mapping" displayName="SN_Mapping" ref="A1:K198" tableType="queryTable" totalsRowShown="0">
  <autoFilter ref="A1:K198" xr:uid="{3DCD3492-99A2-440E-BCAB-D2B33A1A8D4D}"/>
  <tableColumns count="11">
    <tableColumn id="1" xr3:uid="{63B3E9FE-E530-45A9-93D7-2084EECF9193}" uniqueName="1" name="SourceWorkbook" queryTableFieldId="1" dataDxfId="601"/>
    <tableColumn id="2" xr3:uid="{D29DB0FF-09BA-433C-9CD6-DE794CDB4A8A}" uniqueName="2" name="TableName" queryTableFieldId="2"/>
    <tableColumn id="3" xr3:uid="{EC82B133-03A9-4857-A571-316889038AA8}" uniqueName="3" name="Assessment No" queryTableFieldId="3"/>
    <tableColumn id="4" xr3:uid="{D30D702C-EAC1-4714-AB70-362CBAC85F02}" uniqueName="4" name="LO Number" queryTableFieldId="4"/>
    <tableColumn id="5" xr3:uid="{AF96062E-6D0C-44ED-A85E-84BDA494A7EB}" uniqueName="5" name="Graduate Skills Category" queryTableFieldId="5"/>
    <tableColumn id="6" xr3:uid="{2A0D1BC8-C295-498D-A17C-700D12D5E303}" uniqueName="6" name="Graduate Skill" queryTableFieldId="6"/>
    <tableColumn id="7" xr3:uid="{6496B0F4-B06B-4DF8-8CA6-48000FA680AC}" uniqueName="7" name="ModuleCode" queryTableFieldId="7"/>
    <tableColumn id="8" xr3:uid="{2A72939B-1DB8-46A1-AFC8-45FEAE7F0D76}" uniqueName="8" name="ItemSuffix" queryTableFieldId="8"/>
    <tableColumn id="9" xr3:uid="{BF737CF9-A5B7-4E29-BB1E-E98F4C206F40}" uniqueName="9" name="Programme" queryTableFieldId="9"/>
    <tableColumn id="10" xr3:uid="{1CFFD257-0CB4-45DB-97CE-92F4D64CC47B}" uniqueName="10" name="ProgCode" queryTableFieldId="10"/>
    <tableColumn id="11" xr3:uid="{C8B7C1F6-45A6-47DE-B74E-2485B0B79CFF}" uniqueName="11" name="ModuleTitle" queryTableFieldId="11" dataDxfId="600"/>
  </tableColumns>
  <tableStyleInfo name="TableStyleMedium7"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3A7AE2D-D9D0-4454-B1FA-F5FC924BBDCC}" name="SN_Hours" displayName="SN_Hours" ref="A1:I109" tableType="queryTable" totalsRowShown="0">
  <autoFilter ref="A1:I109" xr:uid="{63A7AE2D-D9D0-4454-B1FA-F5FC924BBDCC}"/>
  <tableColumns count="9">
    <tableColumn id="1" xr3:uid="{5E351629-EDCE-44CD-A0A9-6E7B36157926}" uniqueName="1" name="SourceWorkbook" queryTableFieldId="1" dataDxfId="599"/>
    <tableColumn id="2" xr3:uid="{146E6BCB-8E6E-45FB-B5BA-3564BE03A492}" uniqueName="2" name="TableName" queryTableFieldId="2"/>
    <tableColumn id="3" xr3:uid="{29DE99D7-FFA7-42A3-AB2B-3154BE18453B}" uniqueName="3" name="Component" queryTableFieldId="3"/>
    <tableColumn id="4" xr3:uid="{CCB8E40C-D156-4A8C-A556-34061AD326AD}" uniqueName="4" name="Contact Hours" queryTableFieldId="4"/>
    <tableColumn id="5" xr3:uid="{F0A325DB-B05F-484C-8494-EF81BD719F79}" uniqueName="5" name="ModuleCode" queryTableFieldId="5"/>
    <tableColumn id="6" xr3:uid="{F0901E72-C308-43B7-9FC5-48DC1F112DBB}" uniqueName="6" name="ItemSuffix" queryTableFieldId="6"/>
    <tableColumn id="7" xr3:uid="{2A45F51D-4BF9-4376-985B-3E517B3ADBDB}" uniqueName="7" name="Programme" queryTableFieldId="7"/>
    <tableColumn id="8" xr3:uid="{5FD535F5-FECB-4F43-B026-5AABCC82800F}" uniqueName="8" name="ProgCode" queryTableFieldId="8"/>
    <tableColumn id="9" xr3:uid="{E7E7126F-6AE3-4DDE-8DE8-9A8CB662C03E}" uniqueName="9" name="ModuleTitle" queryTableFieldId="9" dataDxfId="598"/>
  </tableColumns>
  <tableStyleInfo name="TableStyleMedium7"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EEB8243-7495-4293-B333-D2DE792E9920}" name="SN_Meta" displayName="SN_Meta" ref="A1:I145" tableType="queryTable" totalsRowShown="0">
  <autoFilter ref="A1:I145" xr:uid="{DEEB8243-7495-4293-B333-D2DE792E9920}"/>
  <tableColumns count="9">
    <tableColumn id="1" xr3:uid="{8C508E04-57D2-4ADE-BBE9-4DE4CE466831}" uniqueName="1" name="SourceWorkbook" queryTableFieldId="1" dataDxfId="597"/>
    <tableColumn id="2" xr3:uid="{1C041896-A821-496B-8468-70AA31685BB1}" uniqueName="2" name="TableName" queryTableFieldId="2"/>
    <tableColumn id="3" xr3:uid="{B017B42B-57BB-4145-8C29-0D0AA8E85BF0}" uniqueName="3" name="Module Data" queryTableFieldId="3"/>
    <tableColumn id="4" xr3:uid="{B61898EC-6D2D-4E85-A4D1-5FB59562CE30}" uniqueName="4" name="Details" queryTableFieldId="4"/>
    <tableColumn id="5" xr3:uid="{3AD7DD78-94C4-4E4C-8770-2BE9F146AE6D}" uniqueName="5" name="ModuleCode" queryTableFieldId="5"/>
    <tableColumn id="6" xr3:uid="{A8FD403E-7849-4887-82CC-ACB874B92E09}" uniqueName="6" name="ItemSuffix" queryTableFieldId="6"/>
    <tableColumn id="7" xr3:uid="{397A0391-D978-408F-B933-D1CFD8A4A01F}" uniqueName="7" name="Programme" queryTableFieldId="7"/>
    <tableColumn id="8" xr3:uid="{461FA777-9679-4AF8-AB5B-FFC5161FF49E}" uniqueName="8" name="ProgCode" queryTableFieldId="8"/>
    <tableColumn id="9" xr3:uid="{F53740A3-9CDB-4750-8C9E-BD923DCED77E}" uniqueName="9" name="ModuleTitle" queryTableFieldId="9" dataDxfId="596"/>
  </tableColumns>
  <tableStyleInfo name="TableStyleMedium7"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50048A8-A97E-437D-8B7C-2BE0C21D311A}" name="SN_Assess" displayName="SN_Assess" ref="A1:M33" tableType="queryTable" totalsRowShown="0">
  <autoFilter ref="A1:M33" xr:uid="{150048A8-A97E-437D-8B7C-2BE0C21D311A}"/>
  <tableColumns count="13">
    <tableColumn id="1" xr3:uid="{CDFB70A2-8E7E-43AC-B91D-025A3D5EF8F7}" uniqueName="1" name="SourceWorkbook" queryTableFieldId="1" dataDxfId="595"/>
    <tableColumn id="2" xr3:uid="{1B5D4028-3A23-45B0-9FCC-CF6FBCA5442D}" uniqueName="2" name="TableName" queryTableFieldId="2"/>
    <tableColumn id="3" xr3:uid="{D3FA7983-D23C-4C4F-8982-E4DDC914B625}" uniqueName="3" name="Assessment No" queryTableFieldId="3"/>
    <tableColumn id="4" xr3:uid="{2987CC06-0895-4EEE-800E-9028AB75840B}" uniqueName="4" name="Assessment Type" queryTableFieldId="4"/>
    <tableColumn id="5" xr3:uid="{4A1EDF53-9B66-493A-81FD-1D1361BE1025}" uniqueName="5" name="Assessment Specific" queryTableFieldId="5"/>
    <tableColumn id="6" xr3:uid="{7DBF2004-5DCA-46FC-B2A3-383178924505}" uniqueName="6" name="Assessment Description" queryTableFieldId="6"/>
    <tableColumn id="7" xr3:uid="{CD7A5A84-AD13-405B-B314-8A3ABB555AAD}" uniqueName="7" name="Weighting" queryTableFieldId="7"/>
    <tableColumn id="8" xr3:uid="{D59EB96C-2AC2-46D7-9469-7CFC544BF737}" uniqueName="8" name="Due Week" queryTableFieldId="8"/>
    <tableColumn id="9" xr3:uid="{B8076B52-F69E-478E-A25E-F90F9A0703FC}" uniqueName="9" name="ModuleCode" queryTableFieldId="9"/>
    <tableColumn id="10" xr3:uid="{5EE78A53-9DAF-48B6-9E0A-C500B745CBF2}" uniqueName="10" name="ItemSuffix" queryTableFieldId="10"/>
    <tableColumn id="11" xr3:uid="{73FBAC3E-EB1E-4CE3-8F61-EDD9929A6FDD}" uniqueName="11" name="Programme" queryTableFieldId="11"/>
    <tableColumn id="12" xr3:uid="{4B6F8765-2B3C-4AEB-BF2A-9CF1D4CAE986}" uniqueName="12" name="ProgCode" queryTableFieldId="12"/>
    <tableColumn id="13" xr3:uid="{5376C6A3-FB25-4B6B-B186-0D2A2E42FDD3}" uniqueName="13" name="ModuleTitle" queryTableFieldId="13" dataDxfId="594"/>
  </tableColumns>
  <tableStyleInfo name="TableStyleMedium7"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D8454E5-7924-45F1-8F14-3F8A9BB1AD72}" name="SN_LO" displayName="SN_LO" ref="A1:I47" tableType="queryTable" totalsRowShown="0">
  <autoFilter ref="A1:I47" xr:uid="{DD8454E5-7924-45F1-8F14-3F8A9BB1AD72}"/>
  <tableColumns count="9">
    <tableColumn id="1" xr3:uid="{A6C0823E-8693-4936-9A6A-489E8BF10D94}" uniqueName="1" name="SourceWorkbook" queryTableFieldId="1" dataDxfId="593"/>
    <tableColumn id="2" xr3:uid="{88F774CD-B677-40FB-AAB0-3E32CC1166D6}" uniqueName="2" name="TableName" queryTableFieldId="2"/>
    <tableColumn id="3" xr3:uid="{E273EAF0-F943-4B64-AB90-DB451ADC9E5D}" uniqueName="3" name="LO Number" queryTableFieldId="3"/>
    <tableColumn id="4" xr3:uid="{9997DBAA-4E76-433D-B405-FD6FF85B159C}" uniqueName="4" name="LO Description" queryTableFieldId="4"/>
    <tableColumn id="5" xr3:uid="{19E3E733-DA2C-46C9-BE7F-BAA5D7DF96B2}" uniqueName="5" name="ModuleCode" queryTableFieldId="5"/>
    <tableColumn id="6" xr3:uid="{7C8BA71F-A8CC-405F-9B40-6FB3004F8CDD}" uniqueName="6" name="ItemSuffix" queryTableFieldId="6"/>
    <tableColumn id="7" xr3:uid="{EF976653-1D9E-479D-A56F-7EB28AA8D3AF}" uniqueName="7" name="Programme" queryTableFieldId="7"/>
    <tableColumn id="8" xr3:uid="{026EB71A-D490-453A-8F09-65509F50FFE8}" uniqueName="8" name="ProgCode" queryTableFieldId="8"/>
    <tableColumn id="9" xr3:uid="{8326C0FD-8413-4002-A891-305E78409160}" uniqueName="9" name="ModuleTitle" queryTableFieldId="9" dataDxfId="592"/>
  </tableColumns>
  <tableStyleInfo name="TableStyleMedium7"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28D849E-6EFC-4A5A-932B-B6AE93050561}" name="LISTS_Assess" displayName="LISTS_Assess" ref="G14:G28" totalsRowShown="0" headerRowDxfId="5" dataDxfId="4">
  <autoFilter ref="G14:G28" xr:uid="{A28D849E-6EFC-4A5A-932B-B6AE93050561}"/>
  <tableColumns count="1">
    <tableColumn id="1" xr3:uid="{F9243E19-CFCD-47CF-90F4-B3457FC6A715}" name="Assessment Specific" dataDxfId="6"/>
  </tableColumns>
  <tableStyleInfo name="TableStyleMedium2"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BD39377-1E4D-4F11-AC33-A85FBA00A712}" name="LISTS_Table" displayName="LISTS_Table" ref="J19:K83" totalsRowShown="0" headerRowDxfId="1" dataDxfId="0">
  <autoFilter ref="J19:K83" xr:uid="{EBD39377-1E4D-4F11-AC33-A85FBA00A712}"/>
  <tableColumns count="2">
    <tableColumn id="1" xr3:uid="{88D4BEFB-0FE7-43D9-9144-A385F91AD367}" name="Category" dataDxfId="3"/>
    <tableColumn id="2" xr3:uid="{F16DBD3E-74AC-4DBC-9629-934DF2FB76A6}" name="Skill" dataDxfId="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2.xml.rels><?xml version="1.0" encoding="UTF-8" standalone="yes"?>
<Relationships xmlns="http://schemas.openxmlformats.org/package/2006/relationships"><Relationship Id="rId8" Type="http://schemas.openxmlformats.org/officeDocument/2006/relationships/table" Target="../tables/table17.xml"/><Relationship Id="rId3" Type="http://schemas.openxmlformats.org/officeDocument/2006/relationships/table" Target="../tables/table12.xml"/><Relationship Id="rId7" Type="http://schemas.openxmlformats.org/officeDocument/2006/relationships/table" Target="../tables/table16.xml"/><Relationship Id="rId2" Type="http://schemas.openxmlformats.org/officeDocument/2006/relationships/table" Target="../tables/table11.xml"/><Relationship Id="rId1" Type="http://schemas.openxmlformats.org/officeDocument/2006/relationships/printerSettings" Target="../printerSettings/printerSettings2.bin"/><Relationship Id="rId6" Type="http://schemas.openxmlformats.org/officeDocument/2006/relationships/table" Target="../tables/table15.xml"/><Relationship Id="rId11" Type="http://schemas.openxmlformats.org/officeDocument/2006/relationships/table" Target="../tables/table20.xml"/><Relationship Id="rId5" Type="http://schemas.openxmlformats.org/officeDocument/2006/relationships/table" Target="../tables/table14.xml"/><Relationship Id="rId10" Type="http://schemas.openxmlformats.org/officeDocument/2006/relationships/table" Target="../tables/table19.xml"/><Relationship Id="rId4" Type="http://schemas.openxmlformats.org/officeDocument/2006/relationships/table" Target="../tables/table13.xml"/><Relationship Id="rId9" Type="http://schemas.openxmlformats.org/officeDocument/2006/relationships/table" Target="../tables/table18.xml"/></Relationships>
</file>

<file path=xl/worksheets/_rels/sheet3.xml.rels><?xml version="1.0" encoding="UTF-8" standalone="yes"?>
<Relationships xmlns="http://schemas.openxmlformats.org/package/2006/relationships"><Relationship Id="rId8" Type="http://schemas.openxmlformats.org/officeDocument/2006/relationships/table" Target="../tables/table27.xml"/><Relationship Id="rId3" Type="http://schemas.openxmlformats.org/officeDocument/2006/relationships/table" Target="../tables/table22.xml"/><Relationship Id="rId7" Type="http://schemas.openxmlformats.org/officeDocument/2006/relationships/table" Target="../tables/table26.xml"/><Relationship Id="rId2" Type="http://schemas.openxmlformats.org/officeDocument/2006/relationships/table" Target="../tables/table21.xml"/><Relationship Id="rId1" Type="http://schemas.openxmlformats.org/officeDocument/2006/relationships/printerSettings" Target="../printerSettings/printerSettings3.bin"/><Relationship Id="rId6" Type="http://schemas.openxmlformats.org/officeDocument/2006/relationships/table" Target="../tables/table25.xml"/><Relationship Id="rId11" Type="http://schemas.openxmlformats.org/officeDocument/2006/relationships/table" Target="../tables/table30.xml"/><Relationship Id="rId5" Type="http://schemas.openxmlformats.org/officeDocument/2006/relationships/table" Target="../tables/table24.xml"/><Relationship Id="rId10" Type="http://schemas.openxmlformats.org/officeDocument/2006/relationships/table" Target="../tables/table29.xml"/><Relationship Id="rId4" Type="http://schemas.openxmlformats.org/officeDocument/2006/relationships/table" Target="../tables/table23.xml"/><Relationship Id="rId9" Type="http://schemas.openxmlformats.org/officeDocument/2006/relationships/table" Target="../tables/table28.xml"/></Relationships>
</file>

<file path=xl/worksheets/_rels/sheet4.xml.rels><?xml version="1.0" encoding="UTF-8" standalone="yes"?>
<Relationships xmlns="http://schemas.openxmlformats.org/package/2006/relationships"><Relationship Id="rId8" Type="http://schemas.openxmlformats.org/officeDocument/2006/relationships/table" Target="../tables/table37.xml"/><Relationship Id="rId3" Type="http://schemas.openxmlformats.org/officeDocument/2006/relationships/table" Target="../tables/table32.xml"/><Relationship Id="rId7" Type="http://schemas.openxmlformats.org/officeDocument/2006/relationships/table" Target="../tables/table36.xml"/><Relationship Id="rId2" Type="http://schemas.openxmlformats.org/officeDocument/2006/relationships/table" Target="../tables/table31.xml"/><Relationship Id="rId1" Type="http://schemas.openxmlformats.org/officeDocument/2006/relationships/printerSettings" Target="../printerSettings/printerSettings4.bin"/><Relationship Id="rId6" Type="http://schemas.openxmlformats.org/officeDocument/2006/relationships/table" Target="../tables/table35.xml"/><Relationship Id="rId11" Type="http://schemas.openxmlformats.org/officeDocument/2006/relationships/table" Target="../tables/table40.xml"/><Relationship Id="rId5" Type="http://schemas.openxmlformats.org/officeDocument/2006/relationships/table" Target="../tables/table34.xml"/><Relationship Id="rId10" Type="http://schemas.openxmlformats.org/officeDocument/2006/relationships/table" Target="../tables/table39.xml"/><Relationship Id="rId4" Type="http://schemas.openxmlformats.org/officeDocument/2006/relationships/table" Target="../tables/table33.xml"/><Relationship Id="rId9" Type="http://schemas.openxmlformats.org/officeDocument/2006/relationships/table" Target="../tables/table38.xml"/></Relationships>
</file>

<file path=xl/worksheets/_rels/sheet5.xml.rels><?xml version="1.0" encoding="UTF-8" standalone="yes"?>
<Relationships xmlns="http://schemas.openxmlformats.org/package/2006/relationships"><Relationship Id="rId8" Type="http://schemas.openxmlformats.org/officeDocument/2006/relationships/table" Target="../tables/table47.xml"/><Relationship Id="rId3" Type="http://schemas.openxmlformats.org/officeDocument/2006/relationships/table" Target="../tables/table42.xml"/><Relationship Id="rId7" Type="http://schemas.openxmlformats.org/officeDocument/2006/relationships/table" Target="../tables/table46.xml"/><Relationship Id="rId2" Type="http://schemas.openxmlformats.org/officeDocument/2006/relationships/table" Target="../tables/table41.xml"/><Relationship Id="rId1" Type="http://schemas.openxmlformats.org/officeDocument/2006/relationships/printerSettings" Target="../printerSettings/printerSettings5.bin"/><Relationship Id="rId6" Type="http://schemas.openxmlformats.org/officeDocument/2006/relationships/table" Target="../tables/table45.xml"/><Relationship Id="rId11" Type="http://schemas.openxmlformats.org/officeDocument/2006/relationships/table" Target="../tables/table50.xml"/><Relationship Id="rId5" Type="http://schemas.openxmlformats.org/officeDocument/2006/relationships/table" Target="../tables/table44.xml"/><Relationship Id="rId10" Type="http://schemas.openxmlformats.org/officeDocument/2006/relationships/table" Target="../tables/table49.xml"/><Relationship Id="rId4" Type="http://schemas.openxmlformats.org/officeDocument/2006/relationships/table" Target="../tables/table43.xml"/><Relationship Id="rId9" Type="http://schemas.openxmlformats.org/officeDocument/2006/relationships/table" Target="../tables/table48.xml"/></Relationships>
</file>

<file path=xl/worksheets/_rels/sheet6.xml.rels><?xml version="1.0" encoding="UTF-8" standalone="yes"?>
<Relationships xmlns="http://schemas.openxmlformats.org/package/2006/relationships"><Relationship Id="rId8" Type="http://schemas.openxmlformats.org/officeDocument/2006/relationships/table" Target="../tables/table57.xml"/><Relationship Id="rId3" Type="http://schemas.openxmlformats.org/officeDocument/2006/relationships/table" Target="../tables/table52.xml"/><Relationship Id="rId7" Type="http://schemas.openxmlformats.org/officeDocument/2006/relationships/table" Target="../tables/table56.xml"/><Relationship Id="rId2" Type="http://schemas.openxmlformats.org/officeDocument/2006/relationships/table" Target="../tables/table51.xml"/><Relationship Id="rId1" Type="http://schemas.openxmlformats.org/officeDocument/2006/relationships/printerSettings" Target="../printerSettings/printerSettings6.bin"/><Relationship Id="rId6" Type="http://schemas.openxmlformats.org/officeDocument/2006/relationships/table" Target="../tables/table55.xml"/><Relationship Id="rId11" Type="http://schemas.openxmlformats.org/officeDocument/2006/relationships/table" Target="../tables/table60.xml"/><Relationship Id="rId5" Type="http://schemas.openxmlformats.org/officeDocument/2006/relationships/table" Target="../tables/table54.xml"/><Relationship Id="rId10" Type="http://schemas.openxmlformats.org/officeDocument/2006/relationships/table" Target="../tables/table59.xml"/><Relationship Id="rId4" Type="http://schemas.openxmlformats.org/officeDocument/2006/relationships/table" Target="../tables/table53.xml"/><Relationship Id="rId9" Type="http://schemas.openxmlformats.org/officeDocument/2006/relationships/table" Target="../tables/table58.xml"/></Relationships>
</file>

<file path=xl/worksheets/_rels/sheet7.xml.rels><?xml version="1.0" encoding="UTF-8" standalone="yes"?>
<Relationships xmlns="http://schemas.openxmlformats.org/package/2006/relationships"><Relationship Id="rId8" Type="http://schemas.openxmlformats.org/officeDocument/2006/relationships/table" Target="../tables/table67.xml"/><Relationship Id="rId3" Type="http://schemas.openxmlformats.org/officeDocument/2006/relationships/table" Target="../tables/table62.xml"/><Relationship Id="rId7" Type="http://schemas.openxmlformats.org/officeDocument/2006/relationships/table" Target="../tables/table66.xml"/><Relationship Id="rId2" Type="http://schemas.openxmlformats.org/officeDocument/2006/relationships/table" Target="../tables/table61.xml"/><Relationship Id="rId1" Type="http://schemas.openxmlformats.org/officeDocument/2006/relationships/printerSettings" Target="../printerSettings/printerSettings7.bin"/><Relationship Id="rId6" Type="http://schemas.openxmlformats.org/officeDocument/2006/relationships/table" Target="../tables/table65.xml"/><Relationship Id="rId11" Type="http://schemas.openxmlformats.org/officeDocument/2006/relationships/table" Target="../tables/table70.xml"/><Relationship Id="rId5" Type="http://schemas.openxmlformats.org/officeDocument/2006/relationships/table" Target="../tables/table64.xml"/><Relationship Id="rId10" Type="http://schemas.openxmlformats.org/officeDocument/2006/relationships/table" Target="../tables/table69.xml"/><Relationship Id="rId4" Type="http://schemas.openxmlformats.org/officeDocument/2006/relationships/table" Target="../tables/table63.xml"/><Relationship Id="rId9" Type="http://schemas.openxmlformats.org/officeDocument/2006/relationships/table" Target="../tables/table68.xml"/></Relationships>
</file>

<file path=xl/worksheets/_rels/sheet8.xml.rels><?xml version="1.0" encoding="UTF-8" standalone="yes"?>
<Relationships xmlns="http://schemas.openxmlformats.org/package/2006/relationships"><Relationship Id="rId8" Type="http://schemas.openxmlformats.org/officeDocument/2006/relationships/table" Target="../tables/table77.xml"/><Relationship Id="rId3" Type="http://schemas.openxmlformats.org/officeDocument/2006/relationships/table" Target="../tables/table72.xml"/><Relationship Id="rId7" Type="http://schemas.openxmlformats.org/officeDocument/2006/relationships/table" Target="../tables/table76.xml"/><Relationship Id="rId2" Type="http://schemas.openxmlformats.org/officeDocument/2006/relationships/table" Target="../tables/table71.xml"/><Relationship Id="rId1" Type="http://schemas.openxmlformats.org/officeDocument/2006/relationships/printerSettings" Target="../printerSettings/printerSettings8.bin"/><Relationship Id="rId6" Type="http://schemas.openxmlformats.org/officeDocument/2006/relationships/table" Target="../tables/table75.xml"/><Relationship Id="rId11" Type="http://schemas.openxmlformats.org/officeDocument/2006/relationships/table" Target="../tables/table80.xml"/><Relationship Id="rId5" Type="http://schemas.openxmlformats.org/officeDocument/2006/relationships/table" Target="../tables/table74.xml"/><Relationship Id="rId10" Type="http://schemas.openxmlformats.org/officeDocument/2006/relationships/table" Target="../tables/table79.xml"/><Relationship Id="rId4" Type="http://schemas.openxmlformats.org/officeDocument/2006/relationships/table" Target="../tables/table73.xml"/><Relationship Id="rId9" Type="http://schemas.openxmlformats.org/officeDocument/2006/relationships/table" Target="../tables/table78.xml"/></Relationships>
</file>

<file path=xl/worksheets/_rels/sheet9.xml.rels><?xml version="1.0" encoding="UTF-8" standalone="yes"?>
<Relationships xmlns="http://schemas.openxmlformats.org/package/2006/relationships"><Relationship Id="rId8" Type="http://schemas.openxmlformats.org/officeDocument/2006/relationships/table" Target="../tables/table87.xml"/><Relationship Id="rId3" Type="http://schemas.openxmlformats.org/officeDocument/2006/relationships/table" Target="../tables/table82.xml"/><Relationship Id="rId7" Type="http://schemas.openxmlformats.org/officeDocument/2006/relationships/table" Target="../tables/table86.xml"/><Relationship Id="rId2" Type="http://schemas.openxmlformats.org/officeDocument/2006/relationships/table" Target="../tables/table81.xml"/><Relationship Id="rId1" Type="http://schemas.openxmlformats.org/officeDocument/2006/relationships/printerSettings" Target="../printerSettings/printerSettings9.bin"/><Relationship Id="rId6" Type="http://schemas.openxmlformats.org/officeDocument/2006/relationships/table" Target="../tables/table85.xml"/><Relationship Id="rId11" Type="http://schemas.openxmlformats.org/officeDocument/2006/relationships/table" Target="../tables/table90.xml"/><Relationship Id="rId5" Type="http://schemas.openxmlformats.org/officeDocument/2006/relationships/table" Target="../tables/table84.xml"/><Relationship Id="rId10" Type="http://schemas.openxmlformats.org/officeDocument/2006/relationships/table" Target="../tables/table89.xml"/><Relationship Id="rId4" Type="http://schemas.openxmlformats.org/officeDocument/2006/relationships/table" Target="../tables/table83.xml"/><Relationship Id="rId9" Type="http://schemas.openxmlformats.org/officeDocument/2006/relationships/table" Target="../tables/table88.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97.xml"/><Relationship Id="rId3" Type="http://schemas.openxmlformats.org/officeDocument/2006/relationships/table" Target="../tables/table92.xml"/><Relationship Id="rId7" Type="http://schemas.openxmlformats.org/officeDocument/2006/relationships/table" Target="../tables/table96.xml"/><Relationship Id="rId2" Type="http://schemas.openxmlformats.org/officeDocument/2006/relationships/table" Target="../tables/table91.xml"/><Relationship Id="rId1" Type="http://schemas.openxmlformats.org/officeDocument/2006/relationships/printerSettings" Target="../printerSettings/printerSettings10.bin"/><Relationship Id="rId6" Type="http://schemas.openxmlformats.org/officeDocument/2006/relationships/table" Target="../tables/table95.xml"/><Relationship Id="rId11" Type="http://schemas.openxmlformats.org/officeDocument/2006/relationships/table" Target="../tables/table100.xml"/><Relationship Id="rId5" Type="http://schemas.openxmlformats.org/officeDocument/2006/relationships/table" Target="../tables/table94.xml"/><Relationship Id="rId10" Type="http://schemas.openxmlformats.org/officeDocument/2006/relationships/table" Target="../tables/table99.xml"/><Relationship Id="rId4" Type="http://schemas.openxmlformats.org/officeDocument/2006/relationships/table" Target="../tables/table93.xml"/><Relationship Id="rId9" Type="http://schemas.openxmlformats.org/officeDocument/2006/relationships/table" Target="../tables/table98.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107.xml"/><Relationship Id="rId3" Type="http://schemas.openxmlformats.org/officeDocument/2006/relationships/table" Target="../tables/table102.xml"/><Relationship Id="rId7" Type="http://schemas.openxmlformats.org/officeDocument/2006/relationships/table" Target="../tables/table106.xml"/><Relationship Id="rId2" Type="http://schemas.openxmlformats.org/officeDocument/2006/relationships/table" Target="../tables/table101.xml"/><Relationship Id="rId1" Type="http://schemas.openxmlformats.org/officeDocument/2006/relationships/printerSettings" Target="../printerSettings/printerSettings11.bin"/><Relationship Id="rId6" Type="http://schemas.openxmlformats.org/officeDocument/2006/relationships/table" Target="../tables/table105.xml"/><Relationship Id="rId11" Type="http://schemas.openxmlformats.org/officeDocument/2006/relationships/table" Target="../tables/table110.xml"/><Relationship Id="rId5" Type="http://schemas.openxmlformats.org/officeDocument/2006/relationships/table" Target="../tables/table104.xml"/><Relationship Id="rId10" Type="http://schemas.openxmlformats.org/officeDocument/2006/relationships/table" Target="../tables/table109.xml"/><Relationship Id="rId4" Type="http://schemas.openxmlformats.org/officeDocument/2006/relationships/table" Target="../tables/table103.xml"/><Relationship Id="rId9" Type="http://schemas.openxmlformats.org/officeDocument/2006/relationships/table" Target="../tables/table108.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117.xml"/><Relationship Id="rId3" Type="http://schemas.openxmlformats.org/officeDocument/2006/relationships/table" Target="../tables/table112.xml"/><Relationship Id="rId7" Type="http://schemas.openxmlformats.org/officeDocument/2006/relationships/table" Target="../tables/table116.xml"/><Relationship Id="rId2" Type="http://schemas.openxmlformats.org/officeDocument/2006/relationships/table" Target="../tables/table111.xml"/><Relationship Id="rId1" Type="http://schemas.openxmlformats.org/officeDocument/2006/relationships/printerSettings" Target="../printerSettings/printerSettings12.bin"/><Relationship Id="rId6" Type="http://schemas.openxmlformats.org/officeDocument/2006/relationships/table" Target="../tables/table115.xml"/><Relationship Id="rId11" Type="http://schemas.openxmlformats.org/officeDocument/2006/relationships/table" Target="../tables/table120.xml"/><Relationship Id="rId5" Type="http://schemas.openxmlformats.org/officeDocument/2006/relationships/table" Target="../tables/table114.xml"/><Relationship Id="rId10" Type="http://schemas.openxmlformats.org/officeDocument/2006/relationships/table" Target="../tables/table119.xml"/><Relationship Id="rId4" Type="http://schemas.openxmlformats.org/officeDocument/2006/relationships/table" Target="../tables/table113.xml"/><Relationship Id="rId9" Type="http://schemas.openxmlformats.org/officeDocument/2006/relationships/table" Target="../tables/table118.xml"/></Relationships>
</file>

<file path=xl/worksheets/_rels/sheet13.xml.rels><?xml version="1.0" encoding="UTF-8" standalone="yes"?>
<Relationships xmlns="http://schemas.openxmlformats.org/package/2006/relationships"><Relationship Id="rId8" Type="http://schemas.openxmlformats.org/officeDocument/2006/relationships/table" Target="../tables/table127.xml"/><Relationship Id="rId3" Type="http://schemas.openxmlformats.org/officeDocument/2006/relationships/table" Target="../tables/table122.xml"/><Relationship Id="rId7" Type="http://schemas.openxmlformats.org/officeDocument/2006/relationships/table" Target="../tables/table126.xml"/><Relationship Id="rId2" Type="http://schemas.openxmlformats.org/officeDocument/2006/relationships/table" Target="../tables/table121.xml"/><Relationship Id="rId1" Type="http://schemas.openxmlformats.org/officeDocument/2006/relationships/printerSettings" Target="../printerSettings/printerSettings13.bin"/><Relationship Id="rId6" Type="http://schemas.openxmlformats.org/officeDocument/2006/relationships/table" Target="../tables/table125.xml"/><Relationship Id="rId11" Type="http://schemas.openxmlformats.org/officeDocument/2006/relationships/table" Target="../tables/table130.xml"/><Relationship Id="rId5" Type="http://schemas.openxmlformats.org/officeDocument/2006/relationships/table" Target="../tables/table124.xml"/><Relationship Id="rId10" Type="http://schemas.openxmlformats.org/officeDocument/2006/relationships/table" Target="../tables/table129.xml"/><Relationship Id="rId4" Type="http://schemas.openxmlformats.org/officeDocument/2006/relationships/table" Target="../tables/table123.xml"/><Relationship Id="rId9" Type="http://schemas.openxmlformats.org/officeDocument/2006/relationships/table" Target="../tables/table128.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1.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2.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33.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34.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35.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36.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37.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38.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139.xml"/></Relationships>
</file>

<file path=xl/worksheets/_rels/sheet23.xml.rels><?xml version="1.0" encoding="UTF-8" standalone="yes"?>
<Relationships xmlns="http://schemas.openxmlformats.org/package/2006/relationships"><Relationship Id="rId2" Type="http://schemas.openxmlformats.org/officeDocument/2006/relationships/table" Target="../tables/table141.xml"/><Relationship Id="rId1" Type="http://schemas.openxmlformats.org/officeDocument/2006/relationships/table" Target="../tables/table14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D79C83-4B63-438B-8ADB-C2BAECC10A91}">
  <sheetPr codeName="Sheet1"/>
  <dimension ref="B2:H94"/>
  <sheetViews>
    <sheetView showGridLines="0" tabSelected="1" zoomScale="85" zoomScaleNormal="85" workbookViewId="0">
      <selection activeCell="C23" sqref="C23"/>
    </sheetView>
  </sheetViews>
  <sheetFormatPr defaultRowHeight="15" x14ac:dyDescent="0.25"/>
  <cols>
    <col min="1" max="2" width="9.140625" style="27"/>
    <col min="3" max="3" width="33.28515625" style="27" customWidth="1"/>
    <col min="4" max="4" width="51.5703125" style="27" customWidth="1"/>
    <col min="5" max="5" width="67.28515625" style="27" customWidth="1"/>
    <col min="6" max="6" width="63.140625" style="27" customWidth="1"/>
    <col min="7" max="7" width="12.42578125" style="27" customWidth="1"/>
    <col min="8" max="8" width="15.5703125" style="27" customWidth="1"/>
    <col min="9" max="9" width="14.7109375" style="27" customWidth="1"/>
    <col min="10" max="16384" width="9.140625" style="27"/>
  </cols>
  <sheetData>
    <row r="2" spans="2:6" ht="26.25" x14ac:dyDescent="0.4">
      <c r="C2" s="28" t="str">
        <f>D7</f>
        <v>4001SPS</v>
      </c>
      <c r="D2" s="28" t="str">
        <f>D8</f>
        <v>Professional Practice 1 in Sport Nutrition</v>
      </c>
    </row>
    <row r="3" spans="2:6" x14ac:dyDescent="0.25">
      <c r="B3" s="29"/>
      <c r="C3" s="29"/>
    </row>
    <row r="4" spans="2:6" x14ac:dyDescent="0.25">
      <c r="B4" s="30"/>
      <c r="C4" s="30"/>
    </row>
    <row r="5" spans="2:6" ht="18.75" x14ac:dyDescent="0.25">
      <c r="B5" s="30"/>
      <c r="C5" s="31" t="s">
        <v>0</v>
      </c>
    </row>
    <row r="6" spans="2:6" x14ac:dyDescent="0.25">
      <c r="B6" s="30"/>
      <c r="C6" s="32" t="s">
        <v>1</v>
      </c>
      <c r="D6" s="33" t="s">
        <v>2</v>
      </c>
      <c r="E6" s="33"/>
      <c r="F6" s="27" t="s">
        <v>3</v>
      </c>
    </row>
    <row r="7" spans="2:6" x14ac:dyDescent="0.25">
      <c r="B7" s="30"/>
      <c r="C7" s="37" t="s">
        <v>4</v>
      </c>
      <c r="D7" s="1" t="s">
        <v>5</v>
      </c>
      <c r="E7" s="33"/>
      <c r="F7" s="6" t="s">
        <v>6</v>
      </c>
    </row>
    <row r="8" spans="2:6" x14ac:dyDescent="0.25">
      <c r="B8" s="30"/>
      <c r="C8" s="37" t="s">
        <v>7</v>
      </c>
      <c r="D8" s="6" t="s">
        <v>8</v>
      </c>
      <c r="E8" s="33"/>
      <c r="F8" s="4"/>
    </row>
    <row r="9" spans="2:6" x14ac:dyDescent="0.25">
      <c r="C9" s="37" t="s">
        <v>9</v>
      </c>
      <c r="D9" s="1">
        <v>20</v>
      </c>
      <c r="E9" s="33"/>
    </row>
    <row r="10" spans="2:6" x14ac:dyDescent="0.25">
      <c r="C10" s="37" t="s">
        <v>10</v>
      </c>
      <c r="D10" s="1" t="s">
        <v>11</v>
      </c>
      <c r="E10" s="33"/>
      <c r="F10" s="27" t="s">
        <v>12</v>
      </c>
    </row>
    <row r="11" spans="2:6" x14ac:dyDescent="0.25">
      <c r="C11" s="37" t="s">
        <v>13</v>
      </c>
      <c r="D11" s="1">
        <v>4</v>
      </c>
      <c r="E11" s="33"/>
      <c r="F11" s="7" t="s">
        <v>14</v>
      </c>
    </row>
    <row r="12" spans="2:6" x14ac:dyDescent="0.25">
      <c r="C12" s="37" t="s">
        <v>15</v>
      </c>
      <c r="D12" s="1" t="s">
        <v>16</v>
      </c>
      <c r="E12" s="33"/>
      <c r="F12" s="4"/>
    </row>
    <row r="13" spans="2:6" x14ac:dyDescent="0.25">
      <c r="C13" s="37" t="s">
        <v>17</v>
      </c>
      <c r="D13" s="1" t="s">
        <v>18</v>
      </c>
      <c r="E13" s="33"/>
      <c r="F13" s="4"/>
    </row>
    <row r="14" spans="2:6" x14ac:dyDescent="0.25">
      <c r="C14" s="37" t="s">
        <v>19</v>
      </c>
      <c r="D14" s="1" t="s">
        <v>20</v>
      </c>
      <c r="E14" s="33"/>
    </row>
    <row r="15" spans="2:6" x14ac:dyDescent="0.25">
      <c r="C15" s="32"/>
      <c r="D15" s="33"/>
      <c r="E15" s="33"/>
      <c r="F15" s="27" t="s">
        <v>21</v>
      </c>
    </row>
    <row r="16" spans="2:6" x14ac:dyDescent="0.25">
      <c r="C16" s="32"/>
      <c r="D16" s="33"/>
      <c r="E16" s="33"/>
      <c r="F16" s="6" t="s">
        <v>22</v>
      </c>
    </row>
    <row r="17" spans="3:6" ht="18.75" x14ac:dyDescent="0.25">
      <c r="C17" s="31" t="s">
        <v>23</v>
      </c>
      <c r="D17" s="33"/>
      <c r="E17" s="33"/>
      <c r="F17" s="4"/>
    </row>
    <row r="18" spans="3:6" x14ac:dyDescent="0.25">
      <c r="C18" s="32" t="s">
        <v>24</v>
      </c>
      <c r="D18" s="29" t="s">
        <v>23</v>
      </c>
      <c r="E18" s="33"/>
      <c r="F18" s="9"/>
    </row>
    <row r="19" spans="3:6" x14ac:dyDescent="0.25">
      <c r="C19" s="37" t="s">
        <v>25</v>
      </c>
      <c r="D19" s="2">
        <v>20</v>
      </c>
      <c r="E19" s="33"/>
      <c r="F19" s="4"/>
    </row>
    <row r="20" spans="3:6" x14ac:dyDescent="0.25">
      <c r="C20" s="37" t="s">
        <v>26</v>
      </c>
      <c r="D20" s="2"/>
      <c r="E20" s="33"/>
      <c r="F20" s="4"/>
    </row>
    <row r="21" spans="3:6" x14ac:dyDescent="0.25">
      <c r="C21" s="37" t="s">
        <v>27</v>
      </c>
      <c r="D21" s="2"/>
      <c r="E21" s="33"/>
    </row>
    <row r="22" spans="3:6" x14ac:dyDescent="0.25">
      <c r="C22" s="37" t="s">
        <v>28</v>
      </c>
      <c r="D22" s="2">
        <v>20</v>
      </c>
      <c r="E22" s="33"/>
      <c r="F22" s="27" t="s">
        <v>29</v>
      </c>
    </row>
    <row r="23" spans="3:6" x14ac:dyDescent="0.25">
      <c r="C23" s="37" t="s">
        <v>30</v>
      </c>
      <c r="D23" s="2"/>
      <c r="E23" s="33"/>
      <c r="F23" s="8" t="s">
        <v>31</v>
      </c>
    </row>
    <row r="24" spans="3:6" x14ac:dyDescent="0.25">
      <c r="C24" s="37" t="s">
        <v>32</v>
      </c>
      <c r="D24" s="29">
        <f>SUM(D19:D23)</f>
        <v>40</v>
      </c>
      <c r="E24" s="33"/>
      <c r="F24" s="8" t="s">
        <v>33</v>
      </c>
    </row>
    <row r="25" spans="3:6" x14ac:dyDescent="0.25">
      <c r="F25" s="8" t="s">
        <v>34</v>
      </c>
    </row>
    <row r="26" spans="3:6" x14ac:dyDescent="0.25">
      <c r="F26" s="8" t="s">
        <v>35</v>
      </c>
    </row>
    <row r="27" spans="3:6" ht="18.75" x14ac:dyDescent="0.25">
      <c r="C27" s="31" t="s">
        <v>36</v>
      </c>
      <c r="D27" s="34" t="s">
        <v>37</v>
      </c>
      <c r="F27" s="8" t="s">
        <v>38</v>
      </c>
    </row>
    <row r="28" spans="3:6" x14ac:dyDescent="0.25">
      <c r="C28" s="32" t="s">
        <v>39</v>
      </c>
      <c r="D28" s="32" t="s">
        <v>40</v>
      </c>
      <c r="E28" s="32"/>
      <c r="F28" s="8" t="s">
        <v>41</v>
      </c>
    </row>
    <row r="29" spans="3:6" x14ac:dyDescent="0.25">
      <c r="C29" s="37" t="s">
        <v>42</v>
      </c>
      <c r="D29" s="8" t="s">
        <v>14</v>
      </c>
      <c r="E29" s="33"/>
      <c r="F29" s="10" t="s">
        <v>43</v>
      </c>
    </row>
    <row r="30" spans="3:6" x14ac:dyDescent="0.25">
      <c r="C30" s="37" t="s">
        <v>44</v>
      </c>
      <c r="D30" s="8" t="s">
        <v>45</v>
      </c>
      <c r="E30" s="33"/>
      <c r="F30" s="4"/>
    </row>
    <row r="31" spans="3:6" x14ac:dyDescent="0.25">
      <c r="C31" s="37" t="s">
        <v>46</v>
      </c>
      <c r="D31" s="8" t="s">
        <v>47</v>
      </c>
      <c r="E31" s="33"/>
      <c r="F31" s="4"/>
    </row>
    <row r="32" spans="3:6" x14ac:dyDescent="0.25">
      <c r="C32" s="37" t="s">
        <v>48</v>
      </c>
      <c r="D32" s="1"/>
      <c r="E32" s="33"/>
      <c r="F32" s="4"/>
    </row>
    <row r="33" spans="3:8" x14ac:dyDescent="0.25">
      <c r="C33" s="37" t="s">
        <v>49</v>
      </c>
      <c r="D33" s="1"/>
      <c r="E33" s="33"/>
      <c r="F33" s="4"/>
    </row>
    <row r="36" spans="3:8" ht="18.75" x14ac:dyDescent="0.25">
      <c r="C36" s="31" t="s">
        <v>50</v>
      </c>
    </row>
    <row r="37" spans="3:8" x14ac:dyDescent="0.25">
      <c r="C37" s="32" t="s">
        <v>51</v>
      </c>
      <c r="D37" s="32" t="s">
        <v>52</v>
      </c>
      <c r="E37" s="32" t="s">
        <v>53</v>
      </c>
      <c r="F37" s="32" t="s">
        <v>54</v>
      </c>
      <c r="G37" s="32" t="s">
        <v>55</v>
      </c>
      <c r="H37" s="32" t="s">
        <v>56</v>
      </c>
    </row>
    <row r="38" spans="3:8" x14ac:dyDescent="0.25">
      <c r="C38" s="37" t="s">
        <v>57</v>
      </c>
      <c r="D38" s="1" t="s">
        <v>58</v>
      </c>
      <c r="E38" s="8" t="s">
        <v>59</v>
      </c>
      <c r="F38" s="6" t="s">
        <v>60</v>
      </c>
      <c r="G38" s="3">
        <v>0.5</v>
      </c>
      <c r="H38" s="1">
        <v>12</v>
      </c>
    </row>
    <row r="39" spans="3:8" x14ac:dyDescent="0.25">
      <c r="C39" s="37" t="s">
        <v>61</v>
      </c>
      <c r="D39" s="1" t="s">
        <v>58</v>
      </c>
      <c r="E39" s="8" t="s">
        <v>62</v>
      </c>
      <c r="F39" s="6" t="s">
        <v>63</v>
      </c>
      <c r="G39" s="3">
        <v>0.5</v>
      </c>
      <c r="H39" s="1">
        <v>32</v>
      </c>
    </row>
    <row r="40" spans="3:8" x14ac:dyDescent="0.25">
      <c r="C40" s="37" t="s">
        <v>64</v>
      </c>
      <c r="D40" s="4"/>
      <c r="E40" s="4"/>
      <c r="F40" s="4"/>
      <c r="G40" s="4"/>
      <c r="H40" s="4"/>
    </row>
    <row r="41" spans="3:8" x14ac:dyDescent="0.25">
      <c r="C41" s="37" t="s">
        <v>65</v>
      </c>
      <c r="D41" s="4"/>
      <c r="E41" s="4"/>
      <c r="F41" s="4"/>
      <c r="G41" s="4"/>
      <c r="H41" s="4"/>
    </row>
    <row r="42" spans="3:8" x14ac:dyDescent="0.25">
      <c r="C42" s="32"/>
    </row>
    <row r="44" spans="3:8" ht="18.75" x14ac:dyDescent="0.25">
      <c r="C44" s="31" t="s">
        <v>66</v>
      </c>
      <c r="D44" s="34"/>
    </row>
    <row r="45" spans="3:8" x14ac:dyDescent="0.25">
      <c r="C45" s="29" t="s">
        <v>51</v>
      </c>
      <c r="D45" s="29" t="s">
        <v>39</v>
      </c>
      <c r="E45" s="29" t="s">
        <v>67</v>
      </c>
      <c r="F45" s="29" t="s">
        <v>68</v>
      </c>
    </row>
    <row r="46" spans="3:8" x14ac:dyDescent="0.25">
      <c r="C46" s="5" t="s">
        <v>57</v>
      </c>
      <c r="D46" s="4" t="s">
        <v>42</v>
      </c>
      <c r="E46" s="4" t="s">
        <v>69</v>
      </c>
      <c r="F46" s="4" t="s">
        <v>70</v>
      </c>
    </row>
    <row r="47" spans="3:8" x14ac:dyDescent="0.25">
      <c r="C47" s="5" t="s">
        <v>57</v>
      </c>
      <c r="D47" s="4" t="s">
        <v>44</v>
      </c>
      <c r="E47" s="4" t="s">
        <v>71</v>
      </c>
      <c r="F47" s="4" t="s">
        <v>72</v>
      </c>
    </row>
    <row r="48" spans="3:8" x14ac:dyDescent="0.25">
      <c r="C48" s="5" t="s">
        <v>57</v>
      </c>
      <c r="D48" s="4" t="s">
        <v>44</v>
      </c>
      <c r="E48" s="4" t="s">
        <v>73</v>
      </c>
      <c r="F48" s="4" t="s">
        <v>74</v>
      </c>
    </row>
    <row r="49" spans="3:6" x14ac:dyDescent="0.25">
      <c r="C49" s="5" t="s">
        <v>61</v>
      </c>
      <c r="D49" s="4" t="s">
        <v>44</v>
      </c>
      <c r="E49" s="4" t="s">
        <v>69</v>
      </c>
      <c r="F49" s="4" t="s">
        <v>75</v>
      </c>
    </row>
    <row r="50" spans="3:6" x14ac:dyDescent="0.25">
      <c r="C50" s="5" t="s">
        <v>61</v>
      </c>
      <c r="D50" s="4" t="s">
        <v>46</v>
      </c>
      <c r="E50" s="4" t="s">
        <v>73</v>
      </c>
      <c r="F50" s="4" t="s">
        <v>74</v>
      </c>
    </row>
    <row r="51" spans="3:6" x14ac:dyDescent="0.25">
      <c r="C51" s="5" t="s">
        <v>61</v>
      </c>
      <c r="D51" s="4"/>
      <c r="E51" s="4"/>
      <c r="F51" s="4"/>
    </row>
    <row r="52" spans="3:6" x14ac:dyDescent="0.25">
      <c r="C52" s="5" t="s">
        <v>64</v>
      </c>
      <c r="D52" s="4"/>
      <c r="E52" s="4"/>
      <c r="F52" s="4"/>
    </row>
    <row r="53" spans="3:6" x14ac:dyDescent="0.25">
      <c r="C53" s="5" t="s">
        <v>64</v>
      </c>
      <c r="D53" s="4"/>
      <c r="E53" s="4"/>
      <c r="F53" s="4"/>
    </row>
    <row r="54" spans="3:6" x14ac:dyDescent="0.25">
      <c r="C54" s="5" t="s">
        <v>64</v>
      </c>
      <c r="D54" s="4"/>
      <c r="E54" s="4"/>
      <c r="F54" s="4"/>
    </row>
    <row r="55" spans="3:6" x14ac:dyDescent="0.25">
      <c r="C55" s="5" t="s">
        <v>65</v>
      </c>
      <c r="D55" s="4"/>
      <c r="E55" s="4"/>
      <c r="F55" s="4"/>
    </row>
    <row r="56" spans="3:6" x14ac:dyDescent="0.25">
      <c r="C56" s="5" t="s">
        <v>65</v>
      </c>
      <c r="D56" s="4"/>
      <c r="E56" s="4"/>
      <c r="F56" s="4"/>
    </row>
    <row r="57" spans="3:6" x14ac:dyDescent="0.25">
      <c r="C57" s="5"/>
      <c r="D57" s="4"/>
      <c r="E57" s="4"/>
      <c r="F57" s="4"/>
    </row>
    <row r="58" spans="3:6" x14ac:dyDescent="0.25">
      <c r="C58" s="5"/>
      <c r="D58" s="4"/>
      <c r="E58" s="4"/>
      <c r="F58" s="4"/>
    </row>
    <row r="59" spans="3:6" x14ac:dyDescent="0.25">
      <c r="C59" s="5"/>
      <c r="D59" s="4"/>
      <c r="E59" s="4"/>
      <c r="F59" s="4"/>
    </row>
    <row r="60" spans="3:6" x14ac:dyDescent="0.25">
      <c r="C60" s="5"/>
      <c r="D60" s="4"/>
      <c r="E60" s="4"/>
      <c r="F60" s="4"/>
    </row>
    <row r="61" spans="3:6" x14ac:dyDescent="0.25">
      <c r="C61" s="5"/>
      <c r="D61" s="4"/>
      <c r="E61" s="4"/>
      <c r="F61" s="4"/>
    </row>
    <row r="62" spans="3:6" x14ac:dyDescent="0.25">
      <c r="C62" s="5"/>
      <c r="D62" s="4"/>
      <c r="E62" s="4"/>
      <c r="F62" s="4"/>
    </row>
    <row r="63" spans="3:6" x14ac:dyDescent="0.25">
      <c r="C63" s="5"/>
      <c r="D63" s="4"/>
      <c r="E63" s="4"/>
      <c r="F63" s="4"/>
    </row>
    <row r="64" spans="3:6" x14ac:dyDescent="0.25">
      <c r="C64" s="5"/>
      <c r="D64" s="4"/>
      <c r="E64" s="4"/>
      <c r="F64" s="4"/>
    </row>
    <row r="65" spans="2:6" x14ac:dyDescent="0.25">
      <c r="C65" s="5"/>
      <c r="D65" s="4"/>
      <c r="E65" s="4"/>
      <c r="F65" s="4"/>
    </row>
    <row r="66" spans="2:6" x14ac:dyDescent="0.25">
      <c r="C66" s="5"/>
      <c r="D66" s="4"/>
      <c r="E66" s="4"/>
      <c r="F66" s="4"/>
    </row>
    <row r="69" spans="2:6" ht="18.75" x14ac:dyDescent="0.25">
      <c r="C69" s="31" t="s">
        <v>76</v>
      </c>
    </row>
    <row r="70" spans="2:6" x14ac:dyDescent="0.25">
      <c r="B70" s="27" t="s">
        <v>77</v>
      </c>
      <c r="C70" s="29" t="s">
        <v>78</v>
      </c>
      <c r="D70" s="29" t="s">
        <v>79</v>
      </c>
      <c r="E70" s="29" t="s">
        <v>80</v>
      </c>
      <c r="F70" s="29" t="s">
        <v>81</v>
      </c>
    </row>
    <row r="71" spans="2:6" x14ac:dyDescent="0.25">
      <c r="B71" s="38">
        <v>1</v>
      </c>
      <c r="C71" s="39">
        <v>1</v>
      </c>
      <c r="D71" s="11" t="s">
        <v>82</v>
      </c>
      <c r="E71" s="6" t="s">
        <v>83</v>
      </c>
      <c r="F71" s="6" t="s">
        <v>84</v>
      </c>
    </row>
    <row r="72" spans="2:6" x14ac:dyDescent="0.25">
      <c r="B72" s="38">
        <v>1</v>
      </c>
      <c r="C72" s="39">
        <v>2</v>
      </c>
      <c r="D72" s="6" t="s">
        <v>85</v>
      </c>
      <c r="E72" s="11" t="s">
        <v>86</v>
      </c>
      <c r="F72" s="6" t="s">
        <v>87</v>
      </c>
    </row>
    <row r="73" spans="2:6" x14ac:dyDescent="0.25">
      <c r="B73" s="38">
        <v>1</v>
      </c>
      <c r="C73" s="39">
        <v>3</v>
      </c>
      <c r="D73" s="6" t="s">
        <v>88</v>
      </c>
      <c r="E73" s="6" t="s">
        <v>89</v>
      </c>
      <c r="F73" s="11" t="s">
        <v>90</v>
      </c>
    </row>
    <row r="74" spans="2:6" x14ac:dyDescent="0.25">
      <c r="B74" s="38">
        <v>1</v>
      </c>
      <c r="C74" s="39">
        <v>4</v>
      </c>
      <c r="D74" s="11" t="s">
        <v>91</v>
      </c>
      <c r="E74" s="6" t="s">
        <v>92</v>
      </c>
      <c r="F74" s="6" t="s">
        <v>93</v>
      </c>
    </row>
    <row r="75" spans="2:6" x14ac:dyDescent="0.25">
      <c r="B75" s="38">
        <v>1</v>
      </c>
      <c r="C75" s="39">
        <v>5</v>
      </c>
      <c r="D75" s="6" t="s">
        <v>94</v>
      </c>
      <c r="E75" s="11" t="s">
        <v>95</v>
      </c>
      <c r="F75" s="6" t="s">
        <v>96</v>
      </c>
    </row>
    <row r="76" spans="2:6" x14ac:dyDescent="0.25">
      <c r="B76" s="38">
        <v>1</v>
      </c>
      <c r="C76" s="39">
        <v>6</v>
      </c>
      <c r="D76" s="6" t="s">
        <v>97</v>
      </c>
      <c r="E76" s="10" t="s">
        <v>98</v>
      </c>
      <c r="F76" s="6" t="s">
        <v>99</v>
      </c>
    </row>
    <row r="77" spans="2:6" x14ac:dyDescent="0.25">
      <c r="B77" s="38">
        <v>1</v>
      </c>
      <c r="C77" s="39">
        <v>7</v>
      </c>
      <c r="D77" s="6" t="s">
        <v>100</v>
      </c>
      <c r="E77" s="11" t="s">
        <v>101</v>
      </c>
      <c r="F77" s="6" t="s">
        <v>102</v>
      </c>
    </row>
    <row r="78" spans="2:6" x14ac:dyDescent="0.25">
      <c r="B78" s="38">
        <v>1</v>
      </c>
      <c r="C78" s="39">
        <v>8</v>
      </c>
      <c r="D78" s="6" t="s">
        <v>103</v>
      </c>
      <c r="E78" s="6" t="s">
        <v>104</v>
      </c>
      <c r="F78" s="6" t="s">
        <v>105</v>
      </c>
    </row>
    <row r="79" spans="2:6" x14ac:dyDescent="0.25">
      <c r="B79" s="38">
        <v>1</v>
      </c>
      <c r="C79" s="39">
        <v>9</v>
      </c>
      <c r="D79" s="11" t="s">
        <v>106</v>
      </c>
      <c r="E79" s="6" t="s">
        <v>107</v>
      </c>
      <c r="F79" s="6" t="s">
        <v>108</v>
      </c>
    </row>
    <row r="80" spans="2:6" x14ac:dyDescent="0.25">
      <c r="B80" s="38">
        <v>1</v>
      </c>
      <c r="C80" s="39">
        <v>10</v>
      </c>
      <c r="D80" s="12" t="s">
        <v>109</v>
      </c>
      <c r="E80" s="13" t="s">
        <v>110</v>
      </c>
      <c r="F80" s="14" t="s">
        <v>111</v>
      </c>
    </row>
    <row r="81" spans="2:6" x14ac:dyDescent="0.25">
      <c r="B81" s="38">
        <v>1</v>
      </c>
      <c r="C81" s="39">
        <v>11</v>
      </c>
      <c r="D81" s="12" t="s">
        <v>112</v>
      </c>
      <c r="E81" s="13" t="s">
        <v>113</v>
      </c>
      <c r="F81" s="14" t="s">
        <v>114</v>
      </c>
    </row>
    <row r="82" spans="2:6" x14ac:dyDescent="0.25">
      <c r="B82" s="38">
        <v>1</v>
      </c>
      <c r="C82" s="39">
        <v>12</v>
      </c>
      <c r="D82" s="12" t="s">
        <v>115</v>
      </c>
      <c r="E82" s="13" t="s">
        <v>116</v>
      </c>
      <c r="F82" s="14" t="s">
        <v>117</v>
      </c>
    </row>
    <row r="83" spans="2:6" x14ac:dyDescent="0.25">
      <c r="B83" s="38">
        <v>2</v>
      </c>
      <c r="C83" s="39">
        <v>1</v>
      </c>
      <c r="D83" s="1"/>
      <c r="E83" s="1"/>
      <c r="F83" s="1"/>
    </row>
    <row r="84" spans="2:6" x14ac:dyDescent="0.25">
      <c r="B84" s="38">
        <v>2</v>
      </c>
      <c r="C84" s="39">
        <v>2</v>
      </c>
      <c r="D84" s="1"/>
      <c r="E84" s="1"/>
      <c r="F84" s="1"/>
    </row>
    <row r="85" spans="2:6" x14ac:dyDescent="0.25">
      <c r="B85" s="38">
        <v>2</v>
      </c>
      <c r="C85" s="39">
        <v>3</v>
      </c>
      <c r="D85" s="1"/>
      <c r="E85" s="1"/>
      <c r="F85" s="1"/>
    </row>
    <row r="86" spans="2:6" x14ac:dyDescent="0.25">
      <c r="B86" s="38">
        <v>2</v>
      </c>
      <c r="C86" s="39">
        <v>4</v>
      </c>
      <c r="D86" s="1"/>
      <c r="E86" s="1"/>
      <c r="F86" s="1"/>
    </row>
    <row r="87" spans="2:6" x14ac:dyDescent="0.25">
      <c r="B87" s="38">
        <v>2</v>
      </c>
      <c r="C87" s="39">
        <v>5</v>
      </c>
      <c r="D87" s="1"/>
      <c r="E87" s="1"/>
      <c r="F87" s="1"/>
    </row>
    <row r="88" spans="2:6" x14ac:dyDescent="0.25">
      <c r="B88" s="38">
        <v>2</v>
      </c>
      <c r="C88" s="39">
        <v>6</v>
      </c>
      <c r="D88" s="1"/>
      <c r="E88" s="1"/>
      <c r="F88" s="1"/>
    </row>
    <row r="89" spans="2:6" x14ac:dyDescent="0.25">
      <c r="B89" s="38">
        <v>2</v>
      </c>
      <c r="C89" s="39">
        <v>7</v>
      </c>
      <c r="D89" s="1"/>
      <c r="E89" s="1"/>
      <c r="F89" s="1"/>
    </row>
    <row r="90" spans="2:6" x14ac:dyDescent="0.25">
      <c r="B90" s="38">
        <v>2</v>
      </c>
      <c r="C90" s="39">
        <v>8</v>
      </c>
      <c r="D90" s="1"/>
      <c r="E90" s="1"/>
      <c r="F90" s="1"/>
    </row>
    <row r="91" spans="2:6" x14ac:dyDescent="0.25">
      <c r="B91" s="38">
        <v>2</v>
      </c>
      <c r="C91" s="39">
        <v>9</v>
      </c>
      <c r="D91" s="1"/>
      <c r="E91" s="1"/>
      <c r="F91" s="1"/>
    </row>
    <row r="92" spans="2:6" x14ac:dyDescent="0.25">
      <c r="B92" s="38">
        <v>2</v>
      </c>
      <c r="C92" s="39">
        <v>10</v>
      </c>
      <c r="D92" s="1"/>
      <c r="E92" s="1"/>
      <c r="F92" s="1"/>
    </row>
    <row r="93" spans="2:6" x14ac:dyDescent="0.25">
      <c r="B93" s="38">
        <v>2</v>
      </c>
      <c r="C93" s="39">
        <v>11</v>
      </c>
      <c r="D93" s="1"/>
      <c r="E93" s="1"/>
      <c r="F93" s="1"/>
    </row>
    <row r="94" spans="2:6" x14ac:dyDescent="0.25">
      <c r="B94" s="38">
        <v>2</v>
      </c>
      <c r="C94" s="39">
        <v>12</v>
      </c>
      <c r="D94" s="1"/>
      <c r="E94" s="1"/>
      <c r="F94" s="1"/>
    </row>
  </sheetData>
  <sheetProtection sheet="1" objects="1" scenarios="1" formatCells="0" formatColumns="0" formatRows="0" insertHyperlinks="0"/>
  <dataValidations count="4">
    <dataValidation type="list" allowBlank="1" showInputMessage="1" showErrorMessage="1" sqref="F46:F66" xr:uid="{E384A8D8-2515-4FB4-9A11-39224E1C065B}">
      <formula1>INDIRECT(VLOOKUP($E46, SkillNameMap, 2, FALSE))</formula1>
    </dataValidation>
    <dataValidation type="list" allowBlank="1" showInputMessage="1" showErrorMessage="1" sqref="E40:E41" xr:uid="{42DE33D6-5230-4EAD-911F-BB5BD54277F2}">
      <formula1>INDIRECT("LISTAssess[Assessment Specific]")</formula1>
    </dataValidation>
    <dataValidation type="whole" showInputMessage="1" showErrorMessage="1" error="This is not a realistic number of contact hours please change" sqref="D19" xr:uid="{10DA0BDB-6881-4DE2-8527-3C1CEEABB2A7}">
      <formula1>0</formula1>
      <formula2>80</formula2>
    </dataValidation>
    <dataValidation type="whole" showInputMessage="1" showErrorMessage="1" error="This is not a realistic number of contact hours please reduce" sqref="D20:D23" xr:uid="{E48C1905-2C10-4874-A717-610D2C32F199}">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49E86CF4-8108-4F51-B073-02276940F342}">
          <x14:formula1>
            <xm:f>LISTS!$J$7:$J$16</xm:f>
          </x14:formula1>
          <xm:sqref>E46:E66</xm:sqref>
        </x14:dataValidation>
        <x14:dataValidation type="list" allowBlank="1" showInputMessage="1" showErrorMessage="1" xr:uid="{06465257-54DA-440C-A18F-A20A74E289A8}">
          <x14:formula1>
            <xm:f>LISTS!$E$7:$E$11</xm:f>
          </x14:formula1>
          <xm:sqref>D46:D66</xm:sqref>
        </x14:dataValidation>
        <x14:dataValidation type="list" allowBlank="1" showInputMessage="1" showErrorMessage="1" xr:uid="{92190BF3-9D32-4DB4-A8BA-763515453B32}">
          <x14:formula1>
            <xm:f>LISTS!$G$7:$G$11</xm:f>
          </x14:formula1>
          <xm:sqref>D38:D42</xm:sqref>
        </x14:dataValidation>
        <x14:dataValidation type="list" allowBlank="1" showInputMessage="1" showErrorMessage="1" xr:uid="{9C410528-EEF6-42C6-92FD-9BC401213F1A}">
          <x14:formula1>
            <xm:f>LISTS!$C$11:$C$15</xm:f>
          </x14:formula1>
          <xm:sqref>D11</xm:sqref>
        </x14:dataValidation>
        <x14:dataValidation type="list" allowBlank="1" showInputMessage="1" showErrorMessage="1" xr:uid="{5F355864-A09D-4BF0-A234-3B9D71AC5817}">
          <x14:formula1>
            <xm:f>LISTS!$C$7:$C$9</xm:f>
          </x14:formula1>
          <xm:sqref>D10</xm:sqref>
        </x14:dataValidation>
        <x14:dataValidation type="list" allowBlank="1" showInputMessage="1" showErrorMessage="1" xr:uid="{3E88FD4F-65B0-4FA6-855E-DADD7E372352}">
          <x14:formula1>
            <xm:f>LISTS!$C$17:$C$22</xm:f>
          </x14:formula1>
          <xm:sqref>D13</xm:sqref>
        </x14:dataValidation>
        <x14:dataValidation type="list" allowBlank="1" showInputMessage="1" showErrorMessage="1" xr:uid="{D7C64E59-53DD-4059-A4BB-E06393A734C2}">
          <x14:formula1>
            <xm:f>LISTS!$C$26:$C$37</xm:f>
          </x14:formula1>
          <xm:sqref>D14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E7B7A-D282-4FA8-AE69-A4F29B437E85}">
  <sheetPr codeName="Sheet2"/>
  <dimension ref="B2:H94"/>
  <sheetViews>
    <sheetView showGridLines="0" topLeftCell="A2" zoomScale="85" zoomScaleNormal="85" workbookViewId="0">
      <selection activeCell="D8" sqref="D8"/>
    </sheetView>
  </sheetViews>
  <sheetFormatPr defaultRowHeight="15" x14ac:dyDescent="0.25"/>
  <cols>
    <col min="1" max="2" width="9.140625" style="27"/>
    <col min="3" max="3" width="33.28515625" style="27" customWidth="1"/>
    <col min="4" max="4" width="51.5703125" style="27" customWidth="1"/>
    <col min="5" max="5" width="67.28515625" style="27" customWidth="1"/>
    <col min="6" max="6" width="63.140625" style="27" customWidth="1"/>
    <col min="7" max="7" width="12.42578125" style="27" customWidth="1"/>
    <col min="8" max="8" width="15.5703125" style="27" customWidth="1"/>
    <col min="9" max="9" width="14.7109375" style="27" customWidth="1"/>
    <col min="10" max="16384" width="9.140625" style="27"/>
  </cols>
  <sheetData>
    <row r="2" spans="2:6" ht="26.25" x14ac:dyDescent="0.4">
      <c r="C2" s="28" t="str">
        <f>D7</f>
        <v>4003SPS</v>
      </c>
      <c r="D2" s="28" t="str">
        <f>D8</f>
        <v>Principles of Human Nutrition</v>
      </c>
    </row>
    <row r="3" spans="2:6" x14ac:dyDescent="0.25">
      <c r="B3" s="29"/>
      <c r="C3" s="29"/>
    </row>
    <row r="4" spans="2:6" x14ac:dyDescent="0.25">
      <c r="B4" s="30"/>
      <c r="C4" s="30"/>
    </row>
    <row r="5" spans="2:6" ht="18.75" x14ac:dyDescent="0.25">
      <c r="B5" s="30"/>
      <c r="C5" s="31" t="s">
        <v>0</v>
      </c>
    </row>
    <row r="6" spans="2:6" x14ac:dyDescent="0.25">
      <c r="B6" s="30"/>
      <c r="C6" s="32" t="s">
        <v>1</v>
      </c>
      <c r="D6" s="33" t="s">
        <v>2</v>
      </c>
      <c r="E6" s="33"/>
      <c r="F6" s="27" t="s">
        <v>3</v>
      </c>
    </row>
    <row r="7" spans="2:6" x14ac:dyDescent="0.25">
      <c r="B7" s="30"/>
      <c r="C7" s="37" t="s">
        <v>4</v>
      </c>
      <c r="D7" s="1" t="s">
        <v>118</v>
      </c>
      <c r="E7" s="33"/>
      <c r="F7" s="6" t="s">
        <v>119</v>
      </c>
    </row>
    <row r="8" spans="2:6" x14ac:dyDescent="0.25">
      <c r="B8" s="30"/>
      <c r="C8" s="37" t="s">
        <v>7</v>
      </c>
      <c r="D8" s="6" t="s">
        <v>120</v>
      </c>
      <c r="E8" s="33"/>
      <c r="F8" s="4"/>
    </row>
    <row r="9" spans="2:6" x14ac:dyDescent="0.25">
      <c r="C9" s="37" t="s">
        <v>9</v>
      </c>
      <c r="D9" s="1">
        <v>20</v>
      </c>
      <c r="E9" s="33"/>
    </row>
    <row r="10" spans="2:6" x14ac:dyDescent="0.25">
      <c r="C10" s="37" t="s">
        <v>10</v>
      </c>
      <c r="D10" s="1">
        <v>1</v>
      </c>
      <c r="E10" s="33"/>
      <c r="F10" s="27" t="s">
        <v>12</v>
      </c>
    </row>
    <row r="11" spans="2:6" x14ac:dyDescent="0.25">
      <c r="C11" s="37" t="s">
        <v>13</v>
      </c>
      <c r="D11" s="1">
        <v>4</v>
      </c>
      <c r="E11" s="33"/>
      <c r="F11" s="6" t="s">
        <v>121</v>
      </c>
    </row>
    <row r="12" spans="2:6" x14ac:dyDescent="0.25">
      <c r="C12" s="37" t="s">
        <v>15</v>
      </c>
      <c r="D12" s="1" t="s">
        <v>122</v>
      </c>
      <c r="E12" s="33"/>
      <c r="F12" s="4"/>
    </row>
    <row r="13" spans="2:6" x14ac:dyDescent="0.25">
      <c r="C13" s="37" t="s">
        <v>17</v>
      </c>
      <c r="D13" s="1" t="s">
        <v>123</v>
      </c>
      <c r="E13" s="33"/>
      <c r="F13" s="4"/>
    </row>
    <row r="14" spans="2:6" x14ac:dyDescent="0.25">
      <c r="C14" s="37" t="s">
        <v>19</v>
      </c>
      <c r="D14" s="1" t="s">
        <v>20</v>
      </c>
      <c r="E14" s="33"/>
    </row>
    <row r="15" spans="2:6" x14ac:dyDescent="0.25">
      <c r="C15" s="32"/>
      <c r="D15" s="33"/>
      <c r="E15" s="33"/>
      <c r="F15" s="27" t="s">
        <v>21</v>
      </c>
    </row>
    <row r="16" spans="2:6" x14ac:dyDescent="0.25">
      <c r="C16" s="32"/>
      <c r="D16" s="33"/>
      <c r="E16" s="33"/>
      <c r="F16" s="6" t="s">
        <v>124</v>
      </c>
    </row>
    <row r="17" spans="3:6" ht="18.75" x14ac:dyDescent="0.25">
      <c r="C17" s="31" t="s">
        <v>23</v>
      </c>
      <c r="D17" s="33"/>
      <c r="E17" s="33"/>
      <c r="F17" s="4"/>
    </row>
    <row r="18" spans="3:6" x14ac:dyDescent="0.25">
      <c r="C18" s="32" t="s">
        <v>24</v>
      </c>
      <c r="D18" s="29" t="s">
        <v>23</v>
      </c>
      <c r="E18" s="33"/>
      <c r="F18" s="4"/>
    </row>
    <row r="19" spans="3:6" x14ac:dyDescent="0.25">
      <c r="C19" s="37" t="s">
        <v>25</v>
      </c>
      <c r="D19" s="2">
        <v>20</v>
      </c>
      <c r="E19" s="33"/>
      <c r="F19" s="4"/>
    </row>
    <row r="20" spans="3:6" x14ac:dyDescent="0.25">
      <c r="C20" s="37" t="s">
        <v>26</v>
      </c>
      <c r="D20" s="2">
        <v>15</v>
      </c>
      <c r="E20" s="33"/>
      <c r="F20" s="4"/>
    </row>
    <row r="21" spans="3:6" x14ac:dyDescent="0.25">
      <c r="C21" s="37" t="s">
        <v>27</v>
      </c>
      <c r="D21" s="2">
        <v>9</v>
      </c>
      <c r="E21" s="33"/>
    </row>
    <row r="22" spans="3:6" x14ac:dyDescent="0.25">
      <c r="C22" s="37" t="s">
        <v>28</v>
      </c>
      <c r="D22" s="2">
        <v>3</v>
      </c>
      <c r="E22" s="33"/>
      <c r="F22" s="27" t="s">
        <v>29</v>
      </c>
    </row>
    <row r="23" spans="3:6" x14ac:dyDescent="0.25">
      <c r="C23" s="37" t="s">
        <v>30</v>
      </c>
      <c r="D23" s="2"/>
      <c r="E23" s="33"/>
      <c r="F23" s="8" t="s">
        <v>125</v>
      </c>
    </row>
    <row r="24" spans="3:6" x14ac:dyDescent="0.25">
      <c r="C24" s="37" t="s">
        <v>32</v>
      </c>
      <c r="D24" s="29">
        <f>SUM(D19:D23)</f>
        <v>47</v>
      </c>
      <c r="E24" s="33"/>
      <c r="F24" s="8" t="s">
        <v>126</v>
      </c>
    </row>
    <row r="25" spans="3:6" x14ac:dyDescent="0.25">
      <c r="F25" s="8" t="s">
        <v>127</v>
      </c>
    </row>
    <row r="26" spans="3:6" x14ac:dyDescent="0.25">
      <c r="F26" s="8" t="s">
        <v>128</v>
      </c>
    </row>
    <row r="27" spans="3:6" ht="18.75" x14ac:dyDescent="0.25">
      <c r="C27" s="31" t="s">
        <v>36</v>
      </c>
      <c r="D27" s="34" t="s">
        <v>37</v>
      </c>
      <c r="F27" s="8" t="s">
        <v>129</v>
      </c>
    </row>
    <row r="28" spans="3:6" x14ac:dyDescent="0.25">
      <c r="C28" s="32" t="s">
        <v>39</v>
      </c>
      <c r="D28" s="32" t="s">
        <v>40</v>
      </c>
      <c r="E28" s="32"/>
      <c r="F28" s="4"/>
    </row>
    <row r="29" spans="3:6" x14ac:dyDescent="0.25">
      <c r="C29" s="37" t="s">
        <v>42</v>
      </c>
      <c r="D29" s="8" t="s">
        <v>130</v>
      </c>
      <c r="E29" s="33"/>
      <c r="F29" s="4"/>
    </row>
    <row r="30" spans="3:6" x14ac:dyDescent="0.25">
      <c r="C30" s="37" t="s">
        <v>44</v>
      </c>
      <c r="D30" s="8" t="s">
        <v>131</v>
      </c>
      <c r="E30" s="33"/>
      <c r="F30" s="4"/>
    </row>
    <row r="31" spans="3:6" x14ac:dyDescent="0.25">
      <c r="C31" s="37" t="s">
        <v>46</v>
      </c>
      <c r="D31" s="8" t="s">
        <v>132</v>
      </c>
      <c r="E31" s="33"/>
      <c r="F31" s="4"/>
    </row>
    <row r="32" spans="3:6" x14ac:dyDescent="0.25">
      <c r="C32" s="37" t="s">
        <v>48</v>
      </c>
      <c r="D32" s="1"/>
      <c r="E32" s="33"/>
      <c r="F32" s="4"/>
    </row>
    <row r="33" spans="3:8" x14ac:dyDescent="0.25">
      <c r="C33" s="37" t="s">
        <v>49</v>
      </c>
      <c r="D33" s="1"/>
      <c r="E33" s="33"/>
      <c r="F33" s="4"/>
    </row>
    <row r="36" spans="3:8" ht="18.75" x14ac:dyDescent="0.25">
      <c r="C36" s="31" t="s">
        <v>50</v>
      </c>
    </row>
    <row r="37" spans="3:8" x14ac:dyDescent="0.25">
      <c r="C37" s="32" t="s">
        <v>51</v>
      </c>
      <c r="D37" s="32" t="s">
        <v>52</v>
      </c>
      <c r="E37" s="32" t="s">
        <v>53</v>
      </c>
      <c r="F37" s="32" t="s">
        <v>54</v>
      </c>
      <c r="G37" s="32" t="s">
        <v>55</v>
      </c>
      <c r="H37" s="32" t="s">
        <v>56</v>
      </c>
    </row>
    <row r="38" spans="3:8" x14ac:dyDescent="0.25">
      <c r="C38" s="37" t="s">
        <v>57</v>
      </c>
      <c r="D38" s="1" t="s">
        <v>133</v>
      </c>
      <c r="E38" s="8" t="s">
        <v>134</v>
      </c>
      <c r="F38" s="8" t="s">
        <v>135</v>
      </c>
      <c r="G38" s="3">
        <v>0.5</v>
      </c>
      <c r="H38" s="1">
        <v>8</v>
      </c>
    </row>
    <row r="39" spans="3:8" x14ac:dyDescent="0.25">
      <c r="C39" s="37" t="s">
        <v>61</v>
      </c>
      <c r="D39" s="1" t="s">
        <v>136</v>
      </c>
      <c r="E39" s="8" t="s">
        <v>137</v>
      </c>
      <c r="F39" s="1"/>
      <c r="G39" s="3">
        <v>0.5</v>
      </c>
      <c r="H39" s="1">
        <v>17</v>
      </c>
    </row>
    <row r="40" spans="3:8" x14ac:dyDescent="0.25">
      <c r="C40" s="37" t="s">
        <v>64</v>
      </c>
      <c r="D40" s="4"/>
      <c r="E40" s="4"/>
      <c r="F40" s="4"/>
      <c r="G40" s="4"/>
      <c r="H40" s="4"/>
    </row>
    <row r="41" spans="3:8" x14ac:dyDescent="0.25">
      <c r="C41" s="37" t="s">
        <v>65</v>
      </c>
      <c r="D41" s="4"/>
      <c r="E41" s="4"/>
      <c r="F41" s="4"/>
      <c r="G41" s="4"/>
      <c r="H41" s="4"/>
    </row>
    <row r="42" spans="3:8" x14ac:dyDescent="0.25">
      <c r="C42" s="32"/>
    </row>
    <row r="44" spans="3:8" ht="18.75" x14ac:dyDescent="0.25">
      <c r="C44" s="31" t="s">
        <v>66</v>
      </c>
      <c r="D44" s="34"/>
    </row>
    <row r="45" spans="3:8" x14ac:dyDescent="0.25">
      <c r="C45" s="29" t="s">
        <v>51</v>
      </c>
      <c r="D45" s="29" t="s">
        <v>39</v>
      </c>
      <c r="E45" s="29" t="s">
        <v>67</v>
      </c>
      <c r="F45" s="29" t="s">
        <v>68</v>
      </c>
    </row>
    <row r="46" spans="3:8" x14ac:dyDescent="0.25">
      <c r="C46" s="5" t="s">
        <v>57</v>
      </c>
      <c r="D46" s="4" t="s">
        <v>42</v>
      </c>
      <c r="E46" s="4" t="s">
        <v>138</v>
      </c>
      <c r="F46" s="4" t="s">
        <v>139</v>
      </c>
    </row>
    <row r="47" spans="3:8" x14ac:dyDescent="0.25">
      <c r="C47" s="5" t="s">
        <v>57</v>
      </c>
      <c r="D47" s="4" t="s">
        <v>42</v>
      </c>
      <c r="E47" s="4" t="s">
        <v>73</v>
      </c>
      <c r="F47" s="4" t="s">
        <v>140</v>
      </c>
    </row>
    <row r="48" spans="3:8" x14ac:dyDescent="0.25">
      <c r="C48" s="5" t="s">
        <v>57</v>
      </c>
      <c r="D48" s="4" t="s">
        <v>44</v>
      </c>
      <c r="E48" s="4" t="s">
        <v>73</v>
      </c>
      <c r="F48" s="4" t="s">
        <v>74</v>
      </c>
    </row>
    <row r="49" spans="3:6" x14ac:dyDescent="0.25">
      <c r="C49" s="5" t="s">
        <v>61</v>
      </c>
      <c r="D49" s="4" t="s">
        <v>44</v>
      </c>
      <c r="E49" s="4" t="s">
        <v>138</v>
      </c>
      <c r="F49" s="4" t="s">
        <v>139</v>
      </c>
    </row>
    <row r="50" spans="3:6" x14ac:dyDescent="0.25">
      <c r="C50" s="5" t="s">
        <v>61</v>
      </c>
      <c r="D50" s="4" t="s">
        <v>44</v>
      </c>
      <c r="E50" s="4" t="s">
        <v>71</v>
      </c>
      <c r="F50" s="4" t="s">
        <v>72</v>
      </c>
    </row>
    <row r="51" spans="3:6" x14ac:dyDescent="0.25">
      <c r="C51" s="5" t="s">
        <v>61</v>
      </c>
      <c r="D51" s="4"/>
      <c r="E51" s="4"/>
      <c r="F51" s="4"/>
    </row>
    <row r="52" spans="3:6" x14ac:dyDescent="0.25">
      <c r="C52" s="5" t="s">
        <v>64</v>
      </c>
      <c r="D52" s="4"/>
      <c r="E52" s="4"/>
      <c r="F52" s="4"/>
    </row>
    <row r="53" spans="3:6" x14ac:dyDescent="0.25">
      <c r="C53" s="5" t="s">
        <v>64</v>
      </c>
      <c r="D53" s="4"/>
      <c r="E53" s="4"/>
      <c r="F53" s="4"/>
    </row>
    <row r="54" spans="3:6" x14ac:dyDescent="0.25">
      <c r="C54" s="5" t="s">
        <v>64</v>
      </c>
      <c r="D54" s="4"/>
      <c r="E54" s="4"/>
      <c r="F54" s="4"/>
    </row>
    <row r="55" spans="3:6" x14ac:dyDescent="0.25">
      <c r="C55" s="5" t="s">
        <v>65</v>
      </c>
      <c r="D55" s="4"/>
      <c r="E55" s="4"/>
      <c r="F55" s="4"/>
    </row>
    <row r="56" spans="3:6" x14ac:dyDescent="0.25">
      <c r="C56" s="5" t="s">
        <v>65</v>
      </c>
      <c r="D56" s="4"/>
      <c r="E56" s="4"/>
      <c r="F56" s="4"/>
    </row>
    <row r="57" spans="3:6" x14ac:dyDescent="0.25">
      <c r="C57" s="5"/>
      <c r="D57" s="4"/>
      <c r="E57" s="4"/>
      <c r="F57" s="4"/>
    </row>
    <row r="58" spans="3:6" x14ac:dyDescent="0.25">
      <c r="C58" s="5"/>
      <c r="D58" s="4"/>
      <c r="E58" s="4"/>
      <c r="F58" s="4"/>
    </row>
    <row r="59" spans="3:6" x14ac:dyDescent="0.25">
      <c r="C59" s="5"/>
      <c r="D59" s="4"/>
      <c r="E59" s="4"/>
      <c r="F59" s="4"/>
    </row>
    <row r="60" spans="3:6" x14ac:dyDescent="0.25">
      <c r="C60" s="5"/>
      <c r="D60" s="4"/>
      <c r="E60" s="4"/>
      <c r="F60" s="4"/>
    </row>
    <row r="61" spans="3:6" x14ac:dyDescent="0.25">
      <c r="C61" s="5"/>
      <c r="D61" s="4"/>
      <c r="E61" s="4"/>
      <c r="F61" s="4"/>
    </row>
    <row r="62" spans="3:6" x14ac:dyDescent="0.25">
      <c r="C62" s="5"/>
      <c r="D62" s="4"/>
      <c r="E62" s="4"/>
      <c r="F62" s="4"/>
    </row>
    <row r="63" spans="3:6" x14ac:dyDescent="0.25">
      <c r="C63" s="5"/>
      <c r="D63" s="4"/>
      <c r="E63" s="4"/>
      <c r="F63" s="4"/>
    </row>
    <row r="64" spans="3:6" x14ac:dyDescent="0.25">
      <c r="C64" s="5"/>
      <c r="D64" s="4"/>
      <c r="E64" s="4"/>
      <c r="F64" s="4"/>
    </row>
    <row r="65" spans="2:6" x14ac:dyDescent="0.25">
      <c r="C65" s="5"/>
      <c r="D65" s="4"/>
      <c r="E65" s="4"/>
      <c r="F65" s="4"/>
    </row>
    <row r="66" spans="2:6" x14ac:dyDescent="0.25">
      <c r="C66" s="5"/>
      <c r="D66" s="4"/>
      <c r="E66" s="4"/>
      <c r="F66" s="4"/>
    </row>
    <row r="69" spans="2:6" ht="18.75" x14ac:dyDescent="0.25">
      <c r="C69" s="31" t="s">
        <v>76</v>
      </c>
    </row>
    <row r="70" spans="2:6" x14ac:dyDescent="0.25">
      <c r="B70" s="27" t="s">
        <v>77</v>
      </c>
      <c r="C70" s="29" t="s">
        <v>78</v>
      </c>
      <c r="D70" s="29" t="s">
        <v>79</v>
      </c>
      <c r="E70" s="29" t="s">
        <v>80</v>
      </c>
      <c r="F70" s="29" t="s">
        <v>81</v>
      </c>
    </row>
    <row r="71" spans="2:6" x14ac:dyDescent="0.25">
      <c r="B71" s="38">
        <v>1</v>
      </c>
      <c r="C71" s="39">
        <v>1</v>
      </c>
      <c r="D71" s="12" t="s">
        <v>141</v>
      </c>
      <c r="E71" s="13" t="s">
        <v>142</v>
      </c>
      <c r="F71" s="14" t="s">
        <v>143</v>
      </c>
    </row>
    <row r="72" spans="2:6" x14ac:dyDescent="0.25">
      <c r="B72" s="38">
        <v>1</v>
      </c>
      <c r="C72" s="39">
        <v>2</v>
      </c>
      <c r="D72" s="15" t="s">
        <v>144</v>
      </c>
      <c r="E72" s="16" t="s">
        <v>145</v>
      </c>
      <c r="F72" s="17" t="s">
        <v>146</v>
      </c>
    </row>
    <row r="73" spans="2:6" x14ac:dyDescent="0.25">
      <c r="B73" s="38">
        <v>1</v>
      </c>
      <c r="C73" s="39">
        <v>3</v>
      </c>
      <c r="D73" s="18" t="s">
        <v>147</v>
      </c>
      <c r="E73" s="19" t="s">
        <v>148</v>
      </c>
      <c r="F73" s="20" t="s">
        <v>149</v>
      </c>
    </row>
    <row r="74" spans="2:6" x14ac:dyDescent="0.25">
      <c r="B74" s="38">
        <v>1</v>
      </c>
      <c r="C74" s="39">
        <v>4</v>
      </c>
      <c r="D74" s="18" t="s">
        <v>150</v>
      </c>
      <c r="E74" s="19" t="s">
        <v>151</v>
      </c>
      <c r="F74" s="20" t="s">
        <v>152</v>
      </c>
    </row>
    <row r="75" spans="2:6" x14ac:dyDescent="0.25">
      <c r="B75" s="38">
        <v>1</v>
      </c>
      <c r="C75" s="39">
        <v>5</v>
      </c>
      <c r="D75" s="18" t="s">
        <v>153</v>
      </c>
      <c r="E75" s="19" t="s">
        <v>154</v>
      </c>
      <c r="F75" s="20" t="s">
        <v>155</v>
      </c>
    </row>
    <row r="76" spans="2:6" x14ac:dyDescent="0.25">
      <c r="B76" s="38">
        <v>1</v>
      </c>
      <c r="C76" s="39">
        <v>6</v>
      </c>
      <c r="D76" s="18" t="s">
        <v>156</v>
      </c>
      <c r="E76" s="21" t="s">
        <v>157</v>
      </c>
      <c r="F76" s="20" t="s">
        <v>158</v>
      </c>
    </row>
    <row r="77" spans="2:6" x14ac:dyDescent="0.25">
      <c r="B77" s="38">
        <v>1</v>
      </c>
      <c r="C77" s="39">
        <v>7</v>
      </c>
      <c r="D77" s="18" t="s">
        <v>159</v>
      </c>
      <c r="E77" s="19" t="s">
        <v>160</v>
      </c>
      <c r="F77" s="20" t="s">
        <v>161</v>
      </c>
    </row>
    <row r="78" spans="2:6" x14ac:dyDescent="0.25">
      <c r="B78" s="38">
        <v>1</v>
      </c>
      <c r="C78" s="39">
        <v>8</v>
      </c>
      <c r="D78" s="18" t="s">
        <v>162</v>
      </c>
      <c r="E78" s="19" t="s">
        <v>160</v>
      </c>
      <c r="F78" s="20" t="s">
        <v>163</v>
      </c>
    </row>
    <row r="79" spans="2:6" x14ac:dyDescent="0.25">
      <c r="B79" s="38">
        <v>1</v>
      </c>
      <c r="C79" s="39">
        <v>9</v>
      </c>
      <c r="D79" s="18" t="s">
        <v>164</v>
      </c>
      <c r="E79" s="19" t="s">
        <v>165</v>
      </c>
      <c r="F79" s="20" t="s">
        <v>166</v>
      </c>
    </row>
    <row r="80" spans="2:6" x14ac:dyDescent="0.25">
      <c r="B80" s="38">
        <v>1</v>
      </c>
      <c r="C80" s="39">
        <v>10</v>
      </c>
      <c r="D80" s="18" t="s">
        <v>167</v>
      </c>
      <c r="E80" s="19" t="s">
        <v>168</v>
      </c>
      <c r="F80" s="20" t="s">
        <v>169</v>
      </c>
    </row>
    <row r="81" spans="2:6" x14ac:dyDescent="0.25">
      <c r="B81" s="38">
        <v>1</v>
      </c>
      <c r="C81" s="39">
        <v>11</v>
      </c>
      <c r="D81" s="18" t="s">
        <v>170</v>
      </c>
      <c r="E81" s="19" t="s">
        <v>171</v>
      </c>
      <c r="F81" s="20" t="s">
        <v>172</v>
      </c>
    </row>
    <row r="82" spans="2:6" x14ac:dyDescent="0.25">
      <c r="B82" s="38">
        <v>1</v>
      </c>
      <c r="C82" s="39">
        <v>12</v>
      </c>
      <c r="D82" s="22" t="s">
        <v>173</v>
      </c>
      <c r="E82" s="23" t="s">
        <v>174</v>
      </c>
      <c r="F82" s="24" t="s">
        <v>175</v>
      </c>
    </row>
    <row r="83" spans="2:6" x14ac:dyDescent="0.25">
      <c r="B83" s="38">
        <v>2</v>
      </c>
      <c r="C83" s="39">
        <v>1</v>
      </c>
      <c r="D83" s="1"/>
      <c r="E83" s="1"/>
      <c r="F83" s="1"/>
    </row>
    <row r="84" spans="2:6" x14ac:dyDescent="0.25">
      <c r="B84" s="38">
        <v>2</v>
      </c>
      <c r="C84" s="39">
        <v>2</v>
      </c>
      <c r="D84" s="1"/>
      <c r="E84" s="1"/>
      <c r="F84" s="1"/>
    </row>
    <row r="85" spans="2:6" x14ac:dyDescent="0.25">
      <c r="B85" s="38">
        <v>2</v>
      </c>
      <c r="C85" s="39">
        <v>3</v>
      </c>
      <c r="D85" s="1"/>
      <c r="E85" s="1"/>
      <c r="F85" s="1"/>
    </row>
    <row r="86" spans="2:6" x14ac:dyDescent="0.25">
      <c r="B86" s="38">
        <v>2</v>
      </c>
      <c r="C86" s="39">
        <v>4</v>
      </c>
      <c r="D86" s="1"/>
      <c r="E86" s="1"/>
      <c r="F86" s="1"/>
    </row>
    <row r="87" spans="2:6" x14ac:dyDescent="0.25">
      <c r="B87" s="38">
        <v>2</v>
      </c>
      <c r="C87" s="39">
        <v>5</v>
      </c>
      <c r="D87" s="1"/>
      <c r="E87" s="1"/>
      <c r="F87" s="1"/>
    </row>
    <row r="88" spans="2:6" x14ac:dyDescent="0.25">
      <c r="B88" s="38">
        <v>2</v>
      </c>
      <c r="C88" s="39">
        <v>6</v>
      </c>
      <c r="D88" s="1"/>
      <c r="E88" s="1"/>
      <c r="F88" s="1"/>
    </row>
    <row r="89" spans="2:6" x14ac:dyDescent="0.25">
      <c r="B89" s="38">
        <v>2</v>
      </c>
      <c r="C89" s="39">
        <v>7</v>
      </c>
      <c r="D89" s="1"/>
      <c r="E89" s="1"/>
      <c r="F89" s="1"/>
    </row>
    <row r="90" spans="2:6" x14ac:dyDescent="0.25">
      <c r="B90" s="38">
        <v>2</v>
      </c>
      <c r="C90" s="39">
        <v>8</v>
      </c>
      <c r="D90" s="1"/>
      <c r="E90" s="1"/>
      <c r="F90" s="1"/>
    </row>
    <row r="91" spans="2:6" x14ac:dyDescent="0.25">
      <c r="B91" s="38">
        <v>2</v>
      </c>
      <c r="C91" s="39">
        <v>9</v>
      </c>
      <c r="D91" s="1"/>
      <c r="E91" s="1"/>
      <c r="F91" s="1"/>
    </row>
    <row r="92" spans="2:6" x14ac:dyDescent="0.25">
      <c r="B92" s="38">
        <v>2</v>
      </c>
      <c r="C92" s="39">
        <v>10</v>
      </c>
      <c r="D92" s="1"/>
      <c r="E92" s="1"/>
      <c r="F92" s="1"/>
    </row>
    <row r="93" spans="2:6" x14ac:dyDescent="0.25">
      <c r="B93" s="38">
        <v>2</v>
      </c>
      <c r="C93" s="39">
        <v>11</v>
      </c>
      <c r="D93" s="1"/>
      <c r="E93" s="1"/>
      <c r="F93" s="1"/>
    </row>
    <row r="94" spans="2:6" x14ac:dyDescent="0.25">
      <c r="B94" s="38">
        <v>2</v>
      </c>
      <c r="C94" s="39">
        <v>12</v>
      </c>
      <c r="D94" s="1"/>
      <c r="E94" s="1"/>
      <c r="F94" s="1"/>
    </row>
  </sheetData>
  <sheetProtection sheet="1" objects="1" scenarios="1" formatCells="0" formatColumns="0" formatRows="0" insertHyperlinks="0"/>
  <dataValidations count="4">
    <dataValidation type="list" allowBlank="1" showInputMessage="1" showErrorMessage="1" sqref="F46:F66" xr:uid="{199417CD-50E7-40D5-ADCF-61994B27264E}">
      <formula1>INDIRECT(VLOOKUP($E46, SkillNameMap, 2, FALSE))</formula1>
    </dataValidation>
    <dataValidation type="list" allowBlank="1" showInputMessage="1" showErrorMessage="1" sqref="E40:E41" xr:uid="{9A8779B4-6AB6-45B5-A32C-6D89EAF36C8E}">
      <formula1>INDIRECT("LISTAssess[Assessment Specific]")</formula1>
    </dataValidation>
    <dataValidation type="whole" showInputMessage="1" showErrorMessage="1" error="This is not a realistic number of contact hours please change" sqref="D19" xr:uid="{DA3D6AB5-532B-4E6E-B5DD-7DD3330DB48F}">
      <formula1>0</formula1>
      <formula2>80</formula2>
    </dataValidation>
    <dataValidation type="whole" showInputMessage="1" showErrorMessage="1" error="This is not a realistic number of contact hours please reduce" sqref="D20:D23" xr:uid="{3732E239-C09D-43A7-9D17-84966769CD9A}">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5C65280C-5249-4CA6-9640-3CC5D292F59A}">
          <x14:formula1>
            <xm:f>LISTS!$J$7:$J$16</xm:f>
          </x14:formula1>
          <xm:sqref>E46:E66</xm:sqref>
        </x14:dataValidation>
        <x14:dataValidation type="list" allowBlank="1" showInputMessage="1" showErrorMessage="1" xr:uid="{009B3F76-CBC5-41A8-84DE-D4AD00A25980}">
          <x14:formula1>
            <xm:f>LISTS!$E$7:$E$11</xm:f>
          </x14:formula1>
          <xm:sqref>D46:D66</xm:sqref>
        </x14:dataValidation>
        <x14:dataValidation type="list" allowBlank="1" showInputMessage="1" showErrorMessage="1" xr:uid="{E4C466FC-4B20-43FE-83BB-6DB372D1E2AF}">
          <x14:formula1>
            <xm:f>LISTS!$G$7:$G$11</xm:f>
          </x14:formula1>
          <xm:sqref>D38:D42</xm:sqref>
        </x14:dataValidation>
        <x14:dataValidation type="list" allowBlank="1" showInputMessage="1" showErrorMessage="1" xr:uid="{FDF99DCE-273A-4E69-9925-00724A3BE75B}">
          <x14:formula1>
            <xm:f>LISTS!$C$11:$C$15</xm:f>
          </x14:formula1>
          <xm:sqref>D11</xm:sqref>
        </x14:dataValidation>
        <x14:dataValidation type="list" allowBlank="1" showInputMessage="1" showErrorMessage="1" xr:uid="{B71F4674-23DF-4DB6-881E-607B855CE61E}">
          <x14:formula1>
            <xm:f>LISTS!$C$7:$C$9</xm:f>
          </x14:formula1>
          <xm:sqref>D10</xm:sqref>
        </x14:dataValidation>
        <x14:dataValidation type="list" allowBlank="1" showInputMessage="1" showErrorMessage="1" xr:uid="{13441B70-6771-46A0-B42D-7619C487A66C}">
          <x14:formula1>
            <xm:f>LISTS!$C$17:$C$22</xm:f>
          </x14:formula1>
          <xm:sqref>D13</xm:sqref>
        </x14:dataValidation>
        <x14:dataValidation type="list" allowBlank="1" showInputMessage="1" showErrorMessage="1" xr:uid="{27FAA946-26BF-4A0D-A78A-94B40A846A90}">
          <x14:formula1>
            <xm:f>LISTS!$C$26:$C$37</xm:f>
          </x14:formula1>
          <xm:sqref>D14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15F39-4768-4BDC-BBAF-EDA933F6EC41}">
  <sheetPr codeName="Sheet3"/>
  <dimension ref="B2:H94"/>
  <sheetViews>
    <sheetView showGridLines="0" topLeftCell="B1" zoomScale="85" zoomScaleNormal="85" workbookViewId="0">
      <selection activeCell="D8" sqref="D8"/>
    </sheetView>
  </sheetViews>
  <sheetFormatPr defaultRowHeight="15" x14ac:dyDescent="0.25"/>
  <cols>
    <col min="1" max="2" width="9.140625" style="27"/>
    <col min="3" max="3" width="33.28515625" style="27" customWidth="1"/>
    <col min="4" max="4" width="51.5703125" style="27" customWidth="1"/>
    <col min="5" max="5" width="67.28515625" style="27" customWidth="1"/>
    <col min="6" max="6" width="63.140625" style="27" customWidth="1"/>
    <col min="7" max="7" width="12.42578125" style="27" customWidth="1"/>
    <col min="8" max="8" width="15.5703125" style="27" customWidth="1"/>
    <col min="9" max="9" width="14.7109375" style="27" customWidth="1"/>
    <col min="10" max="16384" width="9.140625" style="27"/>
  </cols>
  <sheetData>
    <row r="2" spans="2:6" ht="26.25" x14ac:dyDescent="0.4">
      <c r="C2" s="28" t="str">
        <f>D7</f>
        <v>4004SPS</v>
      </c>
      <c r="D2" s="28" t="str">
        <f>D8</f>
        <v>Nutritional Biochemistry and Metabolism</v>
      </c>
    </row>
    <row r="3" spans="2:6" x14ac:dyDescent="0.25">
      <c r="B3" s="29"/>
      <c r="C3" s="29"/>
    </row>
    <row r="4" spans="2:6" x14ac:dyDescent="0.25">
      <c r="B4" s="30"/>
      <c r="C4" s="30"/>
    </row>
    <row r="5" spans="2:6" ht="18.75" x14ac:dyDescent="0.25">
      <c r="B5" s="30"/>
      <c r="C5" s="31" t="s">
        <v>0</v>
      </c>
    </row>
    <row r="6" spans="2:6" x14ac:dyDescent="0.25">
      <c r="B6" s="30"/>
      <c r="C6" s="32" t="s">
        <v>1</v>
      </c>
      <c r="D6" s="33" t="s">
        <v>2</v>
      </c>
      <c r="E6" s="33"/>
      <c r="F6" s="27" t="s">
        <v>3</v>
      </c>
    </row>
    <row r="7" spans="2:6" x14ac:dyDescent="0.25">
      <c r="B7" s="30"/>
      <c r="C7" s="37" t="s">
        <v>4</v>
      </c>
      <c r="D7" s="1" t="s">
        <v>176</v>
      </c>
      <c r="E7" s="33"/>
      <c r="F7" s="6" t="s">
        <v>177</v>
      </c>
    </row>
    <row r="8" spans="2:6" x14ac:dyDescent="0.25">
      <c r="B8" s="30"/>
      <c r="C8" s="37" t="s">
        <v>7</v>
      </c>
      <c r="D8" s="6" t="s">
        <v>178</v>
      </c>
      <c r="E8" s="33"/>
      <c r="F8" s="4"/>
    </row>
    <row r="9" spans="2:6" x14ac:dyDescent="0.25">
      <c r="C9" s="37" t="s">
        <v>9</v>
      </c>
      <c r="D9" s="1">
        <v>20</v>
      </c>
      <c r="E9" s="33"/>
    </row>
    <row r="10" spans="2:6" x14ac:dyDescent="0.25">
      <c r="C10" s="37" t="s">
        <v>10</v>
      </c>
      <c r="D10" s="1">
        <v>2</v>
      </c>
      <c r="E10" s="33"/>
      <c r="F10" s="27" t="s">
        <v>12</v>
      </c>
    </row>
    <row r="11" spans="2:6" x14ac:dyDescent="0.25">
      <c r="C11" s="37" t="s">
        <v>13</v>
      </c>
      <c r="D11" s="1">
        <v>4</v>
      </c>
      <c r="E11" s="33"/>
      <c r="F11" s="6" t="s">
        <v>179</v>
      </c>
    </row>
    <row r="12" spans="2:6" x14ac:dyDescent="0.25">
      <c r="C12" s="37" t="s">
        <v>15</v>
      </c>
      <c r="D12" s="1" t="s">
        <v>180</v>
      </c>
      <c r="E12" s="33"/>
      <c r="F12" s="4"/>
    </row>
    <row r="13" spans="2:6" x14ac:dyDescent="0.25">
      <c r="C13" s="37" t="s">
        <v>17</v>
      </c>
      <c r="D13" s="1" t="s">
        <v>123</v>
      </c>
      <c r="E13" s="33"/>
      <c r="F13" s="4"/>
    </row>
    <row r="14" spans="2:6" x14ac:dyDescent="0.25">
      <c r="C14" s="37" t="s">
        <v>19</v>
      </c>
      <c r="D14" s="1" t="s">
        <v>20</v>
      </c>
      <c r="E14" s="33"/>
    </row>
    <row r="15" spans="2:6" x14ac:dyDescent="0.25">
      <c r="C15" s="32"/>
      <c r="D15" s="33"/>
      <c r="E15" s="33"/>
      <c r="F15" s="27" t="s">
        <v>21</v>
      </c>
    </row>
    <row r="16" spans="2:6" x14ac:dyDescent="0.25">
      <c r="C16" s="32"/>
      <c r="D16" s="33"/>
      <c r="E16" s="33"/>
      <c r="F16" s="6" t="s">
        <v>181</v>
      </c>
    </row>
    <row r="17" spans="3:6" ht="18.75" x14ac:dyDescent="0.25">
      <c r="C17" s="31" t="s">
        <v>23</v>
      </c>
      <c r="D17" s="33"/>
      <c r="E17" s="33"/>
      <c r="F17" s="4"/>
    </row>
    <row r="18" spans="3:6" x14ac:dyDescent="0.25">
      <c r="C18" s="32" t="s">
        <v>24</v>
      </c>
      <c r="D18" s="29" t="s">
        <v>23</v>
      </c>
      <c r="E18" s="33"/>
      <c r="F18" s="4"/>
    </row>
    <row r="19" spans="3:6" x14ac:dyDescent="0.25">
      <c r="C19" s="37" t="s">
        <v>25</v>
      </c>
      <c r="D19" s="2"/>
      <c r="E19" s="33"/>
      <c r="F19" s="4"/>
    </row>
    <row r="20" spans="3:6" x14ac:dyDescent="0.25">
      <c r="C20" s="37" t="s">
        <v>26</v>
      </c>
      <c r="D20" s="2"/>
      <c r="E20" s="33"/>
      <c r="F20" s="4"/>
    </row>
    <row r="21" spans="3:6" x14ac:dyDescent="0.25">
      <c r="C21" s="37" t="s">
        <v>27</v>
      </c>
      <c r="D21" s="2"/>
      <c r="E21" s="33"/>
    </row>
    <row r="22" spans="3:6" x14ac:dyDescent="0.25">
      <c r="C22" s="37" t="s">
        <v>28</v>
      </c>
      <c r="D22" s="2"/>
      <c r="E22" s="33"/>
      <c r="F22" s="27" t="s">
        <v>29</v>
      </c>
    </row>
    <row r="23" spans="3:6" x14ac:dyDescent="0.25">
      <c r="C23" s="37" t="s">
        <v>30</v>
      </c>
      <c r="D23" s="2"/>
      <c r="E23" s="33"/>
      <c r="F23" s="8" t="s">
        <v>182</v>
      </c>
    </row>
    <row r="24" spans="3:6" x14ac:dyDescent="0.25">
      <c r="C24" s="37" t="s">
        <v>32</v>
      </c>
      <c r="D24" s="29">
        <f>SUM(D19:D23)</f>
        <v>0</v>
      </c>
      <c r="E24" s="33"/>
      <c r="F24" s="8" t="s">
        <v>183</v>
      </c>
    </row>
    <row r="25" spans="3:6" x14ac:dyDescent="0.25">
      <c r="F25" s="8" t="s">
        <v>184</v>
      </c>
    </row>
    <row r="26" spans="3:6" x14ac:dyDescent="0.25">
      <c r="F26" s="8" t="s">
        <v>185</v>
      </c>
    </row>
    <row r="27" spans="3:6" ht="18.75" x14ac:dyDescent="0.25">
      <c r="C27" s="31" t="s">
        <v>36</v>
      </c>
      <c r="D27" s="34" t="s">
        <v>37</v>
      </c>
      <c r="F27" s="8" t="s">
        <v>186</v>
      </c>
    </row>
    <row r="28" spans="3:6" x14ac:dyDescent="0.25">
      <c r="C28" s="32" t="s">
        <v>39</v>
      </c>
      <c r="D28" s="32" t="s">
        <v>40</v>
      </c>
      <c r="E28" s="32"/>
      <c r="F28" s="8" t="s">
        <v>187</v>
      </c>
    </row>
    <row r="29" spans="3:6" x14ac:dyDescent="0.25">
      <c r="C29" s="37" t="s">
        <v>42</v>
      </c>
      <c r="D29" s="8" t="s">
        <v>188</v>
      </c>
      <c r="E29" s="33"/>
      <c r="F29" s="8" t="s">
        <v>189</v>
      </c>
    </row>
    <row r="30" spans="3:6" x14ac:dyDescent="0.25">
      <c r="C30" s="37" t="s">
        <v>44</v>
      </c>
      <c r="D30" s="25" t="s">
        <v>190</v>
      </c>
      <c r="E30" s="33"/>
      <c r="F30" s="4"/>
    </row>
    <row r="31" spans="3:6" x14ac:dyDescent="0.25">
      <c r="C31" s="37" t="s">
        <v>46</v>
      </c>
      <c r="D31" s="25" t="s">
        <v>191</v>
      </c>
      <c r="E31" s="33"/>
      <c r="F31" s="4"/>
    </row>
    <row r="32" spans="3:6" x14ac:dyDescent="0.25">
      <c r="C32" s="37" t="s">
        <v>48</v>
      </c>
      <c r="D32" s="1"/>
      <c r="E32" s="33"/>
      <c r="F32" s="4"/>
    </row>
    <row r="33" spans="3:8" x14ac:dyDescent="0.25">
      <c r="C33" s="37" t="s">
        <v>49</v>
      </c>
      <c r="D33" s="1"/>
      <c r="E33" s="33"/>
      <c r="F33" s="4"/>
    </row>
    <row r="36" spans="3:8" ht="18.75" x14ac:dyDescent="0.25">
      <c r="C36" s="31" t="s">
        <v>50</v>
      </c>
    </row>
    <row r="37" spans="3:8" x14ac:dyDescent="0.25">
      <c r="C37" s="32" t="s">
        <v>51</v>
      </c>
      <c r="D37" s="32" t="s">
        <v>52</v>
      </c>
      <c r="E37" s="32" t="s">
        <v>53</v>
      </c>
      <c r="F37" s="32" t="s">
        <v>54</v>
      </c>
      <c r="G37" s="32" t="s">
        <v>55</v>
      </c>
      <c r="H37" s="32" t="s">
        <v>56</v>
      </c>
    </row>
    <row r="38" spans="3:8" x14ac:dyDescent="0.25">
      <c r="C38" s="37" t="s">
        <v>57</v>
      </c>
      <c r="D38" s="1" t="s">
        <v>136</v>
      </c>
      <c r="E38" s="8" t="s">
        <v>192</v>
      </c>
      <c r="F38" s="6" t="s">
        <v>193</v>
      </c>
      <c r="G38" s="3">
        <v>0.5</v>
      </c>
      <c r="H38" s="1">
        <v>25</v>
      </c>
    </row>
    <row r="39" spans="3:8" x14ac:dyDescent="0.25">
      <c r="C39" s="37" t="s">
        <v>61</v>
      </c>
      <c r="D39" s="1" t="s">
        <v>133</v>
      </c>
      <c r="E39" s="8" t="s">
        <v>194</v>
      </c>
      <c r="F39" s="1" t="s">
        <v>195</v>
      </c>
      <c r="G39" s="3">
        <v>0.5</v>
      </c>
      <c r="H39" s="1">
        <v>32</v>
      </c>
    </row>
    <row r="40" spans="3:8" x14ac:dyDescent="0.25">
      <c r="C40" s="37" t="s">
        <v>64</v>
      </c>
      <c r="D40" s="4"/>
      <c r="E40" s="4"/>
      <c r="F40" s="4"/>
      <c r="G40" s="4"/>
      <c r="H40" s="4"/>
    </row>
    <row r="41" spans="3:8" x14ac:dyDescent="0.25">
      <c r="C41" s="37" t="s">
        <v>65</v>
      </c>
      <c r="D41" s="4"/>
      <c r="E41" s="4"/>
      <c r="F41" s="4"/>
      <c r="G41" s="4"/>
      <c r="H41" s="4"/>
    </row>
    <row r="42" spans="3:8" x14ac:dyDescent="0.25">
      <c r="C42" s="32"/>
    </row>
    <row r="44" spans="3:8" ht="18.75" x14ac:dyDescent="0.25">
      <c r="C44" s="31" t="s">
        <v>66</v>
      </c>
      <c r="D44" s="34"/>
    </row>
    <row r="45" spans="3:8" x14ac:dyDescent="0.25">
      <c r="C45" s="29" t="s">
        <v>51</v>
      </c>
      <c r="D45" s="29" t="s">
        <v>39</v>
      </c>
      <c r="E45" s="29" t="s">
        <v>67</v>
      </c>
      <c r="F45" s="29" t="s">
        <v>68</v>
      </c>
    </row>
    <row r="46" spans="3:8" x14ac:dyDescent="0.25">
      <c r="C46" s="5" t="s">
        <v>57</v>
      </c>
      <c r="D46" s="4" t="s">
        <v>42</v>
      </c>
      <c r="E46" s="4" t="s">
        <v>138</v>
      </c>
      <c r="F46" s="4" t="s">
        <v>139</v>
      </c>
    </row>
    <row r="47" spans="3:8" x14ac:dyDescent="0.25">
      <c r="C47" s="5" t="s">
        <v>57</v>
      </c>
      <c r="D47" s="4" t="s">
        <v>42</v>
      </c>
      <c r="E47" s="4" t="s">
        <v>138</v>
      </c>
      <c r="F47" s="4" t="s">
        <v>196</v>
      </c>
    </row>
    <row r="48" spans="3:8" x14ac:dyDescent="0.25">
      <c r="C48" s="5" t="s">
        <v>57</v>
      </c>
      <c r="D48" s="4" t="s">
        <v>46</v>
      </c>
      <c r="E48" s="4" t="s">
        <v>71</v>
      </c>
      <c r="F48" s="4" t="s">
        <v>197</v>
      </c>
    </row>
    <row r="49" spans="3:6" x14ac:dyDescent="0.25">
      <c r="C49" s="5" t="s">
        <v>61</v>
      </c>
      <c r="D49" s="4" t="s">
        <v>42</v>
      </c>
      <c r="E49" s="4" t="s">
        <v>73</v>
      </c>
      <c r="F49" s="4" t="s">
        <v>140</v>
      </c>
    </row>
    <row r="50" spans="3:6" x14ac:dyDescent="0.25">
      <c r="C50" s="5" t="s">
        <v>61</v>
      </c>
      <c r="D50" s="4" t="s">
        <v>44</v>
      </c>
      <c r="E50" s="4" t="s">
        <v>138</v>
      </c>
      <c r="F50" s="4" t="s">
        <v>198</v>
      </c>
    </row>
    <row r="51" spans="3:6" x14ac:dyDescent="0.25">
      <c r="C51" s="5" t="s">
        <v>61</v>
      </c>
      <c r="D51" s="4"/>
      <c r="E51" s="4"/>
      <c r="F51" s="4"/>
    </row>
    <row r="52" spans="3:6" x14ac:dyDescent="0.25">
      <c r="C52" s="5" t="s">
        <v>64</v>
      </c>
      <c r="D52" s="4"/>
      <c r="E52" s="4"/>
      <c r="F52" s="4"/>
    </row>
    <row r="53" spans="3:6" x14ac:dyDescent="0.25">
      <c r="C53" s="5" t="s">
        <v>64</v>
      </c>
      <c r="D53" s="4"/>
      <c r="E53" s="4"/>
      <c r="F53" s="4"/>
    </row>
    <row r="54" spans="3:6" x14ac:dyDescent="0.25">
      <c r="C54" s="5" t="s">
        <v>64</v>
      </c>
      <c r="D54" s="4"/>
      <c r="E54" s="4"/>
      <c r="F54" s="4"/>
    </row>
    <row r="55" spans="3:6" x14ac:dyDescent="0.25">
      <c r="C55" s="5" t="s">
        <v>65</v>
      </c>
      <c r="D55" s="4"/>
      <c r="E55" s="4"/>
      <c r="F55" s="4"/>
    </row>
    <row r="56" spans="3:6" x14ac:dyDescent="0.25">
      <c r="C56" s="5" t="s">
        <v>65</v>
      </c>
      <c r="D56" s="4"/>
      <c r="E56" s="4"/>
      <c r="F56" s="4"/>
    </row>
    <row r="57" spans="3:6" x14ac:dyDescent="0.25">
      <c r="C57" s="5"/>
      <c r="D57" s="4"/>
      <c r="E57" s="4"/>
      <c r="F57" s="4"/>
    </row>
    <row r="58" spans="3:6" x14ac:dyDescent="0.25">
      <c r="C58" s="5"/>
      <c r="D58" s="4"/>
      <c r="E58" s="4"/>
      <c r="F58" s="4"/>
    </row>
    <row r="59" spans="3:6" x14ac:dyDescent="0.25">
      <c r="C59" s="5"/>
      <c r="D59" s="4"/>
      <c r="E59" s="4"/>
      <c r="F59" s="4"/>
    </row>
    <row r="60" spans="3:6" x14ac:dyDescent="0.25">
      <c r="C60" s="5"/>
      <c r="D60" s="4"/>
      <c r="E60" s="4"/>
      <c r="F60" s="4"/>
    </row>
    <row r="61" spans="3:6" x14ac:dyDescent="0.25">
      <c r="C61" s="5"/>
      <c r="D61" s="4"/>
      <c r="E61" s="4"/>
      <c r="F61" s="4"/>
    </row>
    <row r="62" spans="3:6" x14ac:dyDescent="0.25">
      <c r="C62" s="5"/>
      <c r="D62" s="4"/>
      <c r="E62" s="4"/>
      <c r="F62" s="4"/>
    </row>
    <row r="63" spans="3:6" x14ac:dyDescent="0.25">
      <c r="C63" s="5"/>
      <c r="D63" s="4"/>
      <c r="E63" s="4"/>
      <c r="F63" s="4"/>
    </row>
    <row r="64" spans="3:6" x14ac:dyDescent="0.25">
      <c r="C64" s="5"/>
      <c r="D64" s="4"/>
      <c r="E64" s="4"/>
      <c r="F64" s="4"/>
    </row>
    <row r="65" spans="2:6" x14ac:dyDescent="0.25">
      <c r="C65" s="5"/>
      <c r="D65" s="4"/>
      <c r="E65" s="4"/>
      <c r="F65" s="4"/>
    </row>
    <row r="66" spans="2:6" x14ac:dyDescent="0.25">
      <c r="C66" s="5"/>
      <c r="D66" s="4"/>
      <c r="E66" s="4"/>
      <c r="F66" s="4"/>
    </row>
    <row r="69" spans="2:6" ht="18.75" x14ac:dyDescent="0.25">
      <c r="C69" s="31" t="s">
        <v>76</v>
      </c>
    </row>
    <row r="70" spans="2:6" x14ac:dyDescent="0.25">
      <c r="B70" s="27" t="s">
        <v>77</v>
      </c>
      <c r="C70" s="29" t="s">
        <v>78</v>
      </c>
      <c r="D70" s="29" t="s">
        <v>79</v>
      </c>
      <c r="E70" s="29" t="s">
        <v>80</v>
      </c>
      <c r="F70" s="29" t="s">
        <v>81</v>
      </c>
    </row>
    <row r="71" spans="2:6" x14ac:dyDescent="0.25">
      <c r="B71" s="38">
        <v>1</v>
      </c>
      <c r="C71" s="39">
        <v>1</v>
      </c>
      <c r="D71" s="1"/>
      <c r="E71" s="1"/>
      <c r="F71" s="1"/>
    </row>
    <row r="72" spans="2:6" x14ac:dyDescent="0.25">
      <c r="B72" s="38">
        <v>1</v>
      </c>
      <c r="C72" s="39">
        <v>2</v>
      </c>
      <c r="D72" s="1"/>
      <c r="E72" s="1"/>
      <c r="F72" s="1"/>
    </row>
    <row r="73" spans="2:6" x14ac:dyDescent="0.25">
      <c r="B73" s="38">
        <v>1</v>
      </c>
      <c r="C73" s="39">
        <v>3</v>
      </c>
      <c r="D73" s="1"/>
      <c r="E73" s="1"/>
      <c r="F73" s="1"/>
    </row>
    <row r="74" spans="2:6" x14ac:dyDescent="0.25">
      <c r="B74" s="38">
        <v>1</v>
      </c>
      <c r="C74" s="39">
        <v>4</v>
      </c>
      <c r="D74" s="1"/>
      <c r="E74" s="1"/>
      <c r="F74" s="1"/>
    </row>
    <row r="75" spans="2:6" x14ac:dyDescent="0.25">
      <c r="B75" s="38">
        <v>1</v>
      </c>
      <c r="C75" s="39">
        <v>5</v>
      </c>
      <c r="D75" s="1"/>
      <c r="E75" s="1"/>
      <c r="F75" s="1"/>
    </row>
    <row r="76" spans="2:6" x14ac:dyDescent="0.25">
      <c r="B76" s="38">
        <v>1</v>
      </c>
      <c r="C76" s="39">
        <v>6</v>
      </c>
      <c r="D76" s="1"/>
      <c r="E76" s="1"/>
      <c r="F76" s="1"/>
    </row>
    <row r="77" spans="2:6" x14ac:dyDescent="0.25">
      <c r="B77" s="38">
        <v>1</v>
      </c>
      <c r="C77" s="39">
        <v>7</v>
      </c>
      <c r="D77" s="1"/>
      <c r="E77" s="1"/>
      <c r="F77" s="1"/>
    </row>
    <row r="78" spans="2:6" x14ac:dyDescent="0.25">
      <c r="B78" s="38">
        <v>1</v>
      </c>
      <c r="C78" s="39">
        <v>8</v>
      </c>
      <c r="D78" s="1"/>
      <c r="E78" s="1"/>
      <c r="F78" s="1"/>
    </row>
    <row r="79" spans="2:6" x14ac:dyDescent="0.25">
      <c r="B79" s="38">
        <v>1</v>
      </c>
      <c r="C79" s="39">
        <v>9</v>
      </c>
      <c r="D79" s="1"/>
      <c r="E79" s="1"/>
      <c r="F79" s="1"/>
    </row>
    <row r="80" spans="2:6" x14ac:dyDescent="0.25">
      <c r="B80" s="38">
        <v>1</v>
      </c>
      <c r="C80" s="39">
        <v>10</v>
      </c>
      <c r="D80" s="1"/>
      <c r="E80" s="1"/>
      <c r="F80" s="1"/>
    </row>
    <row r="81" spans="2:6" x14ac:dyDescent="0.25">
      <c r="B81" s="38">
        <v>1</v>
      </c>
      <c r="C81" s="39">
        <v>11</v>
      </c>
      <c r="D81" s="1"/>
      <c r="E81" s="1"/>
      <c r="F81" s="1"/>
    </row>
    <row r="82" spans="2:6" x14ac:dyDescent="0.25">
      <c r="B82" s="38">
        <v>1</v>
      </c>
      <c r="C82" s="39">
        <v>12</v>
      </c>
      <c r="D82" s="1"/>
      <c r="E82" s="1"/>
      <c r="F82" s="1"/>
    </row>
    <row r="83" spans="2:6" x14ac:dyDescent="0.25">
      <c r="B83" s="38">
        <v>2</v>
      </c>
      <c r="C83" s="39">
        <v>1</v>
      </c>
      <c r="D83" s="15" t="s">
        <v>199</v>
      </c>
      <c r="E83" s="16" t="s">
        <v>142</v>
      </c>
      <c r="F83" s="17" t="s">
        <v>200</v>
      </c>
    </row>
    <row r="84" spans="2:6" x14ac:dyDescent="0.25">
      <c r="B84" s="38">
        <v>2</v>
      </c>
      <c r="C84" s="39">
        <v>2</v>
      </c>
      <c r="D84" s="18" t="s">
        <v>201</v>
      </c>
      <c r="E84" s="19" t="s">
        <v>202</v>
      </c>
      <c r="F84" s="20" t="s">
        <v>203</v>
      </c>
    </row>
    <row r="85" spans="2:6" x14ac:dyDescent="0.25">
      <c r="B85" s="38">
        <v>2</v>
      </c>
      <c r="C85" s="39">
        <v>3</v>
      </c>
      <c r="D85" s="18" t="s">
        <v>204</v>
      </c>
      <c r="E85" s="19" t="s">
        <v>205</v>
      </c>
      <c r="F85" s="20" t="s">
        <v>206</v>
      </c>
    </row>
    <row r="86" spans="2:6" x14ac:dyDescent="0.25">
      <c r="B86" s="38">
        <v>2</v>
      </c>
      <c r="C86" s="39">
        <v>4</v>
      </c>
      <c r="D86" s="18" t="s">
        <v>207</v>
      </c>
      <c r="E86" s="19" t="s">
        <v>208</v>
      </c>
      <c r="F86" s="20" t="s">
        <v>209</v>
      </c>
    </row>
    <row r="87" spans="2:6" x14ac:dyDescent="0.25">
      <c r="B87" s="38">
        <v>2</v>
      </c>
      <c r="C87" s="39">
        <v>5</v>
      </c>
      <c r="D87" s="18" t="s">
        <v>210</v>
      </c>
      <c r="E87" s="19" t="s">
        <v>211</v>
      </c>
      <c r="F87" s="20" t="s">
        <v>212</v>
      </c>
    </row>
    <row r="88" spans="2:6" x14ac:dyDescent="0.25">
      <c r="B88" s="38">
        <v>2</v>
      </c>
      <c r="C88" s="39">
        <v>6</v>
      </c>
      <c r="D88" s="18" t="s">
        <v>213</v>
      </c>
      <c r="E88" s="19" t="s">
        <v>214</v>
      </c>
      <c r="F88" s="26" t="s">
        <v>215</v>
      </c>
    </row>
    <row r="89" spans="2:6" x14ac:dyDescent="0.25">
      <c r="B89" s="38">
        <v>2</v>
      </c>
      <c r="C89" s="39">
        <v>7</v>
      </c>
      <c r="D89" s="18" t="s">
        <v>216</v>
      </c>
      <c r="E89" s="19" t="s">
        <v>217</v>
      </c>
      <c r="F89" s="20" t="s">
        <v>218</v>
      </c>
    </row>
    <row r="90" spans="2:6" x14ac:dyDescent="0.25">
      <c r="B90" s="38">
        <v>2</v>
      </c>
      <c r="C90" s="39">
        <v>8</v>
      </c>
      <c r="D90" s="18" t="s">
        <v>219</v>
      </c>
      <c r="E90" s="19" t="s">
        <v>220</v>
      </c>
      <c r="F90" s="20" t="s">
        <v>221</v>
      </c>
    </row>
    <row r="91" spans="2:6" x14ac:dyDescent="0.25">
      <c r="B91" s="38">
        <v>2</v>
      </c>
      <c r="C91" s="39">
        <v>9</v>
      </c>
      <c r="D91" s="18" t="s">
        <v>222</v>
      </c>
      <c r="E91" s="19" t="s">
        <v>223</v>
      </c>
      <c r="F91" s="20" t="s">
        <v>224</v>
      </c>
    </row>
    <row r="92" spans="2:6" x14ac:dyDescent="0.25">
      <c r="B92" s="38">
        <v>2</v>
      </c>
      <c r="C92" s="39">
        <v>10</v>
      </c>
      <c r="D92" s="18" t="s">
        <v>225</v>
      </c>
      <c r="E92" s="19" t="s">
        <v>226</v>
      </c>
      <c r="F92" s="20" t="s">
        <v>227</v>
      </c>
    </row>
    <row r="93" spans="2:6" x14ac:dyDescent="0.25">
      <c r="B93" s="38">
        <v>2</v>
      </c>
      <c r="C93" s="39">
        <v>11</v>
      </c>
      <c r="D93" s="18" t="s">
        <v>228</v>
      </c>
      <c r="E93" s="19" t="s">
        <v>229</v>
      </c>
      <c r="F93" s="20" t="s">
        <v>230</v>
      </c>
    </row>
    <row r="94" spans="2:6" x14ac:dyDescent="0.25">
      <c r="B94" s="38">
        <v>2</v>
      </c>
      <c r="C94" s="39">
        <v>12</v>
      </c>
      <c r="D94" s="22" t="s">
        <v>231</v>
      </c>
      <c r="E94" s="23" t="s">
        <v>232</v>
      </c>
      <c r="F94" s="24" t="s">
        <v>233</v>
      </c>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06524273-2360-4C43-9154-4A480587EC5E}">
      <formula1>0</formula1>
      <formula2>80</formula2>
    </dataValidation>
    <dataValidation type="whole" showInputMessage="1" showErrorMessage="1" error="This is not a realistic number of contact hours please change" sqref="D19" xr:uid="{7B949394-BE34-4CC9-A9D6-7A75315A2DBB}">
      <formula1>0</formula1>
      <formula2>80</formula2>
    </dataValidation>
    <dataValidation type="list" allowBlank="1" showInputMessage="1" showErrorMessage="1" sqref="E40:E41" xr:uid="{B9D0113D-C789-41AE-B9C8-690F6C7A67B0}">
      <formula1>INDIRECT("LISTAssess[Assessment Specific]")</formula1>
    </dataValidation>
    <dataValidation type="list" allowBlank="1" showInputMessage="1" showErrorMessage="1" sqref="F46:F66" xr:uid="{3D662EF6-94E1-4350-B3D5-9F339CA0FD80}">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D03A4CC7-9A30-452E-97E5-E03FCC9419A4}">
          <x14:formula1>
            <xm:f>LISTS!$C$26:$C$37</xm:f>
          </x14:formula1>
          <xm:sqref>D14</xm:sqref>
        </x14:dataValidation>
        <x14:dataValidation type="list" allowBlank="1" showInputMessage="1" showErrorMessage="1" xr:uid="{B7DB85EB-DFB5-437F-BA0C-32D4D2070C4D}">
          <x14:formula1>
            <xm:f>LISTS!$C$17:$C$22</xm:f>
          </x14:formula1>
          <xm:sqref>D13</xm:sqref>
        </x14:dataValidation>
        <x14:dataValidation type="list" allowBlank="1" showInputMessage="1" showErrorMessage="1" xr:uid="{82DFBB4E-D28E-4403-815A-4704BBB7702D}">
          <x14:formula1>
            <xm:f>LISTS!$C$7:$C$9</xm:f>
          </x14:formula1>
          <xm:sqref>D10</xm:sqref>
        </x14:dataValidation>
        <x14:dataValidation type="list" allowBlank="1" showInputMessage="1" showErrorMessage="1" xr:uid="{D8278727-60ED-4240-AED9-43FB98158BAE}">
          <x14:formula1>
            <xm:f>LISTS!$C$11:$C$15</xm:f>
          </x14:formula1>
          <xm:sqref>D11</xm:sqref>
        </x14:dataValidation>
        <x14:dataValidation type="list" allowBlank="1" showInputMessage="1" showErrorMessage="1" xr:uid="{7F080A95-6299-4905-8FCE-548941111CEB}">
          <x14:formula1>
            <xm:f>LISTS!$G$7:$G$11</xm:f>
          </x14:formula1>
          <xm:sqref>D38:D42</xm:sqref>
        </x14:dataValidation>
        <x14:dataValidation type="list" allowBlank="1" showInputMessage="1" showErrorMessage="1" xr:uid="{DD24076C-D431-4B83-8FB6-3800945C7C90}">
          <x14:formula1>
            <xm:f>LISTS!$E$7:$E$11</xm:f>
          </x14:formula1>
          <xm:sqref>D46:D66</xm:sqref>
        </x14:dataValidation>
        <x14:dataValidation type="list" allowBlank="1" showInputMessage="1" showErrorMessage="1" xr:uid="{C1ACB768-367A-4765-AEE3-B6D50718CC09}">
          <x14:formula1>
            <xm:f>LISTS!$J$7:$J$16</xm:f>
          </x14:formula1>
          <xm:sqref>E46:E66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FDFE9-F6DD-4E3D-9B0A-EE0E4450ED7C}">
  <sheetPr codeName="Sheet4"/>
  <dimension ref="B2:H94"/>
  <sheetViews>
    <sheetView showGridLines="0" zoomScale="85" zoomScaleNormal="85" workbookViewId="0">
      <selection activeCell="F46" sqref="F46"/>
    </sheetView>
  </sheetViews>
  <sheetFormatPr defaultRowHeight="15" x14ac:dyDescent="0.25"/>
  <cols>
    <col min="1" max="2" width="9.140625" style="27"/>
    <col min="3" max="3" width="33.28515625" style="27" customWidth="1"/>
    <col min="4" max="4" width="51.5703125" style="27" customWidth="1"/>
    <col min="5" max="5" width="67.28515625" style="27" customWidth="1"/>
    <col min="6" max="6" width="63.140625" style="27" customWidth="1"/>
    <col min="7" max="7" width="12.42578125" style="27" customWidth="1"/>
    <col min="8" max="8" width="15.5703125" style="27" customWidth="1"/>
    <col min="9" max="9" width="14.7109375" style="27" customWidth="1"/>
    <col min="10" max="16384" width="9.140625" style="27"/>
  </cols>
  <sheetData>
    <row r="2" spans="2:6" ht="26.25" x14ac:dyDescent="0.4">
      <c r="C2" s="28" t="str">
        <f>D7</f>
        <v>4006SPS</v>
      </c>
      <c r="D2" s="28" t="str">
        <f>D8</f>
        <v>Performance Nutrition</v>
      </c>
    </row>
    <row r="3" spans="2:6" x14ac:dyDescent="0.25">
      <c r="B3" s="29"/>
      <c r="C3" s="29"/>
    </row>
    <row r="4" spans="2:6" x14ac:dyDescent="0.25">
      <c r="B4" s="30"/>
      <c r="C4" s="30"/>
    </row>
    <row r="5" spans="2:6" ht="18.75" x14ac:dyDescent="0.25">
      <c r="B5" s="30"/>
      <c r="C5" s="31" t="s">
        <v>0</v>
      </c>
    </row>
    <row r="6" spans="2:6" x14ac:dyDescent="0.25">
      <c r="B6" s="30"/>
      <c r="C6" s="32" t="s">
        <v>1</v>
      </c>
      <c r="D6" s="33" t="s">
        <v>2</v>
      </c>
      <c r="E6" s="33"/>
      <c r="F6" s="27" t="s">
        <v>3</v>
      </c>
    </row>
    <row r="7" spans="2:6" x14ac:dyDescent="0.25">
      <c r="B7" s="30"/>
      <c r="C7" s="37" t="s">
        <v>4</v>
      </c>
      <c r="D7" s="1" t="s">
        <v>234</v>
      </c>
      <c r="E7" s="33"/>
      <c r="F7" s="6" t="s">
        <v>235</v>
      </c>
    </row>
    <row r="8" spans="2:6" x14ac:dyDescent="0.25">
      <c r="B8" s="30"/>
      <c r="C8" s="37" t="s">
        <v>7</v>
      </c>
      <c r="D8" s="6" t="s">
        <v>236</v>
      </c>
      <c r="E8" s="33"/>
      <c r="F8" s="4"/>
    </row>
    <row r="9" spans="2:6" x14ac:dyDescent="0.25">
      <c r="C9" s="37" t="s">
        <v>9</v>
      </c>
      <c r="D9" s="1">
        <v>20</v>
      </c>
      <c r="E9" s="33"/>
    </row>
    <row r="10" spans="2:6" x14ac:dyDescent="0.25">
      <c r="C10" s="37" t="s">
        <v>10</v>
      </c>
      <c r="D10" s="1">
        <v>2</v>
      </c>
      <c r="E10" s="33"/>
      <c r="F10" s="27" t="s">
        <v>12</v>
      </c>
    </row>
    <row r="11" spans="2:6" x14ac:dyDescent="0.25">
      <c r="C11" s="37" t="s">
        <v>13</v>
      </c>
      <c r="D11" s="1">
        <v>4</v>
      </c>
      <c r="E11" s="33"/>
      <c r="F11" s="6" t="s">
        <v>237</v>
      </c>
    </row>
    <row r="12" spans="2:6" x14ac:dyDescent="0.25">
      <c r="C12" s="37" t="s">
        <v>15</v>
      </c>
      <c r="D12" s="1" t="s">
        <v>238</v>
      </c>
      <c r="E12" s="33"/>
      <c r="F12" s="4"/>
    </row>
    <row r="13" spans="2:6" x14ac:dyDescent="0.25">
      <c r="C13" s="37" t="s">
        <v>17</v>
      </c>
      <c r="D13" s="1" t="s">
        <v>123</v>
      </c>
      <c r="E13" s="33"/>
      <c r="F13" s="4"/>
    </row>
    <row r="14" spans="2:6" x14ac:dyDescent="0.25">
      <c r="C14" s="37" t="s">
        <v>19</v>
      </c>
      <c r="D14" s="1" t="s">
        <v>20</v>
      </c>
      <c r="E14" s="33"/>
    </row>
    <row r="15" spans="2:6" x14ac:dyDescent="0.25">
      <c r="C15" s="32"/>
      <c r="D15" s="33"/>
      <c r="E15" s="33"/>
      <c r="F15" s="27" t="s">
        <v>21</v>
      </c>
    </row>
    <row r="16" spans="2:6" x14ac:dyDescent="0.25">
      <c r="C16" s="32"/>
      <c r="D16" s="33"/>
      <c r="E16" s="33"/>
      <c r="F16" s="6" t="s">
        <v>239</v>
      </c>
    </row>
    <row r="17" spans="3:6" ht="18.75" x14ac:dyDescent="0.25">
      <c r="C17" s="31" t="s">
        <v>23</v>
      </c>
      <c r="D17" s="33"/>
      <c r="E17" s="33"/>
      <c r="F17" s="4"/>
    </row>
    <row r="18" spans="3:6" x14ac:dyDescent="0.25">
      <c r="C18" s="32" t="s">
        <v>24</v>
      </c>
      <c r="D18" s="29" t="s">
        <v>23</v>
      </c>
      <c r="E18" s="33"/>
      <c r="F18" s="4"/>
    </row>
    <row r="19" spans="3:6" x14ac:dyDescent="0.25">
      <c r="C19" s="37" t="s">
        <v>25</v>
      </c>
      <c r="D19" s="2">
        <v>22</v>
      </c>
      <c r="E19" s="33"/>
      <c r="F19" s="4"/>
    </row>
    <row r="20" spans="3:6" x14ac:dyDescent="0.25">
      <c r="C20" s="37" t="s">
        <v>26</v>
      </c>
      <c r="D20" s="2"/>
      <c r="E20" s="33"/>
      <c r="F20" s="4"/>
    </row>
    <row r="21" spans="3:6" x14ac:dyDescent="0.25">
      <c r="C21" s="37" t="s">
        <v>27</v>
      </c>
      <c r="D21" s="2">
        <v>8</v>
      </c>
      <c r="E21" s="33"/>
    </row>
    <row r="22" spans="3:6" x14ac:dyDescent="0.25">
      <c r="C22" s="37" t="s">
        <v>28</v>
      </c>
      <c r="D22" s="2">
        <v>14</v>
      </c>
      <c r="E22" s="33"/>
      <c r="F22" s="27" t="s">
        <v>29</v>
      </c>
    </row>
    <row r="23" spans="3:6" x14ac:dyDescent="0.25">
      <c r="C23" s="37" t="s">
        <v>30</v>
      </c>
      <c r="D23" s="2"/>
      <c r="E23" s="33"/>
      <c r="F23" s="8" t="s">
        <v>240</v>
      </c>
    </row>
    <row r="24" spans="3:6" x14ac:dyDescent="0.25">
      <c r="C24" s="37" t="s">
        <v>32</v>
      </c>
      <c r="D24" s="29">
        <f>SUM(D19:D23)</f>
        <v>44</v>
      </c>
      <c r="E24" s="33"/>
      <c r="F24" s="8" t="s">
        <v>241</v>
      </c>
    </row>
    <row r="25" spans="3:6" x14ac:dyDescent="0.25">
      <c r="F25" s="8" t="s">
        <v>242</v>
      </c>
    </row>
    <row r="26" spans="3:6" x14ac:dyDescent="0.25">
      <c r="F26" s="8" t="s">
        <v>187</v>
      </c>
    </row>
    <row r="27" spans="3:6" ht="18.75" x14ac:dyDescent="0.25">
      <c r="C27" s="31" t="s">
        <v>36</v>
      </c>
      <c r="D27" s="34" t="s">
        <v>37</v>
      </c>
      <c r="F27" s="8" t="s">
        <v>243</v>
      </c>
    </row>
    <row r="28" spans="3:6" x14ac:dyDescent="0.25">
      <c r="C28" s="32" t="s">
        <v>39</v>
      </c>
      <c r="D28" s="32" t="s">
        <v>40</v>
      </c>
      <c r="E28" s="32"/>
      <c r="F28" s="4"/>
    </row>
    <row r="29" spans="3:6" x14ac:dyDescent="0.25">
      <c r="C29" s="37" t="s">
        <v>42</v>
      </c>
      <c r="D29" s="8" t="s">
        <v>244</v>
      </c>
      <c r="E29" s="33"/>
      <c r="F29" s="4"/>
    </row>
    <row r="30" spans="3:6" x14ac:dyDescent="0.25">
      <c r="C30" s="37" t="s">
        <v>44</v>
      </c>
      <c r="D30" s="25" t="s">
        <v>245</v>
      </c>
      <c r="E30" s="33"/>
      <c r="F30" s="4"/>
    </row>
    <row r="31" spans="3:6" x14ac:dyDescent="0.25">
      <c r="C31" s="37" t="s">
        <v>46</v>
      </c>
      <c r="D31" s="25" t="s">
        <v>246</v>
      </c>
      <c r="E31" s="33"/>
      <c r="F31" s="4"/>
    </row>
    <row r="32" spans="3:6" x14ac:dyDescent="0.25">
      <c r="C32" s="37" t="s">
        <v>48</v>
      </c>
      <c r="D32" s="1"/>
      <c r="E32" s="33"/>
      <c r="F32" s="4"/>
    </row>
    <row r="33" spans="3:8" x14ac:dyDescent="0.25">
      <c r="C33" s="37" t="s">
        <v>49</v>
      </c>
      <c r="D33" s="1"/>
      <c r="E33" s="33"/>
      <c r="F33" s="4"/>
    </row>
    <row r="36" spans="3:8" ht="18.75" x14ac:dyDescent="0.25">
      <c r="C36" s="31" t="s">
        <v>50</v>
      </c>
    </row>
    <row r="37" spans="3:8" x14ac:dyDescent="0.25">
      <c r="C37" s="32" t="s">
        <v>51</v>
      </c>
      <c r="D37" s="32" t="s">
        <v>52</v>
      </c>
      <c r="E37" s="32" t="s">
        <v>53</v>
      </c>
      <c r="F37" s="32" t="s">
        <v>54</v>
      </c>
      <c r="G37" s="32" t="s">
        <v>55</v>
      </c>
      <c r="H37" s="32" t="s">
        <v>56</v>
      </c>
    </row>
    <row r="38" spans="3:8" x14ac:dyDescent="0.25">
      <c r="C38" s="37" t="s">
        <v>57</v>
      </c>
      <c r="D38" s="1" t="s">
        <v>247</v>
      </c>
      <c r="E38" s="1" t="s">
        <v>248</v>
      </c>
      <c r="F38" s="8" t="s">
        <v>249</v>
      </c>
      <c r="G38" s="3">
        <v>0.5</v>
      </c>
      <c r="H38" s="1">
        <v>32</v>
      </c>
    </row>
    <row r="39" spans="3:8" x14ac:dyDescent="0.25">
      <c r="C39" s="37" t="s">
        <v>61</v>
      </c>
      <c r="D39" s="1" t="s">
        <v>136</v>
      </c>
      <c r="E39" s="1" t="s">
        <v>250</v>
      </c>
      <c r="F39" s="1" t="s">
        <v>251</v>
      </c>
      <c r="G39" s="3">
        <v>0.5</v>
      </c>
      <c r="H39" s="1">
        <v>33</v>
      </c>
    </row>
    <row r="40" spans="3:8" x14ac:dyDescent="0.25">
      <c r="C40" s="37" t="s">
        <v>64</v>
      </c>
      <c r="D40" s="4"/>
      <c r="E40" s="4"/>
      <c r="F40" s="4"/>
      <c r="G40" s="4"/>
      <c r="H40" s="4"/>
    </row>
    <row r="41" spans="3:8" x14ac:dyDescent="0.25">
      <c r="C41" s="37" t="s">
        <v>65</v>
      </c>
      <c r="D41" s="4"/>
      <c r="E41" s="4"/>
      <c r="F41" s="4"/>
      <c r="G41" s="4"/>
      <c r="H41" s="4"/>
    </row>
    <row r="42" spans="3:8" x14ac:dyDescent="0.25">
      <c r="C42" s="32"/>
    </row>
    <row r="44" spans="3:8" ht="18.75" x14ac:dyDescent="0.25">
      <c r="C44" s="31" t="s">
        <v>66</v>
      </c>
      <c r="D44" s="34"/>
    </row>
    <row r="45" spans="3:8" x14ac:dyDescent="0.25">
      <c r="C45" s="29" t="s">
        <v>51</v>
      </c>
      <c r="D45" s="29" t="s">
        <v>39</v>
      </c>
      <c r="E45" s="29" t="s">
        <v>67</v>
      </c>
      <c r="F45" s="29" t="s">
        <v>68</v>
      </c>
    </row>
    <row r="46" spans="3:8" x14ac:dyDescent="0.25">
      <c r="C46" s="5" t="s">
        <v>57</v>
      </c>
      <c r="D46" s="4" t="s">
        <v>46</v>
      </c>
      <c r="E46" s="4" t="s">
        <v>138</v>
      </c>
      <c r="F46" s="4" t="s">
        <v>139</v>
      </c>
    </row>
    <row r="47" spans="3:8" x14ac:dyDescent="0.25">
      <c r="C47" s="5" t="s">
        <v>57</v>
      </c>
      <c r="D47" s="4" t="s">
        <v>46</v>
      </c>
      <c r="E47" s="4" t="s">
        <v>252</v>
      </c>
      <c r="F47" s="4" t="s">
        <v>253</v>
      </c>
    </row>
    <row r="48" spans="3:8" x14ac:dyDescent="0.25">
      <c r="C48" s="5" t="s">
        <v>57</v>
      </c>
      <c r="D48" s="4" t="s">
        <v>44</v>
      </c>
      <c r="E48" s="4" t="s">
        <v>254</v>
      </c>
      <c r="F48" s="4" t="s">
        <v>255</v>
      </c>
    </row>
    <row r="49" spans="3:6" x14ac:dyDescent="0.25">
      <c r="C49" s="5" t="s">
        <v>61</v>
      </c>
      <c r="D49" s="4" t="s">
        <v>42</v>
      </c>
      <c r="E49" s="4" t="s">
        <v>138</v>
      </c>
      <c r="F49" s="4" t="s">
        <v>196</v>
      </c>
    </row>
    <row r="50" spans="3:6" x14ac:dyDescent="0.25">
      <c r="C50" s="5" t="s">
        <v>61</v>
      </c>
      <c r="D50" s="4"/>
      <c r="E50" s="4"/>
      <c r="F50" s="4"/>
    </row>
    <row r="51" spans="3:6" x14ac:dyDescent="0.25">
      <c r="C51" s="5" t="s">
        <v>61</v>
      </c>
      <c r="D51" s="4"/>
      <c r="E51" s="4"/>
      <c r="F51" s="4"/>
    </row>
    <row r="52" spans="3:6" x14ac:dyDescent="0.25">
      <c r="C52" s="5" t="s">
        <v>64</v>
      </c>
      <c r="D52" s="4"/>
      <c r="E52" s="4"/>
      <c r="F52" s="4"/>
    </row>
    <row r="53" spans="3:6" x14ac:dyDescent="0.25">
      <c r="C53" s="5" t="s">
        <v>64</v>
      </c>
      <c r="D53" s="4"/>
      <c r="E53" s="4"/>
      <c r="F53" s="4"/>
    </row>
    <row r="54" spans="3:6" x14ac:dyDescent="0.25">
      <c r="C54" s="5" t="s">
        <v>64</v>
      </c>
      <c r="D54" s="4"/>
      <c r="E54" s="4"/>
      <c r="F54" s="4"/>
    </row>
    <row r="55" spans="3:6" x14ac:dyDescent="0.25">
      <c r="C55" s="5" t="s">
        <v>65</v>
      </c>
      <c r="D55" s="4"/>
      <c r="E55" s="4"/>
      <c r="F55" s="4"/>
    </row>
    <row r="56" spans="3:6" x14ac:dyDescent="0.25">
      <c r="C56" s="5" t="s">
        <v>65</v>
      </c>
      <c r="D56" s="4"/>
      <c r="E56" s="4"/>
      <c r="F56" s="4"/>
    </row>
    <row r="57" spans="3:6" x14ac:dyDescent="0.25">
      <c r="C57" s="5"/>
      <c r="D57" s="4"/>
      <c r="E57" s="4"/>
      <c r="F57" s="4"/>
    </row>
    <row r="58" spans="3:6" x14ac:dyDescent="0.25">
      <c r="C58" s="5"/>
      <c r="D58" s="4"/>
      <c r="E58" s="4"/>
      <c r="F58" s="4"/>
    </row>
    <row r="59" spans="3:6" x14ac:dyDescent="0.25">
      <c r="C59" s="5"/>
      <c r="D59" s="4"/>
      <c r="E59" s="4"/>
      <c r="F59" s="4"/>
    </row>
    <row r="60" spans="3:6" x14ac:dyDescent="0.25">
      <c r="C60" s="5"/>
      <c r="D60" s="4"/>
      <c r="E60" s="4"/>
      <c r="F60" s="4"/>
    </row>
    <row r="61" spans="3:6" x14ac:dyDescent="0.25">
      <c r="C61" s="5"/>
      <c r="D61" s="4"/>
      <c r="E61" s="4"/>
      <c r="F61" s="4"/>
    </row>
    <row r="62" spans="3:6" x14ac:dyDescent="0.25">
      <c r="C62" s="5"/>
      <c r="D62" s="4"/>
      <c r="E62" s="4"/>
      <c r="F62" s="4"/>
    </row>
    <row r="63" spans="3:6" x14ac:dyDescent="0.25">
      <c r="C63" s="5"/>
      <c r="D63" s="4"/>
      <c r="E63" s="4"/>
      <c r="F63" s="4"/>
    </row>
    <row r="64" spans="3:6" x14ac:dyDescent="0.25">
      <c r="C64" s="5"/>
      <c r="D64" s="4"/>
      <c r="E64" s="4"/>
      <c r="F64" s="4"/>
    </row>
    <row r="65" spans="2:6" x14ac:dyDescent="0.25">
      <c r="C65" s="5"/>
      <c r="D65" s="4"/>
      <c r="E65" s="4"/>
      <c r="F65" s="4"/>
    </row>
    <row r="66" spans="2:6" x14ac:dyDescent="0.25">
      <c r="C66" s="5"/>
      <c r="D66" s="4"/>
      <c r="E66" s="4"/>
      <c r="F66" s="4"/>
    </row>
    <row r="69" spans="2:6" ht="18.75" x14ac:dyDescent="0.25">
      <c r="C69" s="31" t="s">
        <v>76</v>
      </c>
    </row>
    <row r="70" spans="2:6" x14ac:dyDescent="0.25">
      <c r="B70" s="27" t="s">
        <v>77</v>
      </c>
      <c r="C70" s="29" t="s">
        <v>78</v>
      </c>
      <c r="D70" s="29" t="s">
        <v>79</v>
      </c>
      <c r="E70" s="29" t="s">
        <v>80</v>
      </c>
      <c r="F70" s="29" t="s">
        <v>81</v>
      </c>
    </row>
    <row r="71" spans="2:6" x14ac:dyDescent="0.25">
      <c r="B71" s="38">
        <v>1</v>
      </c>
      <c r="C71" s="39">
        <v>1</v>
      </c>
      <c r="D71" s="1"/>
      <c r="E71" s="1"/>
      <c r="F71" s="1"/>
    </row>
    <row r="72" spans="2:6" x14ac:dyDescent="0.25">
      <c r="B72" s="38">
        <v>1</v>
      </c>
      <c r="C72" s="39">
        <v>2</v>
      </c>
      <c r="D72" s="1"/>
      <c r="E72" s="1"/>
      <c r="F72" s="1"/>
    </row>
    <row r="73" spans="2:6" x14ac:dyDescent="0.25">
      <c r="B73" s="38">
        <v>1</v>
      </c>
      <c r="C73" s="39">
        <v>3</v>
      </c>
      <c r="D73" s="1"/>
      <c r="E73" s="1"/>
      <c r="F73" s="1"/>
    </row>
    <row r="74" spans="2:6" x14ac:dyDescent="0.25">
      <c r="B74" s="38">
        <v>1</v>
      </c>
      <c r="C74" s="39">
        <v>4</v>
      </c>
      <c r="D74" s="1"/>
      <c r="E74" s="1"/>
      <c r="F74" s="1"/>
    </row>
    <row r="75" spans="2:6" x14ac:dyDescent="0.25">
      <c r="B75" s="38">
        <v>1</v>
      </c>
      <c r="C75" s="39">
        <v>5</v>
      </c>
      <c r="D75" s="1"/>
      <c r="E75" s="1"/>
      <c r="F75" s="1"/>
    </row>
    <row r="76" spans="2:6" x14ac:dyDescent="0.25">
      <c r="B76" s="38">
        <v>1</v>
      </c>
      <c r="C76" s="39">
        <v>6</v>
      </c>
      <c r="D76" s="1"/>
      <c r="E76" s="1"/>
      <c r="F76" s="1"/>
    </row>
    <row r="77" spans="2:6" x14ac:dyDescent="0.25">
      <c r="B77" s="38">
        <v>1</v>
      </c>
      <c r="C77" s="39">
        <v>7</v>
      </c>
      <c r="D77" s="1"/>
      <c r="E77" s="1"/>
      <c r="F77" s="1"/>
    </row>
    <row r="78" spans="2:6" x14ac:dyDescent="0.25">
      <c r="B78" s="38">
        <v>1</v>
      </c>
      <c r="C78" s="39">
        <v>8</v>
      </c>
      <c r="D78" s="1"/>
      <c r="E78" s="1"/>
      <c r="F78" s="1"/>
    </row>
    <row r="79" spans="2:6" x14ac:dyDescent="0.25">
      <c r="B79" s="38">
        <v>1</v>
      </c>
      <c r="C79" s="39">
        <v>9</v>
      </c>
      <c r="D79" s="1"/>
      <c r="E79" s="1"/>
      <c r="F79" s="1"/>
    </row>
    <row r="80" spans="2:6" x14ac:dyDescent="0.25">
      <c r="B80" s="38">
        <v>1</v>
      </c>
      <c r="C80" s="39">
        <v>10</v>
      </c>
      <c r="D80" s="1"/>
      <c r="E80" s="1"/>
      <c r="F80" s="1"/>
    </row>
    <row r="81" spans="2:6" x14ac:dyDescent="0.25">
      <c r="B81" s="38">
        <v>1</v>
      </c>
      <c r="C81" s="39">
        <v>11</v>
      </c>
      <c r="D81" s="1"/>
      <c r="E81" s="1"/>
      <c r="F81" s="1"/>
    </row>
    <row r="82" spans="2:6" x14ac:dyDescent="0.25">
      <c r="B82" s="38">
        <v>1</v>
      </c>
      <c r="C82" s="39">
        <v>12</v>
      </c>
      <c r="D82" s="1"/>
      <c r="E82" s="1"/>
      <c r="F82" s="1"/>
    </row>
    <row r="83" spans="2:6" x14ac:dyDescent="0.25">
      <c r="B83" s="38">
        <v>2</v>
      </c>
      <c r="C83" s="39">
        <v>1</v>
      </c>
      <c r="D83" s="15" t="s">
        <v>256</v>
      </c>
      <c r="E83" s="16" t="s">
        <v>257</v>
      </c>
      <c r="F83" s="17" t="s">
        <v>258</v>
      </c>
    </row>
    <row r="84" spans="2:6" x14ac:dyDescent="0.25">
      <c r="B84" s="38">
        <v>2</v>
      </c>
      <c r="C84" s="39">
        <v>2</v>
      </c>
      <c r="D84" s="18" t="s">
        <v>259</v>
      </c>
      <c r="E84" s="19" t="s">
        <v>260</v>
      </c>
      <c r="F84" s="20" t="s">
        <v>261</v>
      </c>
    </row>
    <row r="85" spans="2:6" x14ac:dyDescent="0.25">
      <c r="B85" s="38">
        <v>2</v>
      </c>
      <c r="C85" s="39">
        <v>3</v>
      </c>
      <c r="D85" s="18" t="s">
        <v>262</v>
      </c>
      <c r="E85" s="19" t="s">
        <v>263</v>
      </c>
      <c r="F85" s="20" t="s">
        <v>264</v>
      </c>
    </row>
    <row r="86" spans="2:6" x14ac:dyDescent="0.25">
      <c r="B86" s="38">
        <v>2</v>
      </c>
      <c r="C86" s="39">
        <v>4</v>
      </c>
      <c r="D86" s="18" t="s">
        <v>265</v>
      </c>
      <c r="E86" s="19" t="s">
        <v>263</v>
      </c>
      <c r="F86" s="20" t="s">
        <v>264</v>
      </c>
    </row>
    <row r="87" spans="2:6" x14ac:dyDescent="0.25">
      <c r="B87" s="38">
        <v>2</v>
      </c>
      <c r="C87" s="39">
        <v>5</v>
      </c>
      <c r="D87" s="18" t="s">
        <v>266</v>
      </c>
      <c r="E87" s="19" t="s">
        <v>263</v>
      </c>
      <c r="F87" s="20" t="s">
        <v>264</v>
      </c>
    </row>
    <row r="88" spans="2:6" x14ac:dyDescent="0.25">
      <c r="B88" s="38">
        <v>2</v>
      </c>
      <c r="C88" s="39">
        <v>6</v>
      </c>
      <c r="D88" s="18" t="s">
        <v>267</v>
      </c>
      <c r="E88" s="21" t="s">
        <v>268</v>
      </c>
      <c r="F88" s="20" t="s">
        <v>269</v>
      </c>
    </row>
    <row r="89" spans="2:6" x14ac:dyDescent="0.25">
      <c r="B89" s="38">
        <v>2</v>
      </c>
      <c r="C89" s="39">
        <v>7</v>
      </c>
      <c r="D89" s="18" t="s">
        <v>270</v>
      </c>
      <c r="E89" s="19" t="s">
        <v>271</v>
      </c>
      <c r="F89" s="20" t="s">
        <v>264</v>
      </c>
    </row>
    <row r="90" spans="2:6" x14ac:dyDescent="0.25">
      <c r="B90" s="38">
        <v>2</v>
      </c>
      <c r="C90" s="39">
        <v>8</v>
      </c>
      <c r="D90" s="18" t="s">
        <v>272</v>
      </c>
      <c r="E90" s="19" t="s">
        <v>271</v>
      </c>
      <c r="F90" s="20" t="s">
        <v>264</v>
      </c>
    </row>
    <row r="91" spans="2:6" x14ac:dyDescent="0.25">
      <c r="B91" s="38">
        <v>2</v>
      </c>
      <c r="C91" s="39">
        <v>9</v>
      </c>
      <c r="D91" s="18" t="s">
        <v>273</v>
      </c>
      <c r="E91" s="19" t="s">
        <v>274</v>
      </c>
      <c r="F91" s="20" t="s">
        <v>275</v>
      </c>
    </row>
    <row r="92" spans="2:6" x14ac:dyDescent="0.25">
      <c r="B92" s="38">
        <v>2</v>
      </c>
      <c r="C92" s="39">
        <v>10</v>
      </c>
      <c r="D92" s="18" t="s">
        <v>276</v>
      </c>
      <c r="E92" s="19" t="s">
        <v>277</v>
      </c>
      <c r="F92" s="20" t="s">
        <v>278</v>
      </c>
    </row>
    <row r="93" spans="2:6" x14ac:dyDescent="0.25">
      <c r="B93" s="38">
        <v>2</v>
      </c>
      <c r="C93" s="39">
        <v>11</v>
      </c>
      <c r="D93" s="18" t="s">
        <v>279</v>
      </c>
      <c r="E93" s="19" t="s">
        <v>280</v>
      </c>
      <c r="F93" s="20" t="s">
        <v>281</v>
      </c>
    </row>
    <row r="94" spans="2:6" x14ac:dyDescent="0.25">
      <c r="B94" s="38">
        <v>2</v>
      </c>
      <c r="C94" s="39">
        <v>12</v>
      </c>
      <c r="D94" s="22" t="s">
        <v>173</v>
      </c>
      <c r="E94" s="23" t="s">
        <v>282</v>
      </c>
      <c r="F94" s="24" t="s">
        <v>283</v>
      </c>
    </row>
  </sheetData>
  <sheetProtection sheet="1" objects="1" scenarios="1" formatCells="0" formatColumns="0" formatRows="0" insertHyperlinks="0"/>
  <dataValidations count="4">
    <dataValidation type="list" allowBlank="1" showInputMessage="1" showErrorMessage="1" sqref="E38:E41" xr:uid="{30ED3A3D-A6E5-45DA-A072-4863AA8C1558}">
      <formula1>INDIRECT("LISTAssess[Assessment Specific]")</formula1>
    </dataValidation>
    <dataValidation type="whole" showInputMessage="1" showErrorMessage="1" error="This is not a realistic number of contact hours please change" sqref="D19" xr:uid="{ED7F7914-6C28-4D8E-B268-3CD5BA4E3144}">
      <formula1>0</formula1>
      <formula2>80</formula2>
    </dataValidation>
    <dataValidation type="whole" showInputMessage="1" showErrorMessage="1" error="This is not a realistic number of contact hours please reduce" sqref="D20:D23" xr:uid="{7D2F483B-63CE-4110-AF1C-80CF6D50C7FA}">
      <formula1>0</formula1>
      <formula2>80</formula2>
    </dataValidation>
    <dataValidation type="list" allowBlank="1" showInputMessage="1" showErrorMessage="1" sqref="F46:F66" xr:uid="{9437D9A6-E43C-4167-888C-72EAD0F96263}">
      <formula1>INDIRECT(VLOOKUP($E46,SkillNameMap,2,FALSE))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BD1D28E8-E44D-43D6-AB31-6906AFB76CC7}">
          <x14:formula1>
            <xm:f>LISTS!$G$7:$G$11</xm:f>
          </x14:formula1>
          <xm:sqref>D38:D42</xm:sqref>
        </x14:dataValidation>
        <x14:dataValidation type="list" allowBlank="1" showInputMessage="1" showErrorMessage="1" xr:uid="{4307F0DB-5179-49DE-9F56-B0D376451B8E}">
          <x14:formula1>
            <xm:f>LISTS!$C$11:$C$15</xm:f>
          </x14:formula1>
          <xm:sqref>D11</xm:sqref>
        </x14:dataValidation>
        <x14:dataValidation type="list" allowBlank="1" showInputMessage="1" showErrorMessage="1" xr:uid="{881415EC-E12E-4E20-BF7A-6A7CDB9E721E}">
          <x14:formula1>
            <xm:f>LISTS!$C$7:$C$9</xm:f>
          </x14:formula1>
          <xm:sqref>D10</xm:sqref>
        </x14:dataValidation>
        <x14:dataValidation type="list" allowBlank="1" showInputMessage="1" showErrorMessage="1" xr:uid="{264E4697-DBBE-457A-A30D-C8272EF12344}">
          <x14:formula1>
            <xm:f>LISTS!$C$17:$C$22</xm:f>
          </x14:formula1>
          <xm:sqref>D13</xm:sqref>
        </x14:dataValidation>
        <x14:dataValidation type="list" allowBlank="1" showInputMessage="1" showErrorMessage="1" xr:uid="{849644AB-3E82-4044-91E7-7C031EBB1D3B}">
          <x14:formula1>
            <xm:f>LISTS!$C$26:$C$37</xm:f>
          </x14:formula1>
          <xm:sqref>D14</xm:sqref>
        </x14:dataValidation>
        <x14:dataValidation type="list" allowBlank="1" showInputMessage="1" showErrorMessage="1" xr:uid="{8A1593AF-AF33-44A4-BD5D-F2DC41EAA86E}">
          <x14:formula1>
            <xm:f>LISTS!$J$7:$J$16</xm:f>
          </x14:formula1>
          <xm:sqref>E46:E66</xm:sqref>
        </x14:dataValidation>
        <x14:dataValidation type="list" allowBlank="1" showInputMessage="1" showErrorMessage="1" xr:uid="{13524674-6569-4444-A927-B70E751D7616}">
          <x14:formula1>
            <xm:f>LISTS!$E$7:$E$11</xm:f>
          </x14:formula1>
          <xm:sqref>D46:D49 D51:D66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ED139-4EE0-4CD6-B60A-E51D5ED74DE8}">
  <sheetPr codeName="Sheet5"/>
  <dimension ref="B2:H94"/>
  <sheetViews>
    <sheetView showGridLines="0" topLeftCell="B1" zoomScale="85" zoomScaleNormal="85" workbookViewId="0">
      <selection activeCell="D8" sqref="D8"/>
    </sheetView>
  </sheetViews>
  <sheetFormatPr defaultRowHeight="15" x14ac:dyDescent="0.25"/>
  <cols>
    <col min="1" max="2" width="9.140625" style="27"/>
    <col min="3" max="3" width="33.28515625" style="27" customWidth="1"/>
    <col min="4" max="4" width="51.5703125" style="27" customWidth="1"/>
    <col min="5" max="5" width="67.28515625" style="27" customWidth="1"/>
    <col min="6" max="6" width="63.140625" style="27" customWidth="1"/>
    <col min="7" max="7" width="12.42578125" style="27" customWidth="1"/>
    <col min="8" max="8" width="15.5703125" style="27" customWidth="1"/>
    <col min="9" max="9" width="14.7109375" style="27" customWidth="1"/>
    <col min="10" max="16384" width="9.140625" style="27"/>
  </cols>
  <sheetData>
    <row r="2" spans="2:6" ht="26.25" x14ac:dyDescent="0.4">
      <c r="C2" s="28" t="str">
        <f>D7</f>
        <v>5001SPS</v>
      </c>
      <c r="D2" s="28" t="str">
        <f>D8</f>
        <v>Professional Practice 2 in Sport Nutrition</v>
      </c>
    </row>
    <row r="3" spans="2:6" x14ac:dyDescent="0.25">
      <c r="B3" s="29"/>
      <c r="C3" s="29"/>
    </row>
    <row r="4" spans="2:6" x14ac:dyDescent="0.25">
      <c r="B4" s="30"/>
      <c r="C4" s="30"/>
    </row>
    <row r="5" spans="2:6" ht="18.75" x14ac:dyDescent="0.25">
      <c r="B5" s="30"/>
      <c r="C5" s="31" t="s">
        <v>0</v>
      </c>
    </row>
    <row r="6" spans="2:6" x14ac:dyDescent="0.25">
      <c r="B6" s="30"/>
      <c r="C6" s="32" t="s">
        <v>1</v>
      </c>
      <c r="D6" s="33" t="s">
        <v>2</v>
      </c>
      <c r="E6" s="33"/>
      <c r="F6" s="27" t="s">
        <v>3</v>
      </c>
    </row>
    <row r="7" spans="2:6" x14ac:dyDescent="0.25">
      <c r="B7" s="30"/>
      <c r="C7" s="37" t="s">
        <v>4</v>
      </c>
      <c r="D7" s="1" t="s">
        <v>284</v>
      </c>
      <c r="E7" s="33"/>
      <c r="F7" s="6" t="s">
        <v>285</v>
      </c>
    </row>
    <row r="8" spans="2:6" x14ac:dyDescent="0.25">
      <c r="B8" s="30"/>
      <c r="C8" s="37" t="s">
        <v>7</v>
      </c>
      <c r="D8" s="6" t="s">
        <v>286</v>
      </c>
      <c r="E8" s="33"/>
      <c r="F8" s="4"/>
    </row>
    <row r="9" spans="2:6" x14ac:dyDescent="0.25">
      <c r="C9" s="37" t="s">
        <v>9</v>
      </c>
      <c r="D9" s="1">
        <v>20</v>
      </c>
      <c r="E9" s="33"/>
    </row>
    <row r="10" spans="2:6" x14ac:dyDescent="0.25">
      <c r="C10" s="37" t="s">
        <v>10</v>
      </c>
      <c r="D10" s="1" t="s">
        <v>11</v>
      </c>
      <c r="E10" s="33"/>
      <c r="F10" s="27" t="s">
        <v>12</v>
      </c>
    </row>
    <row r="11" spans="2:6" x14ac:dyDescent="0.25">
      <c r="C11" s="37" t="s">
        <v>13</v>
      </c>
      <c r="D11" s="1">
        <v>5</v>
      </c>
      <c r="E11" s="33"/>
      <c r="F11" s="6" t="s">
        <v>287</v>
      </c>
    </row>
    <row r="12" spans="2:6" x14ac:dyDescent="0.25">
      <c r="C12" s="37" t="s">
        <v>15</v>
      </c>
      <c r="D12" s="1" t="s">
        <v>16</v>
      </c>
      <c r="E12" s="33"/>
      <c r="F12" s="8" t="s">
        <v>288</v>
      </c>
    </row>
    <row r="13" spans="2:6" x14ac:dyDescent="0.25">
      <c r="C13" s="37" t="s">
        <v>17</v>
      </c>
      <c r="D13" s="1" t="s">
        <v>18</v>
      </c>
      <c r="E13" s="33"/>
      <c r="F13" s="4"/>
    </row>
    <row r="14" spans="2:6" x14ac:dyDescent="0.25">
      <c r="C14" s="37" t="s">
        <v>19</v>
      </c>
      <c r="D14" s="1" t="s">
        <v>20</v>
      </c>
      <c r="E14" s="33"/>
    </row>
    <row r="15" spans="2:6" x14ac:dyDescent="0.25">
      <c r="C15" s="32"/>
      <c r="D15" s="33"/>
      <c r="E15" s="33"/>
      <c r="F15" s="27" t="s">
        <v>21</v>
      </c>
    </row>
    <row r="16" spans="2:6" x14ac:dyDescent="0.25">
      <c r="C16" s="32"/>
      <c r="D16" s="33"/>
      <c r="E16" s="33"/>
      <c r="F16" s="6" t="s">
        <v>289</v>
      </c>
    </row>
    <row r="17" spans="3:6" ht="18.75" x14ac:dyDescent="0.25">
      <c r="C17" s="31" t="s">
        <v>23</v>
      </c>
      <c r="D17" s="33"/>
      <c r="E17" s="33"/>
      <c r="F17" s="4"/>
    </row>
    <row r="18" spans="3:6" x14ac:dyDescent="0.25">
      <c r="C18" s="32" t="s">
        <v>24</v>
      </c>
      <c r="D18" s="29" t="s">
        <v>23</v>
      </c>
      <c r="E18" s="33"/>
      <c r="F18" s="4"/>
    </row>
    <row r="19" spans="3:6" x14ac:dyDescent="0.25">
      <c r="C19" s="37" t="s">
        <v>25</v>
      </c>
      <c r="D19" s="2"/>
      <c r="E19" s="33"/>
      <c r="F19" s="4"/>
    </row>
    <row r="20" spans="3:6" x14ac:dyDescent="0.25">
      <c r="C20" s="37" t="s">
        <v>26</v>
      </c>
      <c r="D20" s="2"/>
      <c r="E20" s="33"/>
      <c r="F20" s="4"/>
    </row>
    <row r="21" spans="3:6" x14ac:dyDescent="0.25">
      <c r="C21" s="37" t="s">
        <v>27</v>
      </c>
      <c r="D21" s="2"/>
      <c r="E21" s="33"/>
    </row>
    <row r="22" spans="3:6" x14ac:dyDescent="0.25">
      <c r="C22" s="37" t="s">
        <v>28</v>
      </c>
      <c r="D22" s="2"/>
      <c r="E22" s="33"/>
      <c r="F22" s="27" t="s">
        <v>29</v>
      </c>
    </row>
    <row r="23" spans="3:6" x14ac:dyDescent="0.25">
      <c r="C23" s="37" t="s">
        <v>30</v>
      </c>
      <c r="D23" s="2"/>
      <c r="E23" s="33"/>
      <c r="F23" s="8" t="s">
        <v>290</v>
      </c>
    </row>
    <row r="24" spans="3:6" x14ac:dyDescent="0.25">
      <c r="C24" s="37" t="s">
        <v>32</v>
      </c>
      <c r="D24" s="29">
        <f>SUM(D19:D23)</f>
        <v>0</v>
      </c>
      <c r="E24" s="33"/>
      <c r="F24" s="8" t="s">
        <v>291</v>
      </c>
    </row>
    <row r="25" spans="3:6" x14ac:dyDescent="0.25">
      <c r="F25" s="8" t="s">
        <v>292</v>
      </c>
    </row>
    <row r="26" spans="3:6" x14ac:dyDescent="0.25">
      <c r="F26" s="8" t="s">
        <v>293</v>
      </c>
    </row>
    <row r="27" spans="3:6" ht="18.75" x14ac:dyDescent="0.25">
      <c r="C27" s="31" t="s">
        <v>36</v>
      </c>
      <c r="D27" s="34" t="s">
        <v>37</v>
      </c>
      <c r="F27" s="8" t="s">
        <v>294</v>
      </c>
    </row>
    <row r="28" spans="3:6" x14ac:dyDescent="0.25">
      <c r="C28" s="32" t="s">
        <v>39</v>
      </c>
      <c r="D28" s="32" t="s">
        <v>40</v>
      </c>
      <c r="E28" s="32"/>
      <c r="F28" s="8"/>
    </row>
    <row r="29" spans="3:6" x14ac:dyDescent="0.25">
      <c r="C29" s="37" t="s">
        <v>42</v>
      </c>
      <c r="D29" s="8" t="s">
        <v>295</v>
      </c>
      <c r="E29" s="33"/>
      <c r="F29" s="8" t="s">
        <v>296</v>
      </c>
    </row>
    <row r="30" spans="3:6" x14ac:dyDescent="0.25">
      <c r="C30" s="37" t="s">
        <v>44</v>
      </c>
      <c r="D30" s="25" t="s">
        <v>297</v>
      </c>
      <c r="E30" s="33"/>
      <c r="F30" s="4"/>
    </row>
    <row r="31" spans="3:6" x14ac:dyDescent="0.25">
      <c r="C31" s="37" t="s">
        <v>46</v>
      </c>
      <c r="D31" s="25" t="s">
        <v>298</v>
      </c>
      <c r="E31" s="33"/>
      <c r="F31" s="4"/>
    </row>
    <row r="32" spans="3:6" x14ac:dyDescent="0.25">
      <c r="C32" s="37" t="s">
        <v>48</v>
      </c>
      <c r="D32" s="1"/>
      <c r="E32" s="33"/>
      <c r="F32" s="4"/>
    </row>
    <row r="33" spans="3:8" x14ac:dyDescent="0.25">
      <c r="C33" s="37" t="s">
        <v>49</v>
      </c>
      <c r="D33" s="1"/>
      <c r="E33" s="33"/>
      <c r="F33" s="4"/>
    </row>
    <row r="36" spans="3:8" ht="18.75" x14ac:dyDescent="0.25">
      <c r="C36" s="31" t="s">
        <v>50</v>
      </c>
    </row>
    <row r="37" spans="3:8" x14ac:dyDescent="0.25">
      <c r="C37" s="32" t="s">
        <v>51</v>
      </c>
      <c r="D37" s="32" t="s">
        <v>52</v>
      </c>
      <c r="E37" s="32" t="s">
        <v>53</v>
      </c>
      <c r="F37" s="32" t="s">
        <v>54</v>
      </c>
      <c r="G37" s="32" t="s">
        <v>55</v>
      </c>
      <c r="H37" s="32" t="s">
        <v>56</v>
      </c>
    </row>
    <row r="38" spans="3:8" x14ac:dyDescent="0.25">
      <c r="C38" s="37" t="s">
        <v>57</v>
      </c>
      <c r="D38" s="1" t="s">
        <v>133</v>
      </c>
      <c r="E38" s="1" t="s">
        <v>299</v>
      </c>
      <c r="F38" s="8" t="s">
        <v>300</v>
      </c>
      <c r="G38" s="3">
        <v>0.5</v>
      </c>
      <c r="H38" s="1">
        <v>8</v>
      </c>
    </row>
    <row r="39" spans="3:8" x14ac:dyDescent="0.25">
      <c r="C39" s="37" t="s">
        <v>61</v>
      </c>
      <c r="D39" s="1" t="s">
        <v>58</v>
      </c>
      <c r="E39" s="1" t="s">
        <v>299</v>
      </c>
      <c r="F39" s="8" t="s">
        <v>301</v>
      </c>
      <c r="G39" s="3">
        <v>0.5</v>
      </c>
      <c r="H39" s="1">
        <v>32</v>
      </c>
    </row>
    <row r="40" spans="3:8" x14ac:dyDescent="0.25">
      <c r="C40" s="37" t="s">
        <v>64</v>
      </c>
      <c r="D40" s="4"/>
      <c r="E40" s="4"/>
      <c r="F40" s="4"/>
      <c r="G40" s="4"/>
      <c r="H40" s="4"/>
    </row>
    <row r="41" spans="3:8" x14ac:dyDescent="0.25">
      <c r="C41" s="37" t="s">
        <v>65</v>
      </c>
      <c r="D41" s="4"/>
      <c r="E41" s="4"/>
      <c r="F41" s="4"/>
      <c r="G41" s="4"/>
      <c r="H41" s="4"/>
    </row>
    <row r="42" spans="3:8" x14ac:dyDescent="0.25">
      <c r="C42" s="32"/>
    </row>
    <row r="44" spans="3:8" ht="18.75" x14ac:dyDescent="0.25">
      <c r="C44" s="31" t="s">
        <v>66</v>
      </c>
      <c r="D44" s="34"/>
    </row>
    <row r="45" spans="3:8" x14ac:dyDescent="0.25">
      <c r="C45" s="29" t="s">
        <v>51</v>
      </c>
      <c r="D45" s="29" t="s">
        <v>39</v>
      </c>
      <c r="E45" s="29" t="s">
        <v>67</v>
      </c>
      <c r="F45" s="29" t="s">
        <v>68</v>
      </c>
    </row>
    <row r="46" spans="3:8" x14ac:dyDescent="0.25">
      <c r="C46" s="5" t="s">
        <v>57</v>
      </c>
      <c r="D46" s="4" t="s">
        <v>42</v>
      </c>
      <c r="E46" s="4" t="s">
        <v>71</v>
      </c>
      <c r="F46" s="4" t="s">
        <v>72</v>
      </c>
    </row>
    <row r="47" spans="3:8" x14ac:dyDescent="0.25">
      <c r="C47" s="5" t="s">
        <v>57</v>
      </c>
      <c r="D47" s="4" t="s">
        <v>42</v>
      </c>
      <c r="E47" s="4" t="s">
        <v>69</v>
      </c>
      <c r="F47" s="4" t="s">
        <v>302</v>
      </c>
    </row>
    <row r="48" spans="3:8" x14ac:dyDescent="0.25">
      <c r="C48" s="5" t="s">
        <v>57</v>
      </c>
      <c r="D48" s="4" t="s">
        <v>44</v>
      </c>
      <c r="E48" s="4" t="s">
        <v>138</v>
      </c>
      <c r="F48" s="4" t="s">
        <v>196</v>
      </c>
    </row>
    <row r="49" spans="3:6" x14ac:dyDescent="0.25">
      <c r="C49" s="5" t="s">
        <v>61</v>
      </c>
      <c r="D49" s="4" t="s">
        <v>46</v>
      </c>
      <c r="E49" s="4" t="s">
        <v>73</v>
      </c>
      <c r="F49" s="4" t="s">
        <v>303</v>
      </c>
    </row>
    <row r="50" spans="3:6" x14ac:dyDescent="0.25">
      <c r="C50" s="5" t="s">
        <v>61</v>
      </c>
      <c r="D50" s="4" t="s">
        <v>46</v>
      </c>
      <c r="E50" s="4" t="s">
        <v>69</v>
      </c>
      <c r="F50" s="4" t="s">
        <v>70</v>
      </c>
    </row>
    <row r="51" spans="3:6" x14ac:dyDescent="0.25">
      <c r="C51" s="5" t="s">
        <v>61</v>
      </c>
      <c r="D51" s="4"/>
      <c r="E51" s="4"/>
      <c r="F51" s="4"/>
    </row>
    <row r="52" spans="3:6" x14ac:dyDescent="0.25">
      <c r="C52" s="5" t="s">
        <v>64</v>
      </c>
      <c r="D52" s="4"/>
      <c r="E52" s="4"/>
      <c r="F52" s="4"/>
    </row>
    <row r="53" spans="3:6" x14ac:dyDescent="0.25">
      <c r="C53" s="5" t="s">
        <v>64</v>
      </c>
      <c r="D53" s="4"/>
      <c r="E53" s="4"/>
      <c r="F53" s="4"/>
    </row>
    <row r="54" spans="3:6" x14ac:dyDescent="0.25">
      <c r="C54" s="5" t="s">
        <v>64</v>
      </c>
      <c r="D54" s="4"/>
      <c r="E54" s="4"/>
      <c r="F54" s="4"/>
    </row>
    <row r="55" spans="3:6" x14ac:dyDescent="0.25">
      <c r="C55" s="5" t="s">
        <v>65</v>
      </c>
      <c r="D55" s="4"/>
      <c r="E55" s="4"/>
      <c r="F55" s="4"/>
    </row>
    <row r="56" spans="3:6" x14ac:dyDescent="0.25">
      <c r="C56" s="5" t="s">
        <v>65</v>
      </c>
      <c r="D56" s="4"/>
      <c r="E56" s="4"/>
      <c r="F56" s="4"/>
    </row>
    <row r="57" spans="3:6" x14ac:dyDescent="0.25">
      <c r="C57" s="5"/>
      <c r="D57" s="4"/>
      <c r="E57" s="4"/>
      <c r="F57" s="4"/>
    </row>
    <row r="58" spans="3:6" x14ac:dyDescent="0.25">
      <c r="C58" s="5"/>
      <c r="D58" s="4"/>
      <c r="E58" s="4"/>
      <c r="F58" s="4"/>
    </row>
    <row r="59" spans="3:6" x14ac:dyDescent="0.25">
      <c r="C59" s="5"/>
      <c r="D59" s="4"/>
      <c r="E59" s="4"/>
      <c r="F59" s="4"/>
    </row>
    <row r="60" spans="3:6" x14ac:dyDescent="0.25">
      <c r="C60" s="5"/>
      <c r="D60" s="4"/>
      <c r="E60" s="4"/>
      <c r="F60" s="4"/>
    </row>
    <row r="61" spans="3:6" x14ac:dyDescent="0.25">
      <c r="C61" s="5"/>
      <c r="D61" s="4"/>
      <c r="E61" s="4"/>
      <c r="F61" s="4"/>
    </row>
    <row r="62" spans="3:6" x14ac:dyDescent="0.25">
      <c r="C62" s="5"/>
      <c r="D62" s="4"/>
      <c r="E62" s="4"/>
      <c r="F62" s="4"/>
    </row>
    <row r="63" spans="3:6" x14ac:dyDescent="0.25">
      <c r="C63" s="5"/>
      <c r="D63" s="4"/>
      <c r="E63" s="4"/>
      <c r="F63" s="4"/>
    </row>
    <row r="64" spans="3:6" x14ac:dyDescent="0.25">
      <c r="C64" s="5"/>
      <c r="D64" s="4"/>
      <c r="E64" s="4"/>
      <c r="F64" s="4"/>
    </row>
    <row r="65" spans="2:6" x14ac:dyDescent="0.25">
      <c r="C65" s="5"/>
      <c r="D65" s="4"/>
      <c r="E65" s="4"/>
      <c r="F65" s="4"/>
    </row>
    <row r="66" spans="2:6" x14ac:dyDescent="0.25">
      <c r="C66" s="5"/>
      <c r="D66" s="4"/>
      <c r="E66" s="4"/>
      <c r="F66" s="4"/>
    </row>
    <row r="69" spans="2:6" ht="18.75" x14ac:dyDescent="0.25">
      <c r="C69" s="31" t="s">
        <v>76</v>
      </c>
    </row>
    <row r="70" spans="2:6" x14ac:dyDescent="0.25">
      <c r="B70" s="27" t="s">
        <v>77</v>
      </c>
      <c r="C70" s="29" t="s">
        <v>78</v>
      </c>
      <c r="D70" s="29" t="s">
        <v>79</v>
      </c>
      <c r="E70" s="29" t="s">
        <v>80</v>
      </c>
      <c r="F70" s="29" t="s">
        <v>81</v>
      </c>
    </row>
    <row r="71" spans="2:6" x14ac:dyDescent="0.25">
      <c r="B71" s="38">
        <v>1</v>
      </c>
      <c r="C71" s="39">
        <v>1</v>
      </c>
      <c r="D71" s="15" t="s">
        <v>304</v>
      </c>
      <c r="E71" s="16" t="s">
        <v>305</v>
      </c>
      <c r="F71" s="17" t="s">
        <v>306</v>
      </c>
    </row>
    <row r="72" spans="2:6" x14ac:dyDescent="0.25">
      <c r="B72" s="38">
        <v>1</v>
      </c>
      <c r="C72" s="39">
        <v>2</v>
      </c>
      <c r="D72" s="18" t="s">
        <v>307</v>
      </c>
      <c r="E72" s="19" t="s">
        <v>308</v>
      </c>
      <c r="F72" s="20" t="s">
        <v>309</v>
      </c>
    </row>
    <row r="73" spans="2:6" x14ac:dyDescent="0.25">
      <c r="B73" s="38">
        <v>1</v>
      </c>
      <c r="C73" s="39">
        <v>3</v>
      </c>
      <c r="D73" s="18" t="s">
        <v>310</v>
      </c>
      <c r="E73" s="19" t="s">
        <v>311</v>
      </c>
      <c r="F73" s="20" t="s">
        <v>312</v>
      </c>
    </row>
    <row r="74" spans="2:6" x14ac:dyDescent="0.25">
      <c r="B74" s="38">
        <v>1</v>
      </c>
      <c r="C74" s="39">
        <v>4</v>
      </c>
      <c r="D74" s="18" t="s">
        <v>313</v>
      </c>
      <c r="E74" s="19" t="s">
        <v>314</v>
      </c>
      <c r="F74" s="20" t="s">
        <v>315</v>
      </c>
    </row>
    <row r="75" spans="2:6" x14ac:dyDescent="0.25">
      <c r="B75" s="38">
        <v>1</v>
      </c>
      <c r="C75" s="39">
        <v>5</v>
      </c>
      <c r="D75" s="18" t="s">
        <v>316</v>
      </c>
      <c r="E75" s="19" t="s">
        <v>317</v>
      </c>
      <c r="F75" s="20" t="s">
        <v>318</v>
      </c>
    </row>
    <row r="76" spans="2:6" x14ac:dyDescent="0.25">
      <c r="B76" s="38">
        <v>1</v>
      </c>
      <c r="C76" s="39">
        <v>6</v>
      </c>
      <c r="D76" s="18" t="s">
        <v>319</v>
      </c>
      <c r="E76" s="21" t="s">
        <v>320</v>
      </c>
      <c r="F76" s="20" t="s">
        <v>321</v>
      </c>
    </row>
    <row r="77" spans="2:6" x14ac:dyDescent="0.25">
      <c r="B77" s="38">
        <v>1</v>
      </c>
      <c r="C77" s="39">
        <v>7</v>
      </c>
      <c r="D77" s="18" t="s">
        <v>322</v>
      </c>
      <c r="E77" s="19" t="s">
        <v>323</v>
      </c>
      <c r="F77" s="20" t="s">
        <v>324</v>
      </c>
    </row>
    <row r="78" spans="2:6" x14ac:dyDescent="0.25">
      <c r="B78" s="38">
        <v>1</v>
      </c>
      <c r="C78" s="39">
        <v>8</v>
      </c>
      <c r="D78" s="18" t="s">
        <v>325</v>
      </c>
      <c r="E78" s="19" t="s">
        <v>326</v>
      </c>
      <c r="F78" s="20" t="s">
        <v>327</v>
      </c>
    </row>
    <row r="79" spans="2:6" x14ac:dyDescent="0.25">
      <c r="B79" s="38">
        <v>1</v>
      </c>
      <c r="C79" s="39">
        <v>9</v>
      </c>
      <c r="D79" s="18" t="s">
        <v>328</v>
      </c>
      <c r="E79" s="19" t="s">
        <v>329</v>
      </c>
      <c r="F79" s="20" t="s">
        <v>330</v>
      </c>
    </row>
    <row r="80" spans="2:6" x14ac:dyDescent="0.25">
      <c r="B80" s="38">
        <v>1</v>
      </c>
      <c r="C80" s="39">
        <v>10</v>
      </c>
      <c r="D80" s="18" t="s">
        <v>331</v>
      </c>
      <c r="E80" s="19" t="s">
        <v>332</v>
      </c>
      <c r="F80" s="20" t="s">
        <v>333</v>
      </c>
    </row>
    <row r="81" spans="2:6" x14ac:dyDescent="0.25">
      <c r="B81" s="38">
        <v>1</v>
      </c>
      <c r="C81" s="39">
        <v>11</v>
      </c>
      <c r="D81" s="18" t="s">
        <v>334</v>
      </c>
      <c r="E81" s="19" t="s">
        <v>335</v>
      </c>
      <c r="F81" s="20" t="s">
        <v>114</v>
      </c>
    </row>
    <row r="82" spans="2:6" x14ac:dyDescent="0.25">
      <c r="B82" s="38">
        <v>1</v>
      </c>
      <c r="C82" s="39">
        <v>12</v>
      </c>
      <c r="D82" s="22" t="s">
        <v>336</v>
      </c>
      <c r="E82" s="23" t="s">
        <v>337</v>
      </c>
      <c r="F82" s="24" t="s">
        <v>338</v>
      </c>
    </row>
    <row r="83" spans="2:6" x14ac:dyDescent="0.25">
      <c r="B83" s="38">
        <v>2</v>
      </c>
      <c r="C83" s="39">
        <v>1</v>
      </c>
      <c r="D83" s="1"/>
      <c r="E83" s="1"/>
      <c r="F83" s="1"/>
    </row>
    <row r="84" spans="2:6" x14ac:dyDescent="0.25">
      <c r="B84" s="38">
        <v>2</v>
      </c>
      <c r="C84" s="39">
        <v>2</v>
      </c>
      <c r="D84" s="1"/>
      <c r="E84" s="1"/>
      <c r="F84" s="1"/>
    </row>
    <row r="85" spans="2:6" x14ac:dyDescent="0.25">
      <c r="B85" s="38">
        <v>2</v>
      </c>
      <c r="C85" s="39">
        <v>3</v>
      </c>
      <c r="D85" s="1"/>
      <c r="E85" s="1"/>
      <c r="F85" s="1"/>
    </row>
    <row r="86" spans="2:6" x14ac:dyDescent="0.25">
      <c r="B86" s="38">
        <v>2</v>
      </c>
      <c r="C86" s="39">
        <v>4</v>
      </c>
      <c r="D86" s="1"/>
      <c r="E86" s="1"/>
      <c r="F86" s="1"/>
    </row>
    <row r="87" spans="2:6" x14ac:dyDescent="0.25">
      <c r="B87" s="38">
        <v>2</v>
      </c>
      <c r="C87" s="39">
        <v>5</v>
      </c>
      <c r="D87" s="1"/>
      <c r="E87" s="1"/>
      <c r="F87" s="1"/>
    </row>
    <row r="88" spans="2:6" x14ac:dyDescent="0.25">
      <c r="B88" s="38">
        <v>2</v>
      </c>
      <c r="C88" s="39">
        <v>6</v>
      </c>
      <c r="D88" s="1"/>
      <c r="E88" s="1"/>
      <c r="F88" s="1"/>
    </row>
    <row r="89" spans="2:6" x14ac:dyDescent="0.25">
      <c r="B89" s="38">
        <v>2</v>
      </c>
      <c r="C89" s="39">
        <v>7</v>
      </c>
      <c r="D89" s="1"/>
      <c r="E89" s="1"/>
      <c r="F89" s="1"/>
    </row>
    <row r="90" spans="2:6" x14ac:dyDescent="0.25">
      <c r="B90" s="38">
        <v>2</v>
      </c>
      <c r="C90" s="39">
        <v>8</v>
      </c>
      <c r="D90" s="1"/>
      <c r="E90" s="1"/>
      <c r="F90" s="1"/>
    </row>
    <row r="91" spans="2:6" x14ac:dyDescent="0.25">
      <c r="B91" s="38">
        <v>2</v>
      </c>
      <c r="C91" s="39">
        <v>9</v>
      </c>
      <c r="D91" s="1"/>
      <c r="E91" s="1"/>
      <c r="F91" s="1"/>
    </row>
    <row r="92" spans="2:6" x14ac:dyDescent="0.25">
      <c r="B92" s="38">
        <v>2</v>
      </c>
      <c r="C92" s="39">
        <v>10</v>
      </c>
      <c r="D92" s="1"/>
      <c r="E92" s="1"/>
      <c r="F92" s="1"/>
    </row>
    <row r="93" spans="2:6" x14ac:dyDescent="0.25">
      <c r="B93" s="38">
        <v>2</v>
      </c>
      <c r="C93" s="39">
        <v>11</v>
      </c>
      <c r="D93" s="1"/>
      <c r="E93" s="1"/>
      <c r="F93" s="1"/>
    </row>
    <row r="94" spans="2:6" x14ac:dyDescent="0.25">
      <c r="B94" s="38">
        <v>2</v>
      </c>
      <c r="C94" s="39">
        <v>12</v>
      </c>
      <c r="D94" s="1"/>
      <c r="E94" s="1"/>
      <c r="F94" s="1"/>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4CD06D9F-B01B-4457-970D-A06930C54E93}">
      <formula1>0</formula1>
      <formula2>80</formula2>
    </dataValidation>
    <dataValidation type="whole" showInputMessage="1" showErrorMessage="1" error="This is not a realistic number of contact hours please change" sqref="D19" xr:uid="{63F672F2-9C2D-49E0-B21F-66A62EA27310}">
      <formula1>0</formula1>
      <formula2>80</formula2>
    </dataValidation>
    <dataValidation type="list" allowBlank="1" showInputMessage="1" showErrorMessage="1" sqref="E38:E41" xr:uid="{DFA2EEE3-AB9D-4F7C-8E30-3C3C00872C8A}">
      <formula1>INDIRECT("LISTAssess[Assessment Specific]")</formula1>
    </dataValidation>
    <dataValidation type="list" allowBlank="1" showInputMessage="1" showErrorMessage="1" sqref="F46:F66" xr:uid="{BD0B3AD5-4A05-466E-9EAF-E466604786A1}">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9735843-EE1A-45FF-B467-A90D5F8EC861}">
          <x14:formula1>
            <xm:f>LISTS!$C$26:$C$37</xm:f>
          </x14:formula1>
          <xm:sqref>D14</xm:sqref>
        </x14:dataValidation>
        <x14:dataValidation type="list" allowBlank="1" showInputMessage="1" showErrorMessage="1" xr:uid="{681495C4-F231-4E60-A408-2A29AE659913}">
          <x14:formula1>
            <xm:f>LISTS!$C$17:$C$22</xm:f>
          </x14:formula1>
          <xm:sqref>D13</xm:sqref>
        </x14:dataValidation>
        <x14:dataValidation type="list" allowBlank="1" showInputMessage="1" showErrorMessage="1" xr:uid="{F64EA1C2-314E-47D2-98EB-EB9128A71684}">
          <x14:formula1>
            <xm:f>LISTS!$C$7:$C$9</xm:f>
          </x14:formula1>
          <xm:sqref>D10</xm:sqref>
        </x14:dataValidation>
        <x14:dataValidation type="list" allowBlank="1" showInputMessage="1" showErrorMessage="1" xr:uid="{983858DF-F117-4ABC-BB76-AC82A216171D}">
          <x14:formula1>
            <xm:f>LISTS!$C$11:$C$15</xm:f>
          </x14:formula1>
          <xm:sqref>D11</xm:sqref>
        </x14:dataValidation>
        <x14:dataValidation type="list" allowBlank="1" showInputMessage="1" showErrorMessage="1" xr:uid="{20095D0C-07FE-4EE7-BFEC-317D253839B4}">
          <x14:formula1>
            <xm:f>LISTS!$G$7:$G$11</xm:f>
          </x14:formula1>
          <xm:sqref>D38:D42</xm:sqref>
        </x14:dataValidation>
        <x14:dataValidation type="list" allowBlank="1" showInputMessage="1" showErrorMessage="1" xr:uid="{1AB77DFB-5427-40D4-BAEB-24C786FA7A86}">
          <x14:formula1>
            <xm:f>LISTS!$E$7:$E$11</xm:f>
          </x14:formula1>
          <xm:sqref>D46:D66</xm:sqref>
        </x14:dataValidation>
        <x14:dataValidation type="list" allowBlank="1" showInputMessage="1" showErrorMessage="1" xr:uid="{EB948922-0A22-4BD6-8094-4C6953146F85}">
          <x14:formula1>
            <xm:f>LISTS!$J$7:$J$16</xm:f>
          </x14:formula1>
          <xm:sqref>E46:E66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847D3E-176C-4A98-919A-BC8974D66F1E}">
  <sheetPr codeName="Sheet6"/>
  <dimension ref="B2:H94"/>
  <sheetViews>
    <sheetView showGridLines="0" zoomScale="85" zoomScaleNormal="85" workbookViewId="0">
      <selection activeCell="D8" sqref="D8"/>
    </sheetView>
  </sheetViews>
  <sheetFormatPr defaultRowHeight="15" x14ac:dyDescent="0.25"/>
  <cols>
    <col min="1" max="2" width="9.140625" style="27"/>
    <col min="3" max="3" width="33.28515625" style="27" customWidth="1"/>
    <col min="4" max="4" width="51.5703125" style="27" customWidth="1"/>
    <col min="5" max="5" width="67.28515625" style="27" customWidth="1"/>
    <col min="6" max="6" width="63.140625" style="27" customWidth="1"/>
    <col min="7" max="7" width="12.42578125" style="27" customWidth="1"/>
    <col min="8" max="8" width="15.5703125" style="27" customWidth="1"/>
    <col min="9" max="9" width="14.7109375" style="27" customWidth="1"/>
    <col min="10" max="16384" width="9.140625" style="27"/>
  </cols>
  <sheetData>
    <row r="2" spans="2:6" ht="26.25" x14ac:dyDescent="0.4">
      <c r="C2" s="28" t="str">
        <f>D7</f>
        <v>5014SPS</v>
      </c>
      <c r="D2" s="28" t="str">
        <f>D8</f>
        <v>Product Development for Sport Nutrition</v>
      </c>
    </row>
    <row r="3" spans="2:6" x14ac:dyDescent="0.25">
      <c r="B3" s="29"/>
      <c r="C3" s="29"/>
    </row>
    <row r="4" spans="2:6" x14ac:dyDescent="0.25">
      <c r="B4" s="30"/>
      <c r="C4" s="30"/>
    </row>
    <row r="5" spans="2:6" ht="18.75" x14ac:dyDescent="0.25">
      <c r="B5" s="30"/>
      <c r="C5" s="31" t="s">
        <v>0</v>
      </c>
    </row>
    <row r="6" spans="2:6" x14ac:dyDescent="0.25">
      <c r="B6" s="30"/>
      <c r="C6" s="32" t="s">
        <v>1</v>
      </c>
      <c r="D6" s="33" t="s">
        <v>2</v>
      </c>
      <c r="E6" s="33"/>
      <c r="F6" s="27" t="s">
        <v>3</v>
      </c>
    </row>
    <row r="7" spans="2:6" x14ac:dyDescent="0.25">
      <c r="B7" s="30"/>
      <c r="C7" s="37" t="s">
        <v>4</v>
      </c>
      <c r="D7" s="1" t="s">
        <v>339</v>
      </c>
      <c r="E7" s="33"/>
      <c r="F7" s="6" t="s">
        <v>340</v>
      </c>
    </row>
    <row r="8" spans="2:6" x14ac:dyDescent="0.25">
      <c r="B8" s="30"/>
      <c r="C8" s="37" t="s">
        <v>7</v>
      </c>
      <c r="D8" s="6" t="s">
        <v>341</v>
      </c>
      <c r="E8" s="33"/>
      <c r="F8" s="4"/>
    </row>
    <row r="9" spans="2:6" x14ac:dyDescent="0.25">
      <c r="C9" s="37" t="s">
        <v>9</v>
      </c>
      <c r="D9" s="1">
        <v>20</v>
      </c>
      <c r="E9" s="33"/>
    </row>
    <row r="10" spans="2:6" x14ac:dyDescent="0.25">
      <c r="C10" s="37" t="s">
        <v>10</v>
      </c>
      <c r="D10" s="1">
        <v>1</v>
      </c>
      <c r="E10" s="33"/>
      <c r="F10" s="27" t="s">
        <v>12</v>
      </c>
    </row>
    <row r="11" spans="2:6" x14ac:dyDescent="0.25">
      <c r="C11" s="37" t="s">
        <v>13</v>
      </c>
      <c r="D11" s="1">
        <v>5</v>
      </c>
      <c r="E11" s="33"/>
      <c r="F11" s="6" t="s">
        <v>342</v>
      </c>
    </row>
    <row r="12" spans="2:6" x14ac:dyDescent="0.25">
      <c r="C12" s="37" t="s">
        <v>15</v>
      </c>
      <c r="D12" s="1" t="s">
        <v>343</v>
      </c>
      <c r="E12" s="33"/>
      <c r="F12" s="4"/>
    </row>
    <row r="13" spans="2:6" x14ac:dyDescent="0.25">
      <c r="C13" s="37" t="s">
        <v>17</v>
      </c>
      <c r="D13" s="1" t="s">
        <v>123</v>
      </c>
      <c r="E13" s="33"/>
      <c r="F13" s="4"/>
    </row>
    <row r="14" spans="2:6" x14ac:dyDescent="0.25">
      <c r="C14" s="37" t="s">
        <v>19</v>
      </c>
      <c r="D14" s="1" t="s">
        <v>20</v>
      </c>
      <c r="E14" s="33"/>
    </row>
    <row r="15" spans="2:6" x14ac:dyDescent="0.25">
      <c r="C15" s="32"/>
      <c r="D15" s="33"/>
      <c r="E15" s="33"/>
      <c r="F15" s="27" t="s">
        <v>21</v>
      </c>
    </row>
    <row r="16" spans="2:6" x14ac:dyDescent="0.25">
      <c r="C16" s="32"/>
      <c r="D16" s="33"/>
      <c r="E16" s="33"/>
      <c r="F16" s="6" t="s">
        <v>344</v>
      </c>
    </row>
    <row r="17" spans="3:6" ht="18.75" x14ac:dyDescent="0.25">
      <c r="C17" s="31" t="s">
        <v>23</v>
      </c>
      <c r="D17" s="33"/>
      <c r="E17" s="33"/>
      <c r="F17" s="4"/>
    </row>
    <row r="18" spans="3:6" x14ac:dyDescent="0.25">
      <c r="C18" s="32" t="s">
        <v>24</v>
      </c>
      <c r="D18" s="29" t="s">
        <v>23</v>
      </c>
      <c r="E18" s="33"/>
      <c r="F18" s="4"/>
    </row>
    <row r="19" spans="3:6" x14ac:dyDescent="0.25">
      <c r="C19" s="37" t="s">
        <v>25</v>
      </c>
      <c r="D19" s="2"/>
      <c r="E19" s="33"/>
      <c r="F19" s="4"/>
    </row>
    <row r="20" spans="3:6" x14ac:dyDescent="0.25">
      <c r="C20" s="37" t="s">
        <v>26</v>
      </c>
      <c r="D20" s="2"/>
      <c r="E20" s="33"/>
      <c r="F20" s="4"/>
    </row>
    <row r="21" spans="3:6" x14ac:dyDescent="0.25">
      <c r="C21" s="37" t="s">
        <v>27</v>
      </c>
      <c r="D21" s="2"/>
      <c r="E21" s="33"/>
    </row>
    <row r="22" spans="3:6" x14ac:dyDescent="0.25">
      <c r="C22" s="37" t="s">
        <v>28</v>
      </c>
      <c r="D22" s="2"/>
      <c r="E22" s="33"/>
      <c r="F22" s="27" t="s">
        <v>29</v>
      </c>
    </row>
    <row r="23" spans="3:6" x14ac:dyDescent="0.25">
      <c r="C23" s="37" t="s">
        <v>30</v>
      </c>
      <c r="D23" s="2"/>
      <c r="E23" s="33"/>
      <c r="F23" s="8" t="s">
        <v>345</v>
      </c>
    </row>
    <row r="24" spans="3:6" x14ac:dyDescent="0.25">
      <c r="C24" s="37" t="s">
        <v>32</v>
      </c>
      <c r="D24" s="29">
        <f>SUM(D19:D23)</f>
        <v>0</v>
      </c>
      <c r="E24" s="33"/>
      <c r="F24" s="8" t="s">
        <v>346</v>
      </c>
    </row>
    <row r="25" spans="3:6" x14ac:dyDescent="0.25">
      <c r="F25" s="8" t="s">
        <v>347</v>
      </c>
    </row>
    <row r="26" spans="3:6" x14ac:dyDescent="0.25">
      <c r="F26" s="8" t="s">
        <v>348</v>
      </c>
    </row>
    <row r="27" spans="3:6" ht="18.75" x14ac:dyDescent="0.25">
      <c r="C27" s="31" t="s">
        <v>36</v>
      </c>
      <c r="D27" s="34" t="s">
        <v>37</v>
      </c>
      <c r="F27" s="8"/>
    </row>
    <row r="28" spans="3:6" x14ac:dyDescent="0.25">
      <c r="C28" s="32" t="s">
        <v>39</v>
      </c>
      <c r="D28" s="32" t="s">
        <v>40</v>
      </c>
      <c r="E28" s="32"/>
      <c r="F28" s="8" t="s">
        <v>349</v>
      </c>
    </row>
    <row r="29" spans="3:6" x14ac:dyDescent="0.25">
      <c r="C29" s="37" t="s">
        <v>42</v>
      </c>
      <c r="D29" s="8" t="s">
        <v>350</v>
      </c>
      <c r="E29" s="33"/>
      <c r="F29" s="4"/>
    </row>
    <row r="30" spans="3:6" x14ac:dyDescent="0.25">
      <c r="C30" s="37" t="s">
        <v>44</v>
      </c>
      <c r="D30" s="25" t="s">
        <v>351</v>
      </c>
      <c r="E30" s="33"/>
      <c r="F30" s="4"/>
    </row>
    <row r="31" spans="3:6" x14ac:dyDescent="0.25">
      <c r="C31" s="37" t="s">
        <v>46</v>
      </c>
      <c r="D31" s="25" t="s">
        <v>352</v>
      </c>
      <c r="E31" s="33"/>
      <c r="F31" s="4"/>
    </row>
    <row r="32" spans="3:6" x14ac:dyDescent="0.25">
      <c r="C32" s="37" t="s">
        <v>48</v>
      </c>
      <c r="D32" s="1"/>
      <c r="E32" s="33"/>
      <c r="F32" s="4"/>
    </row>
    <row r="33" spans="3:8" x14ac:dyDescent="0.25">
      <c r="C33" s="37" t="s">
        <v>49</v>
      </c>
      <c r="D33" s="1"/>
      <c r="E33" s="33"/>
      <c r="F33" s="4"/>
    </row>
    <row r="36" spans="3:8" ht="18.75" x14ac:dyDescent="0.25">
      <c r="C36" s="31" t="s">
        <v>50</v>
      </c>
    </row>
    <row r="37" spans="3:8" x14ac:dyDescent="0.25">
      <c r="C37" s="32" t="s">
        <v>51</v>
      </c>
      <c r="D37" s="32" t="s">
        <v>52</v>
      </c>
      <c r="E37" s="32" t="s">
        <v>53</v>
      </c>
      <c r="F37" s="32" t="s">
        <v>54</v>
      </c>
      <c r="G37" s="32" t="s">
        <v>55</v>
      </c>
      <c r="H37" s="32" t="s">
        <v>56</v>
      </c>
    </row>
    <row r="38" spans="3:8" x14ac:dyDescent="0.25">
      <c r="C38" s="37" t="s">
        <v>57</v>
      </c>
      <c r="D38" s="1" t="s">
        <v>133</v>
      </c>
      <c r="E38" s="1" t="s">
        <v>353</v>
      </c>
      <c r="F38" s="8" t="s">
        <v>354</v>
      </c>
      <c r="G38" s="3">
        <v>0.5</v>
      </c>
      <c r="H38" s="1">
        <v>8</v>
      </c>
    </row>
    <row r="39" spans="3:8" x14ac:dyDescent="0.25">
      <c r="C39" s="37" t="s">
        <v>61</v>
      </c>
      <c r="D39" s="1" t="s">
        <v>247</v>
      </c>
      <c r="E39" s="1" t="s">
        <v>355</v>
      </c>
      <c r="F39" s="8" t="s">
        <v>356</v>
      </c>
      <c r="G39" s="3">
        <v>0.5</v>
      </c>
      <c r="H39" s="1">
        <v>17</v>
      </c>
    </row>
    <row r="40" spans="3:8" x14ac:dyDescent="0.25">
      <c r="C40" s="37" t="s">
        <v>64</v>
      </c>
      <c r="D40" s="4"/>
      <c r="E40" s="4"/>
      <c r="F40" s="4"/>
      <c r="G40" s="4"/>
      <c r="H40" s="4"/>
    </row>
    <row r="41" spans="3:8" x14ac:dyDescent="0.25">
      <c r="C41" s="37" t="s">
        <v>65</v>
      </c>
      <c r="D41" s="4"/>
      <c r="E41" s="4"/>
      <c r="F41" s="4"/>
      <c r="G41" s="4"/>
      <c r="H41" s="4"/>
    </row>
    <row r="42" spans="3:8" x14ac:dyDescent="0.25">
      <c r="C42" s="32"/>
    </row>
    <row r="44" spans="3:8" ht="18.75" x14ac:dyDescent="0.25">
      <c r="C44" s="31" t="s">
        <v>66</v>
      </c>
      <c r="D44" s="34"/>
    </row>
    <row r="45" spans="3:8" x14ac:dyDescent="0.25">
      <c r="C45" s="29" t="s">
        <v>51</v>
      </c>
      <c r="D45" s="29" t="s">
        <v>39</v>
      </c>
      <c r="E45" s="29" t="s">
        <v>67</v>
      </c>
      <c r="F45" s="29" t="s">
        <v>68</v>
      </c>
    </row>
    <row r="46" spans="3:8" x14ac:dyDescent="0.25">
      <c r="C46" s="5" t="s">
        <v>57</v>
      </c>
      <c r="D46" s="4" t="s">
        <v>42</v>
      </c>
      <c r="E46" s="4" t="s">
        <v>73</v>
      </c>
      <c r="F46" s="4" t="s">
        <v>140</v>
      </c>
    </row>
    <row r="47" spans="3:8" x14ac:dyDescent="0.25">
      <c r="C47" s="5" t="s">
        <v>57</v>
      </c>
      <c r="D47" s="4" t="s">
        <v>42</v>
      </c>
      <c r="E47" s="4" t="s">
        <v>138</v>
      </c>
      <c r="F47" s="4" t="s">
        <v>198</v>
      </c>
    </row>
    <row r="48" spans="3:8" x14ac:dyDescent="0.25">
      <c r="C48" s="5" t="s">
        <v>57</v>
      </c>
      <c r="D48" s="4" t="s">
        <v>46</v>
      </c>
      <c r="E48" s="4" t="s">
        <v>254</v>
      </c>
      <c r="F48" s="4" t="s">
        <v>357</v>
      </c>
    </row>
    <row r="49" spans="3:6" x14ac:dyDescent="0.25">
      <c r="C49" s="5" t="s">
        <v>61</v>
      </c>
      <c r="D49" s="4" t="s">
        <v>42</v>
      </c>
      <c r="E49" s="4" t="s">
        <v>138</v>
      </c>
      <c r="F49" s="4" t="s">
        <v>196</v>
      </c>
    </row>
    <row r="50" spans="3:6" x14ac:dyDescent="0.25">
      <c r="C50" s="5" t="s">
        <v>61</v>
      </c>
      <c r="D50" s="4" t="s">
        <v>44</v>
      </c>
      <c r="E50" s="4" t="s">
        <v>71</v>
      </c>
      <c r="F50" s="4" t="s">
        <v>358</v>
      </c>
    </row>
    <row r="51" spans="3:6" x14ac:dyDescent="0.25">
      <c r="C51" s="5" t="s">
        <v>61</v>
      </c>
      <c r="D51" s="4"/>
      <c r="E51" s="4"/>
      <c r="F51" s="4"/>
    </row>
    <row r="52" spans="3:6" x14ac:dyDescent="0.25">
      <c r="C52" s="5" t="s">
        <v>64</v>
      </c>
      <c r="D52" s="4"/>
      <c r="E52" s="4"/>
      <c r="F52" s="4"/>
    </row>
    <row r="53" spans="3:6" x14ac:dyDescent="0.25">
      <c r="C53" s="5" t="s">
        <v>64</v>
      </c>
      <c r="D53" s="4"/>
      <c r="E53" s="4"/>
      <c r="F53" s="4"/>
    </row>
    <row r="54" spans="3:6" x14ac:dyDescent="0.25">
      <c r="C54" s="5" t="s">
        <v>64</v>
      </c>
      <c r="D54" s="4"/>
      <c r="E54" s="4"/>
      <c r="F54" s="4"/>
    </row>
    <row r="55" spans="3:6" x14ac:dyDescent="0.25">
      <c r="C55" s="5" t="s">
        <v>65</v>
      </c>
      <c r="D55" s="4"/>
      <c r="E55" s="4"/>
      <c r="F55" s="4"/>
    </row>
    <row r="56" spans="3:6" x14ac:dyDescent="0.25">
      <c r="C56" s="5" t="s">
        <v>65</v>
      </c>
      <c r="D56" s="4"/>
      <c r="E56" s="4"/>
      <c r="F56" s="4"/>
    </row>
    <row r="57" spans="3:6" x14ac:dyDescent="0.25">
      <c r="C57" s="5"/>
      <c r="D57" s="4"/>
      <c r="E57" s="4"/>
      <c r="F57" s="4"/>
    </row>
    <row r="58" spans="3:6" x14ac:dyDescent="0.25">
      <c r="C58" s="5"/>
      <c r="D58" s="4"/>
      <c r="E58" s="4"/>
      <c r="F58" s="4"/>
    </row>
    <row r="59" spans="3:6" x14ac:dyDescent="0.25">
      <c r="C59" s="5"/>
      <c r="D59" s="4"/>
      <c r="E59" s="4"/>
      <c r="F59" s="4"/>
    </row>
    <row r="60" spans="3:6" x14ac:dyDescent="0.25">
      <c r="C60" s="5"/>
      <c r="D60" s="4"/>
      <c r="E60" s="4"/>
      <c r="F60" s="4"/>
    </row>
    <row r="61" spans="3:6" x14ac:dyDescent="0.25">
      <c r="C61" s="5"/>
      <c r="D61" s="4"/>
      <c r="E61" s="4"/>
      <c r="F61" s="4"/>
    </row>
    <row r="62" spans="3:6" x14ac:dyDescent="0.25">
      <c r="C62" s="5"/>
      <c r="D62" s="4"/>
      <c r="E62" s="4"/>
      <c r="F62" s="4"/>
    </row>
    <row r="63" spans="3:6" x14ac:dyDescent="0.25">
      <c r="C63" s="5"/>
      <c r="D63" s="4"/>
      <c r="E63" s="4"/>
      <c r="F63" s="4"/>
    </row>
    <row r="64" spans="3:6" x14ac:dyDescent="0.25">
      <c r="C64" s="5"/>
      <c r="D64" s="4"/>
      <c r="E64" s="4"/>
      <c r="F64" s="4"/>
    </row>
    <row r="65" spans="2:6" x14ac:dyDescent="0.25">
      <c r="C65" s="5"/>
      <c r="D65" s="4"/>
      <c r="E65" s="4"/>
      <c r="F65" s="4"/>
    </row>
    <row r="66" spans="2:6" x14ac:dyDescent="0.25">
      <c r="C66" s="5"/>
      <c r="D66" s="4"/>
      <c r="E66" s="4"/>
      <c r="F66" s="4"/>
    </row>
    <row r="69" spans="2:6" ht="18.75" x14ac:dyDescent="0.25">
      <c r="C69" s="31" t="s">
        <v>76</v>
      </c>
    </row>
    <row r="70" spans="2:6" x14ac:dyDescent="0.25">
      <c r="B70" s="27" t="s">
        <v>77</v>
      </c>
      <c r="C70" s="29" t="s">
        <v>78</v>
      </c>
      <c r="D70" s="29" t="s">
        <v>79</v>
      </c>
      <c r="E70" s="29" t="s">
        <v>80</v>
      </c>
      <c r="F70" s="29" t="s">
        <v>81</v>
      </c>
    </row>
    <row r="71" spans="2:6" x14ac:dyDescent="0.25">
      <c r="B71" s="38">
        <v>1</v>
      </c>
      <c r="C71" s="39">
        <v>1</v>
      </c>
      <c r="D71" s="15" t="s">
        <v>359</v>
      </c>
      <c r="E71" s="16" t="s">
        <v>360</v>
      </c>
      <c r="F71" s="17" t="s">
        <v>361</v>
      </c>
    </row>
    <row r="72" spans="2:6" x14ac:dyDescent="0.25">
      <c r="B72" s="38">
        <v>1</v>
      </c>
      <c r="C72" s="39">
        <v>2</v>
      </c>
      <c r="D72" s="18" t="s">
        <v>362</v>
      </c>
      <c r="E72" s="19" t="s">
        <v>363</v>
      </c>
      <c r="F72" s="20" t="s">
        <v>364</v>
      </c>
    </row>
    <row r="73" spans="2:6" x14ac:dyDescent="0.25">
      <c r="B73" s="38">
        <v>1</v>
      </c>
      <c r="C73" s="39">
        <v>3</v>
      </c>
      <c r="D73" s="18" t="s">
        <v>365</v>
      </c>
      <c r="E73" s="19" t="s">
        <v>366</v>
      </c>
      <c r="F73" s="20" t="s">
        <v>367</v>
      </c>
    </row>
    <row r="74" spans="2:6" x14ac:dyDescent="0.25">
      <c r="B74" s="38">
        <v>1</v>
      </c>
      <c r="C74" s="39">
        <v>4</v>
      </c>
      <c r="D74" s="18" t="s">
        <v>368</v>
      </c>
      <c r="E74" s="19" t="s">
        <v>369</v>
      </c>
      <c r="F74" s="20" t="s">
        <v>370</v>
      </c>
    </row>
    <row r="75" spans="2:6" x14ac:dyDescent="0.25">
      <c r="B75" s="38">
        <v>1</v>
      </c>
      <c r="C75" s="39">
        <v>5</v>
      </c>
      <c r="D75" s="18" t="s">
        <v>371</v>
      </c>
      <c r="E75" s="19" t="s">
        <v>372</v>
      </c>
      <c r="F75" s="20" t="s">
        <v>373</v>
      </c>
    </row>
    <row r="76" spans="2:6" x14ac:dyDescent="0.25">
      <c r="B76" s="38">
        <v>1</v>
      </c>
      <c r="C76" s="39">
        <v>6</v>
      </c>
      <c r="D76" s="18" t="s">
        <v>374</v>
      </c>
      <c r="E76" s="21" t="s">
        <v>375</v>
      </c>
      <c r="F76" s="20" t="s">
        <v>376</v>
      </c>
    </row>
    <row r="77" spans="2:6" x14ac:dyDescent="0.25">
      <c r="B77" s="38">
        <v>1</v>
      </c>
      <c r="C77" s="39">
        <v>7</v>
      </c>
      <c r="D77" s="18" t="s">
        <v>377</v>
      </c>
      <c r="E77" s="19" t="s">
        <v>378</v>
      </c>
      <c r="F77" s="20" t="s">
        <v>379</v>
      </c>
    </row>
    <row r="78" spans="2:6" x14ac:dyDescent="0.25">
      <c r="B78" s="38">
        <v>1</v>
      </c>
      <c r="C78" s="39">
        <v>8</v>
      </c>
      <c r="D78" s="18" t="s">
        <v>380</v>
      </c>
      <c r="E78" s="19" t="s">
        <v>381</v>
      </c>
      <c r="F78" s="20" t="s">
        <v>382</v>
      </c>
    </row>
    <row r="79" spans="2:6" x14ac:dyDescent="0.25">
      <c r="B79" s="38">
        <v>1</v>
      </c>
      <c r="C79" s="39">
        <v>9</v>
      </c>
      <c r="D79" s="18" t="s">
        <v>383</v>
      </c>
      <c r="E79" s="19" t="s">
        <v>384</v>
      </c>
      <c r="F79" s="20" t="s">
        <v>385</v>
      </c>
    </row>
    <row r="80" spans="2:6" x14ac:dyDescent="0.25">
      <c r="B80" s="38">
        <v>1</v>
      </c>
      <c r="C80" s="39">
        <v>10</v>
      </c>
      <c r="D80" s="18" t="s">
        <v>386</v>
      </c>
      <c r="E80" s="19" t="s">
        <v>387</v>
      </c>
      <c r="F80" s="20" t="s">
        <v>388</v>
      </c>
    </row>
    <row r="81" spans="2:6" x14ac:dyDescent="0.25">
      <c r="B81" s="38">
        <v>1</v>
      </c>
      <c r="C81" s="39">
        <v>11</v>
      </c>
      <c r="D81" s="18" t="s">
        <v>389</v>
      </c>
      <c r="E81" s="19" t="s">
        <v>390</v>
      </c>
      <c r="F81" s="20" t="s">
        <v>391</v>
      </c>
    </row>
    <row r="82" spans="2:6" x14ac:dyDescent="0.25">
      <c r="B82" s="38">
        <v>1</v>
      </c>
      <c r="C82" s="39">
        <v>12</v>
      </c>
      <c r="D82" s="22" t="s">
        <v>392</v>
      </c>
      <c r="E82" s="23" t="s">
        <v>393</v>
      </c>
      <c r="F82" s="24" t="s">
        <v>394</v>
      </c>
    </row>
    <row r="83" spans="2:6" x14ac:dyDescent="0.25">
      <c r="B83" s="38">
        <v>2</v>
      </c>
      <c r="C83" s="39">
        <v>1</v>
      </c>
      <c r="D83" s="1"/>
      <c r="E83" s="1"/>
      <c r="F83" s="1"/>
    </row>
    <row r="84" spans="2:6" x14ac:dyDescent="0.25">
      <c r="B84" s="38">
        <v>2</v>
      </c>
      <c r="C84" s="39">
        <v>2</v>
      </c>
      <c r="D84" s="1"/>
      <c r="E84" s="1"/>
      <c r="F84" s="1"/>
    </row>
    <row r="85" spans="2:6" x14ac:dyDescent="0.25">
      <c r="B85" s="38">
        <v>2</v>
      </c>
      <c r="C85" s="39">
        <v>3</v>
      </c>
      <c r="D85" s="1"/>
      <c r="E85" s="1"/>
      <c r="F85" s="1"/>
    </row>
    <row r="86" spans="2:6" x14ac:dyDescent="0.25">
      <c r="B86" s="38">
        <v>2</v>
      </c>
      <c r="C86" s="39">
        <v>4</v>
      </c>
      <c r="D86" s="1"/>
      <c r="E86" s="1"/>
      <c r="F86" s="1"/>
    </row>
    <row r="87" spans="2:6" x14ac:dyDescent="0.25">
      <c r="B87" s="38">
        <v>2</v>
      </c>
      <c r="C87" s="39">
        <v>5</v>
      </c>
      <c r="D87" s="1"/>
      <c r="E87" s="1"/>
      <c r="F87" s="1"/>
    </row>
    <row r="88" spans="2:6" x14ac:dyDescent="0.25">
      <c r="B88" s="38">
        <v>2</v>
      </c>
      <c r="C88" s="39">
        <v>6</v>
      </c>
      <c r="D88" s="1"/>
      <c r="E88" s="1"/>
      <c r="F88" s="1"/>
    </row>
    <row r="89" spans="2:6" x14ac:dyDescent="0.25">
      <c r="B89" s="38">
        <v>2</v>
      </c>
      <c r="C89" s="39">
        <v>7</v>
      </c>
      <c r="D89" s="1"/>
      <c r="E89" s="1"/>
      <c r="F89" s="1"/>
    </row>
    <row r="90" spans="2:6" x14ac:dyDescent="0.25">
      <c r="B90" s="38">
        <v>2</v>
      </c>
      <c r="C90" s="39">
        <v>8</v>
      </c>
      <c r="D90" s="1"/>
      <c r="E90" s="1"/>
      <c r="F90" s="1"/>
    </row>
    <row r="91" spans="2:6" x14ac:dyDescent="0.25">
      <c r="B91" s="38">
        <v>2</v>
      </c>
      <c r="C91" s="39">
        <v>9</v>
      </c>
      <c r="D91" s="1"/>
      <c r="E91" s="1"/>
      <c r="F91" s="1"/>
    </row>
    <row r="92" spans="2:6" x14ac:dyDescent="0.25">
      <c r="B92" s="38">
        <v>2</v>
      </c>
      <c r="C92" s="39">
        <v>10</v>
      </c>
      <c r="D92" s="1"/>
      <c r="E92" s="1"/>
      <c r="F92" s="1"/>
    </row>
    <row r="93" spans="2:6" x14ac:dyDescent="0.25">
      <c r="B93" s="38">
        <v>2</v>
      </c>
      <c r="C93" s="39">
        <v>11</v>
      </c>
      <c r="D93" s="1"/>
      <c r="E93" s="1"/>
      <c r="F93" s="1"/>
    </row>
    <row r="94" spans="2:6" x14ac:dyDescent="0.25">
      <c r="B94" s="38">
        <v>2</v>
      </c>
      <c r="C94" s="39">
        <v>12</v>
      </c>
      <c r="D94" s="1"/>
      <c r="E94" s="1"/>
      <c r="F94" s="1"/>
    </row>
  </sheetData>
  <sheetProtection sheet="1" objects="1" scenarios="1" formatCells="0" formatColumns="0" formatRows="0" insertHyperlinks="0"/>
  <dataValidations count="4">
    <dataValidation type="list" allowBlank="1" showInputMessage="1" showErrorMessage="1" sqref="F46:F66" xr:uid="{A6F5F47F-6866-478E-9880-CF9E3CF9BFDA}">
      <formula1>INDIRECT(VLOOKUP($E46, SkillNameMap, 2, FALSE))</formula1>
    </dataValidation>
    <dataValidation type="list" allowBlank="1" showInputMessage="1" showErrorMessage="1" sqref="E38:E41" xr:uid="{6B033663-DA4C-4E1E-ACA3-197C23B3DA27}">
      <formula1>INDIRECT("LISTAssess[Assessment Specific]")</formula1>
    </dataValidation>
    <dataValidation type="whole" showInputMessage="1" showErrorMessage="1" error="This is not a realistic number of contact hours please change" sqref="D19" xr:uid="{002B1BD8-24F6-46FD-A0E4-8333C78B8357}">
      <formula1>0</formula1>
      <formula2>80</formula2>
    </dataValidation>
    <dataValidation type="whole" showInputMessage="1" showErrorMessage="1" error="This is not a realistic number of contact hours please reduce" sqref="D20:D23" xr:uid="{E4839EC2-0B62-4F96-A8C1-2B68B106BEF1}">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F8A31BEF-5E3B-417C-9E73-D27481A5C886}">
          <x14:formula1>
            <xm:f>LISTS!$J$7:$J$16</xm:f>
          </x14:formula1>
          <xm:sqref>E46:E66</xm:sqref>
        </x14:dataValidation>
        <x14:dataValidation type="list" allowBlank="1" showInputMessage="1" showErrorMessage="1" xr:uid="{4A234C3A-C5D8-4DCE-A391-988FDC67A9B9}">
          <x14:formula1>
            <xm:f>LISTS!$E$7:$E$11</xm:f>
          </x14:formula1>
          <xm:sqref>D46:D66</xm:sqref>
        </x14:dataValidation>
        <x14:dataValidation type="list" allowBlank="1" showInputMessage="1" showErrorMessage="1" xr:uid="{3192E7A5-766C-4AB3-9259-83B852E400AB}">
          <x14:formula1>
            <xm:f>LISTS!$G$7:$G$11</xm:f>
          </x14:formula1>
          <xm:sqref>D38:D42</xm:sqref>
        </x14:dataValidation>
        <x14:dataValidation type="list" allowBlank="1" showInputMessage="1" showErrorMessage="1" xr:uid="{71464BA5-EA7B-4280-8E21-FEA97DF76E39}">
          <x14:formula1>
            <xm:f>LISTS!$C$11:$C$15</xm:f>
          </x14:formula1>
          <xm:sqref>D11</xm:sqref>
        </x14:dataValidation>
        <x14:dataValidation type="list" allowBlank="1" showInputMessage="1" showErrorMessage="1" xr:uid="{ED74EE7F-E73A-4E7D-BB1B-77B834D943C7}">
          <x14:formula1>
            <xm:f>LISTS!$C$7:$C$9</xm:f>
          </x14:formula1>
          <xm:sqref>D10</xm:sqref>
        </x14:dataValidation>
        <x14:dataValidation type="list" allowBlank="1" showInputMessage="1" showErrorMessage="1" xr:uid="{F88D41F7-E6D7-4EA0-ABD2-42A925615DAA}">
          <x14:formula1>
            <xm:f>LISTS!$C$17:$C$22</xm:f>
          </x14:formula1>
          <xm:sqref>D13</xm:sqref>
        </x14:dataValidation>
        <x14:dataValidation type="list" allowBlank="1" showInputMessage="1" showErrorMessage="1" xr:uid="{799447E1-E0B9-422D-8078-3D88555E8F5B}">
          <x14:formula1>
            <xm:f>LISTS!$C$26:$C$37</xm:f>
          </x14:formula1>
          <xm:sqref>D14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23168-6B81-47CF-B045-12BB97D9E5BE}">
  <sheetPr codeName="Sheet7"/>
  <dimension ref="B2:H94"/>
  <sheetViews>
    <sheetView showGridLines="0" zoomScale="85" zoomScaleNormal="85" workbookViewId="0">
      <selection activeCell="F18" sqref="F18"/>
    </sheetView>
  </sheetViews>
  <sheetFormatPr defaultRowHeight="15" x14ac:dyDescent="0.25"/>
  <cols>
    <col min="1" max="2" width="9.140625" style="27"/>
    <col min="3" max="3" width="33.28515625" style="27" customWidth="1"/>
    <col min="4" max="4" width="51.5703125" style="27" customWidth="1"/>
    <col min="5" max="5" width="67.28515625" style="27" customWidth="1"/>
    <col min="6" max="6" width="63.140625" style="27" customWidth="1"/>
    <col min="7" max="7" width="12.42578125" style="27" customWidth="1"/>
    <col min="8" max="8" width="15.5703125" style="27" customWidth="1"/>
    <col min="9" max="9" width="14.7109375" style="27" customWidth="1"/>
    <col min="10" max="16384" width="9.140625" style="27"/>
  </cols>
  <sheetData>
    <row r="2" spans="2:6" ht="26.25" x14ac:dyDescent="0.4">
      <c r="C2" s="28" t="str">
        <f>D7</f>
        <v>5015SPS</v>
      </c>
      <c r="D2" s="28" t="str">
        <f>D8</f>
        <v>Exercise Biochemistry</v>
      </c>
    </row>
    <row r="3" spans="2:6" x14ac:dyDescent="0.25">
      <c r="B3" s="29"/>
      <c r="C3" s="29"/>
    </row>
    <row r="4" spans="2:6" x14ac:dyDescent="0.25">
      <c r="B4" s="30"/>
      <c r="C4" s="30"/>
    </row>
    <row r="5" spans="2:6" ht="18.75" x14ac:dyDescent="0.25">
      <c r="B5" s="30"/>
      <c r="C5" s="31" t="s">
        <v>0</v>
      </c>
    </row>
    <row r="6" spans="2:6" x14ac:dyDescent="0.25">
      <c r="B6" s="30"/>
      <c r="C6" s="32" t="s">
        <v>1</v>
      </c>
      <c r="D6" s="33" t="s">
        <v>2</v>
      </c>
      <c r="E6" s="33"/>
      <c r="F6" s="27" t="s">
        <v>3</v>
      </c>
    </row>
    <row r="7" spans="2:6" x14ac:dyDescent="0.25">
      <c r="B7" s="30"/>
      <c r="C7" s="37" t="s">
        <v>4</v>
      </c>
      <c r="D7" s="1" t="s">
        <v>395</v>
      </c>
      <c r="E7" s="33"/>
      <c r="F7" s="6" t="s">
        <v>396</v>
      </c>
    </row>
    <row r="8" spans="2:6" x14ac:dyDescent="0.25">
      <c r="B8" s="30"/>
      <c r="C8" s="37" t="s">
        <v>7</v>
      </c>
      <c r="D8" s="6" t="s">
        <v>397</v>
      </c>
      <c r="E8" s="33"/>
      <c r="F8" s="4"/>
    </row>
    <row r="9" spans="2:6" x14ac:dyDescent="0.25">
      <c r="C9" s="37" t="s">
        <v>9</v>
      </c>
      <c r="D9" s="1">
        <v>20</v>
      </c>
      <c r="E9" s="33"/>
    </row>
    <row r="10" spans="2:6" x14ac:dyDescent="0.25">
      <c r="C10" s="37" t="s">
        <v>10</v>
      </c>
      <c r="D10" s="1">
        <v>2</v>
      </c>
      <c r="E10" s="33"/>
      <c r="F10" s="27" t="s">
        <v>12</v>
      </c>
    </row>
    <row r="11" spans="2:6" x14ac:dyDescent="0.25">
      <c r="C11" s="37" t="s">
        <v>13</v>
      </c>
      <c r="D11" s="1">
        <v>5</v>
      </c>
      <c r="E11" s="33"/>
      <c r="F11" s="6" t="s">
        <v>398</v>
      </c>
    </row>
    <row r="12" spans="2:6" x14ac:dyDescent="0.25">
      <c r="C12" s="37" t="s">
        <v>15</v>
      </c>
      <c r="D12" s="1" t="s">
        <v>399</v>
      </c>
      <c r="E12" s="33"/>
      <c r="F12" s="4"/>
    </row>
    <row r="13" spans="2:6" x14ac:dyDescent="0.25">
      <c r="C13" s="37" t="s">
        <v>17</v>
      </c>
      <c r="D13" s="1" t="s">
        <v>123</v>
      </c>
      <c r="E13" s="33"/>
      <c r="F13" s="4"/>
    </row>
    <row r="14" spans="2:6" x14ac:dyDescent="0.25">
      <c r="C14" s="37" t="s">
        <v>19</v>
      </c>
      <c r="D14" s="1" t="s">
        <v>20</v>
      </c>
      <c r="E14" s="33"/>
    </row>
    <row r="15" spans="2:6" x14ac:dyDescent="0.25">
      <c r="C15" s="32"/>
      <c r="D15" s="33"/>
      <c r="E15" s="33"/>
      <c r="F15" s="27" t="s">
        <v>21</v>
      </c>
    </row>
    <row r="16" spans="2:6" x14ac:dyDescent="0.25">
      <c r="C16" s="32"/>
      <c r="D16" s="33"/>
      <c r="E16" s="33"/>
      <c r="F16" s="6" t="s">
        <v>400</v>
      </c>
    </row>
    <row r="17" spans="3:6" ht="18.75" x14ac:dyDescent="0.25">
      <c r="C17" s="31" t="s">
        <v>23</v>
      </c>
      <c r="D17" s="33"/>
      <c r="E17" s="33"/>
      <c r="F17" s="4"/>
    </row>
    <row r="18" spans="3:6" x14ac:dyDescent="0.25">
      <c r="C18" s="32" t="s">
        <v>24</v>
      </c>
      <c r="D18" s="29" t="s">
        <v>23</v>
      </c>
      <c r="E18" s="33"/>
      <c r="F18" s="4"/>
    </row>
    <row r="19" spans="3:6" x14ac:dyDescent="0.25">
      <c r="C19" s="37" t="s">
        <v>25</v>
      </c>
      <c r="D19" s="2"/>
      <c r="E19" s="33"/>
      <c r="F19" s="4"/>
    </row>
    <row r="20" spans="3:6" x14ac:dyDescent="0.25">
      <c r="C20" s="37" t="s">
        <v>26</v>
      </c>
      <c r="D20" s="2"/>
      <c r="E20" s="33"/>
      <c r="F20" s="4"/>
    </row>
    <row r="21" spans="3:6" x14ac:dyDescent="0.25">
      <c r="C21" s="37" t="s">
        <v>27</v>
      </c>
      <c r="D21" s="2"/>
      <c r="E21" s="33"/>
    </row>
    <row r="22" spans="3:6" x14ac:dyDescent="0.25">
      <c r="C22" s="37" t="s">
        <v>28</v>
      </c>
      <c r="D22" s="2"/>
      <c r="E22" s="33"/>
      <c r="F22" s="27" t="s">
        <v>29</v>
      </c>
    </row>
    <row r="23" spans="3:6" x14ac:dyDescent="0.25">
      <c r="C23" s="37" t="s">
        <v>30</v>
      </c>
      <c r="D23" s="2"/>
      <c r="E23" s="33"/>
      <c r="F23" s="8" t="s">
        <v>401</v>
      </c>
    </row>
    <row r="24" spans="3:6" x14ac:dyDescent="0.25">
      <c r="C24" s="37" t="s">
        <v>32</v>
      </c>
      <c r="D24" s="29">
        <f>SUM(D19:D23)</f>
        <v>0</v>
      </c>
      <c r="E24" s="33"/>
      <c r="F24" s="8" t="s">
        <v>402</v>
      </c>
    </row>
    <row r="25" spans="3:6" x14ac:dyDescent="0.25">
      <c r="F25" s="8" t="s">
        <v>403</v>
      </c>
    </row>
    <row r="26" spans="3:6" x14ac:dyDescent="0.25">
      <c r="F26" s="8" t="s">
        <v>404</v>
      </c>
    </row>
    <row r="27" spans="3:6" ht="18.75" x14ac:dyDescent="0.25">
      <c r="C27" s="31" t="s">
        <v>36</v>
      </c>
      <c r="D27" s="34" t="s">
        <v>37</v>
      </c>
      <c r="F27" s="8" t="s">
        <v>405</v>
      </c>
    </row>
    <row r="28" spans="3:6" x14ac:dyDescent="0.25">
      <c r="C28" s="32" t="s">
        <v>39</v>
      </c>
      <c r="D28" s="32" t="s">
        <v>40</v>
      </c>
      <c r="E28" s="32"/>
      <c r="F28" s="8"/>
    </row>
    <row r="29" spans="3:6" x14ac:dyDescent="0.25">
      <c r="C29" s="37" t="s">
        <v>42</v>
      </c>
      <c r="D29" s="8" t="s">
        <v>406</v>
      </c>
      <c r="E29" s="33"/>
      <c r="F29" s="8" t="s">
        <v>407</v>
      </c>
    </row>
    <row r="30" spans="3:6" x14ac:dyDescent="0.25">
      <c r="C30" s="37" t="s">
        <v>44</v>
      </c>
      <c r="D30" s="25" t="s">
        <v>408</v>
      </c>
      <c r="E30" s="33"/>
      <c r="F30" s="4"/>
    </row>
    <row r="31" spans="3:6" x14ac:dyDescent="0.25">
      <c r="C31" s="37" t="s">
        <v>46</v>
      </c>
      <c r="D31" s="25" t="s">
        <v>409</v>
      </c>
      <c r="E31" s="33"/>
      <c r="F31" s="4"/>
    </row>
    <row r="32" spans="3:6" x14ac:dyDescent="0.25">
      <c r="C32" s="37" t="s">
        <v>48</v>
      </c>
      <c r="D32" s="1"/>
      <c r="E32" s="33"/>
      <c r="F32" s="4"/>
    </row>
    <row r="33" spans="3:8" x14ac:dyDescent="0.25">
      <c r="C33" s="37" t="s">
        <v>49</v>
      </c>
      <c r="D33" s="1"/>
      <c r="E33" s="33"/>
      <c r="F33" s="4"/>
    </row>
    <row r="36" spans="3:8" ht="18.75" x14ac:dyDescent="0.25">
      <c r="C36" s="31" t="s">
        <v>50</v>
      </c>
    </row>
    <row r="37" spans="3:8" x14ac:dyDescent="0.25">
      <c r="C37" s="32" t="s">
        <v>51</v>
      </c>
      <c r="D37" s="32" t="s">
        <v>52</v>
      </c>
      <c r="E37" s="32" t="s">
        <v>53</v>
      </c>
      <c r="F37" s="32" t="s">
        <v>54</v>
      </c>
      <c r="G37" s="32" t="s">
        <v>55</v>
      </c>
      <c r="H37" s="32" t="s">
        <v>56</v>
      </c>
    </row>
    <row r="38" spans="3:8" x14ac:dyDescent="0.25">
      <c r="C38" s="37" t="s">
        <v>57</v>
      </c>
      <c r="D38" s="1" t="s">
        <v>247</v>
      </c>
      <c r="E38" s="1" t="s">
        <v>355</v>
      </c>
      <c r="F38" s="8" t="s">
        <v>410</v>
      </c>
      <c r="G38" s="3">
        <v>0.5</v>
      </c>
      <c r="H38" s="1">
        <v>8</v>
      </c>
    </row>
    <row r="39" spans="3:8" x14ac:dyDescent="0.25">
      <c r="C39" s="37" t="s">
        <v>61</v>
      </c>
      <c r="D39" s="1" t="s">
        <v>133</v>
      </c>
      <c r="E39" s="1" t="s">
        <v>299</v>
      </c>
      <c r="F39" s="8" t="s">
        <v>411</v>
      </c>
      <c r="G39" s="3">
        <v>0.5</v>
      </c>
      <c r="H39" s="1">
        <v>12</v>
      </c>
    </row>
    <row r="40" spans="3:8" x14ac:dyDescent="0.25">
      <c r="C40" s="37" t="s">
        <v>64</v>
      </c>
      <c r="D40" s="4"/>
      <c r="E40" s="4"/>
      <c r="F40" s="4"/>
      <c r="G40" s="4"/>
      <c r="H40" s="4"/>
    </row>
    <row r="41" spans="3:8" x14ac:dyDescent="0.25">
      <c r="C41" s="37" t="s">
        <v>65</v>
      </c>
      <c r="D41" s="4"/>
      <c r="E41" s="4"/>
      <c r="F41" s="4"/>
      <c r="G41" s="4"/>
      <c r="H41" s="4"/>
    </row>
    <row r="42" spans="3:8" x14ac:dyDescent="0.25">
      <c r="C42" s="32"/>
    </row>
    <row r="44" spans="3:8" ht="18.75" x14ac:dyDescent="0.25">
      <c r="C44" s="31" t="s">
        <v>66</v>
      </c>
      <c r="D44" s="34"/>
    </row>
    <row r="45" spans="3:8" x14ac:dyDescent="0.25">
      <c r="C45" s="29" t="s">
        <v>51</v>
      </c>
      <c r="D45" s="29" t="s">
        <v>39</v>
      </c>
      <c r="E45" s="29" t="s">
        <v>67</v>
      </c>
      <c r="F45" s="29" t="s">
        <v>68</v>
      </c>
    </row>
    <row r="46" spans="3:8" x14ac:dyDescent="0.25">
      <c r="C46" s="5" t="s">
        <v>57</v>
      </c>
      <c r="D46" s="4" t="s">
        <v>42</v>
      </c>
      <c r="E46" s="4" t="s">
        <v>138</v>
      </c>
      <c r="F46" s="4" t="s">
        <v>196</v>
      </c>
    </row>
    <row r="47" spans="3:8" x14ac:dyDescent="0.25">
      <c r="C47" s="5" t="s">
        <v>57</v>
      </c>
      <c r="D47" s="4" t="s">
        <v>44</v>
      </c>
      <c r="E47" s="4" t="s">
        <v>73</v>
      </c>
      <c r="F47" s="4" t="s">
        <v>412</v>
      </c>
    </row>
    <row r="48" spans="3:8" x14ac:dyDescent="0.25">
      <c r="C48" s="5" t="s">
        <v>61</v>
      </c>
      <c r="D48" s="4" t="s">
        <v>46</v>
      </c>
      <c r="E48" s="4" t="s">
        <v>138</v>
      </c>
      <c r="F48" s="4" t="s">
        <v>198</v>
      </c>
    </row>
    <row r="49" spans="3:6" x14ac:dyDescent="0.25">
      <c r="C49" s="5" t="s">
        <v>61</v>
      </c>
      <c r="D49" s="4" t="s">
        <v>46</v>
      </c>
      <c r="E49" s="4" t="s">
        <v>71</v>
      </c>
      <c r="F49" s="4" t="s">
        <v>413</v>
      </c>
    </row>
    <row r="50" spans="3:6" x14ac:dyDescent="0.25">
      <c r="C50" s="5" t="s">
        <v>61</v>
      </c>
      <c r="D50" s="4"/>
      <c r="E50" s="4"/>
      <c r="F50" s="4"/>
    </row>
    <row r="51" spans="3:6" x14ac:dyDescent="0.25">
      <c r="C51" s="5" t="s">
        <v>61</v>
      </c>
      <c r="D51" s="4"/>
      <c r="E51" s="4"/>
      <c r="F51" s="4"/>
    </row>
    <row r="52" spans="3:6" x14ac:dyDescent="0.25">
      <c r="C52" s="5" t="s">
        <v>64</v>
      </c>
      <c r="D52" s="4"/>
      <c r="E52" s="4"/>
      <c r="F52" s="4"/>
    </row>
    <row r="53" spans="3:6" x14ac:dyDescent="0.25">
      <c r="C53" s="5" t="s">
        <v>64</v>
      </c>
      <c r="D53" s="4"/>
      <c r="E53" s="4"/>
      <c r="F53" s="4"/>
    </row>
    <row r="54" spans="3:6" x14ac:dyDescent="0.25">
      <c r="C54" s="5" t="s">
        <v>64</v>
      </c>
      <c r="D54" s="4"/>
      <c r="E54" s="4"/>
      <c r="F54" s="4"/>
    </row>
    <row r="55" spans="3:6" x14ac:dyDescent="0.25">
      <c r="C55" s="5" t="s">
        <v>65</v>
      </c>
      <c r="D55" s="4"/>
      <c r="E55" s="4"/>
      <c r="F55" s="4"/>
    </row>
    <row r="56" spans="3:6" x14ac:dyDescent="0.25">
      <c r="C56" s="5" t="s">
        <v>65</v>
      </c>
      <c r="D56" s="4"/>
      <c r="E56" s="4"/>
      <c r="F56" s="4"/>
    </row>
    <row r="57" spans="3:6" x14ac:dyDescent="0.25">
      <c r="C57" s="5"/>
      <c r="D57" s="4"/>
      <c r="E57" s="4"/>
      <c r="F57" s="4"/>
    </row>
    <row r="58" spans="3:6" x14ac:dyDescent="0.25">
      <c r="C58" s="5"/>
      <c r="D58" s="4"/>
      <c r="E58" s="4"/>
      <c r="F58" s="4"/>
    </row>
    <row r="59" spans="3:6" x14ac:dyDescent="0.25">
      <c r="C59" s="5"/>
      <c r="D59" s="4"/>
      <c r="E59" s="4"/>
      <c r="F59" s="4"/>
    </row>
    <row r="60" spans="3:6" x14ac:dyDescent="0.25">
      <c r="C60" s="5"/>
      <c r="D60" s="4"/>
      <c r="E60" s="4"/>
      <c r="F60" s="4"/>
    </row>
    <row r="61" spans="3:6" x14ac:dyDescent="0.25">
      <c r="C61" s="5"/>
      <c r="D61" s="4"/>
      <c r="E61" s="4"/>
      <c r="F61" s="4"/>
    </row>
    <row r="62" spans="3:6" x14ac:dyDescent="0.25">
      <c r="C62" s="5"/>
      <c r="D62" s="4"/>
      <c r="E62" s="4"/>
      <c r="F62" s="4"/>
    </row>
    <row r="63" spans="3:6" x14ac:dyDescent="0.25">
      <c r="C63" s="5"/>
      <c r="D63" s="4"/>
      <c r="E63" s="4"/>
      <c r="F63" s="4"/>
    </row>
    <row r="64" spans="3:6" x14ac:dyDescent="0.25">
      <c r="C64" s="5"/>
      <c r="D64" s="4"/>
      <c r="E64" s="4"/>
      <c r="F64" s="4"/>
    </row>
    <row r="65" spans="2:6" x14ac:dyDescent="0.25">
      <c r="C65" s="5"/>
      <c r="D65" s="4"/>
      <c r="E65" s="4"/>
      <c r="F65" s="4"/>
    </row>
    <row r="66" spans="2:6" x14ac:dyDescent="0.25">
      <c r="C66" s="5"/>
      <c r="D66" s="4"/>
      <c r="E66" s="4"/>
      <c r="F66" s="4"/>
    </row>
    <row r="69" spans="2:6" ht="18.75" x14ac:dyDescent="0.25">
      <c r="C69" s="31" t="s">
        <v>76</v>
      </c>
    </row>
    <row r="70" spans="2:6" x14ac:dyDescent="0.25">
      <c r="B70" s="27" t="s">
        <v>77</v>
      </c>
      <c r="C70" s="29" t="s">
        <v>78</v>
      </c>
      <c r="D70" s="29" t="s">
        <v>79</v>
      </c>
      <c r="E70" s="29" t="s">
        <v>80</v>
      </c>
      <c r="F70" s="29" t="s">
        <v>81</v>
      </c>
    </row>
    <row r="71" spans="2:6" x14ac:dyDescent="0.25">
      <c r="B71" s="38">
        <v>1</v>
      </c>
      <c r="C71" s="39">
        <v>1</v>
      </c>
      <c r="D71" s="1"/>
      <c r="E71" s="1"/>
      <c r="F71" s="1"/>
    </row>
    <row r="72" spans="2:6" x14ac:dyDescent="0.25">
      <c r="B72" s="38">
        <v>1</v>
      </c>
      <c r="C72" s="39">
        <v>2</v>
      </c>
      <c r="D72" s="1"/>
      <c r="E72" s="1"/>
      <c r="F72" s="1"/>
    </row>
    <row r="73" spans="2:6" x14ac:dyDescent="0.25">
      <c r="B73" s="38">
        <v>1</v>
      </c>
      <c r="C73" s="39">
        <v>3</v>
      </c>
      <c r="D73" s="1"/>
      <c r="E73" s="1"/>
      <c r="F73" s="1"/>
    </row>
    <row r="74" spans="2:6" x14ac:dyDescent="0.25">
      <c r="B74" s="38">
        <v>1</v>
      </c>
      <c r="C74" s="39">
        <v>4</v>
      </c>
      <c r="D74" s="1"/>
      <c r="E74" s="1"/>
      <c r="F74" s="1"/>
    </row>
    <row r="75" spans="2:6" x14ac:dyDescent="0.25">
      <c r="B75" s="38">
        <v>1</v>
      </c>
      <c r="C75" s="39">
        <v>5</v>
      </c>
      <c r="D75" s="1"/>
      <c r="E75" s="1"/>
      <c r="F75" s="1"/>
    </row>
    <row r="76" spans="2:6" x14ac:dyDescent="0.25">
      <c r="B76" s="38">
        <v>1</v>
      </c>
      <c r="C76" s="39">
        <v>6</v>
      </c>
      <c r="D76" s="1"/>
      <c r="E76" s="1"/>
      <c r="F76" s="1"/>
    </row>
    <row r="77" spans="2:6" x14ac:dyDescent="0.25">
      <c r="B77" s="38">
        <v>1</v>
      </c>
      <c r="C77" s="39">
        <v>7</v>
      </c>
      <c r="D77" s="1"/>
      <c r="E77" s="1"/>
      <c r="F77" s="1"/>
    </row>
    <row r="78" spans="2:6" x14ac:dyDescent="0.25">
      <c r="B78" s="38">
        <v>1</v>
      </c>
      <c r="C78" s="39">
        <v>8</v>
      </c>
      <c r="D78" s="1"/>
      <c r="E78" s="1"/>
      <c r="F78" s="1"/>
    </row>
    <row r="79" spans="2:6" x14ac:dyDescent="0.25">
      <c r="B79" s="38">
        <v>1</v>
      </c>
      <c r="C79" s="39">
        <v>9</v>
      </c>
      <c r="D79" s="1"/>
      <c r="E79" s="1"/>
      <c r="F79" s="1"/>
    </row>
    <row r="80" spans="2:6" x14ac:dyDescent="0.25">
      <c r="B80" s="38">
        <v>1</v>
      </c>
      <c r="C80" s="39">
        <v>10</v>
      </c>
      <c r="D80" s="1"/>
      <c r="E80" s="1"/>
      <c r="F80" s="1"/>
    </row>
    <row r="81" spans="2:6" x14ac:dyDescent="0.25">
      <c r="B81" s="38">
        <v>1</v>
      </c>
      <c r="C81" s="39">
        <v>11</v>
      </c>
      <c r="D81" s="1"/>
      <c r="E81" s="1"/>
      <c r="F81" s="1"/>
    </row>
    <row r="82" spans="2:6" x14ac:dyDescent="0.25">
      <c r="B82" s="38">
        <v>1</v>
      </c>
      <c r="C82" s="39">
        <v>12</v>
      </c>
      <c r="D82" s="1"/>
      <c r="E82" s="1"/>
      <c r="F82" s="1"/>
    </row>
    <row r="83" spans="2:6" x14ac:dyDescent="0.25">
      <c r="B83" s="38">
        <v>2</v>
      </c>
      <c r="C83" s="39">
        <v>1</v>
      </c>
      <c r="D83" s="15" t="s">
        <v>414</v>
      </c>
      <c r="E83" s="16" t="s">
        <v>142</v>
      </c>
      <c r="F83" s="17" t="s">
        <v>415</v>
      </c>
    </row>
    <row r="84" spans="2:6" x14ac:dyDescent="0.25">
      <c r="B84" s="38">
        <v>2</v>
      </c>
      <c r="C84" s="39">
        <v>2</v>
      </c>
      <c r="D84" s="18" t="s">
        <v>416</v>
      </c>
      <c r="E84" s="19" t="s">
        <v>417</v>
      </c>
      <c r="F84" s="20" t="s">
        <v>418</v>
      </c>
    </row>
    <row r="85" spans="2:6" x14ac:dyDescent="0.25">
      <c r="B85" s="38">
        <v>2</v>
      </c>
      <c r="C85" s="39">
        <v>3</v>
      </c>
      <c r="D85" s="18" t="s">
        <v>419</v>
      </c>
      <c r="E85" s="19" t="s">
        <v>420</v>
      </c>
      <c r="F85" s="20" t="s">
        <v>421</v>
      </c>
    </row>
    <row r="86" spans="2:6" x14ac:dyDescent="0.25">
      <c r="B86" s="38">
        <v>2</v>
      </c>
      <c r="C86" s="39">
        <v>4</v>
      </c>
      <c r="D86" s="18" t="s">
        <v>422</v>
      </c>
      <c r="E86" s="19" t="s">
        <v>423</v>
      </c>
      <c r="F86" s="20" t="s">
        <v>424</v>
      </c>
    </row>
    <row r="87" spans="2:6" x14ac:dyDescent="0.25">
      <c r="B87" s="38">
        <v>2</v>
      </c>
      <c r="C87" s="39">
        <v>5</v>
      </c>
      <c r="D87" s="18" t="s">
        <v>425</v>
      </c>
      <c r="E87" s="19" t="s">
        <v>426</v>
      </c>
      <c r="F87" s="20" t="s">
        <v>427</v>
      </c>
    </row>
    <row r="88" spans="2:6" x14ac:dyDescent="0.25">
      <c r="B88" s="38">
        <v>2</v>
      </c>
      <c r="C88" s="39">
        <v>6</v>
      </c>
      <c r="D88" s="18" t="s">
        <v>428</v>
      </c>
      <c r="E88" s="21" t="s">
        <v>429</v>
      </c>
      <c r="F88" s="20" t="s">
        <v>430</v>
      </c>
    </row>
    <row r="89" spans="2:6" x14ac:dyDescent="0.25">
      <c r="B89" s="38">
        <v>2</v>
      </c>
      <c r="C89" s="39">
        <v>7</v>
      </c>
      <c r="D89" s="18" t="s">
        <v>431</v>
      </c>
      <c r="E89" s="19" t="s">
        <v>432</v>
      </c>
      <c r="F89" s="20" t="s">
        <v>433</v>
      </c>
    </row>
    <row r="90" spans="2:6" x14ac:dyDescent="0.25">
      <c r="B90" s="38">
        <v>2</v>
      </c>
      <c r="C90" s="39">
        <v>8</v>
      </c>
      <c r="D90" s="18" t="s">
        <v>434</v>
      </c>
      <c r="E90" s="19" t="s">
        <v>435</v>
      </c>
      <c r="F90" s="20" t="s">
        <v>25</v>
      </c>
    </row>
    <row r="91" spans="2:6" x14ac:dyDescent="0.25">
      <c r="B91" s="38">
        <v>2</v>
      </c>
      <c r="C91" s="39">
        <v>9</v>
      </c>
      <c r="D91" s="18" t="s">
        <v>436</v>
      </c>
      <c r="E91" s="19" t="s">
        <v>437</v>
      </c>
      <c r="F91" s="20" t="s">
        <v>438</v>
      </c>
    </row>
    <row r="92" spans="2:6" x14ac:dyDescent="0.25">
      <c r="B92" s="38">
        <v>2</v>
      </c>
      <c r="C92" s="39">
        <v>10</v>
      </c>
      <c r="D92" s="18" t="s">
        <v>439</v>
      </c>
      <c r="E92" s="19" t="s">
        <v>440</v>
      </c>
      <c r="F92" s="20" t="s">
        <v>441</v>
      </c>
    </row>
    <row r="93" spans="2:6" x14ac:dyDescent="0.25">
      <c r="B93" s="38">
        <v>2</v>
      </c>
      <c r="C93" s="39">
        <v>11</v>
      </c>
      <c r="D93" s="18" t="s">
        <v>442</v>
      </c>
      <c r="E93" s="19" t="s">
        <v>443</v>
      </c>
      <c r="F93" s="20" t="s">
        <v>444</v>
      </c>
    </row>
    <row r="94" spans="2:6" x14ac:dyDescent="0.25">
      <c r="B94" s="38">
        <v>2</v>
      </c>
      <c r="C94" s="39">
        <v>12</v>
      </c>
      <c r="D94" s="22" t="s">
        <v>445</v>
      </c>
      <c r="E94" s="23" t="s">
        <v>446</v>
      </c>
      <c r="F94" s="24" t="s">
        <v>447</v>
      </c>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DCF1D4CF-AD13-4549-94DF-DAD7372507FF}">
      <formula1>0</formula1>
      <formula2>80</formula2>
    </dataValidation>
    <dataValidation type="whole" showInputMessage="1" showErrorMessage="1" error="This is not a realistic number of contact hours please change" sqref="D19" xr:uid="{2EFE7054-9BF0-4E34-9260-CE2CA4E53AC1}">
      <formula1>0</formula1>
      <formula2>80</formula2>
    </dataValidation>
    <dataValidation type="list" allowBlank="1" showInputMessage="1" showErrorMessage="1" sqref="E38:E41" xr:uid="{8FAAA275-BBC0-49B8-8FE4-71328DF55B6F}">
      <formula1>INDIRECT("LISTAssess[Assessment Specific]")</formula1>
    </dataValidation>
    <dataValidation type="list" allowBlank="1" showInputMessage="1" showErrorMessage="1" sqref="F46:F66" xr:uid="{E1682273-6EEC-4437-BA8D-462547C84EF8}">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D8F5AA3-C895-4B95-9912-EF67DA280821}">
          <x14:formula1>
            <xm:f>LISTS!$C$26:$C$37</xm:f>
          </x14:formula1>
          <xm:sqref>D14</xm:sqref>
        </x14:dataValidation>
        <x14:dataValidation type="list" allowBlank="1" showInputMessage="1" showErrorMessage="1" xr:uid="{703F0AA5-3DD9-4205-B10E-84D20D77F5DF}">
          <x14:formula1>
            <xm:f>LISTS!$C$17:$C$22</xm:f>
          </x14:formula1>
          <xm:sqref>D13</xm:sqref>
        </x14:dataValidation>
        <x14:dataValidation type="list" allowBlank="1" showInputMessage="1" showErrorMessage="1" xr:uid="{204C63EF-139E-4DCF-87C5-C1413D76F08F}">
          <x14:formula1>
            <xm:f>LISTS!$C$7:$C$9</xm:f>
          </x14:formula1>
          <xm:sqref>D10</xm:sqref>
        </x14:dataValidation>
        <x14:dataValidation type="list" allowBlank="1" showInputMessage="1" showErrorMessage="1" xr:uid="{02A4F4B2-CA44-4C0F-951D-7C349BD7AFEB}">
          <x14:formula1>
            <xm:f>LISTS!$C$11:$C$15</xm:f>
          </x14:formula1>
          <xm:sqref>D11</xm:sqref>
        </x14:dataValidation>
        <x14:dataValidation type="list" allowBlank="1" showInputMessage="1" showErrorMessage="1" xr:uid="{D6C3DA59-44C9-4E4B-8893-5EEB7E17375D}">
          <x14:formula1>
            <xm:f>LISTS!$G$7:$G$11</xm:f>
          </x14:formula1>
          <xm:sqref>D38:D42</xm:sqref>
        </x14:dataValidation>
        <x14:dataValidation type="list" allowBlank="1" showInputMessage="1" showErrorMessage="1" xr:uid="{1A267CA5-0348-4F32-BF79-432FCFC02438}">
          <x14:formula1>
            <xm:f>LISTS!$E$7:$E$11</xm:f>
          </x14:formula1>
          <xm:sqref>D46:D66</xm:sqref>
        </x14:dataValidation>
        <x14:dataValidation type="list" allowBlank="1" showInputMessage="1" showErrorMessage="1" xr:uid="{BE7A30BD-1760-4896-BACE-8BCA87088F96}">
          <x14:formula1>
            <xm:f>LISTS!$J$7:$J$16</xm:f>
          </x14:formula1>
          <xm:sqref>E46:E66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34455-5C9F-407B-9192-42F597732675}">
  <sheetPr codeName="Sheet8"/>
  <dimension ref="B2:H94"/>
  <sheetViews>
    <sheetView showGridLines="0" zoomScale="85" zoomScaleNormal="85" workbookViewId="0">
      <selection activeCell="D8" sqref="D8"/>
    </sheetView>
  </sheetViews>
  <sheetFormatPr defaultRowHeight="15" x14ac:dyDescent="0.25"/>
  <cols>
    <col min="1" max="2" width="9.140625" style="27"/>
    <col min="3" max="3" width="33.28515625" style="27" customWidth="1"/>
    <col min="4" max="4" width="51.5703125" style="27" customWidth="1"/>
    <col min="5" max="5" width="67.28515625" style="27" customWidth="1"/>
    <col min="6" max="6" width="63.140625" style="27" customWidth="1"/>
    <col min="7" max="7" width="12.42578125" style="27" customWidth="1"/>
    <col min="8" max="8" width="15.5703125" style="27" customWidth="1"/>
    <col min="9" max="9" width="14.7109375" style="27" customWidth="1"/>
    <col min="10" max="16384" width="9.140625" style="27"/>
  </cols>
  <sheetData>
    <row r="2" spans="2:6" ht="26.25" x14ac:dyDescent="0.4">
      <c r="C2" s="28" t="str">
        <f>D7</f>
        <v>5005SPS</v>
      </c>
      <c r="D2" s="28" t="str">
        <f>D8</f>
        <v>Lifespan Nutrition and Eating Behaviour</v>
      </c>
    </row>
    <row r="3" spans="2:6" x14ac:dyDescent="0.25">
      <c r="B3" s="29"/>
      <c r="C3" s="29"/>
    </row>
    <row r="4" spans="2:6" x14ac:dyDescent="0.25">
      <c r="B4" s="30"/>
      <c r="C4" s="30"/>
    </row>
    <row r="5" spans="2:6" ht="18.75" x14ac:dyDescent="0.25">
      <c r="B5" s="30"/>
      <c r="C5" s="31" t="s">
        <v>0</v>
      </c>
    </row>
    <row r="6" spans="2:6" x14ac:dyDescent="0.25">
      <c r="B6" s="30"/>
      <c r="C6" s="32" t="s">
        <v>1</v>
      </c>
      <c r="D6" s="33" t="s">
        <v>2</v>
      </c>
      <c r="E6" s="33"/>
      <c r="F6" s="27" t="s">
        <v>3</v>
      </c>
    </row>
    <row r="7" spans="2:6" x14ac:dyDescent="0.25">
      <c r="B7" s="30"/>
      <c r="C7" s="37" t="s">
        <v>4</v>
      </c>
      <c r="D7" s="1" t="s">
        <v>448</v>
      </c>
      <c r="E7" s="33"/>
      <c r="F7" s="6" t="s">
        <v>449</v>
      </c>
    </row>
    <row r="8" spans="2:6" x14ac:dyDescent="0.25">
      <c r="B8" s="30"/>
      <c r="C8" s="37" t="s">
        <v>7</v>
      </c>
      <c r="D8" s="6" t="s">
        <v>450</v>
      </c>
      <c r="E8" s="33"/>
      <c r="F8" s="4"/>
    </row>
    <row r="9" spans="2:6" x14ac:dyDescent="0.25">
      <c r="C9" s="37" t="s">
        <v>9</v>
      </c>
      <c r="D9" s="1">
        <v>20</v>
      </c>
      <c r="E9" s="33"/>
    </row>
    <row r="10" spans="2:6" x14ac:dyDescent="0.25">
      <c r="C10" s="37" t="s">
        <v>10</v>
      </c>
      <c r="D10" s="1">
        <v>2</v>
      </c>
      <c r="E10" s="33"/>
      <c r="F10" s="27" t="s">
        <v>12</v>
      </c>
    </row>
    <row r="11" spans="2:6" x14ac:dyDescent="0.25">
      <c r="C11" s="37" t="s">
        <v>13</v>
      </c>
      <c r="D11" s="1">
        <v>5</v>
      </c>
      <c r="E11" s="33"/>
      <c r="F11" s="6" t="s">
        <v>451</v>
      </c>
    </row>
    <row r="12" spans="2:6" x14ac:dyDescent="0.25">
      <c r="C12" s="37" t="s">
        <v>15</v>
      </c>
      <c r="D12" s="1" t="s">
        <v>452</v>
      </c>
      <c r="E12" s="33"/>
      <c r="F12" s="4"/>
    </row>
    <row r="13" spans="2:6" x14ac:dyDescent="0.25">
      <c r="C13" s="37" t="s">
        <v>17</v>
      </c>
      <c r="D13" s="1" t="s">
        <v>123</v>
      </c>
      <c r="E13" s="33"/>
      <c r="F13" s="4"/>
    </row>
    <row r="14" spans="2:6" x14ac:dyDescent="0.25">
      <c r="C14" s="37" t="s">
        <v>19</v>
      </c>
      <c r="D14" s="1" t="s">
        <v>20</v>
      </c>
      <c r="E14" s="33"/>
    </row>
    <row r="15" spans="2:6" x14ac:dyDescent="0.25">
      <c r="C15" s="32"/>
      <c r="D15" s="33"/>
      <c r="E15" s="33"/>
      <c r="F15" s="27" t="s">
        <v>21</v>
      </c>
    </row>
    <row r="16" spans="2:6" x14ac:dyDescent="0.25">
      <c r="C16" s="32"/>
      <c r="D16" s="33"/>
      <c r="E16" s="33"/>
      <c r="F16" s="6" t="s">
        <v>453</v>
      </c>
    </row>
    <row r="17" spans="3:6" ht="18.75" x14ac:dyDescent="0.25">
      <c r="C17" s="31" t="s">
        <v>23</v>
      </c>
      <c r="D17" s="33"/>
      <c r="E17" s="33"/>
      <c r="F17" s="4"/>
    </row>
    <row r="18" spans="3:6" x14ac:dyDescent="0.25">
      <c r="C18" s="32" t="s">
        <v>24</v>
      </c>
      <c r="D18" s="29" t="s">
        <v>23</v>
      </c>
      <c r="E18" s="33"/>
      <c r="F18" s="4"/>
    </row>
    <row r="19" spans="3:6" x14ac:dyDescent="0.25">
      <c r="C19" s="37" t="s">
        <v>25</v>
      </c>
      <c r="D19" s="2"/>
      <c r="E19" s="33"/>
      <c r="F19" s="4"/>
    </row>
    <row r="20" spans="3:6" x14ac:dyDescent="0.25">
      <c r="C20" s="37" t="s">
        <v>26</v>
      </c>
      <c r="D20" s="2"/>
      <c r="E20" s="33"/>
      <c r="F20" s="4"/>
    </row>
    <row r="21" spans="3:6" x14ac:dyDescent="0.25">
      <c r="C21" s="37" t="s">
        <v>27</v>
      </c>
      <c r="D21" s="2"/>
      <c r="E21" s="33"/>
    </row>
    <row r="22" spans="3:6" x14ac:dyDescent="0.25">
      <c r="C22" s="37" t="s">
        <v>28</v>
      </c>
      <c r="D22" s="2"/>
      <c r="E22" s="33"/>
      <c r="F22" s="27" t="s">
        <v>29</v>
      </c>
    </row>
    <row r="23" spans="3:6" x14ac:dyDescent="0.25">
      <c r="C23" s="37" t="s">
        <v>30</v>
      </c>
      <c r="D23" s="2"/>
      <c r="E23" s="33"/>
      <c r="F23" s="8" t="s">
        <v>454</v>
      </c>
    </row>
    <row r="24" spans="3:6" x14ac:dyDescent="0.25">
      <c r="C24" s="37" t="s">
        <v>32</v>
      </c>
      <c r="D24" s="29">
        <f>SUM(D19:D23)</f>
        <v>0</v>
      </c>
      <c r="E24" s="33"/>
      <c r="F24" s="8" t="s">
        <v>455</v>
      </c>
    </row>
    <row r="25" spans="3:6" x14ac:dyDescent="0.25">
      <c r="F25" s="8" t="s">
        <v>456</v>
      </c>
    </row>
    <row r="26" spans="3:6" x14ac:dyDescent="0.25">
      <c r="F26" s="8" t="s">
        <v>457</v>
      </c>
    </row>
    <row r="27" spans="3:6" ht="18.75" x14ac:dyDescent="0.25">
      <c r="C27" s="31" t="s">
        <v>36</v>
      </c>
      <c r="D27" s="34" t="s">
        <v>37</v>
      </c>
      <c r="F27" s="8"/>
    </row>
    <row r="28" spans="3:6" x14ac:dyDescent="0.25">
      <c r="C28" s="32" t="s">
        <v>39</v>
      </c>
      <c r="D28" s="32" t="s">
        <v>40</v>
      </c>
      <c r="E28" s="32"/>
      <c r="F28" s="8" t="s">
        <v>458</v>
      </c>
    </row>
    <row r="29" spans="3:6" x14ac:dyDescent="0.25">
      <c r="C29" s="37" t="s">
        <v>42</v>
      </c>
      <c r="D29" s="8" t="s">
        <v>459</v>
      </c>
      <c r="E29" s="33"/>
      <c r="F29" s="4"/>
    </row>
    <row r="30" spans="3:6" x14ac:dyDescent="0.25">
      <c r="C30" s="37" t="s">
        <v>44</v>
      </c>
      <c r="D30" s="25" t="s">
        <v>460</v>
      </c>
      <c r="E30" s="33"/>
      <c r="F30" s="4"/>
    </row>
    <row r="31" spans="3:6" x14ac:dyDescent="0.25">
      <c r="C31" s="37" t="s">
        <v>46</v>
      </c>
      <c r="D31" s="25" t="s">
        <v>461</v>
      </c>
      <c r="E31" s="33"/>
      <c r="F31" s="4"/>
    </row>
    <row r="32" spans="3:6" x14ac:dyDescent="0.25">
      <c r="C32" s="37" t="s">
        <v>48</v>
      </c>
      <c r="D32" s="1"/>
      <c r="E32" s="33"/>
      <c r="F32" s="4"/>
    </row>
    <row r="33" spans="3:8" x14ac:dyDescent="0.25">
      <c r="C33" s="37" t="s">
        <v>49</v>
      </c>
      <c r="D33" s="1"/>
      <c r="E33" s="33"/>
      <c r="F33" s="4"/>
    </row>
    <row r="36" spans="3:8" ht="18.75" x14ac:dyDescent="0.25">
      <c r="C36" s="31" t="s">
        <v>50</v>
      </c>
    </row>
    <row r="37" spans="3:8" x14ac:dyDescent="0.25">
      <c r="C37" s="32" t="s">
        <v>51</v>
      </c>
      <c r="D37" s="32" t="s">
        <v>52</v>
      </c>
      <c r="E37" s="32" t="s">
        <v>53</v>
      </c>
      <c r="F37" s="32" t="s">
        <v>54</v>
      </c>
      <c r="G37" s="32" t="s">
        <v>55</v>
      </c>
      <c r="H37" s="32" t="s">
        <v>56</v>
      </c>
    </row>
    <row r="38" spans="3:8" x14ac:dyDescent="0.25">
      <c r="C38" s="37" t="s">
        <v>57</v>
      </c>
      <c r="D38" s="1" t="s">
        <v>133</v>
      </c>
      <c r="E38" s="1" t="s">
        <v>299</v>
      </c>
      <c r="F38" s="8" t="s">
        <v>462</v>
      </c>
      <c r="G38" s="3">
        <v>0.5</v>
      </c>
      <c r="H38" s="1">
        <v>25</v>
      </c>
    </row>
    <row r="39" spans="3:8" x14ac:dyDescent="0.25">
      <c r="C39" s="37" t="s">
        <v>61</v>
      </c>
      <c r="D39" s="1" t="s">
        <v>247</v>
      </c>
      <c r="E39" s="1" t="s">
        <v>248</v>
      </c>
      <c r="F39" s="8" t="s">
        <v>463</v>
      </c>
      <c r="G39" s="3">
        <v>0.5</v>
      </c>
      <c r="H39" s="1">
        <v>32</v>
      </c>
    </row>
    <row r="40" spans="3:8" x14ac:dyDescent="0.25">
      <c r="C40" s="37" t="s">
        <v>64</v>
      </c>
      <c r="D40" s="4"/>
      <c r="E40" s="4"/>
      <c r="F40" s="4"/>
      <c r="G40" s="4"/>
      <c r="H40" s="4"/>
    </row>
    <row r="41" spans="3:8" x14ac:dyDescent="0.25">
      <c r="C41" s="37" t="s">
        <v>65</v>
      </c>
      <c r="D41" s="4"/>
      <c r="E41" s="4"/>
      <c r="F41" s="4"/>
      <c r="G41" s="4"/>
      <c r="H41" s="4"/>
    </row>
    <row r="42" spans="3:8" x14ac:dyDescent="0.25">
      <c r="C42" s="32"/>
    </row>
    <row r="44" spans="3:8" ht="18.75" x14ac:dyDescent="0.25">
      <c r="C44" s="31" t="s">
        <v>66</v>
      </c>
      <c r="D44" s="34"/>
    </row>
    <row r="45" spans="3:8" x14ac:dyDescent="0.25">
      <c r="C45" s="29" t="s">
        <v>51</v>
      </c>
      <c r="D45" s="29" t="s">
        <v>39</v>
      </c>
      <c r="E45" s="29" t="s">
        <v>67</v>
      </c>
      <c r="F45" s="29" t="s">
        <v>68</v>
      </c>
    </row>
    <row r="46" spans="3:8" x14ac:dyDescent="0.25">
      <c r="C46" s="5" t="s">
        <v>57</v>
      </c>
      <c r="D46" s="4" t="s">
        <v>46</v>
      </c>
      <c r="E46" s="4" t="s">
        <v>71</v>
      </c>
      <c r="F46" s="4" t="s">
        <v>72</v>
      </c>
    </row>
    <row r="47" spans="3:8" x14ac:dyDescent="0.25">
      <c r="C47" s="5" t="s">
        <v>57</v>
      </c>
      <c r="D47" s="4" t="s">
        <v>46</v>
      </c>
      <c r="E47" s="4" t="s">
        <v>464</v>
      </c>
      <c r="F47" s="4" t="s">
        <v>465</v>
      </c>
    </row>
    <row r="48" spans="3:8" x14ac:dyDescent="0.25">
      <c r="C48" s="5" t="s">
        <v>57</v>
      </c>
      <c r="D48" s="4" t="s">
        <v>46</v>
      </c>
      <c r="E48" s="4" t="s">
        <v>73</v>
      </c>
      <c r="F48" s="4" t="s">
        <v>466</v>
      </c>
    </row>
    <row r="49" spans="3:6" x14ac:dyDescent="0.25">
      <c r="C49" s="5" t="s">
        <v>61</v>
      </c>
      <c r="D49" s="4" t="s">
        <v>42</v>
      </c>
      <c r="E49" s="4" t="s">
        <v>254</v>
      </c>
      <c r="F49" s="4" t="s">
        <v>467</v>
      </c>
    </row>
    <row r="50" spans="3:6" x14ac:dyDescent="0.25">
      <c r="C50" s="5" t="s">
        <v>61</v>
      </c>
      <c r="D50" s="4" t="s">
        <v>42</v>
      </c>
      <c r="E50" s="4" t="s">
        <v>69</v>
      </c>
      <c r="F50" s="4" t="s">
        <v>302</v>
      </c>
    </row>
    <row r="51" spans="3:6" x14ac:dyDescent="0.25">
      <c r="C51" s="5" t="s">
        <v>61</v>
      </c>
      <c r="D51" s="4" t="s">
        <v>44</v>
      </c>
      <c r="E51" s="4" t="s">
        <v>138</v>
      </c>
      <c r="F51" s="4" t="s">
        <v>196</v>
      </c>
    </row>
    <row r="52" spans="3:6" x14ac:dyDescent="0.25">
      <c r="C52" s="5" t="s">
        <v>64</v>
      </c>
      <c r="D52" s="4"/>
      <c r="E52" s="4"/>
      <c r="F52" s="4"/>
    </row>
    <row r="53" spans="3:6" x14ac:dyDescent="0.25">
      <c r="C53" s="5" t="s">
        <v>64</v>
      </c>
      <c r="D53" s="4"/>
      <c r="E53" s="4"/>
      <c r="F53" s="4"/>
    </row>
    <row r="54" spans="3:6" x14ac:dyDescent="0.25">
      <c r="C54" s="5" t="s">
        <v>64</v>
      </c>
      <c r="D54" s="4"/>
      <c r="E54" s="4"/>
      <c r="F54" s="4"/>
    </row>
    <row r="55" spans="3:6" x14ac:dyDescent="0.25">
      <c r="C55" s="5" t="s">
        <v>65</v>
      </c>
      <c r="D55" s="4"/>
      <c r="E55" s="4"/>
      <c r="F55" s="4"/>
    </row>
    <row r="56" spans="3:6" x14ac:dyDescent="0.25">
      <c r="C56" s="5" t="s">
        <v>65</v>
      </c>
      <c r="D56" s="4"/>
      <c r="E56" s="4"/>
      <c r="F56" s="4"/>
    </row>
    <row r="57" spans="3:6" x14ac:dyDescent="0.25">
      <c r="C57" s="5"/>
      <c r="D57" s="4"/>
      <c r="E57" s="4"/>
      <c r="F57" s="4"/>
    </row>
    <row r="58" spans="3:6" x14ac:dyDescent="0.25">
      <c r="C58" s="5"/>
      <c r="D58" s="4"/>
      <c r="E58" s="4"/>
      <c r="F58" s="4"/>
    </row>
    <row r="59" spans="3:6" x14ac:dyDescent="0.25">
      <c r="C59" s="5"/>
      <c r="D59" s="4"/>
      <c r="E59" s="4"/>
      <c r="F59" s="4"/>
    </row>
    <row r="60" spans="3:6" x14ac:dyDescent="0.25">
      <c r="C60" s="5"/>
      <c r="D60" s="4"/>
      <c r="E60" s="4"/>
      <c r="F60" s="4"/>
    </row>
    <row r="61" spans="3:6" x14ac:dyDescent="0.25">
      <c r="C61" s="5"/>
      <c r="D61" s="4"/>
      <c r="E61" s="4"/>
      <c r="F61" s="4"/>
    </row>
    <row r="62" spans="3:6" x14ac:dyDescent="0.25">
      <c r="C62" s="5"/>
      <c r="D62" s="4"/>
      <c r="E62" s="4"/>
      <c r="F62" s="4"/>
    </row>
    <row r="63" spans="3:6" x14ac:dyDescent="0.25">
      <c r="C63" s="5"/>
      <c r="D63" s="4"/>
      <c r="E63" s="4"/>
      <c r="F63" s="4"/>
    </row>
    <row r="64" spans="3:6" x14ac:dyDescent="0.25">
      <c r="C64" s="5"/>
      <c r="D64" s="4"/>
      <c r="E64" s="4"/>
      <c r="F64" s="4"/>
    </row>
    <row r="65" spans="2:6" x14ac:dyDescent="0.25">
      <c r="C65" s="5"/>
      <c r="D65" s="4"/>
      <c r="E65" s="4"/>
      <c r="F65" s="4"/>
    </row>
    <row r="66" spans="2:6" x14ac:dyDescent="0.25">
      <c r="C66" s="5"/>
      <c r="D66" s="4"/>
      <c r="E66" s="4"/>
      <c r="F66" s="4"/>
    </row>
    <row r="69" spans="2:6" ht="18.75" x14ac:dyDescent="0.25">
      <c r="C69" s="31" t="s">
        <v>76</v>
      </c>
    </row>
    <row r="70" spans="2:6" x14ac:dyDescent="0.25">
      <c r="B70" s="27" t="s">
        <v>77</v>
      </c>
      <c r="C70" s="29" t="s">
        <v>78</v>
      </c>
      <c r="D70" s="29" t="s">
        <v>79</v>
      </c>
      <c r="E70" s="29" t="s">
        <v>80</v>
      </c>
      <c r="F70" s="29" t="s">
        <v>81</v>
      </c>
    </row>
    <row r="71" spans="2:6" x14ac:dyDescent="0.25">
      <c r="B71" s="38">
        <v>1</v>
      </c>
      <c r="C71" s="39">
        <v>1</v>
      </c>
      <c r="D71" s="1"/>
      <c r="E71" s="1"/>
      <c r="F71" s="1"/>
    </row>
    <row r="72" spans="2:6" x14ac:dyDescent="0.25">
      <c r="B72" s="38">
        <v>1</v>
      </c>
      <c r="C72" s="39">
        <v>2</v>
      </c>
      <c r="D72" s="1"/>
      <c r="E72" s="1"/>
      <c r="F72" s="1"/>
    </row>
    <row r="73" spans="2:6" x14ac:dyDescent="0.25">
      <c r="B73" s="38">
        <v>1</v>
      </c>
      <c r="C73" s="39">
        <v>3</v>
      </c>
      <c r="D73" s="1"/>
      <c r="E73" s="1"/>
      <c r="F73" s="1"/>
    </row>
    <row r="74" spans="2:6" x14ac:dyDescent="0.25">
      <c r="B74" s="38">
        <v>1</v>
      </c>
      <c r="C74" s="39">
        <v>4</v>
      </c>
      <c r="D74" s="1"/>
      <c r="E74" s="1"/>
      <c r="F74" s="1"/>
    </row>
    <row r="75" spans="2:6" x14ac:dyDescent="0.25">
      <c r="B75" s="38">
        <v>1</v>
      </c>
      <c r="C75" s="39">
        <v>5</v>
      </c>
      <c r="D75" s="1"/>
      <c r="E75" s="1"/>
      <c r="F75" s="1"/>
    </row>
    <row r="76" spans="2:6" x14ac:dyDescent="0.25">
      <c r="B76" s="38">
        <v>1</v>
      </c>
      <c r="C76" s="39">
        <v>6</v>
      </c>
      <c r="D76" s="1"/>
      <c r="E76" s="1"/>
      <c r="F76" s="1"/>
    </row>
    <row r="77" spans="2:6" x14ac:dyDescent="0.25">
      <c r="B77" s="38">
        <v>1</v>
      </c>
      <c r="C77" s="39">
        <v>7</v>
      </c>
      <c r="D77" s="1"/>
      <c r="E77" s="1"/>
      <c r="F77" s="1"/>
    </row>
    <row r="78" spans="2:6" x14ac:dyDescent="0.25">
      <c r="B78" s="38">
        <v>1</v>
      </c>
      <c r="C78" s="39">
        <v>8</v>
      </c>
      <c r="D78" s="1"/>
      <c r="E78" s="1"/>
      <c r="F78" s="1"/>
    </row>
    <row r="79" spans="2:6" x14ac:dyDescent="0.25">
      <c r="B79" s="38">
        <v>1</v>
      </c>
      <c r="C79" s="39">
        <v>9</v>
      </c>
      <c r="D79" s="1"/>
      <c r="E79" s="1"/>
      <c r="F79" s="1"/>
    </row>
    <row r="80" spans="2:6" x14ac:dyDescent="0.25">
      <c r="B80" s="38">
        <v>1</v>
      </c>
      <c r="C80" s="39">
        <v>10</v>
      </c>
      <c r="D80" s="1"/>
      <c r="E80" s="1"/>
      <c r="F80" s="1"/>
    </row>
    <row r="81" spans="2:6" x14ac:dyDescent="0.25">
      <c r="B81" s="38">
        <v>1</v>
      </c>
      <c r="C81" s="39">
        <v>11</v>
      </c>
      <c r="D81" s="1"/>
      <c r="E81" s="1"/>
      <c r="F81" s="1"/>
    </row>
    <row r="82" spans="2:6" x14ac:dyDescent="0.25">
      <c r="B82" s="38">
        <v>1</v>
      </c>
      <c r="C82" s="39">
        <v>12</v>
      </c>
      <c r="D82" s="1"/>
      <c r="E82" s="1"/>
      <c r="F82" s="1"/>
    </row>
    <row r="83" spans="2:6" x14ac:dyDescent="0.25">
      <c r="B83" s="38">
        <v>2</v>
      </c>
      <c r="C83" s="39">
        <v>1</v>
      </c>
      <c r="D83" s="15" t="s">
        <v>468</v>
      </c>
      <c r="E83" s="16" t="s">
        <v>142</v>
      </c>
      <c r="F83" s="17" t="s">
        <v>469</v>
      </c>
    </row>
    <row r="84" spans="2:6" x14ac:dyDescent="0.25">
      <c r="B84" s="38">
        <v>2</v>
      </c>
      <c r="C84" s="39">
        <v>2</v>
      </c>
      <c r="D84" s="18" t="s">
        <v>470</v>
      </c>
      <c r="E84" s="19" t="s">
        <v>471</v>
      </c>
      <c r="F84" s="20" t="s">
        <v>472</v>
      </c>
    </row>
    <row r="85" spans="2:6" x14ac:dyDescent="0.25">
      <c r="B85" s="38">
        <v>2</v>
      </c>
      <c r="C85" s="39">
        <v>3</v>
      </c>
      <c r="D85" s="18" t="s">
        <v>473</v>
      </c>
      <c r="E85" s="19" t="s">
        <v>474</v>
      </c>
      <c r="F85" s="20" t="s">
        <v>475</v>
      </c>
    </row>
    <row r="86" spans="2:6" x14ac:dyDescent="0.25">
      <c r="B86" s="38">
        <v>2</v>
      </c>
      <c r="C86" s="39">
        <v>4</v>
      </c>
      <c r="D86" s="18" t="s">
        <v>476</v>
      </c>
      <c r="E86" s="19" t="s">
        <v>477</v>
      </c>
      <c r="F86" s="20" t="s">
        <v>478</v>
      </c>
    </row>
    <row r="87" spans="2:6" x14ac:dyDescent="0.25">
      <c r="B87" s="38">
        <v>2</v>
      </c>
      <c r="C87" s="39">
        <v>5</v>
      </c>
      <c r="D87" s="18" t="s">
        <v>479</v>
      </c>
      <c r="E87" s="19" t="s">
        <v>480</v>
      </c>
      <c r="F87" s="20" t="s">
        <v>481</v>
      </c>
    </row>
    <row r="88" spans="2:6" x14ac:dyDescent="0.25">
      <c r="B88" s="38">
        <v>2</v>
      </c>
      <c r="C88" s="39">
        <v>6</v>
      </c>
      <c r="D88" s="18" t="s">
        <v>482</v>
      </c>
      <c r="E88" s="19" t="s">
        <v>483</v>
      </c>
      <c r="F88" s="26" t="s">
        <v>484</v>
      </c>
    </row>
    <row r="89" spans="2:6" x14ac:dyDescent="0.25">
      <c r="B89" s="38">
        <v>2</v>
      </c>
      <c r="C89" s="39">
        <v>7</v>
      </c>
      <c r="D89" s="18" t="s">
        <v>485</v>
      </c>
      <c r="E89" s="19" t="s">
        <v>486</v>
      </c>
      <c r="F89" s="20" t="s">
        <v>487</v>
      </c>
    </row>
    <row r="90" spans="2:6" x14ac:dyDescent="0.25">
      <c r="B90" s="38">
        <v>2</v>
      </c>
      <c r="C90" s="39">
        <v>8</v>
      </c>
      <c r="D90" s="18" t="s">
        <v>488</v>
      </c>
      <c r="E90" s="19" t="s">
        <v>489</v>
      </c>
      <c r="F90" s="20" t="s">
        <v>490</v>
      </c>
    </row>
    <row r="91" spans="2:6" x14ac:dyDescent="0.25">
      <c r="B91" s="38">
        <v>2</v>
      </c>
      <c r="C91" s="39">
        <v>9</v>
      </c>
      <c r="D91" s="18" t="s">
        <v>491</v>
      </c>
      <c r="E91" s="19" t="s">
        <v>492</v>
      </c>
      <c r="F91" s="20" t="s">
        <v>493</v>
      </c>
    </row>
    <row r="92" spans="2:6" x14ac:dyDescent="0.25">
      <c r="B92" s="38">
        <v>2</v>
      </c>
      <c r="C92" s="39">
        <v>10</v>
      </c>
      <c r="D92" s="18" t="s">
        <v>494</v>
      </c>
      <c r="E92" s="19" t="s">
        <v>495</v>
      </c>
      <c r="F92" s="20" t="s">
        <v>496</v>
      </c>
    </row>
    <row r="93" spans="2:6" x14ac:dyDescent="0.25">
      <c r="B93" s="38">
        <v>2</v>
      </c>
      <c r="C93" s="39">
        <v>11</v>
      </c>
      <c r="D93" s="18" t="s">
        <v>497</v>
      </c>
      <c r="E93" s="19" t="s">
        <v>498</v>
      </c>
      <c r="F93" s="20" t="s">
        <v>499</v>
      </c>
    </row>
    <row r="94" spans="2:6" x14ac:dyDescent="0.25">
      <c r="B94" s="38">
        <v>2</v>
      </c>
      <c r="C94" s="39">
        <v>12</v>
      </c>
      <c r="D94" s="22" t="s">
        <v>500</v>
      </c>
      <c r="E94" s="23" t="s">
        <v>337</v>
      </c>
      <c r="F94" s="24" t="s">
        <v>501</v>
      </c>
    </row>
  </sheetData>
  <sheetProtection sheet="1" objects="1" scenarios="1" formatCells="0" formatColumns="0" formatRows="0" insertHyperlinks="0"/>
  <dataValidations count="4">
    <dataValidation type="list" allowBlank="1" showInputMessage="1" showErrorMessage="1" sqref="F46:F66" xr:uid="{6DEBE8EC-2B57-4380-910E-0A2154580682}">
      <formula1>INDIRECT(VLOOKUP($E46, SkillNameMap, 2, FALSE))</formula1>
    </dataValidation>
    <dataValidation type="list" allowBlank="1" showInputMessage="1" showErrorMessage="1" sqref="E38:E41" xr:uid="{6274686E-0972-4BC0-8A91-115628F0C35E}">
      <formula1>INDIRECT("LISTAssess[Assessment Specific]")</formula1>
    </dataValidation>
    <dataValidation type="whole" showInputMessage="1" showErrorMessage="1" error="This is not a realistic number of contact hours please change" sqref="D19" xr:uid="{D71B7080-AED5-4BD2-BC61-46D1FB03F689}">
      <formula1>0</formula1>
      <formula2>80</formula2>
    </dataValidation>
    <dataValidation type="whole" showInputMessage="1" showErrorMessage="1" error="This is not a realistic number of contact hours please reduce" sqref="D20:D23" xr:uid="{50629AB0-717B-48FC-8FF1-8B4D77B3991E}">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96DA8F40-9192-4741-B2FE-57A9C46482DF}">
          <x14:formula1>
            <xm:f>LISTS!$J$7:$J$16</xm:f>
          </x14:formula1>
          <xm:sqref>E46:E66</xm:sqref>
        </x14:dataValidation>
        <x14:dataValidation type="list" allowBlank="1" showInputMessage="1" showErrorMessage="1" xr:uid="{A4EF2000-8BB6-4BFE-B91D-91E943534494}">
          <x14:formula1>
            <xm:f>LISTS!$E$7:$E$11</xm:f>
          </x14:formula1>
          <xm:sqref>D46:D66</xm:sqref>
        </x14:dataValidation>
        <x14:dataValidation type="list" allowBlank="1" showInputMessage="1" showErrorMessage="1" xr:uid="{C6D73155-D6B3-465B-BEF7-0FA25E168DED}">
          <x14:formula1>
            <xm:f>LISTS!$G$7:$G$11</xm:f>
          </x14:formula1>
          <xm:sqref>D38:D42</xm:sqref>
        </x14:dataValidation>
        <x14:dataValidation type="list" allowBlank="1" showInputMessage="1" showErrorMessage="1" xr:uid="{B0028DB5-73A5-49CC-9F11-A5A6090C114A}">
          <x14:formula1>
            <xm:f>LISTS!$C$11:$C$15</xm:f>
          </x14:formula1>
          <xm:sqref>D11</xm:sqref>
        </x14:dataValidation>
        <x14:dataValidation type="list" allowBlank="1" showInputMessage="1" showErrorMessage="1" xr:uid="{B42E3CF9-1ABB-4684-872B-EC2BAFBA300F}">
          <x14:formula1>
            <xm:f>LISTS!$C$7:$C$9</xm:f>
          </x14:formula1>
          <xm:sqref>D10</xm:sqref>
        </x14:dataValidation>
        <x14:dataValidation type="list" allowBlank="1" showInputMessage="1" showErrorMessage="1" xr:uid="{A8C95E66-AD61-4BFC-ABB4-381106E7EE30}">
          <x14:formula1>
            <xm:f>LISTS!$C$17:$C$22</xm:f>
          </x14:formula1>
          <xm:sqref>D13</xm:sqref>
        </x14:dataValidation>
        <x14:dataValidation type="list" allowBlank="1" showInputMessage="1" showErrorMessage="1" xr:uid="{6D716C63-5AE4-4FD1-B40D-675960865ED5}">
          <x14:formula1>
            <xm:f>LISTS!$C$26:$C$37</xm:f>
          </x14:formula1>
          <xm:sqref>D14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93CBE-AC61-4382-834C-8132B542CACA}">
  <sheetPr codeName="Sheet9"/>
  <dimension ref="B2:H94"/>
  <sheetViews>
    <sheetView showGridLines="0" topLeftCell="B1" zoomScale="85" zoomScaleNormal="85" workbookViewId="0">
      <selection activeCell="D8" sqref="D8"/>
    </sheetView>
  </sheetViews>
  <sheetFormatPr defaultRowHeight="15" x14ac:dyDescent="0.25"/>
  <cols>
    <col min="1" max="2" width="9.140625" style="27"/>
    <col min="3" max="3" width="33.28515625" style="27" customWidth="1"/>
    <col min="4" max="4" width="51.5703125" style="27" customWidth="1"/>
    <col min="5" max="5" width="67.28515625" style="27" customWidth="1"/>
    <col min="6" max="6" width="63.140625" style="27" customWidth="1"/>
    <col min="7" max="7" width="12.42578125" style="27" customWidth="1"/>
    <col min="8" max="8" width="15.5703125" style="27" customWidth="1"/>
    <col min="9" max="9" width="14.7109375" style="27" customWidth="1"/>
    <col min="10" max="16384" width="9.140625" style="27"/>
  </cols>
  <sheetData>
    <row r="2" spans="2:6" ht="26.25" x14ac:dyDescent="0.4">
      <c r="C2" s="28" t="str">
        <f>D7</f>
        <v>6003SPS</v>
      </c>
      <c r="D2" s="28" t="str">
        <f>D8</f>
        <v>Molecular Nutrition and Genetics</v>
      </c>
    </row>
    <row r="3" spans="2:6" x14ac:dyDescent="0.25">
      <c r="B3" s="29"/>
      <c r="C3" s="29"/>
    </row>
    <row r="4" spans="2:6" x14ac:dyDescent="0.25">
      <c r="B4" s="30"/>
      <c r="C4" s="30"/>
    </row>
    <row r="5" spans="2:6" ht="18.75" x14ac:dyDescent="0.25">
      <c r="B5" s="30"/>
      <c r="C5" s="31" t="s">
        <v>0</v>
      </c>
    </row>
    <row r="6" spans="2:6" x14ac:dyDescent="0.25">
      <c r="B6" s="30"/>
      <c r="C6" s="32" t="s">
        <v>1</v>
      </c>
      <c r="D6" s="33" t="s">
        <v>2</v>
      </c>
      <c r="E6" s="33"/>
      <c r="F6" s="27" t="s">
        <v>3</v>
      </c>
    </row>
    <row r="7" spans="2:6" x14ac:dyDescent="0.25">
      <c r="B7" s="30"/>
      <c r="C7" s="37" t="s">
        <v>4</v>
      </c>
      <c r="D7" s="1" t="s">
        <v>502</v>
      </c>
      <c r="E7" s="33"/>
      <c r="F7" s="6" t="s">
        <v>503</v>
      </c>
    </row>
    <row r="8" spans="2:6" x14ac:dyDescent="0.25">
      <c r="B8" s="30"/>
      <c r="C8" s="37" t="s">
        <v>7</v>
      </c>
      <c r="D8" s="6" t="s">
        <v>504</v>
      </c>
      <c r="E8" s="33"/>
      <c r="F8" s="4"/>
    </row>
    <row r="9" spans="2:6" x14ac:dyDescent="0.25">
      <c r="C9" s="37" t="s">
        <v>9</v>
      </c>
      <c r="D9" s="1">
        <v>20</v>
      </c>
      <c r="E9" s="33"/>
    </row>
    <row r="10" spans="2:6" x14ac:dyDescent="0.25">
      <c r="C10" s="37" t="s">
        <v>10</v>
      </c>
      <c r="D10" s="1">
        <v>1</v>
      </c>
      <c r="E10" s="33"/>
      <c r="F10" s="27" t="s">
        <v>12</v>
      </c>
    </row>
    <row r="11" spans="2:6" x14ac:dyDescent="0.25">
      <c r="C11" s="37" t="s">
        <v>13</v>
      </c>
      <c r="D11" s="1">
        <v>6</v>
      </c>
      <c r="E11" s="33"/>
      <c r="F11" s="6" t="s">
        <v>505</v>
      </c>
    </row>
    <row r="12" spans="2:6" x14ac:dyDescent="0.25">
      <c r="C12" s="37" t="s">
        <v>15</v>
      </c>
      <c r="D12" s="1" t="s">
        <v>180</v>
      </c>
      <c r="E12" s="33"/>
      <c r="F12" s="4"/>
    </row>
    <row r="13" spans="2:6" x14ac:dyDescent="0.25">
      <c r="C13" s="37" t="s">
        <v>17</v>
      </c>
      <c r="D13" s="1" t="s">
        <v>123</v>
      </c>
      <c r="E13" s="33"/>
      <c r="F13" s="4"/>
    </row>
    <row r="14" spans="2:6" x14ac:dyDescent="0.25">
      <c r="C14" s="37" t="s">
        <v>19</v>
      </c>
      <c r="D14" s="1" t="s">
        <v>20</v>
      </c>
      <c r="E14" s="33"/>
    </row>
    <row r="15" spans="2:6" x14ac:dyDescent="0.25">
      <c r="C15" s="32"/>
      <c r="D15" s="33"/>
      <c r="E15" s="33"/>
      <c r="F15" s="27" t="s">
        <v>21</v>
      </c>
    </row>
    <row r="16" spans="2:6" x14ac:dyDescent="0.25">
      <c r="C16" s="32"/>
      <c r="D16" s="33"/>
      <c r="E16" s="33"/>
      <c r="F16" s="6" t="s">
        <v>506</v>
      </c>
    </row>
    <row r="17" spans="3:6" ht="18.75" x14ac:dyDescent="0.25">
      <c r="C17" s="31" t="s">
        <v>23</v>
      </c>
      <c r="D17" s="33"/>
      <c r="E17" s="33"/>
      <c r="F17" s="4"/>
    </row>
    <row r="18" spans="3:6" x14ac:dyDescent="0.25">
      <c r="C18" s="32" t="s">
        <v>24</v>
      </c>
      <c r="D18" s="29" t="s">
        <v>23</v>
      </c>
      <c r="E18" s="33"/>
      <c r="F18" s="4"/>
    </row>
    <row r="19" spans="3:6" x14ac:dyDescent="0.25">
      <c r="C19" s="37" t="s">
        <v>25</v>
      </c>
      <c r="D19" s="2"/>
      <c r="E19" s="33"/>
      <c r="F19" s="4"/>
    </row>
    <row r="20" spans="3:6" x14ac:dyDescent="0.25">
      <c r="C20" s="37" t="s">
        <v>26</v>
      </c>
      <c r="D20" s="2"/>
      <c r="E20" s="33"/>
      <c r="F20" s="4"/>
    </row>
    <row r="21" spans="3:6" x14ac:dyDescent="0.25">
      <c r="C21" s="37" t="s">
        <v>27</v>
      </c>
      <c r="D21" s="2"/>
      <c r="E21" s="33"/>
    </row>
    <row r="22" spans="3:6" x14ac:dyDescent="0.25">
      <c r="C22" s="37" t="s">
        <v>28</v>
      </c>
      <c r="D22" s="2"/>
      <c r="E22" s="33"/>
      <c r="F22" s="27" t="s">
        <v>29</v>
      </c>
    </row>
    <row r="23" spans="3:6" x14ac:dyDescent="0.25">
      <c r="C23" s="37" t="s">
        <v>30</v>
      </c>
      <c r="D23" s="2"/>
      <c r="E23" s="33"/>
      <c r="F23" s="8" t="s">
        <v>507</v>
      </c>
    </row>
    <row r="24" spans="3:6" x14ac:dyDescent="0.25">
      <c r="C24" s="37" t="s">
        <v>32</v>
      </c>
      <c r="D24" s="29">
        <f>SUM(D19:D23)</f>
        <v>0</v>
      </c>
      <c r="E24" s="33"/>
      <c r="F24" s="8" t="s">
        <v>508</v>
      </c>
    </row>
    <row r="25" spans="3:6" x14ac:dyDescent="0.25">
      <c r="F25" s="8" t="s">
        <v>509</v>
      </c>
    </row>
    <row r="26" spans="3:6" x14ac:dyDescent="0.25">
      <c r="F26" s="8" t="s">
        <v>510</v>
      </c>
    </row>
    <row r="27" spans="3:6" ht="18.75" x14ac:dyDescent="0.25">
      <c r="C27" s="31" t="s">
        <v>36</v>
      </c>
      <c r="D27" s="34" t="s">
        <v>37</v>
      </c>
      <c r="F27" s="8"/>
    </row>
    <row r="28" spans="3:6" x14ac:dyDescent="0.25">
      <c r="C28" s="32" t="s">
        <v>39</v>
      </c>
      <c r="D28" s="32" t="s">
        <v>40</v>
      </c>
      <c r="E28" s="32"/>
      <c r="F28" s="8" t="s">
        <v>511</v>
      </c>
    </row>
    <row r="29" spans="3:6" x14ac:dyDescent="0.25">
      <c r="C29" s="37" t="s">
        <v>42</v>
      </c>
      <c r="D29" s="8" t="s">
        <v>512</v>
      </c>
      <c r="E29" s="33"/>
      <c r="F29" s="4"/>
    </row>
    <row r="30" spans="3:6" x14ac:dyDescent="0.25">
      <c r="C30" s="37" t="s">
        <v>44</v>
      </c>
      <c r="D30" s="25" t="s">
        <v>513</v>
      </c>
      <c r="E30" s="33"/>
      <c r="F30" s="4"/>
    </row>
    <row r="31" spans="3:6" x14ac:dyDescent="0.25">
      <c r="C31" s="37" t="s">
        <v>46</v>
      </c>
      <c r="D31" s="25" t="s">
        <v>514</v>
      </c>
      <c r="E31" s="33"/>
      <c r="F31" s="4"/>
    </row>
    <row r="32" spans="3:6" x14ac:dyDescent="0.25">
      <c r="C32" s="37" t="s">
        <v>48</v>
      </c>
      <c r="D32" s="1"/>
      <c r="E32" s="33"/>
      <c r="F32" s="4"/>
    </row>
    <row r="33" spans="3:8" x14ac:dyDescent="0.25">
      <c r="C33" s="37" t="s">
        <v>49</v>
      </c>
      <c r="D33" s="1"/>
      <c r="E33" s="33"/>
      <c r="F33" s="4"/>
    </row>
    <row r="36" spans="3:8" ht="18.75" x14ac:dyDescent="0.25">
      <c r="C36" s="31" t="s">
        <v>50</v>
      </c>
    </row>
    <row r="37" spans="3:8" x14ac:dyDescent="0.25">
      <c r="C37" s="32" t="s">
        <v>51</v>
      </c>
      <c r="D37" s="32" t="s">
        <v>52</v>
      </c>
      <c r="E37" s="32" t="s">
        <v>53</v>
      </c>
      <c r="F37" s="32" t="s">
        <v>54</v>
      </c>
      <c r="G37" s="32" t="s">
        <v>55</v>
      </c>
      <c r="H37" s="32" t="s">
        <v>56</v>
      </c>
    </row>
    <row r="38" spans="3:8" x14ac:dyDescent="0.25">
      <c r="C38" s="37" t="s">
        <v>57</v>
      </c>
      <c r="D38" s="1" t="s">
        <v>133</v>
      </c>
      <c r="E38" s="1" t="s">
        <v>353</v>
      </c>
      <c r="F38" s="1" t="s">
        <v>515</v>
      </c>
      <c r="G38" s="3">
        <v>0.5</v>
      </c>
      <c r="H38" s="1">
        <v>6</v>
      </c>
    </row>
    <row r="39" spans="3:8" x14ac:dyDescent="0.25">
      <c r="C39" s="37" t="s">
        <v>61</v>
      </c>
      <c r="D39" s="1"/>
      <c r="E39" s="1"/>
      <c r="F39" s="1"/>
      <c r="G39" s="3">
        <v>0.5</v>
      </c>
      <c r="H39" s="1">
        <v>12</v>
      </c>
    </row>
    <row r="40" spans="3:8" x14ac:dyDescent="0.25">
      <c r="C40" s="37" t="s">
        <v>64</v>
      </c>
      <c r="D40" s="4"/>
      <c r="E40" s="4"/>
      <c r="F40" s="4"/>
      <c r="G40" s="4"/>
      <c r="H40" s="4"/>
    </row>
    <row r="41" spans="3:8" x14ac:dyDescent="0.25">
      <c r="C41" s="37" t="s">
        <v>65</v>
      </c>
      <c r="D41" s="4"/>
      <c r="E41" s="4"/>
      <c r="F41" s="4"/>
      <c r="G41" s="4"/>
      <c r="H41" s="4"/>
    </row>
    <row r="42" spans="3:8" x14ac:dyDescent="0.25">
      <c r="C42" s="32"/>
    </row>
    <row r="44" spans="3:8" ht="18.75" x14ac:dyDescent="0.25">
      <c r="C44" s="31" t="s">
        <v>66</v>
      </c>
      <c r="D44" s="34"/>
    </row>
    <row r="45" spans="3:8" x14ac:dyDescent="0.25">
      <c r="C45" s="29" t="s">
        <v>51</v>
      </c>
      <c r="D45" s="29" t="s">
        <v>39</v>
      </c>
      <c r="E45" s="29" t="s">
        <v>67</v>
      </c>
      <c r="F45" s="29" t="s">
        <v>68</v>
      </c>
    </row>
    <row r="46" spans="3:8" x14ac:dyDescent="0.25">
      <c r="C46" s="5" t="s">
        <v>57</v>
      </c>
      <c r="D46" s="4" t="s">
        <v>42</v>
      </c>
      <c r="E46" s="4" t="s">
        <v>138</v>
      </c>
      <c r="F46" s="4" t="s">
        <v>196</v>
      </c>
    </row>
    <row r="47" spans="3:8" x14ac:dyDescent="0.25">
      <c r="C47" s="5" t="s">
        <v>57</v>
      </c>
      <c r="D47" s="4" t="s">
        <v>42</v>
      </c>
      <c r="E47" s="4" t="s">
        <v>464</v>
      </c>
      <c r="F47" s="4" t="s">
        <v>516</v>
      </c>
    </row>
    <row r="48" spans="3:8" x14ac:dyDescent="0.25">
      <c r="C48" s="5" t="s">
        <v>57</v>
      </c>
      <c r="D48" s="4" t="s">
        <v>44</v>
      </c>
      <c r="E48" s="4" t="s">
        <v>138</v>
      </c>
      <c r="F48" s="4" t="s">
        <v>198</v>
      </c>
    </row>
    <row r="49" spans="3:6" x14ac:dyDescent="0.25">
      <c r="C49" s="5" t="s">
        <v>61</v>
      </c>
      <c r="D49" s="4" t="s">
        <v>42</v>
      </c>
      <c r="E49" s="4" t="s">
        <v>73</v>
      </c>
      <c r="F49" s="4" t="s">
        <v>412</v>
      </c>
    </row>
    <row r="50" spans="3:6" x14ac:dyDescent="0.25">
      <c r="C50" s="5" t="s">
        <v>61</v>
      </c>
      <c r="D50" s="4" t="s">
        <v>44</v>
      </c>
      <c r="E50" s="4" t="s">
        <v>464</v>
      </c>
      <c r="F50" s="4" t="s">
        <v>517</v>
      </c>
    </row>
    <row r="51" spans="3:6" x14ac:dyDescent="0.25">
      <c r="C51" s="5" t="s">
        <v>61</v>
      </c>
      <c r="D51" s="4" t="s">
        <v>46</v>
      </c>
      <c r="E51" s="4" t="s">
        <v>138</v>
      </c>
      <c r="F51" s="4" t="s">
        <v>518</v>
      </c>
    </row>
    <row r="52" spans="3:6" x14ac:dyDescent="0.25">
      <c r="C52" s="5" t="s">
        <v>64</v>
      </c>
      <c r="D52" s="4"/>
      <c r="E52" s="4"/>
      <c r="F52" s="4"/>
    </row>
    <row r="53" spans="3:6" x14ac:dyDescent="0.25">
      <c r="C53" s="5" t="s">
        <v>64</v>
      </c>
      <c r="D53" s="4"/>
      <c r="E53" s="4"/>
      <c r="F53" s="4"/>
    </row>
    <row r="54" spans="3:6" x14ac:dyDescent="0.25">
      <c r="C54" s="5" t="s">
        <v>64</v>
      </c>
      <c r="D54" s="4"/>
      <c r="E54" s="4"/>
      <c r="F54" s="4"/>
    </row>
    <row r="55" spans="3:6" x14ac:dyDescent="0.25">
      <c r="C55" s="5" t="s">
        <v>65</v>
      </c>
      <c r="D55" s="4"/>
      <c r="E55" s="4"/>
      <c r="F55" s="4"/>
    </row>
    <row r="56" spans="3:6" x14ac:dyDescent="0.25">
      <c r="C56" s="5" t="s">
        <v>65</v>
      </c>
      <c r="D56" s="4"/>
      <c r="E56" s="4"/>
      <c r="F56" s="4"/>
    </row>
    <row r="57" spans="3:6" x14ac:dyDescent="0.25">
      <c r="C57" s="5"/>
      <c r="D57" s="4"/>
      <c r="E57" s="4"/>
      <c r="F57" s="4"/>
    </row>
    <row r="58" spans="3:6" x14ac:dyDescent="0.25">
      <c r="C58" s="5"/>
      <c r="D58" s="4"/>
      <c r="E58" s="4"/>
      <c r="F58" s="4"/>
    </row>
    <row r="59" spans="3:6" x14ac:dyDescent="0.25">
      <c r="C59" s="5"/>
      <c r="D59" s="4"/>
      <c r="E59" s="4"/>
      <c r="F59" s="4"/>
    </row>
    <row r="60" spans="3:6" x14ac:dyDescent="0.25">
      <c r="C60" s="5"/>
      <c r="D60" s="4"/>
      <c r="E60" s="4"/>
      <c r="F60" s="4"/>
    </row>
    <row r="61" spans="3:6" x14ac:dyDescent="0.25">
      <c r="C61" s="5"/>
      <c r="D61" s="4"/>
      <c r="E61" s="4"/>
      <c r="F61" s="4"/>
    </row>
    <row r="62" spans="3:6" x14ac:dyDescent="0.25">
      <c r="C62" s="5"/>
      <c r="D62" s="4"/>
      <c r="E62" s="4"/>
      <c r="F62" s="4"/>
    </row>
    <row r="63" spans="3:6" x14ac:dyDescent="0.25">
      <c r="C63" s="5"/>
      <c r="D63" s="4"/>
      <c r="E63" s="4"/>
      <c r="F63" s="4"/>
    </row>
    <row r="64" spans="3:6" x14ac:dyDescent="0.25">
      <c r="C64" s="5"/>
      <c r="D64" s="4"/>
      <c r="E64" s="4"/>
      <c r="F64" s="4"/>
    </row>
    <row r="65" spans="2:6" x14ac:dyDescent="0.25">
      <c r="C65" s="5"/>
      <c r="D65" s="4"/>
      <c r="E65" s="4"/>
      <c r="F65" s="4"/>
    </row>
    <row r="66" spans="2:6" x14ac:dyDescent="0.25">
      <c r="C66" s="5"/>
      <c r="D66" s="4"/>
      <c r="E66" s="4"/>
      <c r="F66" s="4"/>
    </row>
    <row r="69" spans="2:6" ht="18.75" x14ac:dyDescent="0.25">
      <c r="C69" s="31" t="s">
        <v>76</v>
      </c>
    </row>
    <row r="70" spans="2:6" x14ac:dyDescent="0.25">
      <c r="B70" s="27" t="s">
        <v>77</v>
      </c>
      <c r="C70" s="29" t="s">
        <v>78</v>
      </c>
      <c r="D70" s="29" t="s">
        <v>79</v>
      </c>
      <c r="E70" s="29" t="s">
        <v>80</v>
      </c>
      <c r="F70" s="29" t="s">
        <v>81</v>
      </c>
    </row>
    <row r="71" spans="2:6" x14ac:dyDescent="0.25">
      <c r="B71" s="38">
        <v>1</v>
      </c>
      <c r="C71" s="39">
        <v>1</v>
      </c>
      <c r="D71" s="15" t="s">
        <v>519</v>
      </c>
      <c r="E71" s="16" t="s">
        <v>520</v>
      </c>
      <c r="F71" s="17" t="s">
        <v>521</v>
      </c>
    </row>
    <row r="72" spans="2:6" x14ac:dyDescent="0.25">
      <c r="B72" s="38">
        <v>1</v>
      </c>
      <c r="C72" s="39">
        <v>2</v>
      </c>
      <c r="D72" s="18" t="s">
        <v>522</v>
      </c>
      <c r="E72" s="19" t="s">
        <v>523</v>
      </c>
      <c r="F72" s="20" t="s">
        <v>25</v>
      </c>
    </row>
    <row r="73" spans="2:6" x14ac:dyDescent="0.25">
      <c r="B73" s="38">
        <v>1</v>
      </c>
      <c r="C73" s="39">
        <v>3</v>
      </c>
      <c r="D73" s="18" t="s">
        <v>524</v>
      </c>
      <c r="E73" s="19" t="s">
        <v>525</v>
      </c>
      <c r="F73" s="20" t="s">
        <v>526</v>
      </c>
    </row>
    <row r="74" spans="2:6" x14ac:dyDescent="0.25">
      <c r="B74" s="38">
        <v>1</v>
      </c>
      <c r="C74" s="39">
        <v>4</v>
      </c>
      <c r="D74" s="18" t="s">
        <v>527</v>
      </c>
      <c r="E74" s="19" t="s">
        <v>528</v>
      </c>
      <c r="F74" s="20" t="s">
        <v>25</v>
      </c>
    </row>
    <row r="75" spans="2:6" x14ac:dyDescent="0.25">
      <c r="B75" s="38">
        <v>1</v>
      </c>
      <c r="C75" s="39">
        <v>5</v>
      </c>
      <c r="D75" s="18" t="s">
        <v>529</v>
      </c>
      <c r="E75" s="19" t="s">
        <v>530</v>
      </c>
      <c r="F75" s="20" t="s">
        <v>531</v>
      </c>
    </row>
    <row r="76" spans="2:6" x14ac:dyDescent="0.25">
      <c r="B76" s="38">
        <v>1</v>
      </c>
      <c r="C76" s="39">
        <v>6</v>
      </c>
      <c r="D76" s="18" t="s">
        <v>532</v>
      </c>
      <c r="E76" s="19" t="s">
        <v>533</v>
      </c>
      <c r="F76" s="26" t="s">
        <v>534</v>
      </c>
    </row>
    <row r="77" spans="2:6" x14ac:dyDescent="0.25">
      <c r="B77" s="38">
        <v>1</v>
      </c>
      <c r="C77" s="39">
        <v>7</v>
      </c>
      <c r="D77" s="18" t="s">
        <v>535</v>
      </c>
      <c r="E77" s="19" t="s">
        <v>536</v>
      </c>
      <c r="F77" s="20" t="s">
        <v>537</v>
      </c>
    </row>
    <row r="78" spans="2:6" x14ac:dyDescent="0.25">
      <c r="B78" s="38">
        <v>1</v>
      </c>
      <c r="C78" s="39">
        <v>8</v>
      </c>
      <c r="D78" s="18" t="s">
        <v>538</v>
      </c>
      <c r="E78" s="19" t="s">
        <v>539</v>
      </c>
      <c r="F78" s="20" t="s">
        <v>540</v>
      </c>
    </row>
    <row r="79" spans="2:6" x14ac:dyDescent="0.25">
      <c r="B79" s="38">
        <v>1</v>
      </c>
      <c r="C79" s="39">
        <v>9</v>
      </c>
      <c r="D79" s="18" t="s">
        <v>541</v>
      </c>
      <c r="E79" s="19" t="s">
        <v>542</v>
      </c>
      <c r="F79" s="20" t="s">
        <v>543</v>
      </c>
    </row>
    <row r="80" spans="2:6" x14ac:dyDescent="0.25">
      <c r="B80" s="38">
        <v>1</v>
      </c>
      <c r="C80" s="39">
        <v>10</v>
      </c>
      <c r="D80" s="18" t="s">
        <v>544</v>
      </c>
      <c r="E80" s="19" t="s">
        <v>545</v>
      </c>
      <c r="F80" s="20" t="s">
        <v>546</v>
      </c>
    </row>
    <row r="81" spans="2:6" x14ac:dyDescent="0.25">
      <c r="B81" s="38">
        <v>1</v>
      </c>
      <c r="C81" s="39">
        <v>11</v>
      </c>
      <c r="D81" s="18" t="s">
        <v>547</v>
      </c>
      <c r="E81" s="19" t="s">
        <v>548</v>
      </c>
      <c r="F81" s="20" t="s">
        <v>549</v>
      </c>
    </row>
    <row r="82" spans="2:6" x14ac:dyDescent="0.25">
      <c r="B82" s="38">
        <v>1</v>
      </c>
      <c r="C82" s="39">
        <v>12</v>
      </c>
      <c r="D82" s="22" t="s">
        <v>550</v>
      </c>
      <c r="E82" s="23" t="s">
        <v>551</v>
      </c>
      <c r="F82" s="24" t="s">
        <v>552</v>
      </c>
    </row>
    <row r="83" spans="2:6" x14ac:dyDescent="0.25">
      <c r="B83" s="38">
        <v>2</v>
      </c>
      <c r="C83" s="39">
        <v>1</v>
      </c>
      <c r="D83" s="1"/>
      <c r="E83" s="1"/>
      <c r="F83" s="1"/>
    </row>
    <row r="84" spans="2:6" x14ac:dyDescent="0.25">
      <c r="B84" s="38">
        <v>2</v>
      </c>
      <c r="C84" s="39">
        <v>2</v>
      </c>
      <c r="D84" s="1"/>
      <c r="E84" s="1"/>
      <c r="F84" s="1"/>
    </row>
    <row r="85" spans="2:6" x14ac:dyDescent="0.25">
      <c r="B85" s="38">
        <v>2</v>
      </c>
      <c r="C85" s="39">
        <v>3</v>
      </c>
      <c r="D85" s="1"/>
      <c r="E85" s="1"/>
      <c r="F85" s="1"/>
    </row>
    <row r="86" spans="2:6" x14ac:dyDescent="0.25">
      <c r="B86" s="38">
        <v>2</v>
      </c>
      <c r="C86" s="39">
        <v>4</v>
      </c>
      <c r="D86" s="1"/>
      <c r="E86" s="1"/>
      <c r="F86" s="1"/>
    </row>
    <row r="87" spans="2:6" x14ac:dyDescent="0.25">
      <c r="B87" s="38">
        <v>2</v>
      </c>
      <c r="C87" s="39">
        <v>5</v>
      </c>
      <c r="D87" s="1"/>
      <c r="E87" s="1"/>
      <c r="F87" s="1"/>
    </row>
    <row r="88" spans="2:6" x14ac:dyDescent="0.25">
      <c r="B88" s="38">
        <v>2</v>
      </c>
      <c r="C88" s="39">
        <v>6</v>
      </c>
      <c r="D88" s="1"/>
      <c r="E88" s="1"/>
      <c r="F88" s="1"/>
    </row>
    <row r="89" spans="2:6" x14ac:dyDescent="0.25">
      <c r="B89" s="38">
        <v>2</v>
      </c>
      <c r="C89" s="39">
        <v>7</v>
      </c>
      <c r="D89" s="1"/>
      <c r="E89" s="1"/>
      <c r="F89" s="1"/>
    </row>
    <row r="90" spans="2:6" x14ac:dyDescent="0.25">
      <c r="B90" s="38">
        <v>2</v>
      </c>
      <c r="C90" s="39">
        <v>8</v>
      </c>
      <c r="D90" s="1"/>
      <c r="E90" s="1"/>
      <c r="F90" s="1"/>
    </row>
    <row r="91" spans="2:6" x14ac:dyDescent="0.25">
      <c r="B91" s="38">
        <v>2</v>
      </c>
      <c r="C91" s="39">
        <v>9</v>
      </c>
      <c r="D91" s="1"/>
      <c r="E91" s="1"/>
      <c r="F91" s="1"/>
    </row>
    <row r="92" spans="2:6" x14ac:dyDescent="0.25">
      <c r="B92" s="38">
        <v>2</v>
      </c>
      <c r="C92" s="39">
        <v>10</v>
      </c>
      <c r="D92" s="1"/>
      <c r="E92" s="1"/>
      <c r="F92" s="1"/>
    </row>
    <row r="93" spans="2:6" x14ac:dyDescent="0.25">
      <c r="B93" s="38">
        <v>2</v>
      </c>
      <c r="C93" s="39">
        <v>11</v>
      </c>
      <c r="D93" s="1"/>
      <c r="E93" s="1"/>
      <c r="F93" s="1"/>
    </row>
    <row r="94" spans="2:6" x14ac:dyDescent="0.25">
      <c r="B94" s="38">
        <v>2</v>
      </c>
      <c r="C94" s="39">
        <v>12</v>
      </c>
      <c r="D94" s="1"/>
      <c r="E94" s="1"/>
      <c r="F94" s="1"/>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739D2576-B862-4853-8753-8DF65DD1B8E0}">
      <formula1>0</formula1>
      <formula2>80</formula2>
    </dataValidation>
    <dataValidation type="whole" showInputMessage="1" showErrorMessage="1" error="This is not a realistic number of contact hours please change" sqref="D19" xr:uid="{FBECA4FB-7A34-4FDD-80A9-474CB8B74418}">
      <formula1>0</formula1>
      <formula2>80</formula2>
    </dataValidation>
    <dataValidation type="list" allowBlank="1" showInputMessage="1" showErrorMessage="1" sqref="E38:E41" xr:uid="{A62A3AA1-D3B0-45A3-A998-2D56857427B0}">
      <formula1>INDIRECT("LISTAssess[Assessment Specific]")</formula1>
    </dataValidation>
    <dataValidation type="list" allowBlank="1" showInputMessage="1" showErrorMessage="1" sqref="F46:F66" xr:uid="{18E884D7-F12C-48DC-A53D-24BA4F0CF85C}">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A52E779B-E821-4CC1-9128-54996FA802EC}">
          <x14:formula1>
            <xm:f>LISTS!$C$26:$C$37</xm:f>
          </x14:formula1>
          <xm:sqref>D14</xm:sqref>
        </x14:dataValidation>
        <x14:dataValidation type="list" allowBlank="1" showInputMessage="1" showErrorMessage="1" xr:uid="{A5CAE7BB-8764-4881-8FF8-F1033AED8BE0}">
          <x14:formula1>
            <xm:f>LISTS!$C$17:$C$22</xm:f>
          </x14:formula1>
          <xm:sqref>D13</xm:sqref>
        </x14:dataValidation>
        <x14:dataValidation type="list" allowBlank="1" showInputMessage="1" showErrorMessage="1" xr:uid="{07FDBC41-34BD-47AA-9E59-E456FC441771}">
          <x14:formula1>
            <xm:f>LISTS!$C$7:$C$9</xm:f>
          </x14:formula1>
          <xm:sqref>D10</xm:sqref>
        </x14:dataValidation>
        <x14:dataValidation type="list" allowBlank="1" showInputMessage="1" showErrorMessage="1" xr:uid="{35EAF739-973D-4E61-84C4-4B4FF2170971}">
          <x14:formula1>
            <xm:f>LISTS!$C$11:$C$15</xm:f>
          </x14:formula1>
          <xm:sqref>D11</xm:sqref>
        </x14:dataValidation>
        <x14:dataValidation type="list" allowBlank="1" showInputMessage="1" showErrorMessage="1" xr:uid="{90A7C72D-3610-4C02-9AF7-59AF8571FA64}">
          <x14:formula1>
            <xm:f>LISTS!$G$7:$G$11</xm:f>
          </x14:formula1>
          <xm:sqref>D38:D42</xm:sqref>
        </x14:dataValidation>
        <x14:dataValidation type="list" allowBlank="1" showInputMessage="1" showErrorMessage="1" xr:uid="{1DC85910-ED19-4EA2-94B1-66EC223ACFC1}">
          <x14:formula1>
            <xm:f>LISTS!$E$7:$E$11</xm:f>
          </x14:formula1>
          <xm:sqref>D46:D66</xm:sqref>
        </x14:dataValidation>
        <x14:dataValidation type="list" allowBlank="1" showInputMessage="1" showErrorMessage="1" xr:uid="{2751552D-9CB1-43E7-81A0-A1705BDEC705}">
          <x14:formula1>
            <xm:f>LISTS!$J$7:$J$16</xm:f>
          </x14:formula1>
          <xm:sqref>E46:E66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D08AE-A3E7-4649-AF94-9902578E541A}">
  <sheetPr codeName="Sheet10"/>
  <dimension ref="B2:H94"/>
  <sheetViews>
    <sheetView showGridLines="0" topLeftCell="B1" zoomScale="85" zoomScaleNormal="85" workbookViewId="0">
      <selection activeCell="D8" sqref="D8"/>
    </sheetView>
  </sheetViews>
  <sheetFormatPr defaultRowHeight="15" x14ac:dyDescent="0.25"/>
  <cols>
    <col min="1" max="2" width="9.140625" style="27"/>
    <col min="3" max="3" width="33.28515625" style="27" customWidth="1"/>
    <col min="4" max="4" width="51.5703125" style="27" customWidth="1"/>
    <col min="5" max="5" width="67.28515625" style="27" customWidth="1"/>
    <col min="6" max="6" width="63.140625" style="27" customWidth="1"/>
    <col min="7" max="7" width="12.42578125" style="27" customWidth="1"/>
    <col min="8" max="8" width="15.5703125" style="27" customWidth="1"/>
    <col min="9" max="9" width="14.7109375" style="27" customWidth="1"/>
    <col min="10" max="16384" width="9.140625" style="27"/>
  </cols>
  <sheetData>
    <row r="2" spans="2:6" ht="26.25" x14ac:dyDescent="0.4">
      <c r="C2" s="28" t="str">
        <f>D7</f>
        <v>6004SPS</v>
      </c>
      <c r="D2" s="28" t="str">
        <f>D8</f>
        <v>Sport Supplements and Contemporary Issues</v>
      </c>
    </row>
    <row r="3" spans="2:6" x14ac:dyDescent="0.25">
      <c r="B3" s="29"/>
      <c r="C3" s="29"/>
    </row>
    <row r="4" spans="2:6" x14ac:dyDescent="0.25">
      <c r="B4" s="30"/>
      <c r="C4" s="30"/>
    </row>
    <row r="5" spans="2:6" ht="18.75" x14ac:dyDescent="0.25">
      <c r="B5" s="30"/>
      <c r="C5" s="31" t="s">
        <v>0</v>
      </c>
    </row>
    <row r="6" spans="2:6" x14ac:dyDescent="0.25">
      <c r="B6" s="30"/>
      <c r="C6" s="32" t="s">
        <v>1</v>
      </c>
      <c r="D6" s="33" t="s">
        <v>2</v>
      </c>
      <c r="E6" s="33"/>
      <c r="F6" s="27" t="s">
        <v>3</v>
      </c>
    </row>
    <row r="7" spans="2:6" x14ac:dyDescent="0.25">
      <c r="B7" s="30"/>
      <c r="C7" s="37" t="s">
        <v>4</v>
      </c>
      <c r="D7" s="1" t="s">
        <v>553</v>
      </c>
      <c r="E7" s="33"/>
      <c r="F7" s="6" t="s">
        <v>554</v>
      </c>
    </row>
    <row r="8" spans="2:6" x14ac:dyDescent="0.25">
      <c r="B8" s="30"/>
      <c r="C8" s="37" t="s">
        <v>7</v>
      </c>
      <c r="D8" s="6" t="s">
        <v>555</v>
      </c>
      <c r="E8" s="33"/>
      <c r="F8" s="4"/>
    </row>
    <row r="9" spans="2:6" x14ac:dyDescent="0.25">
      <c r="C9" s="37" t="s">
        <v>9</v>
      </c>
      <c r="D9" s="1">
        <v>20</v>
      </c>
      <c r="E9" s="33"/>
    </row>
    <row r="10" spans="2:6" x14ac:dyDescent="0.25">
      <c r="C10" s="37" t="s">
        <v>10</v>
      </c>
      <c r="D10" s="1">
        <v>1</v>
      </c>
      <c r="E10" s="33"/>
      <c r="F10" s="27" t="s">
        <v>12</v>
      </c>
    </row>
    <row r="11" spans="2:6" x14ac:dyDescent="0.25">
      <c r="C11" s="37" t="s">
        <v>13</v>
      </c>
      <c r="D11" s="1">
        <v>6</v>
      </c>
      <c r="E11" s="33"/>
      <c r="F11" s="6" t="s">
        <v>556</v>
      </c>
    </row>
    <row r="12" spans="2:6" x14ac:dyDescent="0.25">
      <c r="C12" s="37" t="s">
        <v>15</v>
      </c>
      <c r="D12" s="1" t="s">
        <v>557</v>
      </c>
      <c r="E12" s="33"/>
      <c r="F12" s="4"/>
    </row>
    <row r="13" spans="2:6" x14ac:dyDescent="0.25">
      <c r="C13" s="37" t="s">
        <v>17</v>
      </c>
      <c r="D13" s="1" t="s">
        <v>123</v>
      </c>
      <c r="E13" s="33"/>
      <c r="F13" s="4"/>
    </row>
    <row r="14" spans="2:6" x14ac:dyDescent="0.25">
      <c r="C14" s="37" t="s">
        <v>19</v>
      </c>
      <c r="D14" s="1" t="s">
        <v>20</v>
      </c>
      <c r="E14" s="33"/>
    </row>
    <row r="15" spans="2:6" x14ac:dyDescent="0.25">
      <c r="C15" s="32"/>
      <c r="D15" s="33"/>
      <c r="E15" s="33"/>
      <c r="F15" s="27" t="s">
        <v>21</v>
      </c>
    </row>
    <row r="16" spans="2:6" x14ac:dyDescent="0.25">
      <c r="C16" s="32"/>
      <c r="D16" s="33"/>
      <c r="E16" s="33"/>
      <c r="F16" s="6" t="s">
        <v>558</v>
      </c>
    </row>
    <row r="17" spans="3:6" ht="18.75" x14ac:dyDescent="0.25">
      <c r="C17" s="31" t="s">
        <v>23</v>
      </c>
      <c r="D17" s="33"/>
      <c r="E17" s="33"/>
      <c r="F17" s="4"/>
    </row>
    <row r="18" spans="3:6" x14ac:dyDescent="0.25">
      <c r="C18" s="32" t="s">
        <v>24</v>
      </c>
      <c r="D18" s="29" t="s">
        <v>23</v>
      </c>
      <c r="E18" s="33"/>
      <c r="F18" s="4"/>
    </row>
    <row r="19" spans="3:6" x14ac:dyDescent="0.25">
      <c r="C19" s="37" t="s">
        <v>25</v>
      </c>
      <c r="D19" s="2"/>
      <c r="E19" s="33"/>
      <c r="F19" s="4"/>
    </row>
    <row r="20" spans="3:6" x14ac:dyDescent="0.25">
      <c r="C20" s="37" t="s">
        <v>26</v>
      </c>
      <c r="D20" s="2"/>
      <c r="E20" s="33"/>
      <c r="F20" s="4"/>
    </row>
    <row r="21" spans="3:6" x14ac:dyDescent="0.25">
      <c r="C21" s="37" t="s">
        <v>27</v>
      </c>
      <c r="D21" s="2"/>
      <c r="E21" s="33"/>
    </row>
    <row r="22" spans="3:6" x14ac:dyDescent="0.25">
      <c r="C22" s="37" t="s">
        <v>28</v>
      </c>
      <c r="D22" s="2"/>
      <c r="E22" s="33"/>
      <c r="F22" s="27" t="s">
        <v>29</v>
      </c>
    </row>
    <row r="23" spans="3:6" x14ac:dyDescent="0.25">
      <c r="C23" s="37" t="s">
        <v>30</v>
      </c>
      <c r="D23" s="2"/>
      <c r="E23" s="33"/>
      <c r="F23" s="8" t="s">
        <v>559</v>
      </c>
    </row>
    <row r="24" spans="3:6" x14ac:dyDescent="0.25">
      <c r="C24" s="37" t="s">
        <v>32</v>
      </c>
      <c r="D24" s="29">
        <f>SUM(D19:D23)</f>
        <v>0</v>
      </c>
      <c r="E24" s="33"/>
      <c r="F24" s="8" t="s">
        <v>560</v>
      </c>
    </row>
    <row r="25" spans="3:6" x14ac:dyDescent="0.25">
      <c r="F25" s="8" t="s">
        <v>561</v>
      </c>
    </row>
    <row r="26" spans="3:6" x14ac:dyDescent="0.25">
      <c r="F26" s="8" t="s">
        <v>562</v>
      </c>
    </row>
    <row r="27" spans="3:6" ht="18.75" x14ac:dyDescent="0.25">
      <c r="C27" s="31" t="s">
        <v>36</v>
      </c>
      <c r="D27" s="34" t="s">
        <v>37</v>
      </c>
      <c r="F27" s="8" t="s">
        <v>563</v>
      </c>
    </row>
    <row r="28" spans="3:6" x14ac:dyDescent="0.25">
      <c r="C28" s="32" t="s">
        <v>39</v>
      </c>
      <c r="D28" s="32" t="s">
        <v>40</v>
      </c>
      <c r="E28" s="32"/>
      <c r="F28" s="8"/>
    </row>
    <row r="29" spans="3:6" x14ac:dyDescent="0.25">
      <c r="C29" s="37" t="s">
        <v>42</v>
      </c>
      <c r="D29" s="8" t="s">
        <v>564</v>
      </c>
      <c r="E29" s="33"/>
      <c r="F29" s="8" t="s">
        <v>565</v>
      </c>
    </row>
    <row r="30" spans="3:6" x14ac:dyDescent="0.25">
      <c r="C30" s="37" t="s">
        <v>44</v>
      </c>
      <c r="D30" s="25" t="s">
        <v>566</v>
      </c>
      <c r="E30" s="33"/>
      <c r="F30" s="4"/>
    </row>
    <row r="31" spans="3:6" x14ac:dyDescent="0.25">
      <c r="C31" s="37" t="s">
        <v>46</v>
      </c>
      <c r="D31" s="25" t="s">
        <v>567</v>
      </c>
      <c r="E31" s="33"/>
      <c r="F31" s="4"/>
    </row>
    <row r="32" spans="3:6" x14ac:dyDescent="0.25">
      <c r="C32" s="37" t="s">
        <v>48</v>
      </c>
      <c r="D32" s="1"/>
      <c r="E32" s="33"/>
      <c r="F32" s="4"/>
    </row>
    <row r="33" spans="3:8" x14ac:dyDescent="0.25">
      <c r="C33" s="37" t="s">
        <v>49</v>
      </c>
      <c r="D33" s="1"/>
      <c r="E33" s="33"/>
      <c r="F33" s="4"/>
    </row>
    <row r="36" spans="3:8" ht="18.75" x14ac:dyDescent="0.25">
      <c r="C36" s="31" t="s">
        <v>50</v>
      </c>
    </row>
    <row r="37" spans="3:8" x14ac:dyDescent="0.25">
      <c r="C37" s="32" t="s">
        <v>51</v>
      </c>
      <c r="D37" s="32" t="s">
        <v>52</v>
      </c>
      <c r="E37" s="32" t="s">
        <v>53</v>
      </c>
      <c r="F37" s="32" t="s">
        <v>54</v>
      </c>
      <c r="G37" s="32" t="s">
        <v>55</v>
      </c>
      <c r="H37" s="32" t="s">
        <v>56</v>
      </c>
    </row>
    <row r="38" spans="3:8" x14ac:dyDescent="0.25">
      <c r="C38" s="37" t="s">
        <v>57</v>
      </c>
      <c r="D38" s="1" t="s">
        <v>136</v>
      </c>
      <c r="E38" s="1" t="s">
        <v>250</v>
      </c>
      <c r="F38" s="6" t="s">
        <v>568</v>
      </c>
      <c r="G38" s="3">
        <v>0.5</v>
      </c>
      <c r="H38" s="1">
        <v>17</v>
      </c>
    </row>
    <row r="39" spans="3:8" x14ac:dyDescent="0.25">
      <c r="C39" s="37" t="s">
        <v>61</v>
      </c>
      <c r="D39" s="1" t="s">
        <v>133</v>
      </c>
      <c r="E39" s="1" t="s">
        <v>299</v>
      </c>
      <c r="F39" s="8" t="s">
        <v>569</v>
      </c>
      <c r="G39" s="3">
        <v>0.5</v>
      </c>
      <c r="H39" s="1">
        <v>12</v>
      </c>
    </row>
    <row r="40" spans="3:8" x14ac:dyDescent="0.25">
      <c r="C40" s="37" t="s">
        <v>64</v>
      </c>
      <c r="D40" s="4"/>
      <c r="E40" s="4"/>
      <c r="F40" s="4"/>
      <c r="G40" s="4"/>
      <c r="H40" s="4"/>
    </row>
    <row r="41" spans="3:8" x14ac:dyDescent="0.25">
      <c r="C41" s="37" t="s">
        <v>65</v>
      </c>
      <c r="D41" s="4"/>
      <c r="E41" s="4"/>
      <c r="F41" s="4"/>
      <c r="G41" s="4"/>
      <c r="H41" s="4"/>
    </row>
    <row r="42" spans="3:8" x14ac:dyDescent="0.25">
      <c r="C42" s="32"/>
    </row>
    <row r="44" spans="3:8" ht="18.75" x14ac:dyDescent="0.25">
      <c r="C44" s="31" t="s">
        <v>66</v>
      </c>
      <c r="D44" s="34"/>
    </row>
    <row r="45" spans="3:8" x14ac:dyDescent="0.25">
      <c r="C45" s="29" t="s">
        <v>51</v>
      </c>
      <c r="D45" s="29" t="s">
        <v>39</v>
      </c>
      <c r="E45" s="29" t="s">
        <v>67</v>
      </c>
      <c r="F45" s="29" t="s">
        <v>68</v>
      </c>
    </row>
    <row r="46" spans="3:8" x14ac:dyDescent="0.25">
      <c r="C46" s="5" t="s">
        <v>57</v>
      </c>
      <c r="D46" s="4" t="s">
        <v>42</v>
      </c>
      <c r="E46" s="4" t="s">
        <v>138</v>
      </c>
      <c r="F46" s="4" t="s">
        <v>196</v>
      </c>
    </row>
    <row r="47" spans="3:8" x14ac:dyDescent="0.25">
      <c r="C47" s="5" t="s">
        <v>57</v>
      </c>
      <c r="D47" s="4" t="s">
        <v>44</v>
      </c>
      <c r="E47" s="4" t="s">
        <v>138</v>
      </c>
      <c r="F47" s="4" t="s">
        <v>198</v>
      </c>
    </row>
    <row r="48" spans="3:8" x14ac:dyDescent="0.25">
      <c r="C48" s="5" t="s">
        <v>57</v>
      </c>
      <c r="D48" s="4" t="s">
        <v>44</v>
      </c>
      <c r="E48" s="4" t="s">
        <v>464</v>
      </c>
      <c r="F48" s="4" t="s">
        <v>570</v>
      </c>
    </row>
    <row r="49" spans="3:6" x14ac:dyDescent="0.25">
      <c r="C49" s="5" t="s">
        <v>61</v>
      </c>
      <c r="D49" s="4" t="s">
        <v>42</v>
      </c>
      <c r="E49" s="4" t="s">
        <v>71</v>
      </c>
      <c r="F49" s="4" t="s">
        <v>358</v>
      </c>
    </row>
    <row r="50" spans="3:6" x14ac:dyDescent="0.25">
      <c r="C50" s="5" t="s">
        <v>61</v>
      </c>
      <c r="D50" s="4" t="s">
        <v>46</v>
      </c>
      <c r="E50" s="4" t="s">
        <v>73</v>
      </c>
      <c r="F50" s="4" t="s">
        <v>140</v>
      </c>
    </row>
    <row r="51" spans="3:6" x14ac:dyDescent="0.25">
      <c r="C51" s="5" t="s">
        <v>61</v>
      </c>
      <c r="D51" s="4" t="s">
        <v>46</v>
      </c>
      <c r="E51" s="4" t="s">
        <v>464</v>
      </c>
      <c r="F51" s="4" t="s">
        <v>570</v>
      </c>
    </row>
    <row r="52" spans="3:6" x14ac:dyDescent="0.25">
      <c r="C52" s="5" t="s">
        <v>64</v>
      </c>
      <c r="D52" s="4"/>
      <c r="E52" s="4"/>
      <c r="F52" s="4"/>
    </row>
    <row r="53" spans="3:6" x14ac:dyDescent="0.25">
      <c r="C53" s="5" t="s">
        <v>64</v>
      </c>
      <c r="D53" s="4"/>
      <c r="E53" s="4"/>
      <c r="F53" s="4"/>
    </row>
    <row r="54" spans="3:6" x14ac:dyDescent="0.25">
      <c r="C54" s="5" t="s">
        <v>64</v>
      </c>
      <c r="D54" s="4"/>
      <c r="E54" s="4"/>
      <c r="F54" s="4"/>
    </row>
    <row r="55" spans="3:6" x14ac:dyDescent="0.25">
      <c r="C55" s="5" t="s">
        <v>65</v>
      </c>
      <c r="D55" s="4"/>
      <c r="E55" s="4"/>
      <c r="F55" s="4"/>
    </row>
    <row r="56" spans="3:6" x14ac:dyDescent="0.25">
      <c r="C56" s="5" t="s">
        <v>65</v>
      </c>
      <c r="D56" s="4"/>
      <c r="E56" s="4"/>
      <c r="F56" s="4"/>
    </row>
    <row r="57" spans="3:6" x14ac:dyDescent="0.25">
      <c r="C57" s="5"/>
      <c r="D57" s="4"/>
      <c r="E57" s="4"/>
      <c r="F57" s="4"/>
    </row>
    <row r="58" spans="3:6" x14ac:dyDescent="0.25">
      <c r="C58" s="5"/>
      <c r="D58" s="4"/>
      <c r="E58" s="4"/>
      <c r="F58" s="4"/>
    </row>
    <row r="59" spans="3:6" x14ac:dyDescent="0.25">
      <c r="C59" s="5"/>
      <c r="D59" s="4"/>
      <c r="E59" s="4"/>
      <c r="F59" s="4"/>
    </row>
    <row r="60" spans="3:6" x14ac:dyDescent="0.25">
      <c r="C60" s="5"/>
      <c r="D60" s="4"/>
      <c r="E60" s="4"/>
      <c r="F60" s="4"/>
    </row>
    <row r="61" spans="3:6" x14ac:dyDescent="0.25">
      <c r="C61" s="5"/>
      <c r="D61" s="4"/>
      <c r="E61" s="4"/>
      <c r="F61" s="4"/>
    </row>
    <row r="62" spans="3:6" x14ac:dyDescent="0.25">
      <c r="C62" s="5"/>
      <c r="D62" s="4"/>
      <c r="E62" s="4"/>
      <c r="F62" s="4"/>
    </row>
    <row r="63" spans="3:6" x14ac:dyDescent="0.25">
      <c r="C63" s="5"/>
      <c r="D63" s="4"/>
      <c r="E63" s="4"/>
      <c r="F63" s="4"/>
    </row>
    <row r="64" spans="3:6" x14ac:dyDescent="0.25">
      <c r="C64" s="5"/>
      <c r="D64" s="4"/>
      <c r="E64" s="4"/>
      <c r="F64" s="4"/>
    </row>
    <row r="65" spans="2:6" x14ac:dyDescent="0.25">
      <c r="C65" s="5"/>
      <c r="D65" s="4"/>
      <c r="E65" s="4"/>
      <c r="F65" s="4"/>
    </row>
    <row r="66" spans="2:6" x14ac:dyDescent="0.25">
      <c r="C66" s="5"/>
      <c r="D66" s="4"/>
      <c r="E66" s="4"/>
      <c r="F66" s="4"/>
    </row>
    <row r="69" spans="2:6" ht="18.75" x14ac:dyDescent="0.25">
      <c r="C69" s="31" t="s">
        <v>76</v>
      </c>
    </row>
    <row r="70" spans="2:6" x14ac:dyDescent="0.25">
      <c r="B70" s="27" t="s">
        <v>77</v>
      </c>
      <c r="C70" s="29" t="s">
        <v>78</v>
      </c>
      <c r="D70" s="29" t="s">
        <v>79</v>
      </c>
      <c r="E70" s="29" t="s">
        <v>80</v>
      </c>
      <c r="F70" s="29" t="s">
        <v>81</v>
      </c>
    </row>
    <row r="71" spans="2:6" x14ac:dyDescent="0.25">
      <c r="B71" s="38">
        <v>1</v>
      </c>
      <c r="C71" s="39">
        <v>1</v>
      </c>
      <c r="D71" s="15" t="s">
        <v>571</v>
      </c>
      <c r="E71" s="16" t="s">
        <v>572</v>
      </c>
      <c r="F71" s="17" t="s">
        <v>573</v>
      </c>
    </row>
    <row r="72" spans="2:6" x14ac:dyDescent="0.25">
      <c r="B72" s="38">
        <v>1</v>
      </c>
      <c r="C72" s="39">
        <v>2</v>
      </c>
      <c r="D72" s="18" t="s">
        <v>574</v>
      </c>
      <c r="E72" s="19" t="s">
        <v>575</v>
      </c>
      <c r="F72" s="20" t="s">
        <v>576</v>
      </c>
    </row>
    <row r="73" spans="2:6" x14ac:dyDescent="0.25">
      <c r="B73" s="38">
        <v>1</v>
      </c>
      <c r="C73" s="39">
        <v>3</v>
      </c>
      <c r="D73" s="18" t="s">
        <v>577</v>
      </c>
      <c r="E73" s="19" t="s">
        <v>575</v>
      </c>
      <c r="F73" s="20" t="s">
        <v>576</v>
      </c>
    </row>
    <row r="74" spans="2:6" x14ac:dyDescent="0.25">
      <c r="B74" s="38">
        <v>1</v>
      </c>
      <c r="C74" s="39">
        <v>4</v>
      </c>
      <c r="D74" s="18" t="s">
        <v>578</v>
      </c>
      <c r="E74" s="19" t="s">
        <v>575</v>
      </c>
      <c r="F74" s="20" t="s">
        <v>576</v>
      </c>
    </row>
    <row r="75" spans="2:6" x14ac:dyDescent="0.25">
      <c r="B75" s="38">
        <v>1</v>
      </c>
      <c r="C75" s="39">
        <v>5</v>
      </c>
      <c r="D75" s="18" t="s">
        <v>579</v>
      </c>
      <c r="E75" s="19" t="s">
        <v>580</v>
      </c>
      <c r="F75" s="20" t="s">
        <v>581</v>
      </c>
    </row>
    <row r="76" spans="2:6" x14ac:dyDescent="0.25">
      <c r="B76" s="38">
        <v>1</v>
      </c>
      <c r="C76" s="39">
        <v>6</v>
      </c>
      <c r="D76" s="18" t="s">
        <v>582</v>
      </c>
      <c r="E76" s="21" t="s">
        <v>583</v>
      </c>
      <c r="F76" s="20" t="s">
        <v>584</v>
      </c>
    </row>
    <row r="77" spans="2:6" x14ac:dyDescent="0.25">
      <c r="B77" s="38">
        <v>1</v>
      </c>
      <c r="C77" s="39">
        <v>7</v>
      </c>
      <c r="D77" s="18" t="s">
        <v>585</v>
      </c>
      <c r="E77" s="19" t="s">
        <v>586</v>
      </c>
      <c r="F77" s="20" t="s">
        <v>587</v>
      </c>
    </row>
    <row r="78" spans="2:6" x14ac:dyDescent="0.25">
      <c r="B78" s="38">
        <v>1</v>
      </c>
      <c r="C78" s="39">
        <v>8</v>
      </c>
      <c r="D78" s="18" t="s">
        <v>588</v>
      </c>
      <c r="E78" s="19" t="s">
        <v>589</v>
      </c>
      <c r="F78" s="20" t="s">
        <v>388</v>
      </c>
    </row>
    <row r="79" spans="2:6" x14ac:dyDescent="0.25">
      <c r="B79" s="38">
        <v>1</v>
      </c>
      <c r="C79" s="39">
        <v>9</v>
      </c>
      <c r="D79" s="18" t="s">
        <v>590</v>
      </c>
      <c r="E79" s="19" t="s">
        <v>591</v>
      </c>
      <c r="F79" s="20" t="s">
        <v>592</v>
      </c>
    </row>
    <row r="80" spans="2:6" x14ac:dyDescent="0.25">
      <c r="B80" s="38">
        <v>1</v>
      </c>
      <c r="C80" s="39">
        <v>10</v>
      </c>
      <c r="D80" s="18" t="s">
        <v>593</v>
      </c>
      <c r="E80" s="19" t="s">
        <v>594</v>
      </c>
      <c r="F80" s="20" t="s">
        <v>595</v>
      </c>
    </row>
    <row r="81" spans="2:6" x14ac:dyDescent="0.25">
      <c r="B81" s="38">
        <v>1</v>
      </c>
      <c r="C81" s="39">
        <v>11</v>
      </c>
      <c r="D81" s="18" t="s">
        <v>596</v>
      </c>
      <c r="E81" s="19" t="s">
        <v>597</v>
      </c>
      <c r="F81" s="20" t="s">
        <v>598</v>
      </c>
    </row>
    <row r="82" spans="2:6" x14ac:dyDescent="0.25">
      <c r="B82" s="38">
        <v>1</v>
      </c>
      <c r="C82" s="39">
        <v>12</v>
      </c>
      <c r="D82" s="22" t="s">
        <v>599</v>
      </c>
      <c r="E82" s="23" t="s">
        <v>600</v>
      </c>
      <c r="F82" s="24" t="s">
        <v>601</v>
      </c>
    </row>
    <row r="83" spans="2:6" x14ac:dyDescent="0.25">
      <c r="B83" s="38">
        <v>2</v>
      </c>
      <c r="C83" s="39">
        <v>1</v>
      </c>
      <c r="D83" s="1"/>
      <c r="E83" s="1"/>
      <c r="F83" s="1"/>
    </row>
    <row r="84" spans="2:6" x14ac:dyDescent="0.25">
      <c r="B84" s="38">
        <v>2</v>
      </c>
      <c r="C84" s="39">
        <v>2</v>
      </c>
      <c r="D84" s="1"/>
      <c r="E84" s="1"/>
      <c r="F84" s="1"/>
    </row>
    <row r="85" spans="2:6" x14ac:dyDescent="0.25">
      <c r="B85" s="38">
        <v>2</v>
      </c>
      <c r="C85" s="39">
        <v>3</v>
      </c>
      <c r="D85" s="1"/>
      <c r="E85" s="1"/>
      <c r="F85" s="1"/>
    </row>
    <row r="86" spans="2:6" x14ac:dyDescent="0.25">
      <c r="B86" s="38">
        <v>2</v>
      </c>
      <c r="C86" s="39">
        <v>4</v>
      </c>
      <c r="D86" s="1"/>
      <c r="E86" s="1"/>
      <c r="F86" s="1"/>
    </row>
    <row r="87" spans="2:6" x14ac:dyDescent="0.25">
      <c r="B87" s="38">
        <v>2</v>
      </c>
      <c r="C87" s="39">
        <v>5</v>
      </c>
      <c r="D87" s="1"/>
      <c r="E87" s="1"/>
      <c r="F87" s="1"/>
    </row>
    <row r="88" spans="2:6" x14ac:dyDescent="0.25">
      <c r="B88" s="38">
        <v>2</v>
      </c>
      <c r="C88" s="39">
        <v>6</v>
      </c>
      <c r="D88" s="1"/>
      <c r="E88" s="1"/>
      <c r="F88" s="1"/>
    </row>
    <row r="89" spans="2:6" x14ac:dyDescent="0.25">
      <c r="B89" s="38">
        <v>2</v>
      </c>
      <c r="C89" s="39">
        <v>7</v>
      </c>
      <c r="D89" s="1"/>
      <c r="E89" s="1"/>
      <c r="F89" s="1"/>
    </row>
    <row r="90" spans="2:6" x14ac:dyDescent="0.25">
      <c r="B90" s="38">
        <v>2</v>
      </c>
      <c r="C90" s="39">
        <v>8</v>
      </c>
      <c r="D90" s="1"/>
      <c r="E90" s="1"/>
      <c r="F90" s="1"/>
    </row>
    <row r="91" spans="2:6" x14ac:dyDescent="0.25">
      <c r="B91" s="38">
        <v>2</v>
      </c>
      <c r="C91" s="39">
        <v>9</v>
      </c>
      <c r="D91" s="1"/>
      <c r="E91" s="1"/>
      <c r="F91" s="1"/>
    </row>
    <row r="92" spans="2:6" x14ac:dyDescent="0.25">
      <c r="B92" s="38">
        <v>2</v>
      </c>
      <c r="C92" s="39">
        <v>10</v>
      </c>
      <c r="D92" s="1"/>
      <c r="E92" s="1"/>
      <c r="F92" s="1"/>
    </row>
    <row r="93" spans="2:6" x14ac:dyDescent="0.25">
      <c r="B93" s="38">
        <v>2</v>
      </c>
      <c r="C93" s="39">
        <v>11</v>
      </c>
      <c r="D93" s="1"/>
      <c r="E93" s="1"/>
      <c r="F93" s="1"/>
    </row>
    <row r="94" spans="2:6" x14ac:dyDescent="0.25">
      <c r="B94" s="38">
        <v>2</v>
      </c>
      <c r="C94" s="39">
        <v>12</v>
      </c>
      <c r="D94" s="1"/>
      <c r="E94" s="1"/>
      <c r="F94" s="1"/>
    </row>
  </sheetData>
  <sheetProtection sheet="1" objects="1" scenarios="1" formatCells="0" formatColumns="0" formatRows="0" insertHyperlinks="0"/>
  <dataValidations count="4">
    <dataValidation type="list" allowBlank="1" showInputMessage="1" showErrorMessage="1" sqref="F46:F66" xr:uid="{892CDF0E-15A0-43A8-BD6A-62EF4D03C7D2}">
      <formula1>INDIRECT(VLOOKUP($E46, SkillNameMap, 2, FALSE))</formula1>
    </dataValidation>
    <dataValidation type="list" allowBlank="1" showInputMessage="1" showErrorMessage="1" sqref="E38:E41" xr:uid="{7994DC66-9754-47D3-A28B-C0A83A2EAC89}">
      <formula1>INDIRECT("LISTAssess[Assessment Specific]")</formula1>
    </dataValidation>
    <dataValidation type="whole" showInputMessage="1" showErrorMessage="1" error="This is not a realistic number of contact hours please change" sqref="D19" xr:uid="{5229BE75-B0E0-4077-8EF0-412E4F64E78E}">
      <formula1>0</formula1>
      <formula2>80</formula2>
    </dataValidation>
    <dataValidation type="whole" showInputMessage="1" showErrorMessage="1" error="This is not a realistic number of contact hours please reduce" sqref="D20:D23" xr:uid="{9C89F6C0-59B0-40A4-AD9B-FF2ACAB06DA5}">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7B9F6B16-6FF5-4E56-841A-1AD40DF95F22}">
          <x14:formula1>
            <xm:f>LISTS!$J$7:$J$16</xm:f>
          </x14:formula1>
          <xm:sqref>E46:E66</xm:sqref>
        </x14:dataValidation>
        <x14:dataValidation type="list" allowBlank="1" showInputMessage="1" showErrorMessage="1" xr:uid="{4F387FE4-F215-4DCB-AA99-F2CB3B064FA3}">
          <x14:formula1>
            <xm:f>LISTS!$E$7:$E$11</xm:f>
          </x14:formula1>
          <xm:sqref>D46:D66</xm:sqref>
        </x14:dataValidation>
        <x14:dataValidation type="list" allowBlank="1" showInputMessage="1" showErrorMessage="1" xr:uid="{A8E27691-70AC-4099-A10F-63879CDC28C5}">
          <x14:formula1>
            <xm:f>LISTS!$G$7:$G$11</xm:f>
          </x14:formula1>
          <xm:sqref>D38:D42</xm:sqref>
        </x14:dataValidation>
        <x14:dataValidation type="list" allowBlank="1" showInputMessage="1" showErrorMessage="1" xr:uid="{762F8CE2-7D51-4572-9F70-B773F934E29C}">
          <x14:formula1>
            <xm:f>LISTS!$C$11:$C$15</xm:f>
          </x14:formula1>
          <xm:sqref>D11</xm:sqref>
        </x14:dataValidation>
        <x14:dataValidation type="list" allowBlank="1" showInputMessage="1" showErrorMessage="1" xr:uid="{15E0481E-98A1-407D-8DFA-141CA07D0DE7}">
          <x14:formula1>
            <xm:f>LISTS!$C$7:$C$9</xm:f>
          </x14:formula1>
          <xm:sqref>D10</xm:sqref>
        </x14:dataValidation>
        <x14:dataValidation type="list" allowBlank="1" showInputMessage="1" showErrorMessage="1" xr:uid="{B3565A50-A55E-4ECA-ADB3-330480BE2D6B}">
          <x14:formula1>
            <xm:f>LISTS!$C$17:$C$22</xm:f>
          </x14:formula1>
          <xm:sqref>D13</xm:sqref>
        </x14:dataValidation>
        <x14:dataValidation type="list" allowBlank="1" showInputMessage="1" showErrorMessage="1" xr:uid="{37A004BF-BEA8-4BF2-93ED-5C37361A1B7D}">
          <x14:formula1>
            <xm:f>LISTS!$C$26:$C$37</xm:f>
          </x14:formula1>
          <xm:sqref>D14</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FA408C-EE1F-4BE4-988C-DF001F53BEA1}">
  <sheetPr codeName="Sheet11"/>
  <dimension ref="B2:H94"/>
  <sheetViews>
    <sheetView showGridLines="0" zoomScale="85" zoomScaleNormal="85" workbookViewId="0">
      <selection activeCell="F7" sqref="F7"/>
    </sheetView>
  </sheetViews>
  <sheetFormatPr defaultRowHeight="15" x14ac:dyDescent="0.25"/>
  <cols>
    <col min="1" max="2" width="9.140625" style="27"/>
    <col min="3" max="3" width="33.28515625" style="27" customWidth="1"/>
    <col min="4" max="4" width="51.5703125" style="27" customWidth="1"/>
    <col min="5" max="5" width="67.28515625" style="27" customWidth="1"/>
    <col min="6" max="6" width="63.140625" style="27" customWidth="1"/>
    <col min="7" max="7" width="12.42578125" style="27" customWidth="1"/>
    <col min="8" max="8" width="15.5703125" style="27" customWidth="1"/>
    <col min="9" max="9" width="14.7109375" style="27" customWidth="1"/>
    <col min="10" max="16384" width="9.140625" style="27"/>
  </cols>
  <sheetData>
    <row r="2" spans="2:6" ht="26.25" x14ac:dyDescent="0.4">
      <c r="C2" s="28" t="str">
        <f>D7</f>
        <v>6007SPS</v>
      </c>
      <c r="D2" s="28" t="str">
        <f>D8</f>
        <v>Sport Nutrition for Health, Adaptation and Recovery</v>
      </c>
    </row>
    <row r="3" spans="2:6" x14ac:dyDescent="0.25">
      <c r="B3" s="29"/>
      <c r="C3" s="29"/>
    </row>
    <row r="4" spans="2:6" x14ac:dyDescent="0.25">
      <c r="B4" s="30"/>
      <c r="C4" s="30"/>
    </row>
    <row r="5" spans="2:6" ht="18.75" x14ac:dyDescent="0.25">
      <c r="B5" s="30"/>
      <c r="C5" s="31" t="s">
        <v>0</v>
      </c>
    </row>
    <row r="6" spans="2:6" x14ac:dyDescent="0.25">
      <c r="B6" s="30"/>
      <c r="C6" s="32" t="s">
        <v>1</v>
      </c>
      <c r="D6" s="33" t="s">
        <v>2</v>
      </c>
      <c r="E6" s="33"/>
      <c r="F6" s="27" t="s">
        <v>3</v>
      </c>
    </row>
    <row r="7" spans="2:6" x14ac:dyDescent="0.25">
      <c r="B7" s="30"/>
      <c r="C7" s="37" t="s">
        <v>4</v>
      </c>
      <c r="D7" s="1" t="s">
        <v>602</v>
      </c>
      <c r="E7" s="33"/>
      <c r="F7" s="6" t="s">
        <v>603</v>
      </c>
    </row>
    <row r="8" spans="2:6" x14ac:dyDescent="0.25">
      <c r="B8" s="30"/>
      <c r="C8" s="37" t="s">
        <v>7</v>
      </c>
      <c r="D8" s="6" t="s">
        <v>604</v>
      </c>
      <c r="E8" s="33"/>
      <c r="F8" s="4"/>
    </row>
    <row r="9" spans="2:6" x14ac:dyDescent="0.25">
      <c r="C9" s="37" t="s">
        <v>9</v>
      </c>
      <c r="D9" s="1">
        <v>20</v>
      </c>
      <c r="E9" s="33"/>
    </row>
    <row r="10" spans="2:6" x14ac:dyDescent="0.25">
      <c r="C10" s="37" t="s">
        <v>10</v>
      </c>
      <c r="D10" s="1">
        <v>2</v>
      </c>
      <c r="E10" s="33"/>
      <c r="F10" s="27" t="s">
        <v>12</v>
      </c>
    </row>
    <row r="11" spans="2:6" x14ac:dyDescent="0.25">
      <c r="C11" s="37" t="s">
        <v>13</v>
      </c>
      <c r="D11" s="1">
        <v>6</v>
      </c>
      <c r="E11" s="33"/>
      <c r="F11" s="6" t="s">
        <v>605</v>
      </c>
    </row>
    <row r="12" spans="2:6" x14ac:dyDescent="0.25">
      <c r="C12" s="37" t="s">
        <v>15</v>
      </c>
      <c r="D12" s="1" t="s">
        <v>606</v>
      </c>
      <c r="E12" s="33"/>
      <c r="F12" s="4"/>
    </row>
    <row r="13" spans="2:6" x14ac:dyDescent="0.25">
      <c r="C13" s="37" t="s">
        <v>17</v>
      </c>
      <c r="D13" s="1" t="s">
        <v>123</v>
      </c>
      <c r="E13" s="33"/>
      <c r="F13" s="4"/>
    </row>
    <row r="14" spans="2:6" x14ac:dyDescent="0.25">
      <c r="C14" s="37" t="s">
        <v>19</v>
      </c>
      <c r="D14" s="1" t="s">
        <v>20</v>
      </c>
      <c r="E14" s="33"/>
    </row>
    <row r="15" spans="2:6" x14ac:dyDescent="0.25">
      <c r="C15" s="32"/>
      <c r="D15" s="33"/>
      <c r="E15" s="33"/>
      <c r="F15" s="27" t="s">
        <v>21</v>
      </c>
    </row>
    <row r="16" spans="2:6" x14ac:dyDescent="0.25">
      <c r="C16" s="32"/>
      <c r="D16" s="33"/>
      <c r="E16" s="33"/>
      <c r="F16" s="6" t="s">
        <v>607</v>
      </c>
    </row>
    <row r="17" spans="3:6" ht="18.75" x14ac:dyDescent="0.25">
      <c r="C17" s="31" t="s">
        <v>23</v>
      </c>
      <c r="D17" s="33"/>
      <c r="E17" s="33"/>
      <c r="F17" s="4"/>
    </row>
    <row r="18" spans="3:6" x14ac:dyDescent="0.25">
      <c r="C18" s="32" t="s">
        <v>24</v>
      </c>
      <c r="D18" s="29" t="s">
        <v>23</v>
      </c>
      <c r="E18" s="33"/>
      <c r="F18" s="4"/>
    </row>
    <row r="19" spans="3:6" x14ac:dyDescent="0.25">
      <c r="C19" s="37" t="s">
        <v>25</v>
      </c>
      <c r="D19" s="2">
        <v>18</v>
      </c>
      <c r="E19" s="33"/>
      <c r="F19" s="4"/>
    </row>
    <row r="20" spans="3:6" x14ac:dyDescent="0.25">
      <c r="C20" s="37" t="s">
        <v>26</v>
      </c>
      <c r="D20" s="2"/>
      <c r="E20" s="33"/>
      <c r="F20" s="4"/>
    </row>
    <row r="21" spans="3:6" x14ac:dyDescent="0.25">
      <c r="C21" s="37" t="s">
        <v>27</v>
      </c>
      <c r="D21" s="2"/>
      <c r="E21" s="33"/>
    </row>
    <row r="22" spans="3:6" x14ac:dyDescent="0.25">
      <c r="C22" s="37" t="s">
        <v>28</v>
      </c>
      <c r="D22" s="2">
        <v>22</v>
      </c>
      <c r="E22" s="33"/>
      <c r="F22" s="27" t="s">
        <v>29</v>
      </c>
    </row>
    <row r="23" spans="3:6" x14ac:dyDescent="0.25">
      <c r="C23" s="37" t="s">
        <v>30</v>
      </c>
      <c r="D23" s="2">
        <v>4</v>
      </c>
      <c r="E23" s="33"/>
      <c r="F23" s="8" t="s">
        <v>608</v>
      </c>
    </row>
    <row r="24" spans="3:6" x14ac:dyDescent="0.25">
      <c r="C24" s="37" t="s">
        <v>32</v>
      </c>
      <c r="D24" s="29">
        <f>SUM(D19:D23)</f>
        <v>44</v>
      </c>
      <c r="E24" s="33"/>
      <c r="F24" s="8" t="s">
        <v>609</v>
      </c>
    </row>
    <row r="25" spans="3:6" x14ac:dyDescent="0.25">
      <c r="F25" s="8" t="s">
        <v>610</v>
      </c>
    </row>
    <row r="26" spans="3:6" x14ac:dyDescent="0.25">
      <c r="F26" s="8" t="s">
        <v>611</v>
      </c>
    </row>
    <row r="27" spans="3:6" ht="18.75" x14ac:dyDescent="0.25">
      <c r="C27" s="31" t="s">
        <v>36</v>
      </c>
      <c r="D27" s="34" t="s">
        <v>37</v>
      </c>
      <c r="F27" s="8"/>
    </row>
    <row r="28" spans="3:6" x14ac:dyDescent="0.25">
      <c r="C28" s="32" t="s">
        <v>39</v>
      </c>
      <c r="D28" s="32" t="s">
        <v>40</v>
      </c>
      <c r="E28" s="32"/>
      <c r="F28" s="8" t="s">
        <v>612</v>
      </c>
    </row>
    <row r="29" spans="3:6" x14ac:dyDescent="0.25">
      <c r="C29" s="37" t="s">
        <v>42</v>
      </c>
      <c r="D29" s="8" t="s">
        <v>613</v>
      </c>
      <c r="E29" s="33"/>
      <c r="F29" s="4"/>
    </row>
    <row r="30" spans="3:6" x14ac:dyDescent="0.25">
      <c r="C30" s="37" t="s">
        <v>44</v>
      </c>
      <c r="D30" s="25" t="s">
        <v>614</v>
      </c>
      <c r="E30" s="33"/>
      <c r="F30" s="4"/>
    </row>
    <row r="31" spans="3:6" x14ac:dyDescent="0.25">
      <c r="C31" s="37" t="s">
        <v>46</v>
      </c>
      <c r="D31" s="25" t="s">
        <v>615</v>
      </c>
      <c r="E31" s="33"/>
      <c r="F31" s="4"/>
    </row>
    <row r="32" spans="3:6" x14ac:dyDescent="0.25">
      <c r="C32" s="37" t="s">
        <v>48</v>
      </c>
      <c r="D32" s="1"/>
      <c r="E32" s="33"/>
      <c r="F32" s="4"/>
    </row>
    <row r="33" spans="3:8" x14ac:dyDescent="0.25">
      <c r="C33" s="37" t="s">
        <v>49</v>
      </c>
      <c r="D33" s="1"/>
      <c r="E33" s="33"/>
      <c r="F33" s="4"/>
    </row>
    <row r="36" spans="3:8" ht="18.75" x14ac:dyDescent="0.25">
      <c r="C36" s="31" t="s">
        <v>50</v>
      </c>
    </row>
    <row r="37" spans="3:8" x14ac:dyDescent="0.25">
      <c r="C37" s="32" t="s">
        <v>51</v>
      </c>
      <c r="D37" s="32" t="s">
        <v>52</v>
      </c>
      <c r="E37" s="32" t="s">
        <v>53</v>
      </c>
      <c r="F37" s="32" t="s">
        <v>54</v>
      </c>
      <c r="G37" s="32" t="s">
        <v>55</v>
      </c>
      <c r="H37" s="32" t="s">
        <v>56</v>
      </c>
    </row>
    <row r="38" spans="3:8" x14ac:dyDescent="0.25">
      <c r="C38" s="37" t="s">
        <v>57</v>
      </c>
      <c r="D38" s="1" t="s">
        <v>133</v>
      </c>
      <c r="E38" s="1" t="s">
        <v>353</v>
      </c>
      <c r="F38" s="8" t="s">
        <v>616</v>
      </c>
      <c r="G38" s="3">
        <v>0.5</v>
      </c>
      <c r="H38" s="1">
        <v>22</v>
      </c>
    </row>
    <row r="39" spans="3:8" x14ac:dyDescent="0.25">
      <c r="C39" s="37" t="s">
        <v>61</v>
      </c>
      <c r="D39" s="1" t="s">
        <v>247</v>
      </c>
      <c r="E39" s="1" t="s">
        <v>617</v>
      </c>
      <c r="F39" s="8" t="s">
        <v>618</v>
      </c>
      <c r="G39" s="3">
        <v>0.5</v>
      </c>
      <c r="H39" s="1">
        <v>32</v>
      </c>
    </row>
    <row r="40" spans="3:8" x14ac:dyDescent="0.25">
      <c r="C40" s="37" t="s">
        <v>64</v>
      </c>
      <c r="D40" s="4"/>
      <c r="E40" s="4"/>
      <c r="F40" s="4"/>
      <c r="G40" s="4"/>
      <c r="H40" s="4"/>
    </row>
    <row r="41" spans="3:8" x14ac:dyDescent="0.25">
      <c r="C41" s="37" t="s">
        <v>65</v>
      </c>
      <c r="D41" s="4"/>
      <c r="E41" s="4"/>
      <c r="F41" s="4"/>
      <c r="G41" s="4"/>
      <c r="H41" s="4"/>
    </row>
    <row r="42" spans="3:8" x14ac:dyDescent="0.25">
      <c r="C42" s="32"/>
    </row>
    <row r="44" spans="3:8" ht="18.75" x14ac:dyDescent="0.25">
      <c r="C44" s="31" t="s">
        <v>66</v>
      </c>
      <c r="D44" s="34"/>
    </row>
    <row r="45" spans="3:8" x14ac:dyDescent="0.25">
      <c r="C45" s="29" t="s">
        <v>51</v>
      </c>
      <c r="D45" s="29" t="s">
        <v>39</v>
      </c>
      <c r="E45" s="29" t="s">
        <v>67</v>
      </c>
      <c r="F45" s="29" t="s">
        <v>68</v>
      </c>
    </row>
    <row r="46" spans="3:8" x14ac:dyDescent="0.25">
      <c r="C46" s="5" t="s">
        <v>57</v>
      </c>
      <c r="D46" s="4" t="s">
        <v>42</v>
      </c>
      <c r="E46" s="4" t="s">
        <v>138</v>
      </c>
      <c r="F46" s="4" t="s">
        <v>196</v>
      </c>
    </row>
    <row r="47" spans="3:8" x14ac:dyDescent="0.25">
      <c r="C47" s="5" t="s">
        <v>57</v>
      </c>
      <c r="D47" s="4" t="s">
        <v>46</v>
      </c>
      <c r="E47" s="4" t="s">
        <v>71</v>
      </c>
      <c r="F47" s="4" t="s">
        <v>72</v>
      </c>
    </row>
    <row r="48" spans="3:8" x14ac:dyDescent="0.25">
      <c r="C48" s="5" t="s">
        <v>57</v>
      </c>
      <c r="D48" s="4" t="s">
        <v>46</v>
      </c>
      <c r="E48" s="4" t="s">
        <v>73</v>
      </c>
      <c r="F48" s="4" t="s">
        <v>619</v>
      </c>
    </row>
    <row r="49" spans="3:6" x14ac:dyDescent="0.25">
      <c r="C49" s="5" t="s">
        <v>61</v>
      </c>
      <c r="D49" s="4" t="s">
        <v>44</v>
      </c>
      <c r="E49" s="4" t="s">
        <v>69</v>
      </c>
      <c r="F49" s="4" t="s">
        <v>70</v>
      </c>
    </row>
    <row r="50" spans="3:6" x14ac:dyDescent="0.25">
      <c r="C50" s="5" t="s">
        <v>61</v>
      </c>
      <c r="D50" s="4" t="s">
        <v>44</v>
      </c>
      <c r="E50" s="4" t="s">
        <v>254</v>
      </c>
      <c r="F50" s="4" t="s">
        <v>467</v>
      </c>
    </row>
    <row r="51" spans="3:6" x14ac:dyDescent="0.25">
      <c r="C51" s="5" t="s">
        <v>61</v>
      </c>
      <c r="D51" s="4"/>
      <c r="E51" s="4"/>
      <c r="F51" s="4"/>
    </row>
    <row r="52" spans="3:6" x14ac:dyDescent="0.25">
      <c r="C52" s="5" t="s">
        <v>64</v>
      </c>
      <c r="D52" s="4"/>
      <c r="E52" s="4"/>
      <c r="F52" s="4"/>
    </row>
    <row r="53" spans="3:6" x14ac:dyDescent="0.25">
      <c r="C53" s="5" t="s">
        <v>64</v>
      </c>
      <c r="D53" s="4"/>
      <c r="E53" s="4"/>
      <c r="F53" s="4"/>
    </row>
    <row r="54" spans="3:6" x14ac:dyDescent="0.25">
      <c r="C54" s="5" t="s">
        <v>64</v>
      </c>
      <c r="D54" s="4"/>
      <c r="E54" s="4"/>
      <c r="F54" s="4"/>
    </row>
    <row r="55" spans="3:6" x14ac:dyDescent="0.25">
      <c r="C55" s="5" t="s">
        <v>65</v>
      </c>
      <c r="D55" s="4"/>
      <c r="E55" s="4"/>
      <c r="F55" s="4"/>
    </row>
    <row r="56" spans="3:6" x14ac:dyDescent="0.25">
      <c r="C56" s="5" t="s">
        <v>65</v>
      </c>
      <c r="D56" s="4"/>
      <c r="E56" s="4"/>
      <c r="F56" s="4"/>
    </row>
    <row r="57" spans="3:6" x14ac:dyDescent="0.25">
      <c r="C57" s="5"/>
      <c r="D57" s="4"/>
      <c r="E57" s="4"/>
      <c r="F57" s="4"/>
    </row>
    <row r="58" spans="3:6" x14ac:dyDescent="0.25">
      <c r="C58" s="5"/>
      <c r="D58" s="4"/>
      <c r="E58" s="4"/>
      <c r="F58" s="4"/>
    </row>
    <row r="59" spans="3:6" x14ac:dyDescent="0.25">
      <c r="C59" s="5"/>
      <c r="D59" s="4"/>
      <c r="E59" s="4"/>
      <c r="F59" s="4"/>
    </row>
    <row r="60" spans="3:6" x14ac:dyDescent="0.25">
      <c r="C60" s="5"/>
      <c r="D60" s="4"/>
      <c r="E60" s="4"/>
      <c r="F60" s="4"/>
    </row>
    <row r="61" spans="3:6" x14ac:dyDescent="0.25">
      <c r="C61" s="5"/>
      <c r="D61" s="4"/>
      <c r="E61" s="4"/>
      <c r="F61" s="4"/>
    </row>
    <row r="62" spans="3:6" x14ac:dyDescent="0.25">
      <c r="C62" s="5"/>
      <c r="D62" s="4"/>
      <c r="E62" s="4"/>
      <c r="F62" s="4"/>
    </row>
    <row r="63" spans="3:6" x14ac:dyDescent="0.25">
      <c r="C63" s="5"/>
      <c r="D63" s="4"/>
      <c r="E63" s="4"/>
      <c r="F63" s="4"/>
    </row>
    <row r="64" spans="3:6" x14ac:dyDescent="0.25">
      <c r="C64" s="5"/>
      <c r="D64" s="4"/>
      <c r="E64" s="4"/>
      <c r="F64" s="4"/>
    </row>
    <row r="65" spans="2:6" x14ac:dyDescent="0.25">
      <c r="C65" s="5"/>
      <c r="D65" s="4"/>
      <c r="E65" s="4"/>
      <c r="F65" s="4"/>
    </row>
    <row r="66" spans="2:6" x14ac:dyDescent="0.25">
      <c r="C66" s="5"/>
      <c r="D66" s="4"/>
      <c r="E66" s="4"/>
      <c r="F66" s="4"/>
    </row>
    <row r="69" spans="2:6" ht="18.75" x14ac:dyDescent="0.25">
      <c r="C69" s="31" t="s">
        <v>76</v>
      </c>
    </row>
    <row r="70" spans="2:6" x14ac:dyDescent="0.25">
      <c r="B70" s="27" t="s">
        <v>77</v>
      </c>
      <c r="C70" s="29" t="s">
        <v>78</v>
      </c>
      <c r="D70" s="29" t="s">
        <v>79</v>
      </c>
      <c r="E70" s="29" t="s">
        <v>80</v>
      </c>
      <c r="F70" s="29" t="s">
        <v>81</v>
      </c>
    </row>
    <row r="71" spans="2:6" x14ac:dyDescent="0.25">
      <c r="B71" s="38">
        <v>1</v>
      </c>
      <c r="C71" s="39">
        <v>1</v>
      </c>
      <c r="D71" s="1"/>
      <c r="E71" s="1"/>
      <c r="F71" s="1"/>
    </row>
    <row r="72" spans="2:6" x14ac:dyDescent="0.25">
      <c r="B72" s="38">
        <v>1</v>
      </c>
      <c r="C72" s="39">
        <v>2</v>
      </c>
      <c r="D72" s="1"/>
      <c r="E72" s="1"/>
      <c r="F72" s="1"/>
    </row>
    <row r="73" spans="2:6" x14ac:dyDescent="0.25">
      <c r="B73" s="38">
        <v>1</v>
      </c>
      <c r="C73" s="39">
        <v>3</v>
      </c>
      <c r="D73" s="1"/>
      <c r="E73" s="1"/>
      <c r="F73" s="1"/>
    </row>
    <row r="74" spans="2:6" x14ac:dyDescent="0.25">
      <c r="B74" s="38">
        <v>1</v>
      </c>
      <c r="C74" s="39">
        <v>4</v>
      </c>
      <c r="D74" s="1"/>
      <c r="E74" s="1"/>
      <c r="F74" s="1"/>
    </row>
    <row r="75" spans="2:6" x14ac:dyDescent="0.25">
      <c r="B75" s="38">
        <v>1</v>
      </c>
      <c r="C75" s="39">
        <v>5</v>
      </c>
      <c r="D75" s="1"/>
      <c r="E75" s="1"/>
      <c r="F75" s="1"/>
    </row>
    <row r="76" spans="2:6" x14ac:dyDescent="0.25">
      <c r="B76" s="38">
        <v>1</v>
      </c>
      <c r="C76" s="39">
        <v>6</v>
      </c>
      <c r="D76" s="1"/>
      <c r="E76" s="1"/>
      <c r="F76" s="1"/>
    </row>
    <row r="77" spans="2:6" x14ac:dyDescent="0.25">
      <c r="B77" s="38">
        <v>1</v>
      </c>
      <c r="C77" s="39">
        <v>7</v>
      </c>
      <c r="D77" s="1"/>
      <c r="E77" s="1"/>
      <c r="F77" s="1"/>
    </row>
    <row r="78" spans="2:6" x14ac:dyDescent="0.25">
      <c r="B78" s="38">
        <v>1</v>
      </c>
      <c r="C78" s="39">
        <v>8</v>
      </c>
      <c r="D78" s="1"/>
      <c r="E78" s="1"/>
      <c r="F78" s="1"/>
    </row>
    <row r="79" spans="2:6" x14ac:dyDescent="0.25">
      <c r="B79" s="38">
        <v>1</v>
      </c>
      <c r="C79" s="39">
        <v>9</v>
      </c>
      <c r="D79" s="1"/>
      <c r="E79" s="1"/>
      <c r="F79" s="1"/>
    </row>
    <row r="80" spans="2:6" x14ac:dyDescent="0.25">
      <c r="B80" s="38">
        <v>1</v>
      </c>
      <c r="C80" s="39">
        <v>10</v>
      </c>
      <c r="D80" s="1"/>
      <c r="E80" s="1"/>
      <c r="F80" s="1"/>
    </row>
    <row r="81" spans="2:6" x14ac:dyDescent="0.25">
      <c r="B81" s="38">
        <v>1</v>
      </c>
      <c r="C81" s="39">
        <v>11</v>
      </c>
      <c r="D81" s="1"/>
      <c r="E81" s="1"/>
      <c r="F81" s="1"/>
    </row>
    <row r="82" spans="2:6" x14ac:dyDescent="0.25">
      <c r="B82" s="38">
        <v>1</v>
      </c>
      <c r="C82" s="39">
        <v>12</v>
      </c>
      <c r="D82" s="1"/>
      <c r="E82" s="1"/>
      <c r="F82" s="1"/>
    </row>
    <row r="83" spans="2:6" x14ac:dyDescent="0.25">
      <c r="B83" s="38">
        <v>2</v>
      </c>
      <c r="C83" s="39">
        <v>1</v>
      </c>
      <c r="D83" s="1" t="s">
        <v>620</v>
      </c>
      <c r="E83" s="1" t="s">
        <v>142</v>
      </c>
      <c r="F83" s="1" t="s">
        <v>621</v>
      </c>
    </row>
    <row r="84" spans="2:6" ht="45" x14ac:dyDescent="0.25">
      <c r="B84" s="38">
        <v>2</v>
      </c>
      <c r="C84" s="39">
        <v>2</v>
      </c>
      <c r="D84" s="1" t="s">
        <v>622</v>
      </c>
      <c r="E84" s="1" t="s">
        <v>623</v>
      </c>
      <c r="F84" s="1" t="s">
        <v>624</v>
      </c>
    </row>
    <row r="85" spans="2:6" ht="75" x14ac:dyDescent="0.25">
      <c r="B85" s="38">
        <v>2</v>
      </c>
      <c r="C85" s="39">
        <v>3</v>
      </c>
      <c r="D85" s="1" t="s">
        <v>625</v>
      </c>
      <c r="E85" s="1" t="s">
        <v>626</v>
      </c>
      <c r="F85" s="1" t="s">
        <v>627</v>
      </c>
    </row>
    <row r="86" spans="2:6" ht="45" x14ac:dyDescent="0.25">
      <c r="B86" s="38">
        <v>2</v>
      </c>
      <c r="C86" s="39">
        <v>4</v>
      </c>
      <c r="D86" s="1" t="s">
        <v>628</v>
      </c>
      <c r="E86" s="1" t="s">
        <v>629</v>
      </c>
      <c r="F86" s="1" t="s">
        <v>630</v>
      </c>
    </row>
    <row r="87" spans="2:6" x14ac:dyDescent="0.25">
      <c r="B87" s="38">
        <v>2</v>
      </c>
      <c r="C87" s="39">
        <v>5</v>
      </c>
      <c r="D87" s="1" t="s">
        <v>631</v>
      </c>
      <c r="E87" s="1" t="s">
        <v>632</v>
      </c>
      <c r="F87" s="1" t="s">
        <v>633</v>
      </c>
    </row>
    <row r="88" spans="2:6" x14ac:dyDescent="0.25">
      <c r="B88" s="38">
        <v>2</v>
      </c>
      <c r="C88" s="39">
        <v>6</v>
      </c>
      <c r="D88" s="1" t="s">
        <v>634</v>
      </c>
      <c r="E88" s="1" t="s">
        <v>635</v>
      </c>
      <c r="F88" s="1" t="s">
        <v>636</v>
      </c>
    </row>
    <row r="89" spans="2:6" ht="75" x14ac:dyDescent="0.25">
      <c r="B89" s="38">
        <v>2</v>
      </c>
      <c r="C89" s="39">
        <v>7</v>
      </c>
      <c r="D89" s="1" t="s">
        <v>637</v>
      </c>
      <c r="E89" s="1" t="s">
        <v>638</v>
      </c>
      <c r="F89" s="1" t="s">
        <v>639</v>
      </c>
    </row>
    <row r="90" spans="2:6" ht="75" x14ac:dyDescent="0.25">
      <c r="B90" s="38">
        <v>2</v>
      </c>
      <c r="C90" s="39">
        <v>8</v>
      </c>
      <c r="D90" s="1" t="s">
        <v>640</v>
      </c>
      <c r="E90" s="1" t="s">
        <v>641</v>
      </c>
      <c r="F90" s="1" t="s">
        <v>642</v>
      </c>
    </row>
    <row r="91" spans="2:6" ht="75" x14ac:dyDescent="0.25">
      <c r="B91" s="38">
        <v>2</v>
      </c>
      <c r="C91" s="39">
        <v>9</v>
      </c>
      <c r="D91" s="1" t="s">
        <v>643</v>
      </c>
      <c r="E91" s="1" t="s">
        <v>644</v>
      </c>
      <c r="F91" s="1" t="s">
        <v>645</v>
      </c>
    </row>
    <row r="92" spans="2:6" ht="75" x14ac:dyDescent="0.25">
      <c r="B92" s="38">
        <v>2</v>
      </c>
      <c r="C92" s="39">
        <v>10</v>
      </c>
      <c r="D92" s="1" t="s">
        <v>646</v>
      </c>
      <c r="E92" s="1" t="s">
        <v>647</v>
      </c>
      <c r="F92" s="1" t="s">
        <v>648</v>
      </c>
    </row>
    <row r="93" spans="2:6" ht="30" x14ac:dyDescent="0.25">
      <c r="B93" s="38">
        <v>2</v>
      </c>
      <c r="C93" s="39">
        <v>11</v>
      </c>
      <c r="D93" s="1" t="s">
        <v>649</v>
      </c>
      <c r="E93" s="1" t="s">
        <v>650</v>
      </c>
      <c r="F93" s="1" t="s">
        <v>651</v>
      </c>
    </row>
    <row r="94" spans="2:6" ht="45" x14ac:dyDescent="0.25">
      <c r="B94" s="38">
        <v>2</v>
      </c>
      <c r="C94" s="39">
        <v>12</v>
      </c>
      <c r="D94" s="1" t="s">
        <v>652</v>
      </c>
      <c r="E94" s="1" t="s">
        <v>337</v>
      </c>
      <c r="F94" s="1" t="s">
        <v>653</v>
      </c>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228872C6-6A06-4732-B8A1-E6B94CB81102}">
      <formula1>0</formula1>
      <formula2>80</formula2>
    </dataValidation>
    <dataValidation type="whole" showInputMessage="1" showErrorMessage="1" error="This is not a realistic number of contact hours please change" sqref="D19" xr:uid="{F79CE569-989B-479F-8826-338510A79154}">
      <formula1>0</formula1>
      <formula2>80</formula2>
    </dataValidation>
    <dataValidation type="list" allowBlank="1" showInputMessage="1" showErrorMessage="1" sqref="E38:E41" xr:uid="{6E90B7E5-5035-4F89-B270-578FA2975164}">
      <formula1>INDIRECT("LISTAssess[Assessment Specific]")</formula1>
    </dataValidation>
    <dataValidation type="list" allowBlank="1" showInputMessage="1" showErrorMessage="1" sqref="F46:F66" xr:uid="{0A41CE66-A84F-4E65-BA05-CA863B7746FB}">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261BA6EE-88F7-427A-BCD6-8C9348F9245C}">
          <x14:formula1>
            <xm:f>LISTS!$C$26:$C$37</xm:f>
          </x14:formula1>
          <xm:sqref>D14</xm:sqref>
        </x14:dataValidation>
        <x14:dataValidation type="list" allowBlank="1" showInputMessage="1" showErrorMessage="1" xr:uid="{BE38852D-057D-456A-8583-51979A3F9408}">
          <x14:formula1>
            <xm:f>LISTS!$C$17:$C$22</xm:f>
          </x14:formula1>
          <xm:sqref>D13</xm:sqref>
        </x14:dataValidation>
        <x14:dataValidation type="list" allowBlank="1" showInputMessage="1" showErrorMessage="1" xr:uid="{09331423-59E2-4171-9695-7BE4C02AFE53}">
          <x14:formula1>
            <xm:f>LISTS!$C$7:$C$9</xm:f>
          </x14:formula1>
          <xm:sqref>D10</xm:sqref>
        </x14:dataValidation>
        <x14:dataValidation type="list" allowBlank="1" showInputMessage="1" showErrorMessage="1" xr:uid="{2507034E-37B5-446A-AFCD-F99DE72488BA}">
          <x14:formula1>
            <xm:f>LISTS!$C$11:$C$15</xm:f>
          </x14:formula1>
          <xm:sqref>D11</xm:sqref>
        </x14:dataValidation>
        <x14:dataValidation type="list" allowBlank="1" showInputMessage="1" showErrorMessage="1" xr:uid="{A7BB251E-C289-4AFE-837E-75E3985C6AC4}">
          <x14:formula1>
            <xm:f>LISTS!$G$7:$G$11</xm:f>
          </x14:formula1>
          <xm:sqref>D38:D42</xm:sqref>
        </x14:dataValidation>
        <x14:dataValidation type="list" allowBlank="1" showInputMessage="1" showErrorMessage="1" xr:uid="{91A4DB0E-9988-4C67-88FE-0DC4AE014787}">
          <x14:formula1>
            <xm:f>LISTS!$E$7:$E$11</xm:f>
          </x14:formula1>
          <xm:sqref>D46:D66</xm:sqref>
        </x14:dataValidation>
        <x14:dataValidation type="list" allowBlank="1" showInputMessage="1" showErrorMessage="1" xr:uid="{431E3138-B78E-40DB-8906-C5B6A90BA4A5}">
          <x14:formula1>
            <xm:f>LISTS!$J$7:$J$16</xm:f>
          </x14:formula1>
          <xm:sqref>E46:E66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B88F2-57F5-49DF-8E52-0E95DE3CFAC4}">
  <sheetPr codeName="Sheet12"/>
  <dimension ref="B2:H94"/>
  <sheetViews>
    <sheetView showGridLines="0" topLeftCell="A2" zoomScale="85" zoomScaleNormal="85" workbookViewId="0">
      <selection activeCell="F33" sqref="F33"/>
    </sheetView>
  </sheetViews>
  <sheetFormatPr defaultRowHeight="15" x14ac:dyDescent="0.25"/>
  <cols>
    <col min="1" max="2" width="9.140625" style="27"/>
    <col min="3" max="3" width="33.28515625" style="27" customWidth="1"/>
    <col min="4" max="4" width="51.5703125" style="27" customWidth="1"/>
    <col min="5" max="5" width="67.28515625" style="27" customWidth="1"/>
    <col min="6" max="6" width="63.140625" style="27" customWidth="1"/>
    <col min="7" max="7" width="12.42578125" style="27" customWidth="1"/>
    <col min="8" max="8" width="15.5703125" style="27" customWidth="1"/>
    <col min="9" max="9" width="14.7109375" style="27" customWidth="1"/>
    <col min="10" max="16384" width="9.140625" style="27"/>
  </cols>
  <sheetData>
    <row r="2" spans="2:6" ht="26.25" x14ac:dyDescent="0.4">
      <c r="C2" s="28" t="str">
        <f>D7</f>
        <v>6008SPS</v>
      </c>
      <c r="D2" s="28" t="str">
        <f>D8</f>
        <v xml:space="preserve">Capstone Placement Project </v>
      </c>
    </row>
    <row r="3" spans="2:6" x14ac:dyDescent="0.25">
      <c r="B3" s="29"/>
      <c r="C3" s="29"/>
    </row>
    <row r="4" spans="2:6" x14ac:dyDescent="0.25">
      <c r="B4" s="30"/>
      <c r="C4" s="30"/>
    </row>
    <row r="5" spans="2:6" ht="18.75" x14ac:dyDescent="0.25">
      <c r="B5" s="30"/>
      <c r="C5" s="31" t="s">
        <v>0</v>
      </c>
    </row>
    <row r="6" spans="2:6" x14ac:dyDescent="0.25">
      <c r="B6" s="30"/>
      <c r="C6" s="32" t="s">
        <v>1</v>
      </c>
      <c r="D6" s="33" t="s">
        <v>2</v>
      </c>
      <c r="E6" s="33"/>
      <c r="F6" s="27" t="s">
        <v>3</v>
      </c>
    </row>
    <row r="7" spans="2:6" x14ac:dyDescent="0.25">
      <c r="B7" s="30"/>
      <c r="C7" s="37" t="s">
        <v>4</v>
      </c>
      <c r="D7" s="1" t="s">
        <v>654</v>
      </c>
      <c r="E7" s="33"/>
      <c r="F7" s="4"/>
    </row>
    <row r="8" spans="2:6" x14ac:dyDescent="0.25">
      <c r="B8" s="30"/>
      <c r="C8" s="37" t="s">
        <v>7</v>
      </c>
      <c r="D8" s="1" t="s">
        <v>655</v>
      </c>
      <c r="E8" s="33"/>
      <c r="F8" s="4"/>
    </row>
    <row r="9" spans="2:6" x14ac:dyDescent="0.25">
      <c r="C9" s="37" t="s">
        <v>9</v>
      </c>
      <c r="D9" s="1">
        <v>60</v>
      </c>
      <c r="E9" s="33"/>
    </row>
    <row r="10" spans="2:6" x14ac:dyDescent="0.25">
      <c r="C10" s="37" t="s">
        <v>10</v>
      </c>
      <c r="D10" s="1" t="s">
        <v>11</v>
      </c>
      <c r="E10" s="33"/>
      <c r="F10" s="27" t="s">
        <v>12</v>
      </c>
    </row>
    <row r="11" spans="2:6" x14ac:dyDescent="0.25">
      <c r="C11" s="37" t="s">
        <v>13</v>
      </c>
      <c r="D11" s="1">
        <v>6</v>
      </c>
      <c r="E11" s="33"/>
      <c r="F11" s="4"/>
    </row>
    <row r="12" spans="2:6" x14ac:dyDescent="0.25">
      <c r="C12" s="37" t="s">
        <v>15</v>
      </c>
      <c r="D12" s="1" t="s">
        <v>656</v>
      </c>
      <c r="E12" s="33"/>
      <c r="F12" s="4"/>
    </row>
    <row r="13" spans="2:6" x14ac:dyDescent="0.25">
      <c r="C13" s="37" t="s">
        <v>17</v>
      </c>
      <c r="D13" s="1" t="s">
        <v>18</v>
      </c>
      <c r="E13" s="33"/>
      <c r="F13" s="4"/>
    </row>
    <row r="14" spans="2:6" x14ac:dyDescent="0.25">
      <c r="C14" s="37" t="s">
        <v>19</v>
      </c>
      <c r="D14" s="1" t="s">
        <v>20</v>
      </c>
      <c r="E14" s="33"/>
    </row>
    <row r="15" spans="2:6" x14ac:dyDescent="0.25">
      <c r="C15" s="32"/>
      <c r="D15" s="33"/>
      <c r="E15" s="33"/>
      <c r="F15" s="27" t="s">
        <v>21</v>
      </c>
    </row>
    <row r="16" spans="2:6" x14ac:dyDescent="0.25">
      <c r="C16" s="32"/>
      <c r="D16" s="33"/>
      <c r="E16" s="33"/>
      <c r="F16" s="4"/>
    </row>
    <row r="17" spans="3:6" ht="18.75" x14ac:dyDescent="0.25">
      <c r="C17" s="31" t="s">
        <v>23</v>
      </c>
      <c r="D17" s="33"/>
      <c r="E17" s="33"/>
      <c r="F17" s="4"/>
    </row>
    <row r="18" spans="3:6" x14ac:dyDescent="0.25">
      <c r="C18" s="32" t="s">
        <v>24</v>
      </c>
      <c r="D18" s="29" t="s">
        <v>23</v>
      </c>
      <c r="E18" s="33"/>
      <c r="F18" s="4"/>
    </row>
    <row r="19" spans="3:6" x14ac:dyDescent="0.25">
      <c r="C19" s="37" t="s">
        <v>25</v>
      </c>
      <c r="D19" s="2"/>
      <c r="E19" s="33"/>
      <c r="F19" s="4"/>
    </row>
    <row r="20" spans="3:6" x14ac:dyDescent="0.25">
      <c r="C20" s="37" t="s">
        <v>26</v>
      </c>
      <c r="D20" s="2"/>
      <c r="E20" s="33"/>
      <c r="F20" s="4"/>
    </row>
    <row r="21" spans="3:6" x14ac:dyDescent="0.25">
      <c r="C21" s="37" t="s">
        <v>27</v>
      </c>
      <c r="D21" s="2"/>
      <c r="E21" s="33"/>
    </row>
    <row r="22" spans="3:6" x14ac:dyDescent="0.25">
      <c r="C22" s="37" t="s">
        <v>28</v>
      </c>
      <c r="D22" s="2"/>
      <c r="E22" s="33"/>
      <c r="F22" s="27" t="s">
        <v>29</v>
      </c>
    </row>
    <row r="23" spans="3:6" x14ac:dyDescent="0.25">
      <c r="C23" s="37" t="s">
        <v>30</v>
      </c>
      <c r="D23" s="2"/>
      <c r="E23" s="33"/>
      <c r="F23" s="4"/>
    </row>
    <row r="24" spans="3:6" x14ac:dyDescent="0.25">
      <c r="C24" s="37" t="s">
        <v>32</v>
      </c>
      <c r="D24" s="29">
        <f>SUM(D19:D23)</f>
        <v>0</v>
      </c>
      <c r="E24" s="33"/>
      <c r="F24" s="4"/>
    </row>
    <row r="25" spans="3:6" x14ac:dyDescent="0.25">
      <c r="F25" s="4"/>
    </row>
    <row r="26" spans="3:6" x14ac:dyDescent="0.25">
      <c r="F26" s="4"/>
    </row>
    <row r="27" spans="3:6" ht="18.75" x14ac:dyDescent="0.25">
      <c r="C27" s="31" t="s">
        <v>36</v>
      </c>
      <c r="D27" s="34" t="s">
        <v>37</v>
      </c>
      <c r="F27" s="4"/>
    </row>
    <row r="28" spans="3:6" x14ac:dyDescent="0.25">
      <c r="C28" s="32" t="s">
        <v>39</v>
      </c>
      <c r="D28" s="32" t="s">
        <v>40</v>
      </c>
      <c r="E28" s="32"/>
      <c r="F28" s="4"/>
    </row>
    <row r="29" spans="3:6" x14ac:dyDescent="0.25">
      <c r="C29" s="37" t="s">
        <v>42</v>
      </c>
      <c r="D29" s="1"/>
      <c r="E29" s="33"/>
      <c r="F29" s="4"/>
    </row>
    <row r="30" spans="3:6" x14ac:dyDescent="0.25">
      <c r="C30" s="37" t="s">
        <v>44</v>
      </c>
      <c r="D30" s="1"/>
      <c r="E30" s="33"/>
      <c r="F30" s="4"/>
    </row>
    <row r="31" spans="3:6" x14ac:dyDescent="0.25">
      <c r="C31" s="37" t="s">
        <v>46</v>
      </c>
      <c r="D31" s="1"/>
      <c r="E31" s="33"/>
      <c r="F31" s="4"/>
    </row>
    <row r="32" spans="3:6" x14ac:dyDescent="0.25">
      <c r="C32" s="37" t="s">
        <v>48</v>
      </c>
      <c r="D32" s="1"/>
      <c r="E32" s="33"/>
      <c r="F32" s="4"/>
    </row>
    <row r="33" spans="3:8" x14ac:dyDescent="0.25">
      <c r="C33" s="37" t="s">
        <v>49</v>
      </c>
      <c r="D33" s="1"/>
      <c r="E33" s="33"/>
      <c r="F33" s="4"/>
    </row>
    <row r="36" spans="3:8" ht="18.75" x14ac:dyDescent="0.25">
      <c r="C36" s="31" t="s">
        <v>50</v>
      </c>
    </row>
    <row r="37" spans="3:8" x14ac:dyDescent="0.25">
      <c r="C37" s="32" t="s">
        <v>51</v>
      </c>
      <c r="D37" s="32" t="s">
        <v>52</v>
      </c>
      <c r="E37" s="32" t="s">
        <v>53</v>
      </c>
      <c r="F37" s="32" t="s">
        <v>54</v>
      </c>
      <c r="G37" s="32" t="s">
        <v>55</v>
      </c>
      <c r="H37" s="32" t="s">
        <v>56</v>
      </c>
    </row>
    <row r="38" spans="3:8" x14ac:dyDescent="0.25">
      <c r="C38" s="37" t="s">
        <v>57</v>
      </c>
      <c r="D38" s="1"/>
      <c r="E38" s="1"/>
      <c r="F38" s="1"/>
      <c r="G38" s="3"/>
      <c r="H38" s="1"/>
    </row>
    <row r="39" spans="3:8" x14ac:dyDescent="0.25">
      <c r="C39" s="37" t="s">
        <v>61</v>
      </c>
      <c r="D39" s="1"/>
      <c r="E39" s="1"/>
      <c r="F39" s="1"/>
      <c r="G39" s="3"/>
      <c r="H39" s="1"/>
    </row>
    <row r="40" spans="3:8" x14ac:dyDescent="0.25">
      <c r="C40" s="37" t="s">
        <v>64</v>
      </c>
      <c r="D40" s="4"/>
      <c r="E40" s="4"/>
      <c r="F40" s="4"/>
      <c r="G40" s="4"/>
      <c r="H40" s="4"/>
    </row>
    <row r="41" spans="3:8" x14ac:dyDescent="0.25">
      <c r="C41" s="37" t="s">
        <v>65</v>
      </c>
      <c r="D41" s="4"/>
      <c r="E41" s="4"/>
      <c r="F41" s="4"/>
      <c r="G41" s="4"/>
      <c r="H41" s="4"/>
    </row>
    <row r="42" spans="3:8" x14ac:dyDescent="0.25">
      <c r="C42" s="32"/>
    </row>
    <row r="44" spans="3:8" ht="18.75" x14ac:dyDescent="0.25">
      <c r="C44" s="31" t="s">
        <v>66</v>
      </c>
      <c r="D44" s="34"/>
    </row>
    <row r="45" spans="3:8" x14ac:dyDescent="0.25">
      <c r="C45" s="29" t="s">
        <v>51</v>
      </c>
      <c r="D45" s="29" t="s">
        <v>39</v>
      </c>
      <c r="E45" s="29" t="s">
        <v>67</v>
      </c>
      <c r="F45" s="29" t="s">
        <v>68</v>
      </c>
    </row>
    <row r="46" spans="3:8" x14ac:dyDescent="0.25">
      <c r="C46" s="5" t="s">
        <v>57</v>
      </c>
      <c r="D46" s="4" t="s">
        <v>42</v>
      </c>
      <c r="E46" s="4" t="s">
        <v>138</v>
      </c>
      <c r="F46" s="4" t="s">
        <v>139</v>
      </c>
    </row>
    <row r="47" spans="3:8" x14ac:dyDescent="0.25">
      <c r="C47" s="5" t="s">
        <v>57</v>
      </c>
      <c r="D47" s="4" t="s">
        <v>42</v>
      </c>
      <c r="E47" s="4" t="s">
        <v>138</v>
      </c>
      <c r="F47" s="4" t="s">
        <v>196</v>
      </c>
    </row>
    <row r="48" spans="3:8" x14ac:dyDescent="0.25">
      <c r="C48" s="5" t="s">
        <v>57</v>
      </c>
      <c r="D48" s="4" t="s">
        <v>42</v>
      </c>
      <c r="E48" s="4" t="s">
        <v>71</v>
      </c>
      <c r="F48" s="4" t="s">
        <v>197</v>
      </c>
    </row>
    <row r="49" spans="3:6" x14ac:dyDescent="0.25">
      <c r="C49" s="5" t="s">
        <v>61</v>
      </c>
      <c r="D49" s="4" t="s">
        <v>44</v>
      </c>
      <c r="E49" s="4" t="s">
        <v>73</v>
      </c>
      <c r="F49" s="4" t="s">
        <v>140</v>
      </c>
    </row>
    <row r="50" spans="3:6" x14ac:dyDescent="0.25">
      <c r="C50" s="5" t="s">
        <v>61</v>
      </c>
      <c r="D50" s="4" t="s">
        <v>44</v>
      </c>
      <c r="E50" s="4" t="s">
        <v>252</v>
      </c>
      <c r="F50" s="4" t="s">
        <v>657</v>
      </c>
    </row>
    <row r="51" spans="3:6" x14ac:dyDescent="0.25">
      <c r="C51" s="5" t="s">
        <v>61</v>
      </c>
      <c r="D51" s="4"/>
      <c r="E51" s="4"/>
      <c r="F51" s="4"/>
    </row>
    <row r="52" spans="3:6" x14ac:dyDescent="0.25">
      <c r="C52" s="5" t="s">
        <v>64</v>
      </c>
      <c r="D52" s="4"/>
      <c r="E52" s="4"/>
      <c r="F52" s="4"/>
    </row>
    <row r="53" spans="3:6" x14ac:dyDescent="0.25">
      <c r="C53" s="5" t="s">
        <v>64</v>
      </c>
      <c r="D53" s="4"/>
      <c r="E53" s="4"/>
      <c r="F53" s="4"/>
    </row>
    <row r="54" spans="3:6" x14ac:dyDescent="0.25">
      <c r="C54" s="5" t="s">
        <v>64</v>
      </c>
      <c r="D54" s="4"/>
      <c r="E54" s="4"/>
      <c r="F54" s="4"/>
    </row>
    <row r="55" spans="3:6" x14ac:dyDescent="0.25">
      <c r="C55" s="5" t="s">
        <v>65</v>
      </c>
      <c r="D55" s="4"/>
      <c r="E55" s="4"/>
      <c r="F55" s="4"/>
    </row>
    <row r="56" spans="3:6" x14ac:dyDescent="0.25">
      <c r="C56" s="5" t="s">
        <v>65</v>
      </c>
      <c r="D56" s="4"/>
      <c r="E56" s="4"/>
      <c r="F56" s="4"/>
    </row>
    <row r="57" spans="3:6" x14ac:dyDescent="0.25">
      <c r="C57" s="5"/>
      <c r="D57" s="4"/>
      <c r="E57" s="4"/>
      <c r="F57" s="4"/>
    </row>
    <row r="58" spans="3:6" x14ac:dyDescent="0.25">
      <c r="C58" s="5"/>
      <c r="D58" s="4"/>
      <c r="E58" s="4"/>
      <c r="F58" s="4"/>
    </row>
    <row r="59" spans="3:6" x14ac:dyDescent="0.25">
      <c r="C59" s="5"/>
      <c r="D59" s="4"/>
      <c r="E59" s="4"/>
      <c r="F59" s="4"/>
    </row>
    <row r="60" spans="3:6" x14ac:dyDescent="0.25">
      <c r="C60" s="5"/>
      <c r="D60" s="4"/>
      <c r="E60" s="4"/>
      <c r="F60" s="4"/>
    </row>
    <row r="61" spans="3:6" x14ac:dyDescent="0.25">
      <c r="C61" s="5"/>
      <c r="D61" s="4"/>
      <c r="E61" s="4"/>
      <c r="F61" s="4"/>
    </row>
    <row r="62" spans="3:6" x14ac:dyDescent="0.25">
      <c r="C62" s="5"/>
      <c r="D62" s="4"/>
      <c r="E62" s="4"/>
      <c r="F62" s="4"/>
    </row>
    <row r="63" spans="3:6" x14ac:dyDescent="0.25">
      <c r="C63" s="5"/>
      <c r="D63" s="4"/>
      <c r="E63" s="4"/>
      <c r="F63" s="4"/>
    </row>
    <row r="64" spans="3:6" x14ac:dyDescent="0.25">
      <c r="C64" s="5"/>
      <c r="D64" s="4"/>
      <c r="E64" s="4"/>
      <c r="F64" s="4"/>
    </row>
    <row r="65" spans="2:6" x14ac:dyDescent="0.25">
      <c r="C65" s="5"/>
      <c r="D65" s="4"/>
      <c r="E65" s="4"/>
      <c r="F65" s="4"/>
    </row>
    <row r="66" spans="2:6" x14ac:dyDescent="0.25">
      <c r="C66" s="5"/>
      <c r="D66" s="4"/>
      <c r="E66" s="4"/>
      <c r="F66" s="4"/>
    </row>
    <row r="69" spans="2:6" ht="18.75" x14ac:dyDescent="0.25">
      <c r="C69" s="31" t="s">
        <v>76</v>
      </c>
    </row>
    <row r="70" spans="2:6" x14ac:dyDescent="0.25">
      <c r="B70" s="27" t="s">
        <v>77</v>
      </c>
      <c r="C70" s="29" t="s">
        <v>78</v>
      </c>
      <c r="D70" s="29" t="s">
        <v>79</v>
      </c>
      <c r="E70" s="29" t="s">
        <v>80</v>
      </c>
      <c r="F70" s="29" t="s">
        <v>81</v>
      </c>
    </row>
    <row r="71" spans="2:6" x14ac:dyDescent="0.25">
      <c r="B71" s="38">
        <v>1</v>
      </c>
      <c r="C71" s="39">
        <v>1</v>
      </c>
      <c r="D71" s="1"/>
      <c r="E71" s="1"/>
      <c r="F71" s="1"/>
    </row>
    <row r="72" spans="2:6" x14ac:dyDescent="0.25">
      <c r="B72" s="38">
        <v>1</v>
      </c>
      <c r="C72" s="39">
        <v>2</v>
      </c>
      <c r="D72" s="1"/>
      <c r="E72" s="1"/>
      <c r="F72" s="1"/>
    </row>
    <row r="73" spans="2:6" x14ac:dyDescent="0.25">
      <c r="B73" s="38">
        <v>1</v>
      </c>
      <c r="C73" s="39">
        <v>3</v>
      </c>
      <c r="D73" s="1"/>
      <c r="E73" s="1"/>
      <c r="F73" s="1"/>
    </row>
    <row r="74" spans="2:6" x14ac:dyDescent="0.25">
      <c r="B74" s="38">
        <v>1</v>
      </c>
      <c r="C74" s="39">
        <v>4</v>
      </c>
      <c r="D74" s="1"/>
      <c r="E74" s="1"/>
      <c r="F74" s="1"/>
    </row>
    <row r="75" spans="2:6" x14ac:dyDescent="0.25">
      <c r="B75" s="38">
        <v>1</v>
      </c>
      <c r="C75" s="39">
        <v>5</v>
      </c>
      <c r="D75" s="1"/>
      <c r="E75" s="1"/>
      <c r="F75" s="1"/>
    </row>
    <row r="76" spans="2:6" x14ac:dyDescent="0.25">
      <c r="B76" s="38">
        <v>1</v>
      </c>
      <c r="C76" s="39">
        <v>6</v>
      </c>
      <c r="D76" s="1"/>
      <c r="E76" s="1"/>
      <c r="F76" s="1"/>
    </row>
    <row r="77" spans="2:6" x14ac:dyDescent="0.25">
      <c r="B77" s="38">
        <v>1</v>
      </c>
      <c r="C77" s="39">
        <v>7</v>
      </c>
      <c r="D77" s="1"/>
      <c r="E77" s="1"/>
      <c r="F77" s="1"/>
    </row>
    <row r="78" spans="2:6" x14ac:dyDescent="0.25">
      <c r="B78" s="38">
        <v>1</v>
      </c>
      <c r="C78" s="39">
        <v>8</v>
      </c>
      <c r="D78" s="1"/>
      <c r="E78" s="1"/>
      <c r="F78" s="1"/>
    </row>
    <row r="79" spans="2:6" x14ac:dyDescent="0.25">
      <c r="B79" s="38">
        <v>1</v>
      </c>
      <c r="C79" s="39">
        <v>9</v>
      </c>
      <c r="D79" s="1"/>
      <c r="E79" s="1"/>
      <c r="F79" s="1"/>
    </row>
    <row r="80" spans="2:6" x14ac:dyDescent="0.25">
      <c r="B80" s="38">
        <v>1</v>
      </c>
      <c r="C80" s="39">
        <v>10</v>
      </c>
      <c r="D80" s="1"/>
      <c r="E80" s="1"/>
      <c r="F80" s="1"/>
    </row>
    <row r="81" spans="2:6" x14ac:dyDescent="0.25">
      <c r="B81" s="38">
        <v>1</v>
      </c>
      <c r="C81" s="39">
        <v>11</v>
      </c>
      <c r="D81" s="1"/>
      <c r="E81" s="1"/>
      <c r="F81" s="1"/>
    </row>
    <row r="82" spans="2:6" x14ac:dyDescent="0.25">
      <c r="B82" s="38">
        <v>1</v>
      </c>
      <c r="C82" s="39">
        <v>12</v>
      </c>
      <c r="D82" s="1"/>
      <c r="E82" s="1"/>
      <c r="F82" s="1"/>
    </row>
    <row r="83" spans="2:6" x14ac:dyDescent="0.25">
      <c r="B83" s="38">
        <v>2</v>
      </c>
      <c r="C83" s="39">
        <v>1</v>
      </c>
      <c r="D83" s="1"/>
      <c r="E83" s="1"/>
      <c r="F83" s="1"/>
    </row>
    <row r="84" spans="2:6" x14ac:dyDescent="0.25">
      <c r="B84" s="38">
        <v>2</v>
      </c>
      <c r="C84" s="39">
        <v>2</v>
      </c>
      <c r="D84" s="1"/>
      <c r="E84" s="1"/>
      <c r="F84" s="1"/>
    </row>
    <row r="85" spans="2:6" x14ac:dyDescent="0.25">
      <c r="B85" s="38">
        <v>2</v>
      </c>
      <c r="C85" s="39">
        <v>3</v>
      </c>
      <c r="D85" s="1"/>
      <c r="E85" s="1"/>
      <c r="F85" s="1"/>
    </row>
    <row r="86" spans="2:6" x14ac:dyDescent="0.25">
      <c r="B86" s="38">
        <v>2</v>
      </c>
      <c r="C86" s="39">
        <v>4</v>
      </c>
      <c r="D86" s="1"/>
      <c r="E86" s="1"/>
      <c r="F86" s="1"/>
    </row>
    <row r="87" spans="2:6" x14ac:dyDescent="0.25">
      <c r="B87" s="38">
        <v>2</v>
      </c>
      <c r="C87" s="39">
        <v>5</v>
      </c>
      <c r="D87" s="1"/>
      <c r="E87" s="1"/>
      <c r="F87" s="1"/>
    </row>
    <row r="88" spans="2:6" x14ac:dyDescent="0.25">
      <c r="B88" s="38">
        <v>2</v>
      </c>
      <c r="C88" s="39">
        <v>6</v>
      </c>
      <c r="D88" s="1"/>
      <c r="E88" s="1"/>
      <c r="F88" s="1"/>
    </row>
    <row r="89" spans="2:6" x14ac:dyDescent="0.25">
      <c r="B89" s="38">
        <v>2</v>
      </c>
      <c r="C89" s="39">
        <v>7</v>
      </c>
      <c r="D89" s="1"/>
      <c r="E89" s="1"/>
      <c r="F89" s="1"/>
    </row>
    <row r="90" spans="2:6" x14ac:dyDescent="0.25">
      <c r="B90" s="38">
        <v>2</v>
      </c>
      <c r="C90" s="39">
        <v>8</v>
      </c>
      <c r="D90" s="1"/>
      <c r="E90" s="1"/>
      <c r="F90" s="1"/>
    </row>
    <row r="91" spans="2:6" x14ac:dyDescent="0.25">
      <c r="B91" s="38">
        <v>2</v>
      </c>
      <c r="C91" s="39">
        <v>9</v>
      </c>
      <c r="D91" s="1"/>
      <c r="E91" s="1"/>
      <c r="F91" s="1"/>
    </row>
    <row r="92" spans="2:6" x14ac:dyDescent="0.25">
      <c r="B92" s="38">
        <v>2</v>
      </c>
      <c r="C92" s="39">
        <v>10</v>
      </c>
      <c r="D92" s="1"/>
      <c r="E92" s="1"/>
      <c r="F92" s="1"/>
    </row>
    <row r="93" spans="2:6" x14ac:dyDescent="0.25">
      <c r="B93" s="38">
        <v>2</v>
      </c>
      <c r="C93" s="39">
        <v>11</v>
      </c>
      <c r="D93" s="1"/>
      <c r="E93" s="1"/>
      <c r="F93" s="1"/>
    </row>
    <row r="94" spans="2:6" x14ac:dyDescent="0.25">
      <c r="B94" s="38">
        <v>2</v>
      </c>
      <c r="C94" s="39">
        <v>12</v>
      </c>
      <c r="D94" s="1"/>
      <c r="E94" s="1"/>
      <c r="F94" s="1"/>
    </row>
  </sheetData>
  <sheetProtection sheet="1" objects="1" scenarios="1" formatCells="0" formatColumns="0" formatRows="0" insertHyperlinks="0"/>
  <dataValidations count="4">
    <dataValidation type="list" allowBlank="1" showInputMessage="1" showErrorMessage="1" sqref="F46:F66" xr:uid="{FBDDC197-4A14-47FE-ADCC-676A78692ED8}">
      <formula1>INDIRECT(VLOOKUP($E46, SkillNameMap, 2, FALSE))</formula1>
    </dataValidation>
    <dataValidation type="list" allowBlank="1" showInputMessage="1" showErrorMessage="1" sqref="E38:E41" xr:uid="{68DC1710-8FBD-4C96-BEFB-29EEA2B38DF9}">
      <formula1>INDIRECT("LISTAssess[Assessment Specific]")</formula1>
    </dataValidation>
    <dataValidation type="whole" showInputMessage="1" showErrorMessage="1" error="This is not a realistic number of contact hours please change" sqref="D19" xr:uid="{FF705AB8-F0B5-4944-B4DB-BA562CE03F41}">
      <formula1>0</formula1>
      <formula2>80</formula2>
    </dataValidation>
    <dataValidation type="whole" showInputMessage="1" showErrorMessage="1" error="This is not a realistic number of contact hours please reduce" sqref="D20:D23" xr:uid="{B3470EF4-EDE1-4AA2-BF4E-C5217F91B39A}">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F82EBEA9-5922-4C07-934E-470BFDA49DA7}">
          <x14:formula1>
            <xm:f>LISTS!$J$7:$J$16</xm:f>
          </x14:formula1>
          <xm:sqref>E46:E66</xm:sqref>
        </x14:dataValidation>
        <x14:dataValidation type="list" allowBlank="1" showInputMessage="1" showErrorMessage="1" xr:uid="{14DAA443-23DD-4C34-A97A-3ECF7C0E8C55}">
          <x14:formula1>
            <xm:f>LISTS!$E$7:$E$11</xm:f>
          </x14:formula1>
          <xm:sqref>D46:D66</xm:sqref>
        </x14:dataValidation>
        <x14:dataValidation type="list" allowBlank="1" showInputMessage="1" showErrorMessage="1" xr:uid="{32C1AEC8-992B-4A37-AC70-FCFCDCEAE5AF}">
          <x14:formula1>
            <xm:f>LISTS!$G$7:$G$11</xm:f>
          </x14:formula1>
          <xm:sqref>D38:D42</xm:sqref>
        </x14:dataValidation>
        <x14:dataValidation type="list" allowBlank="1" showInputMessage="1" showErrorMessage="1" xr:uid="{079859AC-8D6D-42CE-8DCE-FB75C2DF13B7}">
          <x14:formula1>
            <xm:f>LISTS!$C$11:$C$15</xm:f>
          </x14:formula1>
          <xm:sqref>D11</xm:sqref>
        </x14:dataValidation>
        <x14:dataValidation type="list" allowBlank="1" showInputMessage="1" showErrorMessage="1" xr:uid="{95BE0675-0791-40D0-9E9D-AB48C0DB89D4}">
          <x14:formula1>
            <xm:f>LISTS!$C$7:$C$9</xm:f>
          </x14:formula1>
          <xm:sqref>D10</xm:sqref>
        </x14:dataValidation>
        <x14:dataValidation type="list" allowBlank="1" showInputMessage="1" showErrorMessage="1" xr:uid="{6B48D045-2AC6-4AB5-8461-E9008DA71EAB}">
          <x14:formula1>
            <xm:f>LISTS!$C$17:$C$22</xm:f>
          </x14:formula1>
          <xm:sqref>D13</xm:sqref>
        </x14:dataValidation>
        <x14:dataValidation type="list" allowBlank="1" showInputMessage="1" showErrorMessage="1" xr:uid="{A9720BD0-513F-4B9A-9AB4-400D7A5FAEF6}">
          <x14:formula1>
            <xm:f>LISTS!$C$26:$C$37</xm:f>
          </x14:formula1>
          <xm:sqref>D14</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AF1524-9C3B-440D-AEC2-FAF3E738013E}">
  <sheetPr codeName="Sheet13"/>
  <dimension ref="B2:H94"/>
  <sheetViews>
    <sheetView showGridLines="0" zoomScale="85" zoomScaleNormal="85" workbookViewId="0">
      <selection activeCell="F32" sqref="F32"/>
    </sheetView>
  </sheetViews>
  <sheetFormatPr defaultRowHeight="15" x14ac:dyDescent="0.25"/>
  <cols>
    <col min="1" max="2" width="9.140625" style="27"/>
    <col min="3" max="3" width="33.28515625" style="27" customWidth="1"/>
    <col min="4" max="4" width="51.5703125" style="27" customWidth="1"/>
    <col min="5" max="5" width="67.28515625" style="27" customWidth="1"/>
    <col min="6" max="6" width="63.140625" style="27" customWidth="1"/>
    <col min="7" max="7" width="12.42578125" style="27" customWidth="1"/>
    <col min="8" max="8" width="15.5703125" style="27" customWidth="1"/>
    <col min="9" max="9" width="14.7109375" style="27" customWidth="1"/>
    <col min="10" max="16384" width="9.140625" style="27"/>
  </cols>
  <sheetData>
    <row r="2" spans="2:6" ht="26.25" x14ac:dyDescent="0.4">
      <c r="C2" s="28" t="str">
        <f>D7</f>
        <v>6006SPS</v>
      </c>
      <c r="D2" s="28" t="str">
        <f>D8</f>
        <v xml:space="preserve">Applied Placement </v>
      </c>
    </row>
    <row r="3" spans="2:6" x14ac:dyDescent="0.25">
      <c r="B3" s="29"/>
      <c r="C3" s="29"/>
    </row>
    <row r="4" spans="2:6" x14ac:dyDescent="0.25">
      <c r="B4" s="30"/>
      <c r="C4" s="30"/>
    </row>
    <row r="5" spans="2:6" ht="18.75" x14ac:dyDescent="0.25">
      <c r="B5" s="30"/>
      <c r="C5" s="31" t="s">
        <v>0</v>
      </c>
    </row>
    <row r="6" spans="2:6" x14ac:dyDescent="0.25">
      <c r="B6" s="30"/>
      <c r="C6" s="32" t="s">
        <v>1</v>
      </c>
      <c r="D6" s="33" t="s">
        <v>2</v>
      </c>
      <c r="E6" s="33"/>
      <c r="F6" s="27" t="s">
        <v>3</v>
      </c>
    </row>
    <row r="7" spans="2:6" x14ac:dyDescent="0.25">
      <c r="B7" s="30"/>
      <c r="C7" s="37" t="s">
        <v>4</v>
      </c>
      <c r="D7" s="1" t="s">
        <v>658</v>
      </c>
      <c r="E7" s="33"/>
      <c r="F7" s="4"/>
    </row>
    <row r="8" spans="2:6" x14ac:dyDescent="0.25">
      <c r="B8" s="30"/>
      <c r="C8" s="37" t="s">
        <v>7</v>
      </c>
      <c r="D8" s="1" t="s">
        <v>659</v>
      </c>
      <c r="E8" s="33"/>
      <c r="F8" s="4"/>
    </row>
    <row r="9" spans="2:6" x14ac:dyDescent="0.25">
      <c r="C9" s="37" t="s">
        <v>9</v>
      </c>
      <c r="D9" s="1">
        <v>20</v>
      </c>
      <c r="E9" s="33"/>
    </row>
    <row r="10" spans="2:6" x14ac:dyDescent="0.25">
      <c r="C10" s="37" t="s">
        <v>10</v>
      </c>
      <c r="D10" s="1" t="s">
        <v>11</v>
      </c>
      <c r="E10" s="33"/>
      <c r="F10" s="27" t="s">
        <v>12</v>
      </c>
    </row>
    <row r="11" spans="2:6" x14ac:dyDescent="0.25">
      <c r="C11" s="37" t="s">
        <v>13</v>
      </c>
      <c r="D11" s="1">
        <v>6</v>
      </c>
      <c r="E11" s="33"/>
      <c r="F11" s="4"/>
    </row>
    <row r="12" spans="2:6" x14ac:dyDescent="0.25">
      <c r="C12" s="37" t="s">
        <v>15</v>
      </c>
      <c r="D12" s="1" t="s">
        <v>660</v>
      </c>
      <c r="E12" s="33"/>
      <c r="F12" s="4"/>
    </row>
    <row r="13" spans="2:6" x14ac:dyDescent="0.25">
      <c r="C13" s="37" t="s">
        <v>17</v>
      </c>
      <c r="D13" s="1" t="s">
        <v>18</v>
      </c>
      <c r="E13" s="33"/>
      <c r="F13" s="4"/>
    </row>
    <row r="14" spans="2:6" x14ac:dyDescent="0.25">
      <c r="C14" s="37" t="s">
        <v>19</v>
      </c>
      <c r="D14" s="1" t="s">
        <v>20</v>
      </c>
      <c r="E14" s="33"/>
    </row>
    <row r="15" spans="2:6" x14ac:dyDescent="0.25">
      <c r="C15" s="32"/>
      <c r="D15" s="33"/>
      <c r="E15" s="33"/>
      <c r="F15" s="27" t="s">
        <v>21</v>
      </c>
    </row>
    <row r="16" spans="2:6" x14ac:dyDescent="0.25">
      <c r="C16" s="32"/>
      <c r="D16" s="33"/>
      <c r="E16" s="33"/>
      <c r="F16" s="4"/>
    </row>
    <row r="17" spans="3:6" ht="18.75" x14ac:dyDescent="0.25">
      <c r="C17" s="31" t="s">
        <v>23</v>
      </c>
      <c r="D17" s="33"/>
      <c r="E17" s="33"/>
      <c r="F17" s="4"/>
    </row>
    <row r="18" spans="3:6" x14ac:dyDescent="0.25">
      <c r="C18" s="32" t="s">
        <v>24</v>
      </c>
      <c r="D18" s="29" t="s">
        <v>23</v>
      </c>
      <c r="E18" s="33"/>
      <c r="F18" s="4"/>
    </row>
    <row r="19" spans="3:6" x14ac:dyDescent="0.25">
      <c r="C19" s="37" t="s">
        <v>25</v>
      </c>
      <c r="D19" s="2"/>
      <c r="E19" s="33"/>
      <c r="F19" s="4"/>
    </row>
    <row r="20" spans="3:6" x14ac:dyDescent="0.25">
      <c r="C20" s="37" t="s">
        <v>26</v>
      </c>
      <c r="D20" s="2"/>
      <c r="E20" s="33"/>
      <c r="F20" s="4"/>
    </row>
    <row r="21" spans="3:6" x14ac:dyDescent="0.25">
      <c r="C21" s="37" t="s">
        <v>27</v>
      </c>
      <c r="D21" s="2"/>
      <c r="E21" s="33"/>
    </row>
    <row r="22" spans="3:6" x14ac:dyDescent="0.25">
      <c r="C22" s="37" t="s">
        <v>28</v>
      </c>
      <c r="D22" s="2"/>
      <c r="E22" s="33"/>
      <c r="F22" s="27" t="s">
        <v>29</v>
      </c>
    </row>
    <row r="23" spans="3:6" x14ac:dyDescent="0.25">
      <c r="C23" s="37" t="s">
        <v>30</v>
      </c>
      <c r="D23" s="2"/>
      <c r="E23" s="33"/>
      <c r="F23" s="4"/>
    </row>
    <row r="24" spans="3:6" x14ac:dyDescent="0.25">
      <c r="C24" s="37" t="s">
        <v>32</v>
      </c>
      <c r="D24" s="29">
        <f>SUM(D19:D23)</f>
        <v>0</v>
      </c>
      <c r="E24" s="33"/>
      <c r="F24" s="4"/>
    </row>
    <row r="25" spans="3:6" x14ac:dyDescent="0.25">
      <c r="F25" s="4"/>
    </row>
    <row r="26" spans="3:6" x14ac:dyDescent="0.25">
      <c r="F26" s="4"/>
    </row>
    <row r="27" spans="3:6" ht="18.75" x14ac:dyDescent="0.25">
      <c r="C27" s="31" t="s">
        <v>36</v>
      </c>
      <c r="D27" s="34" t="s">
        <v>37</v>
      </c>
      <c r="F27" s="4"/>
    </row>
    <row r="28" spans="3:6" x14ac:dyDescent="0.25">
      <c r="C28" s="32" t="s">
        <v>39</v>
      </c>
      <c r="D28" s="32" t="s">
        <v>40</v>
      </c>
      <c r="E28" s="32"/>
      <c r="F28" s="4"/>
    </row>
    <row r="29" spans="3:6" x14ac:dyDescent="0.25">
      <c r="C29" s="37" t="s">
        <v>42</v>
      </c>
      <c r="D29" s="1"/>
      <c r="E29" s="33"/>
      <c r="F29" s="4"/>
    </row>
    <row r="30" spans="3:6" x14ac:dyDescent="0.25">
      <c r="C30" s="37" t="s">
        <v>44</v>
      </c>
      <c r="D30" s="1"/>
      <c r="E30" s="33"/>
      <c r="F30" s="4"/>
    </row>
    <row r="31" spans="3:6" x14ac:dyDescent="0.25">
      <c r="C31" s="37" t="s">
        <v>46</v>
      </c>
      <c r="D31" s="1"/>
      <c r="E31" s="33"/>
      <c r="F31" s="4"/>
    </row>
    <row r="32" spans="3:6" x14ac:dyDescent="0.25">
      <c r="C32" s="37" t="s">
        <v>48</v>
      </c>
      <c r="D32" s="1"/>
      <c r="E32" s="33"/>
      <c r="F32" s="4"/>
    </row>
    <row r="33" spans="3:8" x14ac:dyDescent="0.25">
      <c r="C33" s="37" t="s">
        <v>49</v>
      </c>
      <c r="D33" s="1"/>
      <c r="E33" s="33"/>
      <c r="F33" s="4"/>
    </row>
    <row r="36" spans="3:8" ht="18.75" x14ac:dyDescent="0.25">
      <c r="C36" s="31" t="s">
        <v>50</v>
      </c>
    </row>
    <row r="37" spans="3:8" x14ac:dyDescent="0.25">
      <c r="C37" s="32" t="s">
        <v>51</v>
      </c>
      <c r="D37" s="32" t="s">
        <v>52</v>
      </c>
      <c r="E37" s="32" t="s">
        <v>53</v>
      </c>
      <c r="F37" s="32" t="s">
        <v>54</v>
      </c>
      <c r="G37" s="32" t="s">
        <v>55</v>
      </c>
      <c r="H37" s="32" t="s">
        <v>56</v>
      </c>
    </row>
    <row r="38" spans="3:8" x14ac:dyDescent="0.25">
      <c r="C38" s="37" t="s">
        <v>57</v>
      </c>
      <c r="D38" s="1" t="s">
        <v>133</v>
      </c>
      <c r="E38" s="1" t="s">
        <v>353</v>
      </c>
      <c r="F38" s="1" t="s">
        <v>515</v>
      </c>
      <c r="G38" s="3">
        <v>0.5</v>
      </c>
      <c r="H38" s="1">
        <v>6</v>
      </c>
    </row>
    <row r="39" spans="3:8" x14ac:dyDescent="0.25">
      <c r="C39" s="37" t="s">
        <v>61</v>
      </c>
      <c r="D39" s="1"/>
      <c r="E39" s="1"/>
      <c r="F39" s="1"/>
      <c r="G39" s="3">
        <v>0.5</v>
      </c>
      <c r="H39" s="1">
        <v>12</v>
      </c>
    </row>
    <row r="40" spans="3:8" x14ac:dyDescent="0.25">
      <c r="C40" s="37" t="s">
        <v>64</v>
      </c>
      <c r="D40" s="4"/>
      <c r="E40" s="4"/>
      <c r="F40" s="4"/>
      <c r="G40" s="4"/>
      <c r="H40" s="4"/>
    </row>
    <row r="41" spans="3:8" x14ac:dyDescent="0.25">
      <c r="C41" s="37" t="s">
        <v>65</v>
      </c>
      <c r="D41" s="4"/>
      <c r="E41" s="4"/>
      <c r="F41" s="4"/>
      <c r="G41" s="4"/>
      <c r="H41" s="4"/>
    </row>
    <row r="42" spans="3:8" x14ac:dyDescent="0.25">
      <c r="C42" s="32"/>
    </row>
    <row r="44" spans="3:8" ht="18.75" x14ac:dyDescent="0.25">
      <c r="C44" s="31" t="s">
        <v>66</v>
      </c>
      <c r="D44" s="34"/>
    </row>
    <row r="45" spans="3:8" x14ac:dyDescent="0.25">
      <c r="C45" s="29" t="s">
        <v>51</v>
      </c>
      <c r="D45" s="29" t="s">
        <v>39</v>
      </c>
      <c r="E45" s="29" t="s">
        <v>67</v>
      </c>
      <c r="F45" s="29" t="s">
        <v>68</v>
      </c>
    </row>
    <row r="46" spans="3:8" x14ac:dyDescent="0.25">
      <c r="C46" s="5" t="s">
        <v>57</v>
      </c>
      <c r="D46" s="4" t="s">
        <v>42</v>
      </c>
      <c r="E46" s="4" t="s">
        <v>138</v>
      </c>
      <c r="F46" s="4" t="s">
        <v>139</v>
      </c>
    </row>
    <row r="47" spans="3:8" x14ac:dyDescent="0.25">
      <c r="C47" s="5" t="s">
        <v>57</v>
      </c>
      <c r="D47" s="4" t="s">
        <v>42</v>
      </c>
      <c r="E47" s="4" t="s">
        <v>138</v>
      </c>
      <c r="F47" s="4" t="s">
        <v>196</v>
      </c>
    </row>
    <row r="48" spans="3:8" x14ac:dyDescent="0.25">
      <c r="C48" s="5" t="s">
        <v>57</v>
      </c>
      <c r="D48" s="4" t="s">
        <v>42</v>
      </c>
      <c r="E48" s="4" t="s">
        <v>71</v>
      </c>
      <c r="F48" s="4" t="s">
        <v>197</v>
      </c>
    </row>
    <row r="49" spans="3:6" x14ac:dyDescent="0.25">
      <c r="C49" s="5" t="s">
        <v>61</v>
      </c>
      <c r="D49" s="4" t="s">
        <v>44</v>
      </c>
      <c r="E49" s="4" t="s">
        <v>73</v>
      </c>
      <c r="F49" s="4" t="s">
        <v>140</v>
      </c>
    </row>
    <row r="50" spans="3:6" x14ac:dyDescent="0.25">
      <c r="C50" s="5" t="s">
        <v>61</v>
      </c>
      <c r="D50" s="4" t="s">
        <v>44</v>
      </c>
      <c r="E50" s="4" t="s">
        <v>252</v>
      </c>
      <c r="F50" s="4" t="s">
        <v>657</v>
      </c>
    </row>
    <row r="51" spans="3:6" x14ac:dyDescent="0.25">
      <c r="C51" s="5" t="s">
        <v>61</v>
      </c>
      <c r="D51" s="4"/>
      <c r="E51" s="4"/>
      <c r="F51" s="4"/>
    </row>
    <row r="52" spans="3:6" x14ac:dyDescent="0.25">
      <c r="C52" s="5" t="s">
        <v>64</v>
      </c>
      <c r="D52" s="4"/>
      <c r="E52" s="4"/>
      <c r="F52" s="4"/>
    </row>
    <row r="53" spans="3:6" x14ac:dyDescent="0.25">
      <c r="C53" s="5" t="s">
        <v>64</v>
      </c>
      <c r="D53" s="4"/>
      <c r="E53" s="4"/>
      <c r="F53" s="4"/>
    </row>
    <row r="54" spans="3:6" x14ac:dyDescent="0.25">
      <c r="C54" s="5" t="s">
        <v>64</v>
      </c>
      <c r="D54" s="4"/>
      <c r="E54" s="4"/>
      <c r="F54" s="4"/>
    </row>
    <row r="55" spans="3:6" x14ac:dyDescent="0.25">
      <c r="C55" s="5" t="s">
        <v>65</v>
      </c>
      <c r="D55" s="4"/>
      <c r="E55" s="4"/>
      <c r="F55" s="4"/>
    </row>
    <row r="56" spans="3:6" x14ac:dyDescent="0.25">
      <c r="C56" s="5" t="s">
        <v>65</v>
      </c>
      <c r="D56" s="4"/>
      <c r="E56" s="4"/>
      <c r="F56" s="4"/>
    </row>
    <row r="57" spans="3:6" x14ac:dyDescent="0.25">
      <c r="C57" s="5"/>
      <c r="D57" s="4"/>
      <c r="E57" s="4"/>
      <c r="F57" s="4"/>
    </row>
    <row r="58" spans="3:6" x14ac:dyDescent="0.25">
      <c r="C58" s="5"/>
      <c r="D58" s="4"/>
      <c r="E58" s="4"/>
      <c r="F58" s="4"/>
    </row>
    <row r="59" spans="3:6" x14ac:dyDescent="0.25">
      <c r="C59" s="5"/>
      <c r="D59" s="4"/>
      <c r="E59" s="4"/>
      <c r="F59" s="4"/>
    </row>
    <row r="60" spans="3:6" x14ac:dyDescent="0.25">
      <c r="C60" s="5"/>
      <c r="D60" s="4"/>
      <c r="E60" s="4"/>
      <c r="F60" s="4"/>
    </row>
    <row r="61" spans="3:6" x14ac:dyDescent="0.25">
      <c r="C61" s="5"/>
      <c r="D61" s="4"/>
      <c r="E61" s="4"/>
      <c r="F61" s="4"/>
    </row>
    <row r="62" spans="3:6" x14ac:dyDescent="0.25">
      <c r="C62" s="5"/>
      <c r="D62" s="4"/>
      <c r="E62" s="4"/>
      <c r="F62" s="4"/>
    </row>
    <row r="63" spans="3:6" x14ac:dyDescent="0.25">
      <c r="C63" s="5"/>
      <c r="D63" s="4"/>
      <c r="E63" s="4"/>
      <c r="F63" s="4"/>
    </row>
    <row r="64" spans="3:6" x14ac:dyDescent="0.25">
      <c r="C64" s="5"/>
      <c r="D64" s="4"/>
      <c r="E64" s="4"/>
      <c r="F64" s="4"/>
    </row>
    <row r="65" spans="2:6" x14ac:dyDescent="0.25">
      <c r="C65" s="5"/>
      <c r="D65" s="4"/>
      <c r="E65" s="4"/>
      <c r="F65" s="4"/>
    </row>
    <row r="66" spans="2:6" x14ac:dyDescent="0.25">
      <c r="C66" s="5"/>
      <c r="D66" s="4"/>
      <c r="E66" s="4"/>
      <c r="F66" s="4"/>
    </row>
    <row r="69" spans="2:6" ht="18.75" x14ac:dyDescent="0.25">
      <c r="C69" s="31" t="s">
        <v>76</v>
      </c>
    </row>
    <row r="70" spans="2:6" x14ac:dyDescent="0.25">
      <c r="B70" s="27" t="s">
        <v>77</v>
      </c>
      <c r="C70" s="29" t="s">
        <v>78</v>
      </c>
      <c r="D70" s="29" t="s">
        <v>79</v>
      </c>
      <c r="E70" s="29" t="s">
        <v>80</v>
      </c>
      <c r="F70" s="29" t="s">
        <v>81</v>
      </c>
    </row>
    <row r="71" spans="2:6" x14ac:dyDescent="0.25">
      <c r="B71" s="38">
        <v>1</v>
      </c>
      <c r="C71" s="39">
        <v>1</v>
      </c>
      <c r="D71" s="1" t="s">
        <v>661</v>
      </c>
      <c r="E71" s="1"/>
      <c r="F71" s="1"/>
    </row>
    <row r="72" spans="2:6" x14ac:dyDescent="0.25">
      <c r="B72" s="38">
        <v>1</v>
      </c>
      <c r="C72" s="39">
        <v>2</v>
      </c>
      <c r="D72" s="1" t="s">
        <v>662</v>
      </c>
      <c r="E72" s="1" t="s">
        <v>663</v>
      </c>
      <c r="F72" s="1" t="s">
        <v>26</v>
      </c>
    </row>
    <row r="73" spans="2:6" x14ac:dyDescent="0.25">
      <c r="B73" s="38">
        <v>1</v>
      </c>
      <c r="C73" s="39">
        <v>3</v>
      </c>
      <c r="D73" s="1" t="s">
        <v>664</v>
      </c>
      <c r="E73" s="1"/>
      <c r="F73" s="1"/>
    </row>
    <row r="74" spans="2:6" x14ac:dyDescent="0.25">
      <c r="B74" s="38">
        <v>1</v>
      </c>
      <c r="C74" s="39">
        <v>4</v>
      </c>
      <c r="D74" s="1" t="s">
        <v>665</v>
      </c>
      <c r="E74" s="1" t="s">
        <v>666</v>
      </c>
      <c r="F74" s="1" t="s">
        <v>26</v>
      </c>
    </row>
    <row r="75" spans="2:6" x14ac:dyDescent="0.25">
      <c r="B75" s="38">
        <v>1</v>
      </c>
      <c r="C75" s="39">
        <v>5</v>
      </c>
      <c r="D75" s="1" t="s">
        <v>667</v>
      </c>
      <c r="E75" s="1"/>
      <c r="F75" s="1"/>
    </row>
    <row r="76" spans="2:6" x14ac:dyDescent="0.25">
      <c r="B76" s="38">
        <v>1</v>
      </c>
      <c r="C76" s="39">
        <v>6</v>
      </c>
      <c r="D76" s="1" t="s">
        <v>668</v>
      </c>
      <c r="E76" s="1"/>
      <c r="F76" s="1" t="s">
        <v>26</v>
      </c>
    </row>
    <row r="77" spans="2:6" x14ac:dyDescent="0.25">
      <c r="B77" s="38">
        <v>1</v>
      </c>
      <c r="C77" s="39">
        <v>7</v>
      </c>
      <c r="D77" s="1" t="s">
        <v>669</v>
      </c>
      <c r="E77" s="1"/>
      <c r="F77" s="1"/>
    </row>
    <row r="78" spans="2:6" x14ac:dyDescent="0.25">
      <c r="B78" s="38">
        <v>1</v>
      </c>
      <c r="C78" s="39">
        <v>8</v>
      </c>
      <c r="D78" s="1" t="s">
        <v>670</v>
      </c>
      <c r="E78" s="1"/>
      <c r="F78" s="1" t="s">
        <v>26</v>
      </c>
    </row>
    <row r="79" spans="2:6" x14ac:dyDescent="0.25">
      <c r="B79" s="38">
        <v>1</v>
      </c>
      <c r="C79" s="39">
        <v>9</v>
      </c>
      <c r="D79" s="1" t="s">
        <v>671</v>
      </c>
      <c r="E79" s="1"/>
      <c r="F79" s="1"/>
    </row>
    <row r="80" spans="2:6" x14ac:dyDescent="0.25">
      <c r="B80" s="38">
        <v>1</v>
      </c>
      <c r="C80" s="39">
        <v>10</v>
      </c>
      <c r="D80" s="1" t="s">
        <v>672</v>
      </c>
      <c r="E80" s="1" t="s">
        <v>673</v>
      </c>
      <c r="F80" s="1" t="s">
        <v>26</v>
      </c>
    </row>
    <row r="81" spans="2:6" x14ac:dyDescent="0.25">
      <c r="B81" s="38">
        <v>1</v>
      </c>
      <c r="C81" s="39">
        <v>11</v>
      </c>
      <c r="D81" s="1" t="s">
        <v>674</v>
      </c>
      <c r="E81" s="1"/>
      <c r="F81" s="1"/>
    </row>
    <row r="82" spans="2:6" x14ac:dyDescent="0.25">
      <c r="B82" s="38">
        <v>1</v>
      </c>
      <c r="C82" s="39">
        <v>12</v>
      </c>
      <c r="D82" s="1" t="s">
        <v>675</v>
      </c>
      <c r="E82" s="1"/>
      <c r="F82" s="1" t="s">
        <v>26</v>
      </c>
    </row>
    <row r="83" spans="2:6" x14ac:dyDescent="0.25">
      <c r="B83" s="38">
        <v>2</v>
      </c>
      <c r="C83" s="39">
        <v>1</v>
      </c>
      <c r="D83" s="1"/>
      <c r="E83" s="1"/>
      <c r="F83" s="1"/>
    </row>
    <row r="84" spans="2:6" x14ac:dyDescent="0.25">
      <c r="B84" s="38">
        <v>2</v>
      </c>
      <c r="C84" s="39">
        <v>2</v>
      </c>
      <c r="D84" s="1"/>
      <c r="E84" s="1"/>
      <c r="F84" s="1"/>
    </row>
    <row r="85" spans="2:6" x14ac:dyDescent="0.25">
      <c r="B85" s="38">
        <v>2</v>
      </c>
      <c r="C85" s="39">
        <v>3</v>
      </c>
      <c r="D85" s="1"/>
      <c r="E85" s="1"/>
      <c r="F85" s="1"/>
    </row>
    <row r="86" spans="2:6" x14ac:dyDescent="0.25">
      <c r="B86" s="38">
        <v>2</v>
      </c>
      <c r="C86" s="39">
        <v>4</v>
      </c>
      <c r="D86" s="1"/>
      <c r="E86" s="1"/>
      <c r="F86" s="1"/>
    </row>
    <row r="87" spans="2:6" x14ac:dyDescent="0.25">
      <c r="B87" s="38">
        <v>2</v>
      </c>
      <c r="C87" s="39">
        <v>5</v>
      </c>
      <c r="D87" s="1"/>
      <c r="E87" s="1"/>
      <c r="F87" s="1"/>
    </row>
    <row r="88" spans="2:6" x14ac:dyDescent="0.25">
      <c r="B88" s="38">
        <v>2</v>
      </c>
      <c r="C88" s="39">
        <v>6</v>
      </c>
      <c r="D88" s="1"/>
      <c r="E88" s="1"/>
      <c r="F88" s="1"/>
    </row>
    <row r="89" spans="2:6" x14ac:dyDescent="0.25">
      <c r="B89" s="38">
        <v>2</v>
      </c>
      <c r="C89" s="39">
        <v>7</v>
      </c>
      <c r="D89" s="1"/>
      <c r="E89" s="1"/>
      <c r="F89" s="1"/>
    </row>
    <row r="90" spans="2:6" x14ac:dyDescent="0.25">
      <c r="B90" s="38">
        <v>2</v>
      </c>
      <c r="C90" s="39">
        <v>8</v>
      </c>
      <c r="D90" s="1"/>
      <c r="E90" s="1"/>
      <c r="F90" s="1"/>
    </row>
    <row r="91" spans="2:6" x14ac:dyDescent="0.25">
      <c r="B91" s="38">
        <v>2</v>
      </c>
      <c r="C91" s="39">
        <v>9</v>
      </c>
      <c r="D91" s="1"/>
      <c r="E91" s="1"/>
      <c r="F91" s="1"/>
    </row>
    <row r="92" spans="2:6" x14ac:dyDescent="0.25">
      <c r="B92" s="38">
        <v>2</v>
      </c>
      <c r="C92" s="39">
        <v>10</v>
      </c>
      <c r="D92" s="1"/>
      <c r="E92" s="1"/>
      <c r="F92" s="1"/>
    </row>
    <row r="93" spans="2:6" x14ac:dyDescent="0.25">
      <c r="B93" s="38">
        <v>2</v>
      </c>
      <c r="C93" s="39">
        <v>11</v>
      </c>
      <c r="D93" s="1"/>
      <c r="E93" s="1"/>
      <c r="F93" s="1"/>
    </row>
    <row r="94" spans="2:6" x14ac:dyDescent="0.25">
      <c r="B94" s="38">
        <v>2</v>
      </c>
      <c r="C94" s="39">
        <v>12</v>
      </c>
      <c r="D94" s="1"/>
      <c r="E94" s="1"/>
      <c r="F94" s="1"/>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3229C256-ABBC-47F3-8625-F41A5BABAC1F}">
      <formula1>0</formula1>
      <formula2>80</formula2>
    </dataValidation>
    <dataValidation type="whole" showInputMessage="1" showErrorMessage="1" error="This is not a realistic number of contact hours please change" sqref="D19" xr:uid="{AD4AC72D-916F-4382-B2A7-05CD7B2226A8}">
      <formula1>0</formula1>
      <formula2>80</formula2>
    </dataValidation>
    <dataValidation type="list" allowBlank="1" showInputMessage="1" showErrorMessage="1" sqref="E38:E41" xr:uid="{FDB67476-1D11-4DC5-B446-B8E66599A2C2}">
      <formula1>INDIRECT("LISTAssess[Assessment Specific]")</formula1>
    </dataValidation>
    <dataValidation type="list" allowBlank="1" showInputMessage="1" showErrorMessage="1" sqref="F46:F66" xr:uid="{1C21621D-7473-4C52-AA89-3A2F9E5BB565}">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B022925A-1C00-4AFA-A060-FE394763B53C}">
          <x14:formula1>
            <xm:f>LISTS!$C$26:$C$37</xm:f>
          </x14:formula1>
          <xm:sqref>D14</xm:sqref>
        </x14:dataValidation>
        <x14:dataValidation type="list" allowBlank="1" showInputMessage="1" showErrorMessage="1" xr:uid="{E147FE3C-0EDB-444D-84A8-E77F42E7C5D8}">
          <x14:formula1>
            <xm:f>LISTS!$C$17:$C$22</xm:f>
          </x14:formula1>
          <xm:sqref>D13</xm:sqref>
        </x14:dataValidation>
        <x14:dataValidation type="list" allowBlank="1" showInputMessage="1" showErrorMessage="1" xr:uid="{C4EDA730-38D3-4AEC-9B1B-4808FDB3AEE6}">
          <x14:formula1>
            <xm:f>LISTS!$C$7:$C$9</xm:f>
          </x14:formula1>
          <xm:sqref>D10</xm:sqref>
        </x14:dataValidation>
        <x14:dataValidation type="list" allowBlank="1" showInputMessage="1" showErrorMessage="1" xr:uid="{71ECC980-EB9A-4145-9F8B-52F5DED821C4}">
          <x14:formula1>
            <xm:f>LISTS!$C$11:$C$15</xm:f>
          </x14:formula1>
          <xm:sqref>D11</xm:sqref>
        </x14:dataValidation>
        <x14:dataValidation type="list" allowBlank="1" showInputMessage="1" showErrorMessage="1" xr:uid="{AC1D00FA-03B3-4BC1-87FD-4FB7D7C0F51E}">
          <x14:formula1>
            <xm:f>LISTS!$G$7:$G$11</xm:f>
          </x14:formula1>
          <xm:sqref>D38:D42</xm:sqref>
        </x14:dataValidation>
        <x14:dataValidation type="list" allowBlank="1" showInputMessage="1" showErrorMessage="1" xr:uid="{96A48C9E-FB8E-44C9-885B-243CD753BD9E}">
          <x14:formula1>
            <xm:f>LISTS!$E$7:$E$11</xm:f>
          </x14:formula1>
          <xm:sqref>D46:D66</xm:sqref>
        </x14:dataValidation>
        <x14:dataValidation type="list" allowBlank="1" showInputMessage="1" showErrorMessage="1" xr:uid="{5036F22C-DC1A-45C2-ACC5-04A85C0867A2}">
          <x14:formula1>
            <xm:f>LISTS!$J$7:$J$16</xm:f>
          </x14:formula1>
          <xm:sqref>E46:E66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FCDAC1-856D-487D-8AF4-540C0DE3E703}">
  <sheetPr codeName="Sheet14"/>
  <dimension ref="A1:O19"/>
  <sheetViews>
    <sheetView workbookViewId="0"/>
  </sheetViews>
  <sheetFormatPr defaultRowHeight="15" x14ac:dyDescent="0.25"/>
  <cols>
    <col min="1" max="1" width="49" bestFit="1" customWidth="1"/>
    <col min="2" max="2" width="14.28515625" bestFit="1" customWidth="1"/>
    <col min="3" max="3" width="14.85546875" bestFit="1" customWidth="1"/>
    <col min="4" max="4" width="12.7109375" bestFit="1" customWidth="1"/>
    <col min="5" max="5" width="14" bestFit="1" customWidth="1"/>
    <col min="6" max="6" width="12.140625" bestFit="1" customWidth="1"/>
    <col min="7" max="7" width="46.85546875" bestFit="1" customWidth="1"/>
    <col min="8" max="8" width="15.42578125" bestFit="1" customWidth="1"/>
    <col min="9" max="9" width="46.85546875" bestFit="1" customWidth="1"/>
    <col min="10" max="10" width="10" bestFit="1" customWidth="1"/>
    <col min="11" max="11" width="12" bestFit="1" customWidth="1"/>
    <col min="12" max="12" width="8.140625" bestFit="1" customWidth="1"/>
    <col min="13" max="13" width="21.5703125" bestFit="1" customWidth="1"/>
    <col min="14" max="14" width="18.5703125" bestFit="1" customWidth="1"/>
    <col min="15" max="15" width="17.85546875" bestFit="1" customWidth="1"/>
  </cols>
  <sheetData>
    <row r="1" spans="1:15" x14ac:dyDescent="0.25">
      <c r="A1" t="s">
        <v>759</v>
      </c>
      <c r="B1" t="s">
        <v>760</v>
      </c>
      <c r="C1" t="s">
        <v>761</v>
      </c>
      <c r="D1" t="s">
        <v>762</v>
      </c>
      <c r="E1" t="s">
        <v>763</v>
      </c>
      <c r="F1" t="s">
        <v>764</v>
      </c>
      <c r="G1" t="s">
        <v>765</v>
      </c>
      <c r="H1" t="s">
        <v>4</v>
      </c>
      <c r="I1" t="s">
        <v>7</v>
      </c>
      <c r="J1" t="s">
        <v>9</v>
      </c>
      <c r="K1" t="s">
        <v>10</v>
      </c>
      <c r="L1" t="s">
        <v>13</v>
      </c>
      <c r="M1" t="s">
        <v>15</v>
      </c>
      <c r="N1" t="s">
        <v>17</v>
      </c>
      <c r="O1" t="s">
        <v>19</v>
      </c>
    </row>
    <row r="2" spans="1:15" x14ac:dyDescent="0.25">
      <c r="A2" t="s">
        <v>851</v>
      </c>
      <c r="B2" t="s">
        <v>880</v>
      </c>
      <c r="C2" t="s">
        <v>5</v>
      </c>
      <c r="D2" t="s">
        <v>769</v>
      </c>
      <c r="E2" t="s">
        <v>20</v>
      </c>
      <c r="F2" t="s">
        <v>770</v>
      </c>
      <c r="G2" t="s">
        <v>8</v>
      </c>
      <c r="H2" t="s">
        <v>5</v>
      </c>
      <c r="I2" t="s">
        <v>8</v>
      </c>
      <c r="J2">
        <v>20</v>
      </c>
      <c r="K2" t="s">
        <v>11</v>
      </c>
      <c r="L2">
        <v>4</v>
      </c>
      <c r="M2" t="s">
        <v>16</v>
      </c>
      <c r="N2" t="s">
        <v>18</v>
      </c>
      <c r="O2" t="s">
        <v>20</v>
      </c>
    </row>
    <row r="3" spans="1:15" x14ac:dyDescent="0.25">
      <c r="A3" t="s">
        <v>851</v>
      </c>
      <c r="B3" t="s">
        <v>881</v>
      </c>
      <c r="C3" t="s">
        <v>118</v>
      </c>
      <c r="D3" t="s">
        <v>769</v>
      </c>
      <c r="E3" t="s">
        <v>20</v>
      </c>
      <c r="F3" t="s">
        <v>770</v>
      </c>
      <c r="G3" t="s">
        <v>120</v>
      </c>
      <c r="H3" t="s">
        <v>118</v>
      </c>
      <c r="I3" t="s">
        <v>120</v>
      </c>
      <c r="J3">
        <v>20</v>
      </c>
      <c r="K3">
        <v>1</v>
      </c>
      <c r="L3">
        <v>4</v>
      </c>
      <c r="M3" t="s">
        <v>122</v>
      </c>
      <c r="N3" t="s">
        <v>123</v>
      </c>
      <c r="O3" t="s">
        <v>20</v>
      </c>
    </row>
    <row r="4" spans="1:15" x14ac:dyDescent="0.25">
      <c r="A4" t="s">
        <v>851</v>
      </c>
      <c r="B4" t="s">
        <v>882</v>
      </c>
      <c r="C4" t="s">
        <v>176</v>
      </c>
      <c r="D4" t="s">
        <v>769</v>
      </c>
      <c r="E4" t="s">
        <v>20</v>
      </c>
      <c r="F4" t="s">
        <v>770</v>
      </c>
      <c r="G4" t="s">
        <v>178</v>
      </c>
      <c r="H4" t="s">
        <v>176</v>
      </c>
      <c r="I4" t="s">
        <v>178</v>
      </c>
      <c r="J4">
        <v>20</v>
      </c>
      <c r="K4">
        <v>2</v>
      </c>
      <c r="L4">
        <v>4</v>
      </c>
      <c r="M4" t="s">
        <v>180</v>
      </c>
      <c r="N4" t="s">
        <v>123</v>
      </c>
      <c r="O4" t="s">
        <v>20</v>
      </c>
    </row>
    <row r="5" spans="1:15" x14ac:dyDescent="0.25">
      <c r="A5" t="s">
        <v>851</v>
      </c>
      <c r="B5" t="s">
        <v>883</v>
      </c>
      <c r="C5" t="s">
        <v>234</v>
      </c>
      <c r="D5" t="s">
        <v>769</v>
      </c>
      <c r="E5" t="s">
        <v>20</v>
      </c>
      <c r="F5" t="s">
        <v>770</v>
      </c>
      <c r="G5" t="s">
        <v>236</v>
      </c>
      <c r="H5" t="s">
        <v>234</v>
      </c>
      <c r="I5" t="s">
        <v>236</v>
      </c>
      <c r="J5">
        <v>20</v>
      </c>
      <c r="K5">
        <v>2</v>
      </c>
      <c r="L5">
        <v>4</v>
      </c>
      <c r="M5" t="s">
        <v>238</v>
      </c>
      <c r="N5" t="s">
        <v>123</v>
      </c>
      <c r="O5" t="s">
        <v>20</v>
      </c>
    </row>
    <row r="6" spans="1:15" x14ac:dyDescent="0.25">
      <c r="A6" t="s">
        <v>851</v>
      </c>
      <c r="B6" t="s">
        <v>884</v>
      </c>
      <c r="C6" t="s">
        <v>284</v>
      </c>
      <c r="D6" t="s">
        <v>769</v>
      </c>
      <c r="E6" t="s">
        <v>20</v>
      </c>
      <c r="F6" t="s">
        <v>770</v>
      </c>
      <c r="G6" t="s">
        <v>286</v>
      </c>
      <c r="H6" t="s">
        <v>284</v>
      </c>
      <c r="I6" t="s">
        <v>286</v>
      </c>
      <c r="J6">
        <v>20</v>
      </c>
      <c r="K6" t="s">
        <v>11</v>
      </c>
      <c r="L6">
        <v>5</v>
      </c>
      <c r="M6" t="s">
        <v>16</v>
      </c>
      <c r="N6" t="s">
        <v>18</v>
      </c>
      <c r="O6" t="s">
        <v>20</v>
      </c>
    </row>
    <row r="7" spans="1:15" x14ac:dyDescent="0.25">
      <c r="A7" t="s">
        <v>851</v>
      </c>
      <c r="B7" t="s">
        <v>887</v>
      </c>
      <c r="C7" t="s">
        <v>448</v>
      </c>
      <c r="D7" t="s">
        <v>769</v>
      </c>
      <c r="E7" t="s">
        <v>20</v>
      </c>
      <c r="F7" t="s">
        <v>770</v>
      </c>
      <c r="G7" t="s">
        <v>450</v>
      </c>
      <c r="H7" t="s">
        <v>448</v>
      </c>
      <c r="I7" t="s">
        <v>450</v>
      </c>
      <c r="J7">
        <v>20</v>
      </c>
      <c r="K7">
        <v>2</v>
      </c>
      <c r="L7">
        <v>5</v>
      </c>
      <c r="M7" t="s">
        <v>452</v>
      </c>
      <c r="N7" t="s">
        <v>123</v>
      </c>
      <c r="O7" t="s">
        <v>20</v>
      </c>
    </row>
    <row r="8" spans="1:15" x14ac:dyDescent="0.25">
      <c r="A8" t="s">
        <v>851</v>
      </c>
      <c r="B8" t="s">
        <v>885</v>
      </c>
      <c r="C8" t="s">
        <v>339</v>
      </c>
      <c r="D8" t="s">
        <v>769</v>
      </c>
      <c r="E8" t="s">
        <v>20</v>
      </c>
      <c r="F8" t="s">
        <v>770</v>
      </c>
      <c r="G8" t="s">
        <v>341</v>
      </c>
      <c r="H8" t="s">
        <v>339</v>
      </c>
      <c r="I8" t="s">
        <v>341</v>
      </c>
      <c r="J8">
        <v>20</v>
      </c>
      <c r="K8">
        <v>1</v>
      </c>
      <c r="L8">
        <v>5</v>
      </c>
      <c r="M8" t="s">
        <v>343</v>
      </c>
      <c r="N8" t="s">
        <v>123</v>
      </c>
      <c r="O8" t="s">
        <v>20</v>
      </c>
    </row>
    <row r="9" spans="1:15" x14ac:dyDescent="0.25">
      <c r="A9" t="s">
        <v>851</v>
      </c>
      <c r="B9" t="s">
        <v>886</v>
      </c>
      <c r="C9" t="s">
        <v>395</v>
      </c>
      <c r="D9" t="s">
        <v>769</v>
      </c>
      <c r="E9" t="s">
        <v>20</v>
      </c>
      <c r="F9" t="s">
        <v>770</v>
      </c>
      <c r="G9" t="s">
        <v>397</v>
      </c>
      <c r="H9" t="s">
        <v>395</v>
      </c>
      <c r="I9" t="s">
        <v>397</v>
      </c>
      <c r="J9">
        <v>20</v>
      </c>
      <c r="K9">
        <v>2</v>
      </c>
      <c r="L9">
        <v>5</v>
      </c>
      <c r="M9" t="s">
        <v>399</v>
      </c>
      <c r="N9" t="s">
        <v>123</v>
      </c>
      <c r="O9" t="s">
        <v>20</v>
      </c>
    </row>
    <row r="10" spans="1:15" x14ac:dyDescent="0.25">
      <c r="A10" t="s">
        <v>851</v>
      </c>
      <c r="B10" t="s">
        <v>888</v>
      </c>
      <c r="C10" t="s">
        <v>502</v>
      </c>
      <c r="D10" t="s">
        <v>769</v>
      </c>
      <c r="E10" t="s">
        <v>20</v>
      </c>
      <c r="F10" t="s">
        <v>770</v>
      </c>
      <c r="G10" t="s">
        <v>504</v>
      </c>
      <c r="H10" t="s">
        <v>502</v>
      </c>
      <c r="I10" t="s">
        <v>504</v>
      </c>
      <c r="J10">
        <v>20</v>
      </c>
      <c r="K10">
        <v>1</v>
      </c>
      <c r="L10">
        <v>6</v>
      </c>
      <c r="M10" t="s">
        <v>180</v>
      </c>
      <c r="N10" t="s">
        <v>123</v>
      </c>
      <c r="O10" t="s">
        <v>20</v>
      </c>
    </row>
    <row r="11" spans="1:15" x14ac:dyDescent="0.25">
      <c r="A11" t="s">
        <v>851</v>
      </c>
      <c r="B11" t="s">
        <v>889</v>
      </c>
      <c r="C11" t="s">
        <v>553</v>
      </c>
      <c r="D11" t="s">
        <v>769</v>
      </c>
      <c r="E11" t="s">
        <v>20</v>
      </c>
      <c r="F11" t="s">
        <v>770</v>
      </c>
      <c r="G11" t="s">
        <v>555</v>
      </c>
      <c r="H11" t="s">
        <v>553</v>
      </c>
      <c r="I11" t="s">
        <v>555</v>
      </c>
      <c r="J11">
        <v>20</v>
      </c>
      <c r="K11">
        <v>1</v>
      </c>
      <c r="L11">
        <v>6</v>
      </c>
      <c r="M11" t="s">
        <v>557</v>
      </c>
      <c r="N11" t="s">
        <v>123</v>
      </c>
      <c r="O11" t="s">
        <v>20</v>
      </c>
    </row>
    <row r="12" spans="1:15" x14ac:dyDescent="0.25">
      <c r="A12" t="s">
        <v>851</v>
      </c>
      <c r="B12" t="s">
        <v>892</v>
      </c>
      <c r="C12" t="s">
        <v>658</v>
      </c>
      <c r="D12" t="s">
        <v>769</v>
      </c>
      <c r="E12" t="s">
        <v>20</v>
      </c>
      <c r="F12" t="s">
        <v>770</v>
      </c>
      <c r="G12" t="s">
        <v>866</v>
      </c>
      <c r="H12" t="s">
        <v>658</v>
      </c>
      <c r="I12" t="s">
        <v>659</v>
      </c>
      <c r="J12">
        <v>20</v>
      </c>
      <c r="K12" t="s">
        <v>11</v>
      </c>
      <c r="L12">
        <v>6</v>
      </c>
      <c r="M12" t="s">
        <v>660</v>
      </c>
      <c r="N12" t="s">
        <v>18</v>
      </c>
      <c r="O12" t="s">
        <v>20</v>
      </c>
    </row>
    <row r="13" spans="1:15" x14ac:dyDescent="0.25">
      <c r="A13" t="s">
        <v>851</v>
      </c>
      <c r="B13" t="s">
        <v>890</v>
      </c>
      <c r="C13" t="s">
        <v>602</v>
      </c>
      <c r="D13" t="s">
        <v>769</v>
      </c>
      <c r="E13" t="s">
        <v>20</v>
      </c>
      <c r="F13" t="s">
        <v>770</v>
      </c>
      <c r="G13" t="s">
        <v>604</v>
      </c>
      <c r="H13" t="s">
        <v>602</v>
      </c>
      <c r="I13" t="s">
        <v>604</v>
      </c>
      <c r="J13">
        <v>20</v>
      </c>
      <c r="K13">
        <v>2</v>
      </c>
      <c r="L13">
        <v>6</v>
      </c>
      <c r="M13" t="s">
        <v>606</v>
      </c>
      <c r="N13" t="s">
        <v>123</v>
      </c>
      <c r="O13" t="s">
        <v>20</v>
      </c>
    </row>
    <row r="14" spans="1:15" x14ac:dyDescent="0.25">
      <c r="A14" t="s">
        <v>851</v>
      </c>
      <c r="B14" t="s">
        <v>891</v>
      </c>
      <c r="C14" t="s">
        <v>654</v>
      </c>
      <c r="D14" t="s">
        <v>769</v>
      </c>
      <c r="E14" t="s">
        <v>20</v>
      </c>
      <c r="F14" t="s">
        <v>770</v>
      </c>
      <c r="G14" t="s">
        <v>864</v>
      </c>
      <c r="H14" t="s">
        <v>654</v>
      </c>
      <c r="I14" t="s">
        <v>655</v>
      </c>
      <c r="J14">
        <v>60</v>
      </c>
      <c r="K14" t="s">
        <v>11</v>
      </c>
      <c r="L14">
        <v>6</v>
      </c>
      <c r="M14" t="s">
        <v>656</v>
      </c>
      <c r="N14" t="s">
        <v>18</v>
      </c>
      <c r="O14" t="s">
        <v>20</v>
      </c>
    </row>
    <row r="15" spans="1:15" x14ac:dyDescent="0.25">
      <c r="A15" t="s">
        <v>766</v>
      </c>
      <c r="B15" t="s">
        <v>767</v>
      </c>
      <c r="C15" t="s">
        <v>768</v>
      </c>
      <c r="D15" t="s">
        <v>769</v>
      </c>
      <c r="E15" t="s">
        <v>20</v>
      </c>
      <c r="F15" t="s">
        <v>770</v>
      </c>
      <c r="G15" t="s">
        <v>771</v>
      </c>
      <c r="H15" t="s">
        <v>768</v>
      </c>
      <c r="I15" t="s">
        <v>771</v>
      </c>
      <c r="J15">
        <v>20</v>
      </c>
      <c r="K15">
        <v>2</v>
      </c>
      <c r="L15">
        <v>4</v>
      </c>
      <c r="M15" t="s">
        <v>772</v>
      </c>
      <c r="N15" t="s">
        <v>684</v>
      </c>
      <c r="O15" t="s">
        <v>719</v>
      </c>
    </row>
    <row r="16" spans="1:15" x14ac:dyDescent="0.25">
      <c r="A16" t="s">
        <v>766</v>
      </c>
      <c r="B16" t="s">
        <v>773</v>
      </c>
      <c r="C16" t="s">
        <v>774</v>
      </c>
      <c r="D16" t="s">
        <v>769</v>
      </c>
      <c r="E16" t="s">
        <v>20</v>
      </c>
      <c r="F16" t="s">
        <v>770</v>
      </c>
      <c r="G16" t="s">
        <v>775</v>
      </c>
      <c r="H16" t="s">
        <v>774</v>
      </c>
      <c r="I16" t="s">
        <v>776</v>
      </c>
      <c r="J16">
        <v>20</v>
      </c>
      <c r="K16">
        <v>1</v>
      </c>
      <c r="L16">
        <v>4</v>
      </c>
      <c r="M16" t="s">
        <v>777</v>
      </c>
      <c r="N16" t="s">
        <v>123</v>
      </c>
      <c r="O16" t="s">
        <v>719</v>
      </c>
    </row>
    <row r="17" spans="1:15" x14ac:dyDescent="0.25">
      <c r="A17" t="s">
        <v>766</v>
      </c>
      <c r="B17" t="s">
        <v>778</v>
      </c>
      <c r="C17" t="s">
        <v>779</v>
      </c>
      <c r="D17" t="s">
        <v>769</v>
      </c>
      <c r="E17" t="s">
        <v>20</v>
      </c>
      <c r="F17" t="s">
        <v>770</v>
      </c>
      <c r="G17" t="s">
        <v>780</v>
      </c>
      <c r="H17" t="s">
        <v>779</v>
      </c>
      <c r="I17" t="s">
        <v>780</v>
      </c>
      <c r="J17">
        <v>20</v>
      </c>
      <c r="K17">
        <v>2</v>
      </c>
      <c r="L17">
        <v>5</v>
      </c>
      <c r="M17" t="s">
        <v>781</v>
      </c>
      <c r="N17" t="s">
        <v>684</v>
      </c>
      <c r="O17" t="s">
        <v>719</v>
      </c>
    </row>
    <row r="18" spans="1:15" x14ac:dyDescent="0.25">
      <c r="A18" t="s">
        <v>766</v>
      </c>
      <c r="B18" t="s">
        <v>782</v>
      </c>
      <c r="C18" t="s">
        <v>783</v>
      </c>
      <c r="D18" t="s">
        <v>769</v>
      </c>
      <c r="E18" t="s">
        <v>20</v>
      </c>
      <c r="F18" t="s">
        <v>770</v>
      </c>
      <c r="G18" t="s">
        <v>784</v>
      </c>
      <c r="H18" t="s">
        <v>783</v>
      </c>
      <c r="I18" t="s">
        <v>784</v>
      </c>
      <c r="J18">
        <v>20</v>
      </c>
      <c r="K18">
        <v>2</v>
      </c>
      <c r="L18">
        <v>5</v>
      </c>
      <c r="M18" t="s">
        <v>785</v>
      </c>
      <c r="N18" t="s">
        <v>123</v>
      </c>
      <c r="O18" t="s">
        <v>726</v>
      </c>
    </row>
    <row r="19" spans="1:15" x14ac:dyDescent="0.25">
      <c r="A19" t="s">
        <v>766</v>
      </c>
      <c r="B19" t="s">
        <v>786</v>
      </c>
      <c r="C19" t="s">
        <v>787</v>
      </c>
      <c r="D19" t="s">
        <v>769</v>
      </c>
      <c r="E19" t="s">
        <v>20</v>
      </c>
      <c r="F19" t="s">
        <v>770</v>
      </c>
      <c r="G19" t="s">
        <v>788</v>
      </c>
      <c r="H19" t="s">
        <v>787</v>
      </c>
      <c r="I19" t="s">
        <v>788</v>
      </c>
      <c r="J19">
        <v>40</v>
      </c>
      <c r="K19" t="s">
        <v>11</v>
      </c>
      <c r="L19">
        <v>6</v>
      </c>
      <c r="M19" t="s">
        <v>789</v>
      </c>
      <c r="N19" t="s">
        <v>685</v>
      </c>
      <c r="O19" t="s">
        <v>719</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04AA5-E332-4E5E-9E92-8815AA7EB95C}">
  <sheetPr codeName="Sheet16"/>
  <dimension ref="A1:I19"/>
  <sheetViews>
    <sheetView workbookViewId="0">
      <selection activeCell="O17" sqref="O17"/>
    </sheetView>
  </sheetViews>
  <sheetFormatPr defaultRowHeight="15" x14ac:dyDescent="0.25"/>
  <cols>
    <col min="1" max="1" width="14.85546875" bestFit="1" customWidth="1"/>
    <col min="2" max="2" width="46.85546875" bestFit="1" customWidth="1"/>
    <col min="3" max="3" width="8.140625" bestFit="1" customWidth="1"/>
    <col min="4" max="4" width="12" bestFit="1" customWidth="1"/>
    <col min="5" max="5" width="10" bestFit="1" customWidth="1"/>
    <col min="6" max="6" width="21.5703125" bestFit="1" customWidth="1"/>
    <col min="7" max="7" width="18.5703125" bestFit="1" customWidth="1"/>
    <col min="8" max="8" width="21.42578125" bestFit="1" customWidth="1"/>
    <col min="9" max="9" width="18.42578125" bestFit="1" customWidth="1"/>
  </cols>
  <sheetData>
    <row r="1" spans="1:9" x14ac:dyDescent="0.25">
      <c r="A1" t="s">
        <v>761</v>
      </c>
      <c r="B1" t="s">
        <v>765</v>
      </c>
      <c r="C1" t="s">
        <v>13</v>
      </c>
      <c r="D1" t="s">
        <v>10</v>
      </c>
      <c r="E1" t="s">
        <v>9</v>
      </c>
      <c r="F1" t="s">
        <v>15</v>
      </c>
      <c r="G1" t="s">
        <v>17</v>
      </c>
      <c r="H1" t="s">
        <v>849</v>
      </c>
      <c r="I1" t="s">
        <v>850</v>
      </c>
    </row>
    <row r="2" spans="1:9" x14ac:dyDescent="0.25">
      <c r="A2" t="s">
        <v>5</v>
      </c>
      <c r="B2" t="s">
        <v>8</v>
      </c>
      <c r="C2">
        <v>4</v>
      </c>
      <c r="E2">
        <v>20</v>
      </c>
      <c r="F2" t="s">
        <v>16</v>
      </c>
      <c r="G2" t="s">
        <v>18</v>
      </c>
      <c r="H2">
        <v>40</v>
      </c>
      <c r="I2">
        <v>2</v>
      </c>
    </row>
    <row r="3" spans="1:9" x14ac:dyDescent="0.25">
      <c r="A3" t="s">
        <v>118</v>
      </c>
      <c r="B3" t="s">
        <v>120</v>
      </c>
      <c r="C3">
        <v>4</v>
      </c>
      <c r="D3">
        <v>1</v>
      </c>
      <c r="E3">
        <v>20</v>
      </c>
      <c r="F3" t="s">
        <v>122</v>
      </c>
      <c r="G3" t="s">
        <v>123</v>
      </c>
      <c r="H3">
        <v>47</v>
      </c>
      <c r="I3">
        <v>2.35</v>
      </c>
    </row>
    <row r="4" spans="1:9" x14ac:dyDescent="0.25">
      <c r="A4" t="s">
        <v>176</v>
      </c>
      <c r="B4" t="s">
        <v>178</v>
      </c>
      <c r="C4">
        <v>4</v>
      </c>
      <c r="D4">
        <v>2</v>
      </c>
      <c r="E4">
        <v>20</v>
      </c>
      <c r="F4" t="s">
        <v>180</v>
      </c>
      <c r="G4" t="s">
        <v>123</v>
      </c>
      <c r="H4">
        <v>0</v>
      </c>
      <c r="I4">
        <v>0</v>
      </c>
    </row>
    <row r="5" spans="1:9" x14ac:dyDescent="0.25">
      <c r="A5" t="s">
        <v>234</v>
      </c>
      <c r="B5" t="s">
        <v>236</v>
      </c>
      <c r="C5">
        <v>4</v>
      </c>
      <c r="D5">
        <v>2</v>
      </c>
      <c r="E5">
        <v>20</v>
      </c>
      <c r="F5" t="s">
        <v>238</v>
      </c>
      <c r="G5" t="s">
        <v>123</v>
      </c>
      <c r="H5">
        <v>44</v>
      </c>
      <c r="I5">
        <v>2.2000000000000002</v>
      </c>
    </row>
    <row r="6" spans="1:9" x14ac:dyDescent="0.25">
      <c r="A6" t="s">
        <v>284</v>
      </c>
      <c r="B6" t="s">
        <v>286</v>
      </c>
      <c r="C6">
        <v>5</v>
      </c>
      <c r="E6">
        <v>20</v>
      </c>
      <c r="F6" t="s">
        <v>16</v>
      </c>
      <c r="G6" t="s">
        <v>18</v>
      </c>
      <c r="H6">
        <v>0</v>
      </c>
      <c r="I6">
        <v>0</v>
      </c>
    </row>
    <row r="7" spans="1:9" x14ac:dyDescent="0.25">
      <c r="A7" t="s">
        <v>448</v>
      </c>
      <c r="B7" t="s">
        <v>450</v>
      </c>
      <c r="C7">
        <v>5</v>
      </c>
      <c r="D7">
        <v>2</v>
      </c>
      <c r="E7">
        <v>20</v>
      </c>
      <c r="F7" t="s">
        <v>452</v>
      </c>
      <c r="G7" t="s">
        <v>123</v>
      </c>
      <c r="H7">
        <v>0</v>
      </c>
      <c r="I7">
        <v>0</v>
      </c>
    </row>
    <row r="8" spans="1:9" x14ac:dyDescent="0.25">
      <c r="A8" t="s">
        <v>339</v>
      </c>
      <c r="B8" t="s">
        <v>341</v>
      </c>
      <c r="C8">
        <v>5</v>
      </c>
      <c r="D8">
        <v>1</v>
      </c>
      <c r="E8">
        <v>20</v>
      </c>
      <c r="F8" t="s">
        <v>343</v>
      </c>
      <c r="G8" t="s">
        <v>123</v>
      </c>
      <c r="H8">
        <v>0</v>
      </c>
      <c r="I8">
        <v>0</v>
      </c>
    </row>
    <row r="9" spans="1:9" x14ac:dyDescent="0.25">
      <c r="A9" t="s">
        <v>395</v>
      </c>
      <c r="B9" t="s">
        <v>397</v>
      </c>
      <c r="C9">
        <v>5</v>
      </c>
      <c r="D9">
        <v>2</v>
      </c>
      <c r="E9">
        <v>20</v>
      </c>
      <c r="F9" t="s">
        <v>399</v>
      </c>
      <c r="G9" t="s">
        <v>123</v>
      </c>
      <c r="H9">
        <v>0</v>
      </c>
      <c r="I9">
        <v>0</v>
      </c>
    </row>
    <row r="10" spans="1:9" x14ac:dyDescent="0.25">
      <c r="A10" t="s">
        <v>502</v>
      </c>
      <c r="B10" t="s">
        <v>504</v>
      </c>
      <c r="C10">
        <v>6</v>
      </c>
      <c r="D10">
        <v>1</v>
      </c>
      <c r="E10">
        <v>20</v>
      </c>
      <c r="F10" t="s">
        <v>180</v>
      </c>
      <c r="G10" t="s">
        <v>123</v>
      </c>
      <c r="H10">
        <v>0</v>
      </c>
      <c r="I10">
        <v>0</v>
      </c>
    </row>
    <row r="11" spans="1:9" x14ac:dyDescent="0.25">
      <c r="A11" t="s">
        <v>553</v>
      </c>
      <c r="B11" t="s">
        <v>555</v>
      </c>
      <c r="C11">
        <v>6</v>
      </c>
      <c r="D11">
        <v>1</v>
      </c>
      <c r="E11">
        <v>20</v>
      </c>
      <c r="F11" t="s">
        <v>557</v>
      </c>
      <c r="G11" t="s">
        <v>123</v>
      </c>
      <c r="H11">
        <v>0</v>
      </c>
      <c r="I11">
        <v>0</v>
      </c>
    </row>
    <row r="12" spans="1:9" x14ac:dyDescent="0.25">
      <c r="A12" t="s">
        <v>658</v>
      </c>
      <c r="B12" t="s">
        <v>866</v>
      </c>
      <c r="C12">
        <v>6</v>
      </c>
      <c r="E12">
        <v>20</v>
      </c>
      <c r="F12" t="s">
        <v>660</v>
      </c>
      <c r="G12" t="s">
        <v>18</v>
      </c>
      <c r="H12">
        <v>0</v>
      </c>
      <c r="I12">
        <v>0</v>
      </c>
    </row>
    <row r="13" spans="1:9" x14ac:dyDescent="0.25">
      <c r="A13" t="s">
        <v>602</v>
      </c>
      <c r="B13" t="s">
        <v>604</v>
      </c>
      <c r="C13">
        <v>6</v>
      </c>
      <c r="D13">
        <v>2</v>
      </c>
      <c r="E13">
        <v>20</v>
      </c>
      <c r="F13" t="s">
        <v>606</v>
      </c>
      <c r="G13" t="s">
        <v>123</v>
      </c>
      <c r="H13">
        <v>44</v>
      </c>
      <c r="I13">
        <v>2.2000000000000002</v>
      </c>
    </row>
    <row r="14" spans="1:9" x14ac:dyDescent="0.25">
      <c r="A14" t="s">
        <v>654</v>
      </c>
      <c r="B14" t="s">
        <v>864</v>
      </c>
      <c r="C14">
        <v>6</v>
      </c>
      <c r="E14">
        <v>60</v>
      </c>
      <c r="F14" t="s">
        <v>656</v>
      </c>
      <c r="G14" t="s">
        <v>18</v>
      </c>
      <c r="H14">
        <v>0</v>
      </c>
      <c r="I14">
        <v>0</v>
      </c>
    </row>
    <row r="15" spans="1:9" x14ac:dyDescent="0.25">
      <c r="A15" t="s">
        <v>768</v>
      </c>
      <c r="B15" t="s">
        <v>771</v>
      </c>
      <c r="C15">
        <v>4</v>
      </c>
      <c r="D15">
        <v>2</v>
      </c>
      <c r="E15">
        <v>20</v>
      </c>
      <c r="F15" t="s">
        <v>772</v>
      </c>
      <c r="G15" t="s">
        <v>684</v>
      </c>
      <c r="H15">
        <v>44</v>
      </c>
      <c r="I15">
        <v>2.2000000000000002</v>
      </c>
    </row>
    <row r="16" spans="1:9" x14ac:dyDescent="0.25">
      <c r="A16" t="s">
        <v>774</v>
      </c>
      <c r="B16" t="s">
        <v>775</v>
      </c>
      <c r="C16">
        <v>4</v>
      </c>
      <c r="D16">
        <v>1</v>
      </c>
      <c r="E16">
        <v>20</v>
      </c>
      <c r="F16" t="s">
        <v>777</v>
      </c>
      <c r="G16" t="s">
        <v>123</v>
      </c>
      <c r="H16">
        <v>44</v>
      </c>
      <c r="I16">
        <v>2.2000000000000002</v>
      </c>
    </row>
    <row r="17" spans="1:9" x14ac:dyDescent="0.25">
      <c r="A17" t="s">
        <v>779</v>
      </c>
      <c r="B17" t="s">
        <v>780</v>
      </c>
      <c r="C17">
        <v>5</v>
      </c>
      <c r="D17">
        <v>2</v>
      </c>
      <c r="E17">
        <v>20</v>
      </c>
      <c r="F17" t="s">
        <v>781</v>
      </c>
      <c r="G17" t="s">
        <v>684</v>
      </c>
      <c r="H17">
        <v>42</v>
      </c>
      <c r="I17">
        <v>2.1</v>
      </c>
    </row>
    <row r="18" spans="1:9" x14ac:dyDescent="0.25">
      <c r="A18" t="s">
        <v>783</v>
      </c>
      <c r="B18" t="s">
        <v>784</v>
      </c>
      <c r="C18">
        <v>5</v>
      </c>
      <c r="D18">
        <v>2</v>
      </c>
      <c r="E18">
        <v>20</v>
      </c>
      <c r="F18" t="s">
        <v>785</v>
      </c>
      <c r="G18" t="s">
        <v>123</v>
      </c>
      <c r="H18">
        <v>40</v>
      </c>
      <c r="I18">
        <v>2</v>
      </c>
    </row>
    <row r="19" spans="1:9" x14ac:dyDescent="0.25">
      <c r="A19" t="s">
        <v>787</v>
      </c>
      <c r="B19" t="s">
        <v>788</v>
      </c>
      <c r="C19">
        <v>6</v>
      </c>
      <c r="E19">
        <v>40</v>
      </c>
      <c r="F19" t="s">
        <v>789</v>
      </c>
      <c r="G19" t="s">
        <v>685</v>
      </c>
      <c r="H19">
        <v>36</v>
      </c>
      <c r="I19">
        <v>0.9</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1E06A-BCB8-4E7C-927E-09E3D4CCC6D2}">
  <sheetPr codeName="Sheet17"/>
  <dimension ref="A1:M19"/>
  <sheetViews>
    <sheetView workbookViewId="0"/>
  </sheetViews>
  <sheetFormatPr defaultRowHeight="15" x14ac:dyDescent="0.25"/>
  <cols>
    <col min="1" max="1" width="49" bestFit="1" customWidth="1"/>
    <col min="2" max="2" width="15.28515625" bestFit="1" customWidth="1"/>
    <col min="3" max="3" width="14.85546875" bestFit="1" customWidth="1"/>
    <col min="4" max="4" width="12.7109375" bestFit="1" customWidth="1"/>
    <col min="5" max="5" width="14" bestFit="1" customWidth="1"/>
    <col min="6" max="6" width="12.140625" bestFit="1" customWidth="1"/>
    <col min="7" max="7" width="46.85546875" bestFit="1" customWidth="1"/>
    <col min="8" max="8" width="10.140625" bestFit="1" customWidth="1"/>
    <col min="9" max="9" width="10.7109375" bestFit="1" customWidth="1"/>
    <col min="10" max="10" width="11" bestFit="1" customWidth="1"/>
    <col min="11" max="11" width="12.42578125" bestFit="1" customWidth="1"/>
    <col min="12" max="12" width="9.28515625" bestFit="1" customWidth="1"/>
    <col min="13" max="13" width="7.7109375" bestFit="1" customWidth="1"/>
  </cols>
  <sheetData>
    <row r="1" spans="1:13" x14ac:dyDescent="0.25">
      <c r="A1" t="s">
        <v>759</v>
      </c>
      <c r="B1" t="s">
        <v>760</v>
      </c>
      <c r="C1" t="s">
        <v>761</v>
      </c>
      <c r="D1" t="s">
        <v>762</v>
      </c>
      <c r="E1" t="s">
        <v>763</v>
      </c>
      <c r="F1" t="s">
        <v>764</v>
      </c>
      <c r="G1" t="s">
        <v>765</v>
      </c>
      <c r="H1" t="s">
        <v>25</v>
      </c>
      <c r="I1" t="s">
        <v>26</v>
      </c>
      <c r="J1" t="s">
        <v>27</v>
      </c>
      <c r="K1" t="s">
        <v>28</v>
      </c>
      <c r="L1" t="s">
        <v>30</v>
      </c>
      <c r="M1" t="s">
        <v>32</v>
      </c>
    </row>
    <row r="2" spans="1:13" x14ac:dyDescent="0.25">
      <c r="A2" t="s">
        <v>851</v>
      </c>
      <c r="B2" t="s">
        <v>852</v>
      </c>
      <c r="C2" t="s">
        <v>5</v>
      </c>
      <c r="D2" t="s">
        <v>828</v>
      </c>
      <c r="E2" t="s">
        <v>20</v>
      </c>
      <c r="F2" t="s">
        <v>770</v>
      </c>
      <c r="G2" t="s">
        <v>8</v>
      </c>
      <c r="H2">
        <v>20</v>
      </c>
      <c r="K2">
        <v>20</v>
      </c>
      <c r="M2">
        <v>40</v>
      </c>
    </row>
    <row r="3" spans="1:13" x14ac:dyDescent="0.25">
      <c r="A3" t="s">
        <v>851</v>
      </c>
      <c r="B3" t="s">
        <v>853</v>
      </c>
      <c r="C3" t="s">
        <v>118</v>
      </c>
      <c r="D3" t="s">
        <v>828</v>
      </c>
      <c r="E3" t="s">
        <v>20</v>
      </c>
      <c r="F3" t="s">
        <v>770</v>
      </c>
      <c r="G3" t="s">
        <v>120</v>
      </c>
      <c r="H3">
        <v>20</v>
      </c>
      <c r="I3">
        <v>15</v>
      </c>
      <c r="J3">
        <v>9</v>
      </c>
      <c r="K3">
        <v>3</v>
      </c>
      <c r="M3">
        <v>47</v>
      </c>
    </row>
    <row r="4" spans="1:13" x14ac:dyDescent="0.25">
      <c r="A4" t="s">
        <v>851</v>
      </c>
      <c r="B4" t="s">
        <v>854</v>
      </c>
      <c r="C4" t="s">
        <v>176</v>
      </c>
      <c r="D4" t="s">
        <v>828</v>
      </c>
      <c r="E4" t="s">
        <v>20</v>
      </c>
      <c r="F4" t="s">
        <v>770</v>
      </c>
      <c r="G4" t="s">
        <v>178</v>
      </c>
      <c r="M4">
        <v>0</v>
      </c>
    </row>
    <row r="5" spans="1:13" x14ac:dyDescent="0.25">
      <c r="A5" t="s">
        <v>851</v>
      </c>
      <c r="B5" t="s">
        <v>855</v>
      </c>
      <c r="C5" t="s">
        <v>234</v>
      </c>
      <c r="D5" t="s">
        <v>828</v>
      </c>
      <c r="E5" t="s">
        <v>20</v>
      </c>
      <c r="F5" t="s">
        <v>770</v>
      </c>
      <c r="G5" t="s">
        <v>236</v>
      </c>
      <c r="H5">
        <v>22</v>
      </c>
      <c r="J5">
        <v>8</v>
      </c>
      <c r="K5">
        <v>14</v>
      </c>
      <c r="M5">
        <v>44</v>
      </c>
    </row>
    <row r="6" spans="1:13" x14ac:dyDescent="0.25">
      <c r="A6" t="s">
        <v>851</v>
      </c>
      <c r="B6" t="s">
        <v>856</v>
      </c>
      <c r="C6" t="s">
        <v>284</v>
      </c>
      <c r="D6" t="s">
        <v>828</v>
      </c>
      <c r="E6" t="s">
        <v>20</v>
      </c>
      <c r="F6" t="s">
        <v>770</v>
      </c>
      <c r="G6" t="s">
        <v>286</v>
      </c>
      <c r="M6">
        <v>0</v>
      </c>
    </row>
    <row r="7" spans="1:13" x14ac:dyDescent="0.25">
      <c r="A7" t="s">
        <v>851</v>
      </c>
      <c r="B7" t="s">
        <v>859</v>
      </c>
      <c r="C7" t="s">
        <v>448</v>
      </c>
      <c r="D7" t="s">
        <v>828</v>
      </c>
      <c r="E7" t="s">
        <v>20</v>
      </c>
      <c r="F7" t="s">
        <v>770</v>
      </c>
      <c r="G7" t="s">
        <v>450</v>
      </c>
      <c r="M7">
        <v>0</v>
      </c>
    </row>
    <row r="8" spans="1:13" x14ac:dyDescent="0.25">
      <c r="A8" t="s">
        <v>851</v>
      </c>
      <c r="B8" t="s">
        <v>857</v>
      </c>
      <c r="C8" t="s">
        <v>339</v>
      </c>
      <c r="D8" t="s">
        <v>828</v>
      </c>
      <c r="E8" t="s">
        <v>20</v>
      </c>
      <c r="F8" t="s">
        <v>770</v>
      </c>
      <c r="G8" t="s">
        <v>341</v>
      </c>
      <c r="M8">
        <v>0</v>
      </c>
    </row>
    <row r="9" spans="1:13" x14ac:dyDescent="0.25">
      <c r="A9" t="s">
        <v>851</v>
      </c>
      <c r="B9" t="s">
        <v>858</v>
      </c>
      <c r="C9" t="s">
        <v>395</v>
      </c>
      <c r="D9" t="s">
        <v>828</v>
      </c>
      <c r="E9" t="s">
        <v>20</v>
      </c>
      <c r="F9" t="s">
        <v>770</v>
      </c>
      <c r="G9" t="s">
        <v>397</v>
      </c>
      <c r="M9">
        <v>0</v>
      </c>
    </row>
    <row r="10" spans="1:13" x14ac:dyDescent="0.25">
      <c r="A10" t="s">
        <v>851</v>
      </c>
      <c r="B10" t="s">
        <v>860</v>
      </c>
      <c r="C10" t="s">
        <v>502</v>
      </c>
      <c r="D10" t="s">
        <v>828</v>
      </c>
      <c r="E10" t="s">
        <v>20</v>
      </c>
      <c r="F10" t="s">
        <v>770</v>
      </c>
      <c r="G10" t="s">
        <v>504</v>
      </c>
      <c r="M10">
        <v>0</v>
      </c>
    </row>
    <row r="11" spans="1:13" x14ac:dyDescent="0.25">
      <c r="A11" t="s">
        <v>851</v>
      </c>
      <c r="B11" t="s">
        <v>861</v>
      </c>
      <c r="C11" t="s">
        <v>553</v>
      </c>
      <c r="D11" t="s">
        <v>828</v>
      </c>
      <c r="E11" t="s">
        <v>20</v>
      </c>
      <c r="F11" t="s">
        <v>770</v>
      </c>
      <c r="G11" t="s">
        <v>555</v>
      </c>
      <c r="M11">
        <v>0</v>
      </c>
    </row>
    <row r="12" spans="1:13" x14ac:dyDescent="0.25">
      <c r="A12" t="s">
        <v>851</v>
      </c>
      <c r="B12" t="s">
        <v>865</v>
      </c>
      <c r="C12" t="s">
        <v>658</v>
      </c>
      <c r="D12" t="s">
        <v>828</v>
      </c>
      <c r="E12" t="s">
        <v>20</v>
      </c>
      <c r="F12" t="s">
        <v>770</v>
      </c>
      <c r="G12" t="s">
        <v>866</v>
      </c>
      <c r="M12">
        <v>0</v>
      </c>
    </row>
    <row r="13" spans="1:13" x14ac:dyDescent="0.25">
      <c r="A13" t="s">
        <v>851</v>
      </c>
      <c r="B13" t="s">
        <v>862</v>
      </c>
      <c r="C13" t="s">
        <v>602</v>
      </c>
      <c r="D13" t="s">
        <v>828</v>
      </c>
      <c r="E13" t="s">
        <v>20</v>
      </c>
      <c r="F13" t="s">
        <v>770</v>
      </c>
      <c r="G13" t="s">
        <v>604</v>
      </c>
      <c r="H13">
        <v>18</v>
      </c>
      <c r="K13">
        <v>22</v>
      </c>
      <c r="L13">
        <v>4</v>
      </c>
      <c r="M13">
        <v>44</v>
      </c>
    </row>
    <row r="14" spans="1:13" x14ac:dyDescent="0.25">
      <c r="A14" t="s">
        <v>851</v>
      </c>
      <c r="B14" t="s">
        <v>863</v>
      </c>
      <c r="C14" t="s">
        <v>654</v>
      </c>
      <c r="D14" t="s">
        <v>828</v>
      </c>
      <c r="E14" t="s">
        <v>20</v>
      </c>
      <c r="F14" t="s">
        <v>770</v>
      </c>
      <c r="G14" t="s">
        <v>864</v>
      </c>
      <c r="M14">
        <v>0</v>
      </c>
    </row>
    <row r="15" spans="1:13" x14ac:dyDescent="0.25">
      <c r="A15" t="s">
        <v>766</v>
      </c>
      <c r="B15" t="s">
        <v>827</v>
      </c>
      <c r="C15" t="s">
        <v>768</v>
      </c>
      <c r="D15" t="s">
        <v>828</v>
      </c>
      <c r="E15" t="s">
        <v>20</v>
      </c>
      <c r="F15" t="s">
        <v>770</v>
      </c>
      <c r="G15" t="s">
        <v>771</v>
      </c>
      <c r="H15">
        <v>34</v>
      </c>
      <c r="I15">
        <v>6</v>
      </c>
      <c r="K15">
        <v>4</v>
      </c>
      <c r="M15">
        <v>44</v>
      </c>
    </row>
    <row r="16" spans="1:13" x14ac:dyDescent="0.25">
      <c r="A16" t="s">
        <v>766</v>
      </c>
      <c r="B16" t="s">
        <v>829</v>
      </c>
      <c r="C16" t="s">
        <v>774</v>
      </c>
      <c r="D16" t="s">
        <v>828</v>
      </c>
      <c r="E16" t="s">
        <v>20</v>
      </c>
      <c r="F16" t="s">
        <v>770</v>
      </c>
      <c r="G16" t="s">
        <v>775</v>
      </c>
      <c r="H16">
        <v>33</v>
      </c>
      <c r="I16">
        <v>1</v>
      </c>
      <c r="J16">
        <v>6</v>
      </c>
      <c r="K16">
        <v>1</v>
      </c>
      <c r="L16">
        <v>3</v>
      </c>
      <c r="M16">
        <v>44</v>
      </c>
    </row>
    <row r="17" spans="1:13" x14ac:dyDescent="0.25">
      <c r="A17" t="s">
        <v>766</v>
      </c>
      <c r="B17" t="s">
        <v>830</v>
      </c>
      <c r="C17" t="s">
        <v>779</v>
      </c>
      <c r="D17" t="s">
        <v>828</v>
      </c>
      <c r="E17" t="s">
        <v>20</v>
      </c>
      <c r="F17" t="s">
        <v>770</v>
      </c>
      <c r="G17" t="s">
        <v>780</v>
      </c>
      <c r="H17">
        <v>34</v>
      </c>
      <c r="I17">
        <v>6</v>
      </c>
      <c r="K17">
        <v>2</v>
      </c>
      <c r="M17">
        <v>42</v>
      </c>
    </row>
    <row r="18" spans="1:13" x14ac:dyDescent="0.25">
      <c r="A18" t="s">
        <v>766</v>
      </c>
      <c r="B18" t="s">
        <v>831</v>
      </c>
      <c r="C18" t="s">
        <v>783</v>
      </c>
      <c r="D18" t="s">
        <v>828</v>
      </c>
      <c r="E18" t="s">
        <v>20</v>
      </c>
      <c r="F18" t="s">
        <v>770</v>
      </c>
      <c r="G18" t="s">
        <v>784</v>
      </c>
      <c r="H18">
        <v>16</v>
      </c>
      <c r="I18">
        <v>5</v>
      </c>
      <c r="J18">
        <v>6</v>
      </c>
      <c r="K18">
        <v>7</v>
      </c>
      <c r="L18">
        <v>6</v>
      </c>
      <c r="M18">
        <v>40</v>
      </c>
    </row>
    <row r="19" spans="1:13" x14ac:dyDescent="0.25">
      <c r="A19" t="s">
        <v>766</v>
      </c>
      <c r="B19" t="s">
        <v>832</v>
      </c>
      <c r="C19" t="s">
        <v>787</v>
      </c>
      <c r="D19" t="s">
        <v>828</v>
      </c>
      <c r="E19" t="s">
        <v>20</v>
      </c>
      <c r="F19" t="s">
        <v>770</v>
      </c>
      <c r="G19" t="s">
        <v>788</v>
      </c>
      <c r="H19">
        <v>10</v>
      </c>
      <c r="I19">
        <v>26</v>
      </c>
      <c r="M19">
        <v>36</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73D04D-C04C-4F8F-A5DA-54E51F19428B}">
  <sheetPr codeName="Sheet18"/>
  <dimension ref="A1:E69"/>
  <sheetViews>
    <sheetView workbookViewId="0">
      <selection activeCell="K10" sqref="K10"/>
    </sheetView>
  </sheetViews>
  <sheetFormatPr defaultRowHeight="15" x14ac:dyDescent="0.25"/>
  <cols>
    <col min="1" max="1" width="42.42578125" bestFit="1" customWidth="1"/>
    <col min="2" max="2" width="38" bestFit="1" customWidth="1"/>
    <col min="3" max="3" width="81.140625" bestFit="1" customWidth="1"/>
    <col min="4" max="4" width="16.140625" bestFit="1" customWidth="1"/>
    <col min="5" max="5" width="11" bestFit="1" customWidth="1"/>
  </cols>
  <sheetData>
    <row r="1" spans="1:5" x14ac:dyDescent="0.25">
      <c r="A1" t="s">
        <v>686</v>
      </c>
      <c r="B1" t="s">
        <v>687</v>
      </c>
      <c r="C1" t="s">
        <v>839</v>
      </c>
      <c r="D1" t="s">
        <v>840</v>
      </c>
      <c r="E1" t="s">
        <v>841</v>
      </c>
    </row>
    <row r="2" spans="1:5" x14ac:dyDescent="0.25">
      <c r="A2" t="s">
        <v>138</v>
      </c>
      <c r="B2" t="s">
        <v>518</v>
      </c>
      <c r="C2" t="s">
        <v>963</v>
      </c>
      <c r="D2">
        <v>4</v>
      </c>
      <c r="E2" t="b">
        <v>1</v>
      </c>
    </row>
    <row r="3" spans="1:5" x14ac:dyDescent="0.25">
      <c r="A3" t="s">
        <v>138</v>
      </c>
      <c r="B3" t="s">
        <v>139</v>
      </c>
      <c r="C3" t="s">
        <v>964</v>
      </c>
      <c r="D3">
        <v>7</v>
      </c>
      <c r="E3" t="b">
        <v>1</v>
      </c>
    </row>
    <row r="4" spans="1:5" x14ac:dyDescent="0.25">
      <c r="A4" t="s">
        <v>138</v>
      </c>
      <c r="B4" t="s">
        <v>196</v>
      </c>
      <c r="C4" t="s">
        <v>965</v>
      </c>
      <c r="D4">
        <v>16</v>
      </c>
      <c r="E4" t="b">
        <v>1</v>
      </c>
    </row>
    <row r="5" spans="1:5" x14ac:dyDescent="0.25">
      <c r="A5" t="s">
        <v>252</v>
      </c>
      <c r="B5" t="s">
        <v>657</v>
      </c>
      <c r="C5" t="s">
        <v>966</v>
      </c>
      <c r="D5">
        <v>4</v>
      </c>
      <c r="E5" t="b">
        <v>1</v>
      </c>
    </row>
    <row r="6" spans="1:5" x14ac:dyDescent="0.25">
      <c r="A6" t="s">
        <v>138</v>
      </c>
      <c r="B6" t="s">
        <v>198</v>
      </c>
      <c r="C6" t="s">
        <v>967</v>
      </c>
      <c r="D6">
        <v>6</v>
      </c>
      <c r="E6" t="b">
        <v>1</v>
      </c>
    </row>
    <row r="7" spans="1:5" x14ac:dyDescent="0.25">
      <c r="A7" t="s">
        <v>71</v>
      </c>
      <c r="B7" t="s">
        <v>358</v>
      </c>
      <c r="C7" t="s">
        <v>968</v>
      </c>
      <c r="D7">
        <v>3</v>
      </c>
      <c r="E7" t="b">
        <v>1</v>
      </c>
    </row>
    <row r="8" spans="1:5" x14ac:dyDescent="0.25">
      <c r="A8" t="s">
        <v>138</v>
      </c>
      <c r="B8" t="s">
        <v>843</v>
      </c>
      <c r="D8">
        <v>0</v>
      </c>
      <c r="E8" t="b">
        <v>0</v>
      </c>
    </row>
    <row r="9" spans="1:5" x14ac:dyDescent="0.25">
      <c r="A9" t="s">
        <v>464</v>
      </c>
      <c r="B9" t="s">
        <v>729</v>
      </c>
      <c r="C9" t="s">
        <v>842</v>
      </c>
      <c r="D9">
        <v>5</v>
      </c>
      <c r="E9" t="b">
        <v>1</v>
      </c>
    </row>
    <row r="10" spans="1:5" x14ac:dyDescent="0.25">
      <c r="A10" t="s">
        <v>138</v>
      </c>
      <c r="B10" t="s">
        <v>702</v>
      </c>
      <c r="C10" t="s">
        <v>784</v>
      </c>
      <c r="D10">
        <v>1</v>
      </c>
      <c r="E10" t="b">
        <v>1</v>
      </c>
    </row>
    <row r="11" spans="1:5" x14ac:dyDescent="0.25">
      <c r="A11" t="s">
        <v>69</v>
      </c>
      <c r="B11" t="s">
        <v>70</v>
      </c>
      <c r="C11" t="s">
        <v>969</v>
      </c>
      <c r="D11">
        <v>5</v>
      </c>
      <c r="E11" t="b">
        <v>1</v>
      </c>
    </row>
    <row r="12" spans="1:5" x14ac:dyDescent="0.25">
      <c r="A12" t="s">
        <v>252</v>
      </c>
      <c r="B12" t="s">
        <v>706</v>
      </c>
      <c r="D12">
        <v>0</v>
      </c>
      <c r="E12" t="b">
        <v>0</v>
      </c>
    </row>
    <row r="13" spans="1:5" x14ac:dyDescent="0.25">
      <c r="A13" t="s">
        <v>252</v>
      </c>
      <c r="B13" t="s">
        <v>709</v>
      </c>
      <c r="C13" t="s">
        <v>844</v>
      </c>
      <c r="D13">
        <v>2</v>
      </c>
      <c r="E13" t="b">
        <v>1</v>
      </c>
    </row>
    <row r="14" spans="1:5" x14ac:dyDescent="0.25">
      <c r="A14" t="s">
        <v>252</v>
      </c>
      <c r="B14" t="s">
        <v>674</v>
      </c>
      <c r="C14" t="s">
        <v>784</v>
      </c>
      <c r="D14">
        <v>1</v>
      </c>
      <c r="E14" t="b">
        <v>1</v>
      </c>
    </row>
    <row r="15" spans="1:5" x14ac:dyDescent="0.25">
      <c r="A15" t="s">
        <v>73</v>
      </c>
      <c r="B15" t="s">
        <v>303</v>
      </c>
      <c r="C15" t="s">
        <v>970</v>
      </c>
      <c r="D15">
        <v>2</v>
      </c>
      <c r="E15" t="b">
        <v>1</v>
      </c>
    </row>
    <row r="16" spans="1:5" x14ac:dyDescent="0.25">
      <c r="A16" t="s">
        <v>252</v>
      </c>
      <c r="B16" t="s">
        <v>253</v>
      </c>
      <c r="C16" t="s">
        <v>236</v>
      </c>
      <c r="D16">
        <v>1</v>
      </c>
      <c r="E16" t="b">
        <v>1</v>
      </c>
    </row>
    <row r="17" spans="1:5" x14ac:dyDescent="0.25">
      <c r="A17" t="s">
        <v>71</v>
      </c>
      <c r="B17" t="s">
        <v>413</v>
      </c>
      <c r="C17" t="s">
        <v>971</v>
      </c>
      <c r="D17">
        <v>3</v>
      </c>
      <c r="E17" t="b">
        <v>1</v>
      </c>
    </row>
    <row r="18" spans="1:5" x14ac:dyDescent="0.25">
      <c r="A18" t="s">
        <v>71</v>
      </c>
      <c r="B18" t="s">
        <v>197</v>
      </c>
      <c r="C18" t="s">
        <v>972</v>
      </c>
      <c r="D18">
        <v>4</v>
      </c>
      <c r="E18" t="b">
        <v>1</v>
      </c>
    </row>
    <row r="19" spans="1:5" x14ac:dyDescent="0.25">
      <c r="A19" t="s">
        <v>252</v>
      </c>
      <c r="B19" t="s">
        <v>718</v>
      </c>
      <c r="C19" t="s">
        <v>788</v>
      </c>
      <c r="D19">
        <v>1</v>
      </c>
      <c r="E19" t="b">
        <v>1</v>
      </c>
    </row>
    <row r="20" spans="1:5" x14ac:dyDescent="0.25">
      <c r="A20" t="s">
        <v>73</v>
      </c>
      <c r="B20" t="s">
        <v>140</v>
      </c>
      <c r="C20" t="s">
        <v>973</v>
      </c>
      <c r="D20">
        <v>9</v>
      </c>
      <c r="E20" t="b">
        <v>1</v>
      </c>
    </row>
    <row r="21" spans="1:5" x14ac:dyDescent="0.25">
      <c r="A21" t="s">
        <v>464</v>
      </c>
      <c r="B21" t="s">
        <v>728</v>
      </c>
      <c r="C21" t="s">
        <v>780</v>
      </c>
      <c r="D21">
        <v>1</v>
      </c>
      <c r="E21" t="b">
        <v>1</v>
      </c>
    </row>
    <row r="22" spans="1:5" x14ac:dyDescent="0.25">
      <c r="A22" t="s">
        <v>71</v>
      </c>
      <c r="B22" t="s">
        <v>72</v>
      </c>
      <c r="C22" t="s">
        <v>974</v>
      </c>
      <c r="D22">
        <v>5</v>
      </c>
      <c r="E22" t="b">
        <v>1</v>
      </c>
    </row>
    <row r="23" spans="1:5" x14ac:dyDescent="0.25">
      <c r="A23" t="s">
        <v>73</v>
      </c>
      <c r="B23" t="s">
        <v>412</v>
      </c>
      <c r="C23" t="s">
        <v>975</v>
      </c>
      <c r="D23">
        <v>5</v>
      </c>
      <c r="E23" t="b">
        <v>1</v>
      </c>
    </row>
    <row r="24" spans="1:5" x14ac:dyDescent="0.25">
      <c r="A24" t="s">
        <v>71</v>
      </c>
      <c r="B24" t="s">
        <v>724</v>
      </c>
      <c r="D24">
        <v>0</v>
      </c>
      <c r="E24" t="b">
        <v>0</v>
      </c>
    </row>
    <row r="25" spans="1:5" x14ac:dyDescent="0.25">
      <c r="A25" t="s">
        <v>73</v>
      </c>
      <c r="B25" t="s">
        <v>466</v>
      </c>
      <c r="C25" t="s">
        <v>976</v>
      </c>
      <c r="D25">
        <v>2</v>
      </c>
      <c r="E25" t="b">
        <v>1</v>
      </c>
    </row>
    <row r="26" spans="1:5" x14ac:dyDescent="0.25">
      <c r="A26" t="s">
        <v>71</v>
      </c>
      <c r="B26" t="s">
        <v>727</v>
      </c>
      <c r="C26" t="s">
        <v>788</v>
      </c>
      <c r="D26">
        <v>1</v>
      </c>
      <c r="E26" t="b">
        <v>1</v>
      </c>
    </row>
    <row r="27" spans="1:5" x14ac:dyDescent="0.25">
      <c r="A27" t="s">
        <v>464</v>
      </c>
      <c r="B27" t="s">
        <v>845</v>
      </c>
      <c r="D27">
        <v>0</v>
      </c>
      <c r="E27" t="b">
        <v>0</v>
      </c>
    </row>
    <row r="28" spans="1:5" x14ac:dyDescent="0.25">
      <c r="A28" t="s">
        <v>464</v>
      </c>
      <c r="B28" t="s">
        <v>517</v>
      </c>
      <c r="C28" t="s">
        <v>977</v>
      </c>
      <c r="D28">
        <v>2</v>
      </c>
      <c r="E28" t="b">
        <v>1</v>
      </c>
    </row>
    <row r="29" spans="1:5" x14ac:dyDescent="0.25">
      <c r="A29" t="s">
        <v>464</v>
      </c>
      <c r="B29" t="s">
        <v>846</v>
      </c>
      <c r="D29">
        <v>0</v>
      </c>
      <c r="E29" t="b">
        <v>0</v>
      </c>
    </row>
    <row r="30" spans="1:5" x14ac:dyDescent="0.25">
      <c r="A30" t="s">
        <v>464</v>
      </c>
      <c r="B30" t="s">
        <v>570</v>
      </c>
      <c r="C30" t="s">
        <v>555</v>
      </c>
      <c r="D30">
        <v>1</v>
      </c>
      <c r="E30" t="b">
        <v>1</v>
      </c>
    </row>
    <row r="31" spans="1:5" x14ac:dyDescent="0.25">
      <c r="A31" t="s">
        <v>69</v>
      </c>
      <c r="B31" t="s">
        <v>75</v>
      </c>
      <c r="C31" t="s">
        <v>8</v>
      </c>
      <c r="D31">
        <v>1</v>
      </c>
      <c r="E31" t="b">
        <v>1</v>
      </c>
    </row>
    <row r="32" spans="1:5" x14ac:dyDescent="0.25">
      <c r="A32" t="s">
        <v>69</v>
      </c>
      <c r="B32" t="s">
        <v>730</v>
      </c>
      <c r="D32">
        <v>0</v>
      </c>
      <c r="E32" t="b">
        <v>0</v>
      </c>
    </row>
    <row r="33" spans="1:5" x14ac:dyDescent="0.25">
      <c r="A33" t="s">
        <v>69</v>
      </c>
      <c r="B33" t="s">
        <v>731</v>
      </c>
      <c r="D33">
        <v>0</v>
      </c>
      <c r="E33" t="b">
        <v>0</v>
      </c>
    </row>
    <row r="34" spans="1:5" x14ac:dyDescent="0.25">
      <c r="A34" t="s">
        <v>69</v>
      </c>
      <c r="B34" t="s">
        <v>732</v>
      </c>
      <c r="D34">
        <v>0</v>
      </c>
      <c r="E34" t="b">
        <v>0</v>
      </c>
    </row>
    <row r="35" spans="1:5" x14ac:dyDescent="0.25">
      <c r="A35" t="s">
        <v>69</v>
      </c>
      <c r="B35" t="s">
        <v>302</v>
      </c>
      <c r="C35" t="s">
        <v>978</v>
      </c>
      <c r="D35">
        <v>2</v>
      </c>
      <c r="E35" t="b">
        <v>1</v>
      </c>
    </row>
    <row r="36" spans="1:5" x14ac:dyDescent="0.25">
      <c r="A36" t="s">
        <v>69</v>
      </c>
      <c r="B36" t="s">
        <v>733</v>
      </c>
      <c r="D36">
        <v>0</v>
      </c>
      <c r="E36" t="b">
        <v>0</v>
      </c>
    </row>
    <row r="37" spans="1:5" x14ac:dyDescent="0.25">
      <c r="A37" t="s">
        <v>73</v>
      </c>
      <c r="B37" t="s">
        <v>847</v>
      </c>
      <c r="D37">
        <v>0</v>
      </c>
      <c r="E37" t="b">
        <v>0</v>
      </c>
    </row>
    <row r="38" spans="1:5" x14ac:dyDescent="0.25">
      <c r="A38" t="s">
        <v>73</v>
      </c>
      <c r="B38" t="s">
        <v>619</v>
      </c>
      <c r="C38" t="s">
        <v>604</v>
      </c>
      <c r="D38">
        <v>1</v>
      </c>
      <c r="E38" t="b">
        <v>1</v>
      </c>
    </row>
    <row r="39" spans="1:5" x14ac:dyDescent="0.25">
      <c r="A39" t="s">
        <v>254</v>
      </c>
      <c r="B39" t="s">
        <v>357</v>
      </c>
      <c r="C39" t="s">
        <v>341</v>
      </c>
      <c r="D39">
        <v>1</v>
      </c>
      <c r="E39" t="b">
        <v>1</v>
      </c>
    </row>
    <row r="40" spans="1:5" x14ac:dyDescent="0.25">
      <c r="A40" t="s">
        <v>254</v>
      </c>
      <c r="B40" t="s">
        <v>467</v>
      </c>
      <c r="C40" t="s">
        <v>979</v>
      </c>
      <c r="D40">
        <v>2</v>
      </c>
      <c r="E40" t="b">
        <v>1</v>
      </c>
    </row>
    <row r="41" spans="1:5" x14ac:dyDescent="0.25">
      <c r="A41" t="s">
        <v>254</v>
      </c>
      <c r="B41" t="s">
        <v>734</v>
      </c>
      <c r="D41">
        <v>0</v>
      </c>
      <c r="E41" t="b">
        <v>0</v>
      </c>
    </row>
    <row r="42" spans="1:5" x14ac:dyDescent="0.25">
      <c r="A42" t="s">
        <v>254</v>
      </c>
      <c r="B42" t="s">
        <v>255</v>
      </c>
      <c r="C42" t="s">
        <v>236</v>
      </c>
      <c r="D42">
        <v>1</v>
      </c>
      <c r="E42" t="b">
        <v>1</v>
      </c>
    </row>
    <row r="43" spans="1:5" x14ac:dyDescent="0.25">
      <c r="A43" t="s">
        <v>254</v>
      </c>
      <c r="B43" t="s">
        <v>735</v>
      </c>
      <c r="D43">
        <v>0</v>
      </c>
      <c r="E43" t="b">
        <v>0</v>
      </c>
    </row>
    <row r="44" spans="1:5" x14ac:dyDescent="0.25">
      <c r="A44" t="s">
        <v>254</v>
      </c>
      <c r="B44" t="s">
        <v>736</v>
      </c>
      <c r="D44">
        <v>0</v>
      </c>
      <c r="E44" t="b">
        <v>0</v>
      </c>
    </row>
    <row r="45" spans="1:5" x14ac:dyDescent="0.25">
      <c r="A45" t="s">
        <v>679</v>
      </c>
      <c r="B45" t="s">
        <v>737</v>
      </c>
      <c r="D45">
        <v>0</v>
      </c>
      <c r="E45" t="b">
        <v>0</v>
      </c>
    </row>
    <row r="46" spans="1:5" x14ac:dyDescent="0.25">
      <c r="A46" t="s">
        <v>679</v>
      </c>
      <c r="B46" t="s">
        <v>738</v>
      </c>
      <c r="D46">
        <v>0</v>
      </c>
      <c r="E46" t="b">
        <v>0</v>
      </c>
    </row>
    <row r="47" spans="1:5" x14ac:dyDescent="0.25">
      <c r="A47" t="s">
        <v>679</v>
      </c>
      <c r="B47" t="s">
        <v>739</v>
      </c>
      <c r="D47">
        <v>0</v>
      </c>
      <c r="E47" t="b">
        <v>0</v>
      </c>
    </row>
    <row r="48" spans="1:5" x14ac:dyDescent="0.25">
      <c r="A48" t="s">
        <v>679</v>
      </c>
      <c r="B48" t="s">
        <v>740</v>
      </c>
      <c r="C48" t="s">
        <v>848</v>
      </c>
      <c r="D48">
        <v>2</v>
      </c>
      <c r="E48" t="b">
        <v>1</v>
      </c>
    </row>
    <row r="49" spans="1:5" x14ac:dyDescent="0.25">
      <c r="A49" t="s">
        <v>679</v>
      </c>
      <c r="B49" t="s">
        <v>741</v>
      </c>
      <c r="D49">
        <v>0</v>
      </c>
      <c r="E49" t="b">
        <v>0</v>
      </c>
    </row>
    <row r="50" spans="1:5" x14ac:dyDescent="0.25">
      <c r="A50" t="s">
        <v>679</v>
      </c>
      <c r="B50" t="s">
        <v>742</v>
      </c>
      <c r="D50">
        <v>0</v>
      </c>
      <c r="E50" t="b">
        <v>0</v>
      </c>
    </row>
    <row r="51" spans="1:5" x14ac:dyDescent="0.25">
      <c r="A51" t="s">
        <v>679</v>
      </c>
      <c r="B51" t="s">
        <v>743</v>
      </c>
      <c r="D51">
        <v>0</v>
      </c>
      <c r="E51" t="b">
        <v>0</v>
      </c>
    </row>
    <row r="52" spans="1:5" x14ac:dyDescent="0.25">
      <c r="A52" t="s">
        <v>679</v>
      </c>
      <c r="B52" t="s">
        <v>744</v>
      </c>
      <c r="D52">
        <v>0</v>
      </c>
      <c r="E52" t="b">
        <v>0</v>
      </c>
    </row>
    <row r="53" spans="1:5" x14ac:dyDescent="0.25">
      <c r="A53" t="s">
        <v>679</v>
      </c>
      <c r="B53" t="s">
        <v>745</v>
      </c>
      <c r="D53">
        <v>0</v>
      </c>
      <c r="E53" t="b">
        <v>0</v>
      </c>
    </row>
    <row r="54" spans="1:5" x14ac:dyDescent="0.25">
      <c r="A54" t="s">
        <v>680</v>
      </c>
      <c r="B54" t="s">
        <v>746</v>
      </c>
      <c r="D54">
        <v>0</v>
      </c>
      <c r="E54" t="b">
        <v>0</v>
      </c>
    </row>
    <row r="55" spans="1:5" x14ac:dyDescent="0.25">
      <c r="A55" t="s">
        <v>680</v>
      </c>
      <c r="B55" t="s">
        <v>747</v>
      </c>
      <c r="D55">
        <v>0</v>
      </c>
      <c r="E55" t="b">
        <v>0</v>
      </c>
    </row>
    <row r="56" spans="1:5" x14ac:dyDescent="0.25">
      <c r="A56" t="s">
        <v>680</v>
      </c>
      <c r="B56" t="s">
        <v>748</v>
      </c>
      <c r="D56">
        <v>0</v>
      </c>
      <c r="E56" t="b">
        <v>0</v>
      </c>
    </row>
    <row r="57" spans="1:5" x14ac:dyDescent="0.25">
      <c r="A57" t="s">
        <v>680</v>
      </c>
      <c r="B57" t="s">
        <v>749</v>
      </c>
      <c r="D57">
        <v>0</v>
      </c>
      <c r="E57" t="b">
        <v>0</v>
      </c>
    </row>
    <row r="58" spans="1:5" x14ac:dyDescent="0.25">
      <c r="A58" t="s">
        <v>680</v>
      </c>
      <c r="B58" t="s">
        <v>750</v>
      </c>
      <c r="D58">
        <v>0</v>
      </c>
      <c r="E58" t="b">
        <v>0</v>
      </c>
    </row>
    <row r="59" spans="1:5" x14ac:dyDescent="0.25">
      <c r="A59" t="s">
        <v>682</v>
      </c>
      <c r="B59" t="s">
        <v>751</v>
      </c>
      <c r="D59">
        <v>0</v>
      </c>
      <c r="E59" t="b">
        <v>0</v>
      </c>
    </row>
    <row r="60" spans="1:5" x14ac:dyDescent="0.25">
      <c r="A60" t="s">
        <v>682</v>
      </c>
      <c r="B60" t="s">
        <v>752</v>
      </c>
      <c r="D60">
        <v>0</v>
      </c>
      <c r="E60" t="b">
        <v>0</v>
      </c>
    </row>
    <row r="61" spans="1:5" x14ac:dyDescent="0.25">
      <c r="A61" t="s">
        <v>682</v>
      </c>
      <c r="B61" t="s">
        <v>753</v>
      </c>
      <c r="D61">
        <v>0</v>
      </c>
      <c r="E61" t="b">
        <v>0</v>
      </c>
    </row>
    <row r="62" spans="1:5" x14ac:dyDescent="0.25">
      <c r="A62" t="s">
        <v>682</v>
      </c>
      <c r="B62" t="s">
        <v>754</v>
      </c>
      <c r="D62">
        <v>0</v>
      </c>
      <c r="E62" t="b">
        <v>0</v>
      </c>
    </row>
    <row r="63" spans="1:5" x14ac:dyDescent="0.25">
      <c r="A63" t="s">
        <v>682</v>
      </c>
      <c r="B63" t="s">
        <v>755</v>
      </c>
      <c r="D63">
        <v>0</v>
      </c>
      <c r="E63" t="b">
        <v>0</v>
      </c>
    </row>
    <row r="64" spans="1:5" x14ac:dyDescent="0.25">
      <c r="A64" t="s">
        <v>682</v>
      </c>
      <c r="B64" t="s">
        <v>756</v>
      </c>
      <c r="D64">
        <v>0</v>
      </c>
      <c r="E64" t="b">
        <v>0</v>
      </c>
    </row>
    <row r="65" spans="1:5" x14ac:dyDescent="0.25">
      <c r="A65" t="s">
        <v>682</v>
      </c>
      <c r="B65" t="s">
        <v>757</v>
      </c>
      <c r="D65">
        <v>0</v>
      </c>
      <c r="E65" t="b">
        <v>0</v>
      </c>
    </row>
    <row r="66" spans="1:5" x14ac:dyDescent="0.25">
      <c r="A66" t="s">
        <v>138</v>
      </c>
      <c r="B66" t="s">
        <v>699</v>
      </c>
      <c r="D66">
        <v>0</v>
      </c>
      <c r="E66" t="b">
        <v>0</v>
      </c>
    </row>
    <row r="67" spans="1:5" x14ac:dyDescent="0.25">
      <c r="A67" t="s">
        <v>464</v>
      </c>
      <c r="B67" t="s">
        <v>516</v>
      </c>
      <c r="C67" t="s">
        <v>504</v>
      </c>
      <c r="D67">
        <v>1</v>
      </c>
      <c r="E67" t="b">
        <v>1</v>
      </c>
    </row>
    <row r="68" spans="1:5" x14ac:dyDescent="0.25">
      <c r="A68" t="s">
        <v>464</v>
      </c>
      <c r="B68" t="s">
        <v>465</v>
      </c>
      <c r="C68" t="s">
        <v>450</v>
      </c>
      <c r="D68">
        <v>1</v>
      </c>
      <c r="E68" t="b">
        <v>1</v>
      </c>
    </row>
    <row r="69" spans="1:5" x14ac:dyDescent="0.25">
      <c r="A69" t="s">
        <v>73</v>
      </c>
      <c r="B69" t="s">
        <v>74</v>
      </c>
      <c r="C69" t="s">
        <v>980</v>
      </c>
      <c r="D69">
        <v>2</v>
      </c>
      <c r="E69" t="b">
        <v>1</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1F3076-DD2F-41B4-AA71-B2B790542949}">
  <sheetPr codeName="Sheet19"/>
  <dimension ref="A1:K198"/>
  <sheetViews>
    <sheetView topLeftCell="A151" workbookViewId="0">
      <selection activeCell="E200" sqref="E200"/>
    </sheetView>
  </sheetViews>
  <sheetFormatPr defaultRowHeight="15" x14ac:dyDescent="0.25"/>
  <cols>
    <col min="1" max="1" width="49" bestFit="1" customWidth="1"/>
    <col min="2" max="2" width="17.85546875" bestFit="1" customWidth="1"/>
    <col min="3" max="3" width="17.42578125" bestFit="1" customWidth="1"/>
    <col min="4" max="4" width="13.42578125" bestFit="1" customWidth="1"/>
    <col min="5" max="5" width="42.42578125" bestFit="1" customWidth="1"/>
    <col min="6" max="6" width="34.5703125" bestFit="1" customWidth="1"/>
    <col min="7" max="7" width="14.85546875" bestFit="1" customWidth="1"/>
    <col min="8" max="8" width="12.7109375" bestFit="1" customWidth="1"/>
    <col min="9" max="9" width="14" bestFit="1" customWidth="1"/>
    <col min="10" max="10" width="12.140625" bestFit="1" customWidth="1"/>
    <col min="11" max="11" width="46.85546875" bestFit="1" customWidth="1"/>
  </cols>
  <sheetData>
    <row r="1" spans="1:11" x14ac:dyDescent="0.25">
      <c r="A1" t="s">
        <v>759</v>
      </c>
      <c r="B1" t="s">
        <v>760</v>
      </c>
      <c r="C1" t="s">
        <v>51</v>
      </c>
      <c r="D1" t="s">
        <v>39</v>
      </c>
      <c r="E1" t="s">
        <v>67</v>
      </c>
      <c r="F1" t="s">
        <v>68</v>
      </c>
      <c r="G1" t="s">
        <v>761</v>
      </c>
      <c r="H1" t="s">
        <v>762</v>
      </c>
      <c r="I1" t="s">
        <v>763</v>
      </c>
      <c r="J1" t="s">
        <v>764</v>
      </c>
      <c r="K1" t="s">
        <v>765</v>
      </c>
    </row>
    <row r="2" spans="1:11" x14ac:dyDescent="0.25">
      <c r="A2" t="s">
        <v>766</v>
      </c>
      <c r="B2" t="s">
        <v>833</v>
      </c>
      <c r="C2" t="s">
        <v>57</v>
      </c>
      <c r="D2" t="s">
        <v>42</v>
      </c>
      <c r="E2" t="s">
        <v>138</v>
      </c>
      <c r="F2" t="s">
        <v>139</v>
      </c>
      <c r="G2" t="s">
        <v>768</v>
      </c>
      <c r="H2" t="s">
        <v>834</v>
      </c>
      <c r="I2" t="s">
        <v>20</v>
      </c>
      <c r="J2" t="s">
        <v>770</v>
      </c>
      <c r="K2" t="s">
        <v>771</v>
      </c>
    </row>
    <row r="3" spans="1:11" x14ac:dyDescent="0.25">
      <c r="A3" t="s">
        <v>766</v>
      </c>
      <c r="B3" t="s">
        <v>833</v>
      </c>
      <c r="C3" t="s">
        <v>57</v>
      </c>
      <c r="D3" t="s">
        <v>42</v>
      </c>
      <c r="E3" t="s">
        <v>138</v>
      </c>
      <c r="F3" t="s">
        <v>196</v>
      </c>
      <c r="G3" t="s">
        <v>768</v>
      </c>
      <c r="H3" t="s">
        <v>834</v>
      </c>
      <c r="I3" t="s">
        <v>20</v>
      </c>
      <c r="J3" t="s">
        <v>770</v>
      </c>
      <c r="K3" t="s">
        <v>771</v>
      </c>
    </row>
    <row r="4" spans="1:11" x14ac:dyDescent="0.25">
      <c r="A4" t="s">
        <v>766</v>
      </c>
      <c r="B4" t="s">
        <v>833</v>
      </c>
      <c r="C4" t="s">
        <v>57</v>
      </c>
      <c r="D4" t="s">
        <v>44</v>
      </c>
      <c r="E4" t="s">
        <v>252</v>
      </c>
      <c r="F4" t="s">
        <v>657</v>
      </c>
      <c r="G4" t="s">
        <v>768</v>
      </c>
      <c r="H4" t="s">
        <v>834</v>
      </c>
      <c r="I4" t="s">
        <v>20</v>
      </c>
      <c r="J4" t="s">
        <v>770</v>
      </c>
      <c r="K4" t="s">
        <v>771</v>
      </c>
    </row>
    <row r="5" spans="1:11" x14ac:dyDescent="0.25">
      <c r="A5" t="s">
        <v>766</v>
      </c>
      <c r="B5" t="s">
        <v>833</v>
      </c>
      <c r="C5" t="s">
        <v>57</v>
      </c>
      <c r="D5" t="s">
        <v>44</v>
      </c>
      <c r="E5" t="s">
        <v>71</v>
      </c>
      <c r="F5" t="s">
        <v>358</v>
      </c>
      <c r="G5" t="s">
        <v>768</v>
      </c>
      <c r="H5" t="s">
        <v>834</v>
      </c>
      <c r="I5" t="s">
        <v>20</v>
      </c>
      <c r="J5" t="s">
        <v>770</v>
      </c>
      <c r="K5" t="s">
        <v>771</v>
      </c>
    </row>
    <row r="6" spans="1:11" x14ac:dyDescent="0.25">
      <c r="A6" t="s">
        <v>766</v>
      </c>
      <c r="B6" t="s">
        <v>833</v>
      </c>
      <c r="C6" t="s">
        <v>57</v>
      </c>
      <c r="D6" t="s">
        <v>42</v>
      </c>
      <c r="E6" t="s">
        <v>464</v>
      </c>
      <c r="F6" t="s">
        <v>729</v>
      </c>
      <c r="G6" t="s">
        <v>768</v>
      </c>
      <c r="H6" t="s">
        <v>834</v>
      </c>
      <c r="I6" t="s">
        <v>20</v>
      </c>
      <c r="J6" t="s">
        <v>770</v>
      </c>
      <c r="K6" t="s">
        <v>771</v>
      </c>
    </row>
    <row r="7" spans="1:11" x14ac:dyDescent="0.25">
      <c r="A7" t="s">
        <v>766</v>
      </c>
      <c r="B7" t="s">
        <v>833</v>
      </c>
      <c r="C7" t="s">
        <v>57</v>
      </c>
      <c r="D7" t="s">
        <v>44</v>
      </c>
      <c r="E7" t="s">
        <v>69</v>
      </c>
      <c r="F7" t="s">
        <v>70</v>
      </c>
      <c r="G7" t="s">
        <v>768</v>
      </c>
      <c r="H7" t="s">
        <v>834</v>
      </c>
      <c r="I7" t="s">
        <v>20</v>
      </c>
      <c r="J7" t="s">
        <v>770</v>
      </c>
      <c r="K7" t="s">
        <v>771</v>
      </c>
    </row>
    <row r="8" spans="1:11" x14ac:dyDescent="0.25">
      <c r="A8" t="s">
        <v>766</v>
      </c>
      <c r="B8" t="s">
        <v>833</v>
      </c>
      <c r="C8" t="s">
        <v>61</v>
      </c>
      <c r="D8" t="s">
        <v>42</v>
      </c>
      <c r="E8" t="s">
        <v>138</v>
      </c>
      <c r="F8" t="s">
        <v>139</v>
      </c>
      <c r="G8" t="s">
        <v>768</v>
      </c>
      <c r="H8" t="s">
        <v>834</v>
      </c>
      <c r="I8" t="s">
        <v>20</v>
      </c>
      <c r="J8" t="s">
        <v>770</v>
      </c>
      <c r="K8" t="s">
        <v>771</v>
      </c>
    </row>
    <row r="9" spans="1:11" x14ac:dyDescent="0.25">
      <c r="A9" t="s">
        <v>766</v>
      </c>
      <c r="B9" t="s">
        <v>833</v>
      </c>
      <c r="C9" t="s">
        <v>61</v>
      </c>
      <c r="D9" t="s">
        <v>42</v>
      </c>
      <c r="E9" t="s">
        <v>138</v>
      </c>
      <c r="F9" t="s">
        <v>196</v>
      </c>
      <c r="G9" t="s">
        <v>768</v>
      </c>
      <c r="H9" t="s">
        <v>834</v>
      </c>
      <c r="I9" t="s">
        <v>20</v>
      </c>
      <c r="J9" t="s">
        <v>770</v>
      </c>
      <c r="K9" t="s">
        <v>771</v>
      </c>
    </row>
    <row r="10" spans="1:11" x14ac:dyDescent="0.25">
      <c r="A10" t="s">
        <v>766</v>
      </c>
      <c r="B10" t="s">
        <v>833</v>
      </c>
      <c r="C10" t="s">
        <v>61</v>
      </c>
      <c r="D10" t="s">
        <v>44</v>
      </c>
      <c r="E10" t="s">
        <v>252</v>
      </c>
      <c r="F10" t="s">
        <v>657</v>
      </c>
      <c r="G10" t="s">
        <v>768</v>
      </c>
      <c r="H10" t="s">
        <v>834</v>
      </c>
      <c r="I10" t="s">
        <v>20</v>
      </c>
      <c r="J10" t="s">
        <v>770</v>
      </c>
      <c r="K10" t="s">
        <v>771</v>
      </c>
    </row>
    <row r="11" spans="1:11" x14ac:dyDescent="0.25">
      <c r="A11" t="s">
        <v>766</v>
      </c>
      <c r="B11" t="s">
        <v>833</v>
      </c>
      <c r="C11" t="s">
        <v>61</v>
      </c>
      <c r="D11" t="s">
        <v>44</v>
      </c>
      <c r="E11" t="s">
        <v>71</v>
      </c>
      <c r="F11" t="s">
        <v>358</v>
      </c>
      <c r="G11" t="s">
        <v>768</v>
      </c>
      <c r="H11" t="s">
        <v>834</v>
      </c>
      <c r="I11" t="s">
        <v>20</v>
      </c>
      <c r="J11" t="s">
        <v>770</v>
      </c>
      <c r="K11" t="s">
        <v>771</v>
      </c>
    </row>
    <row r="12" spans="1:11" x14ac:dyDescent="0.25">
      <c r="A12" t="s">
        <v>766</v>
      </c>
      <c r="B12" t="s">
        <v>833</v>
      </c>
      <c r="C12" t="s">
        <v>61</v>
      </c>
      <c r="D12" t="s">
        <v>42</v>
      </c>
      <c r="E12" t="s">
        <v>464</v>
      </c>
      <c r="F12" t="s">
        <v>729</v>
      </c>
      <c r="G12" t="s">
        <v>768</v>
      </c>
      <c r="H12" t="s">
        <v>834</v>
      </c>
      <c r="I12" t="s">
        <v>20</v>
      </c>
      <c r="J12" t="s">
        <v>770</v>
      </c>
      <c r="K12" t="s">
        <v>771</v>
      </c>
    </row>
    <row r="13" spans="1:11" x14ac:dyDescent="0.25">
      <c r="A13" t="s">
        <v>766</v>
      </c>
      <c r="B13" t="s">
        <v>833</v>
      </c>
      <c r="C13" t="s">
        <v>61</v>
      </c>
      <c r="D13" t="s">
        <v>44</v>
      </c>
      <c r="E13" t="s">
        <v>69</v>
      </c>
      <c r="F13" t="s">
        <v>70</v>
      </c>
      <c r="G13" t="s">
        <v>768</v>
      </c>
      <c r="H13" t="s">
        <v>834</v>
      </c>
      <c r="I13" t="s">
        <v>20</v>
      </c>
      <c r="J13" t="s">
        <v>770</v>
      </c>
      <c r="K13" t="s">
        <v>771</v>
      </c>
    </row>
    <row r="14" spans="1:11" x14ac:dyDescent="0.25">
      <c r="A14" t="s">
        <v>766</v>
      </c>
      <c r="B14" t="s">
        <v>835</v>
      </c>
      <c r="C14" t="s">
        <v>57</v>
      </c>
      <c r="D14" t="s">
        <v>42</v>
      </c>
      <c r="E14" t="s">
        <v>138</v>
      </c>
      <c r="F14" t="s">
        <v>196</v>
      </c>
      <c r="G14" t="s">
        <v>774</v>
      </c>
      <c r="H14" t="s">
        <v>834</v>
      </c>
      <c r="I14" t="s">
        <v>20</v>
      </c>
      <c r="J14" t="s">
        <v>770</v>
      </c>
      <c r="K14" t="s">
        <v>775</v>
      </c>
    </row>
    <row r="15" spans="1:11" x14ac:dyDescent="0.25">
      <c r="A15" t="s">
        <v>766</v>
      </c>
      <c r="B15" t="s">
        <v>835</v>
      </c>
      <c r="C15" t="s">
        <v>57</v>
      </c>
      <c r="D15" t="s">
        <v>42</v>
      </c>
      <c r="E15" t="s">
        <v>138</v>
      </c>
      <c r="F15" t="s">
        <v>518</v>
      </c>
      <c r="G15" t="s">
        <v>774</v>
      </c>
      <c r="H15" t="s">
        <v>834</v>
      </c>
      <c r="I15" t="s">
        <v>20</v>
      </c>
      <c r="J15" t="s">
        <v>770</v>
      </c>
      <c r="K15" t="s">
        <v>775</v>
      </c>
    </row>
    <row r="16" spans="1:11" x14ac:dyDescent="0.25">
      <c r="A16" t="s">
        <v>766</v>
      </c>
      <c r="B16" t="s">
        <v>835</v>
      </c>
      <c r="C16" t="s">
        <v>57</v>
      </c>
      <c r="D16" t="s">
        <v>44</v>
      </c>
      <c r="E16" t="s">
        <v>252</v>
      </c>
      <c r="F16" t="s">
        <v>709</v>
      </c>
      <c r="G16" t="s">
        <v>774</v>
      </c>
      <c r="H16" t="s">
        <v>834</v>
      </c>
      <c r="I16" t="s">
        <v>20</v>
      </c>
      <c r="J16" t="s">
        <v>770</v>
      </c>
      <c r="K16" t="s">
        <v>775</v>
      </c>
    </row>
    <row r="17" spans="1:11" x14ac:dyDescent="0.25">
      <c r="A17" t="s">
        <v>766</v>
      </c>
      <c r="B17" t="s">
        <v>835</v>
      </c>
      <c r="C17" t="s">
        <v>57</v>
      </c>
      <c r="D17" t="s">
        <v>44</v>
      </c>
      <c r="E17" t="s">
        <v>464</v>
      </c>
      <c r="F17" t="s">
        <v>729</v>
      </c>
      <c r="G17" t="s">
        <v>774</v>
      </c>
      <c r="H17" t="s">
        <v>834</v>
      </c>
      <c r="I17" t="s">
        <v>20</v>
      </c>
      <c r="J17" t="s">
        <v>770</v>
      </c>
      <c r="K17" t="s">
        <v>775</v>
      </c>
    </row>
    <row r="18" spans="1:11" x14ac:dyDescent="0.25">
      <c r="A18" t="s">
        <v>766</v>
      </c>
      <c r="B18" t="s">
        <v>835</v>
      </c>
      <c r="C18" t="s">
        <v>57</v>
      </c>
      <c r="D18" t="s">
        <v>44</v>
      </c>
      <c r="E18" t="s">
        <v>73</v>
      </c>
      <c r="F18" t="s">
        <v>303</v>
      </c>
      <c r="G18" t="s">
        <v>774</v>
      </c>
      <c r="H18" t="s">
        <v>834</v>
      </c>
      <c r="I18" t="s">
        <v>20</v>
      </c>
      <c r="J18" t="s">
        <v>770</v>
      </c>
      <c r="K18" t="s">
        <v>775</v>
      </c>
    </row>
    <row r="19" spans="1:11" x14ac:dyDescent="0.25">
      <c r="A19" t="s">
        <v>766</v>
      </c>
      <c r="B19" t="s">
        <v>835</v>
      </c>
      <c r="C19" t="s">
        <v>57</v>
      </c>
      <c r="D19" t="s">
        <v>46</v>
      </c>
      <c r="E19" t="s">
        <v>69</v>
      </c>
      <c r="F19" t="s">
        <v>70</v>
      </c>
      <c r="G19" t="s">
        <v>774</v>
      </c>
      <c r="H19" t="s">
        <v>834</v>
      </c>
      <c r="I19" t="s">
        <v>20</v>
      </c>
      <c r="J19" t="s">
        <v>770</v>
      </c>
      <c r="K19" t="s">
        <v>775</v>
      </c>
    </row>
    <row r="20" spans="1:11" x14ac:dyDescent="0.25">
      <c r="A20" t="s">
        <v>766</v>
      </c>
      <c r="B20" t="s">
        <v>835</v>
      </c>
      <c r="C20" t="s">
        <v>61</v>
      </c>
      <c r="D20" t="s">
        <v>42</v>
      </c>
      <c r="E20" t="s">
        <v>138</v>
      </c>
      <c r="F20" t="s">
        <v>196</v>
      </c>
      <c r="G20" t="s">
        <v>774</v>
      </c>
      <c r="H20" t="s">
        <v>834</v>
      </c>
      <c r="I20" t="s">
        <v>20</v>
      </c>
      <c r="J20" t="s">
        <v>770</v>
      </c>
      <c r="K20" t="s">
        <v>775</v>
      </c>
    </row>
    <row r="21" spans="1:11" x14ac:dyDescent="0.25">
      <c r="A21" t="s">
        <v>766</v>
      </c>
      <c r="B21" t="s">
        <v>835</v>
      </c>
      <c r="C21" t="s">
        <v>61</v>
      </c>
      <c r="D21" t="s">
        <v>44</v>
      </c>
      <c r="E21" t="s">
        <v>138</v>
      </c>
      <c r="F21" t="s">
        <v>196</v>
      </c>
      <c r="G21" t="s">
        <v>774</v>
      </c>
      <c r="H21" t="s">
        <v>834</v>
      </c>
      <c r="I21" t="s">
        <v>20</v>
      </c>
      <c r="J21" t="s">
        <v>770</v>
      </c>
      <c r="K21" t="s">
        <v>775</v>
      </c>
    </row>
    <row r="22" spans="1:11" x14ac:dyDescent="0.25">
      <c r="A22" t="s">
        <v>766</v>
      </c>
      <c r="B22" t="s">
        <v>835</v>
      </c>
      <c r="C22" t="s">
        <v>61</v>
      </c>
      <c r="D22" t="s">
        <v>44</v>
      </c>
      <c r="E22" t="s">
        <v>138</v>
      </c>
      <c r="F22" t="s">
        <v>518</v>
      </c>
      <c r="G22" t="s">
        <v>774</v>
      </c>
      <c r="H22" t="s">
        <v>834</v>
      </c>
      <c r="I22" t="s">
        <v>20</v>
      </c>
      <c r="J22" t="s">
        <v>770</v>
      </c>
      <c r="K22" t="s">
        <v>775</v>
      </c>
    </row>
    <row r="23" spans="1:11" x14ac:dyDescent="0.25">
      <c r="A23" t="s">
        <v>766</v>
      </c>
      <c r="B23" t="s">
        <v>835</v>
      </c>
      <c r="C23" t="s">
        <v>61</v>
      </c>
      <c r="D23" t="s">
        <v>46</v>
      </c>
      <c r="E23" t="s">
        <v>71</v>
      </c>
      <c r="F23" t="s">
        <v>413</v>
      </c>
      <c r="G23" t="s">
        <v>774</v>
      </c>
      <c r="H23" t="s">
        <v>834</v>
      </c>
      <c r="I23" t="s">
        <v>20</v>
      </c>
      <c r="J23" t="s">
        <v>770</v>
      </c>
      <c r="K23" t="s">
        <v>775</v>
      </c>
    </row>
    <row r="24" spans="1:11" x14ac:dyDescent="0.25">
      <c r="A24" t="s">
        <v>766</v>
      </c>
      <c r="B24" t="s">
        <v>836</v>
      </c>
      <c r="C24" t="s">
        <v>57</v>
      </c>
      <c r="D24" t="s">
        <v>42</v>
      </c>
      <c r="E24" t="s">
        <v>138</v>
      </c>
      <c r="F24" t="s">
        <v>139</v>
      </c>
      <c r="G24" t="s">
        <v>779</v>
      </c>
      <c r="H24" t="s">
        <v>834</v>
      </c>
      <c r="I24" t="s">
        <v>20</v>
      </c>
      <c r="J24" t="s">
        <v>770</v>
      </c>
      <c r="K24" t="s">
        <v>780</v>
      </c>
    </row>
    <row r="25" spans="1:11" x14ac:dyDescent="0.25">
      <c r="A25" t="s">
        <v>766</v>
      </c>
      <c r="B25" t="s">
        <v>836</v>
      </c>
      <c r="C25" t="s">
        <v>57</v>
      </c>
      <c r="D25" t="s">
        <v>42</v>
      </c>
      <c r="E25" t="s">
        <v>138</v>
      </c>
      <c r="F25" t="s">
        <v>196</v>
      </c>
      <c r="G25" t="s">
        <v>779</v>
      </c>
      <c r="H25" t="s">
        <v>834</v>
      </c>
      <c r="I25" t="s">
        <v>20</v>
      </c>
      <c r="J25" t="s">
        <v>770</v>
      </c>
      <c r="K25" t="s">
        <v>780</v>
      </c>
    </row>
    <row r="26" spans="1:11" x14ac:dyDescent="0.25">
      <c r="A26" t="s">
        <v>766</v>
      </c>
      <c r="B26" t="s">
        <v>836</v>
      </c>
      <c r="C26" t="s">
        <v>57</v>
      </c>
      <c r="D26" t="s">
        <v>42</v>
      </c>
      <c r="E26" t="s">
        <v>71</v>
      </c>
      <c r="F26" t="s">
        <v>197</v>
      </c>
      <c r="G26" t="s">
        <v>779</v>
      </c>
      <c r="H26" t="s">
        <v>834</v>
      </c>
      <c r="I26" t="s">
        <v>20</v>
      </c>
      <c r="J26" t="s">
        <v>770</v>
      </c>
      <c r="K26" t="s">
        <v>780</v>
      </c>
    </row>
    <row r="27" spans="1:11" x14ac:dyDescent="0.25">
      <c r="A27" t="s">
        <v>766</v>
      </c>
      <c r="B27" t="s">
        <v>836</v>
      </c>
      <c r="C27" t="s">
        <v>57</v>
      </c>
      <c r="D27" t="s">
        <v>44</v>
      </c>
      <c r="E27" t="s">
        <v>73</v>
      </c>
      <c r="F27" t="s">
        <v>140</v>
      </c>
      <c r="G27" t="s">
        <v>779</v>
      </c>
      <c r="H27" t="s">
        <v>834</v>
      </c>
      <c r="I27" t="s">
        <v>20</v>
      </c>
      <c r="J27" t="s">
        <v>770</v>
      </c>
      <c r="K27" t="s">
        <v>780</v>
      </c>
    </row>
    <row r="28" spans="1:11" x14ac:dyDescent="0.25">
      <c r="A28" t="s">
        <v>766</v>
      </c>
      <c r="B28" t="s">
        <v>836</v>
      </c>
      <c r="C28" t="s">
        <v>57</v>
      </c>
      <c r="D28" t="s">
        <v>44</v>
      </c>
      <c r="E28" t="s">
        <v>252</v>
      </c>
      <c r="F28" t="s">
        <v>657</v>
      </c>
      <c r="G28" t="s">
        <v>779</v>
      </c>
      <c r="H28" t="s">
        <v>834</v>
      </c>
      <c r="I28" t="s">
        <v>20</v>
      </c>
      <c r="J28" t="s">
        <v>770</v>
      </c>
      <c r="K28" t="s">
        <v>780</v>
      </c>
    </row>
    <row r="29" spans="1:11" x14ac:dyDescent="0.25">
      <c r="A29" t="s">
        <v>766</v>
      </c>
      <c r="B29" t="s">
        <v>836</v>
      </c>
      <c r="C29" t="s">
        <v>57</v>
      </c>
      <c r="D29" t="s">
        <v>46</v>
      </c>
      <c r="E29" t="s">
        <v>464</v>
      </c>
      <c r="F29" t="s">
        <v>729</v>
      </c>
      <c r="G29" t="s">
        <v>779</v>
      </c>
      <c r="H29" t="s">
        <v>834</v>
      </c>
      <c r="I29" t="s">
        <v>20</v>
      </c>
      <c r="J29" t="s">
        <v>770</v>
      </c>
      <c r="K29" t="s">
        <v>780</v>
      </c>
    </row>
    <row r="30" spans="1:11" x14ac:dyDescent="0.25">
      <c r="A30" t="s">
        <v>766</v>
      </c>
      <c r="B30" t="s">
        <v>836</v>
      </c>
      <c r="C30" t="s">
        <v>61</v>
      </c>
      <c r="D30" t="s">
        <v>44</v>
      </c>
      <c r="E30" t="s">
        <v>138</v>
      </c>
      <c r="F30" t="s">
        <v>196</v>
      </c>
      <c r="G30" t="s">
        <v>779</v>
      </c>
      <c r="H30" t="s">
        <v>834</v>
      </c>
      <c r="I30" t="s">
        <v>20</v>
      </c>
      <c r="J30" t="s">
        <v>770</v>
      </c>
      <c r="K30" t="s">
        <v>780</v>
      </c>
    </row>
    <row r="31" spans="1:11" x14ac:dyDescent="0.25">
      <c r="A31" t="s">
        <v>766</v>
      </c>
      <c r="B31" t="s">
        <v>836</v>
      </c>
      <c r="C31" t="s">
        <v>61</v>
      </c>
      <c r="D31" t="s">
        <v>44</v>
      </c>
      <c r="E31" t="s">
        <v>71</v>
      </c>
      <c r="F31" t="s">
        <v>197</v>
      </c>
      <c r="G31" t="s">
        <v>779</v>
      </c>
      <c r="H31" t="s">
        <v>834</v>
      </c>
      <c r="I31" t="s">
        <v>20</v>
      </c>
      <c r="J31" t="s">
        <v>770</v>
      </c>
      <c r="K31" t="s">
        <v>780</v>
      </c>
    </row>
    <row r="32" spans="1:11" x14ac:dyDescent="0.25">
      <c r="A32" t="s">
        <v>766</v>
      </c>
      <c r="B32" t="s">
        <v>836</v>
      </c>
      <c r="C32" t="s">
        <v>61</v>
      </c>
      <c r="D32" t="s">
        <v>46</v>
      </c>
      <c r="E32" t="s">
        <v>464</v>
      </c>
      <c r="F32" t="s">
        <v>728</v>
      </c>
      <c r="G32" t="s">
        <v>779</v>
      </c>
      <c r="H32" t="s">
        <v>834</v>
      </c>
      <c r="I32" t="s">
        <v>20</v>
      </c>
      <c r="J32" t="s">
        <v>770</v>
      </c>
      <c r="K32" t="s">
        <v>780</v>
      </c>
    </row>
    <row r="33" spans="1:11" x14ac:dyDescent="0.25">
      <c r="A33" t="s">
        <v>766</v>
      </c>
      <c r="B33" t="s">
        <v>836</v>
      </c>
      <c r="C33" t="s">
        <v>61</v>
      </c>
      <c r="D33" t="s">
        <v>46</v>
      </c>
      <c r="E33" t="s">
        <v>73</v>
      </c>
      <c r="F33" t="s">
        <v>412</v>
      </c>
      <c r="G33" t="s">
        <v>779</v>
      </c>
      <c r="H33" t="s">
        <v>834</v>
      </c>
      <c r="I33" t="s">
        <v>20</v>
      </c>
      <c r="J33" t="s">
        <v>770</v>
      </c>
      <c r="K33" t="s">
        <v>780</v>
      </c>
    </row>
    <row r="34" spans="1:11" x14ac:dyDescent="0.25">
      <c r="A34" t="s">
        <v>766</v>
      </c>
      <c r="B34" t="s">
        <v>837</v>
      </c>
      <c r="C34" t="s">
        <v>57</v>
      </c>
      <c r="D34" t="s">
        <v>42</v>
      </c>
      <c r="E34" t="s">
        <v>138</v>
      </c>
      <c r="F34" t="s">
        <v>196</v>
      </c>
      <c r="G34" t="s">
        <v>783</v>
      </c>
      <c r="H34" t="s">
        <v>834</v>
      </c>
      <c r="I34" t="s">
        <v>20</v>
      </c>
      <c r="J34" t="s">
        <v>770</v>
      </c>
      <c r="K34" t="s">
        <v>784</v>
      </c>
    </row>
    <row r="35" spans="1:11" x14ac:dyDescent="0.25">
      <c r="A35" t="s">
        <v>766</v>
      </c>
      <c r="B35" t="s">
        <v>837</v>
      </c>
      <c r="C35" t="s">
        <v>57</v>
      </c>
      <c r="D35" t="s">
        <v>42</v>
      </c>
      <c r="E35" t="s">
        <v>138</v>
      </c>
      <c r="F35" t="s">
        <v>518</v>
      </c>
      <c r="G35" t="s">
        <v>783</v>
      </c>
      <c r="H35" t="s">
        <v>834</v>
      </c>
      <c r="I35" t="s">
        <v>20</v>
      </c>
      <c r="J35" t="s">
        <v>770</v>
      </c>
      <c r="K35" t="s">
        <v>784</v>
      </c>
    </row>
    <row r="36" spans="1:11" x14ac:dyDescent="0.25">
      <c r="A36" t="s">
        <v>766</v>
      </c>
      <c r="B36" t="s">
        <v>837</v>
      </c>
      <c r="C36" t="s">
        <v>57</v>
      </c>
      <c r="D36" t="s">
        <v>42</v>
      </c>
      <c r="E36" t="s">
        <v>252</v>
      </c>
      <c r="F36" t="s">
        <v>674</v>
      </c>
      <c r="G36" t="s">
        <v>783</v>
      </c>
      <c r="H36" t="s">
        <v>834</v>
      </c>
      <c r="I36" t="s">
        <v>20</v>
      </c>
      <c r="J36" t="s">
        <v>770</v>
      </c>
      <c r="K36" t="s">
        <v>784</v>
      </c>
    </row>
    <row r="37" spans="1:11" x14ac:dyDescent="0.25">
      <c r="A37" t="s">
        <v>766</v>
      </c>
      <c r="B37" t="s">
        <v>837</v>
      </c>
      <c r="C37" t="s">
        <v>57</v>
      </c>
      <c r="D37" t="s">
        <v>42</v>
      </c>
      <c r="E37" t="s">
        <v>464</v>
      </c>
      <c r="F37" t="s">
        <v>729</v>
      </c>
      <c r="G37" t="s">
        <v>783</v>
      </c>
      <c r="H37" t="s">
        <v>834</v>
      </c>
      <c r="I37" t="s">
        <v>20</v>
      </c>
      <c r="J37" t="s">
        <v>770</v>
      </c>
      <c r="K37" t="s">
        <v>784</v>
      </c>
    </row>
    <row r="38" spans="1:11" x14ac:dyDescent="0.25">
      <c r="A38" t="s">
        <v>766</v>
      </c>
      <c r="B38" t="s">
        <v>837</v>
      </c>
      <c r="C38" t="s">
        <v>57</v>
      </c>
      <c r="D38" t="s">
        <v>42</v>
      </c>
      <c r="E38" t="s">
        <v>73</v>
      </c>
      <c r="F38" t="s">
        <v>412</v>
      </c>
      <c r="G38" t="s">
        <v>783</v>
      </c>
      <c r="H38" t="s">
        <v>834</v>
      </c>
      <c r="I38" t="s">
        <v>20</v>
      </c>
      <c r="J38" t="s">
        <v>770</v>
      </c>
      <c r="K38" t="s">
        <v>784</v>
      </c>
    </row>
    <row r="39" spans="1:11" x14ac:dyDescent="0.25">
      <c r="A39" t="s">
        <v>766</v>
      </c>
      <c r="B39" t="s">
        <v>837</v>
      </c>
      <c r="C39" t="s">
        <v>61</v>
      </c>
      <c r="D39" t="s">
        <v>44</v>
      </c>
      <c r="E39" t="s">
        <v>138</v>
      </c>
      <c r="F39" t="s">
        <v>702</v>
      </c>
      <c r="G39" t="s">
        <v>783</v>
      </c>
      <c r="H39" t="s">
        <v>834</v>
      </c>
      <c r="I39" t="s">
        <v>20</v>
      </c>
      <c r="J39" t="s">
        <v>770</v>
      </c>
      <c r="K39" t="s">
        <v>784</v>
      </c>
    </row>
    <row r="40" spans="1:11" x14ac:dyDescent="0.25">
      <c r="A40" t="s">
        <v>766</v>
      </c>
      <c r="B40" t="s">
        <v>837</v>
      </c>
      <c r="C40" t="s">
        <v>61</v>
      </c>
      <c r="D40" t="s">
        <v>44</v>
      </c>
      <c r="E40" t="s">
        <v>73</v>
      </c>
      <c r="F40" t="s">
        <v>140</v>
      </c>
      <c r="G40" t="s">
        <v>783</v>
      </c>
      <c r="H40" t="s">
        <v>834</v>
      </c>
      <c r="I40" t="s">
        <v>20</v>
      </c>
      <c r="J40" t="s">
        <v>770</v>
      </c>
      <c r="K40" t="s">
        <v>784</v>
      </c>
    </row>
    <row r="41" spans="1:11" x14ac:dyDescent="0.25">
      <c r="A41" t="s">
        <v>766</v>
      </c>
      <c r="B41" t="s">
        <v>837</v>
      </c>
      <c r="C41" t="s">
        <v>61</v>
      </c>
      <c r="D41" t="s">
        <v>44</v>
      </c>
      <c r="E41" t="s">
        <v>73</v>
      </c>
      <c r="F41" t="s">
        <v>466</v>
      </c>
      <c r="G41" t="s">
        <v>783</v>
      </c>
      <c r="H41" t="s">
        <v>834</v>
      </c>
      <c r="I41" t="s">
        <v>20</v>
      </c>
      <c r="J41" t="s">
        <v>770</v>
      </c>
      <c r="K41" t="s">
        <v>784</v>
      </c>
    </row>
    <row r="42" spans="1:11" x14ac:dyDescent="0.25">
      <c r="A42" t="s">
        <v>766</v>
      </c>
      <c r="B42" t="s">
        <v>837</v>
      </c>
      <c r="C42" t="s">
        <v>61</v>
      </c>
      <c r="D42" t="s">
        <v>44</v>
      </c>
      <c r="E42" t="s">
        <v>679</v>
      </c>
      <c r="F42" t="s">
        <v>740</v>
      </c>
      <c r="G42" t="s">
        <v>783</v>
      </c>
      <c r="H42" t="s">
        <v>834</v>
      </c>
      <c r="I42" t="s">
        <v>20</v>
      </c>
      <c r="J42" t="s">
        <v>770</v>
      </c>
      <c r="K42" t="s">
        <v>784</v>
      </c>
    </row>
    <row r="43" spans="1:11" x14ac:dyDescent="0.25">
      <c r="A43" t="s">
        <v>766</v>
      </c>
      <c r="B43" t="s">
        <v>837</v>
      </c>
      <c r="C43" t="s">
        <v>61</v>
      </c>
      <c r="D43" t="s">
        <v>44</v>
      </c>
      <c r="E43" t="s">
        <v>464</v>
      </c>
      <c r="F43" t="s">
        <v>517</v>
      </c>
      <c r="G43" t="s">
        <v>783</v>
      </c>
      <c r="H43" t="s">
        <v>834</v>
      </c>
      <c r="I43" t="s">
        <v>20</v>
      </c>
      <c r="J43" t="s">
        <v>770</v>
      </c>
      <c r="K43" t="s">
        <v>784</v>
      </c>
    </row>
    <row r="44" spans="1:11" x14ac:dyDescent="0.25">
      <c r="A44" t="s">
        <v>766</v>
      </c>
      <c r="B44" t="s">
        <v>837</v>
      </c>
      <c r="C44" t="s">
        <v>65</v>
      </c>
      <c r="G44" t="s">
        <v>783</v>
      </c>
      <c r="H44" t="s">
        <v>834</v>
      </c>
      <c r="I44" t="s">
        <v>20</v>
      </c>
      <c r="J44" t="s">
        <v>770</v>
      </c>
      <c r="K44" t="s">
        <v>784</v>
      </c>
    </row>
    <row r="45" spans="1:11" x14ac:dyDescent="0.25">
      <c r="A45" t="s">
        <v>766</v>
      </c>
      <c r="B45" t="s">
        <v>838</v>
      </c>
      <c r="C45" t="s">
        <v>57</v>
      </c>
      <c r="D45" t="s">
        <v>42</v>
      </c>
      <c r="E45" t="s">
        <v>252</v>
      </c>
      <c r="F45" t="s">
        <v>709</v>
      </c>
      <c r="G45" t="s">
        <v>787</v>
      </c>
      <c r="H45" t="s">
        <v>834</v>
      </c>
      <c r="I45" t="s">
        <v>20</v>
      </c>
      <c r="J45" t="s">
        <v>770</v>
      </c>
      <c r="K45" t="s">
        <v>788</v>
      </c>
    </row>
    <row r="46" spans="1:11" x14ac:dyDescent="0.25">
      <c r="A46" t="s">
        <v>766</v>
      </c>
      <c r="B46" t="s">
        <v>838</v>
      </c>
      <c r="C46" t="s">
        <v>57</v>
      </c>
      <c r="D46" t="s">
        <v>42</v>
      </c>
      <c r="E46" t="s">
        <v>252</v>
      </c>
      <c r="F46" t="s">
        <v>718</v>
      </c>
      <c r="G46" t="s">
        <v>787</v>
      </c>
      <c r="H46" t="s">
        <v>834</v>
      </c>
      <c r="I46" t="s">
        <v>20</v>
      </c>
      <c r="J46" t="s">
        <v>770</v>
      </c>
      <c r="K46" t="s">
        <v>788</v>
      </c>
    </row>
    <row r="47" spans="1:11" x14ac:dyDescent="0.25">
      <c r="A47" t="s">
        <v>766</v>
      </c>
      <c r="B47" t="s">
        <v>838</v>
      </c>
      <c r="C47" t="s">
        <v>57</v>
      </c>
      <c r="D47" t="s">
        <v>42</v>
      </c>
      <c r="E47" t="s">
        <v>71</v>
      </c>
      <c r="F47" t="s">
        <v>727</v>
      </c>
      <c r="G47" t="s">
        <v>787</v>
      </c>
      <c r="H47" t="s">
        <v>834</v>
      </c>
      <c r="I47" t="s">
        <v>20</v>
      </c>
      <c r="J47" t="s">
        <v>770</v>
      </c>
      <c r="K47" t="s">
        <v>788</v>
      </c>
    </row>
    <row r="48" spans="1:11" x14ac:dyDescent="0.25">
      <c r="A48" t="s">
        <v>766</v>
      </c>
      <c r="B48" t="s">
        <v>838</v>
      </c>
      <c r="C48" t="s">
        <v>61</v>
      </c>
      <c r="D48" t="s">
        <v>42</v>
      </c>
      <c r="E48" t="s">
        <v>71</v>
      </c>
      <c r="F48" t="s">
        <v>413</v>
      </c>
      <c r="G48" t="s">
        <v>787</v>
      </c>
      <c r="H48" t="s">
        <v>834</v>
      </c>
      <c r="I48" t="s">
        <v>20</v>
      </c>
      <c r="J48" t="s">
        <v>770</v>
      </c>
      <c r="K48" t="s">
        <v>788</v>
      </c>
    </row>
    <row r="49" spans="1:11" x14ac:dyDescent="0.25">
      <c r="A49" t="s">
        <v>766</v>
      </c>
      <c r="B49" t="s">
        <v>838</v>
      </c>
      <c r="C49" t="s">
        <v>61</v>
      </c>
      <c r="D49" t="s">
        <v>44</v>
      </c>
      <c r="E49" t="s">
        <v>138</v>
      </c>
      <c r="F49" t="s">
        <v>196</v>
      </c>
      <c r="G49" t="s">
        <v>787</v>
      </c>
      <c r="H49" t="s">
        <v>834</v>
      </c>
      <c r="I49" t="s">
        <v>20</v>
      </c>
      <c r="J49" t="s">
        <v>770</v>
      </c>
      <c r="K49" t="s">
        <v>788</v>
      </c>
    </row>
    <row r="50" spans="1:11" x14ac:dyDescent="0.25">
      <c r="A50" t="s">
        <v>766</v>
      </c>
      <c r="B50" t="s">
        <v>838</v>
      </c>
      <c r="C50" t="s">
        <v>61</v>
      </c>
      <c r="D50" t="s">
        <v>44</v>
      </c>
      <c r="E50" t="s">
        <v>138</v>
      </c>
      <c r="F50" t="s">
        <v>518</v>
      </c>
      <c r="G50" t="s">
        <v>787</v>
      </c>
      <c r="H50" t="s">
        <v>834</v>
      </c>
      <c r="I50" t="s">
        <v>20</v>
      </c>
      <c r="J50" t="s">
        <v>770</v>
      </c>
      <c r="K50" t="s">
        <v>788</v>
      </c>
    </row>
    <row r="51" spans="1:11" x14ac:dyDescent="0.25">
      <c r="A51" t="s">
        <v>766</v>
      </c>
      <c r="B51" t="s">
        <v>838</v>
      </c>
      <c r="C51" t="s">
        <v>57</v>
      </c>
      <c r="D51" t="s">
        <v>44</v>
      </c>
      <c r="E51" t="s">
        <v>138</v>
      </c>
      <c r="F51" t="s">
        <v>198</v>
      </c>
      <c r="G51" t="s">
        <v>787</v>
      </c>
      <c r="H51" t="s">
        <v>834</v>
      </c>
      <c r="I51" t="s">
        <v>20</v>
      </c>
      <c r="J51" t="s">
        <v>770</v>
      </c>
      <c r="K51" t="s">
        <v>788</v>
      </c>
    </row>
    <row r="52" spans="1:11" x14ac:dyDescent="0.25">
      <c r="A52" t="s">
        <v>766</v>
      </c>
      <c r="B52" t="s">
        <v>838</v>
      </c>
      <c r="C52" t="s">
        <v>61</v>
      </c>
      <c r="D52" t="s">
        <v>44</v>
      </c>
      <c r="E52" t="s">
        <v>73</v>
      </c>
      <c r="F52" t="s">
        <v>412</v>
      </c>
      <c r="G52" t="s">
        <v>787</v>
      </c>
      <c r="H52" t="s">
        <v>834</v>
      </c>
      <c r="I52" t="s">
        <v>20</v>
      </c>
      <c r="J52" t="s">
        <v>770</v>
      </c>
      <c r="K52" t="s">
        <v>788</v>
      </c>
    </row>
    <row r="53" spans="1:11" x14ac:dyDescent="0.25">
      <c r="A53" t="s">
        <v>766</v>
      </c>
      <c r="B53" t="s">
        <v>838</v>
      </c>
      <c r="C53" t="s">
        <v>61</v>
      </c>
      <c r="D53" t="s">
        <v>46</v>
      </c>
      <c r="E53" t="s">
        <v>464</v>
      </c>
      <c r="F53" t="s">
        <v>729</v>
      </c>
      <c r="G53" t="s">
        <v>787</v>
      </c>
      <c r="H53" t="s">
        <v>834</v>
      </c>
      <c r="I53" t="s">
        <v>20</v>
      </c>
      <c r="J53" t="s">
        <v>770</v>
      </c>
      <c r="K53" t="s">
        <v>788</v>
      </c>
    </row>
    <row r="54" spans="1:11" x14ac:dyDescent="0.25">
      <c r="A54" t="s">
        <v>766</v>
      </c>
      <c r="B54" t="s">
        <v>838</v>
      </c>
      <c r="C54" t="s">
        <v>61</v>
      </c>
      <c r="D54" t="s">
        <v>46</v>
      </c>
      <c r="E54" t="s">
        <v>73</v>
      </c>
      <c r="F54" t="s">
        <v>140</v>
      </c>
      <c r="G54" t="s">
        <v>787</v>
      </c>
      <c r="H54" t="s">
        <v>834</v>
      </c>
      <c r="I54" t="s">
        <v>20</v>
      </c>
      <c r="J54" t="s">
        <v>770</v>
      </c>
      <c r="K54" t="s">
        <v>788</v>
      </c>
    </row>
    <row r="55" spans="1:11" x14ac:dyDescent="0.25">
      <c r="A55" t="s">
        <v>766</v>
      </c>
      <c r="B55" t="s">
        <v>838</v>
      </c>
      <c r="C55" t="s">
        <v>61</v>
      </c>
      <c r="D55" t="s">
        <v>46</v>
      </c>
      <c r="E55" t="s">
        <v>679</v>
      </c>
      <c r="F55" t="s">
        <v>740</v>
      </c>
      <c r="G55" t="s">
        <v>787</v>
      </c>
      <c r="H55" t="s">
        <v>834</v>
      </c>
      <c r="I55" t="s">
        <v>20</v>
      </c>
      <c r="J55" t="s">
        <v>770</v>
      </c>
      <c r="K55" t="s">
        <v>788</v>
      </c>
    </row>
    <row r="56" spans="1:11" x14ac:dyDescent="0.25">
      <c r="A56" t="s">
        <v>851</v>
      </c>
      <c r="B56" t="s">
        <v>867</v>
      </c>
      <c r="C56" t="s">
        <v>57</v>
      </c>
      <c r="D56" t="s">
        <v>42</v>
      </c>
      <c r="E56" t="s">
        <v>69</v>
      </c>
      <c r="F56" t="s">
        <v>70</v>
      </c>
      <c r="G56" t="s">
        <v>5</v>
      </c>
      <c r="H56" t="s">
        <v>834</v>
      </c>
      <c r="I56" t="s">
        <v>20</v>
      </c>
      <c r="J56" t="s">
        <v>770</v>
      </c>
      <c r="K56" t="s">
        <v>8</v>
      </c>
    </row>
    <row r="57" spans="1:11" x14ac:dyDescent="0.25">
      <c r="A57" t="s">
        <v>851</v>
      </c>
      <c r="B57" t="s">
        <v>867</v>
      </c>
      <c r="C57" t="s">
        <v>57</v>
      </c>
      <c r="D57" t="s">
        <v>44</v>
      </c>
      <c r="E57" t="s">
        <v>71</v>
      </c>
      <c r="F57" t="s">
        <v>72</v>
      </c>
      <c r="G57" t="s">
        <v>5</v>
      </c>
      <c r="H57" t="s">
        <v>834</v>
      </c>
      <c r="I57" t="s">
        <v>20</v>
      </c>
      <c r="J57" t="s">
        <v>770</v>
      </c>
      <c r="K57" t="s">
        <v>8</v>
      </c>
    </row>
    <row r="58" spans="1:11" x14ac:dyDescent="0.25">
      <c r="A58" t="s">
        <v>851</v>
      </c>
      <c r="B58" t="s">
        <v>867</v>
      </c>
      <c r="C58" t="s">
        <v>57</v>
      </c>
      <c r="D58" t="s">
        <v>44</v>
      </c>
      <c r="E58" t="s">
        <v>73</v>
      </c>
      <c r="F58" t="s">
        <v>74</v>
      </c>
      <c r="G58" t="s">
        <v>5</v>
      </c>
      <c r="H58" t="s">
        <v>834</v>
      </c>
      <c r="I58" t="s">
        <v>20</v>
      </c>
      <c r="J58" t="s">
        <v>770</v>
      </c>
      <c r="K58" t="s">
        <v>8</v>
      </c>
    </row>
    <row r="59" spans="1:11" x14ac:dyDescent="0.25">
      <c r="A59" t="s">
        <v>851</v>
      </c>
      <c r="B59" t="s">
        <v>867</v>
      </c>
      <c r="C59" t="s">
        <v>61</v>
      </c>
      <c r="D59" t="s">
        <v>44</v>
      </c>
      <c r="E59" t="s">
        <v>69</v>
      </c>
      <c r="F59" t="s">
        <v>75</v>
      </c>
      <c r="G59" t="s">
        <v>5</v>
      </c>
      <c r="H59" t="s">
        <v>834</v>
      </c>
      <c r="I59" t="s">
        <v>20</v>
      </c>
      <c r="J59" t="s">
        <v>770</v>
      </c>
      <c r="K59" t="s">
        <v>8</v>
      </c>
    </row>
    <row r="60" spans="1:11" x14ac:dyDescent="0.25">
      <c r="A60" t="s">
        <v>851</v>
      </c>
      <c r="B60" t="s">
        <v>867</v>
      </c>
      <c r="C60" t="s">
        <v>61</v>
      </c>
      <c r="D60" t="s">
        <v>46</v>
      </c>
      <c r="E60" t="s">
        <v>73</v>
      </c>
      <c r="F60" t="s">
        <v>74</v>
      </c>
      <c r="G60" t="s">
        <v>5</v>
      </c>
      <c r="H60" t="s">
        <v>834</v>
      </c>
      <c r="I60" t="s">
        <v>20</v>
      </c>
      <c r="J60" t="s">
        <v>770</v>
      </c>
      <c r="K60" t="s">
        <v>8</v>
      </c>
    </row>
    <row r="61" spans="1:11" x14ac:dyDescent="0.25">
      <c r="A61" t="s">
        <v>851</v>
      </c>
      <c r="B61" t="s">
        <v>867</v>
      </c>
      <c r="C61" t="s">
        <v>61</v>
      </c>
      <c r="G61" t="s">
        <v>5</v>
      </c>
      <c r="H61" t="s">
        <v>834</v>
      </c>
      <c r="I61" t="s">
        <v>20</v>
      </c>
      <c r="J61" t="s">
        <v>770</v>
      </c>
      <c r="K61" t="s">
        <v>8</v>
      </c>
    </row>
    <row r="62" spans="1:11" x14ac:dyDescent="0.25">
      <c r="A62" t="s">
        <v>851</v>
      </c>
      <c r="B62" t="s">
        <v>867</v>
      </c>
      <c r="C62" t="s">
        <v>64</v>
      </c>
      <c r="G62" t="s">
        <v>5</v>
      </c>
      <c r="H62" t="s">
        <v>834</v>
      </c>
      <c r="I62" t="s">
        <v>20</v>
      </c>
      <c r="J62" t="s">
        <v>770</v>
      </c>
      <c r="K62" t="s">
        <v>8</v>
      </c>
    </row>
    <row r="63" spans="1:11" x14ac:dyDescent="0.25">
      <c r="A63" t="s">
        <v>851</v>
      </c>
      <c r="B63" t="s">
        <v>867</v>
      </c>
      <c r="C63" t="s">
        <v>64</v>
      </c>
      <c r="G63" t="s">
        <v>5</v>
      </c>
      <c r="H63" t="s">
        <v>834</v>
      </c>
      <c r="I63" t="s">
        <v>20</v>
      </c>
      <c r="J63" t="s">
        <v>770</v>
      </c>
      <c r="K63" t="s">
        <v>8</v>
      </c>
    </row>
    <row r="64" spans="1:11" x14ac:dyDescent="0.25">
      <c r="A64" t="s">
        <v>851</v>
      </c>
      <c r="B64" t="s">
        <v>867</v>
      </c>
      <c r="C64" t="s">
        <v>64</v>
      </c>
      <c r="G64" t="s">
        <v>5</v>
      </c>
      <c r="H64" t="s">
        <v>834</v>
      </c>
      <c r="I64" t="s">
        <v>20</v>
      </c>
      <c r="J64" t="s">
        <v>770</v>
      </c>
      <c r="K64" t="s">
        <v>8</v>
      </c>
    </row>
    <row r="65" spans="1:11" x14ac:dyDescent="0.25">
      <c r="A65" t="s">
        <v>851</v>
      </c>
      <c r="B65" t="s">
        <v>867</v>
      </c>
      <c r="C65" t="s">
        <v>65</v>
      </c>
      <c r="G65" t="s">
        <v>5</v>
      </c>
      <c r="H65" t="s">
        <v>834</v>
      </c>
      <c r="I65" t="s">
        <v>20</v>
      </c>
      <c r="J65" t="s">
        <v>770</v>
      </c>
      <c r="K65" t="s">
        <v>8</v>
      </c>
    </row>
    <row r="66" spans="1:11" x14ac:dyDescent="0.25">
      <c r="A66" t="s">
        <v>851</v>
      </c>
      <c r="B66" t="s">
        <v>867</v>
      </c>
      <c r="C66" t="s">
        <v>65</v>
      </c>
      <c r="G66" t="s">
        <v>5</v>
      </c>
      <c r="H66" t="s">
        <v>834</v>
      </c>
      <c r="I66" t="s">
        <v>20</v>
      </c>
      <c r="J66" t="s">
        <v>770</v>
      </c>
      <c r="K66" t="s">
        <v>8</v>
      </c>
    </row>
    <row r="67" spans="1:11" x14ac:dyDescent="0.25">
      <c r="A67" t="s">
        <v>851</v>
      </c>
      <c r="B67" t="s">
        <v>868</v>
      </c>
      <c r="C67" t="s">
        <v>57</v>
      </c>
      <c r="D67" t="s">
        <v>42</v>
      </c>
      <c r="E67" t="s">
        <v>138</v>
      </c>
      <c r="F67" t="s">
        <v>139</v>
      </c>
      <c r="G67" t="s">
        <v>118</v>
      </c>
      <c r="H67" t="s">
        <v>834</v>
      </c>
      <c r="I67" t="s">
        <v>20</v>
      </c>
      <c r="J67" t="s">
        <v>770</v>
      </c>
      <c r="K67" t="s">
        <v>120</v>
      </c>
    </row>
    <row r="68" spans="1:11" x14ac:dyDescent="0.25">
      <c r="A68" t="s">
        <v>851</v>
      </c>
      <c r="B68" t="s">
        <v>868</v>
      </c>
      <c r="C68" t="s">
        <v>57</v>
      </c>
      <c r="D68" t="s">
        <v>42</v>
      </c>
      <c r="E68" t="s">
        <v>73</v>
      </c>
      <c r="F68" t="s">
        <v>140</v>
      </c>
      <c r="G68" t="s">
        <v>118</v>
      </c>
      <c r="H68" t="s">
        <v>834</v>
      </c>
      <c r="I68" t="s">
        <v>20</v>
      </c>
      <c r="J68" t="s">
        <v>770</v>
      </c>
      <c r="K68" t="s">
        <v>120</v>
      </c>
    </row>
    <row r="69" spans="1:11" x14ac:dyDescent="0.25">
      <c r="A69" t="s">
        <v>851</v>
      </c>
      <c r="B69" t="s">
        <v>868</v>
      </c>
      <c r="C69" t="s">
        <v>57</v>
      </c>
      <c r="D69" t="s">
        <v>44</v>
      </c>
      <c r="E69" t="s">
        <v>73</v>
      </c>
      <c r="F69" t="s">
        <v>74</v>
      </c>
      <c r="G69" t="s">
        <v>118</v>
      </c>
      <c r="H69" t="s">
        <v>834</v>
      </c>
      <c r="I69" t="s">
        <v>20</v>
      </c>
      <c r="J69" t="s">
        <v>770</v>
      </c>
      <c r="K69" t="s">
        <v>120</v>
      </c>
    </row>
    <row r="70" spans="1:11" x14ac:dyDescent="0.25">
      <c r="A70" t="s">
        <v>851</v>
      </c>
      <c r="B70" t="s">
        <v>868</v>
      </c>
      <c r="C70" t="s">
        <v>61</v>
      </c>
      <c r="D70" t="s">
        <v>44</v>
      </c>
      <c r="E70" t="s">
        <v>138</v>
      </c>
      <c r="F70" t="s">
        <v>139</v>
      </c>
      <c r="G70" t="s">
        <v>118</v>
      </c>
      <c r="H70" t="s">
        <v>834</v>
      </c>
      <c r="I70" t="s">
        <v>20</v>
      </c>
      <c r="J70" t="s">
        <v>770</v>
      </c>
      <c r="K70" t="s">
        <v>120</v>
      </c>
    </row>
    <row r="71" spans="1:11" x14ac:dyDescent="0.25">
      <c r="A71" t="s">
        <v>851</v>
      </c>
      <c r="B71" t="s">
        <v>868</v>
      </c>
      <c r="C71" t="s">
        <v>61</v>
      </c>
      <c r="D71" t="s">
        <v>44</v>
      </c>
      <c r="E71" t="s">
        <v>71</v>
      </c>
      <c r="F71" t="s">
        <v>72</v>
      </c>
      <c r="G71" t="s">
        <v>118</v>
      </c>
      <c r="H71" t="s">
        <v>834</v>
      </c>
      <c r="I71" t="s">
        <v>20</v>
      </c>
      <c r="J71" t="s">
        <v>770</v>
      </c>
      <c r="K71" t="s">
        <v>120</v>
      </c>
    </row>
    <row r="72" spans="1:11" x14ac:dyDescent="0.25">
      <c r="A72" t="s">
        <v>851</v>
      </c>
      <c r="B72" t="s">
        <v>868</v>
      </c>
      <c r="C72" t="s">
        <v>61</v>
      </c>
      <c r="G72" t="s">
        <v>118</v>
      </c>
      <c r="H72" t="s">
        <v>834</v>
      </c>
      <c r="I72" t="s">
        <v>20</v>
      </c>
      <c r="J72" t="s">
        <v>770</v>
      </c>
      <c r="K72" t="s">
        <v>120</v>
      </c>
    </row>
    <row r="73" spans="1:11" x14ac:dyDescent="0.25">
      <c r="A73" t="s">
        <v>851</v>
      </c>
      <c r="B73" t="s">
        <v>868</v>
      </c>
      <c r="C73" t="s">
        <v>64</v>
      </c>
      <c r="G73" t="s">
        <v>118</v>
      </c>
      <c r="H73" t="s">
        <v>834</v>
      </c>
      <c r="I73" t="s">
        <v>20</v>
      </c>
      <c r="J73" t="s">
        <v>770</v>
      </c>
      <c r="K73" t="s">
        <v>120</v>
      </c>
    </row>
    <row r="74" spans="1:11" x14ac:dyDescent="0.25">
      <c r="A74" t="s">
        <v>851</v>
      </c>
      <c r="B74" t="s">
        <v>868</v>
      </c>
      <c r="C74" t="s">
        <v>64</v>
      </c>
      <c r="G74" t="s">
        <v>118</v>
      </c>
      <c r="H74" t="s">
        <v>834</v>
      </c>
      <c r="I74" t="s">
        <v>20</v>
      </c>
      <c r="J74" t="s">
        <v>770</v>
      </c>
      <c r="K74" t="s">
        <v>120</v>
      </c>
    </row>
    <row r="75" spans="1:11" x14ac:dyDescent="0.25">
      <c r="A75" t="s">
        <v>851</v>
      </c>
      <c r="B75" t="s">
        <v>868</v>
      </c>
      <c r="C75" t="s">
        <v>64</v>
      </c>
      <c r="G75" t="s">
        <v>118</v>
      </c>
      <c r="H75" t="s">
        <v>834</v>
      </c>
      <c r="I75" t="s">
        <v>20</v>
      </c>
      <c r="J75" t="s">
        <v>770</v>
      </c>
      <c r="K75" t="s">
        <v>120</v>
      </c>
    </row>
    <row r="76" spans="1:11" x14ac:dyDescent="0.25">
      <c r="A76" t="s">
        <v>851</v>
      </c>
      <c r="B76" t="s">
        <v>868</v>
      </c>
      <c r="C76" t="s">
        <v>65</v>
      </c>
      <c r="G76" t="s">
        <v>118</v>
      </c>
      <c r="H76" t="s">
        <v>834</v>
      </c>
      <c r="I76" t="s">
        <v>20</v>
      </c>
      <c r="J76" t="s">
        <v>770</v>
      </c>
      <c r="K76" t="s">
        <v>120</v>
      </c>
    </row>
    <row r="77" spans="1:11" x14ac:dyDescent="0.25">
      <c r="A77" t="s">
        <v>851</v>
      </c>
      <c r="B77" t="s">
        <v>868</v>
      </c>
      <c r="C77" t="s">
        <v>65</v>
      </c>
      <c r="G77" t="s">
        <v>118</v>
      </c>
      <c r="H77" t="s">
        <v>834</v>
      </c>
      <c r="I77" t="s">
        <v>20</v>
      </c>
      <c r="J77" t="s">
        <v>770</v>
      </c>
      <c r="K77" t="s">
        <v>120</v>
      </c>
    </row>
    <row r="78" spans="1:11" x14ac:dyDescent="0.25">
      <c r="A78" t="s">
        <v>851</v>
      </c>
      <c r="B78" t="s">
        <v>869</v>
      </c>
      <c r="C78" t="s">
        <v>57</v>
      </c>
      <c r="D78" t="s">
        <v>42</v>
      </c>
      <c r="E78" t="s">
        <v>138</v>
      </c>
      <c r="F78" t="s">
        <v>139</v>
      </c>
      <c r="G78" t="s">
        <v>176</v>
      </c>
      <c r="H78" t="s">
        <v>834</v>
      </c>
      <c r="I78" t="s">
        <v>20</v>
      </c>
      <c r="J78" t="s">
        <v>770</v>
      </c>
      <c r="K78" t="s">
        <v>178</v>
      </c>
    </row>
    <row r="79" spans="1:11" x14ac:dyDescent="0.25">
      <c r="A79" t="s">
        <v>851</v>
      </c>
      <c r="B79" t="s">
        <v>869</v>
      </c>
      <c r="C79" t="s">
        <v>57</v>
      </c>
      <c r="D79" t="s">
        <v>42</v>
      </c>
      <c r="E79" t="s">
        <v>138</v>
      </c>
      <c r="F79" t="s">
        <v>196</v>
      </c>
      <c r="G79" t="s">
        <v>176</v>
      </c>
      <c r="H79" t="s">
        <v>834</v>
      </c>
      <c r="I79" t="s">
        <v>20</v>
      </c>
      <c r="J79" t="s">
        <v>770</v>
      </c>
      <c r="K79" t="s">
        <v>178</v>
      </c>
    </row>
    <row r="80" spans="1:11" x14ac:dyDescent="0.25">
      <c r="A80" t="s">
        <v>851</v>
      </c>
      <c r="B80" t="s">
        <v>869</v>
      </c>
      <c r="C80" t="s">
        <v>57</v>
      </c>
      <c r="D80" t="s">
        <v>46</v>
      </c>
      <c r="E80" t="s">
        <v>71</v>
      </c>
      <c r="F80" t="s">
        <v>197</v>
      </c>
      <c r="G80" t="s">
        <v>176</v>
      </c>
      <c r="H80" t="s">
        <v>834</v>
      </c>
      <c r="I80" t="s">
        <v>20</v>
      </c>
      <c r="J80" t="s">
        <v>770</v>
      </c>
      <c r="K80" t="s">
        <v>178</v>
      </c>
    </row>
    <row r="81" spans="1:11" x14ac:dyDescent="0.25">
      <c r="A81" t="s">
        <v>851</v>
      </c>
      <c r="B81" t="s">
        <v>869</v>
      </c>
      <c r="C81" t="s">
        <v>61</v>
      </c>
      <c r="D81" t="s">
        <v>42</v>
      </c>
      <c r="E81" t="s">
        <v>73</v>
      </c>
      <c r="F81" t="s">
        <v>140</v>
      </c>
      <c r="G81" t="s">
        <v>176</v>
      </c>
      <c r="H81" t="s">
        <v>834</v>
      </c>
      <c r="I81" t="s">
        <v>20</v>
      </c>
      <c r="J81" t="s">
        <v>770</v>
      </c>
      <c r="K81" t="s">
        <v>178</v>
      </c>
    </row>
    <row r="82" spans="1:11" x14ac:dyDescent="0.25">
      <c r="A82" t="s">
        <v>851</v>
      </c>
      <c r="B82" t="s">
        <v>869</v>
      </c>
      <c r="C82" t="s">
        <v>61</v>
      </c>
      <c r="D82" t="s">
        <v>44</v>
      </c>
      <c r="E82" t="s">
        <v>138</v>
      </c>
      <c r="F82" t="s">
        <v>198</v>
      </c>
      <c r="G82" t="s">
        <v>176</v>
      </c>
      <c r="H82" t="s">
        <v>834</v>
      </c>
      <c r="I82" t="s">
        <v>20</v>
      </c>
      <c r="J82" t="s">
        <v>770</v>
      </c>
      <c r="K82" t="s">
        <v>178</v>
      </c>
    </row>
    <row r="83" spans="1:11" x14ac:dyDescent="0.25">
      <c r="A83" t="s">
        <v>851</v>
      </c>
      <c r="B83" t="s">
        <v>869</v>
      </c>
      <c r="C83" t="s">
        <v>61</v>
      </c>
      <c r="G83" t="s">
        <v>176</v>
      </c>
      <c r="H83" t="s">
        <v>834</v>
      </c>
      <c r="I83" t="s">
        <v>20</v>
      </c>
      <c r="J83" t="s">
        <v>770</v>
      </c>
      <c r="K83" t="s">
        <v>178</v>
      </c>
    </row>
    <row r="84" spans="1:11" x14ac:dyDescent="0.25">
      <c r="A84" t="s">
        <v>851</v>
      </c>
      <c r="B84" t="s">
        <v>869</v>
      </c>
      <c r="C84" t="s">
        <v>64</v>
      </c>
      <c r="G84" t="s">
        <v>176</v>
      </c>
      <c r="H84" t="s">
        <v>834</v>
      </c>
      <c r="I84" t="s">
        <v>20</v>
      </c>
      <c r="J84" t="s">
        <v>770</v>
      </c>
      <c r="K84" t="s">
        <v>178</v>
      </c>
    </row>
    <row r="85" spans="1:11" x14ac:dyDescent="0.25">
      <c r="A85" t="s">
        <v>851</v>
      </c>
      <c r="B85" t="s">
        <v>869</v>
      </c>
      <c r="C85" t="s">
        <v>64</v>
      </c>
      <c r="G85" t="s">
        <v>176</v>
      </c>
      <c r="H85" t="s">
        <v>834</v>
      </c>
      <c r="I85" t="s">
        <v>20</v>
      </c>
      <c r="J85" t="s">
        <v>770</v>
      </c>
      <c r="K85" t="s">
        <v>178</v>
      </c>
    </row>
    <row r="86" spans="1:11" x14ac:dyDescent="0.25">
      <c r="A86" t="s">
        <v>851</v>
      </c>
      <c r="B86" t="s">
        <v>869</v>
      </c>
      <c r="C86" t="s">
        <v>64</v>
      </c>
      <c r="G86" t="s">
        <v>176</v>
      </c>
      <c r="H86" t="s">
        <v>834</v>
      </c>
      <c r="I86" t="s">
        <v>20</v>
      </c>
      <c r="J86" t="s">
        <v>770</v>
      </c>
      <c r="K86" t="s">
        <v>178</v>
      </c>
    </row>
    <row r="87" spans="1:11" x14ac:dyDescent="0.25">
      <c r="A87" t="s">
        <v>851</v>
      </c>
      <c r="B87" t="s">
        <v>869</v>
      </c>
      <c r="C87" t="s">
        <v>65</v>
      </c>
      <c r="G87" t="s">
        <v>176</v>
      </c>
      <c r="H87" t="s">
        <v>834</v>
      </c>
      <c r="I87" t="s">
        <v>20</v>
      </c>
      <c r="J87" t="s">
        <v>770</v>
      </c>
      <c r="K87" t="s">
        <v>178</v>
      </c>
    </row>
    <row r="88" spans="1:11" x14ac:dyDescent="0.25">
      <c r="A88" t="s">
        <v>851</v>
      </c>
      <c r="B88" t="s">
        <v>869</v>
      </c>
      <c r="C88" t="s">
        <v>65</v>
      </c>
      <c r="G88" t="s">
        <v>176</v>
      </c>
      <c r="H88" t="s">
        <v>834</v>
      </c>
      <c r="I88" t="s">
        <v>20</v>
      </c>
      <c r="J88" t="s">
        <v>770</v>
      </c>
      <c r="K88" t="s">
        <v>178</v>
      </c>
    </row>
    <row r="89" spans="1:11" x14ac:dyDescent="0.25">
      <c r="A89" t="s">
        <v>851</v>
      </c>
      <c r="B89" t="s">
        <v>870</v>
      </c>
      <c r="C89" t="s">
        <v>57</v>
      </c>
      <c r="D89" t="s">
        <v>46</v>
      </c>
      <c r="E89" t="s">
        <v>138</v>
      </c>
      <c r="F89" t="s">
        <v>139</v>
      </c>
      <c r="G89" t="s">
        <v>234</v>
      </c>
      <c r="H89" t="s">
        <v>834</v>
      </c>
      <c r="I89" t="s">
        <v>20</v>
      </c>
      <c r="J89" t="s">
        <v>770</v>
      </c>
      <c r="K89" t="s">
        <v>236</v>
      </c>
    </row>
    <row r="90" spans="1:11" x14ac:dyDescent="0.25">
      <c r="A90" t="s">
        <v>851</v>
      </c>
      <c r="B90" t="s">
        <v>870</v>
      </c>
      <c r="C90" t="s">
        <v>57</v>
      </c>
      <c r="D90" t="s">
        <v>46</v>
      </c>
      <c r="E90" t="s">
        <v>252</v>
      </c>
      <c r="F90" t="s">
        <v>253</v>
      </c>
      <c r="G90" t="s">
        <v>234</v>
      </c>
      <c r="H90" t="s">
        <v>834</v>
      </c>
      <c r="I90" t="s">
        <v>20</v>
      </c>
      <c r="J90" t="s">
        <v>770</v>
      </c>
      <c r="K90" t="s">
        <v>236</v>
      </c>
    </row>
    <row r="91" spans="1:11" x14ac:dyDescent="0.25">
      <c r="A91" t="s">
        <v>851</v>
      </c>
      <c r="B91" t="s">
        <v>870</v>
      </c>
      <c r="C91" t="s">
        <v>57</v>
      </c>
      <c r="D91" t="s">
        <v>44</v>
      </c>
      <c r="E91" t="s">
        <v>254</v>
      </c>
      <c r="F91" t="s">
        <v>255</v>
      </c>
      <c r="G91" t="s">
        <v>234</v>
      </c>
      <c r="H91" t="s">
        <v>834</v>
      </c>
      <c r="I91" t="s">
        <v>20</v>
      </c>
      <c r="J91" t="s">
        <v>770</v>
      </c>
      <c r="K91" t="s">
        <v>236</v>
      </c>
    </row>
    <row r="92" spans="1:11" x14ac:dyDescent="0.25">
      <c r="A92" t="s">
        <v>851</v>
      </c>
      <c r="B92" t="s">
        <v>870</v>
      </c>
      <c r="C92" t="s">
        <v>61</v>
      </c>
      <c r="D92" t="s">
        <v>42</v>
      </c>
      <c r="E92" t="s">
        <v>138</v>
      </c>
      <c r="F92" t="s">
        <v>196</v>
      </c>
      <c r="G92" t="s">
        <v>234</v>
      </c>
      <c r="H92" t="s">
        <v>834</v>
      </c>
      <c r="I92" t="s">
        <v>20</v>
      </c>
      <c r="J92" t="s">
        <v>770</v>
      </c>
      <c r="K92" t="s">
        <v>236</v>
      </c>
    </row>
    <row r="93" spans="1:11" x14ac:dyDescent="0.25">
      <c r="A93" t="s">
        <v>851</v>
      </c>
      <c r="B93" t="s">
        <v>870</v>
      </c>
      <c r="C93" t="s">
        <v>61</v>
      </c>
      <c r="G93" t="s">
        <v>234</v>
      </c>
      <c r="H93" t="s">
        <v>834</v>
      </c>
      <c r="I93" t="s">
        <v>20</v>
      </c>
      <c r="J93" t="s">
        <v>770</v>
      </c>
      <c r="K93" t="s">
        <v>236</v>
      </c>
    </row>
    <row r="94" spans="1:11" x14ac:dyDescent="0.25">
      <c r="A94" t="s">
        <v>851</v>
      </c>
      <c r="B94" t="s">
        <v>870</v>
      </c>
      <c r="C94" t="s">
        <v>61</v>
      </c>
      <c r="G94" t="s">
        <v>234</v>
      </c>
      <c r="H94" t="s">
        <v>834</v>
      </c>
      <c r="I94" t="s">
        <v>20</v>
      </c>
      <c r="J94" t="s">
        <v>770</v>
      </c>
      <c r="K94" t="s">
        <v>236</v>
      </c>
    </row>
    <row r="95" spans="1:11" x14ac:dyDescent="0.25">
      <c r="A95" t="s">
        <v>851</v>
      </c>
      <c r="B95" t="s">
        <v>870</v>
      </c>
      <c r="C95" t="s">
        <v>64</v>
      </c>
      <c r="G95" t="s">
        <v>234</v>
      </c>
      <c r="H95" t="s">
        <v>834</v>
      </c>
      <c r="I95" t="s">
        <v>20</v>
      </c>
      <c r="J95" t="s">
        <v>770</v>
      </c>
      <c r="K95" t="s">
        <v>236</v>
      </c>
    </row>
    <row r="96" spans="1:11" x14ac:dyDescent="0.25">
      <c r="A96" t="s">
        <v>851</v>
      </c>
      <c r="B96" t="s">
        <v>870</v>
      </c>
      <c r="C96" t="s">
        <v>64</v>
      </c>
      <c r="G96" t="s">
        <v>234</v>
      </c>
      <c r="H96" t="s">
        <v>834</v>
      </c>
      <c r="I96" t="s">
        <v>20</v>
      </c>
      <c r="J96" t="s">
        <v>770</v>
      </c>
      <c r="K96" t="s">
        <v>236</v>
      </c>
    </row>
    <row r="97" spans="1:11" x14ac:dyDescent="0.25">
      <c r="A97" t="s">
        <v>851</v>
      </c>
      <c r="B97" t="s">
        <v>870</v>
      </c>
      <c r="C97" t="s">
        <v>64</v>
      </c>
      <c r="G97" t="s">
        <v>234</v>
      </c>
      <c r="H97" t="s">
        <v>834</v>
      </c>
      <c r="I97" t="s">
        <v>20</v>
      </c>
      <c r="J97" t="s">
        <v>770</v>
      </c>
      <c r="K97" t="s">
        <v>236</v>
      </c>
    </row>
    <row r="98" spans="1:11" x14ac:dyDescent="0.25">
      <c r="A98" t="s">
        <v>851</v>
      </c>
      <c r="B98" t="s">
        <v>870</v>
      </c>
      <c r="C98" t="s">
        <v>65</v>
      </c>
      <c r="G98" t="s">
        <v>234</v>
      </c>
      <c r="H98" t="s">
        <v>834</v>
      </c>
      <c r="I98" t="s">
        <v>20</v>
      </c>
      <c r="J98" t="s">
        <v>770</v>
      </c>
      <c r="K98" t="s">
        <v>236</v>
      </c>
    </row>
    <row r="99" spans="1:11" x14ac:dyDescent="0.25">
      <c r="A99" t="s">
        <v>851</v>
      </c>
      <c r="B99" t="s">
        <v>870</v>
      </c>
      <c r="C99" t="s">
        <v>65</v>
      </c>
      <c r="G99" t="s">
        <v>234</v>
      </c>
      <c r="H99" t="s">
        <v>834</v>
      </c>
      <c r="I99" t="s">
        <v>20</v>
      </c>
      <c r="J99" t="s">
        <v>770</v>
      </c>
      <c r="K99" t="s">
        <v>236</v>
      </c>
    </row>
    <row r="100" spans="1:11" x14ac:dyDescent="0.25">
      <c r="A100" t="s">
        <v>851</v>
      </c>
      <c r="B100" t="s">
        <v>871</v>
      </c>
      <c r="C100" t="s">
        <v>57</v>
      </c>
      <c r="D100" t="s">
        <v>42</v>
      </c>
      <c r="E100" t="s">
        <v>71</v>
      </c>
      <c r="F100" t="s">
        <v>72</v>
      </c>
      <c r="G100" t="s">
        <v>284</v>
      </c>
      <c r="H100" t="s">
        <v>834</v>
      </c>
      <c r="I100" t="s">
        <v>20</v>
      </c>
      <c r="J100" t="s">
        <v>770</v>
      </c>
      <c r="K100" t="s">
        <v>286</v>
      </c>
    </row>
    <row r="101" spans="1:11" x14ac:dyDescent="0.25">
      <c r="A101" t="s">
        <v>851</v>
      </c>
      <c r="B101" t="s">
        <v>871</v>
      </c>
      <c r="C101" t="s">
        <v>57</v>
      </c>
      <c r="D101" t="s">
        <v>42</v>
      </c>
      <c r="E101" t="s">
        <v>69</v>
      </c>
      <c r="F101" t="s">
        <v>302</v>
      </c>
      <c r="G101" t="s">
        <v>284</v>
      </c>
      <c r="H101" t="s">
        <v>834</v>
      </c>
      <c r="I101" t="s">
        <v>20</v>
      </c>
      <c r="J101" t="s">
        <v>770</v>
      </c>
      <c r="K101" t="s">
        <v>286</v>
      </c>
    </row>
    <row r="102" spans="1:11" x14ac:dyDescent="0.25">
      <c r="A102" t="s">
        <v>851</v>
      </c>
      <c r="B102" t="s">
        <v>871</v>
      </c>
      <c r="C102" t="s">
        <v>57</v>
      </c>
      <c r="D102" t="s">
        <v>44</v>
      </c>
      <c r="E102" t="s">
        <v>138</v>
      </c>
      <c r="F102" t="s">
        <v>196</v>
      </c>
      <c r="G102" t="s">
        <v>284</v>
      </c>
      <c r="H102" t="s">
        <v>834</v>
      </c>
      <c r="I102" t="s">
        <v>20</v>
      </c>
      <c r="J102" t="s">
        <v>770</v>
      </c>
      <c r="K102" t="s">
        <v>286</v>
      </c>
    </row>
    <row r="103" spans="1:11" x14ac:dyDescent="0.25">
      <c r="A103" t="s">
        <v>851</v>
      </c>
      <c r="B103" t="s">
        <v>871</v>
      </c>
      <c r="C103" t="s">
        <v>61</v>
      </c>
      <c r="D103" t="s">
        <v>46</v>
      </c>
      <c r="E103" t="s">
        <v>73</v>
      </c>
      <c r="F103" t="s">
        <v>303</v>
      </c>
      <c r="G103" t="s">
        <v>284</v>
      </c>
      <c r="H103" t="s">
        <v>834</v>
      </c>
      <c r="I103" t="s">
        <v>20</v>
      </c>
      <c r="J103" t="s">
        <v>770</v>
      </c>
      <c r="K103" t="s">
        <v>286</v>
      </c>
    </row>
    <row r="104" spans="1:11" x14ac:dyDescent="0.25">
      <c r="A104" t="s">
        <v>851</v>
      </c>
      <c r="B104" t="s">
        <v>871</v>
      </c>
      <c r="C104" t="s">
        <v>61</v>
      </c>
      <c r="D104" t="s">
        <v>46</v>
      </c>
      <c r="E104" t="s">
        <v>69</v>
      </c>
      <c r="F104" t="s">
        <v>70</v>
      </c>
      <c r="G104" t="s">
        <v>284</v>
      </c>
      <c r="H104" t="s">
        <v>834</v>
      </c>
      <c r="I104" t="s">
        <v>20</v>
      </c>
      <c r="J104" t="s">
        <v>770</v>
      </c>
      <c r="K104" t="s">
        <v>286</v>
      </c>
    </row>
    <row r="105" spans="1:11" x14ac:dyDescent="0.25">
      <c r="A105" t="s">
        <v>851</v>
      </c>
      <c r="B105" t="s">
        <v>871</v>
      </c>
      <c r="C105" t="s">
        <v>61</v>
      </c>
      <c r="G105" t="s">
        <v>284</v>
      </c>
      <c r="H105" t="s">
        <v>834</v>
      </c>
      <c r="I105" t="s">
        <v>20</v>
      </c>
      <c r="J105" t="s">
        <v>770</v>
      </c>
      <c r="K105" t="s">
        <v>286</v>
      </c>
    </row>
    <row r="106" spans="1:11" x14ac:dyDescent="0.25">
      <c r="A106" t="s">
        <v>851</v>
      </c>
      <c r="B106" t="s">
        <v>871</v>
      </c>
      <c r="C106" t="s">
        <v>64</v>
      </c>
      <c r="G106" t="s">
        <v>284</v>
      </c>
      <c r="H106" t="s">
        <v>834</v>
      </c>
      <c r="I106" t="s">
        <v>20</v>
      </c>
      <c r="J106" t="s">
        <v>770</v>
      </c>
      <c r="K106" t="s">
        <v>286</v>
      </c>
    </row>
    <row r="107" spans="1:11" x14ac:dyDescent="0.25">
      <c r="A107" t="s">
        <v>851</v>
      </c>
      <c r="B107" t="s">
        <v>871</v>
      </c>
      <c r="C107" t="s">
        <v>64</v>
      </c>
      <c r="G107" t="s">
        <v>284</v>
      </c>
      <c r="H107" t="s">
        <v>834</v>
      </c>
      <c r="I107" t="s">
        <v>20</v>
      </c>
      <c r="J107" t="s">
        <v>770</v>
      </c>
      <c r="K107" t="s">
        <v>286</v>
      </c>
    </row>
    <row r="108" spans="1:11" x14ac:dyDescent="0.25">
      <c r="A108" t="s">
        <v>851</v>
      </c>
      <c r="B108" t="s">
        <v>871</v>
      </c>
      <c r="C108" t="s">
        <v>64</v>
      </c>
      <c r="G108" t="s">
        <v>284</v>
      </c>
      <c r="H108" t="s">
        <v>834</v>
      </c>
      <c r="I108" t="s">
        <v>20</v>
      </c>
      <c r="J108" t="s">
        <v>770</v>
      </c>
      <c r="K108" t="s">
        <v>286</v>
      </c>
    </row>
    <row r="109" spans="1:11" x14ac:dyDescent="0.25">
      <c r="A109" t="s">
        <v>851</v>
      </c>
      <c r="B109" t="s">
        <v>871</v>
      </c>
      <c r="C109" t="s">
        <v>65</v>
      </c>
      <c r="G109" t="s">
        <v>284</v>
      </c>
      <c r="H109" t="s">
        <v>834</v>
      </c>
      <c r="I109" t="s">
        <v>20</v>
      </c>
      <c r="J109" t="s">
        <v>770</v>
      </c>
      <c r="K109" t="s">
        <v>286</v>
      </c>
    </row>
    <row r="110" spans="1:11" x14ac:dyDescent="0.25">
      <c r="A110" t="s">
        <v>851</v>
      </c>
      <c r="B110" t="s">
        <v>871</v>
      </c>
      <c r="C110" t="s">
        <v>65</v>
      </c>
      <c r="G110" t="s">
        <v>284</v>
      </c>
      <c r="H110" t="s">
        <v>834</v>
      </c>
      <c r="I110" t="s">
        <v>20</v>
      </c>
      <c r="J110" t="s">
        <v>770</v>
      </c>
      <c r="K110" t="s">
        <v>286</v>
      </c>
    </row>
    <row r="111" spans="1:11" x14ac:dyDescent="0.25">
      <c r="A111" t="s">
        <v>851</v>
      </c>
      <c r="B111" t="s">
        <v>872</v>
      </c>
      <c r="C111" t="s">
        <v>57</v>
      </c>
      <c r="D111" t="s">
        <v>42</v>
      </c>
      <c r="E111" t="s">
        <v>73</v>
      </c>
      <c r="F111" t="s">
        <v>140</v>
      </c>
      <c r="G111" t="s">
        <v>339</v>
      </c>
      <c r="H111" t="s">
        <v>834</v>
      </c>
      <c r="I111" t="s">
        <v>20</v>
      </c>
      <c r="J111" t="s">
        <v>770</v>
      </c>
      <c r="K111" t="s">
        <v>341</v>
      </c>
    </row>
    <row r="112" spans="1:11" x14ac:dyDescent="0.25">
      <c r="A112" t="s">
        <v>851</v>
      </c>
      <c r="B112" t="s">
        <v>872</v>
      </c>
      <c r="C112" t="s">
        <v>57</v>
      </c>
      <c r="D112" t="s">
        <v>42</v>
      </c>
      <c r="E112" t="s">
        <v>138</v>
      </c>
      <c r="F112" t="s">
        <v>198</v>
      </c>
      <c r="G112" t="s">
        <v>339</v>
      </c>
      <c r="H112" t="s">
        <v>834</v>
      </c>
      <c r="I112" t="s">
        <v>20</v>
      </c>
      <c r="J112" t="s">
        <v>770</v>
      </c>
      <c r="K112" t="s">
        <v>341</v>
      </c>
    </row>
    <row r="113" spans="1:11" x14ac:dyDescent="0.25">
      <c r="A113" t="s">
        <v>851</v>
      </c>
      <c r="B113" t="s">
        <v>872</v>
      </c>
      <c r="C113" t="s">
        <v>57</v>
      </c>
      <c r="D113" t="s">
        <v>46</v>
      </c>
      <c r="E113" t="s">
        <v>254</v>
      </c>
      <c r="F113" t="s">
        <v>357</v>
      </c>
      <c r="G113" t="s">
        <v>339</v>
      </c>
      <c r="H113" t="s">
        <v>834</v>
      </c>
      <c r="I113" t="s">
        <v>20</v>
      </c>
      <c r="J113" t="s">
        <v>770</v>
      </c>
      <c r="K113" t="s">
        <v>341</v>
      </c>
    </row>
    <row r="114" spans="1:11" x14ac:dyDescent="0.25">
      <c r="A114" t="s">
        <v>851</v>
      </c>
      <c r="B114" t="s">
        <v>872</v>
      </c>
      <c r="C114" t="s">
        <v>61</v>
      </c>
      <c r="D114" t="s">
        <v>42</v>
      </c>
      <c r="E114" t="s">
        <v>138</v>
      </c>
      <c r="F114" t="s">
        <v>196</v>
      </c>
      <c r="G114" t="s">
        <v>339</v>
      </c>
      <c r="H114" t="s">
        <v>834</v>
      </c>
      <c r="I114" t="s">
        <v>20</v>
      </c>
      <c r="J114" t="s">
        <v>770</v>
      </c>
      <c r="K114" t="s">
        <v>341</v>
      </c>
    </row>
    <row r="115" spans="1:11" x14ac:dyDescent="0.25">
      <c r="A115" t="s">
        <v>851</v>
      </c>
      <c r="B115" t="s">
        <v>872</v>
      </c>
      <c r="C115" t="s">
        <v>61</v>
      </c>
      <c r="D115" t="s">
        <v>44</v>
      </c>
      <c r="E115" t="s">
        <v>71</v>
      </c>
      <c r="F115" t="s">
        <v>358</v>
      </c>
      <c r="G115" t="s">
        <v>339</v>
      </c>
      <c r="H115" t="s">
        <v>834</v>
      </c>
      <c r="I115" t="s">
        <v>20</v>
      </c>
      <c r="J115" t="s">
        <v>770</v>
      </c>
      <c r="K115" t="s">
        <v>341</v>
      </c>
    </row>
    <row r="116" spans="1:11" x14ac:dyDescent="0.25">
      <c r="A116" t="s">
        <v>851</v>
      </c>
      <c r="B116" t="s">
        <v>872</v>
      </c>
      <c r="C116" t="s">
        <v>61</v>
      </c>
      <c r="G116" t="s">
        <v>339</v>
      </c>
      <c r="H116" t="s">
        <v>834</v>
      </c>
      <c r="I116" t="s">
        <v>20</v>
      </c>
      <c r="J116" t="s">
        <v>770</v>
      </c>
      <c r="K116" t="s">
        <v>341</v>
      </c>
    </row>
    <row r="117" spans="1:11" x14ac:dyDescent="0.25">
      <c r="A117" t="s">
        <v>851</v>
      </c>
      <c r="B117" t="s">
        <v>872</v>
      </c>
      <c r="C117" t="s">
        <v>64</v>
      </c>
      <c r="G117" t="s">
        <v>339</v>
      </c>
      <c r="H117" t="s">
        <v>834</v>
      </c>
      <c r="I117" t="s">
        <v>20</v>
      </c>
      <c r="J117" t="s">
        <v>770</v>
      </c>
      <c r="K117" t="s">
        <v>341</v>
      </c>
    </row>
    <row r="118" spans="1:11" x14ac:dyDescent="0.25">
      <c r="A118" t="s">
        <v>851</v>
      </c>
      <c r="B118" t="s">
        <v>872</v>
      </c>
      <c r="C118" t="s">
        <v>64</v>
      </c>
      <c r="G118" t="s">
        <v>339</v>
      </c>
      <c r="H118" t="s">
        <v>834</v>
      </c>
      <c r="I118" t="s">
        <v>20</v>
      </c>
      <c r="J118" t="s">
        <v>770</v>
      </c>
      <c r="K118" t="s">
        <v>341</v>
      </c>
    </row>
    <row r="119" spans="1:11" x14ac:dyDescent="0.25">
      <c r="A119" t="s">
        <v>851</v>
      </c>
      <c r="B119" t="s">
        <v>872</v>
      </c>
      <c r="C119" t="s">
        <v>64</v>
      </c>
      <c r="G119" t="s">
        <v>339</v>
      </c>
      <c r="H119" t="s">
        <v>834</v>
      </c>
      <c r="I119" t="s">
        <v>20</v>
      </c>
      <c r="J119" t="s">
        <v>770</v>
      </c>
      <c r="K119" t="s">
        <v>341</v>
      </c>
    </row>
    <row r="120" spans="1:11" x14ac:dyDescent="0.25">
      <c r="A120" t="s">
        <v>851</v>
      </c>
      <c r="B120" t="s">
        <v>872</v>
      </c>
      <c r="C120" t="s">
        <v>65</v>
      </c>
      <c r="G120" t="s">
        <v>339</v>
      </c>
      <c r="H120" t="s">
        <v>834</v>
      </c>
      <c r="I120" t="s">
        <v>20</v>
      </c>
      <c r="J120" t="s">
        <v>770</v>
      </c>
      <c r="K120" t="s">
        <v>341</v>
      </c>
    </row>
    <row r="121" spans="1:11" x14ac:dyDescent="0.25">
      <c r="A121" t="s">
        <v>851</v>
      </c>
      <c r="B121" t="s">
        <v>872</v>
      </c>
      <c r="C121" t="s">
        <v>65</v>
      </c>
      <c r="G121" t="s">
        <v>339</v>
      </c>
      <c r="H121" t="s">
        <v>834</v>
      </c>
      <c r="I121" t="s">
        <v>20</v>
      </c>
      <c r="J121" t="s">
        <v>770</v>
      </c>
      <c r="K121" t="s">
        <v>341</v>
      </c>
    </row>
    <row r="122" spans="1:11" x14ac:dyDescent="0.25">
      <c r="A122" t="s">
        <v>851</v>
      </c>
      <c r="B122" t="s">
        <v>873</v>
      </c>
      <c r="C122" t="s">
        <v>57</v>
      </c>
      <c r="D122" t="s">
        <v>42</v>
      </c>
      <c r="E122" t="s">
        <v>138</v>
      </c>
      <c r="F122" t="s">
        <v>196</v>
      </c>
      <c r="G122" t="s">
        <v>395</v>
      </c>
      <c r="H122" t="s">
        <v>834</v>
      </c>
      <c r="I122" t="s">
        <v>20</v>
      </c>
      <c r="J122" t="s">
        <v>770</v>
      </c>
      <c r="K122" t="s">
        <v>397</v>
      </c>
    </row>
    <row r="123" spans="1:11" x14ac:dyDescent="0.25">
      <c r="A123" t="s">
        <v>851</v>
      </c>
      <c r="B123" t="s">
        <v>873</v>
      </c>
      <c r="C123" t="s">
        <v>57</v>
      </c>
      <c r="D123" t="s">
        <v>44</v>
      </c>
      <c r="E123" t="s">
        <v>73</v>
      </c>
      <c r="F123" t="s">
        <v>412</v>
      </c>
      <c r="G123" t="s">
        <v>395</v>
      </c>
      <c r="H123" t="s">
        <v>834</v>
      </c>
      <c r="I123" t="s">
        <v>20</v>
      </c>
      <c r="J123" t="s">
        <v>770</v>
      </c>
      <c r="K123" t="s">
        <v>397</v>
      </c>
    </row>
    <row r="124" spans="1:11" x14ac:dyDescent="0.25">
      <c r="A124" t="s">
        <v>851</v>
      </c>
      <c r="B124" t="s">
        <v>873</v>
      </c>
      <c r="C124" t="s">
        <v>61</v>
      </c>
      <c r="D124" t="s">
        <v>46</v>
      </c>
      <c r="E124" t="s">
        <v>138</v>
      </c>
      <c r="F124" t="s">
        <v>198</v>
      </c>
      <c r="G124" t="s">
        <v>395</v>
      </c>
      <c r="H124" t="s">
        <v>834</v>
      </c>
      <c r="I124" t="s">
        <v>20</v>
      </c>
      <c r="J124" t="s">
        <v>770</v>
      </c>
      <c r="K124" t="s">
        <v>397</v>
      </c>
    </row>
    <row r="125" spans="1:11" x14ac:dyDescent="0.25">
      <c r="A125" t="s">
        <v>851</v>
      </c>
      <c r="B125" t="s">
        <v>873</v>
      </c>
      <c r="C125" t="s">
        <v>61</v>
      </c>
      <c r="D125" t="s">
        <v>46</v>
      </c>
      <c r="E125" t="s">
        <v>71</v>
      </c>
      <c r="F125" t="s">
        <v>413</v>
      </c>
      <c r="G125" t="s">
        <v>395</v>
      </c>
      <c r="H125" t="s">
        <v>834</v>
      </c>
      <c r="I125" t="s">
        <v>20</v>
      </c>
      <c r="J125" t="s">
        <v>770</v>
      </c>
      <c r="K125" t="s">
        <v>397</v>
      </c>
    </row>
    <row r="126" spans="1:11" x14ac:dyDescent="0.25">
      <c r="A126" t="s">
        <v>851</v>
      </c>
      <c r="B126" t="s">
        <v>873</v>
      </c>
      <c r="C126" t="s">
        <v>61</v>
      </c>
      <c r="G126" t="s">
        <v>395</v>
      </c>
      <c r="H126" t="s">
        <v>834</v>
      </c>
      <c r="I126" t="s">
        <v>20</v>
      </c>
      <c r="J126" t="s">
        <v>770</v>
      </c>
      <c r="K126" t="s">
        <v>397</v>
      </c>
    </row>
    <row r="127" spans="1:11" x14ac:dyDescent="0.25">
      <c r="A127" t="s">
        <v>851</v>
      </c>
      <c r="B127" t="s">
        <v>873</v>
      </c>
      <c r="C127" t="s">
        <v>61</v>
      </c>
      <c r="G127" t="s">
        <v>395</v>
      </c>
      <c r="H127" t="s">
        <v>834</v>
      </c>
      <c r="I127" t="s">
        <v>20</v>
      </c>
      <c r="J127" t="s">
        <v>770</v>
      </c>
      <c r="K127" t="s">
        <v>397</v>
      </c>
    </row>
    <row r="128" spans="1:11" x14ac:dyDescent="0.25">
      <c r="A128" t="s">
        <v>851</v>
      </c>
      <c r="B128" t="s">
        <v>873</v>
      </c>
      <c r="C128" t="s">
        <v>64</v>
      </c>
      <c r="G128" t="s">
        <v>395</v>
      </c>
      <c r="H128" t="s">
        <v>834</v>
      </c>
      <c r="I128" t="s">
        <v>20</v>
      </c>
      <c r="J128" t="s">
        <v>770</v>
      </c>
      <c r="K128" t="s">
        <v>397</v>
      </c>
    </row>
    <row r="129" spans="1:11" x14ac:dyDescent="0.25">
      <c r="A129" t="s">
        <v>851</v>
      </c>
      <c r="B129" t="s">
        <v>873</v>
      </c>
      <c r="C129" t="s">
        <v>64</v>
      </c>
      <c r="G129" t="s">
        <v>395</v>
      </c>
      <c r="H129" t="s">
        <v>834</v>
      </c>
      <c r="I129" t="s">
        <v>20</v>
      </c>
      <c r="J129" t="s">
        <v>770</v>
      </c>
      <c r="K129" t="s">
        <v>397</v>
      </c>
    </row>
    <row r="130" spans="1:11" x14ac:dyDescent="0.25">
      <c r="A130" t="s">
        <v>851</v>
      </c>
      <c r="B130" t="s">
        <v>873</v>
      </c>
      <c r="C130" t="s">
        <v>64</v>
      </c>
      <c r="G130" t="s">
        <v>395</v>
      </c>
      <c r="H130" t="s">
        <v>834</v>
      </c>
      <c r="I130" t="s">
        <v>20</v>
      </c>
      <c r="J130" t="s">
        <v>770</v>
      </c>
      <c r="K130" t="s">
        <v>397</v>
      </c>
    </row>
    <row r="131" spans="1:11" x14ac:dyDescent="0.25">
      <c r="A131" t="s">
        <v>851</v>
      </c>
      <c r="B131" t="s">
        <v>873</v>
      </c>
      <c r="C131" t="s">
        <v>65</v>
      </c>
      <c r="G131" t="s">
        <v>395</v>
      </c>
      <c r="H131" t="s">
        <v>834</v>
      </c>
      <c r="I131" t="s">
        <v>20</v>
      </c>
      <c r="J131" t="s">
        <v>770</v>
      </c>
      <c r="K131" t="s">
        <v>397</v>
      </c>
    </row>
    <row r="132" spans="1:11" x14ac:dyDescent="0.25">
      <c r="A132" t="s">
        <v>851</v>
      </c>
      <c r="B132" t="s">
        <v>873</v>
      </c>
      <c r="C132" t="s">
        <v>65</v>
      </c>
      <c r="G132" t="s">
        <v>395</v>
      </c>
      <c r="H132" t="s">
        <v>834</v>
      </c>
      <c r="I132" t="s">
        <v>20</v>
      </c>
      <c r="J132" t="s">
        <v>770</v>
      </c>
      <c r="K132" t="s">
        <v>397</v>
      </c>
    </row>
    <row r="133" spans="1:11" x14ac:dyDescent="0.25">
      <c r="A133" t="s">
        <v>851</v>
      </c>
      <c r="B133" t="s">
        <v>874</v>
      </c>
      <c r="C133" t="s">
        <v>57</v>
      </c>
      <c r="D133" t="s">
        <v>46</v>
      </c>
      <c r="E133" t="s">
        <v>71</v>
      </c>
      <c r="F133" t="s">
        <v>72</v>
      </c>
      <c r="G133" t="s">
        <v>448</v>
      </c>
      <c r="H133" t="s">
        <v>834</v>
      </c>
      <c r="I133" t="s">
        <v>20</v>
      </c>
      <c r="J133" t="s">
        <v>770</v>
      </c>
      <c r="K133" t="s">
        <v>450</v>
      </c>
    </row>
    <row r="134" spans="1:11" x14ac:dyDescent="0.25">
      <c r="A134" t="s">
        <v>851</v>
      </c>
      <c r="B134" t="s">
        <v>874</v>
      </c>
      <c r="C134" t="s">
        <v>57</v>
      </c>
      <c r="D134" t="s">
        <v>46</v>
      </c>
      <c r="E134" t="s">
        <v>464</v>
      </c>
      <c r="F134" t="s">
        <v>465</v>
      </c>
      <c r="G134" t="s">
        <v>448</v>
      </c>
      <c r="H134" t="s">
        <v>834</v>
      </c>
      <c r="I134" t="s">
        <v>20</v>
      </c>
      <c r="J134" t="s">
        <v>770</v>
      </c>
      <c r="K134" t="s">
        <v>450</v>
      </c>
    </row>
    <row r="135" spans="1:11" x14ac:dyDescent="0.25">
      <c r="A135" t="s">
        <v>851</v>
      </c>
      <c r="B135" t="s">
        <v>874</v>
      </c>
      <c r="C135" t="s">
        <v>57</v>
      </c>
      <c r="D135" t="s">
        <v>46</v>
      </c>
      <c r="E135" t="s">
        <v>73</v>
      </c>
      <c r="F135" t="s">
        <v>466</v>
      </c>
      <c r="G135" t="s">
        <v>448</v>
      </c>
      <c r="H135" t="s">
        <v>834</v>
      </c>
      <c r="I135" t="s">
        <v>20</v>
      </c>
      <c r="J135" t="s">
        <v>770</v>
      </c>
      <c r="K135" t="s">
        <v>450</v>
      </c>
    </row>
    <row r="136" spans="1:11" x14ac:dyDescent="0.25">
      <c r="A136" t="s">
        <v>851</v>
      </c>
      <c r="B136" t="s">
        <v>874</v>
      </c>
      <c r="C136" t="s">
        <v>61</v>
      </c>
      <c r="D136" t="s">
        <v>42</v>
      </c>
      <c r="E136" t="s">
        <v>254</v>
      </c>
      <c r="F136" t="s">
        <v>467</v>
      </c>
      <c r="G136" t="s">
        <v>448</v>
      </c>
      <c r="H136" t="s">
        <v>834</v>
      </c>
      <c r="I136" t="s">
        <v>20</v>
      </c>
      <c r="J136" t="s">
        <v>770</v>
      </c>
      <c r="K136" t="s">
        <v>450</v>
      </c>
    </row>
    <row r="137" spans="1:11" x14ac:dyDescent="0.25">
      <c r="A137" t="s">
        <v>851</v>
      </c>
      <c r="B137" t="s">
        <v>874</v>
      </c>
      <c r="C137" t="s">
        <v>61</v>
      </c>
      <c r="D137" t="s">
        <v>42</v>
      </c>
      <c r="E137" t="s">
        <v>69</v>
      </c>
      <c r="F137" t="s">
        <v>302</v>
      </c>
      <c r="G137" t="s">
        <v>448</v>
      </c>
      <c r="H137" t="s">
        <v>834</v>
      </c>
      <c r="I137" t="s">
        <v>20</v>
      </c>
      <c r="J137" t="s">
        <v>770</v>
      </c>
      <c r="K137" t="s">
        <v>450</v>
      </c>
    </row>
    <row r="138" spans="1:11" x14ac:dyDescent="0.25">
      <c r="A138" t="s">
        <v>851</v>
      </c>
      <c r="B138" t="s">
        <v>874</v>
      </c>
      <c r="C138" t="s">
        <v>61</v>
      </c>
      <c r="D138" t="s">
        <v>44</v>
      </c>
      <c r="E138" t="s">
        <v>138</v>
      </c>
      <c r="F138" t="s">
        <v>196</v>
      </c>
      <c r="G138" t="s">
        <v>448</v>
      </c>
      <c r="H138" t="s">
        <v>834</v>
      </c>
      <c r="I138" t="s">
        <v>20</v>
      </c>
      <c r="J138" t="s">
        <v>770</v>
      </c>
      <c r="K138" t="s">
        <v>450</v>
      </c>
    </row>
    <row r="139" spans="1:11" x14ac:dyDescent="0.25">
      <c r="A139" t="s">
        <v>851</v>
      </c>
      <c r="B139" t="s">
        <v>874</v>
      </c>
      <c r="C139" t="s">
        <v>64</v>
      </c>
      <c r="G139" t="s">
        <v>448</v>
      </c>
      <c r="H139" t="s">
        <v>834</v>
      </c>
      <c r="I139" t="s">
        <v>20</v>
      </c>
      <c r="J139" t="s">
        <v>770</v>
      </c>
      <c r="K139" t="s">
        <v>450</v>
      </c>
    </row>
    <row r="140" spans="1:11" x14ac:dyDescent="0.25">
      <c r="A140" t="s">
        <v>851</v>
      </c>
      <c r="B140" t="s">
        <v>874</v>
      </c>
      <c r="C140" t="s">
        <v>64</v>
      </c>
      <c r="G140" t="s">
        <v>448</v>
      </c>
      <c r="H140" t="s">
        <v>834</v>
      </c>
      <c r="I140" t="s">
        <v>20</v>
      </c>
      <c r="J140" t="s">
        <v>770</v>
      </c>
      <c r="K140" t="s">
        <v>450</v>
      </c>
    </row>
    <row r="141" spans="1:11" x14ac:dyDescent="0.25">
      <c r="A141" t="s">
        <v>851</v>
      </c>
      <c r="B141" t="s">
        <v>874</v>
      </c>
      <c r="C141" t="s">
        <v>64</v>
      </c>
      <c r="G141" t="s">
        <v>448</v>
      </c>
      <c r="H141" t="s">
        <v>834</v>
      </c>
      <c r="I141" t="s">
        <v>20</v>
      </c>
      <c r="J141" t="s">
        <v>770</v>
      </c>
      <c r="K141" t="s">
        <v>450</v>
      </c>
    </row>
    <row r="142" spans="1:11" x14ac:dyDescent="0.25">
      <c r="A142" t="s">
        <v>851</v>
      </c>
      <c r="B142" t="s">
        <v>874</v>
      </c>
      <c r="C142" t="s">
        <v>65</v>
      </c>
      <c r="G142" t="s">
        <v>448</v>
      </c>
      <c r="H142" t="s">
        <v>834</v>
      </c>
      <c r="I142" t="s">
        <v>20</v>
      </c>
      <c r="J142" t="s">
        <v>770</v>
      </c>
      <c r="K142" t="s">
        <v>450</v>
      </c>
    </row>
    <row r="143" spans="1:11" x14ac:dyDescent="0.25">
      <c r="A143" t="s">
        <v>851</v>
      </c>
      <c r="B143" t="s">
        <v>874</v>
      </c>
      <c r="C143" t="s">
        <v>65</v>
      </c>
      <c r="G143" t="s">
        <v>448</v>
      </c>
      <c r="H143" t="s">
        <v>834</v>
      </c>
      <c r="I143" t="s">
        <v>20</v>
      </c>
      <c r="J143" t="s">
        <v>770</v>
      </c>
      <c r="K143" t="s">
        <v>450</v>
      </c>
    </row>
    <row r="144" spans="1:11" x14ac:dyDescent="0.25">
      <c r="A144" t="s">
        <v>851</v>
      </c>
      <c r="B144" t="s">
        <v>875</v>
      </c>
      <c r="C144" t="s">
        <v>57</v>
      </c>
      <c r="D144" t="s">
        <v>42</v>
      </c>
      <c r="E144" t="s">
        <v>138</v>
      </c>
      <c r="F144" t="s">
        <v>196</v>
      </c>
      <c r="G144" t="s">
        <v>502</v>
      </c>
      <c r="H144" t="s">
        <v>834</v>
      </c>
      <c r="I144" t="s">
        <v>20</v>
      </c>
      <c r="J144" t="s">
        <v>770</v>
      </c>
      <c r="K144" t="s">
        <v>504</v>
      </c>
    </row>
    <row r="145" spans="1:11" x14ac:dyDescent="0.25">
      <c r="A145" t="s">
        <v>851</v>
      </c>
      <c r="B145" t="s">
        <v>875</v>
      </c>
      <c r="C145" t="s">
        <v>57</v>
      </c>
      <c r="D145" t="s">
        <v>42</v>
      </c>
      <c r="E145" t="s">
        <v>464</v>
      </c>
      <c r="F145" t="s">
        <v>516</v>
      </c>
      <c r="G145" t="s">
        <v>502</v>
      </c>
      <c r="H145" t="s">
        <v>834</v>
      </c>
      <c r="I145" t="s">
        <v>20</v>
      </c>
      <c r="J145" t="s">
        <v>770</v>
      </c>
      <c r="K145" t="s">
        <v>504</v>
      </c>
    </row>
    <row r="146" spans="1:11" x14ac:dyDescent="0.25">
      <c r="A146" t="s">
        <v>851</v>
      </c>
      <c r="B146" t="s">
        <v>875</v>
      </c>
      <c r="C146" t="s">
        <v>57</v>
      </c>
      <c r="D146" t="s">
        <v>44</v>
      </c>
      <c r="E146" t="s">
        <v>138</v>
      </c>
      <c r="F146" t="s">
        <v>198</v>
      </c>
      <c r="G146" t="s">
        <v>502</v>
      </c>
      <c r="H146" t="s">
        <v>834</v>
      </c>
      <c r="I146" t="s">
        <v>20</v>
      </c>
      <c r="J146" t="s">
        <v>770</v>
      </c>
      <c r="K146" t="s">
        <v>504</v>
      </c>
    </row>
    <row r="147" spans="1:11" x14ac:dyDescent="0.25">
      <c r="A147" t="s">
        <v>851</v>
      </c>
      <c r="B147" t="s">
        <v>875</v>
      </c>
      <c r="C147" t="s">
        <v>61</v>
      </c>
      <c r="D147" t="s">
        <v>42</v>
      </c>
      <c r="E147" t="s">
        <v>73</v>
      </c>
      <c r="F147" t="s">
        <v>412</v>
      </c>
      <c r="G147" t="s">
        <v>502</v>
      </c>
      <c r="H147" t="s">
        <v>834</v>
      </c>
      <c r="I147" t="s">
        <v>20</v>
      </c>
      <c r="J147" t="s">
        <v>770</v>
      </c>
      <c r="K147" t="s">
        <v>504</v>
      </c>
    </row>
    <row r="148" spans="1:11" x14ac:dyDescent="0.25">
      <c r="A148" t="s">
        <v>851</v>
      </c>
      <c r="B148" t="s">
        <v>875</v>
      </c>
      <c r="C148" t="s">
        <v>61</v>
      </c>
      <c r="D148" t="s">
        <v>44</v>
      </c>
      <c r="E148" t="s">
        <v>464</v>
      </c>
      <c r="F148" t="s">
        <v>517</v>
      </c>
      <c r="G148" t="s">
        <v>502</v>
      </c>
      <c r="H148" t="s">
        <v>834</v>
      </c>
      <c r="I148" t="s">
        <v>20</v>
      </c>
      <c r="J148" t="s">
        <v>770</v>
      </c>
      <c r="K148" t="s">
        <v>504</v>
      </c>
    </row>
    <row r="149" spans="1:11" x14ac:dyDescent="0.25">
      <c r="A149" t="s">
        <v>851</v>
      </c>
      <c r="B149" t="s">
        <v>875</v>
      </c>
      <c r="C149" t="s">
        <v>61</v>
      </c>
      <c r="D149" t="s">
        <v>46</v>
      </c>
      <c r="E149" t="s">
        <v>138</v>
      </c>
      <c r="F149" t="s">
        <v>518</v>
      </c>
      <c r="G149" t="s">
        <v>502</v>
      </c>
      <c r="H149" t="s">
        <v>834</v>
      </c>
      <c r="I149" t="s">
        <v>20</v>
      </c>
      <c r="J149" t="s">
        <v>770</v>
      </c>
      <c r="K149" t="s">
        <v>504</v>
      </c>
    </row>
    <row r="150" spans="1:11" x14ac:dyDescent="0.25">
      <c r="A150" t="s">
        <v>851</v>
      </c>
      <c r="B150" t="s">
        <v>875</v>
      </c>
      <c r="C150" t="s">
        <v>64</v>
      </c>
      <c r="G150" t="s">
        <v>502</v>
      </c>
      <c r="H150" t="s">
        <v>834</v>
      </c>
      <c r="I150" t="s">
        <v>20</v>
      </c>
      <c r="J150" t="s">
        <v>770</v>
      </c>
      <c r="K150" t="s">
        <v>504</v>
      </c>
    </row>
    <row r="151" spans="1:11" x14ac:dyDescent="0.25">
      <c r="A151" t="s">
        <v>851</v>
      </c>
      <c r="B151" t="s">
        <v>875</v>
      </c>
      <c r="C151" t="s">
        <v>64</v>
      </c>
      <c r="G151" t="s">
        <v>502</v>
      </c>
      <c r="H151" t="s">
        <v>834</v>
      </c>
      <c r="I151" t="s">
        <v>20</v>
      </c>
      <c r="J151" t="s">
        <v>770</v>
      </c>
      <c r="K151" t="s">
        <v>504</v>
      </c>
    </row>
    <row r="152" spans="1:11" x14ac:dyDescent="0.25">
      <c r="A152" t="s">
        <v>851</v>
      </c>
      <c r="B152" t="s">
        <v>875</v>
      </c>
      <c r="C152" t="s">
        <v>64</v>
      </c>
      <c r="G152" t="s">
        <v>502</v>
      </c>
      <c r="H152" t="s">
        <v>834</v>
      </c>
      <c r="I152" t="s">
        <v>20</v>
      </c>
      <c r="J152" t="s">
        <v>770</v>
      </c>
      <c r="K152" t="s">
        <v>504</v>
      </c>
    </row>
    <row r="153" spans="1:11" x14ac:dyDescent="0.25">
      <c r="A153" t="s">
        <v>851</v>
      </c>
      <c r="B153" t="s">
        <v>875</v>
      </c>
      <c r="C153" t="s">
        <v>65</v>
      </c>
      <c r="G153" t="s">
        <v>502</v>
      </c>
      <c r="H153" t="s">
        <v>834</v>
      </c>
      <c r="I153" t="s">
        <v>20</v>
      </c>
      <c r="J153" t="s">
        <v>770</v>
      </c>
      <c r="K153" t="s">
        <v>504</v>
      </c>
    </row>
    <row r="154" spans="1:11" x14ac:dyDescent="0.25">
      <c r="A154" t="s">
        <v>851</v>
      </c>
      <c r="B154" t="s">
        <v>875</v>
      </c>
      <c r="C154" t="s">
        <v>65</v>
      </c>
      <c r="G154" t="s">
        <v>502</v>
      </c>
      <c r="H154" t="s">
        <v>834</v>
      </c>
      <c r="I154" t="s">
        <v>20</v>
      </c>
      <c r="J154" t="s">
        <v>770</v>
      </c>
      <c r="K154" t="s">
        <v>504</v>
      </c>
    </row>
    <row r="155" spans="1:11" x14ac:dyDescent="0.25">
      <c r="A155" t="s">
        <v>851</v>
      </c>
      <c r="B155" t="s">
        <v>876</v>
      </c>
      <c r="C155" t="s">
        <v>57</v>
      </c>
      <c r="D155" t="s">
        <v>42</v>
      </c>
      <c r="E155" t="s">
        <v>138</v>
      </c>
      <c r="F155" t="s">
        <v>196</v>
      </c>
      <c r="G155" t="s">
        <v>553</v>
      </c>
      <c r="H155" t="s">
        <v>834</v>
      </c>
      <c r="I155" t="s">
        <v>20</v>
      </c>
      <c r="J155" t="s">
        <v>770</v>
      </c>
      <c r="K155" t="s">
        <v>555</v>
      </c>
    </row>
    <row r="156" spans="1:11" x14ac:dyDescent="0.25">
      <c r="A156" t="s">
        <v>851</v>
      </c>
      <c r="B156" t="s">
        <v>876</v>
      </c>
      <c r="C156" t="s">
        <v>57</v>
      </c>
      <c r="D156" t="s">
        <v>44</v>
      </c>
      <c r="E156" t="s">
        <v>138</v>
      </c>
      <c r="F156" t="s">
        <v>198</v>
      </c>
      <c r="G156" t="s">
        <v>553</v>
      </c>
      <c r="H156" t="s">
        <v>834</v>
      </c>
      <c r="I156" t="s">
        <v>20</v>
      </c>
      <c r="J156" t="s">
        <v>770</v>
      </c>
      <c r="K156" t="s">
        <v>555</v>
      </c>
    </row>
    <row r="157" spans="1:11" x14ac:dyDescent="0.25">
      <c r="A157" t="s">
        <v>851</v>
      </c>
      <c r="B157" t="s">
        <v>876</v>
      </c>
      <c r="C157" t="s">
        <v>57</v>
      </c>
      <c r="D157" t="s">
        <v>44</v>
      </c>
      <c r="E157" t="s">
        <v>464</v>
      </c>
      <c r="F157" t="s">
        <v>570</v>
      </c>
      <c r="G157" t="s">
        <v>553</v>
      </c>
      <c r="H157" t="s">
        <v>834</v>
      </c>
      <c r="I157" t="s">
        <v>20</v>
      </c>
      <c r="J157" t="s">
        <v>770</v>
      </c>
      <c r="K157" t="s">
        <v>555</v>
      </c>
    </row>
    <row r="158" spans="1:11" x14ac:dyDescent="0.25">
      <c r="A158" t="s">
        <v>851</v>
      </c>
      <c r="B158" t="s">
        <v>876</v>
      </c>
      <c r="C158" t="s">
        <v>61</v>
      </c>
      <c r="D158" t="s">
        <v>42</v>
      </c>
      <c r="E158" t="s">
        <v>71</v>
      </c>
      <c r="F158" t="s">
        <v>358</v>
      </c>
      <c r="G158" t="s">
        <v>553</v>
      </c>
      <c r="H158" t="s">
        <v>834</v>
      </c>
      <c r="I158" t="s">
        <v>20</v>
      </c>
      <c r="J158" t="s">
        <v>770</v>
      </c>
      <c r="K158" t="s">
        <v>555</v>
      </c>
    </row>
    <row r="159" spans="1:11" x14ac:dyDescent="0.25">
      <c r="A159" t="s">
        <v>851</v>
      </c>
      <c r="B159" t="s">
        <v>876</v>
      </c>
      <c r="C159" t="s">
        <v>61</v>
      </c>
      <c r="D159" t="s">
        <v>46</v>
      </c>
      <c r="E159" t="s">
        <v>73</v>
      </c>
      <c r="F159" t="s">
        <v>140</v>
      </c>
      <c r="G159" t="s">
        <v>553</v>
      </c>
      <c r="H159" t="s">
        <v>834</v>
      </c>
      <c r="I159" t="s">
        <v>20</v>
      </c>
      <c r="J159" t="s">
        <v>770</v>
      </c>
      <c r="K159" t="s">
        <v>555</v>
      </c>
    </row>
    <row r="160" spans="1:11" x14ac:dyDescent="0.25">
      <c r="A160" t="s">
        <v>851</v>
      </c>
      <c r="B160" t="s">
        <v>876</v>
      </c>
      <c r="C160" t="s">
        <v>61</v>
      </c>
      <c r="D160" t="s">
        <v>46</v>
      </c>
      <c r="E160" t="s">
        <v>464</v>
      </c>
      <c r="F160" t="s">
        <v>570</v>
      </c>
      <c r="G160" t="s">
        <v>553</v>
      </c>
      <c r="H160" t="s">
        <v>834</v>
      </c>
      <c r="I160" t="s">
        <v>20</v>
      </c>
      <c r="J160" t="s">
        <v>770</v>
      </c>
      <c r="K160" t="s">
        <v>555</v>
      </c>
    </row>
    <row r="161" spans="1:11" x14ac:dyDescent="0.25">
      <c r="A161" t="s">
        <v>851</v>
      </c>
      <c r="B161" t="s">
        <v>876</v>
      </c>
      <c r="C161" t="s">
        <v>64</v>
      </c>
      <c r="G161" t="s">
        <v>553</v>
      </c>
      <c r="H161" t="s">
        <v>834</v>
      </c>
      <c r="I161" t="s">
        <v>20</v>
      </c>
      <c r="J161" t="s">
        <v>770</v>
      </c>
      <c r="K161" t="s">
        <v>555</v>
      </c>
    </row>
    <row r="162" spans="1:11" x14ac:dyDescent="0.25">
      <c r="A162" t="s">
        <v>851</v>
      </c>
      <c r="B162" t="s">
        <v>876</v>
      </c>
      <c r="C162" t="s">
        <v>64</v>
      </c>
      <c r="G162" t="s">
        <v>553</v>
      </c>
      <c r="H162" t="s">
        <v>834</v>
      </c>
      <c r="I162" t="s">
        <v>20</v>
      </c>
      <c r="J162" t="s">
        <v>770</v>
      </c>
      <c r="K162" t="s">
        <v>555</v>
      </c>
    </row>
    <row r="163" spans="1:11" x14ac:dyDescent="0.25">
      <c r="A163" t="s">
        <v>851</v>
      </c>
      <c r="B163" t="s">
        <v>876</v>
      </c>
      <c r="C163" t="s">
        <v>64</v>
      </c>
      <c r="G163" t="s">
        <v>553</v>
      </c>
      <c r="H163" t="s">
        <v>834</v>
      </c>
      <c r="I163" t="s">
        <v>20</v>
      </c>
      <c r="J163" t="s">
        <v>770</v>
      </c>
      <c r="K163" t="s">
        <v>555</v>
      </c>
    </row>
    <row r="164" spans="1:11" x14ac:dyDescent="0.25">
      <c r="A164" t="s">
        <v>851</v>
      </c>
      <c r="B164" t="s">
        <v>876</v>
      </c>
      <c r="C164" t="s">
        <v>65</v>
      </c>
      <c r="G164" t="s">
        <v>553</v>
      </c>
      <c r="H164" t="s">
        <v>834</v>
      </c>
      <c r="I164" t="s">
        <v>20</v>
      </c>
      <c r="J164" t="s">
        <v>770</v>
      </c>
      <c r="K164" t="s">
        <v>555</v>
      </c>
    </row>
    <row r="165" spans="1:11" x14ac:dyDescent="0.25">
      <c r="A165" t="s">
        <v>851</v>
      </c>
      <c r="B165" t="s">
        <v>876</v>
      </c>
      <c r="C165" t="s">
        <v>65</v>
      </c>
      <c r="G165" t="s">
        <v>553</v>
      </c>
      <c r="H165" t="s">
        <v>834</v>
      </c>
      <c r="I165" t="s">
        <v>20</v>
      </c>
      <c r="J165" t="s">
        <v>770</v>
      </c>
      <c r="K165" t="s">
        <v>555</v>
      </c>
    </row>
    <row r="166" spans="1:11" x14ac:dyDescent="0.25">
      <c r="A166" t="s">
        <v>851</v>
      </c>
      <c r="B166" t="s">
        <v>877</v>
      </c>
      <c r="C166" t="s">
        <v>57</v>
      </c>
      <c r="D166" t="s">
        <v>42</v>
      </c>
      <c r="E166" t="s">
        <v>138</v>
      </c>
      <c r="F166" t="s">
        <v>196</v>
      </c>
      <c r="G166" t="s">
        <v>602</v>
      </c>
      <c r="H166" t="s">
        <v>834</v>
      </c>
      <c r="I166" t="s">
        <v>20</v>
      </c>
      <c r="J166" t="s">
        <v>770</v>
      </c>
      <c r="K166" t="s">
        <v>604</v>
      </c>
    </row>
    <row r="167" spans="1:11" x14ac:dyDescent="0.25">
      <c r="A167" t="s">
        <v>851</v>
      </c>
      <c r="B167" t="s">
        <v>877</v>
      </c>
      <c r="C167" t="s">
        <v>57</v>
      </c>
      <c r="D167" t="s">
        <v>46</v>
      </c>
      <c r="E167" t="s">
        <v>71</v>
      </c>
      <c r="F167" t="s">
        <v>72</v>
      </c>
      <c r="G167" t="s">
        <v>602</v>
      </c>
      <c r="H167" t="s">
        <v>834</v>
      </c>
      <c r="I167" t="s">
        <v>20</v>
      </c>
      <c r="J167" t="s">
        <v>770</v>
      </c>
      <c r="K167" t="s">
        <v>604</v>
      </c>
    </row>
    <row r="168" spans="1:11" x14ac:dyDescent="0.25">
      <c r="A168" t="s">
        <v>851</v>
      </c>
      <c r="B168" t="s">
        <v>877</v>
      </c>
      <c r="C168" t="s">
        <v>57</v>
      </c>
      <c r="D168" t="s">
        <v>46</v>
      </c>
      <c r="E168" t="s">
        <v>73</v>
      </c>
      <c r="F168" t="s">
        <v>619</v>
      </c>
      <c r="G168" t="s">
        <v>602</v>
      </c>
      <c r="H168" t="s">
        <v>834</v>
      </c>
      <c r="I168" t="s">
        <v>20</v>
      </c>
      <c r="J168" t="s">
        <v>770</v>
      </c>
      <c r="K168" t="s">
        <v>604</v>
      </c>
    </row>
    <row r="169" spans="1:11" x14ac:dyDescent="0.25">
      <c r="A169" t="s">
        <v>851</v>
      </c>
      <c r="B169" t="s">
        <v>877</v>
      </c>
      <c r="C169" t="s">
        <v>61</v>
      </c>
      <c r="D169" t="s">
        <v>44</v>
      </c>
      <c r="E169" t="s">
        <v>69</v>
      </c>
      <c r="F169" t="s">
        <v>70</v>
      </c>
      <c r="G169" t="s">
        <v>602</v>
      </c>
      <c r="H169" t="s">
        <v>834</v>
      </c>
      <c r="I169" t="s">
        <v>20</v>
      </c>
      <c r="J169" t="s">
        <v>770</v>
      </c>
      <c r="K169" t="s">
        <v>604</v>
      </c>
    </row>
    <row r="170" spans="1:11" x14ac:dyDescent="0.25">
      <c r="A170" t="s">
        <v>851</v>
      </c>
      <c r="B170" t="s">
        <v>877</v>
      </c>
      <c r="C170" t="s">
        <v>61</v>
      </c>
      <c r="D170" t="s">
        <v>44</v>
      </c>
      <c r="E170" t="s">
        <v>254</v>
      </c>
      <c r="F170" t="s">
        <v>467</v>
      </c>
      <c r="G170" t="s">
        <v>602</v>
      </c>
      <c r="H170" t="s">
        <v>834</v>
      </c>
      <c r="I170" t="s">
        <v>20</v>
      </c>
      <c r="J170" t="s">
        <v>770</v>
      </c>
      <c r="K170" t="s">
        <v>604</v>
      </c>
    </row>
    <row r="171" spans="1:11" x14ac:dyDescent="0.25">
      <c r="A171" t="s">
        <v>851</v>
      </c>
      <c r="B171" t="s">
        <v>877</v>
      </c>
      <c r="C171" t="s">
        <v>61</v>
      </c>
      <c r="G171" t="s">
        <v>602</v>
      </c>
      <c r="H171" t="s">
        <v>834</v>
      </c>
      <c r="I171" t="s">
        <v>20</v>
      </c>
      <c r="J171" t="s">
        <v>770</v>
      </c>
      <c r="K171" t="s">
        <v>604</v>
      </c>
    </row>
    <row r="172" spans="1:11" x14ac:dyDescent="0.25">
      <c r="A172" t="s">
        <v>851</v>
      </c>
      <c r="B172" t="s">
        <v>877</v>
      </c>
      <c r="C172" t="s">
        <v>64</v>
      </c>
      <c r="G172" t="s">
        <v>602</v>
      </c>
      <c r="H172" t="s">
        <v>834</v>
      </c>
      <c r="I172" t="s">
        <v>20</v>
      </c>
      <c r="J172" t="s">
        <v>770</v>
      </c>
      <c r="K172" t="s">
        <v>604</v>
      </c>
    </row>
    <row r="173" spans="1:11" x14ac:dyDescent="0.25">
      <c r="A173" t="s">
        <v>851</v>
      </c>
      <c r="B173" t="s">
        <v>877</v>
      </c>
      <c r="C173" t="s">
        <v>64</v>
      </c>
      <c r="G173" t="s">
        <v>602</v>
      </c>
      <c r="H173" t="s">
        <v>834</v>
      </c>
      <c r="I173" t="s">
        <v>20</v>
      </c>
      <c r="J173" t="s">
        <v>770</v>
      </c>
      <c r="K173" t="s">
        <v>604</v>
      </c>
    </row>
    <row r="174" spans="1:11" x14ac:dyDescent="0.25">
      <c r="A174" t="s">
        <v>851</v>
      </c>
      <c r="B174" t="s">
        <v>877</v>
      </c>
      <c r="C174" t="s">
        <v>64</v>
      </c>
      <c r="G174" t="s">
        <v>602</v>
      </c>
      <c r="H174" t="s">
        <v>834</v>
      </c>
      <c r="I174" t="s">
        <v>20</v>
      </c>
      <c r="J174" t="s">
        <v>770</v>
      </c>
      <c r="K174" t="s">
        <v>604</v>
      </c>
    </row>
    <row r="175" spans="1:11" x14ac:dyDescent="0.25">
      <c r="A175" t="s">
        <v>851</v>
      </c>
      <c r="B175" t="s">
        <v>877</v>
      </c>
      <c r="C175" t="s">
        <v>65</v>
      </c>
      <c r="G175" t="s">
        <v>602</v>
      </c>
      <c r="H175" t="s">
        <v>834</v>
      </c>
      <c r="I175" t="s">
        <v>20</v>
      </c>
      <c r="J175" t="s">
        <v>770</v>
      </c>
      <c r="K175" t="s">
        <v>604</v>
      </c>
    </row>
    <row r="176" spans="1:11" x14ac:dyDescent="0.25">
      <c r="A176" t="s">
        <v>851</v>
      </c>
      <c r="B176" t="s">
        <v>877</v>
      </c>
      <c r="C176" t="s">
        <v>65</v>
      </c>
      <c r="G176" t="s">
        <v>602</v>
      </c>
      <c r="H176" t="s">
        <v>834</v>
      </c>
      <c r="I176" t="s">
        <v>20</v>
      </c>
      <c r="J176" t="s">
        <v>770</v>
      </c>
      <c r="K176" t="s">
        <v>604</v>
      </c>
    </row>
    <row r="177" spans="1:11" x14ac:dyDescent="0.25">
      <c r="A177" t="s">
        <v>851</v>
      </c>
      <c r="B177" t="s">
        <v>878</v>
      </c>
      <c r="C177" t="s">
        <v>57</v>
      </c>
      <c r="D177" t="s">
        <v>42</v>
      </c>
      <c r="E177" t="s">
        <v>138</v>
      </c>
      <c r="F177" t="s">
        <v>139</v>
      </c>
      <c r="G177" t="s">
        <v>654</v>
      </c>
      <c r="H177" t="s">
        <v>834</v>
      </c>
      <c r="I177" t="s">
        <v>20</v>
      </c>
      <c r="J177" t="s">
        <v>770</v>
      </c>
      <c r="K177" t="s">
        <v>864</v>
      </c>
    </row>
    <row r="178" spans="1:11" x14ac:dyDescent="0.25">
      <c r="A178" t="s">
        <v>851</v>
      </c>
      <c r="B178" t="s">
        <v>878</v>
      </c>
      <c r="C178" t="s">
        <v>57</v>
      </c>
      <c r="D178" t="s">
        <v>42</v>
      </c>
      <c r="E178" t="s">
        <v>138</v>
      </c>
      <c r="F178" t="s">
        <v>196</v>
      </c>
      <c r="G178" t="s">
        <v>654</v>
      </c>
      <c r="H178" t="s">
        <v>834</v>
      </c>
      <c r="I178" t="s">
        <v>20</v>
      </c>
      <c r="J178" t="s">
        <v>770</v>
      </c>
      <c r="K178" t="s">
        <v>864</v>
      </c>
    </row>
    <row r="179" spans="1:11" x14ac:dyDescent="0.25">
      <c r="A179" t="s">
        <v>851</v>
      </c>
      <c r="B179" t="s">
        <v>878</v>
      </c>
      <c r="C179" t="s">
        <v>57</v>
      </c>
      <c r="D179" t="s">
        <v>42</v>
      </c>
      <c r="E179" t="s">
        <v>71</v>
      </c>
      <c r="F179" t="s">
        <v>197</v>
      </c>
      <c r="G179" t="s">
        <v>654</v>
      </c>
      <c r="H179" t="s">
        <v>834</v>
      </c>
      <c r="I179" t="s">
        <v>20</v>
      </c>
      <c r="J179" t="s">
        <v>770</v>
      </c>
      <c r="K179" t="s">
        <v>864</v>
      </c>
    </row>
    <row r="180" spans="1:11" x14ac:dyDescent="0.25">
      <c r="A180" t="s">
        <v>851</v>
      </c>
      <c r="B180" t="s">
        <v>878</v>
      </c>
      <c r="C180" t="s">
        <v>61</v>
      </c>
      <c r="D180" t="s">
        <v>44</v>
      </c>
      <c r="E180" t="s">
        <v>73</v>
      </c>
      <c r="F180" t="s">
        <v>140</v>
      </c>
      <c r="G180" t="s">
        <v>654</v>
      </c>
      <c r="H180" t="s">
        <v>834</v>
      </c>
      <c r="I180" t="s">
        <v>20</v>
      </c>
      <c r="J180" t="s">
        <v>770</v>
      </c>
      <c r="K180" t="s">
        <v>864</v>
      </c>
    </row>
    <row r="181" spans="1:11" x14ac:dyDescent="0.25">
      <c r="A181" t="s">
        <v>851</v>
      </c>
      <c r="B181" t="s">
        <v>878</v>
      </c>
      <c r="C181" t="s">
        <v>61</v>
      </c>
      <c r="D181" t="s">
        <v>44</v>
      </c>
      <c r="E181" t="s">
        <v>252</v>
      </c>
      <c r="F181" t="s">
        <v>657</v>
      </c>
      <c r="G181" t="s">
        <v>654</v>
      </c>
      <c r="H181" t="s">
        <v>834</v>
      </c>
      <c r="I181" t="s">
        <v>20</v>
      </c>
      <c r="J181" t="s">
        <v>770</v>
      </c>
      <c r="K181" t="s">
        <v>864</v>
      </c>
    </row>
    <row r="182" spans="1:11" x14ac:dyDescent="0.25">
      <c r="A182" t="s">
        <v>851</v>
      </c>
      <c r="B182" t="s">
        <v>878</v>
      </c>
      <c r="C182" t="s">
        <v>61</v>
      </c>
      <c r="G182" t="s">
        <v>654</v>
      </c>
      <c r="H182" t="s">
        <v>834</v>
      </c>
      <c r="I182" t="s">
        <v>20</v>
      </c>
      <c r="J182" t="s">
        <v>770</v>
      </c>
      <c r="K182" t="s">
        <v>864</v>
      </c>
    </row>
    <row r="183" spans="1:11" x14ac:dyDescent="0.25">
      <c r="A183" t="s">
        <v>851</v>
      </c>
      <c r="B183" t="s">
        <v>878</v>
      </c>
      <c r="C183" t="s">
        <v>64</v>
      </c>
      <c r="G183" t="s">
        <v>654</v>
      </c>
      <c r="H183" t="s">
        <v>834</v>
      </c>
      <c r="I183" t="s">
        <v>20</v>
      </c>
      <c r="J183" t="s">
        <v>770</v>
      </c>
      <c r="K183" t="s">
        <v>864</v>
      </c>
    </row>
    <row r="184" spans="1:11" x14ac:dyDescent="0.25">
      <c r="A184" t="s">
        <v>851</v>
      </c>
      <c r="B184" t="s">
        <v>878</v>
      </c>
      <c r="C184" t="s">
        <v>64</v>
      </c>
      <c r="G184" t="s">
        <v>654</v>
      </c>
      <c r="H184" t="s">
        <v>834</v>
      </c>
      <c r="I184" t="s">
        <v>20</v>
      </c>
      <c r="J184" t="s">
        <v>770</v>
      </c>
      <c r="K184" t="s">
        <v>864</v>
      </c>
    </row>
    <row r="185" spans="1:11" x14ac:dyDescent="0.25">
      <c r="A185" t="s">
        <v>851</v>
      </c>
      <c r="B185" t="s">
        <v>878</v>
      </c>
      <c r="C185" t="s">
        <v>64</v>
      </c>
      <c r="G185" t="s">
        <v>654</v>
      </c>
      <c r="H185" t="s">
        <v>834</v>
      </c>
      <c r="I185" t="s">
        <v>20</v>
      </c>
      <c r="J185" t="s">
        <v>770</v>
      </c>
      <c r="K185" t="s">
        <v>864</v>
      </c>
    </row>
    <row r="186" spans="1:11" x14ac:dyDescent="0.25">
      <c r="A186" t="s">
        <v>851</v>
      </c>
      <c r="B186" t="s">
        <v>878</v>
      </c>
      <c r="C186" t="s">
        <v>65</v>
      </c>
      <c r="G186" t="s">
        <v>654</v>
      </c>
      <c r="H186" t="s">
        <v>834</v>
      </c>
      <c r="I186" t="s">
        <v>20</v>
      </c>
      <c r="J186" t="s">
        <v>770</v>
      </c>
      <c r="K186" t="s">
        <v>864</v>
      </c>
    </row>
    <row r="187" spans="1:11" x14ac:dyDescent="0.25">
      <c r="A187" t="s">
        <v>851</v>
      </c>
      <c r="B187" t="s">
        <v>878</v>
      </c>
      <c r="C187" t="s">
        <v>65</v>
      </c>
      <c r="G187" t="s">
        <v>654</v>
      </c>
      <c r="H187" t="s">
        <v>834</v>
      </c>
      <c r="I187" t="s">
        <v>20</v>
      </c>
      <c r="J187" t="s">
        <v>770</v>
      </c>
      <c r="K187" t="s">
        <v>864</v>
      </c>
    </row>
    <row r="188" spans="1:11" x14ac:dyDescent="0.25">
      <c r="A188" t="s">
        <v>851</v>
      </c>
      <c r="B188" t="s">
        <v>879</v>
      </c>
      <c r="C188" t="s">
        <v>57</v>
      </c>
      <c r="D188" t="s">
        <v>42</v>
      </c>
      <c r="E188" t="s">
        <v>138</v>
      </c>
      <c r="F188" t="s">
        <v>139</v>
      </c>
      <c r="G188" t="s">
        <v>658</v>
      </c>
      <c r="H188" t="s">
        <v>834</v>
      </c>
      <c r="I188" t="s">
        <v>20</v>
      </c>
      <c r="J188" t="s">
        <v>770</v>
      </c>
      <c r="K188" t="s">
        <v>866</v>
      </c>
    </row>
    <row r="189" spans="1:11" x14ac:dyDescent="0.25">
      <c r="A189" t="s">
        <v>851</v>
      </c>
      <c r="B189" t="s">
        <v>879</v>
      </c>
      <c r="C189" t="s">
        <v>57</v>
      </c>
      <c r="D189" t="s">
        <v>42</v>
      </c>
      <c r="E189" t="s">
        <v>138</v>
      </c>
      <c r="F189" t="s">
        <v>196</v>
      </c>
      <c r="G189" t="s">
        <v>658</v>
      </c>
      <c r="H189" t="s">
        <v>834</v>
      </c>
      <c r="I189" t="s">
        <v>20</v>
      </c>
      <c r="J189" t="s">
        <v>770</v>
      </c>
      <c r="K189" t="s">
        <v>866</v>
      </c>
    </row>
    <row r="190" spans="1:11" x14ac:dyDescent="0.25">
      <c r="A190" t="s">
        <v>851</v>
      </c>
      <c r="B190" t="s">
        <v>879</v>
      </c>
      <c r="C190" t="s">
        <v>57</v>
      </c>
      <c r="D190" t="s">
        <v>42</v>
      </c>
      <c r="E190" t="s">
        <v>71</v>
      </c>
      <c r="F190" t="s">
        <v>197</v>
      </c>
      <c r="G190" t="s">
        <v>658</v>
      </c>
      <c r="H190" t="s">
        <v>834</v>
      </c>
      <c r="I190" t="s">
        <v>20</v>
      </c>
      <c r="J190" t="s">
        <v>770</v>
      </c>
      <c r="K190" t="s">
        <v>866</v>
      </c>
    </row>
    <row r="191" spans="1:11" x14ac:dyDescent="0.25">
      <c r="A191" t="s">
        <v>851</v>
      </c>
      <c r="B191" t="s">
        <v>879</v>
      </c>
      <c r="C191" t="s">
        <v>61</v>
      </c>
      <c r="D191" t="s">
        <v>44</v>
      </c>
      <c r="E191" t="s">
        <v>73</v>
      </c>
      <c r="F191" t="s">
        <v>140</v>
      </c>
      <c r="G191" t="s">
        <v>658</v>
      </c>
      <c r="H191" t="s">
        <v>834</v>
      </c>
      <c r="I191" t="s">
        <v>20</v>
      </c>
      <c r="J191" t="s">
        <v>770</v>
      </c>
      <c r="K191" t="s">
        <v>866</v>
      </c>
    </row>
    <row r="192" spans="1:11" x14ac:dyDescent="0.25">
      <c r="A192" t="s">
        <v>851</v>
      </c>
      <c r="B192" t="s">
        <v>879</v>
      </c>
      <c r="C192" t="s">
        <v>61</v>
      </c>
      <c r="D192" t="s">
        <v>44</v>
      </c>
      <c r="E192" t="s">
        <v>252</v>
      </c>
      <c r="F192" t="s">
        <v>657</v>
      </c>
      <c r="G192" t="s">
        <v>658</v>
      </c>
      <c r="H192" t="s">
        <v>834</v>
      </c>
      <c r="I192" t="s">
        <v>20</v>
      </c>
      <c r="J192" t="s">
        <v>770</v>
      </c>
      <c r="K192" t="s">
        <v>866</v>
      </c>
    </row>
    <row r="193" spans="1:11" x14ac:dyDescent="0.25">
      <c r="A193" t="s">
        <v>851</v>
      </c>
      <c r="B193" t="s">
        <v>879</v>
      </c>
      <c r="C193" t="s">
        <v>61</v>
      </c>
      <c r="G193" t="s">
        <v>658</v>
      </c>
      <c r="H193" t="s">
        <v>834</v>
      </c>
      <c r="I193" t="s">
        <v>20</v>
      </c>
      <c r="J193" t="s">
        <v>770</v>
      </c>
      <c r="K193" t="s">
        <v>866</v>
      </c>
    </row>
    <row r="194" spans="1:11" x14ac:dyDescent="0.25">
      <c r="A194" t="s">
        <v>851</v>
      </c>
      <c r="B194" t="s">
        <v>879</v>
      </c>
      <c r="C194" t="s">
        <v>64</v>
      </c>
      <c r="G194" t="s">
        <v>658</v>
      </c>
      <c r="H194" t="s">
        <v>834</v>
      </c>
      <c r="I194" t="s">
        <v>20</v>
      </c>
      <c r="J194" t="s">
        <v>770</v>
      </c>
      <c r="K194" t="s">
        <v>866</v>
      </c>
    </row>
    <row r="195" spans="1:11" x14ac:dyDescent="0.25">
      <c r="A195" t="s">
        <v>851</v>
      </c>
      <c r="B195" t="s">
        <v>879</v>
      </c>
      <c r="C195" t="s">
        <v>64</v>
      </c>
      <c r="G195" t="s">
        <v>658</v>
      </c>
      <c r="H195" t="s">
        <v>834</v>
      </c>
      <c r="I195" t="s">
        <v>20</v>
      </c>
      <c r="J195" t="s">
        <v>770</v>
      </c>
      <c r="K195" t="s">
        <v>866</v>
      </c>
    </row>
    <row r="196" spans="1:11" x14ac:dyDescent="0.25">
      <c r="A196" t="s">
        <v>851</v>
      </c>
      <c r="B196" t="s">
        <v>879</v>
      </c>
      <c r="C196" t="s">
        <v>64</v>
      </c>
      <c r="G196" t="s">
        <v>658</v>
      </c>
      <c r="H196" t="s">
        <v>834</v>
      </c>
      <c r="I196" t="s">
        <v>20</v>
      </c>
      <c r="J196" t="s">
        <v>770</v>
      </c>
      <c r="K196" t="s">
        <v>866</v>
      </c>
    </row>
    <row r="197" spans="1:11" x14ac:dyDescent="0.25">
      <c r="A197" t="s">
        <v>851</v>
      </c>
      <c r="B197" t="s">
        <v>879</v>
      </c>
      <c r="C197" t="s">
        <v>65</v>
      </c>
      <c r="G197" t="s">
        <v>658</v>
      </c>
      <c r="H197" t="s">
        <v>834</v>
      </c>
      <c r="I197" t="s">
        <v>20</v>
      </c>
      <c r="J197" t="s">
        <v>770</v>
      </c>
      <c r="K197" t="s">
        <v>866</v>
      </c>
    </row>
    <row r="198" spans="1:11" x14ac:dyDescent="0.25">
      <c r="A198" t="s">
        <v>851</v>
      </c>
      <c r="B198" t="s">
        <v>879</v>
      </c>
      <c r="C198" t="s">
        <v>65</v>
      </c>
      <c r="G198" t="s">
        <v>658</v>
      </c>
      <c r="H198" t="s">
        <v>834</v>
      </c>
      <c r="I198" t="s">
        <v>20</v>
      </c>
      <c r="J198" t="s">
        <v>770</v>
      </c>
      <c r="K198" t="s">
        <v>866</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2CE07-30E3-4221-8EF7-413EB9357392}">
  <sheetPr codeName="Sheet20"/>
  <dimension ref="A1:I109"/>
  <sheetViews>
    <sheetView topLeftCell="A28" workbookViewId="0">
      <selection activeCell="M40" sqref="M40"/>
    </sheetView>
  </sheetViews>
  <sheetFormatPr defaultRowHeight="15" x14ac:dyDescent="0.25"/>
  <cols>
    <col min="1" max="1" width="49" bestFit="1" customWidth="1"/>
    <col min="2" max="2" width="15.28515625" bestFit="1" customWidth="1"/>
    <col min="3" max="3" width="14" bestFit="1" customWidth="1"/>
    <col min="4" max="4" width="16.42578125" bestFit="1" customWidth="1"/>
    <col min="5" max="5" width="14.85546875" bestFit="1" customWidth="1"/>
    <col min="6" max="6" width="12.7109375" bestFit="1" customWidth="1"/>
    <col min="7" max="7" width="14" bestFit="1" customWidth="1"/>
    <col min="8" max="8" width="12.140625" bestFit="1" customWidth="1"/>
    <col min="9" max="9" width="46.85546875" bestFit="1" customWidth="1"/>
  </cols>
  <sheetData>
    <row r="1" spans="1:9" x14ac:dyDescent="0.25">
      <c r="A1" t="s">
        <v>759</v>
      </c>
      <c r="B1" t="s">
        <v>760</v>
      </c>
      <c r="C1" t="s">
        <v>24</v>
      </c>
      <c r="D1" t="s">
        <v>23</v>
      </c>
      <c r="E1" t="s">
        <v>761</v>
      </c>
      <c r="F1" t="s">
        <v>762</v>
      </c>
      <c r="G1" t="s">
        <v>763</v>
      </c>
      <c r="H1" t="s">
        <v>764</v>
      </c>
      <c r="I1" t="s">
        <v>765</v>
      </c>
    </row>
    <row r="2" spans="1:9" x14ac:dyDescent="0.25">
      <c r="A2" t="s">
        <v>766</v>
      </c>
      <c r="B2" t="s">
        <v>827</v>
      </c>
      <c r="C2" t="s">
        <v>25</v>
      </c>
      <c r="D2">
        <v>34</v>
      </c>
      <c r="E2" t="s">
        <v>768</v>
      </c>
      <c r="F2" t="s">
        <v>828</v>
      </c>
      <c r="G2" t="s">
        <v>20</v>
      </c>
      <c r="H2" t="s">
        <v>770</v>
      </c>
      <c r="I2" t="s">
        <v>771</v>
      </c>
    </row>
    <row r="3" spans="1:9" x14ac:dyDescent="0.25">
      <c r="A3" t="s">
        <v>766</v>
      </c>
      <c r="B3" t="s">
        <v>827</v>
      </c>
      <c r="C3" t="s">
        <v>26</v>
      </c>
      <c r="D3">
        <v>6</v>
      </c>
      <c r="E3" t="s">
        <v>768</v>
      </c>
      <c r="F3" t="s">
        <v>828</v>
      </c>
      <c r="G3" t="s">
        <v>20</v>
      </c>
      <c r="H3" t="s">
        <v>770</v>
      </c>
      <c r="I3" t="s">
        <v>771</v>
      </c>
    </row>
    <row r="4" spans="1:9" x14ac:dyDescent="0.25">
      <c r="A4" t="s">
        <v>766</v>
      </c>
      <c r="B4" t="s">
        <v>827</v>
      </c>
      <c r="C4" t="s">
        <v>27</v>
      </c>
      <c r="E4" t="s">
        <v>768</v>
      </c>
      <c r="F4" t="s">
        <v>828</v>
      </c>
      <c r="G4" t="s">
        <v>20</v>
      </c>
      <c r="H4" t="s">
        <v>770</v>
      </c>
      <c r="I4" t="s">
        <v>771</v>
      </c>
    </row>
    <row r="5" spans="1:9" x14ac:dyDescent="0.25">
      <c r="A5" t="s">
        <v>766</v>
      </c>
      <c r="B5" t="s">
        <v>827</v>
      </c>
      <c r="C5" t="s">
        <v>28</v>
      </c>
      <c r="D5">
        <v>4</v>
      </c>
      <c r="E5" t="s">
        <v>768</v>
      </c>
      <c r="F5" t="s">
        <v>828</v>
      </c>
      <c r="G5" t="s">
        <v>20</v>
      </c>
      <c r="H5" t="s">
        <v>770</v>
      </c>
      <c r="I5" t="s">
        <v>771</v>
      </c>
    </row>
    <row r="6" spans="1:9" x14ac:dyDescent="0.25">
      <c r="A6" t="s">
        <v>766</v>
      </c>
      <c r="B6" t="s">
        <v>827</v>
      </c>
      <c r="C6" t="s">
        <v>30</v>
      </c>
      <c r="E6" t="s">
        <v>768</v>
      </c>
      <c r="F6" t="s">
        <v>828</v>
      </c>
      <c r="G6" t="s">
        <v>20</v>
      </c>
      <c r="H6" t="s">
        <v>770</v>
      </c>
      <c r="I6" t="s">
        <v>771</v>
      </c>
    </row>
    <row r="7" spans="1:9" x14ac:dyDescent="0.25">
      <c r="A7" t="s">
        <v>766</v>
      </c>
      <c r="B7" t="s">
        <v>827</v>
      </c>
      <c r="C7" t="s">
        <v>32</v>
      </c>
      <c r="D7">
        <v>44</v>
      </c>
      <c r="E7" t="s">
        <v>768</v>
      </c>
      <c r="F7" t="s">
        <v>828</v>
      </c>
      <c r="G7" t="s">
        <v>20</v>
      </c>
      <c r="H7" t="s">
        <v>770</v>
      </c>
      <c r="I7" t="s">
        <v>771</v>
      </c>
    </row>
    <row r="8" spans="1:9" x14ac:dyDescent="0.25">
      <c r="A8" t="s">
        <v>766</v>
      </c>
      <c r="B8" t="s">
        <v>829</v>
      </c>
      <c r="C8" t="s">
        <v>25</v>
      </c>
      <c r="D8">
        <v>33</v>
      </c>
      <c r="E8" t="s">
        <v>774</v>
      </c>
      <c r="F8" t="s">
        <v>828</v>
      </c>
      <c r="G8" t="s">
        <v>20</v>
      </c>
      <c r="H8" t="s">
        <v>770</v>
      </c>
      <c r="I8" t="s">
        <v>775</v>
      </c>
    </row>
    <row r="9" spans="1:9" x14ac:dyDescent="0.25">
      <c r="A9" t="s">
        <v>766</v>
      </c>
      <c r="B9" t="s">
        <v>829</v>
      </c>
      <c r="C9" t="s">
        <v>26</v>
      </c>
      <c r="D9">
        <v>1</v>
      </c>
      <c r="E9" t="s">
        <v>774</v>
      </c>
      <c r="F9" t="s">
        <v>828</v>
      </c>
      <c r="G9" t="s">
        <v>20</v>
      </c>
      <c r="H9" t="s">
        <v>770</v>
      </c>
      <c r="I9" t="s">
        <v>775</v>
      </c>
    </row>
    <row r="10" spans="1:9" x14ac:dyDescent="0.25">
      <c r="A10" t="s">
        <v>766</v>
      </c>
      <c r="B10" t="s">
        <v>829</v>
      </c>
      <c r="C10" t="s">
        <v>27</v>
      </c>
      <c r="D10">
        <v>6</v>
      </c>
      <c r="E10" t="s">
        <v>774</v>
      </c>
      <c r="F10" t="s">
        <v>828</v>
      </c>
      <c r="G10" t="s">
        <v>20</v>
      </c>
      <c r="H10" t="s">
        <v>770</v>
      </c>
      <c r="I10" t="s">
        <v>775</v>
      </c>
    </row>
    <row r="11" spans="1:9" x14ac:dyDescent="0.25">
      <c r="A11" t="s">
        <v>766</v>
      </c>
      <c r="B11" t="s">
        <v>829</v>
      </c>
      <c r="C11" t="s">
        <v>28</v>
      </c>
      <c r="D11">
        <v>1</v>
      </c>
      <c r="E11" t="s">
        <v>774</v>
      </c>
      <c r="F11" t="s">
        <v>828</v>
      </c>
      <c r="G11" t="s">
        <v>20</v>
      </c>
      <c r="H11" t="s">
        <v>770</v>
      </c>
      <c r="I11" t="s">
        <v>775</v>
      </c>
    </row>
    <row r="12" spans="1:9" x14ac:dyDescent="0.25">
      <c r="A12" t="s">
        <v>766</v>
      </c>
      <c r="B12" t="s">
        <v>829</v>
      </c>
      <c r="C12" t="s">
        <v>30</v>
      </c>
      <c r="D12">
        <v>3</v>
      </c>
      <c r="E12" t="s">
        <v>774</v>
      </c>
      <c r="F12" t="s">
        <v>828</v>
      </c>
      <c r="G12" t="s">
        <v>20</v>
      </c>
      <c r="H12" t="s">
        <v>770</v>
      </c>
      <c r="I12" t="s">
        <v>775</v>
      </c>
    </row>
    <row r="13" spans="1:9" x14ac:dyDescent="0.25">
      <c r="A13" t="s">
        <v>766</v>
      </c>
      <c r="B13" t="s">
        <v>829</v>
      </c>
      <c r="C13" t="s">
        <v>32</v>
      </c>
      <c r="D13">
        <v>44</v>
      </c>
      <c r="E13" t="s">
        <v>774</v>
      </c>
      <c r="F13" t="s">
        <v>828</v>
      </c>
      <c r="G13" t="s">
        <v>20</v>
      </c>
      <c r="H13" t="s">
        <v>770</v>
      </c>
      <c r="I13" t="s">
        <v>775</v>
      </c>
    </row>
    <row r="14" spans="1:9" x14ac:dyDescent="0.25">
      <c r="A14" t="s">
        <v>766</v>
      </c>
      <c r="B14" t="s">
        <v>830</v>
      </c>
      <c r="C14" t="s">
        <v>25</v>
      </c>
      <c r="D14">
        <v>34</v>
      </c>
      <c r="E14" t="s">
        <v>779</v>
      </c>
      <c r="F14" t="s">
        <v>828</v>
      </c>
      <c r="G14" t="s">
        <v>20</v>
      </c>
      <c r="H14" t="s">
        <v>770</v>
      </c>
      <c r="I14" t="s">
        <v>780</v>
      </c>
    </row>
    <row r="15" spans="1:9" x14ac:dyDescent="0.25">
      <c r="A15" t="s">
        <v>766</v>
      </c>
      <c r="B15" t="s">
        <v>830</v>
      </c>
      <c r="C15" t="s">
        <v>26</v>
      </c>
      <c r="D15">
        <v>6</v>
      </c>
      <c r="E15" t="s">
        <v>779</v>
      </c>
      <c r="F15" t="s">
        <v>828</v>
      </c>
      <c r="G15" t="s">
        <v>20</v>
      </c>
      <c r="H15" t="s">
        <v>770</v>
      </c>
      <c r="I15" t="s">
        <v>780</v>
      </c>
    </row>
    <row r="16" spans="1:9" x14ac:dyDescent="0.25">
      <c r="A16" t="s">
        <v>766</v>
      </c>
      <c r="B16" t="s">
        <v>830</v>
      </c>
      <c r="C16" t="s">
        <v>27</v>
      </c>
      <c r="E16" t="s">
        <v>779</v>
      </c>
      <c r="F16" t="s">
        <v>828</v>
      </c>
      <c r="G16" t="s">
        <v>20</v>
      </c>
      <c r="H16" t="s">
        <v>770</v>
      </c>
      <c r="I16" t="s">
        <v>780</v>
      </c>
    </row>
    <row r="17" spans="1:9" x14ac:dyDescent="0.25">
      <c r="A17" t="s">
        <v>766</v>
      </c>
      <c r="B17" t="s">
        <v>830</v>
      </c>
      <c r="C17" t="s">
        <v>28</v>
      </c>
      <c r="D17">
        <v>2</v>
      </c>
      <c r="E17" t="s">
        <v>779</v>
      </c>
      <c r="F17" t="s">
        <v>828</v>
      </c>
      <c r="G17" t="s">
        <v>20</v>
      </c>
      <c r="H17" t="s">
        <v>770</v>
      </c>
      <c r="I17" t="s">
        <v>780</v>
      </c>
    </row>
    <row r="18" spans="1:9" x14ac:dyDescent="0.25">
      <c r="A18" t="s">
        <v>766</v>
      </c>
      <c r="B18" t="s">
        <v>830</v>
      </c>
      <c r="C18" t="s">
        <v>30</v>
      </c>
      <c r="E18" t="s">
        <v>779</v>
      </c>
      <c r="F18" t="s">
        <v>828</v>
      </c>
      <c r="G18" t="s">
        <v>20</v>
      </c>
      <c r="H18" t="s">
        <v>770</v>
      </c>
      <c r="I18" t="s">
        <v>780</v>
      </c>
    </row>
    <row r="19" spans="1:9" x14ac:dyDescent="0.25">
      <c r="A19" t="s">
        <v>766</v>
      </c>
      <c r="B19" t="s">
        <v>830</v>
      </c>
      <c r="C19" t="s">
        <v>32</v>
      </c>
      <c r="D19">
        <v>42</v>
      </c>
      <c r="E19" t="s">
        <v>779</v>
      </c>
      <c r="F19" t="s">
        <v>828</v>
      </c>
      <c r="G19" t="s">
        <v>20</v>
      </c>
      <c r="H19" t="s">
        <v>770</v>
      </c>
      <c r="I19" t="s">
        <v>780</v>
      </c>
    </row>
    <row r="20" spans="1:9" x14ac:dyDescent="0.25">
      <c r="A20" t="s">
        <v>766</v>
      </c>
      <c r="B20" t="s">
        <v>831</v>
      </c>
      <c r="C20" t="s">
        <v>25</v>
      </c>
      <c r="D20">
        <v>16</v>
      </c>
      <c r="E20" t="s">
        <v>783</v>
      </c>
      <c r="F20" t="s">
        <v>828</v>
      </c>
      <c r="G20" t="s">
        <v>20</v>
      </c>
      <c r="H20" t="s">
        <v>770</v>
      </c>
      <c r="I20" t="s">
        <v>784</v>
      </c>
    </row>
    <row r="21" spans="1:9" x14ac:dyDescent="0.25">
      <c r="A21" t="s">
        <v>766</v>
      </c>
      <c r="B21" t="s">
        <v>831</v>
      </c>
      <c r="C21" t="s">
        <v>26</v>
      </c>
      <c r="D21">
        <v>5</v>
      </c>
      <c r="E21" t="s">
        <v>783</v>
      </c>
      <c r="F21" t="s">
        <v>828</v>
      </c>
      <c r="G21" t="s">
        <v>20</v>
      </c>
      <c r="H21" t="s">
        <v>770</v>
      </c>
      <c r="I21" t="s">
        <v>784</v>
      </c>
    </row>
    <row r="22" spans="1:9" x14ac:dyDescent="0.25">
      <c r="A22" t="s">
        <v>766</v>
      </c>
      <c r="B22" t="s">
        <v>831</v>
      </c>
      <c r="C22" t="s">
        <v>27</v>
      </c>
      <c r="D22">
        <v>6</v>
      </c>
      <c r="E22" t="s">
        <v>783</v>
      </c>
      <c r="F22" t="s">
        <v>828</v>
      </c>
      <c r="G22" t="s">
        <v>20</v>
      </c>
      <c r="H22" t="s">
        <v>770</v>
      </c>
      <c r="I22" t="s">
        <v>784</v>
      </c>
    </row>
    <row r="23" spans="1:9" x14ac:dyDescent="0.25">
      <c r="A23" t="s">
        <v>766</v>
      </c>
      <c r="B23" t="s">
        <v>831</v>
      </c>
      <c r="C23" t="s">
        <v>28</v>
      </c>
      <c r="D23">
        <v>7</v>
      </c>
      <c r="E23" t="s">
        <v>783</v>
      </c>
      <c r="F23" t="s">
        <v>828</v>
      </c>
      <c r="G23" t="s">
        <v>20</v>
      </c>
      <c r="H23" t="s">
        <v>770</v>
      </c>
      <c r="I23" t="s">
        <v>784</v>
      </c>
    </row>
    <row r="24" spans="1:9" x14ac:dyDescent="0.25">
      <c r="A24" t="s">
        <v>766</v>
      </c>
      <c r="B24" t="s">
        <v>831</v>
      </c>
      <c r="C24" t="s">
        <v>30</v>
      </c>
      <c r="D24">
        <v>6</v>
      </c>
      <c r="E24" t="s">
        <v>783</v>
      </c>
      <c r="F24" t="s">
        <v>828</v>
      </c>
      <c r="G24" t="s">
        <v>20</v>
      </c>
      <c r="H24" t="s">
        <v>770</v>
      </c>
      <c r="I24" t="s">
        <v>784</v>
      </c>
    </row>
    <row r="25" spans="1:9" x14ac:dyDescent="0.25">
      <c r="A25" t="s">
        <v>766</v>
      </c>
      <c r="B25" t="s">
        <v>831</v>
      </c>
      <c r="C25" t="s">
        <v>32</v>
      </c>
      <c r="D25">
        <v>40</v>
      </c>
      <c r="E25" t="s">
        <v>783</v>
      </c>
      <c r="F25" t="s">
        <v>828</v>
      </c>
      <c r="G25" t="s">
        <v>20</v>
      </c>
      <c r="H25" t="s">
        <v>770</v>
      </c>
      <c r="I25" t="s">
        <v>784</v>
      </c>
    </row>
    <row r="26" spans="1:9" x14ac:dyDescent="0.25">
      <c r="A26" t="s">
        <v>766</v>
      </c>
      <c r="B26" t="s">
        <v>832</v>
      </c>
      <c r="C26" t="s">
        <v>25</v>
      </c>
      <c r="D26">
        <v>10</v>
      </c>
      <c r="E26" t="s">
        <v>787</v>
      </c>
      <c r="F26" t="s">
        <v>828</v>
      </c>
      <c r="G26" t="s">
        <v>20</v>
      </c>
      <c r="H26" t="s">
        <v>770</v>
      </c>
      <c r="I26" t="s">
        <v>788</v>
      </c>
    </row>
    <row r="27" spans="1:9" x14ac:dyDescent="0.25">
      <c r="A27" t="s">
        <v>766</v>
      </c>
      <c r="B27" t="s">
        <v>832</v>
      </c>
      <c r="C27" t="s">
        <v>26</v>
      </c>
      <c r="D27">
        <v>26</v>
      </c>
      <c r="E27" t="s">
        <v>787</v>
      </c>
      <c r="F27" t="s">
        <v>828</v>
      </c>
      <c r="G27" t="s">
        <v>20</v>
      </c>
      <c r="H27" t="s">
        <v>770</v>
      </c>
      <c r="I27" t="s">
        <v>788</v>
      </c>
    </row>
    <row r="28" spans="1:9" x14ac:dyDescent="0.25">
      <c r="A28" t="s">
        <v>766</v>
      </c>
      <c r="B28" t="s">
        <v>832</v>
      </c>
      <c r="C28" t="s">
        <v>27</v>
      </c>
      <c r="E28" t="s">
        <v>787</v>
      </c>
      <c r="F28" t="s">
        <v>828</v>
      </c>
      <c r="G28" t="s">
        <v>20</v>
      </c>
      <c r="H28" t="s">
        <v>770</v>
      </c>
      <c r="I28" t="s">
        <v>788</v>
      </c>
    </row>
    <row r="29" spans="1:9" x14ac:dyDescent="0.25">
      <c r="A29" t="s">
        <v>766</v>
      </c>
      <c r="B29" t="s">
        <v>832</v>
      </c>
      <c r="C29" t="s">
        <v>28</v>
      </c>
      <c r="E29" t="s">
        <v>787</v>
      </c>
      <c r="F29" t="s">
        <v>828</v>
      </c>
      <c r="G29" t="s">
        <v>20</v>
      </c>
      <c r="H29" t="s">
        <v>770</v>
      </c>
      <c r="I29" t="s">
        <v>788</v>
      </c>
    </row>
    <row r="30" spans="1:9" x14ac:dyDescent="0.25">
      <c r="A30" t="s">
        <v>766</v>
      </c>
      <c r="B30" t="s">
        <v>832</v>
      </c>
      <c r="C30" t="s">
        <v>30</v>
      </c>
      <c r="E30" t="s">
        <v>787</v>
      </c>
      <c r="F30" t="s">
        <v>828</v>
      </c>
      <c r="G30" t="s">
        <v>20</v>
      </c>
      <c r="H30" t="s">
        <v>770</v>
      </c>
      <c r="I30" t="s">
        <v>788</v>
      </c>
    </row>
    <row r="31" spans="1:9" x14ac:dyDescent="0.25">
      <c r="A31" t="s">
        <v>766</v>
      </c>
      <c r="B31" t="s">
        <v>832</v>
      </c>
      <c r="C31" t="s">
        <v>32</v>
      </c>
      <c r="D31">
        <v>36</v>
      </c>
      <c r="E31" t="s">
        <v>787</v>
      </c>
      <c r="F31" t="s">
        <v>828</v>
      </c>
      <c r="G31" t="s">
        <v>20</v>
      </c>
      <c r="H31" t="s">
        <v>770</v>
      </c>
      <c r="I31" t="s">
        <v>788</v>
      </c>
    </row>
    <row r="32" spans="1:9" x14ac:dyDescent="0.25">
      <c r="A32" t="s">
        <v>851</v>
      </c>
      <c r="B32" t="s">
        <v>852</v>
      </c>
      <c r="C32" t="s">
        <v>25</v>
      </c>
      <c r="D32">
        <v>20</v>
      </c>
      <c r="E32" t="s">
        <v>5</v>
      </c>
      <c r="F32" t="s">
        <v>828</v>
      </c>
      <c r="G32" t="s">
        <v>20</v>
      </c>
      <c r="H32" t="s">
        <v>770</v>
      </c>
      <c r="I32" t="s">
        <v>8</v>
      </c>
    </row>
    <row r="33" spans="1:9" x14ac:dyDescent="0.25">
      <c r="A33" t="s">
        <v>851</v>
      </c>
      <c r="B33" t="s">
        <v>852</v>
      </c>
      <c r="C33" t="s">
        <v>26</v>
      </c>
      <c r="E33" t="s">
        <v>5</v>
      </c>
      <c r="F33" t="s">
        <v>828</v>
      </c>
      <c r="G33" t="s">
        <v>20</v>
      </c>
      <c r="H33" t="s">
        <v>770</v>
      </c>
      <c r="I33" t="s">
        <v>8</v>
      </c>
    </row>
    <row r="34" spans="1:9" x14ac:dyDescent="0.25">
      <c r="A34" t="s">
        <v>851</v>
      </c>
      <c r="B34" t="s">
        <v>852</v>
      </c>
      <c r="C34" t="s">
        <v>27</v>
      </c>
      <c r="E34" t="s">
        <v>5</v>
      </c>
      <c r="F34" t="s">
        <v>828</v>
      </c>
      <c r="G34" t="s">
        <v>20</v>
      </c>
      <c r="H34" t="s">
        <v>770</v>
      </c>
      <c r="I34" t="s">
        <v>8</v>
      </c>
    </row>
    <row r="35" spans="1:9" x14ac:dyDescent="0.25">
      <c r="A35" t="s">
        <v>851</v>
      </c>
      <c r="B35" t="s">
        <v>852</v>
      </c>
      <c r="C35" t="s">
        <v>28</v>
      </c>
      <c r="D35">
        <v>20</v>
      </c>
      <c r="E35" t="s">
        <v>5</v>
      </c>
      <c r="F35" t="s">
        <v>828</v>
      </c>
      <c r="G35" t="s">
        <v>20</v>
      </c>
      <c r="H35" t="s">
        <v>770</v>
      </c>
      <c r="I35" t="s">
        <v>8</v>
      </c>
    </row>
    <row r="36" spans="1:9" x14ac:dyDescent="0.25">
      <c r="A36" t="s">
        <v>851</v>
      </c>
      <c r="B36" t="s">
        <v>852</v>
      </c>
      <c r="C36" t="s">
        <v>30</v>
      </c>
      <c r="E36" t="s">
        <v>5</v>
      </c>
      <c r="F36" t="s">
        <v>828</v>
      </c>
      <c r="G36" t="s">
        <v>20</v>
      </c>
      <c r="H36" t="s">
        <v>770</v>
      </c>
      <c r="I36" t="s">
        <v>8</v>
      </c>
    </row>
    <row r="37" spans="1:9" x14ac:dyDescent="0.25">
      <c r="A37" t="s">
        <v>851</v>
      </c>
      <c r="B37" t="s">
        <v>852</v>
      </c>
      <c r="C37" t="s">
        <v>32</v>
      </c>
      <c r="D37">
        <v>40</v>
      </c>
      <c r="E37" t="s">
        <v>5</v>
      </c>
      <c r="F37" t="s">
        <v>828</v>
      </c>
      <c r="G37" t="s">
        <v>20</v>
      </c>
      <c r="H37" t="s">
        <v>770</v>
      </c>
      <c r="I37" t="s">
        <v>8</v>
      </c>
    </row>
    <row r="38" spans="1:9" x14ac:dyDescent="0.25">
      <c r="A38" t="s">
        <v>851</v>
      </c>
      <c r="B38" t="s">
        <v>853</v>
      </c>
      <c r="C38" t="s">
        <v>25</v>
      </c>
      <c r="D38">
        <v>20</v>
      </c>
      <c r="E38" t="s">
        <v>118</v>
      </c>
      <c r="F38" t="s">
        <v>828</v>
      </c>
      <c r="G38" t="s">
        <v>20</v>
      </c>
      <c r="H38" t="s">
        <v>770</v>
      </c>
      <c r="I38" t="s">
        <v>120</v>
      </c>
    </row>
    <row r="39" spans="1:9" x14ac:dyDescent="0.25">
      <c r="A39" t="s">
        <v>851</v>
      </c>
      <c r="B39" t="s">
        <v>853</v>
      </c>
      <c r="C39" t="s">
        <v>26</v>
      </c>
      <c r="D39">
        <v>15</v>
      </c>
      <c r="E39" t="s">
        <v>118</v>
      </c>
      <c r="F39" t="s">
        <v>828</v>
      </c>
      <c r="G39" t="s">
        <v>20</v>
      </c>
      <c r="H39" t="s">
        <v>770</v>
      </c>
      <c r="I39" t="s">
        <v>120</v>
      </c>
    </row>
    <row r="40" spans="1:9" x14ac:dyDescent="0.25">
      <c r="A40" t="s">
        <v>851</v>
      </c>
      <c r="B40" t="s">
        <v>853</v>
      </c>
      <c r="C40" t="s">
        <v>27</v>
      </c>
      <c r="D40">
        <v>9</v>
      </c>
      <c r="E40" t="s">
        <v>118</v>
      </c>
      <c r="F40" t="s">
        <v>828</v>
      </c>
      <c r="G40" t="s">
        <v>20</v>
      </c>
      <c r="H40" t="s">
        <v>770</v>
      </c>
      <c r="I40" t="s">
        <v>120</v>
      </c>
    </row>
    <row r="41" spans="1:9" x14ac:dyDescent="0.25">
      <c r="A41" t="s">
        <v>851</v>
      </c>
      <c r="B41" t="s">
        <v>853</v>
      </c>
      <c r="C41" t="s">
        <v>28</v>
      </c>
      <c r="D41">
        <v>3</v>
      </c>
      <c r="E41" t="s">
        <v>118</v>
      </c>
      <c r="F41" t="s">
        <v>828</v>
      </c>
      <c r="G41" t="s">
        <v>20</v>
      </c>
      <c r="H41" t="s">
        <v>770</v>
      </c>
      <c r="I41" t="s">
        <v>120</v>
      </c>
    </row>
    <row r="42" spans="1:9" x14ac:dyDescent="0.25">
      <c r="A42" t="s">
        <v>851</v>
      </c>
      <c r="B42" t="s">
        <v>853</v>
      </c>
      <c r="C42" t="s">
        <v>30</v>
      </c>
      <c r="E42" t="s">
        <v>118</v>
      </c>
      <c r="F42" t="s">
        <v>828</v>
      </c>
      <c r="G42" t="s">
        <v>20</v>
      </c>
      <c r="H42" t="s">
        <v>770</v>
      </c>
      <c r="I42" t="s">
        <v>120</v>
      </c>
    </row>
    <row r="43" spans="1:9" x14ac:dyDescent="0.25">
      <c r="A43" t="s">
        <v>851</v>
      </c>
      <c r="B43" t="s">
        <v>853</v>
      </c>
      <c r="C43" t="s">
        <v>32</v>
      </c>
      <c r="D43">
        <v>47</v>
      </c>
      <c r="E43" t="s">
        <v>118</v>
      </c>
      <c r="F43" t="s">
        <v>828</v>
      </c>
      <c r="G43" t="s">
        <v>20</v>
      </c>
      <c r="H43" t="s">
        <v>770</v>
      </c>
      <c r="I43" t="s">
        <v>120</v>
      </c>
    </row>
    <row r="44" spans="1:9" x14ac:dyDescent="0.25">
      <c r="A44" t="s">
        <v>851</v>
      </c>
      <c r="B44" t="s">
        <v>854</v>
      </c>
      <c r="C44" t="s">
        <v>25</v>
      </c>
      <c r="E44" t="s">
        <v>176</v>
      </c>
      <c r="F44" t="s">
        <v>828</v>
      </c>
      <c r="G44" t="s">
        <v>20</v>
      </c>
      <c r="H44" t="s">
        <v>770</v>
      </c>
      <c r="I44" t="s">
        <v>178</v>
      </c>
    </row>
    <row r="45" spans="1:9" x14ac:dyDescent="0.25">
      <c r="A45" t="s">
        <v>851</v>
      </c>
      <c r="B45" t="s">
        <v>854</v>
      </c>
      <c r="C45" t="s">
        <v>26</v>
      </c>
      <c r="E45" t="s">
        <v>176</v>
      </c>
      <c r="F45" t="s">
        <v>828</v>
      </c>
      <c r="G45" t="s">
        <v>20</v>
      </c>
      <c r="H45" t="s">
        <v>770</v>
      </c>
      <c r="I45" t="s">
        <v>178</v>
      </c>
    </row>
    <row r="46" spans="1:9" x14ac:dyDescent="0.25">
      <c r="A46" t="s">
        <v>851</v>
      </c>
      <c r="B46" t="s">
        <v>854</v>
      </c>
      <c r="C46" t="s">
        <v>27</v>
      </c>
      <c r="E46" t="s">
        <v>176</v>
      </c>
      <c r="F46" t="s">
        <v>828</v>
      </c>
      <c r="G46" t="s">
        <v>20</v>
      </c>
      <c r="H46" t="s">
        <v>770</v>
      </c>
      <c r="I46" t="s">
        <v>178</v>
      </c>
    </row>
    <row r="47" spans="1:9" x14ac:dyDescent="0.25">
      <c r="A47" t="s">
        <v>851</v>
      </c>
      <c r="B47" t="s">
        <v>854</v>
      </c>
      <c r="C47" t="s">
        <v>28</v>
      </c>
      <c r="E47" t="s">
        <v>176</v>
      </c>
      <c r="F47" t="s">
        <v>828</v>
      </c>
      <c r="G47" t="s">
        <v>20</v>
      </c>
      <c r="H47" t="s">
        <v>770</v>
      </c>
      <c r="I47" t="s">
        <v>178</v>
      </c>
    </row>
    <row r="48" spans="1:9" x14ac:dyDescent="0.25">
      <c r="A48" t="s">
        <v>851</v>
      </c>
      <c r="B48" t="s">
        <v>854</v>
      </c>
      <c r="C48" t="s">
        <v>30</v>
      </c>
      <c r="E48" t="s">
        <v>176</v>
      </c>
      <c r="F48" t="s">
        <v>828</v>
      </c>
      <c r="G48" t="s">
        <v>20</v>
      </c>
      <c r="H48" t="s">
        <v>770</v>
      </c>
      <c r="I48" t="s">
        <v>178</v>
      </c>
    </row>
    <row r="49" spans="1:9" x14ac:dyDescent="0.25">
      <c r="A49" t="s">
        <v>851</v>
      </c>
      <c r="B49" t="s">
        <v>854</v>
      </c>
      <c r="C49" t="s">
        <v>32</v>
      </c>
      <c r="D49">
        <v>0</v>
      </c>
      <c r="E49" t="s">
        <v>176</v>
      </c>
      <c r="F49" t="s">
        <v>828</v>
      </c>
      <c r="G49" t="s">
        <v>20</v>
      </c>
      <c r="H49" t="s">
        <v>770</v>
      </c>
      <c r="I49" t="s">
        <v>178</v>
      </c>
    </row>
    <row r="50" spans="1:9" x14ac:dyDescent="0.25">
      <c r="A50" t="s">
        <v>851</v>
      </c>
      <c r="B50" t="s">
        <v>855</v>
      </c>
      <c r="C50" t="s">
        <v>25</v>
      </c>
      <c r="D50">
        <v>22</v>
      </c>
      <c r="E50" t="s">
        <v>234</v>
      </c>
      <c r="F50" t="s">
        <v>828</v>
      </c>
      <c r="G50" t="s">
        <v>20</v>
      </c>
      <c r="H50" t="s">
        <v>770</v>
      </c>
      <c r="I50" t="s">
        <v>236</v>
      </c>
    </row>
    <row r="51" spans="1:9" x14ac:dyDescent="0.25">
      <c r="A51" t="s">
        <v>851</v>
      </c>
      <c r="B51" t="s">
        <v>855</v>
      </c>
      <c r="C51" t="s">
        <v>26</v>
      </c>
      <c r="E51" t="s">
        <v>234</v>
      </c>
      <c r="F51" t="s">
        <v>828</v>
      </c>
      <c r="G51" t="s">
        <v>20</v>
      </c>
      <c r="H51" t="s">
        <v>770</v>
      </c>
      <c r="I51" t="s">
        <v>236</v>
      </c>
    </row>
    <row r="52" spans="1:9" x14ac:dyDescent="0.25">
      <c r="A52" t="s">
        <v>851</v>
      </c>
      <c r="B52" t="s">
        <v>855</v>
      </c>
      <c r="C52" t="s">
        <v>27</v>
      </c>
      <c r="D52">
        <v>8</v>
      </c>
      <c r="E52" t="s">
        <v>234</v>
      </c>
      <c r="F52" t="s">
        <v>828</v>
      </c>
      <c r="G52" t="s">
        <v>20</v>
      </c>
      <c r="H52" t="s">
        <v>770</v>
      </c>
      <c r="I52" t="s">
        <v>236</v>
      </c>
    </row>
    <row r="53" spans="1:9" x14ac:dyDescent="0.25">
      <c r="A53" t="s">
        <v>851</v>
      </c>
      <c r="B53" t="s">
        <v>855</v>
      </c>
      <c r="C53" t="s">
        <v>28</v>
      </c>
      <c r="D53">
        <v>14</v>
      </c>
      <c r="E53" t="s">
        <v>234</v>
      </c>
      <c r="F53" t="s">
        <v>828</v>
      </c>
      <c r="G53" t="s">
        <v>20</v>
      </c>
      <c r="H53" t="s">
        <v>770</v>
      </c>
      <c r="I53" t="s">
        <v>236</v>
      </c>
    </row>
    <row r="54" spans="1:9" x14ac:dyDescent="0.25">
      <c r="A54" t="s">
        <v>851</v>
      </c>
      <c r="B54" t="s">
        <v>855</v>
      </c>
      <c r="C54" t="s">
        <v>30</v>
      </c>
      <c r="E54" t="s">
        <v>234</v>
      </c>
      <c r="F54" t="s">
        <v>828</v>
      </c>
      <c r="G54" t="s">
        <v>20</v>
      </c>
      <c r="H54" t="s">
        <v>770</v>
      </c>
      <c r="I54" t="s">
        <v>236</v>
      </c>
    </row>
    <row r="55" spans="1:9" x14ac:dyDescent="0.25">
      <c r="A55" t="s">
        <v>851</v>
      </c>
      <c r="B55" t="s">
        <v>855</v>
      </c>
      <c r="C55" t="s">
        <v>32</v>
      </c>
      <c r="D55">
        <v>44</v>
      </c>
      <c r="E55" t="s">
        <v>234</v>
      </c>
      <c r="F55" t="s">
        <v>828</v>
      </c>
      <c r="G55" t="s">
        <v>20</v>
      </c>
      <c r="H55" t="s">
        <v>770</v>
      </c>
      <c r="I55" t="s">
        <v>236</v>
      </c>
    </row>
    <row r="56" spans="1:9" x14ac:dyDescent="0.25">
      <c r="A56" t="s">
        <v>851</v>
      </c>
      <c r="B56" t="s">
        <v>856</v>
      </c>
      <c r="C56" t="s">
        <v>25</v>
      </c>
      <c r="E56" t="s">
        <v>284</v>
      </c>
      <c r="F56" t="s">
        <v>828</v>
      </c>
      <c r="G56" t="s">
        <v>20</v>
      </c>
      <c r="H56" t="s">
        <v>770</v>
      </c>
      <c r="I56" t="s">
        <v>286</v>
      </c>
    </row>
    <row r="57" spans="1:9" x14ac:dyDescent="0.25">
      <c r="A57" t="s">
        <v>851</v>
      </c>
      <c r="B57" t="s">
        <v>856</v>
      </c>
      <c r="C57" t="s">
        <v>26</v>
      </c>
      <c r="E57" t="s">
        <v>284</v>
      </c>
      <c r="F57" t="s">
        <v>828</v>
      </c>
      <c r="G57" t="s">
        <v>20</v>
      </c>
      <c r="H57" t="s">
        <v>770</v>
      </c>
      <c r="I57" t="s">
        <v>286</v>
      </c>
    </row>
    <row r="58" spans="1:9" x14ac:dyDescent="0.25">
      <c r="A58" t="s">
        <v>851</v>
      </c>
      <c r="B58" t="s">
        <v>856</v>
      </c>
      <c r="C58" t="s">
        <v>27</v>
      </c>
      <c r="E58" t="s">
        <v>284</v>
      </c>
      <c r="F58" t="s">
        <v>828</v>
      </c>
      <c r="G58" t="s">
        <v>20</v>
      </c>
      <c r="H58" t="s">
        <v>770</v>
      </c>
      <c r="I58" t="s">
        <v>286</v>
      </c>
    </row>
    <row r="59" spans="1:9" x14ac:dyDescent="0.25">
      <c r="A59" t="s">
        <v>851</v>
      </c>
      <c r="B59" t="s">
        <v>856</v>
      </c>
      <c r="C59" t="s">
        <v>28</v>
      </c>
      <c r="E59" t="s">
        <v>284</v>
      </c>
      <c r="F59" t="s">
        <v>828</v>
      </c>
      <c r="G59" t="s">
        <v>20</v>
      </c>
      <c r="H59" t="s">
        <v>770</v>
      </c>
      <c r="I59" t="s">
        <v>286</v>
      </c>
    </row>
    <row r="60" spans="1:9" x14ac:dyDescent="0.25">
      <c r="A60" t="s">
        <v>851</v>
      </c>
      <c r="B60" t="s">
        <v>856</v>
      </c>
      <c r="C60" t="s">
        <v>30</v>
      </c>
      <c r="E60" t="s">
        <v>284</v>
      </c>
      <c r="F60" t="s">
        <v>828</v>
      </c>
      <c r="G60" t="s">
        <v>20</v>
      </c>
      <c r="H60" t="s">
        <v>770</v>
      </c>
      <c r="I60" t="s">
        <v>286</v>
      </c>
    </row>
    <row r="61" spans="1:9" x14ac:dyDescent="0.25">
      <c r="A61" t="s">
        <v>851</v>
      </c>
      <c r="B61" t="s">
        <v>856</v>
      </c>
      <c r="C61" t="s">
        <v>32</v>
      </c>
      <c r="D61">
        <v>0</v>
      </c>
      <c r="E61" t="s">
        <v>284</v>
      </c>
      <c r="F61" t="s">
        <v>828</v>
      </c>
      <c r="G61" t="s">
        <v>20</v>
      </c>
      <c r="H61" t="s">
        <v>770</v>
      </c>
      <c r="I61" t="s">
        <v>286</v>
      </c>
    </row>
    <row r="62" spans="1:9" x14ac:dyDescent="0.25">
      <c r="A62" t="s">
        <v>851</v>
      </c>
      <c r="B62" t="s">
        <v>857</v>
      </c>
      <c r="C62" t="s">
        <v>25</v>
      </c>
      <c r="E62" t="s">
        <v>339</v>
      </c>
      <c r="F62" t="s">
        <v>828</v>
      </c>
      <c r="G62" t="s">
        <v>20</v>
      </c>
      <c r="H62" t="s">
        <v>770</v>
      </c>
      <c r="I62" t="s">
        <v>341</v>
      </c>
    </row>
    <row r="63" spans="1:9" x14ac:dyDescent="0.25">
      <c r="A63" t="s">
        <v>851</v>
      </c>
      <c r="B63" t="s">
        <v>857</v>
      </c>
      <c r="C63" t="s">
        <v>26</v>
      </c>
      <c r="E63" t="s">
        <v>339</v>
      </c>
      <c r="F63" t="s">
        <v>828</v>
      </c>
      <c r="G63" t="s">
        <v>20</v>
      </c>
      <c r="H63" t="s">
        <v>770</v>
      </c>
      <c r="I63" t="s">
        <v>341</v>
      </c>
    </row>
    <row r="64" spans="1:9" x14ac:dyDescent="0.25">
      <c r="A64" t="s">
        <v>851</v>
      </c>
      <c r="B64" t="s">
        <v>857</v>
      </c>
      <c r="C64" t="s">
        <v>27</v>
      </c>
      <c r="E64" t="s">
        <v>339</v>
      </c>
      <c r="F64" t="s">
        <v>828</v>
      </c>
      <c r="G64" t="s">
        <v>20</v>
      </c>
      <c r="H64" t="s">
        <v>770</v>
      </c>
      <c r="I64" t="s">
        <v>341</v>
      </c>
    </row>
    <row r="65" spans="1:9" x14ac:dyDescent="0.25">
      <c r="A65" t="s">
        <v>851</v>
      </c>
      <c r="B65" t="s">
        <v>857</v>
      </c>
      <c r="C65" t="s">
        <v>28</v>
      </c>
      <c r="E65" t="s">
        <v>339</v>
      </c>
      <c r="F65" t="s">
        <v>828</v>
      </c>
      <c r="G65" t="s">
        <v>20</v>
      </c>
      <c r="H65" t="s">
        <v>770</v>
      </c>
      <c r="I65" t="s">
        <v>341</v>
      </c>
    </row>
    <row r="66" spans="1:9" x14ac:dyDescent="0.25">
      <c r="A66" t="s">
        <v>851</v>
      </c>
      <c r="B66" t="s">
        <v>857</v>
      </c>
      <c r="C66" t="s">
        <v>30</v>
      </c>
      <c r="E66" t="s">
        <v>339</v>
      </c>
      <c r="F66" t="s">
        <v>828</v>
      </c>
      <c r="G66" t="s">
        <v>20</v>
      </c>
      <c r="H66" t="s">
        <v>770</v>
      </c>
      <c r="I66" t="s">
        <v>341</v>
      </c>
    </row>
    <row r="67" spans="1:9" x14ac:dyDescent="0.25">
      <c r="A67" t="s">
        <v>851</v>
      </c>
      <c r="B67" t="s">
        <v>857</v>
      </c>
      <c r="C67" t="s">
        <v>32</v>
      </c>
      <c r="D67">
        <v>0</v>
      </c>
      <c r="E67" t="s">
        <v>339</v>
      </c>
      <c r="F67" t="s">
        <v>828</v>
      </c>
      <c r="G67" t="s">
        <v>20</v>
      </c>
      <c r="H67" t="s">
        <v>770</v>
      </c>
      <c r="I67" t="s">
        <v>341</v>
      </c>
    </row>
    <row r="68" spans="1:9" x14ac:dyDescent="0.25">
      <c r="A68" t="s">
        <v>851</v>
      </c>
      <c r="B68" t="s">
        <v>858</v>
      </c>
      <c r="C68" t="s">
        <v>25</v>
      </c>
      <c r="E68" t="s">
        <v>395</v>
      </c>
      <c r="F68" t="s">
        <v>828</v>
      </c>
      <c r="G68" t="s">
        <v>20</v>
      </c>
      <c r="H68" t="s">
        <v>770</v>
      </c>
      <c r="I68" t="s">
        <v>397</v>
      </c>
    </row>
    <row r="69" spans="1:9" x14ac:dyDescent="0.25">
      <c r="A69" t="s">
        <v>851</v>
      </c>
      <c r="B69" t="s">
        <v>858</v>
      </c>
      <c r="C69" t="s">
        <v>26</v>
      </c>
      <c r="E69" t="s">
        <v>395</v>
      </c>
      <c r="F69" t="s">
        <v>828</v>
      </c>
      <c r="G69" t="s">
        <v>20</v>
      </c>
      <c r="H69" t="s">
        <v>770</v>
      </c>
      <c r="I69" t="s">
        <v>397</v>
      </c>
    </row>
    <row r="70" spans="1:9" x14ac:dyDescent="0.25">
      <c r="A70" t="s">
        <v>851</v>
      </c>
      <c r="B70" t="s">
        <v>858</v>
      </c>
      <c r="C70" t="s">
        <v>27</v>
      </c>
      <c r="E70" t="s">
        <v>395</v>
      </c>
      <c r="F70" t="s">
        <v>828</v>
      </c>
      <c r="G70" t="s">
        <v>20</v>
      </c>
      <c r="H70" t="s">
        <v>770</v>
      </c>
      <c r="I70" t="s">
        <v>397</v>
      </c>
    </row>
    <row r="71" spans="1:9" x14ac:dyDescent="0.25">
      <c r="A71" t="s">
        <v>851</v>
      </c>
      <c r="B71" t="s">
        <v>858</v>
      </c>
      <c r="C71" t="s">
        <v>28</v>
      </c>
      <c r="E71" t="s">
        <v>395</v>
      </c>
      <c r="F71" t="s">
        <v>828</v>
      </c>
      <c r="G71" t="s">
        <v>20</v>
      </c>
      <c r="H71" t="s">
        <v>770</v>
      </c>
      <c r="I71" t="s">
        <v>397</v>
      </c>
    </row>
    <row r="72" spans="1:9" x14ac:dyDescent="0.25">
      <c r="A72" t="s">
        <v>851</v>
      </c>
      <c r="B72" t="s">
        <v>858</v>
      </c>
      <c r="C72" t="s">
        <v>30</v>
      </c>
      <c r="E72" t="s">
        <v>395</v>
      </c>
      <c r="F72" t="s">
        <v>828</v>
      </c>
      <c r="G72" t="s">
        <v>20</v>
      </c>
      <c r="H72" t="s">
        <v>770</v>
      </c>
      <c r="I72" t="s">
        <v>397</v>
      </c>
    </row>
    <row r="73" spans="1:9" x14ac:dyDescent="0.25">
      <c r="A73" t="s">
        <v>851</v>
      </c>
      <c r="B73" t="s">
        <v>858</v>
      </c>
      <c r="C73" t="s">
        <v>32</v>
      </c>
      <c r="D73">
        <v>0</v>
      </c>
      <c r="E73" t="s">
        <v>395</v>
      </c>
      <c r="F73" t="s">
        <v>828</v>
      </c>
      <c r="G73" t="s">
        <v>20</v>
      </c>
      <c r="H73" t="s">
        <v>770</v>
      </c>
      <c r="I73" t="s">
        <v>397</v>
      </c>
    </row>
    <row r="74" spans="1:9" x14ac:dyDescent="0.25">
      <c r="A74" t="s">
        <v>851</v>
      </c>
      <c r="B74" t="s">
        <v>859</v>
      </c>
      <c r="C74" t="s">
        <v>25</v>
      </c>
      <c r="E74" t="s">
        <v>448</v>
      </c>
      <c r="F74" t="s">
        <v>828</v>
      </c>
      <c r="G74" t="s">
        <v>20</v>
      </c>
      <c r="H74" t="s">
        <v>770</v>
      </c>
      <c r="I74" t="s">
        <v>450</v>
      </c>
    </row>
    <row r="75" spans="1:9" x14ac:dyDescent="0.25">
      <c r="A75" t="s">
        <v>851</v>
      </c>
      <c r="B75" t="s">
        <v>859</v>
      </c>
      <c r="C75" t="s">
        <v>26</v>
      </c>
      <c r="E75" t="s">
        <v>448</v>
      </c>
      <c r="F75" t="s">
        <v>828</v>
      </c>
      <c r="G75" t="s">
        <v>20</v>
      </c>
      <c r="H75" t="s">
        <v>770</v>
      </c>
      <c r="I75" t="s">
        <v>450</v>
      </c>
    </row>
    <row r="76" spans="1:9" x14ac:dyDescent="0.25">
      <c r="A76" t="s">
        <v>851</v>
      </c>
      <c r="B76" t="s">
        <v>859</v>
      </c>
      <c r="C76" t="s">
        <v>27</v>
      </c>
      <c r="E76" t="s">
        <v>448</v>
      </c>
      <c r="F76" t="s">
        <v>828</v>
      </c>
      <c r="G76" t="s">
        <v>20</v>
      </c>
      <c r="H76" t="s">
        <v>770</v>
      </c>
      <c r="I76" t="s">
        <v>450</v>
      </c>
    </row>
    <row r="77" spans="1:9" x14ac:dyDescent="0.25">
      <c r="A77" t="s">
        <v>851</v>
      </c>
      <c r="B77" t="s">
        <v>859</v>
      </c>
      <c r="C77" t="s">
        <v>28</v>
      </c>
      <c r="E77" t="s">
        <v>448</v>
      </c>
      <c r="F77" t="s">
        <v>828</v>
      </c>
      <c r="G77" t="s">
        <v>20</v>
      </c>
      <c r="H77" t="s">
        <v>770</v>
      </c>
      <c r="I77" t="s">
        <v>450</v>
      </c>
    </row>
    <row r="78" spans="1:9" x14ac:dyDescent="0.25">
      <c r="A78" t="s">
        <v>851</v>
      </c>
      <c r="B78" t="s">
        <v>859</v>
      </c>
      <c r="C78" t="s">
        <v>30</v>
      </c>
      <c r="E78" t="s">
        <v>448</v>
      </c>
      <c r="F78" t="s">
        <v>828</v>
      </c>
      <c r="G78" t="s">
        <v>20</v>
      </c>
      <c r="H78" t="s">
        <v>770</v>
      </c>
      <c r="I78" t="s">
        <v>450</v>
      </c>
    </row>
    <row r="79" spans="1:9" x14ac:dyDescent="0.25">
      <c r="A79" t="s">
        <v>851</v>
      </c>
      <c r="B79" t="s">
        <v>859</v>
      </c>
      <c r="C79" t="s">
        <v>32</v>
      </c>
      <c r="D79">
        <v>0</v>
      </c>
      <c r="E79" t="s">
        <v>448</v>
      </c>
      <c r="F79" t="s">
        <v>828</v>
      </c>
      <c r="G79" t="s">
        <v>20</v>
      </c>
      <c r="H79" t="s">
        <v>770</v>
      </c>
      <c r="I79" t="s">
        <v>450</v>
      </c>
    </row>
    <row r="80" spans="1:9" x14ac:dyDescent="0.25">
      <c r="A80" t="s">
        <v>851</v>
      </c>
      <c r="B80" t="s">
        <v>860</v>
      </c>
      <c r="C80" t="s">
        <v>25</v>
      </c>
      <c r="E80" t="s">
        <v>502</v>
      </c>
      <c r="F80" t="s">
        <v>828</v>
      </c>
      <c r="G80" t="s">
        <v>20</v>
      </c>
      <c r="H80" t="s">
        <v>770</v>
      </c>
      <c r="I80" t="s">
        <v>504</v>
      </c>
    </row>
    <row r="81" spans="1:9" x14ac:dyDescent="0.25">
      <c r="A81" t="s">
        <v>851</v>
      </c>
      <c r="B81" t="s">
        <v>860</v>
      </c>
      <c r="C81" t="s">
        <v>26</v>
      </c>
      <c r="E81" t="s">
        <v>502</v>
      </c>
      <c r="F81" t="s">
        <v>828</v>
      </c>
      <c r="G81" t="s">
        <v>20</v>
      </c>
      <c r="H81" t="s">
        <v>770</v>
      </c>
      <c r="I81" t="s">
        <v>504</v>
      </c>
    </row>
    <row r="82" spans="1:9" x14ac:dyDescent="0.25">
      <c r="A82" t="s">
        <v>851</v>
      </c>
      <c r="B82" t="s">
        <v>860</v>
      </c>
      <c r="C82" t="s">
        <v>27</v>
      </c>
      <c r="E82" t="s">
        <v>502</v>
      </c>
      <c r="F82" t="s">
        <v>828</v>
      </c>
      <c r="G82" t="s">
        <v>20</v>
      </c>
      <c r="H82" t="s">
        <v>770</v>
      </c>
      <c r="I82" t="s">
        <v>504</v>
      </c>
    </row>
    <row r="83" spans="1:9" x14ac:dyDescent="0.25">
      <c r="A83" t="s">
        <v>851</v>
      </c>
      <c r="B83" t="s">
        <v>860</v>
      </c>
      <c r="C83" t="s">
        <v>28</v>
      </c>
      <c r="E83" t="s">
        <v>502</v>
      </c>
      <c r="F83" t="s">
        <v>828</v>
      </c>
      <c r="G83" t="s">
        <v>20</v>
      </c>
      <c r="H83" t="s">
        <v>770</v>
      </c>
      <c r="I83" t="s">
        <v>504</v>
      </c>
    </row>
    <row r="84" spans="1:9" x14ac:dyDescent="0.25">
      <c r="A84" t="s">
        <v>851</v>
      </c>
      <c r="B84" t="s">
        <v>860</v>
      </c>
      <c r="C84" t="s">
        <v>30</v>
      </c>
      <c r="E84" t="s">
        <v>502</v>
      </c>
      <c r="F84" t="s">
        <v>828</v>
      </c>
      <c r="G84" t="s">
        <v>20</v>
      </c>
      <c r="H84" t="s">
        <v>770</v>
      </c>
      <c r="I84" t="s">
        <v>504</v>
      </c>
    </row>
    <row r="85" spans="1:9" x14ac:dyDescent="0.25">
      <c r="A85" t="s">
        <v>851</v>
      </c>
      <c r="B85" t="s">
        <v>860</v>
      </c>
      <c r="C85" t="s">
        <v>32</v>
      </c>
      <c r="D85">
        <v>0</v>
      </c>
      <c r="E85" t="s">
        <v>502</v>
      </c>
      <c r="F85" t="s">
        <v>828</v>
      </c>
      <c r="G85" t="s">
        <v>20</v>
      </c>
      <c r="H85" t="s">
        <v>770</v>
      </c>
      <c r="I85" t="s">
        <v>504</v>
      </c>
    </row>
    <row r="86" spans="1:9" x14ac:dyDescent="0.25">
      <c r="A86" t="s">
        <v>851</v>
      </c>
      <c r="B86" t="s">
        <v>861</v>
      </c>
      <c r="C86" t="s">
        <v>25</v>
      </c>
      <c r="E86" t="s">
        <v>553</v>
      </c>
      <c r="F86" t="s">
        <v>828</v>
      </c>
      <c r="G86" t="s">
        <v>20</v>
      </c>
      <c r="H86" t="s">
        <v>770</v>
      </c>
      <c r="I86" t="s">
        <v>555</v>
      </c>
    </row>
    <row r="87" spans="1:9" x14ac:dyDescent="0.25">
      <c r="A87" t="s">
        <v>851</v>
      </c>
      <c r="B87" t="s">
        <v>861</v>
      </c>
      <c r="C87" t="s">
        <v>26</v>
      </c>
      <c r="E87" t="s">
        <v>553</v>
      </c>
      <c r="F87" t="s">
        <v>828</v>
      </c>
      <c r="G87" t="s">
        <v>20</v>
      </c>
      <c r="H87" t="s">
        <v>770</v>
      </c>
      <c r="I87" t="s">
        <v>555</v>
      </c>
    </row>
    <row r="88" spans="1:9" x14ac:dyDescent="0.25">
      <c r="A88" t="s">
        <v>851</v>
      </c>
      <c r="B88" t="s">
        <v>861</v>
      </c>
      <c r="C88" t="s">
        <v>27</v>
      </c>
      <c r="E88" t="s">
        <v>553</v>
      </c>
      <c r="F88" t="s">
        <v>828</v>
      </c>
      <c r="G88" t="s">
        <v>20</v>
      </c>
      <c r="H88" t="s">
        <v>770</v>
      </c>
      <c r="I88" t="s">
        <v>555</v>
      </c>
    </row>
    <row r="89" spans="1:9" x14ac:dyDescent="0.25">
      <c r="A89" t="s">
        <v>851</v>
      </c>
      <c r="B89" t="s">
        <v>861</v>
      </c>
      <c r="C89" t="s">
        <v>28</v>
      </c>
      <c r="E89" t="s">
        <v>553</v>
      </c>
      <c r="F89" t="s">
        <v>828</v>
      </c>
      <c r="G89" t="s">
        <v>20</v>
      </c>
      <c r="H89" t="s">
        <v>770</v>
      </c>
      <c r="I89" t="s">
        <v>555</v>
      </c>
    </row>
    <row r="90" spans="1:9" x14ac:dyDescent="0.25">
      <c r="A90" t="s">
        <v>851</v>
      </c>
      <c r="B90" t="s">
        <v>861</v>
      </c>
      <c r="C90" t="s">
        <v>30</v>
      </c>
      <c r="E90" t="s">
        <v>553</v>
      </c>
      <c r="F90" t="s">
        <v>828</v>
      </c>
      <c r="G90" t="s">
        <v>20</v>
      </c>
      <c r="H90" t="s">
        <v>770</v>
      </c>
      <c r="I90" t="s">
        <v>555</v>
      </c>
    </row>
    <row r="91" spans="1:9" x14ac:dyDescent="0.25">
      <c r="A91" t="s">
        <v>851</v>
      </c>
      <c r="B91" t="s">
        <v>861</v>
      </c>
      <c r="C91" t="s">
        <v>32</v>
      </c>
      <c r="D91">
        <v>0</v>
      </c>
      <c r="E91" t="s">
        <v>553</v>
      </c>
      <c r="F91" t="s">
        <v>828</v>
      </c>
      <c r="G91" t="s">
        <v>20</v>
      </c>
      <c r="H91" t="s">
        <v>770</v>
      </c>
      <c r="I91" t="s">
        <v>555</v>
      </c>
    </row>
    <row r="92" spans="1:9" x14ac:dyDescent="0.25">
      <c r="A92" t="s">
        <v>851</v>
      </c>
      <c r="B92" t="s">
        <v>862</v>
      </c>
      <c r="C92" t="s">
        <v>25</v>
      </c>
      <c r="D92">
        <v>18</v>
      </c>
      <c r="E92" t="s">
        <v>602</v>
      </c>
      <c r="F92" t="s">
        <v>828</v>
      </c>
      <c r="G92" t="s">
        <v>20</v>
      </c>
      <c r="H92" t="s">
        <v>770</v>
      </c>
      <c r="I92" t="s">
        <v>604</v>
      </c>
    </row>
    <row r="93" spans="1:9" x14ac:dyDescent="0.25">
      <c r="A93" t="s">
        <v>851</v>
      </c>
      <c r="B93" t="s">
        <v>862</v>
      </c>
      <c r="C93" t="s">
        <v>26</v>
      </c>
      <c r="E93" t="s">
        <v>602</v>
      </c>
      <c r="F93" t="s">
        <v>828</v>
      </c>
      <c r="G93" t="s">
        <v>20</v>
      </c>
      <c r="H93" t="s">
        <v>770</v>
      </c>
      <c r="I93" t="s">
        <v>604</v>
      </c>
    </row>
    <row r="94" spans="1:9" x14ac:dyDescent="0.25">
      <c r="A94" t="s">
        <v>851</v>
      </c>
      <c r="B94" t="s">
        <v>862</v>
      </c>
      <c r="C94" t="s">
        <v>27</v>
      </c>
      <c r="E94" t="s">
        <v>602</v>
      </c>
      <c r="F94" t="s">
        <v>828</v>
      </c>
      <c r="G94" t="s">
        <v>20</v>
      </c>
      <c r="H94" t="s">
        <v>770</v>
      </c>
      <c r="I94" t="s">
        <v>604</v>
      </c>
    </row>
    <row r="95" spans="1:9" x14ac:dyDescent="0.25">
      <c r="A95" t="s">
        <v>851</v>
      </c>
      <c r="B95" t="s">
        <v>862</v>
      </c>
      <c r="C95" t="s">
        <v>28</v>
      </c>
      <c r="D95">
        <v>22</v>
      </c>
      <c r="E95" t="s">
        <v>602</v>
      </c>
      <c r="F95" t="s">
        <v>828</v>
      </c>
      <c r="G95" t="s">
        <v>20</v>
      </c>
      <c r="H95" t="s">
        <v>770</v>
      </c>
      <c r="I95" t="s">
        <v>604</v>
      </c>
    </row>
    <row r="96" spans="1:9" x14ac:dyDescent="0.25">
      <c r="A96" t="s">
        <v>851</v>
      </c>
      <c r="B96" t="s">
        <v>862</v>
      </c>
      <c r="C96" t="s">
        <v>30</v>
      </c>
      <c r="D96">
        <v>4</v>
      </c>
      <c r="E96" t="s">
        <v>602</v>
      </c>
      <c r="F96" t="s">
        <v>828</v>
      </c>
      <c r="G96" t="s">
        <v>20</v>
      </c>
      <c r="H96" t="s">
        <v>770</v>
      </c>
      <c r="I96" t="s">
        <v>604</v>
      </c>
    </row>
    <row r="97" spans="1:9" x14ac:dyDescent="0.25">
      <c r="A97" t="s">
        <v>851</v>
      </c>
      <c r="B97" t="s">
        <v>862</v>
      </c>
      <c r="C97" t="s">
        <v>32</v>
      </c>
      <c r="D97">
        <v>44</v>
      </c>
      <c r="E97" t="s">
        <v>602</v>
      </c>
      <c r="F97" t="s">
        <v>828</v>
      </c>
      <c r="G97" t="s">
        <v>20</v>
      </c>
      <c r="H97" t="s">
        <v>770</v>
      </c>
      <c r="I97" t="s">
        <v>604</v>
      </c>
    </row>
    <row r="98" spans="1:9" x14ac:dyDescent="0.25">
      <c r="A98" t="s">
        <v>851</v>
      </c>
      <c r="B98" t="s">
        <v>863</v>
      </c>
      <c r="C98" t="s">
        <v>25</v>
      </c>
      <c r="E98" t="s">
        <v>654</v>
      </c>
      <c r="F98" t="s">
        <v>828</v>
      </c>
      <c r="G98" t="s">
        <v>20</v>
      </c>
      <c r="H98" t="s">
        <v>770</v>
      </c>
      <c r="I98" t="s">
        <v>864</v>
      </c>
    </row>
    <row r="99" spans="1:9" x14ac:dyDescent="0.25">
      <c r="A99" t="s">
        <v>851</v>
      </c>
      <c r="B99" t="s">
        <v>863</v>
      </c>
      <c r="C99" t="s">
        <v>26</v>
      </c>
      <c r="E99" t="s">
        <v>654</v>
      </c>
      <c r="F99" t="s">
        <v>828</v>
      </c>
      <c r="G99" t="s">
        <v>20</v>
      </c>
      <c r="H99" t="s">
        <v>770</v>
      </c>
      <c r="I99" t="s">
        <v>864</v>
      </c>
    </row>
    <row r="100" spans="1:9" x14ac:dyDescent="0.25">
      <c r="A100" t="s">
        <v>851</v>
      </c>
      <c r="B100" t="s">
        <v>863</v>
      </c>
      <c r="C100" t="s">
        <v>27</v>
      </c>
      <c r="E100" t="s">
        <v>654</v>
      </c>
      <c r="F100" t="s">
        <v>828</v>
      </c>
      <c r="G100" t="s">
        <v>20</v>
      </c>
      <c r="H100" t="s">
        <v>770</v>
      </c>
      <c r="I100" t="s">
        <v>864</v>
      </c>
    </row>
    <row r="101" spans="1:9" x14ac:dyDescent="0.25">
      <c r="A101" t="s">
        <v>851</v>
      </c>
      <c r="B101" t="s">
        <v>863</v>
      </c>
      <c r="C101" t="s">
        <v>28</v>
      </c>
      <c r="E101" t="s">
        <v>654</v>
      </c>
      <c r="F101" t="s">
        <v>828</v>
      </c>
      <c r="G101" t="s">
        <v>20</v>
      </c>
      <c r="H101" t="s">
        <v>770</v>
      </c>
      <c r="I101" t="s">
        <v>864</v>
      </c>
    </row>
    <row r="102" spans="1:9" x14ac:dyDescent="0.25">
      <c r="A102" t="s">
        <v>851</v>
      </c>
      <c r="B102" t="s">
        <v>863</v>
      </c>
      <c r="C102" t="s">
        <v>30</v>
      </c>
      <c r="E102" t="s">
        <v>654</v>
      </c>
      <c r="F102" t="s">
        <v>828</v>
      </c>
      <c r="G102" t="s">
        <v>20</v>
      </c>
      <c r="H102" t="s">
        <v>770</v>
      </c>
      <c r="I102" t="s">
        <v>864</v>
      </c>
    </row>
    <row r="103" spans="1:9" x14ac:dyDescent="0.25">
      <c r="A103" t="s">
        <v>851</v>
      </c>
      <c r="B103" t="s">
        <v>863</v>
      </c>
      <c r="C103" t="s">
        <v>32</v>
      </c>
      <c r="D103">
        <v>0</v>
      </c>
      <c r="E103" t="s">
        <v>654</v>
      </c>
      <c r="F103" t="s">
        <v>828</v>
      </c>
      <c r="G103" t="s">
        <v>20</v>
      </c>
      <c r="H103" t="s">
        <v>770</v>
      </c>
      <c r="I103" t="s">
        <v>864</v>
      </c>
    </row>
    <row r="104" spans="1:9" x14ac:dyDescent="0.25">
      <c r="A104" t="s">
        <v>851</v>
      </c>
      <c r="B104" t="s">
        <v>865</v>
      </c>
      <c r="C104" t="s">
        <v>25</v>
      </c>
      <c r="E104" t="s">
        <v>658</v>
      </c>
      <c r="F104" t="s">
        <v>828</v>
      </c>
      <c r="G104" t="s">
        <v>20</v>
      </c>
      <c r="H104" t="s">
        <v>770</v>
      </c>
      <c r="I104" t="s">
        <v>866</v>
      </c>
    </row>
    <row r="105" spans="1:9" x14ac:dyDescent="0.25">
      <c r="A105" t="s">
        <v>851</v>
      </c>
      <c r="B105" t="s">
        <v>865</v>
      </c>
      <c r="C105" t="s">
        <v>26</v>
      </c>
      <c r="E105" t="s">
        <v>658</v>
      </c>
      <c r="F105" t="s">
        <v>828</v>
      </c>
      <c r="G105" t="s">
        <v>20</v>
      </c>
      <c r="H105" t="s">
        <v>770</v>
      </c>
      <c r="I105" t="s">
        <v>866</v>
      </c>
    </row>
    <row r="106" spans="1:9" x14ac:dyDescent="0.25">
      <c r="A106" t="s">
        <v>851</v>
      </c>
      <c r="B106" t="s">
        <v>865</v>
      </c>
      <c r="C106" t="s">
        <v>27</v>
      </c>
      <c r="E106" t="s">
        <v>658</v>
      </c>
      <c r="F106" t="s">
        <v>828</v>
      </c>
      <c r="G106" t="s">
        <v>20</v>
      </c>
      <c r="H106" t="s">
        <v>770</v>
      </c>
      <c r="I106" t="s">
        <v>866</v>
      </c>
    </row>
    <row r="107" spans="1:9" x14ac:dyDescent="0.25">
      <c r="A107" t="s">
        <v>851</v>
      </c>
      <c r="B107" t="s">
        <v>865</v>
      </c>
      <c r="C107" t="s">
        <v>28</v>
      </c>
      <c r="E107" t="s">
        <v>658</v>
      </c>
      <c r="F107" t="s">
        <v>828</v>
      </c>
      <c r="G107" t="s">
        <v>20</v>
      </c>
      <c r="H107" t="s">
        <v>770</v>
      </c>
      <c r="I107" t="s">
        <v>866</v>
      </c>
    </row>
    <row r="108" spans="1:9" x14ac:dyDescent="0.25">
      <c r="A108" t="s">
        <v>851</v>
      </c>
      <c r="B108" t="s">
        <v>865</v>
      </c>
      <c r="C108" t="s">
        <v>30</v>
      </c>
      <c r="E108" t="s">
        <v>658</v>
      </c>
      <c r="F108" t="s">
        <v>828</v>
      </c>
      <c r="G108" t="s">
        <v>20</v>
      </c>
      <c r="H108" t="s">
        <v>770</v>
      </c>
      <c r="I108" t="s">
        <v>866</v>
      </c>
    </row>
    <row r="109" spans="1:9" x14ac:dyDescent="0.25">
      <c r="A109" t="s">
        <v>851</v>
      </c>
      <c r="B109" t="s">
        <v>865</v>
      </c>
      <c r="C109" t="s">
        <v>32</v>
      </c>
      <c r="D109">
        <v>0</v>
      </c>
      <c r="E109" t="s">
        <v>658</v>
      </c>
      <c r="F109" t="s">
        <v>828</v>
      </c>
      <c r="G109" t="s">
        <v>20</v>
      </c>
      <c r="H109" t="s">
        <v>770</v>
      </c>
      <c r="I109" t="s">
        <v>866</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4A33E-86D7-4F71-800E-6E527B16FF32}">
  <sheetPr codeName="Sheet21"/>
  <dimension ref="A1:I145"/>
  <sheetViews>
    <sheetView topLeftCell="A109" workbookViewId="0">
      <selection activeCell="K34" sqref="K34"/>
    </sheetView>
  </sheetViews>
  <sheetFormatPr defaultRowHeight="15" x14ac:dyDescent="0.25"/>
  <cols>
    <col min="1" max="1" width="49" bestFit="1" customWidth="1"/>
    <col min="2" max="2" width="14.28515625" bestFit="1" customWidth="1"/>
    <col min="3" max="3" width="14.5703125" bestFit="1" customWidth="1"/>
    <col min="4" max="4" width="46.85546875" bestFit="1" customWidth="1"/>
    <col min="5" max="5" width="14.85546875" bestFit="1" customWidth="1"/>
    <col min="6" max="6" width="12.7109375" bestFit="1" customWidth="1"/>
    <col min="7" max="7" width="14" bestFit="1" customWidth="1"/>
    <col min="8" max="8" width="12.140625" bestFit="1" customWidth="1"/>
    <col min="9" max="9" width="46.85546875" bestFit="1" customWidth="1"/>
  </cols>
  <sheetData>
    <row r="1" spans="1:9" x14ac:dyDescent="0.25">
      <c r="A1" t="s">
        <v>759</v>
      </c>
      <c r="B1" t="s">
        <v>760</v>
      </c>
      <c r="C1" t="s">
        <v>1</v>
      </c>
      <c r="D1" t="s">
        <v>2</v>
      </c>
      <c r="E1" t="s">
        <v>761</v>
      </c>
      <c r="F1" t="s">
        <v>762</v>
      </c>
      <c r="G1" t="s">
        <v>763</v>
      </c>
      <c r="H1" t="s">
        <v>764</v>
      </c>
      <c r="I1" t="s">
        <v>765</v>
      </c>
    </row>
    <row r="2" spans="1:9" x14ac:dyDescent="0.25">
      <c r="A2" t="s">
        <v>766</v>
      </c>
      <c r="B2" t="s">
        <v>767</v>
      </c>
      <c r="C2" t="s">
        <v>4</v>
      </c>
      <c r="D2" t="s">
        <v>768</v>
      </c>
      <c r="E2" t="s">
        <v>768</v>
      </c>
      <c r="F2" t="s">
        <v>769</v>
      </c>
      <c r="G2" t="s">
        <v>20</v>
      </c>
      <c r="H2" t="s">
        <v>770</v>
      </c>
      <c r="I2" t="s">
        <v>771</v>
      </c>
    </row>
    <row r="3" spans="1:9" x14ac:dyDescent="0.25">
      <c r="A3" t="s">
        <v>766</v>
      </c>
      <c r="B3" t="s">
        <v>767</v>
      </c>
      <c r="C3" t="s">
        <v>7</v>
      </c>
      <c r="D3" t="s">
        <v>771</v>
      </c>
      <c r="E3" t="s">
        <v>768</v>
      </c>
      <c r="F3" t="s">
        <v>769</v>
      </c>
      <c r="G3" t="s">
        <v>20</v>
      </c>
      <c r="H3" t="s">
        <v>770</v>
      </c>
      <c r="I3" t="s">
        <v>771</v>
      </c>
    </row>
    <row r="4" spans="1:9" x14ac:dyDescent="0.25">
      <c r="A4" t="s">
        <v>766</v>
      </c>
      <c r="B4" t="s">
        <v>767</v>
      </c>
      <c r="C4" t="s">
        <v>9</v>
      </c>
      <c r="D4">
        <v>20</v>
      </c>
      <c r="E4" t="s">
        <v>768</v>
      </c>
      <c r="F4" t="s">
        <v>769</v>
      </c>
      <c r="G4" t="s">
        <v>20</v>
      </c>
      <c r="H4" t="s">
        <v>770</v>
      </c>
      <c r="I4" t="s">
        <v>771</v>
      </c>
    </row>
    <row r="5" spans="1:9" x14ac:dyDescent="0.25">
      <c r="A5" t="s">
        <v>766</v>
      </c>
      <c r="B5" t="s">
        <v>767</v>
      </c>
      <c r="C5" t="s">
        <v>10</v>
      </c>
      <c r="D5">
        <v>2</v>
      </c>
      <c r="E5" t="s">
        <v>768</v>
      </c>
      <c r="F5" t="s">
        <v>769</v>
      </c>
      <c r="G5" t="s">
        <v>20</v>
      </c>
      <c r="H5" t="s">
        <v>770</v>
      </c>
      <c r="I5" t="s">
        <v>771</v>
      </c>
    </row>
    <row r="6" spans="1:9" x14ac:dyDescent="0.25">
      <c r="A6" t="s">
        <v>766</v>
      </c>
      <c r="B6" t="s">
        <v>767</v>
      </c>
      <c r="C6" t="s">
        <v>13</v>
      </c>
      <c r="D6">
        <v>4</v>
      </c>
      <c r="E6" t="s">
        <v>768</v>
      </c>
      <c r="F6" t="s">
        <v>769</v>
      </c>
      <c r="G6" t="s">
        <v>20</v>
      </c>
      <c r="H6" t="s">
        <v>770</v>
      </c>
      <c r="I6" t="s">
        <v>771</v>
      </c>
    </row>
    <row r="7" spans="1:9" x14ac:dyDescent="0.25">
      <c r="A7" t="s">
        <v>766</v>
      </c>
      <c r="B7" t="s">
        <v>767</v>
      </c>
      <c r="C7" t="s">
        <v>15</v>
      </c>
      <c r="D7" t="s">
        <v>772</v>
      </c>
      <c r="E7" t="s">
        <v>768</v>
      </c>
      <c r="F7" t="s">
        <v>769</v>
      </c>
      <c r="G7" t="s">
        <v>20</v>
      </c>
      <c r="H7" t="s">
        <v>770</v>
      </c>
      <c r="I7" t="s">
        <v>771</v>
      </c>
    </row>
    <row r="8" spans="1:9" x14ac:dyDescent="0.25">
      <c r="A8" t="s">
        <v>766</v>
      </c>
      <c r="B8" t="s">
        <v>767</v>
      </c>
      <c r="C8" t="s">
        <v>17</v>
      </c>
      <c r="D8" t="s">
        <v>684</v>
      </c>
      <c r="E8" t="s">
        <v>768</v>
      </c>
      <c r="F8" t="s">
        <v>769</v>
      </c>
      <c r="G8" t="s">
        <v>20</v>
      </c>
      <c r="H8" t="s">
        <v>770</v>
      </c>
      <c r="I8" t="s">
        <v>771</v>
      </c>
    </row>
    <row r="9" spans="1:9" x14ac:dyDescent="0.25">
      <c r="A9" t="s">
        <v>766</v>
      </c>
      <c r="B9" t="s">
        <v>767</v>
      </c>
      <c r="C9" t="s">
        <v>19</v>
      </c>
      <c r="D9" t="s">
        <v>719</v>
      </c>
      <c r="E9" t="s">
        <v>768</v>
      </c>
      <c r="F9" t="s">
        <v>769</v>
      </c>
      <c r="G9" t="s">
        <v>20</v>
      </c>
      <c r="H9" t="s">
        <v>770</v>
      </c>
      <c r="I9" t="s">
        <v>771</v>
      </c>
    </row>
    <row r="10" spans="1:9" x14ac:dyDescent="0.25">
      <c r="A10" t="s">
        <v>766</v>
      </c>
      <c r="B10" t="s">
        <v>773</v>
      </c>
      <c r="C10" t="s">
        <v>4</v>
      </c>
      <c r="D10" t="s">
        <v>774</v>
      </c>
      <c r="E10" t="s">
        <v>774</v>
      </c>
      <c r="F10" t="s">
        <v>769</v>
      </c>
      <c r="G10" t="s">
        <v>20</v>
      </c>
      <c r="H10" t="s">
        <v>770</v>
      </c>
      <c r="I10" t="s">
        <v>775</v>
      </c>
    </row>
    <row r="11" spans="1:9" x14ac:dyDescent="0.25">
      <c r="A11" t="s">
        <v>766</v>
      </c>
      <c r="B11" t="s">
        <v>773</v>
      </c>
      <c r="C11" t="s">
        <v>7</v>
      </c>
      <c r="D11" t="s">
        <v>776</v>
      </c>
      <c r="E11" t="s">
        <v>774</v>
      </c>
      <c r="F11" t="s">
        <v>769</v>
      </c>
      <c r="G11" t="s">
        <v>20</v>
      </c>
      <c r="H11" t="s">
        <v>770</v>
      </c>
      <c r="I11" t="s">
        <v>775</v>
      </c>
    </row>
    <row r="12" spans="1:9" x14ac:dyDescent="0.25">
      <c r="A12" t="s">
        <v>766</v>
      </c>
      <c r="B12" t="s">
        <v>773</v>
      </c>
      <c r="C12" t="s">
        <v>9</v>
      </c>
      <c r="D12">
        <v>20</v>
      </c>
      <c r="E12" t="s">
        <v>774</v>
      </c>
      <c r="F12" t="s">
        <v>769</v>
      </c>
      <c r="G12" t="s">
        <v>20</v>
      </c>
      <c r="H12" t="s">
        <v>770</v>
      </c>
      <c r="I12" t="s">
        <v>775</v>
      </c>
    </row>
    <row r="13" spans="1:9" x14ac:dyDescent="0.25">
      <c r="A13" t="s">
        <v>766</v>
      </c>
      <c r="B13" t="s">
        <v>773</v>
      </c>
      <c r="C13" t="s">
        <v>10</v>
      </c>
      <c r="D13">
        <v>1</v>
      </c>
      <c r="E13" t="s">
        <v>774</v>
      </c>
      <c r="F13" t="s">
        <v>769</v>
      </c>
      <c r="G13" t="s">
        <v>20</v>
      </c>
      <c r="H13" t="s">
        <v>770</v>
      </c>
      <c r="I13" t="s">
        <v>775</v>
      </c>
    </row>
    <row r="14" spans="1:9" x14ac:dyDescent="0.25">
      <c r="A14" t="s">
        <v>766</v>
      </c>
      <c r="B14" t="s">
        <v>773</v>
      </c>
      <c r="C14" t="s">
        <v>13</v>
      </c>
      <c r="D14">
        <v>4</v>
      </c>
      <c r="E14" t="s">
        <v>774</v>
      </c>
      <c r="F14" t="s">
        <v>769</v>
      </c>
      <c r="G14" t="s">
        <v>20</v>
      </c>
      <c r="H14" t="s">
        <v>770</v>
      </c>
      <c r="I14" t="s">
        <v>775</v>
      </c>
    </row>
    <row r="15" spans="1:9" x14ac:dyDescent="0.25">
      <c r="A15" t="s">
        <v>766</v>
      </c>
      <c r="B15" t="s">
        <v>773</v>
      </c>
      <c r="C15" t="s">
        <v>15</v>
      </c>
      <c r="D15" t="s">
        <v>777</v>
      </c>
      <c r="E15" t="s">
        <v>774</v>
      </c>
      <c r="F15" t="s">
        <v>769</v>
      </c>
      <c r="G15" t="s">
        <v>20</v>
      </c>
      <c r="H15" t="s">
        <v>770</v>
      </c>
      <c r="I15" t="s">
        <v>775</v>
      </c>
    </row>
    <row r="16" spans="1:9" x14ac:dyDescent="0.25">
      <c r="A16" t="s">
        <v>766</v>
      </c>
      <c r="B16" t="s">
        <v>773</v>
      </c>
      <c r="C16" t="s">
        <v>17</v>
      </c>
      <c r="D16" t="s">
        <v>123</v>
      </c>
      <c r="E16" t="s">
        <v>774</v>
      </c>
      <c r="F16" t="s">
        <v>769</v>
      </c>
      <c r="G16" t="s">
        <v>20</v>
      </c>
      <c r="H16" t="s">
        <v>770</v>
      </c>
      <c r="I16" t="s">
        <v>775</v>
      </c>
    </row>
    <row r="17" spans="1:9" x14ac:dyDescent="0.25">
      <c r="A17" t="s">
        <v>766</v>
      </c>
      <c r="B17" t="s">
        <v>773</v>
      </c>
      <c r="C17" t="s">
        <v>19</v>
      </c>
      <c r="D17" t="s">
        <v>719</v>
      </c>
      <c r="E17" t="s">
        <v>774</v>
      </c>
      <c r="F17" t="s">
        <v>769</v>
      </c>
      <c r="G17" t="s">
        <v>20</v>
      </c>
      <c r="H17" t="s">
        <v>770</v>
      </c>
      <c r="I17" t="s">
        <v>775</v>
      </c>
    </row>
    <row r="18" spans="1:9" x14ac:dyDescent="0.25">
      <c r="A18" t="s">
        <v>766</v>
      </c>
      <c r="B18" t="s">
        <v>778</v>
      </c>
      <c r="C18" t="s">
        <v>4</v>
      </c>
      <c r="D18" t="s">
        <v>779</v>
      </c>
      <c r="E18" t="s">
        <v>779</v>
      </c>
      <c r="F18" t="s">
        <v>769</v>
      </c>
      <c r="G18" t="s">
        <v>20</v>
      </c>
      <c r="H18" t="s">
        <v>770</v>
      </c>
      <c r="I18" t="s">
        <v>780</v>
      </c>
    </row>
    <row r="19" spans="1:9" x14ac:dyDescent="0.25">
      <c r="A19" t="s">
        <v>766</v>
      </c>
      <c r="B19" t="s">
        <v>778</v>
      </c>
      <c r="C19" t="s">
        <v>7</v>
      </c>
      <c r="D19" t="s">
        <v>780</v>
      </c>
      <c r="E19" t="s">
        <v>779</v>
      </c>
      <c r="F19" t="s">
        <v>769</v>
      </c>
      <c r="G19" t="s">
        <v>20</v>
      </c>
      <c r="H19" t="s">
        <v>770</v>
      </c>
      <c r="I19" t="s">
        <v>780</v>
      </c>
    </row>
    <row r="20" spans="1:9" x14ac:dyDescent="0.25">
      <c r="A20" t="s">
        <v>766</v>
      </c>
      <c r="B20" t="s">
        <v>778</v>
      </c>
      <c r="C20" t="s">
        <v>9</v>
      </c>
      <c r="D20">
        <v>20</v>
      </c>
      <c r="E20" t="s">
        <v>779</v>
      </c>
      <c r="F20" t="s">
        <v>769</v>
      </c>
      <c r="G20" t="s">
        <v>20</v>
      </c>
      <c r="H20" t="s">
        <v>770</v>
      </c>
      <c r="I20" t="s">
        <v>780</v>
      </c>
    </row>
    <row r="21" spans="1:9" x14ac:dyDescent="0.25">
      <c r="A21" t="s">
        <v>766</v>
      </c>
      <c r="B21" t="s">
        <v>778</v>
      </c>
      <c r="C21" t="s">
        <v>10</v>
      </c>
      <c r="D21">
        <v>2</v>
      </c>
      <c r="E21" t="s">
        <v>779</v>
      </c>
      <c r="F21" t="s">
        <v>769</v>
      </c>
      <c r="G21" t="s">
        <v>20</v>
      </c>
      <c r="H21" t="s">
        <v>770</v>
      </c>
      <c r="I21" t="s">
        <v>780</v>
      </c>
    </row>
    <row r="22" spans="1:9" x14ac:dyDescent="0.25">
      <c r="A22" t="s">
        <v>766</v>
      </c>
      <c r="B22" t="s">
        <v>778</v>
      </c>
      <c r="C22" t="s">
        <v>13</v>
      </c>
      <c r="D22">
        <v>5</v>
      </c>
      <c r="E22" t="s">
        <v>779</v>
      </c>
      <c r="F22" t="s">
        <v>769</v>
      </c>
      <c r="G22" t="s">
        <v>20</v>
      </c>
      <c r="H22" t="s">
        <v>770</v>
      </c>
      <c r="I22" t="s">
        <v>780</v>
      </c>
    </row>
    <row r="23" spans="1:9" x14ac:dyDescent="0.25">
      <c r="A23" t="s">
        <v>766</v>
      </c>
      <c r="B23" t="s">
        <v>778</v>
      </c>
      <c r="C23" t="s">
        <v>15</v>
      </c>
      <c r="D23" t="s">
        <v>781</v>
      </c>
      <c r="E23" t="s">
        <v>779</v>
      </c>
      <c r="F23" t="s">
        <v>769</v>
      </c>
      <c r="G23" t="s">
        <v>20</v>
      </c>
      <c r="H23" t="s">
        <v>770</v>
      </c>
      <c r="I23" t="s">
        <v>780</v>
      </c>
    </row>
    <row r="24" spans="1:9" x14ac:dyDescent="0.25">
      <c r="A24" t="s">
        <v>766</v>
      </c>
      <c r="B24" t="s">
        <v>778</v>
      </c>
      <c r="C24" t="s">
        <v>17</v>
      </c>
      <c r="D24" t="s">
        <v>684</v>
      </c>
      <c r="E24" t="s">
        <v>779</v>
      </c>
      <c r="F24" t="s">
        <v>769</v>
      </c>
      <c r="G24" t="s">
        <v>20</v>
      </c>
      <c r="H24" t="s">
        <v>770</v>
      </c>
      <c r="I24" t="s">
        <v>780</v>
      </c>
    </row>
    <row r="25" spans="1:9" x14ac:dyDescent="0.25">
      <c r="A25" t="s">
        <v>766</v>
      </c>
      <c r="B25" t="s">
        <v>778</v>
      </c>
      <c r="C25" t="s">
        <v>19</v>
      </c>
      <c r="D25" t="s">
        <v>719</v>
      </c>
      <c r="E25" t="s">
        <v>779</v>
      </c>
      <c r="F25" t="s">
        <v>769</v>
      </c>
      <c r="G25" t="s">
        <v>20</v>
      </c>
      <c r="H25" t="s">
        <v>770</v>
      </c>
      <c r="I25" t="s">
        <v>780</v>
      </c>
    </row>
    <row r="26" spans="1:9" x14ac:dyDescent="0.25">
      <c r="A26" t="s">
        <v>766</v>
      </c>
      <c r="B26" t="s">
        <v>782</v>
      </c>
      <c r="C26" t="s">
        <v>4</v>
      </c>
      <c r="D26" t="s">
        <v>783</v>
      </c>
      <c r="E26" t="s">
        <v>783</v>
      </c>
      <c r="F26" t="s">
        <v>769</v>
      </c>
      <c r="G26" t="s">
        <v>20</v>
      </c>
      <c r="H26" t="s">
        <v>770</v>
      </c>
      <c r="I26" t="s">
        <v>784</v>
      </c>
    </row>
    <row r="27" spans="1:9" x14ac:dyDescent="0.25">
      <c r="A27" t="s">
        <v>766</v>
      </c>
      <c r="B27" t="s">
        <v>782</v>
      </c>
      <c r="C27" t="s">
        <v>7</v>
      </c>
      <c r="D27" t="s">
        <v>784</v>
      </c>
      <c r="E27" t="s">
        <v>783</v>
      </c>
      <c r="F27" t="s">
        <v>769</v>
      </c>
      <c r="G27" t="s">
        <v>20</v>
      </c>
      <c r="H27" t="s">
        <v>770</v>
      </c>
      <c r="I27" t="s">
        <v>784</v>
      </c>
    </row>
    <row r="28" spans="1:9" x14ac:dyDescent="0.25">
      <c r="A28" t="s">
        <v>766</v>
      </c>
      <c r="B28" t="s">
        <v>782</v>
      </c>
      <c r="C28" t="s">
        <v>9</v>
      </c>
      <c r="D28">
        <v>20</v>
      </c>
      <c r="E28" t="s">
        <v>783</v>
      </c>
      <c r="F28" t="s">
        <v>769</v>
      </c>
      <c r="G28" t="s">
        <v>20</v>
      </c>
      <c r="H28" t="s">
        <v>770</v>
      </c>
      <c r="I28" t="s">
        <v>784</v>
      </c>
    </row>
    <row r="29" spans="1:9" x14ac:dyDescent="0.25">
      <c r="A29" t="s">
        <v>766</v>
      </c>
      <c r="B29" t="s">
        <v>782</v>
      </c>
      <c r="C29" t="s">
        <v>10</v>
      </c>
      <c r="D29">
        <v>2</v>
      </c>
      <c r="E29" t="s">
        <v>783</v>
      </c>
      <c r="F29" t="s">
        <v>769</v>
      </c>
      <c r="G29" t="s">
        <v>20</v>
      </c>
      <c r="H29" t="s">
        <v>770</v>
      </c>
      <c r="I29" t="s">
        <v>784</v>
      </c>
    </row>
    <row r="30" spans="1:9" x14ac:dyDescent="0.25">
      <c r="A30" t="s">
        <v>766</v>
      </c>
      <c r="B30" t="s">
        <v>782</v>
      </c>
      <c r="C30" t="s">
        <v>13</v>
      </c>
      <c r="D30">
        <v>5</v>
      </c>
      <c r="E30" t="s">
        <v>783</v>
      </c>
      <c r="F30" t="s">
        <v>769</v>
      </c>
      <c r="G30" t="s">
        <v>20</v>
      </c>
      <c r="H30" t="s">
        <v>770</v>
      </c>
      <c r="I30" t="s">
        <v>784</v>
      </c>
    </row>
    <row r="31" spans="1:9" x14ac:dyDescent="0.25">
      <c r="A31" t="s">
        <v>766</v>
      </c>
      <c r="B31" t="s">
        <v>782</v>
      </c>
      <c r="C31" t="s">
        <v>15</v>
      </c>
      <c r="D31" t="s">
        <v>785</v>
      </c>
      <c r="E31" t="s">
        <v>783</v>
      </c>
      <c r="F31" t="s">
        <v>769</v>
      </c>
      <c r="G31" t="s">
        <v>20</v>
      </c>
      <c r="H31" t="s">
        <v>770</v>
      </c>
      <c r="I31" t="s">
        <v>784</v>
      </c>
    </row>
    <row r="32" spans="1:9" x14ac:dyDescent="0.25">
      <c r="A32" t="s">
        <v>766</v>
      </c>
      <c r="B32" t="s">
        <v>782</v>
      </c>
      <c r="C32" t="s">
        <v>17</v>
      </c>
      <c r="D32" t="s">
        <v>123</v>
      </c>
      <c r="E32" t="s">
        <v>783</v>
      </c>
      <c r="F32" t="s">
        <v>769</v>
      </c>
      <c r="G32" t="s">
        <v>20</v>
      </c>
      <c r="H32" t="s">
        <v>770</v>
      </c>
      <c r="I32" t="s">
        <v>784</v>
      </c>
    </row>
    <row r="33" spans="1:9" x14ac:dyDescent="0.25">
      <c r="A33" t="s">
        <v>766</v>
      </c>
      <c r="B33" t="s">
        <v>782</v>
      </c>
      <c r="C33" t="s">
        <v>19</v>
      </c>
      <c r="D33" t="s">
        <v>726</v>
      </c>
      <c r="E33" t="s">
        <v>783</v>
      </c>
      <c r="F33" t="s">
        <v>769</v>
      </c>
      <c r="G33" t="s">
        <v>20</v>
      </c>
      <c r="H33" t="s">
        <v>770</v>
      </c>
      <c r="I33" t="s">
        <v>784</v>
      </c>
    </row>
    <row r="34" spans="1:9" x14ac:dyDescent="0.25">
      <c r="A34" t="s">
        <v>766</v>
      </c>
      <c r="B34" t="s">
        <v>786</v>
      </c>
      <c r="C34" t="s">
        <v>4</v>
      </c>
      <c r="D34" t="s">
        <v>787</v>
      </c>
      <c r="E34" t="s">
        <v>787</v>
      </c>
      <c r="F34" t="s">
        <v>769</v>
      </c>
      <c r="G34" t="s">
        <v>20</v>
      </c>
      <c r="H34" t="s">
        <v>770</v>
      </c>
      <c r="I34" t="s">
        <v>788</v>
      </c>
    </row>
    <row r="35" spans="1:9" x14ac:dyDescent="0.25">
      <c r="A35" t="s">
        <v>766</v>
      </c>
      <c r="B35" t="s">
        <v>786</v>
      </c>
      <c r="C35" t="s">
        <v>7</v>
      </c>
      <c r="D35" t="s">
        <v>788</v>
      </c>
      <c r="E35" t="s">
        <v>787</v>
      </c>
      <c r="F35" t="s">
        <v>769</v>
      </c>
      <c r="G35" t="s">
        <v>20</v>
      </c>
      <c r="H35" t="s">
        <v>770</v>
      </c>
      <c r="I35" t="s">
        <v>788</v>
      </c>
    </row>
    <row r="36" spans="1:9" x14ac:dyDescent="0.25">
      <c r="A36" t="s">
        <v>766</v>
      </c>
      <c r="B36" t="s">
        <v>786</v>
      </c>
      <c r="C36" t="s">
        <v>9</v>
      </c>
      <c r="D36">
        <v>40</v>
      </c>
      <c r="E36" t="s">
        <v>787</v>
      </c>
      <c r="F36" t="s">
        <v>769</v>
      </c>
      <c r="G36" t="s">
        <v>20</v>
      </c>
      <c r="H36" t="s">
        <v>770</v>
      </c>
      <c r="I36" t="s">
        <v>788</v>
      </c>
    </row>
    <row r="37" spans="1:9" x14ac:dyDescent="0.25">
      <c r="A37" t="s">
        <v>766</v>
      </c>
      <c r="B37" t="s">
        <v>786</v>
      </c>
      <c r="C37" t="s">
        <v>10</v>
      </c>
      <c r="D37" t="s">
        <v>11</v>
      </c>
      <c r="E37" t="s">
        <v>787</v>
      </c>
      <c r="F37" t="s">
        <v>769</v>
      </c>
      <c r="G37" t="s">
        <v>20</v>
      </c>
      <c r="H37" t="s">
        <v>770</v>
      </c>
      <c r="I37" t="s">
        <v>788</v>
      </c>
    </row>
    <row r="38" spans="1:9" x14ac:dyDescent="0.25">
      <c r="A38" t="s">
        <v>766</v>
      </c>
      <c r="B38" t="s">
        <v>786</v>
      </c>
      <c r="C38" t="s">
        <v>13</v>
      </c>
      <c r="D38">
        <v>6</v>
      </c>
      <c r="E38" t="s">
        <v>787</v>
      </c>
      <c r="F38" t="s">
        <v>769</v>
      </c>
      <c r="G38" t="s">
        <v>20</v>
      </c>
      <c r="H38" t="s">
        <v>770</v>
      </c>
      <c r="I38" t="s">
        <v>788</v>
      </c>
    </row>
    <row r="39" spans="1:9" x14ac:dyDescent="0.25">
      <c r="A39" t="s">
        <v>766</v>
      </c>
      <c r="B39" t="s">
        <v>786</v>
      </c>
      <c r="C39" t="s">
        <v>15</v>
      </c>
      <c r="D39" t="s">
        <v>789</v>
      </c>
      <c r="E39" t="s">
        <v>787</v>
      </c>
      <c r="F39" t="s">
        <v>769</v>
      </c>
      <c r="G39" t="s">
        <v>20</v>
      </c>
      <c r="H39" t="s">
        <v>770</v>
      </c>
      <c r="I39" t="s">
        <v>788</v>
      </c>
    </row>
    <row r="40" spans="1:9" x14ac:dyDescent="0.25">
      <c r="A40" t="s">
        <v>766</v>
      </c>
      <c r="B40" t="s">
        <v>786</v>
      </c>
      <c r="C40" t="s">
        <v>17</v>
      </c>
      <c r="D40" t="s">
        <v>685</v>
      </c>
      <c r="E40" t="s">
        <v>787</v>
      </c>
      <c r="F40" t="s">
        <v>769</v>
      </c>
      <c r="G40" t="s">
        <v>20</v>
      </c>
      <c r="H40" t="s">
        <v>770</v>
      </c>
      <c r="I40" t="s">
        <v>788</v>
      </c>
    </row>
    <row r="41" spans="1:9" x14ac:dyDescent="0.25">
      <c r="A41" t="s">
        <v>766</v>
      </c>
      <c r="B41" t="s">
        <v>786</v>
      </c>
      <c r="C41" t="s">
        <v>19</v>
      </c>
      <c r="D41" t="s">
        <v>719</v>
      </c>
      <c r="E41" t="s">
        <v>787</v>
      </c>
      <c r="F41" t="s">
        <v>769</v>
      </c>
      <c r="G41" t="s">
        <v>20</v>
      </c>
      <c r="H41" t="s">
        <v>770</v>
      </c>
      <c r="I41" t="s">
        <v>788</v>
      </c>
    </row>
    <row r="42" spans="1:9" x14ac:dyDescent="0.25">
      <c r="A42" t="s">
        <v>851</v>
      </c>
      <c r="B42" t="s">
        <v>880</v>
      </c>
      <c r="C42" t="s">
        <v>4</v>
      </c>
      <c r="D42" t="s">
        <v>5</v>
      </c>
      <c r="E42" t="s">
        <v>5</v>
      </c>
      <c r="F42" t="s">
        <v>769</v>
      </c>
      <c r="G42" t="s">
        <v>20</v>
      </c>
      <c r="H42" t="s">
        <v>770</v>
      </c>
      <c r="I42" t="s">
        <v>8</v>
      </c>
    </row>
    <row r="43" spans="1:9" x14ac:dyDescent="0.25">
      <c r="A43" t="s">
        <v>851</v>
      </c>
      <c r="B43" t="s">
        <v>880</v>
      </c>
      <c r="C43" t="s">
        <v>7</v>
      </c>
      <c r="D43" t="s">
        <v>8</v>
      </c>
      <c r="E43" t="s">
        <v>5</v>
      </c>
      <c r="F43" t="s">
        <v>769</v>
      </c>
      <c r="G43" t="s">
        <v>20</v>
      </c>
      <c r="H43" t="s">
        <v>770</v>
      </c>
      <c r="I43" t="s">
        <v>8</v>
      </c>
    </row>
    <row r="44" spans="1:9" x14ac:dyDescent="0.25">
      <c r="A44" t="s">
        <v>851</v>
      </c>
      <c r="B44" t="s">
        <v>880</v>
      </c>
      <c r="C44" t="s">
        <v>9</v>
      </c>
      <c r="D44">
        <v>20</v>
      </c>
      <c r="E44" t="s">
        <v>5</v>
      </c>
      <c r="F44" t="s">
        <v>769</v>
      </c>
      <c r="G44" t="s">
        <v>20</v>
      </c>
      <c r="H44" t="s">
        <v>770</v>
      </c>
      <c r="I44" t="s">
        <v>8</v>
      </c>
    </row>
    <row r="45" spans="1:9" x14ac:dyDescent="0.25">
      <c r="A45" t="s">
        <v>851</v>
      </c>
      <c r="B45" t="s">
        <v>880</v>
      </c>
      <c r="C45" t="s">
        <v>10</v>
      </c>
      <c r="D45" t="s">
        <v>11</v>
      </c>
      <c r="E45" t="s">
        <v>5</v>
      </c>
      <c r="F45" t="s">
        <v>769</v>
      </c>
      <c r="G45" t="s">
        <v>20</v>
      </c>
      <c r="H45" t="s">
        <v>770</v>
      </c>
      <c r="I45" t="s">
        <v>8</v>
      </c>
    </row>
    <row r="46" spans="1:9" x14ac:dyDescent="0.25">
      <c r="A46" t="s">
        <v>851</v>
      </c>
      <c r="B46" t="s">
        <v>880</v>
      </c>
      <c r="C46" t="s">
        <v>13</v>
      </c>
      <c r="D46">
        <v>4</v>
      </c>
      <c r="E46" t="s">
        <v>5</v>
      </c>
      <c r="F46" t="s">
        <v>769</v>
      </c>
      <c r="G46" t="s">
        <v>20</v>
      </c>
      <c r="H46" t="s">
        <v>770</v>
      </c>
      <c r="I46" t="s">
        <v>8</v>
      </c>
    </row>
    <row r="47" spans="1:9" x14ac:dyDescent="0.25">
      <c r="A47" t="s">
        <v>851</v>
      </c>
      <c r="B47" t="s">
        <v>880</v>
      </c>
      <c r="C47" t="s">
        <v>15</v>
      </c>
      <c r="D47" t="s">
        <v>16</v>
      </c>
      <c r="E47" t="s">
        <v>5</v>
      </c>
      <c r="F47" t="s">
        <v>769</v>
      </c>
      <c r="G47" t="s">
        <v>20</v>
      </c>
      <c r="H47" t="s">
        <v>770</v>
      </c>
      <c r="I47" t="s">
        <v>8</v>
      </c>
    </row>
    <row r="48" spans="1:9" x14ac:dyDescent="0.25">
      <c r="A48" t="s">
        <v>851</v>
      </c>
      <c r="B48" t="s">
        <v>880</v>
      </c>
      <c r="C48" t="s">
        <v>17</v>
      </c>
      <c r="D48" t="s">
        <v>18</v>
      </c>
      <c r="E48" t="s">
        <v>5</v>
      </c>
      <c r="F48" t="s">
        <v>769</v>
      </c>
      <c r="G48" t="s">
        <v>20</v>
      </c>
      <c r="H48" t="s">
        <v>770</v>
      </c>
      <c r="I48" t="s">
        <v>8</v>
      </c>
    </row>
    <row r="49" spans="1:9" x14ac:dyDescent="0.25">
      <c r="A49" t="s">
        <v>851</v>
      </c>
      <c r="B49" t="s">
        <v>880</v>
      </c>
      <c r="C49" t="s">
        <v>19</v>
      </c>
      <c r="D49" t="s">
        <v>20</v>
      </c>
      <c r="E49" t="s">
        <v>5</v>
      </c>
      <c r="F49" t="s">
        <v>769</v>
      </c>
      <c r="G49" t="s">
        <v>20</v>
      </c>
      <c r="H49" t="s">
        <v>770</v>
      </c>
      <c r="I49" t="s">
        <v>8</v>
      </c>
    </row>
    <row r="50" spans="1:9" x14ac:dyDescent="0.25">
      <c r="A50" t="s">
        <v>851</v>
      </c>
      <c r="B50" t="s">
        <v>881</v>
      </c>
      <c r="C50" t="s">
        <v>4</v>
      </c>
      <c r="D50" t="s">
        <v>118</v>
      </c>
      <c r="E50" t="s">
        <v>118</v>
      </c>
      <c r="F50" t="s">
        <v>769</v>
      </c>
      <c r="G50" t="s">
        <v>20</v>
      </c>
      <c r="H50" t="s">
        <v>770</v>
      </c>
      <c r="I50" t="s">
        <v>120</v>
      </c>
    </row>
    <row r="51" spans="1:9" x14ac:dyDescent="0.25">
      <c r="A51" t="s">
        <v>851</v>
      </c>
      <c r="B51" t="s">
        <v>881</v>
      </c>
      <c r="C51" t="s">
        <v>7</v>
      </c>
      <c r="D51" t="s">
        <v>120</v>
      </c>
      <c r="E51" t="s">
        <v>118</v>
      </c>
      <c r="F51" t="s">
        <v>769</v>
      </c>
      <c r="G51" t="s">
        <v>20</v>
      </c>
      <c r="H51" t="s">
        <v>770</v>
      </c>
      <c r="I51" t="s">
        <v>120</v>
      </c>
    </row>
    <row r="52" spans="1:9" x14ac:dyDescent="0.25">
      <c r="A52" t="s">
        <v>851</v>
      </c>
      <c r="B52" t="s">
        <v>881</v>
      </c>
      <c r="C52" t="s">
        <v>9</v>
      </c>
      <c r="D52">
        <v>20</v>
      </c>
      <c r="E52" t="s">
        <v>118</v>
      </c>
      <c r="F52" t="s">
        <v>769</v>
      </c>
      <c r="G52" t="s">
        <v>20</v>
      </c>
      <c r="H52" t="s">
        <v>770</v>
      </c>
      <c r="I52" t="s">
        <v>120</v>
      </c>
    </row>
    <row r="53" spans="1:9" x14ac:dyDescent="0.25">
      <c r="A53" t="s">
        <v>851</v>
      </c>
      <c r="B53" t="s">
        <v>881</v>
      </c>
      <c r="C53" t="s">
        <v>10</v>
      </c>
      <c r="D53">
        <v>1</v>
      </c>
      <c r="E53" t="s">
        <v>118</v>
      </c>
      <c r="F53" t="s">
        <v>769</v>
      </c>
      <c r="G53" t="s">
        <v>20</v>
      </c>
      <c r="H53" t="s">
        <v>770</v>
      </c>
      <c r="I53" t="s">
        <v>120</v>
      </c>
    </row>
    <row r="54" spans="1:9" x14ac:dyDescent="0.25">
      <c r="A54" t="s">
        <v>851</v>
      </c>
      <c r="B54" t="s">
        <v>881</v>
      </c>
      <c r="C54" t="s">
        <v>13</v>
      </c>
      <c r="D54">
        <v>4</v>
      </c>
      <c r="E54" t="s">
        <v>118</v>
      </c>
      <c r="F54" t="s">
        <v>769</v>
      </c>
      <c r="G54" t="s">
        <v>20</v>
      </c>
      <c r="H54" t="s">
        <v>770</v>
      </c>
      <c r="I54" t="s">
        <v>120</v>
      </c>
    </row>
    <row r="55" spans="1:9" x14ac:dyDescent="0.25">
      <c r="A55" t="s">
        <v>851</v>
      </c>
      <c r="B55" t="s">
        <v>881</v>
      </c>
      <c r="C55" t="s">
        <v>15</v>
      </c>
      <c r="D55" t="s">
        <v>122</v>
      </c>
      <c r="E55" t="s">
        <v>118</v>
      </c>
      <c r="F55" t="s">
        <v>769</v>
      </c>
      <c r="G55" t="s">
        <v>20</v>
      </c>
      <c r="H55" t="s">
        <v>770</v>
      </c>
      <c r="I55" t="s">
        <v>120</v>
      </c>
    </row>
    <row r="56" spans="1:9" x14ac:dyDescent="0.25">
      <c r="A56" t="s">
        <v>851</v>
      </c>
      <c r="B56" t="s">
        <v>881</v>
      </c>
      <c r="C56" t="s">
        <v>17</v>
      </c>
      <c r="D56" t="s">
        <v>123</v>
      </c>
      <c r="E56" t="s">
        <v>118</v>
      </c>
      <c r="F56" t="s">
        <v>769</v>
      </c>
      <c r="G56" t="s">
        <v>20</v>
      </c>
      <c r="H56" t="s">
        <v>770</v>
      </c>
      <c r="I56" t="s">
        <v>120</v>
      </c>
    </row>
    <row r="57" spans="1:9" x14ac:dyDescent="0.25">
      <c r="A57" t="s">
        <v>851</v>
      </c>
      <c r="B57" t="s">
        <v>881</v>
      </c>
      <c r="C57" t="s">
        <v>19</v>
      </c>
      <c r="D57" t="s">
        <v>20</v>
      </c>
      <c r="E57" t="s">
        <v>118</v>
      </c>
      <c r="F57" t="s">
        <v>769</v>
      </c>
      <c r="G57" t="s">
        <v>20</v>
      </c>
      <c r="H57" t="s">
        <v>770</v>
      </c>
      <c r="I57" t="s">
        <v>120</v>
      </c>
    </row>
    <row r="58" spans="1:9" x14ac:dyDescent="0.25">
      <c r="A58" t="s">
        <v>851</v>
      </c>
      <c r="B58" t="s">
        <v>882</v>
      </c>
      <c r="C58" t="s">
        <v>4</v>
      </c>
      <c r="D58" t="s">
        <v>176</v>
      </c>
      <c r="E58" t="s">
        <v>176</v>
      </c>
      <c r="F58" t="s">
        <v>769</v>
      </c>
      <c r="G58" t="s">
        <v>20</v>
      </c>
      <c r="H58" t="s">
        <v>770</v>
      </c>
      <c r="I58" t="s">
        <v>178</v>
      </c>
    </row>
    <row r="59" spans="1:9" x14ac:dyDescent="0.25">
      <c r="A59" t="s">
        <v>851</v>
      </c>
      <c r="B59" t="s">
        <v>882</v>
      </c>
      <c r="C59" t="s">
        <v>7</v>
      </c>
      <c r="D59" t="s">
        <v>178</v>
      </c>
      <c r="E59" t="s">
        <v>176</v>
      </c>
      <c r="F59" t="s">
        <v>769</v>
      </c>
      <c r="G59" t="s">
        <v>20</v>
      </c>
      <c r="H59" t="s">
        <v>770</v>
      </c>
      <c r="I59" t="s">
        <v>178</v>
      </c>
    </row>
    <row r="60" spans="1:9" x14ac:dyDescent="0.25">
      <c r="A60" t="s">
        <v>851</v>
      </c>
      <c r="B60" t="s">
        <v>882</v>
      </c>
      <c r="C60" t="s">
        <v>9</v>
      </c>
      <c r="D60">
        <v>20</v>
      </c>
      <c r="E60" t="s">
        <v>176</v>
      </c>
      <c r="F60" t="s">
        <v>769</v>
      </c>
      <c r="G60" t="s">
        <v>20</v>
      </c>
      <c r="H60" t="s">
        <v>770</v>
      </c>
      <c r="I60" t="s">
        <v>178</v>
      </c>
    </row>
    <row r="61" spans="1:9" x14ac:dyDescent="0.25">
      <c r="A61" t="s">
        <v>851</v>
      </c>
      <c r="B61" t="s">
        <v>882</v>
      </c>
      <c r="C61" t="s">
        <v>10</v>
      </c>
      <c r="D61">
        <v>2</v>
      </c>
      <c r="E61" t="s">
        <v>176</v>
      </c>
      <c r="F61" t="s">
        <v>769</v>
      </c>
      <c r="G61" t="s">
        <v>20</v>
      </c>
      <c r="H61" t="s">
        <v>770</v>
      </c>
      <c r="I61" t="s">
        <v>178</v>
      </c>
    </row>
    <row r="62" spans="1:9" x14ac:dyDescent="0.25">
      <c r="A62" t="s">
        <v>851</v>
      </c>
      <c r="B62" t="s">
        <v>882</v>
      </c>
      <c r="C62" t="s">
        <v>13</v>
      </c>
      <c r="D62">
        <v>4</v>
      </c>
      <c r="E62" t="s">
        <v>176</v>
      </c>
      <c r="F62" t="s">
        <v>769</v>
      </c>
      <c r="G62" t="s">
        <v>20</v>
      </c>
      <c r="H62" t="s">
        <v>770</v>
      </c>
      <c r="I62" t="s">
        <v>178</v>
      </c>
    </row>
    <row r="63" spans="1:9" x14ac:dyDescent="0.25">
      <c r="A63" t="s">
        <v>851</v>
      </c>
      <c r="B63" t="s">
        <v>882</v>
      </c>
      <c r="C63" t="s">
        <v>15</v>
      </c>
      <c r="D63" t="s">
        <v>180</v>
      </c>
      <c r="E63" t="s">
        <v>176</v>
      </c>
      <c r="F63" t="s">
        <v>769</v>
      </c>
      <c r="G63" t="s">
        <v>20</v>
      </c>
      <c r="H63" t="s">
        <v>770</v>
      </c>
      <c r="I63" t="s">
        <v>178</v>
      </c>
    </row>
    <row r="64" spans="1:9" x14ac:dyDescent="0.25">
      <c r="A64" t="s">
        <v>851</v>
      </c>
      <c r="B64" t="s">
        <v>882</v>
      </c>
      <c r="C64" t="s">
        <v>17</v>
      </c>
      <c r="D64" t="s">
        <v>123</v>
      </c>
      <c r="E64" t="s">
        <v>176</v>
      </c>
      <c r="F64" t="s">
        <v>769</v>
      </c>
      <c r="G64" t="s">
        <v>20</v>
      </c>
      <c r="H64" t="s">
        <v>770</v>
      </c>
      <c r="I64" t="s">
        <v>178</v>
      </c>
    </row>
    <row r="65" spans="1:9" x14ac:dyDescent="0.25">
      <c r="A65" t="s">
        <v>851</v>
      </c>
      <c r="B65" t="s">
        <v>882</v>
      </c>
      <c r="C65" t="s">
        <v>19</v>
      </c>
      <c r="D65" t="s">
        <v>20</v>
      </c>
      <c r="E65" t="s">
        <v>176</v>
      </c>
      <c r="F65" t="s">
        <v>769</v>
      </c>
      <c r="G65" t="s">
        <v>20</v>
      </c>
      <c r="H65" t="s">
        <v>770</v>
      </c>
      <c r="I65" t="s">
        <v>178</v>
      </c>
    </row>
    <row r="66" spans="1:9" x14ac:dyDescent="0.25">
      <c r="A66" t="s">
        <v>851</v>
      </c>
      <c r="B66" t="s">
        <v>883</v>
      </c>
      <c r="C66" t="s">
        <v>4</v>
      </c>
      <c r="D66" t="s">
        <v>234</v>
      </c>
      <c r="E66" t="s">
        <v>234</v>
      </c>
      <c r="F66" t="s">
        <v>769</v>
      </c>
      <c r="G66" t="s">
        <v>20</v>
      </c>
      <c r="H66" t="s">
        <v>770</v>
      </c>
      <c r="I66" t="s">
        <v>236</v>
      </c>
    </row>
    <row r="67" spans="1:9" x14ac:dyDescent="0.25">
      <c r="A67" t="s">
        <v>851</v>
      </c>
      <c r="B67" t="s">
        <v>883</v>
      </c>
      <c r="C67" t="s">
        <v>7</v>
      </c>
      <c r="D67" t="s">
        <v>236</v>
      </c>
      <c r="E67" t="s">
        <v>234</v>
      </c>
      <c r="F67" t="s">
        <v>769</v>
      </c>
      <c r="G67" t="s">
        <v>20</v>
      </c>
      <c r="H67" t="s">
        <v>770</v>
      </c>
      <c r="I67" t="s">
        <v>236</v>
      </c>
    </row>
    <row r="68" spans="1:9" x14ac:dyDescent="0.25">
      <c r="A68" t="s">
        <v>851</v>
      </c>
      <c r="B68" t="s">
        <v>883</v>
      </c>
      <c r="C68" t="s">
        <v>9</v>
      </c>
      <c r="D68">
        <v>20</v>
      </c>
      <c r="E68" t="s">
        <v>234</v>
      </c>
      <c r="F68" t="s">
        <v>769</v>
      </c>
      <c r="G68" t="s">
        <v>20</v>
      </c>
      <c r="H68" t="s">
        <v>770</v>
      </c>
      <c r="I68" t="s">
        <v>236</v>
      </c>
    </row>
    <row r="69" spans="1:9" x14ac:dyDescent="0.25">
      <c r="A69" t="s">
        <v>851</v>
      </c>
      <c r="B69" t="s">
        <v>883</v>
      </c>
      <c r="C69" t="s">
        <v>10</v>
      </c>
      <c r="D69">
        <v>2</v>
      </c>
      <c r="E69" t="s">
        <v>234</v>
      </c>
      <c r="F69" t="s">
        <v>769</v>
      </c>
      <c r="G69" t="s">
        <v>20</v>
      </c>
      <c r="H69" t="s">
        <v>770</v>
      </c>
      <c r="I69" t="s">
        <v>236</v>
      </c>
    </row>
    <row r="70" spans="1:9" x14ac:dyDescent="0.25">
      <c r="A70" t="s">
        <v>851</v>
      </c>
      <c r="B70" t="s">
        <v>883</v>
      </c>
      <c r="C70" t="s">
        <v>13</v>
      </c>
      <c r="D70">
        <v>4</v>
      </c>
      <c r="E70" t="s">
        <v>234</v>
      </c>
      <c r="F70" t="s">
        <v>769</v>
      </c>
      <c r="G70" t="s">
        <v>20</v>
      </c>
      <c r="H70" t="s">
        <v>770</v>
      </c>
      <c r="I70" t="s">
        <v>236</v>
      </c>
    </row>
    <row r="71" spans="1:9" x14ac:dyDescent="0.25">
      <c r="A71" t="s">
        <v>851</v>
      </c>
      <c r="B71" t="s">
        <v>883</v>
      </c>
      <c r="C71" t="s">
        <v>15</v>
      </c>
      <c r="D71" t="s">
        <v>238</v>
      </c>
      <c r="E71" t="s">
        <v>234</v>
      </c>
      <c r="F71" t="s">
        <v>769</v>
      </c>
      <c r="G71" t="s">
        <v>20</v>
      </c>
      <c r="H71" t="s">
        <v>770</v>
      </c>
      <c r="I71" t="s">
        <v>236</v>
      </c>
    </row>
    <row r="72" spans="1:9" x14ac:dyDescent="0.25">
      <c r="A72" t="s">
        <v>851</v>
      </c>
      <c r="B72" t="s">
        <v>883</v>
      </c>
      <c r="C72" t="s">
        <v>17</v>
      </c>
      <c r="D72" t="s">
        <v>123</v>
      </c>
      <c r="E72" t="s">
        <v>234</v>
      </c>
      <c r="F72" t="s">
        <v>769</v>
      </c>
      <c r="G72" t="s">
        <v>20</v>
      </c>
      <c r="H72" t="s">
        <v>770</v>
      </c>
      <c r="I72" t="s">
        <v>236</v>
      </c>
    </row>
    <row r="73" spans="1:9" x14ac:dyDescent="0.25">
      <c r="A73" t="s">
        <v>851</v>
      </c>
      <c r="B73" t="s">
        <v>883</v>
      </c>
      <c r="C73" t="s">
        <v>19</v>
      </c>
      <c r="D73" t="s">
        <v>20</v>
      </c>
      <c r="E73" t="s">
        <v>234</v>
      </c>
      <c r="F73" t="s">
        <v>769</v>
      </c>
      <c r="G73" t="s">
        <v>20</v>
      </c>
      <c r="H73" t="s">
        <v>770</v>
      </c>
      <c r="I73" t="s">
        <v>236</v>
      </c>
    </row>
    <row r="74" spans="1:9" x14ac:dyDescent="0.25">
      <c r="A74" t="s">
        <v>851</v>
      </c>
      <c r="B74" t="s">
        <v>884</v>
      </c>
      <c r="C74" t="s">
        <v>4</v>
      </c>
      <c r="D74" t="s">
        <v>284</v>
      </c>
      <c r="E74" t="s">
        <v>284</v>
      </c>
      <c r="F74" t="s">
        <v>769</v>
      </c>
      <c r="G74" t="s">
        <v>20</v>
      </c>
      <c r="H74" t="s">
        <v>770</v>
      </c>
      <c r="I74" t="s">
        <v>286</v>
      </c>
    </row>
    <row r="75" spans="1:9" x14ac:dyDescent="0.25">
      <c r="A75" t="s">
        <v>851</v>
      </c>
      <c r="B75" t="s">
        <v>884</v>
      </c>
      <c r="C75" t="s">
        <v>7</v>
      </c>
      <c r="D75" t="s">
        <v>286</v>
      </c>
      <c r="E75" t="s">
        <v>284</v>
      </c>
      <c r="F75" t="s">
        <v>769</v>
      </c>
      <c r="G75" t="s">
        <v>20</v>
      </c>
      <c r="H75" t="s">
        <v>770</v>
      </c>
      <c r="I75" t="s">
        <v>286</v>
      </c>
    </row>
    <row r="76" spans="1:9" x14ac:dyDescent="0.25">
      <c r="A76" t="s">
        <v>851</v>
      </c>
      <c r="B76" t="s">
        <v>884</v>
      </c>
      <c r="C76" t="s">
        <v>9</v>
      </c>
      <c r="D76">
        <v>20</v>
      </c>
      <c r="E76" t="s">
        <v>284</v>
      </c>
      <c r="F76" t="s">
        <v>769</v>
      </c>
      <c r="G76" t="s">
        <v>20</v>
      </c>
      <c r="H76" t="s">
        <v>770</v>
      </c>
      <c r="I76" t="s">
        <v>286</v>
      </c>
    </row>
    <row r="77" spans="1:9" x14ac:dyDescent="0.25">
      <c r="A77" t="s">
        <v>851</v>
      </c>
      <c r="B77" t="s">
        <v>884</v>
      </c>
      <c r="C77" t="s">
        <v>10</v>
      </c>
      <c r="D77" t="s">
        <v>11</v>
      </c>
      <c r="E77" t="s">
        <v>284</v>
      </c>
      <c r="F77" t="s">
        <v>769</v>
      </c>
      <c r="G77" t="s">
        <v>20</v>
      </c>
      <c r="H77" t="s">
        <v>770</v>
      </c>
      <c r="I77" t="s">
        <v>286</v>
      </c>
    </row>
    <row r="78" spans="1:9" x14ac:dyDescent="0.25">
      <c r="A78" t="s">
        <v>851</v>
      </c>
      <c r="B78" t="s">
        <v>884</v>
      </c>
      <c r="C78" t="s">
        <v>13</v>
      </c>
      <c r="D78">
        <v>5</v>
      </c>
      <c r="E78" t="s">
        <v>284</v>
      </c>
      <c r="F78" t="s">
        <v>769</v>
      </c>
      <c r="G78" t="s">
        <v>20</v>
      </c>
      <c r="H78" t="s">
        <v>770</v>
      </c>
      <c r="I78" t="s">
        <v>286</v>
      </c>
    </row>
    <row r="79" spans="1:9" x14ac:dyDescent="0.25">
      <c r="A79" t="s">
        <v>851</v>
      </c>
      <c r="B79" t="s">
        <v>884</v>
      </c>
      <c r="C79" t="s">
        <v>15</v>
      </c>
      <c r="D79" t="s">
        <v>16</v>
      </c>
      <c r="E79" t="s">
        <v>284</v>
      </c>
      <c r="F79" t="s">
        <v>769</v>
      </c>
      <c r="G79" t="s">
        <v>20</v>
      </c>
      <c r="H79" t="s">
        <v>770</v>
      </c>
      <c r="I79" t="s">
        <v>286</v>
      </c>
    </row>
    <row r="80" spans="1:9" x14ac:dyDescent="0.25">
      <c r="A80" t="s">
        <v>851</v>
      </c>
      <c r="B80" t="s">
        <v>884</v>
      </c>
      <c r="C80" t="s">
        <v>17</v>
      </c>
      <c r="D80" t="s">
        <v>18</v>
      </c>
      <c r="E80" t="s">
        <v>284</v>
      </c>
      <c r="F80" t="s">
        <v>769</v>
      </c>
      <c r="G80" t="s">
        <v>20</v>
      </c>
      <c r="H80" t="s">
        <v>770</v>
      </c>
      <c r="I80" t="s">
        <v>286</v>
      </c>
    </row>
    <row r="81" spans="1:9" x14ac:dyDescent="0.25">
      <c r="A81" t="s">
        <v>851</v>
      </c>
      <c r="B81" t="s">
        <v>884</v>
      </c>
      <c r="C81" t="s">
        <v>19</v>
      </c>
      <c r="D81" t="s">
        <v>20</v>
      </c>
      <c r="E81" t="s">
        <v>284</v>
      </c>
      <c r="F81" t="s">
        <v>769</v>
      </c>
      <c r="G81" t="s">
        <v>20</v>
      </c>
      <c r="H81" t="s">
        <v>770</v>
      </c>
      <c r="I81" t="s">
        <v>286</v>
      </c>
    </row>
    <row r="82" spans="1:9" x14ac:dyDescent="0.25">
      <c r="A82" t="s">
        <v>851</v>
      </c>
      <c r="B82" t="s">
        <v>885</v>
      </c>
      <c r="C82" t="s">
        <v>4</v>
      </c>
      <c r="D82" t="s">
        <v>339</v>
      </c>
      <c r="E82" t="s">
        <v>339</v>
      </c>
      <c r="F82" t="s">
        <v>769</v>
      </c>
      <c r="G82" t="s">
        <v>20</v>
      </c>
      <c r="H82" t="s">
        <v>770</v>
      </c>
      <c r="I82" t="s">
        <v>341</v>
      </c>
    </row>
    <row r="83" spans="1:9" x14ac:dyDescent="0.25">
      <c r="A83" t="s">
        <v>851</v>
      </c>
      <c r="B83" t="s">
        <v>885</v>
      </c>
      <c r="C83" t="s">
        <v>7</v>
      </c>
      <c r="D83" t="s">
        <v>341</v>
      </c>
      <c r="E83" t="s">
        <v>339</v>
      </c>
      <c r="F83" t="s">
        <v>769</v>
      </c>
      <c r="G83" t="s">
        <v>20</v>
      </c>
      <c r="H83" t="s">
        <v>770</v>
      </c>
      <c r="I83" t="s">
        <v>341</v>
      </c>
    </row>
    <row r="84" spans="1:9" x14ac:dyDescent="0.25">
      <c r="A84" t="s">
        <v>851</v>
      </c>
      <c r="B84" t="s">
        <v>885</v>
      </c>
      <c r="C84" t="s">
        <v>9</v>
      </c>
      <c r="D84">
        <v>20</v>
      </c>
      <c r="E84" t="s">
        <v>339</v>
      </c>
      <c r="F84" t="s">
        <v>769</v>
      </c>
      <c r="G84" t="s">
        <v>20</v>
      </c>
      <c r="H84" t="s">
        <v>770</v>
      </c>
      <c r="I84" t="s">
        <v>341</v>
      </c>
    </row>
    <row r="85" spans="1:9" x14ac:dyDescent="0.25">
      <c r="A85" t="s">
        <v>851</v>
      </c>
      <c r="B85" t="s">
        <v>885</v>
      </c>
      <c r="C85" t="s">
        <v>10</v>
      </c>
      <c r="D85">
        <v>1</v>
      </c>
      <c r="E85" t="s">
        <v>339</v>
      </c>
      <c r="F85" t="s">
        <v>769</v>
      </c>
      <c r="G85" t="s">
        <v>20</v>
      </c>
      <c r="H85" t="s">
        <v>770</v>
      </c>
      <c r="I85" t="s">
        <v>341</v>
      </c>
    </row>
    <row r="86" spans="1:9" x14ac:dyDescent="0.25">
      <c r="A86" t="s">
        <v>851</v>
      </c>
      <c r="B86" t="s">
        <v>885</v>
      </c>
      <c r="C86" t="s">
        <v>13</v>
      </c>
      <c r="D86">
        <v>5</v>
      </c>
      <c r="E86" t="s">
        <v>339</v>
      </c>
      <c r="F86" t="s">
        <v>769</v>
      </c>
      <c r="G86" t="s">
        <v>20</v>
      </c>
      <c r="H86" t="s">
        <v>770</v>
      </c>
      <c r="I86" t="s">
        <v>341</v>
      </c>
    </row>
    <row r="87" spans="1:9" x14ac:dyDescent="0.25">
      <c r="A87" t="s">
        <v>851</v>
      </c>
      <c r="B87" t="s">
        <v>885</v>
      </c>
      <c r="C87" t="s">
        <v>15</v>
      </c>
      <c r="D87" t="s">
        <v>343</v>
      </c>
      <c r="E87" t="s">
        <v>339</v>
      </c>
      <c r="F87" t="s">
        <v>769</v>
      </c>
      <c r="G87" t="s">
        <v>20</v>
      </c>
      <c r="H87" t="s">
        <v>770</v>
      </c>
      <c r="I87" t="s">
        <v>341</v>
      </c>
    </row>
    <row r="88" spans="1:9" x14ac:dyDescent="0.25">
      <c r="A88" t="s">
        <v>851</v>
      </c>
      <c r="B88" t="s">
        <v>885</v>
      </c>
      <c r="C88" t="s">
        <v>17</v>
      </c>
      <c r="D88" t="s">
        <v>123</v>
      </c>
      <c r="E88" t="s">
        <v>339</v>
      </c>
      <c r="F88" t="s">
        <v>769</v>
      </c>
      <c r="G88" t="s">
        <v>20</v>
      </c>
      <c r="H88" t="s">
        <v>770</v>
      </c>
      <c r="I88" t="s">
        <v>341</v>
      </c>
    </row>
    <row r="89" spans="1:9" x14ac:dyDescent="0.25">
      <c r="A89" t="s">
        <v>851</v>
      </c>
      <c r="B89" t="s">
        <v>885</v>
      </c>
      <c r="C89" t="s">
        <v>19</v>
      </c>
      <c r="D89" t="s">
        <v>20</v>
      </c>
      <c r="E89" t="s">
        <v>339</v>
      </c>
      <c r="F89" t="s">
        <v>769</v>
      </c>
      <c r="G89" t="s">
        <v>20</v>
      </c>
      <c r="H89" t="s">
        <v>770</v>
      </c>
      <c r="I89" t="s">
        <v>341</v>
      </c>
    </row>
    <row r="90" spans="1:9" x14ac:dyDescent="0.25">
      <c r="A90" t="s">
        <v>851</v>
      </c>
      <c r="B90" t="s">
        <v>886</v>
      </c>
      <c r="C90" t="s">
        <v>4</v>
      </c>
      <c r="D90" t="s">
        <v>395</v>
      </c>
      <c r="E90" t="s">
        <v>395</v>
      </c>
      <c r="F90" t="s">
        <v>769</v>
      </c>
      <c r="G90" t="s">
        <v>20</v>
      </c>
      <c r="H90" t="s">
        <v>770</v>
      </c>
      <c r="I90" t="s">
        <v>397</v>
      </c>
    </row>
    <row r="91" spans="1:9" x14ac:dyDescent="0.25">
      <c r="A91" t="s">
        <v>851</v>
      </c>
      <c r="B91" t="s">
        <v>886</v>
      </c>
      <c r="C91" t="s">
        <v>7</v>
      </c>
      <c r="D91" t="s">
        <v>397</v>
      </c>
      <c r="E91" t="s">
        <v>395</v>
      </c>
      <c r="F91" t="s">
        <v>769</v>
      </c>
      <c r="G91" t="s">
        <v>20</v>
      </c>
      <c r="H91" t="s">
        <v>770</v>
      </c>
      <c r="I91" t="s">
        <v>397</v>
      </c>
    </row>
    <row r="92" spans="1:9" x14ac:dyDescent="0.25">
      <c r="A92" t="s">
        <v>851</v>
      </c>
      <c r="B92" t="s">
        <v>886</v>
      </c>
      <c r="C92" t="s">
        <v>9</v>
      </c>
      <c r="D92">
        <v>20</v>
      </c>
      <c r="E92" t="s">
        <v>395</v>
      </c>
      <c r="F92" t="s">
        <v>769</v>
      </c>
      <c r="G92" t="s">
        <v>20</v>
      </c>
      <c r="H92" t="s">
        <v>770</v>
      </c>
      <c r="I92" t="s">
        <v>397</v>
      </c>
    </row>
    <row r="93" spans="1:9" x14ac:dyDescent="0.25">
      <c r="A93" t="s">
        <v>851</v>
      </c>
      <c r="B93" t="s">
        <v>886</v>
      </c>
      <c r="C93" t="s">
        <v>10</v>
      </c>
      <c r="D93">
        <v>2</v>
      </c>
      <c r="E93" t="s">
        <v>395</v>
      </c>
      <c r="F93" t="s">
        <v>769</v>
      </c>
      <c r="G93" t="s">
        <v>20</v>
      </c>
      <c r="H93" t="s">
        <v>770</v>
      </c>
      <c r="I93" t="s">
        <v>397</v>
      </c>
    </row>
    <row r="94" spans="1:9" x14ac:dyDescent="0.25">
      <c r="A94" t="s">
        <v>851</v>
      </c>
      <c r="B94" t="s">
        <v>886</v>
      </c>
      <c r="C94" t="s">
        <v>13</v>
      </c>
      <c r="D94">
        <v>5</v>
      </c>
      <c r="E94" t="s">
        <v>395</v>
      </c>
      <c r="F94" t="s">
        <v>769</v>
      </c>
      <c r="G94" t="s">
        <v>20</v>
      </c>
      <c r="H94" t="s">
        <v>770</v>
      </c>
      <c r="I94" t="s">
        <v>397</v>
      </c>
    </row>
    <row r="95" spans="1:9" x14ac:dyDescent="0.25">
      <c r="A95" t="s">
        <v>851</v>
      </c>
      <c r="B95" t="s">
        <v>886</v>
      </c>
      <c r="C95" t="s">
        <v>15</v>
      </c>
      <c r="D95" t="s">
        <v>399</v>
      </c>
      <c r="E95" t="s">
        <v>395</v>
      </c>
      <c r="F95" t="s">
        <v>769</v>
      </c>
      <c r="G95" t="s">
        <v>20</v>
      </c>
      <c r="H95" t="s">
        <v>770</v>
      </c>
      <c r="I95" t="s">
        <v>397</v>
      </c>
    </row>
    <row r="96" spans="1:9" x14ac:dyDescent="0.25">
      <c r="A96" t="s">
        <v>851</v>
      </c>
      <c r="B96" t="s">
        <v>886</v>
      </c>
      <c r="C96" t="s">
        <v>17</v>
      </c>
      <c r="D96" t="s">
        <v>123</v>
      </c>
      <c r="E96" t="s">
        <v>395</v>
      </c>
      <c r="F96" t="s">
        <v>769</v>
      </c>
      <c r="G96" t="s">
        <v>20</v>
      </c>
      <c r="H96" t="s">
        <v>770</v>
      </c>
      <c r="I96" t="s">
        <v>397</v>
      </c>
    </row>
    <row r="97" spans="1:9" x14ac:dyDescent="0.25">
      <c r="A97" t="s">
        <v>851</v>
      </c>
      <c r="B97" t="s">
        <v>886</v>
      </c>
      <c r="C97" t="s">
        <v>19</v>
      </c>
      <c r="D97" t="s">
        <v>20</v>
      </c>
      <c r="E97" t="s">
        <v>395</v>
      </c>
      <c r="F97" t="s">
        <v>769</v>
      </c>
      <c r="G97" t="s">
        <v>20</v>
      </c>
      <c r="H97" t="s">
        <v>770</v>
      </c>
      <c r="I97" t="s">
        <v>397</v>
      </c>
    </row>
    <row r="98" spans="1:9" x14ac:dyDescent="0.25">
      <c r="A98" t="s">
        <v>851</v>
      </c>
      <c r="B98" t="s">
        <v>887</v>
      </c>
      <c r="C98" t="s">
        <v>4</v>
      </c>
      <c r="D98" t="s">
        <v>448</v>
      </c>
      <c r="E98" t="s">
        <v>448</v>
      </c>
      <c r="F98" t="s">
        <v>769</v>
      </c>
      <c r="G98" t="s">
        <v>20</v>
      </c>
      <c r="H98" t="s">
        <v>770</v>
      </c>
      <c r="I98" t="s">
        <v>450</v>
      </c>
    </row>
    <row r="99" spans="1:9" x14ac:dyDescent="0.25">
      <c r="A99" t="s">
        <v>851</v>
      </c>
      <c r="B99" t="s">
        <v>887</v>
      </c>
      <c r="C99" t="s">
        <v>7</v>
      </c>
      <c r="D99" t="s">
        <v>450</v>
      </c>
      <c r="E99" t="s">
        <v>448</v>
      </c>
      <c r="F99" t="s">
        <v>769</v>
      </c>
      <c r="G99" t="s">
        <v>20</v>
      </c>
      <c r="H99" t="s">
        <v>770</v>
      </c>
      <c r="I99" t="s">
        <v>450</v>
      </c>
    </row>
    <row r="100" spans="1:9" x14ac:dyDescent="0.25">
      <c r="A100" t="s">
        <v>851</v>
      </c>
      <c r="B100" t="s">
        <v>887</v>
      </c>
      <c r="C100" t="s">
        <v>9</v>
      </c>
      <c r="D100">
        <v>20</v>
      </c>
      <c r="E100" t="s">
        <v>448</v>
      </c>
      <c r="F100" t="s">
        <v>769</v>
      </c>
      <c r="G100" t="s">
        <v>20</v>
      </c>
      <c r="H100" t="s">
        <v>770</v>
      </c>
      <c r="I100" t="s">
        <v>450</v>
      </c>
    </row>
    <row r="101" spans="1:9" x14ac:dyDescent="0.25">
      <c r="A101" t="s">
        <v>851</v>
      </c>
      <c r="B101" t="s">
        <v>887</v>
      </c>
      <c r="C101" t="s">
        <v>10</v>
      </c>
      <c r="D101">
        <v>2</v>
      </c>
      <c r="E101" t="s">
        <v>448</v>
      </c>
      <c r="F101" t="s">
        <v>769</v>
      </c>
      <c r="G101" t="s">
        <v>20</v>
      </c>
      <c r="H101" t="s">
        <v>770</v>
      </c>
      <c r="I101" t="s">
        <v>450</v>
      </c>
    </row>
    <row r="102" spans="1:9" x14ac:dyDescent="0.25">
      <c r="A102" t="s">
        <v>851</v>
      </c>
      <c r="B102" t="s">
        <v>887</v>
      </c>
      <c r="C102" t="s">
        <v>13</v>
      </c>
      <c r="D102">
        <v>5</v>
      </c>
      <c r="E102" t="s">
        <v>448</v>
      </c>
      <c r="F102" t="s">
        <v>769</v>
      </c>
      <c r="G102" t="s">
        <v>20</v>
      </c>
      <c r="H102" t="s">
        <v>770</v>
      </c>
      <c r="I102" t="s">
        <v>450</v>
      </c>
    </row>
    <row r="103" spans="1:9" x14ac:dyDescent="0.25">
      <c r="A103" t="s">
        <v>851</v>
      </c>
      <c r="B103" t="s">
        <v>887</v>
      </c>
      <c r="C103" t="s">
        <v>15</v>
      </c>
      <c r="D103" t="s">
        <v>452</v>
      </c>
      <c r="E103" t="s">
        <v>448</v>
      </c>
      <c r="F103" t="s">
        <v>769</v>
      </c>
      <c r="G103" t="s">
        <v>20</v>
      </c>
      <c r="H103" t="s">
        <v>770</v>
      </c>
      <c r="I103" t="s">
        <v>450</v>
      </c>
    </row>
    <row r="104" spans="1:9" x14ac:dyDescent="0.25">
      <c r="A104" t="s">
        <v>851</v>
      </c>
      <c r="B104" t="s">
        <v>887</v>
      </c>
      <c r="C104" t="s">
        <v>17</v>
      </c>
      <c r="D104" t="s">
        <v>123</v>
      </c>
      <c r="E104" t="s">
        <v>448</v>
      </c>
      <c r="F104" t="s">
        <v>769</v>
      </c>
      <c r="G104" t="s">
        <v>20</v>
      </c>
      <c r="H104" t="s">
        <v>770</v>
      </c>
      <c r="I104" t="s">
        <v>450</v>
      </c>
    </row>
    <row r="105" spans="1:9" x14ac:dyDescent="0.25">
      <c r="A105" t="s">
        <v>851</v>
      </c>
      <c r="B105" t="s">
        <v>887</v>
      </c>
      <c r="C105" t="s">
        <v>19</v>
      </c>
      <c r="D105" t="s">
        <v>20</v>
      </c>
      <c r="E105" t="s">
        <v>448</v>
      </c>
      <c r="F105" t="s">
        <v>769</v>
      </c>
      <c r="G105" t="s">
        <v>20</v>
      </c>
      <c r="H105" t="s">
        <v>770</v>
      </c>
      <c r="I105" t="s">
        <v>450</v>
      </c>
    </row>
    <row r="106" spans="1:9" x14ac:dyDescent="0.25">
      <c r="A106" t="s">
        <v>851</v>
      </c>
      <c r="B106" t="s">
        <v>888</v>
      </c>
      <c r="C106" t="s">
        <v>4</v>
      </c>
      <c r="D106" t="s">
        <v>502</v>
      </c>
      <c r="E106" t="s">
        <v>502</v>
      </c>
      <c r="F106" t="s">
        <v>769</v>
      </c>
      <c r="G106" t="s">
        <v>20</v>
      </c>
      <c r="H106" t="s">
        <v>770</v>
      </c>
      <c r="I106" t="s">
        <v>504</v>
      </c>
    </row>
    <row r="107" spans="1:9" x14ac:dyDescent="0.25">
      <c r="A107" t="s">
        <v>851</v>
      </c>
      <c r="B107" t="s">
        <v>888</v>
      </c>
      <c r="C107" t="s">
        <v>7</v>
      </c>
      <c r="D107" t="s">
        <v>504</v>
      </c>
      <c r="E107" t="s">
        <v>502</v>
      </c>
      <c r="F107" t="s">
        <v>769</v>
      </c>
      <c r="G107" t="s">
        <v>20</v>
      </c>
      <c r="H107" t="s">
        <v>770</v>
      </c>
      <c r="I107" t="s">
        <v>504</v>
      </c>
    </row>
    <row r="108" spans="1:9" x14ac:dyDescent="0.25">
      <c r="A108" t="s">
        <v>851</v>
      </c>
      <c r="B108" t="s">
        <v>888</v>
      </c>
      <c r="C108" t="s">
        <v>9</v>
      </c>
      <c r="D108">
        <v>20</v>
      </c>
      <c r="E108" t="s">
        <v>502</v>
      </c>
      <c r="F108" t="s">
        <v>769</v>
      </c>
      <c r="G108" t="s">
        <v>20</v>
      </c>
      <c r="H108" t="s">
        <v>770</v>
      </c>
      <c r="I108" t="s">
        <v>504</v>
      </c>
    </row>
    <row r="109" spans="1:9" x14ac:dyDescent="0.25">
      <c r="A109" t="s">
        <v>851</v>
      </c>
      <c r="B109" t="s">
        <v>888</v>
      </c>
      <c r="C109" t="s">
        <v>10</v>
      </c>
      <c r="D109">
        <v>1</v>
      </c>
      <c r="E109" t="s">
        <v>502</v>
      </c>
      <c r="F109" t="s">
        <v>769</v>
      </c>
      <c r="G109" t="s">
        <v>20</v>
      </c>
      <c r="H109" t="s">
        <v>770</v>
      </c>
      <c r="I109" t="s">
        <v>504</v>
      </c>
    </row>
    <row r="110" spans="1:9" x14ac:dyDescent="0.25">
      <c r="A110" t="s">
        <v>851</v>
      </c>
      <c r="B110" t="s">
        <v>888</v>
      </c>
      <c r="C110" t="s">
        <v>13</v>
      </c>
      <c r="D110">
        <v>6</v>
      </c>
      <c r="E110" t="s">
        <v>502</v>
      </c>
      <c r="F110" t="s">
        <v>769</v>
      </c>
      <c r="G110" t="s">
        <v>20</v>
      </c>
      <c r="H110" t="s">
        <v>770</v>
      </c>
      <c r="I110" t="s">
        <v>504</v>
      </c>
    </row>
    <row r="111" spans="1:9" x14ac:dyDescent="0.25">
      <c r="A111" t="s">
        <v>851</v>
      </c>
      <c r="B111" t="s">
        <v>888</v>
      </c>
      <c r="C111" t="s">
        <v>15</v>
      </c>
      <c r="D111" t="s">
        <v>180</v>
      </c>
      <c r="E111" t="s">
        <v>502</v>
      </c>
      <c r="F111" t="s">
        <v>769</v>
      </c>
      <c r="G111" t="s">
        <v>20</v>
      </c>
      <c r="H111" t="s">
        <v>770</v>
      </c>
      <c r="I111" t="s">
        <v>504</v>
      </c>
    </row>
    <row r="112" spans="1:9" x14ac:dyDescent="0.25">
      <c r="A112" t="s">
        <v>851</v>
      </c>
      <c r="B112" t="s">
        <v>888</v>
      </c>
      <c r="C112" t="s">
        <v>17</v>
      </c>
      <c r="D112" t="s">
        <v>123</v>
      </c>
      <c r="E112" t="s">
        <v>502</v>
      </c>
      <c r="F112" t="s">
        <v>769</v>
      </c>
      <c r="G112" t="s">
        <v>20</v>
      </c>
      <c r="H112" t="s">
        <v>770</v>
      </c>
      <c r="I112" t="s">
        <v>504</v>
      </c>
    </row>
    <row r="113" spans="1:9" x14ac:dyDescent="0.25">
      <c r="A113" t="s">
        <v>851</v>
      </c>
      <c r="B113" t="s">
        <v>888</v>
      </c>
      <c r="C113" t="s">
        <v>19</v>
      </c>
      <c r="D113" t="s">
        <v>20</v>
      </c>
      <c r="E113" t="s">
        <v>502</v>
      </c>
      <c r="F113" t="s">
        <v>769</v>
      </c>
      <c r="G113" t="s">
        <v>20</v>
      </c>
      <c r="H113" t="s">
        <v>770</v>
      </c>
      <c r="I113" t="s">
        <v>504</v>
      </c>
    </row>
    <row r="114" spans="1:9" x14ac:dyDescent="0.25">
      <c r="A114" t="s">
        <v>851</v>
      </c>
      <c r="B114" t="s">
        <v>889</v>
      </c>
      <c r="C114" t="s">
        <v>4</v>
      </c>
      <c r="D114" t="s">
        <v>553</v>
      </c>
      <c r="E114" t="s">
        <v>553</v>
      </c>
      <c r="F114" t="s">
        <v>769</v>
      </c>
      <c r="G114" t="s">
        <v>20</v>
      </c>
      <c r="H114" t="s">
        <v>770</v>
      </c>
      <c r="I114" t="s">
        <v>555</v>
      </c>
    </row>
    <row r="115" spans="1:9" x14ac:dyDescent="0.25">
      <c r="A115" t="s">
        <v>851</v>
      </c>
      <c r="B115" t="s">
        <v>889</v>
      </c>
      <c r="C115" t="s">
        <v>7</v>
      </c>
      <c r="D115" t="s">
        <v>555</v>
      </c>
      <c r="E115" t="s">
        <v>553</v>
      </c>
      <c r="F115" t="s">
        <v>769</v>
      </c>
      <c r="G115" t="s">
        <v>20</v>
      </c>
      <c r="H115" t="s">
        <v>770</v>
      </c>
      <c r="I115" t="s">
        <v>555</v>
      </c>
    </row>
    <row r="116" spans="1:9" x14ac:dyDescent="0.25">
      <c r="A116" t="s">
        <v>851</v>
      </c>
      <c r="B116" t="s">
        <v>889</v>
      </c>
      <c r="C116" t="s">
        <v>9</v>
      </c>
      <c r="D116">
        <v>20</v>
      </c>
      <c r="E116" t="s">
        <v>553</v>
      </c>
      <c r="F116" t="s">
        <v>769</v>
      </c>
      <c r="G116" t="s">
        <v>20</v>
      </c>
      <c r="H116" t="s">
        <v>770</v>
      </c>
      <c r="I116" t="s">
        <v>555</v>
      </c>
    </row>
    <row r="117" spans="1:9" x14ac:dyDescent="0.25">
      <c r="A117" t="s">
        <v>851</v>
      </c>
      <c r="B117" t="s">
        <v>889</v>
      </c>
      <c r="C117" t="s">
        <v>10</v>
      </c>
      <c r="D117">
        <v>1</v>
      </c>
      <c r="E117" t="s">
        <v>553</v>
      </c>
      <c r="F117" t="s">
        <v>769</v>
      </c>
      <c r="G117" t="s">
        <v>20</v>
      </c>
      <c r="H117" t="s">
        <v>770</v>
      </c>
      <c r="I117" t="s">
        <v>555</v>
      </c>
    </row>
    <row r="118" spans="1:9" x14ac:dyDescent="0.25">
      <c r="A118" t="s">
        <v>851</v>
      </c>
      <c r="B118" t="s">
        <v>889</v>
      </c>
      <c r="C118" t="s">
        <v>13</v>
      </c>
      <c r="D118">
        <v>6</v>
      </c>
      <c r="E118" t="s">
        <v>553</v>
      </c>
      <c r="F118" t="s">
        <v>769</v>
      </c>
      <c r="G118" t="s">
        <v>20</v>
      </c>
      <c r="H118" t="s">
        <v>770</v>
      </c>
      <c r="I118" t="s">
        <v>555</v>
      </c>
    </row>
    <row r="119" spans="1:9" x14ac:dyDescent="0.25">
      <c r="A119" t="s">
        <v>851</v>
      </c>
      <c r="B119" t="s">
        <v>889</v>
      </c>
      <c r="C119" t="s">
        <v>15</v>
      </c>
      <c r="D119" t="s">
        <v>557</v>
      </c>
      <c r="E119" t="s">
        <v>553</v>
      </c>
      <c r="F119" t="s">
        <v>769</v>
      </c>
      <c r="G119" t="s">
        <v>20</v>
      </c>
      <c r="H119" t="s">
        <v>770</v>
      </c>
      <c r="I119" t="s">
        <v>555</v>
      </c>
    </row>
    <row r="120" spans="1:9" x14ac:dyDescent="0.25">
      <c r="A120" t="s">
        <v>851</v>
      </c>
      <c r="B120" t="s">
        <v>889</v>
      </c>
      <c r="C120" t="s">
        <v>17</v>
      </c>
      <c r="D120" t="s">
        <v>123</v>
      </c>
      <c r="E120" t="s">
        <v>553</v>
      </c>
      <c r="F120" t="s">
        <v>769</v>
      </c>
      <c r="G120" t="s">
        <v>20</v>
      </c>
      <c r="H120" t="s">
        <v>770</v>
      </c>
      <c r="I120" t="s">
        <v>555</v>
      </c>
    </row>
    <row r="121" spans="1:9" x14ac:dyDescent="0.25">
      <c r="A121" t="s">
        <v>851</v>
      </c>
      <c r="B121" t="s">
        <v>889</v>
      </c>
      <c r="C121" t="s">
        <v>19</v>
      </c>
      <c r="D121" t="s">
        <v>20</v>
      </c>
      <c r="E121" t="s">
        <v>553</v>
      </c>
      <c r="F121" t="s">
        <v>769</v>
      </c>
      <c r="G121" t="s">
        <v>20</v>
      </c>
      <c r="H121" t="s">
        <v>770</v>
      </c>
      <c r="I121" t="s">
        <v>555</v>
      </c>
    </row>
    <row r="122" spans="1:9" x14ac:dyDescent="0.25">
      <c r="A122" t="s">
        <v>851</v>
      </c>
      <c r="B122" t="s">
        <v>890</v>
      </c>
      <c r="C122" t="s">
        <v>4</v>
      </c>
      <c r="D122" t="s">
        <v>602</v>
      </c>
      <c r="E122" t="s">
        <v>602</v>
      </c>
      <c r="F122" t="s">
        <v>769</v>
      </c>
      <c r="G122" t="s">
        <v>20</v>
      </c>
      <c r="H122" t="s">
        <v>770</v>
      </c>
      <c r="I122" t="s">
        <v>604</v>
      </c>
    </row>
    <row r="123" spans="1:9" x14ac:dyDescent="0.25">
      <c r="A123" t="s">
        <v>851</v>
      </c>
      <c r="B123" t="s">
        <v>890</v>
      </c>
      <c r="C123" t="s">
        <v>7</v>
      </c>
      <c r="D123" t="s">
        <v>604</v>
      </c>
      <c r="E123" t="s">
        <v>602</v>
      </c>
      <c r="F123" t="s">
        <v>769</v>
      </c>
      <c r="G123" t="s">
        <v>20</v>
      </c>
      <c r="H123" t="s">
        <v>770</v>
      </c>
      <c r="I123" t="s">
        <v>604</v>
      </c>
    </row>
    <row r="124" spans="1:9" x14ac:dyDescent="0.25">
      <c r="A124" t="s">
        <v>851</v>
      </c>
      <c r="B124" t="s">
        <v>890</v>
      </c>
      <c r="C124" t="s">
        <v>9</v>
      </c>
      <c r="D124">
        <v>20</v>
      </c>
      <c r="E124" t="s">
        <v>602</v>
      </c>
      <c r="F124" t="s">
        <v>769</v>
      </c>
      <c r="G124" t="s">
        <v>20</v>
      </c>
      <c r="H124" t="s">
        <v>770</v>
      </c>
      <c r="I124" t="s">
        <v>604</v>
      </c>
    </row>
    <row r="125" spans="1:9" x14ac:dyDescent="0.25">
      <c r="A125" t="s">
        <v>851</v>
      </c>
      <c r="B125" t="s">
        <v>890</v>
      </c>
      <c r="C125" t="s">
        <v>10</v>
      </c>
      <c r="D125">
        <v>2</v>
      </c>
      <c r="E125" t="s">
        <v>602</v>
      </c>
      <c r="F125" t="s">
        <v>769</v>
      </c>
      <c r="G125" t="s">
        <v>20</v>
      </c>
      <c r="H125" t="s">
        <v>770</v>
      </c>
      <c r="I125" t="s">
        <v>604</v>
      </c>
    </row>
    <row r="126" spans="1:9" x14ac:dyDescent="0.25">
      <c r="A126" t="s">
        <v>851</v>
      </c>
      <c r="B126" t="s">
        <v>890</v>
      </c>
      <c r="C126" t="s">
        <v>13</v>
      </c>
      <c r="D126">
        <v>6</v>
      </c>
      <c r="E126" t="s">
        <v>602</v>
      </c>
      <c r="F126" t="s">
        <v>769</v>
      </c>
      <c r="G126" t="s">
        <v>20</v>
      </c>
      <c r="H126" t="s">
        <v>770</v>
      </c>
      <c r="I126" t="s">
        <v>604</v>
      </c>
    </row>
    <row r="127" spans="1:9" x14ac:dyDescent="0.25">
      <c r="A127" t="s">
        <v>851</v>
      </c>
      <c r="B127" t="s">
        <v>890</v>
      </c>
      <c r="C127" t="s">
        <v>15</v>
      </c>
      <c r="D127" t="s">
        <v>606</v>
      </c>
      <c r="E127" t="s">
        <v>602</v>
      </c>
      <c r="F127" t="s">
        <v>769</v>
      </c>
      <c r="G127" t="s">
        <v>20</v>
      </c>
      <c r="H127" t="s">
        <v>770</v>
      </c>
      <c r="I127" t="s">
        <v>604</v>
      </c>
    </row>
    <row r="128" spans="1:9" x14ac:dyDescent="0.25">
      <c r="A128" t="s">
        <v>851</v>
      </c>
      <c r="B128" t="s">
        <v>890</v>
      </c>
      <c r="C128" t="s">
        <v>17</v>
      </c>
      <c r="D128" t="s">
        <v>123</v>
      </c>
      <c r="E128" t="s">
        <v>602</v>
      </c>
      <c r="F128" t="s">
        <v>769</v>
      </c>
      <c r="G128" t="s">
        <v>20</v>
      </c>
      <c r="H128" t="s">
        <v>770</v>
      </c>
      <c r="I128" t="s">
        <v>604</v>
      </c>
    </row>
    <row r="129" spans="1:9" x14ac:dyDescent="0.25">
      <c r="A129" t="s">
        <v>851</v>
      </c>
      <c r="B129" t="s">
        <v>890</v>
      </c>
      <c r="C129" t="s">
        <v>19</v>
      </c>
      <c r="D129" t="s">
        <v>20</v>
      </c>
      <c r="E129" t="s">
        <v>602</v>
      </c>
      <c r="F129" t="s">
        <v>769</v>
      </c>
      <c r="G129" t="s">
        <v>20</v>
      </c>
      <c r="H129" t="s">
        <v>770</v>
      </c>
      <c r="I129" t="s">
        <v>604</v>
      </c>
    </row>
    <row r="130" spans="1:9" x14ac:dyDescent="0.25">
      <c r="A130" t="s">
        <v>851</v>
      </c>
      <c r="B130" t="s">
        <v>891</v>
      </c>
      <c r="C130" t="s">
        <v>4</v>
      </c>
      <c r="D130" t="s">
        <v>654</v>
      </c>
      <c r="E130" t="s">
        <v>654</v>
      </c>
      <c r="F130" t="s">
        <v>769</v>
      </c>
      <c r="G130" t="s">
        <v>20</v>
      </c>
      <c r="H130" t="s">
        <v>770</v>
      </c>
      <c r="I130" t="s">
        <v>864</v>
      </c>
    </row>
    <row r="131" spans="1:9" x14ac:dyDescent="0.25">
      <c r="A131" t="s">
        <v>851</v>
      </c>
      <c r="B131" t="s">
        <v>891</v>
      </c>
      <c r="C131" t="s">
        <v>7</v>
      </c>
      <c r="D131" t="s">
        <v>655</v>
      </c>
      <c r="E131" t="s">
        <v>654</v>
      </c>
      <c r="F131" t="s">
        <v>769</v>
      </c>
      <c r="G131" t="s">
        <v>20</v>
      </c>
      <c r="H131" t="s">
        <v>770</v>
      </c>
      <c r="I131" t="s">
        <v>864</v>
      </c>
    </row>
    <row r="132" spans="1:9" x14ac:dyDescent="0.25">
      <c r="A132" t="s">
        <v>851</v>
      </c>
      <c r="B132" t="s">
        <v>891</v>
      </c>
      <c r="C132" t="s">
        <v>9</v>
      </c>
      <c r="D132">
        <v>60</v>
      </c>
      <c r="E132" t="s">
        <v>654</v>
      </c>
      <c r="F132" t="s">
        <v>769</v>
      </c>
      <c r="G132" t="s">
        <v>20</v>
      </c>
      <c r="H132" t="s">
        <v>770</v>
      </c>
      <c r="I132" t="s">
        <v>864</v>
      </c>
    </row>
    <row r="133" spans="1:9" x14ac:dyDescent="0.25">
      <c r="A133" t="s">
        <v>851</v>
      </c>
      <c r="B133" t="s">
        <v>891</v>
      </c>
      <c r="C133" t="s">
        <v>10</v>
      </c>
      <c r="D133" t="s">
        <v>11</v>
      </c>
      <c r="E133" t="s">
        <v>654</v>
      </c>
      <c r="F133" t="s">
        <v>769</v>
      </c>
      <c r="G133" t="s">
        <v>20</v>
      </c>
      <c r="H133" t="s">
        <v>770</v>
      </c>
      <c r="I133" t="s">
        <v>864</v>
      </c>
    </row>
    <row r="134" spans="1:9" x14ac:dyDescent="0.25">
      <c r="A134" t="s">
        <v>851</v>
      </c>
      <c r="B134" t="s">
        <v>891</v>
      </c>
      <c r="C134" t="s">
        <v>13</v>
      </c>
      <c r="D134">
        <v>6</v>
      </c>
      <c r="E134" t="s">
        <v>654</v>
      </c>
      <c r="F134" t="s">
        <v>769</v>
      </c>
      <c r="G134" t="s">
        <v>20</v>
      </c>
      <c r="H134" t="s">
        <v>770</v>
      </c>
      <c r="I134" t="s">
        <v>864</v>
      </c>
    </row>
    <row r="135" spans="1:9" x14ac:dyDescent="0.25">
      <c r="A135" t="s">
        <v>851</v>
      </c>
      <c r="B135" t="s">
        <v>891</v>
      </c>
      <c r="C135" t="s">
        <v>15</v>
      </c>
      <c r="D135" t="s">
        <v>656</v>
      </c>
      <c r="E135" t="s">
        <v>654</v>
      </c>
      <c r="F135" t="s">
        <v>769</v>
      </c>
      <c r="G135" t="s">
        <v>20</v>
      </c>
      <c r="H135" t="s">
        <v>770</v>
      </c>
      <c r="I135" t="s">
        <v>864</v>
      </c>
    </row>
    <row r="136" spans="1:9" x14ac:dyDescent="0.25">
      <c r="A136" t="s">
        <v>851</v>
      </c>
      <c r="B136" t="s">
        <v>891</v>
      </c>
      <c r="C136" t="s">
        <v>17</v>
      </c>
      <c r="D136" t="s">
        <v>18</v>
      </c>
      <c r="E136" t="s">
        <v>654</v>
      </c>
      <c r="F136" t="s">
        <v>769</v>
      </c>
      <c r="G136" t="s">
        <v>20</v>
      </c>
      <c r="H136" t="s">
        <v>770</v>
      </c>
      <c r="I136" t="s">
        <v>864</v>
      </c>
    </row>
    <row r="137" spans="1:9" x14ac:dyDescent="0.25">
      <c r="A137" t="s">
        <v>851</v>
      </c>
      <c r="B137" t="s">
        <v>891</v>
      </c>
      <c r="C137" t="s">
        <v>19</v>
      </c>
      <c r="D137" t="s">
        <v>20</v>
      </c>
      <c r="E137" t="s">
        <v>654</v>
      </c>
      <c r="F137" t="s">
        <v>769</v>
      </c>
      <c r="G137" t="s">
        <v>20</v>
      </c>
      <c r="H137" t="s">
        <v>770</v>
      </c>
      <c r="I137" t="s">
        <v>864</v>
      </c>
    </row>
    <row r="138" spans="1:9" x14ac:dyDescent="0.25">
      <c r="A138" t="s">
        <v>851</v>
      </c>
      <c r="B138" t="s">
        <v>892</v>
      </c>
      <c r="C138" t="s">
        <v>4</v>
      </c>
      <c r="D138" t="s">
        <v>658</v>
      </c>
      <c r="E138" t="s">
        <v>658</v>
      </c>
      <c r="F138" t="s">
        <v>769</v>
      </c>
      <c r="G138" t="s">
        <v>20</v>
      </c>
      <c r="H138" t="s">
        <v>770</v>
      </c>
      <c r="I138" t="s">
        <v>866</v>
      </c>
    </row>
    <row r="139" spans="1:9" x14ac:dyDescent="0.25">
      <c r="A139" t="s">
        <v>851</v>
      </c>
      <c r="B139" t="s">
        <v>892</v>
      </c>
      <c r="C139" t="s">
        <v>7</v>
      </c>
      <c r="D139" t="s">
        <v>659</v>
      </c>
      <c r="E139" t="s">
        <v>658</v>
      </c>
      <c r="F139" t="s">
        <v>769</v>
      </c>
      <c r="G139" t="s">
        <v>20</v>
      </c>
      <c r="H139" t="s">
        <v>770</v>
      </c>
      <c r="I139" t="s">
        <v>866</v>
      </c>
    </row>
    <row r="140" spans="1:9" x14ac:dyDescent="0.25">
      <c r="A140" t="s">
        <v>851</v>
      </c>
      <c r="B140" t="s">
        <v>892</v>
      </c>
      <c r="C140" t="s">
        <v>9</v>
      </c>
      <c r="D140">
        <v>20</v>
      </c>
      <c r="E140" t="s">
        <v>658</v>
      </c>
      <c r="F140" t="s">
        <v>769</v>
      </c>
      <c r="G140" t="s">
        <v>20</v>
      </c>
      <c r="H140" t="s">
        <v>770</v>
      </c>
      <c r="I140" t="s">
        <v>866</v>
      </c>
    </row>
    <row r="141" spans="1:9" x14ac:dyDescent="0.25">
      <c r="A141" t="s">
        <v>851</v>
      </c>
      <c r="B141" t="s">
        <v>892</v>
      </c>
      <c r="C141" t="s">
        <v>10</v>
      </c>
      <c r="D141" t="s">
        <v>11</v>
      </c>
      <c r="E141" t="s">
        <v>658</v>
      </c>
      <c r="F141" t="s">
        <v>769</v>
      </c>
      <c r="G141" t="s">
        <v>20</v>
      </c>
      <c r="H141" t="s">
        <v>770</v>
      </c>
      <c r="I141" t="s">
        <v>866</v>
      </c>
    </row>
    <row r="142" spans="1:9" x14ac:dyDescent="0.25">
      <c r="A142" t="s">
        <v>851</v>
      </c>
      <c r="B142" t="s">
        <v>892</v>
      </c>
      <c r="C142" t="s">
        <v>13</v>
      </c>
      <c r="D142">
        <v>6</v>
      </c>
      <c r="E142" t="s">
        <v>658</v>
      </c>
      <c r="F142" t="s">
        <v>769</v>
      </c>
      <c r="G142" t="s">
        <v>20</v>
      </c>
      <c r="H142" t="s">
        <v>770</v>
      </c>
      <c r="I142" t="s">
        <v>866</v>
      </c>
    </row>
    <row r="143" spans="1:9" x14ac:dyDescent="0.25">
      <c r="A143" t="s">
        <v>851</v>
      </c>
      <c r="B143" t="s">
        <v>892</v>
      </c>
      <c r="C143" t="s">
        <v>15</v>
      </c>
      <c r="D143" t="s">
        <v>660</v>
      </c>
      <c r="E143" t="s">
        <v>658</v>
      </c>
      <c r="F143" t="s">
        <v>769</v>
      </c>
      <c r="G143" t="s">
        <v>20</v>
      </c>
      <c r="H143" t="s">
        <v>770</v>
      </c>
      <c r="I143" t="s">
        <v>866</v>
      </c>
    </row>
    <row r="144" spans="1:9" x14ac:dyDescent="0.25">
      <c r="A144" t="s">
        <v>851</v>
      </c>
      <c r="B144" t="s">
        <v>892</v>
      </c>
      <c r="C144" t="s">
        <v>17</v>
      </c>
      <c r="D144" t="s">
        <v>18</v>
      </c>
      <c r="E144" t="s">
        <v>658</v>
      </c>
      <c r="F144" t="s">
        <v>769</v>
      </c>
      <c r="G144" t="s">
        <v>20</v>
      </c>
      <c r="H144" t="s">
        <v>770</v>
      </c>
      <c r="I144" t="s">
        <v>866</v>
      </c>
    </row>
    <row r="145" spans="1:9" x14ac:dyDescent="0.25">
      <c r="A145" t="s">
        <v>851</v>
      </c>
      <c r="B145" t="s">
        <v>892</v>
      </c>
      <c r="C145" t="s">
        <v>19</v>
      </c>
      <c r="D145" t="s">
        <v>20</v>
      </c>
      <c r="E145" t="s">
        <v>658</v>
      </c>
      <c r="F145" t="s">
        <v>769</v>
      </c>
      <c r="G145" t="s">
        <v>20</v>
      </c>
      <c r="H145" t="s">
        <v>770</v>
      </c>
      <c r="I145" t="s">
        <v>866</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D306A2-B4BB-49F6-BC1D-DE4605C760F7}">
  <sheetPr codeName="Sheet22"/>
  <dimension ref="A1:M33"/>
  <sheetViews>
    <sheetView workbookViewId="0">
      <selection activeCell="F39" sqref="F39"/>
    </sheetView>
  </sheetViews>
  <sheetFormatPr defaultRowHeight="15" x14ac:dyDescent="0.25"/>
  <cols>
    <col min="1" max="1" width="49" bestFit="1" customWidth="1"/>
    <col min="2" max="2" width="16.140625" bestFit="1" customWidth="1"/>
    <col min="3" max="3" width="17.42578125" bestFit="1" customWidth="1"/>
    <col min="4" max="4" width="19.140625" bestFit="1" customWidth="1"/>
    <col min="5" max="5" width="46.7109375" bestFit="1" customWidth="1"/>
    <col min="6" max="6" width="81.140625" bestFit="1" customWidth="1"/>
    <col min="7" max="7" width="12.42578125" bestFit="1" customWidth="1"/>
    <col min="8" max="8" width="18" bestFit="1" customWidth="1"/>
    <col min="9" max="9" width="14.85546875" bestFit="1" customWidth="1"/>
    <col min="10" max="10" width="12.7109375" bestFit="1" customWidth="1"/>
    <col min="11" max="11" width="14" bestFit="1" customWidth="1"/>
    <col min="12" max="12" width="12.140625" bestFit="1" customWidth="1"/>
    <col min="13" max="13" width="46.85546875" bestFit="1" customWidth="1"/>
  </cols>
  <sheetData>
    <row r="1" spans="1:13" x14ac:dyDescent="0.25">
      <c r="A1" t="s">
        <v>759</v>
      </c>
      <c r="B1" t="s">
        <v>760</v>
      </c>
      <c r="C1" t="s">
        <v>51</v>
      </c>
      <c r="D1" t="s">
        <v>52</v>
      </c>
      <c r="E1" t="s">
        <v>53</v>
      </c>
      <c r="F1" t="s">
        <v>54</v>
      </c>
      <c r="G1" t="s">
        <v>55</v>
      </c>
      <c r="H1" t="s">
        <v>56</v>
      </c>
      <c r="I1" t="s">
        <v>761</v>
      </c>
      <c r="J1" t="s">
        <v>762</v>
      </c>
      <c r="K1" t="s">
        <v>763</v>
      </c>
      <c r="L1" t="s">
        <v>764</v>
      </c>
      <c r="M1" t="s">
        <v>765</v>
      </c>
    </row>
    <row r="2" spans="1:13" x14ac:dyDescent="0.25">
      <c r="A2" t="s">
        <v>766</v>
      </c>
      <c r="B2" t="s">
        <v>809</v>
      </c>
      <c r="C2" t="s">
        <v>57</v>
      </c>
      <c r="D2" t="s">
        <v>136</v>
      </c>
      <c r="F2" t="s">
        <v>810</v>
      </c>
      <c r="G2">
        <v>0.3</v>
      </c>
      <c r="H2">
        <v>7</v>
      </c>
      <c r="I2" t="s">
        <v>768</v>
      </c>
      <c r="J2" t="s">
        <v>811</v>
      </c>
      <c r="K2" t="s">
        <v>20</v>
      </c>
      <c r="L2" t="s">
        <v>770</v>
      </c>
      <c r="M2" t="s">
        <v>771</v>
      </c>
    </row>
    <row r="3" spans="1:13" x14ac:dyDescent="0.25">
      <c r="A3" t="s">
        <v>766</v>
      </c>
      <c r="B3" t="s">
        <v>809</v>
      </c>
      <c r="C3" t="s">
        <v>61</v>
      </c>
      <c r="D3" t="s">
        <v>136</v>
      </c>
      <c r="F3" t="s">
        <v>812</v>
      </c>
      <c r="H3" t="s">
        <v>813</v>
      </c>
      <c r="I3" t="s">
        <v>768</v>
      </c>
      <c r="J3" t="s">
        <v>811</v>
      </c>
      <c r="K3" t="s">
        <v>20</v>
      </c>
      <c r="L3" t="s">
        <v>770</v>
      </c>
      <c r="M3" t="s">
        <v>771</v>
      </c>
    </row>
    <row r="4" spans="1:13" x14ac:dyDescent="0.25">
      <c r="A4" t="s">
        <v>766</v>
      </c>
      <c r="B4" t="s">
        <v>814</v>
      </c>
      <c r="C4" t="s">
        <v>57</v>
      </c>
      <c r="D4" t="s">
        <v>58</v>
      </c>
      <c r="E4" t="s">
        <v>355</v>
      </c>
      <c r="F4" t="s">
        <v>815</v>
      </c>
      <c r="G4">
        <v>0.5</v>
      </c>
      <c r="H4">
        <v>6</v>
      </c>
      <c r="I4" t="s">
        <v>774</v>
      </c>
      <c r="J4" t="s">
        <v>811</v>
      </c>
      <c r="K4" t="s">
        <v>20</v>
      </c>
      <c r="L4" t="s">
        <v>770</v>
      </c>
      <c r="M4" t="s">
        <v>775</v>
      </c>
    </row>
    <row r="5" spans="1:13" x14ac:dyDescent="0.25">
      <c r="A5" t="s">
        <v>766</v>
      </c>
      <c r="B5" t="s">
        <v>814</v>
      </c>
      <c r="C5" t="s">
        <v>61</v>
      </c>
      <c r="D5" t="s">
        <v>136</v>
      </c>
      <c r="E5" t="s">
        <v>250</v>
      </c>
      <c r="F5" t="s">
        <v>816</v>
      </c>
      <c r="G5">
        <v>0.5</v>
      </c>
      <c r="H5">
        <v>12</v>
      </c>
      <c r="I5" t="s">
        <v>774</v>
      </c>
      <c r="J5" t="s">
        <v>811</v>
      </c>
      <c r="K5" t="s">
        <v>20</v>
      </c>
      <c r="L5" t="s">
        <v>770</v>
      </c>
      <c r="M5" t="s">
        <v>775</v>
      </c>
    </row>
    <row r="6" spans="1:13" x14ac:dyDescent="0.25">
      <c r="A6" t="s">
        <v>766</v>
      </c>
      <c r="B6" t="s">
        <v>817</v>
      </c>
      <c r="C6" t="s">
        <v>57</v>
      </c>
      <c r="D6" t="s">
        <v>133</v>
      </c>
      <c r="E6" t="s">
        <v>353</v>
      </c>
      <c r="F6" t="s">
        <v>818</v>
      </c>
      <c r="G6">
        <v>0.5</v>
      </c>
      <c r="H6">
        <v>6</v>
      </c>
      <c r="I6" t="s">
        <v>779</v>
      </c>
      <c r="J6" t="s">
        <v>811</v>
      </c>
      <c r="K6" t="s">
        <v>20</v>
      </c>
      <c r="L6" t="s">
        <v>770</v>
      </c>
      <c r="M6" t="s">
        <v>780</v>
      </c>
    </row>
    <row r="7" spans="1:13" x14ac:dyDescent="0.25">
      <c r="A7" t="s">
        <v>766</v>
      </c>
      <c r="B7" t="s">
        <v>817</v>
      </c>
      <c r="C7" t="s">
        <v>61</v>
      </c>
      <c r="D7" t="s">
        <v>247</v>
      </c>
      <c r="E7" t="s">
        <v>617</v>
      </c>
      <c r="F7" t="s">
        <v>819</v>
      </c>
      <c r="G7">
        <v>0.5</v>
      </c>
      <c r="H7">
        <v>12</v>
      </c>
      <c r="I7" t="s">
        <v>779</v>
      </c>
      <c r="J7" t="s">
        <v>811</v>
      </c>
      <c r="K7" t="s">
        <v>20</v>
      </c>
      <c r="L7" t="s">
        <v>770</v>
      </c>
      <c r="M7" t="s">
        <v>780</v>
      </c>
    </row>
    <row r="8" spans="1:13" x14ac:dyDescent="0.25">
      <c r="A8" t="s">
        <v>766</v>
      </c>
      <c r="B8" t="s">
        <v>820</v>
      </c>
      <c r="C8" t="s">
        <v>57</v>
      </c>
      <c r="D8" t="s">
        <v>247</v>
      </c>
      <c r="E8" t="s">
        <v>355</v>
      </c>
      <c r="F8" t="s">
        <v>821</v>
      </c>
      <c r="G8">
        <v>0.5</v>
      </c>
      <c r="H8">
        <v>8</v>
      </c>
      <c r="I8" t="s">
        <v>783</v>
      </c>
      <c r="J8" t="s">
        <v>811</v>
      </c>
      <c r="K8" t="s">
        <v>20</v>
      </c>
      <c r="L8" t="s">
        <v>770</v>
      </c>
      <c r="M8" t="s">
        <v>784</v>
      </c>
    </row>
    <row r="9" spans="1:13" x14ac:dyDescent="0.25">
      <c r="A9" t="s">
        <v>766</v>
      </c>
      <c r="B9" t="s">
        <v>820</v>
      </c>
      <c r="C9" t="s">
        <v>61</v>
      </c>
      <c r="D9" t="s">
        <v>133</v>
      </c>
      <c r="E9" t="s">
        <v>353</v>
      </c>
      <c r="F9" t="s">
        <v>822</v>
      </c>
      <c r="G9">
        <v>0.5</v>
      </c>
      <c r="H9" t="s">
        <v>823</v>
      </c>
      <c r="I9" t="s">
        <v>783</v>
      </c>
      <c r="J9" t="s">
        <v>811</v>
      </c>
      <c r="K9" t="s">
        <v>20</v>
      </c>
      <c r="L9" t="s">
        <v>770</v>
      </c>
      <c r="M9" t="s">
        <v>784</v>
      </c>
    </row>
    <row r="10" spans="1:13" x14ac:dyDescent="0.25">
      <c r="A10" t="s">
        <v>766</v>
      </c>
      <c r="B10" t="s">
        <v>824</v>
      </c>
      <c r="C10" t="s">
        <v>57</v>
      </c>
      <c r="D10" t="s">
        <v>247</v>
      </c>
      <c r="E10" t="s">
        <v>683</v>
      </c>
      <c r="F10" t="s">
        <v>825</v>
      </c>
      <c r="G10">
        <v>0.6</v>
      </c>
      <c r="H10">
        <v>28</v>
      </c>
      <c r="I10" t="s">
        <v>787</v>
      </c>
      <c r="J10" t="s">
        <v>811</v>
      </c>
      <c r="K10" t="s">
        <v>20</v>
      </c>
      <c r="L10" t="s">
        <v>770</v>
      </c>
      <c r="M10" t="s">
        <v>788</v>
      </c>
    </row>
    <row r="11" spans="1:13" x14ac:dyDescent="0.25">
      <c r="A11" t="s">
        <v>766</v>
      </c>
      <c r="B11" t="s">
        <v>824</v>
      </c>
      <c r="C11" t="s">
        <v>61</v>
      </c>
      <c r="D11" t="s">
        <v>133</v>
      </c>
      <c r="E11" t="s">
        <v>299</v>
      </c>
      <c r="F11" t="s">
        <v>826</v>
      </c>
      <c r="G11">
        <v>0.4</v>
      </c>
      <c r="H11">
        <v>28</v>
      </c>
      <c r="I11" t="s">
        <v>787</v>
      </c>
      <c r="J11" t="s">
        <v>811</v>
      </c>
      <c r="K11" t="s">
        <v>20</v>
      </c>
      <c r="L11" t="s">
        <v>770</v>
      </c>
      <c r="M11" t="s">
        <v>788</v>
      </c>
    </row>
    <row r="12" spans="1:13" x14ac:dyDescent="0.25">
      <c r="A12" t="s">
        <v>851</v>
      </c>
      <c r="B12" t="s">
        <v>893</v>
      </c>
      <c r="C12" t="s">
        <v>57</v>
      </c>
      <c r="D12" t="s">
        <v>58</v>
      </c>
      <c r="E12" t="s">
        <v>59</v>
      </c>
      <c r="F12" t="s">
        <v>894</v>
      </c>
      <c r="G12">
        <v>0.5</v>
      </c>
      <c r="H12">
        <v>12</v>
      </c>
      <c r="I12" t="s">
        <v>5</v>
      </c>
      <c r="J12" t="s">
        <v>811</v>
      </c>
      <c r="K12" t="s">
        <v>20</v>
      </c>
      <c r="L12" t="s">
        <v>770</v>
      </c>
      <c r="M12" t="s">
        <v>8</v>
      </c>
    </row>
    <row r="13" spans="1:13" x14ac:dyDescent="0.25">
      <c r="A13" t="s">
        <v>851</v>
      </c>
      <c r="B13" t="s">
        <v>893</v>
      </c>
      <c r="C13" t="s">
        <v>61</v>
      </c>
      <c r="D13" t="s">
        <v>58</v>
      </c>
      <c r="E13" t="s">
        <v>62</v>
      </c>
      <c r="F13" t="s">
        <v>63</v>
      </c>
      <c r="G13">
        <v>0.5</v>
      </c>
      <c r="H13">
        <v>32</v>
      </c>
      <c r="I13" t="s">
        <v>5</v>
      </c>
      <c r="J13" t="s">
        <v>811</v>
      </c>
      <c r="K13" t="s">
        <v>20</v>
      </c>
      <c r="L13" t="s">
        <v>770</v>
      </c>
      <c r="M13" t="s">
        <v>8</v>
      </c>
    </row>
    <row r="14" spans="1:13" x14ac:dyDescent="0.25">
      <c r="A14" t="s">
        <v>851</v>
      </c>
      <c r="B14" t="s">
        <v>895</v>
      </c>
      <c r="C14" t="s">
        <v>57</v>
      </c>
      <c r="D14" t="s">
        <v>133</v>
      </c>
      <c r="E14" t="s">
        <v>134</v>
      </c>
      <c r="F14" t="s">
        <v>896</v>
      </c>
      <c r="G14">
        <v>0.5</v>
      </c>
      <c r="H14">
        <v>8</v>
      </c>
      <c r="I14" t="s">
        <v>118</v>
      </c>
      <c r="J14" t="s">
        <v>811</v>
      </c>
      <c r="K14" t="s">
        <v>20</v>
      </c>
      <c r="L14" t="s">
        <v>770</v>
      </c>
      <c r="M14" t="s">
        <v>120</v>
      </c>
    </row>
    <row r="15" spans="1:13" x14ac:dyDescent="0.25">
      <c r="A15" t="s">
        <v>851</v>
      </c>
      <c r="B15" t="s">
        <v>895</v>
      </c>
      <c r="C15" t="s">
        <v>61</v>
      </c>
      <c r="D15" t="s">
        <v>136</v>
      </c>
      <c r="E15" t="s">
        <v>137</v>
      </c>
      <c r="G15">
        <v>0.5</v>
      </c>
      <c r="H15">
        <v>17</v>
      </c>
      <c r="I15" t="s">
        <v>118</v>
      </c>
      <c r="J15" t="s">
        <v>811</v>
      </c>
      <c r="K15" t="s">
        <v>20</v>
      </c>
      <c r="L15" t="s">
        <v>770</v>
      </c>
      <c r="M15" t="s">
        <v>120</v>
      </c>
    </row>
    <row r="16" spans="1:13" x14ac:dyDescent="0.25">
      <c r="A16" t="s">
        <v>851</v>
      </c>
      <c r="B16" t="s">
        <v>897</v>
      </c>
      <c r="C16" t="s">
        <v>57</v>
      </c>
      <c r="D16" t="s">
        <v>136</v>
      </c>
      <c r="E16" t="s">
        <v>192</v>
      </c>
      <c r="F16" t="s">
        <v>898</v>
      </c>
      <c r="G16">
        <v>0.5</v>
      </c>
      <c r="H16">
        <v>25</v>
      </c>
      <c r="I16" t="s">
        <v>176</v>
      </c>
      <c r="J16" t="s">
        <v>811</v>
      </c>
      <c r="K16" t="s">
        <v>20</v>
      </c>
      <c r="L16" t="s">
        <v>770</v>
      </c>
      <c r="M16" t="s">
        <v>178</v>
      </c>
    </row>
    <row r="17" spans="1:13" x14ac:dyDescent="0.25">
      <c r="A17" t="s">
        <v>851</v>
      </c>
      <c r="B17" t="s">
        <v>897</v>
      </c>
      <c r="C17" t="s">
        <v>61</v>
      </c>
      <c r="D17" t="s">
        <v>133</v>
      </c>
      <c r="E17" t="s">
        <v>194</v>
      </c>
      <c r="F17" t="s">
        <v>195</v>
      </c>
      <c r="G17">
        <v>0.5</v>
      </c>
      <c r="H17">
        <v>32</v>
      </c>
      <c r="I17" t="s">
        <v>176</v>
      </c>
      <c r="J17" t="s">
        <v>811</v>
      </c>
      <c r="K17" t="s">
        <v>20</v>
      </c>
      <c r="L17" t="s">
        <v>770</v>
      </c>
      <c r="M17" t="s">
        <v>178</v>
      </c>
    </row>
    <row r="18" spans="1:13" x14ac:dyDescent="0.25">
      <c r="A18" t="s">
        <v>851</v>
      </c>
      <c r="B18" t="s">
        <v>899</v>
      </c>
      <c r="C18" t="s">
        <v>57</v>
      </c>
      <c r="D18" t="s">
        <v>247</v>
      </c>
      <c r="E18" t="s">
        <v>248</v>
      </c>
      <c r="F18" t="s">
        <v>900</v>
      </c>
      <c r="G18">
        <v>0.5</v>
      </c>
      <c r="H18">
        <v>32</v>
      </c>
      <c r="I18" t="s">
        <v>234</v>
      </c>
      <c r="J18" t="s">
        <v>811</v>
      </c>
      <c r="K18" t="s">
        <v>20</v>
      </c>
      <c r="L18" t="s">
        <v>770</v>
      </c>
      <c r="M18" t="s">
        <v>236</v>
      </c>
    </row>
    <row r="19" spans="1:13" x14ac:dyDescent="0.25">
      <c r="A19" t="s">
        <v>851</v>
      </c>
      <c r="B19" t="s">
        <v>899</v>
      </c>
      <c r="C19" t="s">
        <v>61</v>
      </c>
      <c r="D19" t="s">
        <v>136</v>
      </c>
      <c r="E19" t="s">
        <v>250</v>
      </c>
      <c r="F19" t="s">
        <v>251</v>
      </c>
      <c r="G19">
        <v>0.5</v>
      </c>
      <c r="H19">
        <v>33</v>
      </c>
      <c r="I19" t="s">
        <v>234</v>
      </c>
      <c r="J19" t="s">
        <v>811</v>
      </c>
      <c r="K19" t="s">
        <v>20</v>
      </c>
      <c r="L19" t="s">
        <v>770</v>
      </c>
      <c r="M19" t="s">
        <v>236</v>
      </c>
    </row>
    <row r="20" spans="1:13" x14ac:dyDescent="0.25">
      <c r="A20" t="s">
        <v>851</v>
      </c>
      <c r="B20" t="s">
        <v>901</v>
      </c>
      <c r="C20" t="s">
        <v>57</v>
      </c>
      <c r="D20" t="s">
        <v>133</v>
      </c>
      <c r="E20" t="s">
        <v>299</v>
      </c>
      <c r="F20" t="s">
        <v>902</v>
      </c>
      <c r="G20">
        <v>0.5</v>
      </c>
      <c r="H20">
        <v>8</v>
      </c>
      <c r="I20" t="s">
        <v>284</v>
      </c>
      <c r="J20" t="s">
        <v>811</v>
      </c>
      <c r="K20" t="s">
        <v>20</v>
      </c>
      <c r="L20" t="s">
        <v>770</v>
      </c>
      <c r="M20" t="s">
        <v>286</v>
      </c>
    </row>
    <row r="21" spans="1:13" x14ac:dyDescent="0.25">
      <c r="A21" t="s">
        <v>851</v>
      </c>
      <c r="B21" t="s">
        <v>901</v>
      </c>
      <c r="C21" t="s">
        <v>61</v>
      </c>
      <c r="D21" t="s">
        <v>58</v>
      </c>
      <c r="E21" t="s">
        <v>299</v>
      </c>
      <c r="F21" t="s">
        <v>301</v>
      </c>
      <c r="G21">
        <v>0.5</v>
      </c>
      <c r="H21">
        <v>32</v>
      </c>
      <c r="I21" t="s">
        <v>284</v>
      </c>
      <c r="J21" t="s">
        <v>811</v>
      </c>
      <c r="K21" t="s">
        <v>20</v>
      </c>
      <c r="L21" t="s">
        <v>770</v>
      </c>
      <c r="M21" t="s">
        <v>286</v>
      </c>
    </row>
    <row r="22" spans="1:13" x14ac:dyDescent="0.25">
      <c r="A22" t="s">
        <v>851</v>
      </c>
      <c r="B22" t="s">
        <v>903</v>
      </c>
      <c r="C22" t="s">
        <v>57</v>
      </c>
      <c r="D22" t="s">
        <v>133</v>
      </c>
      <c r="E22" t="s">
        <v>353</v>
      </c>
      <c r="F22" t="s">
        <v>904</v>
      </c>
      <c r="G22">
        <v>0.5</v>
      </c>
      <c r="H22">
        <v>8</v>
      </c>
      <c r="I22" t="s">
        <v>339</v>
      </c>
      <c r="J22" t="s">
        <v>811</v>
      </c>
      <c r="K22" t="s">
        <v>20</v>
      </c>
      <c r="L22" t="s">
        <v>770</v>
      </c>
      <c r="M22" t="s">
        <v>341</v>
      </c>
    </row>
    <row r="23" spans="1:13" x14ac:dyDescent="0.25">
      <c r="A23" t="s">
        <v>851</v>
      </c>
      <c r="B23" t="s">
        <v>903</v>
      </c>
      <c r="C23" t="s">
        <v>61</v>
      </c>
      <c r="D23" t="s">
        <v>247</v>
      </c>
      <c r="E23" t="s">
        <v>355</v>
      </c>
      <c r="F23" t="s">
        <v>905</v>
      </c>
      <c r="G23">
        <v>0.5</v>
      </c>
      <c r="H23">
        <v>17</v>
      </c>
      <c r="I23" t="s">
        <v>339</v>
      </c>
      <c r="J23" t="s">
        <v>811</v>
      </c>
      <c r="K23" t="s">
        <v>20</v>
      </c>
      <c r="L23" t="s">
        <v>770</v>
      </c>
      <c r="M23" t="s">
        <v>341</v>
      </c>
    </row>
    <row r="24" spans="1:13" x14ac:dyDescent="0.25">
      <c r="A24" t="s">
        <v>851</v>
      </c>
      <c r="B24" t="s">
        <v>906</v>
      </c>
      <c r="C24" t="s">
        <v>57</v>
      </c>
      <c r="D24" t="s">
        <v>247</v>
      </c>
      <c r="E24" t="s">
        <v>355</v>
      </c>
      <c r="F24" t="s">
        <v>907</v>
      </c>
      <c r="G24">
        <v>0.5</v>
      </c>
      <c r="H24">
        <v>8</v>
      </c>
      <c r="I24" t="s">
        <v>395</v>
      </c>
      <c r="J24" t="s">
        <v>811</v>
      </c>
      <c r="K24" t="s">
        <v>20</v>
      </c>
      <c r="L24" t="s">
        <v>770</v>
      </c>
      <c r="M24" t="s">
        <v>397</v>
      </c>
    </row>
    <row r="25" spans="1:13" x14ac:dyDescent="0.25">
      <c r="A25" t="s">
        <v>851</v>
      </c>
      <c r="B25" t="s">
        <v>906</v>
      </c>
      <c r="C25" t="s">
        <v>61</v>
      </c>
      <c r="D25" t="s">
        <v>133</v>
      </c>
      <c r="E25" t="s">
        <v>299</v>
      </c>
      <c r="F25" t="s">
        <v>908</v>
      </c>
      <c r="G25">
        <v>0.5</v>
      </c>
      <c r="H25">
        <v>12</v>
      </c>
      <c r="I25" t="s">
        <v>395</v>
      </c>
      <c r="J25" t="s">
        <v>811</v>
      </c>
      <c r="K25" t="s">
        <v>20</v>
      </c>
      <c r="L25" t="s">
        <v>770</v>
      </c>
      <c r="M25" t="s">
        <v>397</v>
      </c>
    </row>
    <row r="26" spans="1:13" x14ac:dyDescent="0.25">
      <c r="A26" t="s">
        <v>851</v>
      </c>
      <c r="B26" t="s">
        <v>909</v>
      </c>
      <c r="C26" t="s">
        <v>57</v>
      </c>
      <c r="D26" t="s">
        <v>133</v>
      </c>
      <c r="E26" t="s">
        <v>299</v>
      </c>
      <c r="F26" t="s">
        <v>910</v>
      </c>
      <c r="G26">
        <v>0.5</v>
      </c>
      <c r="H26">
        <v>25</v>
      </c>
      <c r="I26" t="s">
        <v>448</v>
      </c>
      <c r="J26" t="s">
        <v>811</v>
      </c>
      <c r="K26" t="s">
        <v>20</v>
      </c>
      <c r="L26" t="s">
        <v>770</v>
      </c>
      <c r="M26" t="s">
        <v>450</v>
      </c>
    </row>
    <row r="27" spans="1:13" x14ac:dyDescent="0.25">
      <c r="A27" t="s">
        <v>851</v>
      </c>
      <c r="B27" t="s">
        <v>909</v>
      </c>
      <c r="C27" t="s">
        <v>61</v>
      </c>
      <c r="D27" t="s">
        <v>247</v>
      </c>
      <c r="E27" t="s">
        <v>248</v>
      </c>
      <c r="F27" t="s">
        <v>911</v>
      </c>
      <c r="G27">
        <v>0.5</v>
      </c>
      <c r="H27">
        <v>32</v>
      </c>
      <c r="I27" t="s">
        <v>448</v>
      </c>
      <c r="J27" t="s">
        <v>811</v>
      </c>
      <c r="K27" t="s">
        <v>20</v>
      </c>
      <c r="L27" t="s">
        <v>770</v>
      </c>
      <c r="M27" t="s">
        <v>450</v>
      </c>
    </row>
    <row r="28" spans="1:13" x14ac:dyDescent="0.25">
      <c r="A28" t="s">
        <v>851</v>
      </c>
      <c r="B28" t="s">
        <v>912</v>
      </c>
      <c r="C28" t="s">
        <v>57</v>
      </c>
      <c r="D28" t="s">
        <v>133</v>
      </c>
      <c r="E28" t="s">
        <v>353</v>
      </c>
      <c r="F28" t="s">
        <v>515</v>
      </c>
      <c r="G28">
        <v>0.5</v>
      </c>
      <c r="H28">
        <v>6</v>
      </c>
      <c r="I28" t="s">
        <v>502</v>
      </c>
      <c r="J28" t="s">
        <v>811</v>
      </c>
      <c r="K28" t="s">
        <v>20</v>
      </c>
      <c r="L28" t="s">
        <v>770</v>
      </c>
      <c r="M28" t="s">
        <v>504</v>
      </c>
    </row>
    <row r="29" spans="1:13" x14ac:dyDescent="0.25">
      <c r="A29" t="s">
        <v>851</v>
      </c>
      <c r="B29" t="s">
        <v>913</v>
      </c>
      <c r="C29" t="s">
        <v>57</v>
      </c>
      <c r="D29" t="s">
        <v>136</v>
      </c>
      <c r="E29" t="s">
        <v>250</v>
      </c>
      <c r="F29" t="s">
        <v>568</v>
      </c>
      <c r="G29">
        <v>0.5</v>
      </c>
      <c r="H29">
        <v>17</v>
      </c>
      <c r="I29" t="s">
        <v>553</v>
      </c>
      <c r="J29" t="s">
        <v>811</v>
      </c>
      <c r="K29" t="s">
        <v>20</v>
      </c>
      <c r="L29" t="s">
        <v>770</v>
      </c>
      <c r="M29" t="s">
        <v>555</v>
      </c>
    </row>
    <row r="30" spans="1:13" x14ac:dyDescent="0.25">
      <c r="A30" t="s">
        <v>851</v>
      </c>
      <c r="B30" t="s">
        <v>913</v>
      </c>
      <c r="C30" t="s">
        <v>61</v>
      </c>
      <c r="D30" t="s">
        <v>133</v>
      </c>
      <c r="E30" t="s">
        <v>299</v>
      </c>
      <c r="F30" t="s">
        <v>914</v>
      </c>
      <c r="G30">
        <v>0.5</v>
      </c>
      <c r="H30">
        <v>12</v>
      </c>
      <c r="I30" t="s">
        <v>553</v>
      </c>
      <c r="J30" t="s">
        <v>811</v>
      </c>
      <c r="K30" t="s">
        <v>20</v>
      </c>
      <c r="L30" t="s">
        <v>770</v>
      </c>
      <c r="M30" t="s">
        <v>555</v>
      </c>
    </row>
    <row r="31" spans="1:13" x14ac:dyDescent="0.25">
      <c r="A31" t="s">
        <v>851</v>
      </c>
      <c r="B31" t="s">
        <v>915</v>
      </c>
      <c r="C31" t="s">
        <v>57</v>
      </c>
      <c r="D31" t="s">
        <v>133</v>
      </c>
      <c r="E31" t="s">
        <v>353</v>
      </c>
      <c r="F31" t="s">
        <v>916</v>
      </c>
      <c r="G31">
        <v>0.5</v>
      </c>
      <c r="H31">
        <v>22</v>
      </c>
      <c r="I31" t="s">
        <v>602</v>
      </c>
      <c r="J31" t="s">
        <v>811</v>
      </c>
      <c r="K31" t="s">
        <v>20</v>
      </c>
      <c r="L31" t="s">
        <v>770</v>
      </c>
      <c r="M31" t="s">
        <v>604</v>
      </c>
    </row>
    <row r="32" spans="1:13" x14ac:dyDescent="0.25">
      <c r="A32" t="s">
        <v>851</v>
      </c>
      <c r="B32" t="s">
        <v>915</v>
      </c>
      <c r="C32" t="s">
        <v>61</v>
      </c>
      <c r="D32" t="s">
        <v>247</v>
      </c>
      <c r="E32" t="s">
        <v>617</v>
      </c>
      <c r="F32" t="s">
        <v>917</v>
      </c>
      <c r="G32">
        <v>0.5</v>
      </c>
      <c r="H32">
        <v>32</v>
      </c>
      <c r="I32" t="s">
        <v>602</v>
      </c>
      <c r="J32" t="s">
        <v>811</v>
      </c>
      <c r="K32" t="s">
        <v>20</v>
      </c>
      <c r="L32" t="s">
        <v>770</v>
      </c>
      <c r="M32" t="s">
        <v>604</v>
      </c>
    </row>
    <row r="33" spans="1:13" x14ac:dyDescent="0.25">
      <c r="A33" t="s">
        <v>851</v>
      </c>
      <c r="B33" t="s">
        <v>918</v>
      </c>
      <c r="C33" t="s">
        <v>57</v>
      </c>
      <c r="D33" t="s">
        <v>133</v>
      </c>
      <c r="E33" t="s">
        <v>353</v>
      </c>
      <c r="F33" t="s">
        <v>515</v>
      </c>
      <c r="G33">
        <v>0.5</v>
      </c>
      <c r="H33">
        <v>6</v>
      </c>
      <c r="I33" t="s">
        <v>658</v>
      </c>
      <c r="J33" t="s">
        <v>811</v>
      </c>
      <c r="K33" t="s">
        <v>20</v>
      </c>
      <c r="L33" t="s">
        <v>770</v>
      </c>
      <c r="M33" t="s">
        <v>866</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93630C-9426-4FC9-985B-8F53F2E5265A}">
  <sheetPr codeName="Sheet23"/>
  <dimension ref="A1:I47"/>
  <sheetViews>
    <sheetView workbookViewId="0">
      <selection activeCell="G49" sqref="G49"/>
    </sheetView>
  </sheetViews>
  <sheetFormatPr defaultRowHeight="15" x14ac:dyDescent="0.25"/>
  <cols>
    <col min="1" max="1" width="49" bestFit="1" customWidth="1"/>
    <col min="2" max="3" width="13.42578125" bestFit="1" customWidth="1"/>
    <col min="4" max="4" width="81.140625" bestFit="1" customWidth="1"/>
    <col min="5" max="5" width="14.85546875" bestFit="1" customWidth="1"/>
    <col min="6" max="6" width="12.7109375" bestFit="1" customWidth="1"/>
    <col min="7" max="7" width="14" bestFit="1" customWidth="1"/>
    <col min="8" max="8" width="12.140625" bestFit="1" customWidth="1"/>
    <col min="9" max="9" width="46.85546875" bestFit="1" customWidth="1"/>
  </cols>
  <sheetData>
    <row r="1" spans="1:9" x14ac:dyDescent="0.25">
      <c r="A1" t="s">
        <v>759</v>
      </c>
      <c r="B1" t="s">
        <v>760</v>
      </c>
      <c r="C1" t="s">
        <v>39</v>
      </c>
      <c r="D1" t="s">
        <v>40</v>
      </c>
      <c r="E1" t="s">
        <v>761</v>
      </c>
      <c r="F1" t="s">
        <v>762</v>
      </c>
      <c r="G1" t="s">
        <v>763</v>
      </c>
      <c r="H1" t="s">
        <v>764</v>
      </c>
      <c r="I1" t="s">
        <v>765</v>
      </c>
    </row>
    <row r="2" spans="1:9" x14ac:dyDescent="0.25">
      <c r="A2" t="s">
        <v>766</v>
      </c>
      <c r="B2" t="s">
        <v>790</v>
      </c>
      <c r="C2" t="s">
        <v>42</v>
      </c>
      <c r="D2" t="s">
        <v>791</v>
      </c>
      <c r="E2" t="s">
        <v>768</v>
      </c>
      <c r="F2" t="s">
        <v>792</v>
      </c>
      <c r="G2" t="s">
        <v>20</v>
      </c>
      <c r="H2" t="s">
        <v>770</v>
      </c>
      <c r="I2" t="s">
        <v>771</v>
      </c>
    </row>
    <row r="3" spans="1:9" x14ac:dyDescent="0.25">
      <c r="A3" t="s">
        <v>766</v>
      </c>
      <c r="B3" t="s">
        <v>790</v>
      </c>
      <c r="C3" t="s">
        <v>44</v>
      </c>
      <c r="D3" t="s">
        <v>793</v>
      </c>
      <c r="E3" t="s">
        <v>768</v>
      </c>
      <c r="F3" t="s">
        <v>792</v>
      </c>
      <c r="G3" t="s">
        <v>20</v>
      </c>
      <c r="H3" t="s">
        <v>770</v>
      </c>
      <c r="I3" t="s">
        <v>771</v>
      </c>
    </row>
    <row r="4" spans="1:9" x14ac:dyDescent="0.25">
      <c r="A4" t="s">
        <v>766</v>
      </c>
      <c r="B4" t="s">
        <v>794</v>
      </c>
      <c r="C4" t="s">
        <v>42</v>
      </c>
      <c r="D4" t="s">
        <v>795</v>
      </c>
      <c r="E4" t="s">
        <v>774</v>
      </c>
      <c r="F4" t="s">
        <v>792</v>
      </c>
      <c r="G4" t="s">
        <v>20</v>
      </c>
      <c r="H4" t="s">
        <v>770</v>
      </c>
      <c r="I4" t="s">
        <v>775</v>
      </c>
    </row>
    <row r="5" spans="1:9" x14ac:dyDescent="0.25">
      <c r="A5" t="s">
        <v>766</v>
      </c>
      <c r="B5" t="s">
        <v>794</v>
      </c>
      <c r="C5" t="s">
        <v>44</v>
      </c>
      <c r="D5" t="s">
        <v>796</v>
      </c>
      <c r="E5" t="s">
        <v>774</v>
      </c>
      <c r="F5" t="s">
        <v>792</v>
      </c>
      <c r="G5" t="s">
        <v>20</v>
      </c>
      <c r="H5" t="s">
        <v>770</v>
      </c>
      <c r="I5" t="s">
        <v>775</v>
      </c>
    </row>
    <row r="6" spans="1:9" x14ac:dyDescent="0.25">
      <c r="A6" t="s">
        <v>766</v>
      </c>
      <c r="B6" t="s">
        <v>794</v>
      </c>
      <c r="C6" t="s">
        <v>46</v>
      </c>
      <c r="D6" t="s">
        <v>797</v>
      </c>
      <c r="E6" t="s">
        <v>774</v>
      </c>
      <c r="F6" t="s">
        <v>792</v>
      </c>
      <c r="G6" t="s">
        <v>20</v>
      </c>
      <c r="H6" t="s">
        <v>770</v>
      </c>
      <c r="I6" t="s">
        <v>775</v>
      </c>
    </row>
    <row r="7" spans="1:9" x14ac:dyDescent="0.25">
      <c r="A7" t="s">
        <v>766</v>
      </c>
      <c r="B7" t="s">
        <v>798</v>
      </c>
      <c r="C7" t="s">
        <v>42</v>
      </c>
      <c r="D7" t="s">
        <v>799</v>
      </c>
      <c r="E7" t="s">
        <v>779</v>
      </c>
      <c r="F7" t="s">
        <v>792</v>
      </c>
      <c r="G7" t="s">
        <v>20</v>
      </c>
      <c r="H7" t="s">
        <v>770</v>
      </c>
      <c r="I7" t="s">
        <v>780</v>
      </c>
    </row>
    <row r="8" spans="1:9" x14ac:dyDescent="0.25">
      <c r="A8" t="s">
        <v>766</v>
      </c>
      <c r="B8" t="s">
        <v>798</v>
      </c>
      <c r="C8" t="s">
        <v>44</v>
      </c>
      <c r="D8" t="s">
        <v>800</v>
      </c>
      <c r="E8" t="s">
        <v>779</v>
      </c>
      <c r="F8" t="s">
        <v>792</v>
      </c>
      <c r="G8" t="s">
        <v>20</v>
      </c>
      <c r="H8" t="s">
        <v>770</v>
      </c>
      <c r="I8" t="s">
        <v>780</v>
      </c>
    </row>
    <row r="9" spans="1:9" x14ac:dyDescent="0.25">
      <c r="A9" t="s">
        <v>766</v>
      </c>
      <c r="B9" t="s">
        <v>798</v>
      </c>
      <c r="C9" t="s">
        <v>46</v>
      </c>
      <c r="D9" t="s">
        <v>801</v>
      </c>
      <c r="E9" t="s">
        <v>779</v>
      </c>
      <c r="F9" t="s">
        <v>792</v>
      </c>
      <c r="G9" t="s">
        <v>20</v>
      </c>
      <c r="H9" t="s">
        <v>770</v>
      </c>
      <c r="I9" t="s">
        <v>780</v>
      </c>
    </row>
    <row r="10" spans="1:9" x14ac:dyDescent="0.25">
      <c r="A10" t="s">
        <v>766</v>
      </c>
      <c r="B10" t="s">
        <v>802</v>
      </c>
      <c r="C10" t="s">
        <v>42</v>
      </c>
      <c r="D10" t="s">
        <v>803</v>
      </c>
      <c r="E10" t="s">
        <v>783</v>
      </c>
      <c r="F10" t="s">
        <v>792</v>
      </c>
      <c r="G10" t="s">
        <v>20</v>
      </c>
      <c r="H10" t="s">
        <v>770</v>
      </c>
      <c r="I10" t="s">
        <v>784</v>
      </c>
    </row>
    <row r="11" spans="1:9" x14ac:dyDescent="0.25">
      <c r="A11" t="s">
        <v>766</v>
      </c>
      <c r="B11" t="s">
        <v>802</v>
      </c>
      <c r="C11" t="s">
        <v>44</v>
      </c>
      <c r="D11" t="s">
        <v>804</v>
      </c>
      <c r="E11" t="s">
        <v>783</v>
      </c>
      <c r="F11" t="s">
        <v>792</v>
      </c>
      <c r="G11" t="s">
        <v>20</v>
      </c>
      <c r="H11" t="s">
        <v>770</v>
      </c>
      <c r="I11" t="s">
        <v>784</v>
      </c>
    </row>
    <row r="12" spans="1:9" x14ac:dyDescent="0.25">
      <c r="A12" t="s">
        <v>766</v>
      </c>
      <c r="B12" t="s">
        <v>805</v>
      </c>
      <c r="C12" t="s">
        <v>42</v>
      </c>
      <c r="D12" t="s">
        <v>806</v>
      </c>
      <c r="E12" t="s">
        <v>787</v>
      </c>
      <c r="F12" t="s">
        <v>792</v>
      </c>
      <c r="G12" t="s">
        <v>20</v>
      </c>
      <c r="H12" t="s">
        <v>770</v>
      </c>
      <c r="I12" t="s">
        <v>788</v>
      </c>
    </row>
    <row r="13" spans="1:9" x14ac:dyDescent="0.25">
      <c r="A13" t="s">
        <v>766</v>
      </c>
      <c r="B13" t="s">
        <v>805</v>
      </c>
      <c r="C13" t="s">
        <v>44</v>
      </c>
      <c r="D13" t="s">
        <v>807</v>
      </c>
      <c r="E13" t="s">
        <v>787</v>
      </c>
      <c r="F13" t="s">
        <v>792</v>
      </c>
      <c r="G13" t="s">
        <v>20</v>
      </c>
      <c r="H13" t="s">
        <v>770</v>
      </c>
      <c r="I13" t="s">
        <v>788</v>
      </c>
    </row>
    <row r="14" spans="1:9" x14ac:dyDescent="0.25">
      <c r="A14" t="s">
        <v>766</v>
      </c>
      <c r="B14" t="s">
        <v>805</v>
      </c>
      <c r="C14" t="s">
        <v>46</v>
      </c>
      <c r="D14" t="s">
        <v>808</v>
      </c>
      <c r="E14" t="s">
        <v>787</v>
      </c>
      <c r="F14" t="s">
        <v>792</v>
      </c>
      <c r="G14" t="s">
        <v>20</v>
      </c>
      <c r="H14" t="s">
        <v>770</v>
      </c>
      <c r="I14" t="s">
        <v>788</v>
      </c>
    </row>
    <row r="15" spans="1:9" x14ac:dyDescent="0.25">
      <c r="A15" t="s">
        <v>851</v>
      </c>
      <c r="B15" t="s">
        <v>919</v>
      </c>
      <c r="C15" t="s">
        <v>42</v>
      </c>
      <c r="D15" t="s">
        <v>920</v>
      </c>
      <c r="E15" t="s">
        <v>5</v>
      </c>
      <c r="F15" t="s">
        <v>792</v>
      </c>
      <c r="G15" t="s">
        <v>20</v>
      </c>
      <c r="H15" t="s">
        <v>770</v>
      </c>
      <c r="I15" t="s">
        <v>8</v>
      </c>
    </row>
    <row r="16" spans="1:9" x14ac:dyDescent="0.25">
      <c r="A16" t="s">
        <v>851</v>
      </c>
      <c r="B16" t="s">
        <v>919</v>
      </c>
      <c r="C16" t="s">
        <v>44</v>
      </c>
      <c r="D16" t="s">
        <v>921</v>
      </c>
      <c r="E16" t="s">
        <v>5</v>
      </c>
      <c r="F16" t="s">
        <v>792</v>
      </c>
      <c r="G16" t="s">
        <v>20</v>
      </c>
      <c r="H16" t="s">
        <v>770</v>
      </c>
      <c r="I16" t="s">
        <v>8</v>
      </c>
    </row>
    <row r="17" spans="1:9" x14ac:dyDescent="0.25">
      <c r="A17" t="s">
        <v>851</v>
      </c>
      <c r="B17" t="s">
        <v>919</v>
      </c>
      <c r="C17" t="s">
        <v>46</v>
      </c>
      <c r="D17" t="s">
        <v>922</v>
      </c>
      <c r="E17" t="s">
        <v>5</v>
      </c>
      <c r="F17" t="s">
        <v>792</v>
      </c>
      <c r="G17" t="s">
        <v>20</v>
      </c>
      <c r="H17" t="s">
        <v>770</v>
      </c>
      <c r="I17" t="s">
        <v>8</v>
      </c>
    </row>
    <row r="18" spans="1:9" x14ac:dyDescent="0.25">
      <c r="A18" t="s">
        <v>851</v>
      </c>
      <c r="B18" t="s">
        <v>923</v>
      </c>
      <c r="C18" t="s">
        <v>42</v>
      </c>
      <c r="D18" t="s">
        <v>924</v>
      </c>
      <c r="E18" t="s">
        <v>118</v>
      </c>
      <c r="F18" t="s">
        <v>792</v>
      </c>
      <c r="G18" t="s">
        <v>20</v>
      </c>
      <c r="H18" t="s">
        <v>770</v>
      </c>
      <c r="I18" t="s">
        <v>120</v>
      </c>
    </row>
    <row r="19" spans="1:9" x14ac:dyDescent="0.25">
      <c r="A19" t="s">
        <v>851</v>
      </c>
      <c r="B19" t="s">
        <v>923</v>
      </c>
      <c r="C19" t="s">
        <v>44</v>
      </c>
      <c r="D19" t="s">
        <v>925</v>
      </c>
      <c r="E19" t="s">
        <v>118</v>
      </c>
      <c r="F19" t="s">
        <v>792</v>
      </c>
      <c r="G19" t="s">
        <v>20</v>
      </c>
      <c r="H19" t="s">
        <v>770</v>
      </c>
      <c r="I19" t="s">
        <v>120</v>
      </c>
    </row>
    <row r="20" spans="1:9" x14ac:dyDescent="0.25">
      <c r="A20" t="s">
        <v>851</v>
      </c>
      <c r="B20" t="s">
        <v>923</v>
      </c>
      <c r="C20" t="s">
        <v>46</v>
      </c>
      <c r="D20" t="s">
        <v>926</v>
      </c>
      <c r="E20" t="s">
        <v>118</v>
      </c>
      <c r="F20" t="s">
        <v>792</v>
      </c>
      <c r="G20" t="s">
        <v>20</v>
      </c>
      <c r="H20" t="s">
        <v>770</v>
      </c>
      <c r="I20" t="s">
        <v>120</v>
      </c>
    </row>
    <row r="21" spans="1:9" x14ac:dyDescent="0.25">
      <c r="A21" t="s">
        <v>851</v>
      </c>
      <c r="B21" t="s">
        <v>927</v>
      </c>
      <c r="C21" t="s">
        <v>42</v>
      </c>
      <c r="D21" t="s">
        <v>928</v>
      </c>
      <c r="E21" t="s">
        <v>176</v>
      </c>
      <c r="F21" t="s">
        <v>792</v>
      </c>
      <c r="G21" t="s">
        <v>20</v>
      </c>
      <c r="H21" t="s">
        <v>770</v>
      </c>
      <c r="I21" t="s">
        <v>178</v>
      </c>
    </row>
    <row r="22" spans="1:9" x14ac:dyDescent="0.25">
      <c r="A22" t="s">
        <v>851</v>
      </c>
      <c r="B22" t="s">
        <v>927</v>
      </c>
      <c r="C22" t="s">
        <v>44</v>
      </c>
      <c r="D22" t="s">
        <v>929</v>
      </c>
      <c r="E22" t="s">
        <v>176</v>
      </c>
      <c r="F22" t="s">
        <v>792</v>
      </c>
      <c r="G22" t="s">
        <v>20</v>
      </c>
      <c r="H22" t="s">
        <v>770</v>
      </c>
      <c r="I22" t="s">
        <v>178</v>
      </c>
    </row>
    <row r="23" spans="1:9" x14ac:dyDescent="0.25">
      <c r="A23" t="s">
        <v>851</v>
      </c>
      <c r="B23" t="s">
        <v>927</v>
      </c>
      <c r="C23" t="s">
        <v>46</v>
      </c>
      <c r="D23" t="s">
        <v>930</v>
      </c>
      <c r="E23" t="s">
        <v>176</v>
      </c>
      <c r="F23" t="s">
        <v>792</v>
      </c>
      <c r="G23" t="s">
        <v>20</v>
      </c>
      <c r="H23" t="s">
        <v>770</v>
      </c>
      <c r="I23" t="s">
        <v>178</v>
      </c>
    </row>
    <row r="24" spans="1:9" x14ac:dyDescent="0.25">
      <c r="A24" t="s">
        <v>851</v>
      </c>
      <c r="B24" t="s">
        <v>931</v>
      </c>
      <c r="C24" t="s">
        <v>42</v>
      </c>
      <c r="D24" t="s">
        <v>932</v>
      </c>
      <c r="E24" t="s">
        <v>234</v>
      </c>
      <c r="F24" t="s">
        <v>792</v>
      </c>
      <c r="G24" t="s">
        <v>20</v>
      </c>
      <c r="H24" t="s">
        <v>770</v>
      </c>
      <c r="I24" t="s">
        <v>236</v>
      </c>
    </row>
    <row r="25" spans="1:9" x14ac:dyDescent="0.25">
      <c r="A25" t="s">
        <v>851</v>
      </c>
      <c r="B25" t="s">
        <v>931</v>
      </c>
      <c r="C25" t="s">
        <v>44</v>
      </c>
      <c r="D25" t="s">
        <v>933</v>
      </c>
      <c r="E25" t="s">
        <v>234</v>
      </c>
      <c r="F25" t="s">
        <v>792</v>
      </c>
      <c r="G25" t="s">
        <v>20</v>
      </c>
      <c r="H25" t="s">
        <v>770</v>
      </c>
      <c r="I25" t="s">
        <v>236</v>
      </c>
    </row>
    <row r="26" spans="1:9" x14ac:dyDescent="0.25">
      <c r="A26" t="s">
        <v>851</v>
      </c>
      <c r="B26" t="s">
        <v>931</v>
      </c>
      <c r="C26" t="s">
        <v>46</v>
      </c>
      <c r="D26" t="s">
        <v>934</v>
      </c>
      <c r="E26" t="s">
        <v>234</v>
      </c>
      <c r="F26" t="s">
        <v>792</v>
      </c>
      <c r="G26" t="s">
        <v>20</v>
      </c>
      <c r="H26" t="s">
        <v>770</v>
      </c>
      <c r="I26" t="s">
        <v>236</v>
      </c>
    </row>
    <row r="27" spans="1:9" x14ac:dyDescent="0.25">
      <c r="A27" t="s">
        <v>851</v>
      </c>
      <c r="B27" t="s">
        <v>935</v>
      </c>
      <c r="C27" t="s">
        <v>42</v>
      </c>
      <c r="D27" t="s">
        <v>936</v>
      </c>
      <c r="E27" t="s">
        <v>284</v>
      </c>
      <c r="F27" t="s">
        <v>792</v>
      </c>
      <c r="G27" t="s">
        <v>20</v>
      </c>
      <c r="H27" t="s">
        <v>770</v>
      </c>
      <c r="I27" t="s">
        <v>286</v>
      </c>
    </row>
    <row r="28" spans="1:9" x14ac:dyDescent="0.25">
      <c r="A28" t="s">
        <v>851</v>
      </c>
      <c r="B28" t="s">
        <v>935</v>
      </c>
      <c r="C28" t="s">
        <v>44</v>
      </c>
      <c r="D28" t="s">
        <v>937</v>
      </c>
      <c r="E28" t="s">
        <v>284</v>
      </c>
      <c r="F28" t="s">
        <v>792</v>
      </c>
      <c r="G28" t="s">
        <v>20</v>
      </c>
      <c r="H28" t="s">
        <v>770</v>
      </c>
      <c r="I28" t="s">
        <v>286</v>
      </c>
    </row>
    <row r="29" spans="1:9" x14ac:dyDescent="0.25">
      <c r="A29" t="s">
        <v>851</v>
      </c>
      <c r="B29" t="s">
        <v>935</v>
      </c>
      <c r="C29" t="s">
        <v>46</v>
      </c>
      <c r="D29" t="s">
        <v>938</v>
      </c>
      <c r="E29" t="s">
        <v>284</v>
      </c>
      <c r="F29" t="s">
        <v>792</v>
      </c>
      <c r="G29" t="s">
        <v>20</v>
      </c>
      <c r="H29" t="s">
        <v>770</v>
      </c>
      <c r="I29" t="s">
        <v>286</v>
      </c>
    </row>
    <row r="30" spans="1:9" x14ac:dyDescent="0.25">
      <c r="A30" t="s">
        <v>851</v>
      </c>
      <c r="B30" t="s">
        <v>939</v>
      </c>
      <c r="C30" t="s">
        <v>42</v>
      </c>
      <c r="D30" t="s">
        <v>940</v>
      </c>
      <c r="E30" t="s">
        <v>339</v>
      </c>
      <c r="F30" t="s">
        <v>792</v>
      </c>
      <c r="G30" t="s">
        <v>20</v>
      </c>
      <c r="H30" t="s">
        <v>770</v>
      </c>
      <c r="I30" t="s">
        <v>341</v>
      </c>
    </row>
    <row r="31" spans="1:9" x14ac:dyDescent="0.25">
      <c r="A31" t="s">
        <v>851</v>
      </c>
      <c r="B31" t="s">
        <v>939</v>
      </c>
      <c r="C31" t="s">
        <v>44</v>
      </c>
      <c r="D31" t="s">
        <v>941</v>
      </c>
      <c r="E31" t="s">
        <v>339</v>
      </c>
      <c r="F31" t="s">
        <v>792</v>
      </c>
      <c r="G31" t="s">
        <v>20</v>
      </c>
      <c r="H31" t="s">
        <v>770</v>
      </c>
      <c r="I31" t="s">
        <v>341</v>
      </c>
    </row>
    <row r="32" spans="1:9" x14ac:dyDescent="0.25">
      <c r="A32" t="s">
        <v>851</v>
      </c>
      <c r="B32" t="s">
        <v>939</v>
      </c>
      <c r="C32" t="s">
        <v>46</v>
      </c>
      <c r="D32" t="s">
        <v>942</v>
      </c>
      <c r="E32" t="s">
        <v>339</v>
      </c>
      <c r="F32" t="s">
        <v>792</v>
      </c>
      <c r="G32" t="s">
        <v>20</v>
      </c>
      <c r="H32" t="s">
        <v>770</v>
      </c>
      <c r="I32" t="s">
        <v>341</v>
      </c>
    </row>
    <row r="33" spans="1:9" x14ac:dyDescent="0.25">
      <c r="A33" t="s">
        <v>851</v>
      </c>
      <c r="B33" t="s">
        <v>943</v>
      </c>
      <c r="C33" t="s">
        <v>42</v>
      </c>
      <c r="D33" t="s">
        <v>944</v>
      </c>
      <c r="E33" t="s">
        <v>395</v>
      </c>
      <c r="F33" t="s">
        <v>792</v>
      </c>
      <c r="G33" t="s">
        <v>20</v>
      </c>
      <c r="H33" t="s">
        <v>770</v>
      </c>
      <c r="I33" t="s">
        <v>397</v>
      </c>
    </row>
    <row r="34" spans="1:9" x14ac:dyDescent="0.25">
      <c r="A34" t="s">
        <v>851</v>
      </c>
      <c r="B34" t="s">
        <v>943</v>
      </c>
      <c r="C34" t="s">
        <v>44</v>
      </c>
      <c r="D34" t="s">
        <v>945</v>
      </c>
      <c r="E34" t="s">
        <v>395</v>
      </c>
      <c r="F34" t="s">
        <v>792</v>
      </c>
      <c r="G34" t="s">
        <v>20</v>
      </c>
      <c r="H34" t="s">
        <v>770</v>
      </c>
      <c r="I34" t="s">
        <v>397</v>
      </c>
    </row>
    <row r="35" spans="1:9" x14ac:dyDescent="0.25">
      <c r="A35" t="s">
        <v>851</v>
      </c>
      <c r="B35" t="s">
        <v>943</v>
      </c>
      <c r="C35" t="s">
        <v>46</v>
      </c>
      <c r="D35" t="s">
        <v>946</v>
      </c>
      <c r="E35" t="s">
        <v>395</v>
      </c>
      <c r="F35" t="s">
        <v>792</v>
      </c>
      <c r="G35" t="s">
        <v>20</v>
      </c>
      <c r="H35" t="s">
        <v>770</v>
      </c>
      <c r="I35" t="s">
        <v>397</v>
      </c>
    </row>
    <row r="36" spans="1:9" x14ac:dyDescent="0.25">
      <c r="A36" t="s">
        <v>851</v>
      </c>
      <c r="B36" t="s">
        <v>947</v>
      </c>
      <c r="C36" t="s">
        <v>42</v>
      </c>
      <c r="D36" t="s">
        <v>948</v>
      </c>
      <c r="E36" t="s">
        <v>448</v>
      </c>
      <c r="F36" t="s">
        <v>792</v>
      </c>
      <c r="G36" t="s">
        <v>20</v>
      </c>
      <c r="H36" t="s">
        <v>770</v>
      </c>
      <c r="I36" t="s">
        <v>450</v>
      </c>
    </row>
    <row r="37" spans="1:9" x14ac:dyDescent="0.25">
      <c r="A37" t="s">
        <v>851</v>
      </c>
      <c r="B37" t="s">
        <v>947</v>
      </c>
      <c r="C37" t="s">
        <v>44</v>
      </c>
      <c r="D37" t="s">
        <v>949</v>
      </c>
      <c r="E37" t="s">
        <v>448</v>
      </c>
      <c r="F37" t="s">
        <v>792</v>
      </c>
      <c r="G37" t="s">
        <v>20</v>
      </c>
      <c r="H37" t="s">
        <v>770</v>
      </c>
      <c r="I37" t="s">
        <v>450</v>
      </c>
    </row>
    <row r="38" spans="1:9" x14ac:dyDescent="0.25">
      <c r="A38" t="s">
        <v>851</v>
      </c>
      <c r="B38" t="s">
        <v>947</v>
      </c>
      <c r="C38" t="s">
        <v>46</v>
      </c>
      <c r="D38" t="s">
        <v>950</v>
      </c>
      <c r="E38" t="s">
        <v>448</v>
      </c>
      <c r="F38" t="s">
        <v>792</v>
      </c>
      <c r="G38" t="s">
        <v>20</v>
      </c>
      <c r="H38" t="s">
        <v>770</v>
      </c>
      <c r="I38" t="s">
        <v>450</v>
      </c>
    </row>
    <row r="39" spans="1:9" x14ac:dyDescent="0.25">
      <c r="A39" t="s">
        <v>851</v>
      </c>
      <c r="B39" t="s">
        <v>951</v>
      </c>
      <c r="C39" t="s">
        <v>42</v>
      </c>
      <c r="D39" t="s">
        <v>952</v>
      </c>
      <c r="E39" t="s">
        <v>502</v>
      </c>
      <c r="F39" t="s">
        <v>792</v>
      </c>
      <c r="G39" t="s">
        <v>20</v>
      </c>
      <c r="H39" t="s">
        <v>770</v>
      </c>
      <c r="I39" t="s">
        <v>504</v>
      </c>
    </row>
    <row r="40" spans="1:9" x14ac:dyDescent="0.25">
      <c r="A40" t="s">
        <v>851</v>
      </c>
      <c r="B40" t="s">
        <v>951</v>
      </c>
      <c r="C40" t="s">
        <v>44</v>
      </c>
      <c r="D40" t="s">
        <v>953</v>
      </c>
      <c r="E40" t="s">
        <v>502</v>
      </c>
      <c r="F40" t="s">
        <v>792</v>
      </c>
      <c r="G40" t="s">
        <v>20</v>
      </c>
      <c r="H40" t="s">
        <v>770</v>
      </c>
      <c r="I40" t="s">
        <v>504</v>
      </c>
    </row>
    <row r="41" spans="1:9" x14ac:dyDescent="0.25">
      <c r="A41" t="s">
        <v>851</v>
      </c>
      <c r="B41" t="s">
        <v>951</v>
      </c>
      <c r="C41" t="s">
        <v>46</v>
      </c>
      <c r="D41" t="s">
        <v>954</v>
      </c>
      <c r="E41" t="s">
        <v>502</v>
      </c>
      <c r="F41" t="s">
        <v>792</v>
      </c>
      <c r="G41" t="s">
        <v>20</v>
      </c>
      <c r="H41" t="s">
        <v>770</v>
      </c>
      <c r="I41" t="s">
        <v>504</v>
      </c>
    </row>
    <row r="42" spans="1:9" x14ac:dyDescent="0.25">
      <c r="A42" t="s">
        <v>851</v>
      </c>
      <c r="B42" t="s">
        <v>955</v>
      </c>
      <c r="C42" t="s">
        <v>42</v>
      </c>
      <c r="D42" t="s">
        <v>956</v>
      </c>
      <c r="E42" t="s">
        <v>553</v>
      </c>
      <c r="F42" t="s">
        <v>792</v>
      </c>
      <c r="G42" t="s">
        <v>20</v>
      </c>
      <c r="H42" t="s">
        <v>770</v>
      </c>
      <c r="I42" t="s">
        <v>555</v>
      </c>
    </row>
    <row r="43" spans="1:9" x14ac:dyDescent="0.25">
      <c r="A43" t="s">
        <v>851</v>
      </c>
      <c r="B43" t="s">
        <v>955</v>
      </c>
      <c r="C43" t="s">
        <v>44</v>
      </c>
      <c r="D43" t="s">
        <v>957</v>
      </c>
      <c r="E43" t="s">
        <v>553</v>
      </c>
      <c r="F43" t="s">
        <v>792</v>
      </c>
      <c r="G43" t="s">
        <v>20</v>
      </c>
      <c r="H43" t="s">
        <v>770</v>
      </c>
      <c r="I43" t="s">
        <v>555</v>
      </c>
    </row>
    <row r="44" spans="1:9" x14ac:dyDescent="0.25">
      <c r="A44" t="s">
        <v>851</v>
      </c>
      <c r="B44" t="s">
        <v>955</v>
      </c>
      <c r="C44" t="s">
        <v>46</v>
      </c>
      <c r="D44" t="s">
        <v>958</v>
      </c>
      <c r="E44" t="s">
        <v>553</v>
      </c>
      <c r="F44" t="s">
        <v>792</v>
      </c>
      <c r="G44" t="s">
        <v>20</v>
      </c>
      <c r="H44" t="s">
        <v>770</v>
      </c>
      <c r="I44" t="s">
        <v>555</v>
      </c>
    </row>
    <row r="45" spans="1:9" x14ac:dyDescent="0.25">
      <c r="A45" t="s">
        <v>851</v>
      </c>
      <c r="B45" t="s">
        <v>959</v>
      </c>
      <c r="C45" t="s">
        <v>42</v>
      </c>
      <c r="D45" t="s">
        <v>960</v>
      </c>
      <c r="E45" t="s">
        <v>602</v>
      </c>
      <c r="F45" t="s">
        <v>792</v>
      </c>
      <c r="G45" t="s">
        <v>20</v>
      </c>
      <c r="H45" t="s">
        <v>770</v>
      </c>
      <c r="I45" t="s">
        <v>604</v>
      </c>
    </row>
    <row r="46" spans="1:9" x14ac:dyDescent="0.25">
      <c r="A46" t="s">
        <v>851</v>
      </c>
      <c r="B46" t="s">
        <v>959</v>
      </c>
      <c r="C46" t="s">
        <v>44</v>
      </c>
      <c r="D46" t="s">
        <v>961</v>
      </c>
      <c r="E46" t="s">
        <v>602</v>
      </c>
      <c r="F46" t="s">
        <v>792</v>
      </c>
      <c r="G46" t="s">
        <v>20</v>
      </c>
      <c r="H46" t="s">
        <v>770</v>
      </c>
      <c r="I46" t="s">
        <v>604</v>
      </c>
    </row>
    <row r="47" spans="1:9" x14ac:dyDescent="0.25">
      <c r="A47" t="s">
        <v>851</v>
      </c>
      <c r="B47" t="s">
        <v>959</v>
      </c>
      <c r="C47" t="s">
        <v>46</v>
      </c>
      <c r="D47" t="s">
        <v>962</v>
      </c>
      <c r="E47" t="s">
        <v>602</v>
      </c>
      <c r="F47" t="s">
        <v>792</v>
      </c>
      <c r="G47" t="s">
        <v>20</v>
      </c>
      <c r="H47" t="s">
        <v>770</v>
      </c>
      <c r="I47" t="s">
        <v>604</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BB1DD-F469-4B0C-8EE9-FF16EC784179}">
  <sheetPr codeName="Sheet15"/>
  <dimension ref="C4:T102"/>
  <sheetViews>
    <sheetView workbookViewId="0">
      <selection activeCell="L4" sqref="L4"/>
    </sheetView>
  </sheetViews>
  <sheetFormatPr defaultRowHeight="15" x14ac:dyDescent="0.25"/>
  <cols>
    <col min="1" max="6" width="9.140625" style="27"/>
    <col min="7" max="7" width="11.28515625" style="27" customWidth="1"/>
    <col min="8" max="9" width="9.140625" style="27"/>
    <col min="10" max="10" width="19.28515625" style="27" bestFit="1" customWidth="1"/>
    <col min="11" max="18" width="9.140625" style="27"/>
    <col min="19" max="19" width="28.28515625" style="27" customWidth="1"/>
    <col min="20" max="20" width="16.140625" style="27" customWidth="1"/>
    <col min="21" max="16384" width="9.140625" style="27"/>
  </cols>
  <sheetData>
    <row r="4" spans="3:10" x14ac:dyDescent="0.25">
      <c r="C4" s="27" t="s">
        <v>676</v>
      </c>
      <c r="E4" s="27" t="s">
        <v>677</v>
      </c>
      <c r="G4" s="27" t="s">
        <v>677</v>
      </c>
      <c r="J4" s="27" t="s">
        <v>678</v>
      </c>
    </row>
    <row r="7" spans="3:10" ht="15.75" customHeight="1" x14ac:dyDescent="0.25">
      <c r="C7" s="36">
        <v>1</v>
      </c>
      <c r="E7" s="27" t="s">
        <v>42</v>
      </c>
      <c r="G7" s="27" t="s">
        <v>247</v>
      </c>
      <c r="J7" s="27" t="s">
        <v>138</v>
      </c>
    </row>
    <row r="8" spans="3:10" x14ac:dyDescent="0.25">
      <c r="C8" s="36">
        <v>2</v>
      </c>
      <c r="E8" s="27" t="s">
        <v>44</v>
      </c>
      <c r="G8" s="27" t="s">
        <v>136</v>
      </c>
      <c r="J8" s="27" t="s">
        <v>252</v>
      </c>
    </row>
    <row r="9" spans="3:10" x14ac:dyDescent="0.25">
      <c r="C9" s="36" t="s">
        <v>11</v>
      </c>
      <c r="E9" s="27" t="s">
        <v>46</v>
      </c>
      <c r="G9" s="27" t="s">
        <v>133</v>
      </c>
      <c r="J9" s="27" t="s">
        <v>71</v>
      </c>
    </row>
    <row r="10" spans="3:10" x14ac:dyDescent="0.25">
      <c r="E10" s="27" t="s">
        <v>48</v>
      </c>
      <c r="G10" s="27" t="s">
        <v>27</v>
      </c>
      <c r="J10" s="27" t="s">
        <v>464</v>
      </c>
    </row>
    <row r="11" spans="3:10" x14ac:dyDescent="0.25">
      <c r="C11" s="36">
        <v>3</v>
      </c>
      <c r="E11" s="27" t="s">
        <v>49</v>
      </c>
      <c r="G11" s="27" t="s">
        <v>58</v>
      </c>
      <c r="J11" s="27" t="s">
        <v>69</v>
      </c>
    </row>
    <row r="12" spans="3:10" x14ac:dyDescent="0.25">
      <c r="C12" s="36">
        <v>4</v>
      </c>
      <c r="J12" s="27" t="s">
        <v>73</v>
      </c>
    </row>
    <row r="13" spans="3:10" x14ac:dyDescent="0.25">
      <c r="C13" s="36">
        <v>5</v>
      </c>
      <c r="J13" s="27" t="s">
        <v>254</v>
      </c>
    </row>
    <row r="14" spans="3:10" x14ac:dyDescent="0.25">
      <c r="C14" s="36">
        <v>6</v>
      </c>
      <c r="G14" s="27" t="s">
        <v>53</v>
      </c>
      <c r="J14" s="27" t="s">
        <v>679</v>
      </c>
    </row>
    <row r="15" spans="3:10" x14ac:dyDescent="0.25">
      <c r="C15" s="36">
        <v>7</v>
      </c>
      <c r="G15" s="27" t="s">
        <v>355</v>
      </c>
      <c r="J15" s="27" t="s">
        <v>680</v>
      </c>
    </row>
    <row r="16" spans="3:10" x14ac:dyDescent="0.25">
      <c r="G16" s="27" t="s">
        <v>681</v>
      </c>
      <c r="J16" s="27" t="s">
        <v>682</v>
      </c>
    </row>
    <row r="17" spans="3:20" x14ac:dyDescent="0.25">
      <c r="C17" s="27" t="s">
        <v>18</v>
      </c>
      <c r="G17" s="27" t="s">
        <v>683</v>
      </c>
    </row>
    <row r="18" spans="3:20" x14ac:dyDescent="0.25">
      <c r="C18" s="27" t="s">
        <v>684</v>
      </c>
      <c r="G18" s="27" t="s">
        <v>617</v>
      </c>
    </row>
    <row r="19" spans="3:20" x14ac:dyDescent="0.25">
      <c r="C19" s="27" t="s">
        <v>685</v>
      </c>
      <c r="G19" s="27" t="s">
        <v>353</v>
      </c>
      <c r="J19" s="27" t="s">
        <v>686</v>
      </c>
      <c r="K19" s="27" t="s">
        <v>687</v>
      </c>
    </row>
    <row r="20" spans="3:20" x14ac:dyDescent="0.25">
      <c r="C20" s="27" t="s">
        <v>688</v>
      </c>
      <c r="G20" s="27" t="s">
        <v>299</v>
      </c>
      <c r="J20" s="27" t="s">
        <v>138</v>
      </c>
      <c r="K20" s="27" t="s">
        <v>518</v>
      </c>
      <c r="O20" s="40" t="s">
        <v>689</v>
      </c>
      <c r="S20" s="41" t="s">
        <v>690</v>
      </c>
      <c r="T20" s="42" t="s">
        <v>691</v>
      </c>
    </row>
    <row r="21" spans="3:20" x14ac:dyDescent="0.25">
      <c r="C21" s="27" t="s">
        <v>692</v>
      </c>
      <c r="G21" s="27" t="s">
        <v>248</v>
      </c>
      <c r="J21" s="27" t="s">
        <v>138</v>
      </c>
      <c r="K21" s="27" t="s">
        <v>196</v>
      </c>
      <c r="O21" s="27" t="str" cm="1">
        <f t="array" ref="O21:O26">_xlfn._xlws.FILTER(LISTS_Table[Skill],LISTS_Table[Category]="Scientific Knowledge")</f>
        <v>Critical thinking</v>
      </c>
      <c r="S21" s="43" t="s">
        <v>138</v>
      </c>
      <c r="T21" s="44" t="s">
        <v>693</v>
      </c>
    </row>
    <row r="22" spans="3:20" x14ac:dyDescent="0.25">
      <c r="C22" s="27" t="s">
        <v>123</v>
      </c>
      <c r="G22" s="27" t="s">
        <v>694</v>
      </c>
      <c r="J22" s="27" t="s">
        <v>138</v>
      </c>
      <c r="K22" s="27" t="s">
        <v>139</v>
      </c>
      <c r="O22" s="27" t="str">
        <v>Scientific literacy</v>
      </c>
      <c r="S22" s="45" t="s">
        <v>252</v>
      </c>
      <c r="T22" s="46" t="s">
        <v>695</v>
      </c>
    </row>
    <row r="23" spans="3:20" x14ac:dyDescent="0.25">
      <c r="G23" s="27" t="s">
        <v>696</v>
      </c>
      <c r="J23" s="27" t="s">
        <v>138</v>
      </c>
      <c r="K23" s="27" t="s">
        <v>198</v>
      </c>
      <c r="O23" s="27" t="str">
        <v>Information retrieval</v>
      </c>
      <c r="S23" s="43" t="s">
        <v>71</v>
      </c>
      <c r="T23" s="44" t="s">
        <v>697</v>
      </c>
    </row>
    <row r="24" spans="3:20" x14ac:dyDescent="0.25">
      <c r="G24" s="27" t="s">
        <v>698</v>
      </c>
      <c r="J24" s="27" t="s">
        <v>138</v>
      </c>
      <c r="K24" s="27" t="s">
        <v>699</v>
      </c>
      <c r="O24" s="27" t="str">
        <v>Knowledge synthesis</v>
      </c>
      <c r="S24" s="45" t="s">
        <v>464</v>
      </c>
      <c r="T24" s="46" t="s">
        <v>700</v>
      </c>
    </row>
    <row r="25" spans="3:20" x14ac:dyDescent="0.25">
      <c r="G25" s="27" t="s">
        <v>701</v>
      </c>
      <c r="J25" s="27" t="s">
        <v>138</v>
      </c>
      <c r="K25" s="27" t="s">
        <v>702</v>
      </c>
      <c r="O25" s="27" t="str">
        <v>Domain-specific analytical skills</v>
      </c>
      <c r="S25" s="43" t="s">
        <v>69</v>
      </c>
      <c r="T25" s="44" t="s">
        <v>703</v>
      </c>
    </row>
    <row r="26" spans="3:20" x14ac:dyDescent="0.25">
      <c r="C26" s="27" t="s">
        <v>704</v>
      </c>
      <c r="G26" s="27" t="s">
        <v>705</v>
      </c>
      <c r="J26" s="27" t="s">
        <v>252</v>
      </c>
      <c r="K26" s="27" t="s">
        <v>706</v>
      </c>
      <c r="O26" s="27" t="str">
        <v>Evidence evaluation</v>
      </c>
      <c r="S26" s="45" t="s">
        <v>73</v>
      </c>
      <c r="T26" s="46" t="s">
        <v>73</v>
      </c>
    </row>
    <row r="27" spans="3:20" x14ac:dyDescent="0.25">
      <c r="C27" s="27" t="s">
        <v>707</v>
      </c>
      <c r="G27" s="27" t="s">
        <v>708</v>
      </c>
      <c r="J27" s="27" t="s">
        <v>252</v>
      </c>
      <c r="K27" s="27" t="s">
        <v>709</v>
      </c>
      <c r="S27" s="43" t="s">
        <v>254</v>
      </c>
      <c r="T27" s="44" t="s">
        <v>710</v>
      </c>
    </row>
    <row r="28" spans="3:20" x14ac:dyDescent="0.25">
      <c r="C28" s="27" t="s">
        <v>711</v>
      </c>
      <c r="G28" s="27" t="s">
        <v>250</v>
      </c>
      <c r="J28" s="27" t="s">
        <v>252</v>
      </c>
      <c r="K28" s="27" t="s">
        <v>674</v>
      </c>
      <c r="O28" s="35" t="s">
        <v>712</v>
      </c>
      <c r="S28" s="45" t="s">
        <v>679</v>
      </c>
      <c r="T28" s="46" t="s">
        <v>713</v>
      </c>
    </row>
    <row r="29" spans="3:20" x14ac:dyDescent="0.25">
      <c r="C29" s="27" t="s">
        <v>714</v>
      </c>
      <c r="J29" s="27" t="s">
        <v>252</v>
      </c>
      <c r="K29" s="27" t="s">
        <v>253</v>
      </c>
      <c r="O29" s="27" t="str" cm="1">
        <f t="array" ref="O29:O34">_xlfn._xlws.FILTER(LISTS_Table[Skill],LISTS_Table[Category]="Technical Skills")</f>
        <v>Laboratory/clinical techniques</v>
      </c>
      <c r="S29" s="43" t="s">
        <v>680</v>
      </c>
      <c r="T29" s="44" t="s">
        <v>715</v>
      </c>
    </row>
    <row r="30" spans="3:20" x14ac:dyDescent="0.25">
      <c r="C30" s="27" t="s">
        <v>20</v>
      </c>
      <c r="J30" s="27" t="s">
        <v>252</v>
      </c>
      <c r="K30" s="27" t="s">
        <v>657</v>
      </c>
      <c r="O30" s="27" t="str">
        <v>Data collection</v>
      </c>
      <c r="S30" s="47" t="s">
        <v>682</v>
      </c>
      <c r="T30" s="48" t="s">
        <v>716</v>
      </c>
    </row>
    <row r="31" spans="3:20" x14ac:dyDescent="0.25">
      <c r="C31" s="27" t="s">
        <v>717</v>
      </c>
      <c r="J31" s="27" t="s">
        <v>252</v>
      </c>
      <c r="K31" s="27" t="s">
        <v>718</v>
      </c>
      <c r="O31" s="27" t="str">
        <v>Data analysis</v>
      </c>
    </row>
    <row r="32" spans="3:20" x14ac:dyDescent="0.25">
      <c r="C32" s="27" t="s">
        <v>719</v>
      </c>
      <c r="J32" s="27" t="s">
        <v>71</v>
      </c>
      <c r="K32" s="27" t="s">
        <v>197</v>
      </c>
      <c r="O32" s="27" t="str">
        <v>Digital literacy</v>
      </c>
    </row>
    <row r="33" spans="3:15" x14ac:dyDescent="0.25">
      <c r="C33" s="27" t="s">
        <v>720</v>
      </c>
      <c r="J33" s="27" t="s">
        <v>71</v>
      </c>
      <c r="K33" s="27" t="s">
        <v>72</v>
      </c>
      <c r="O33" s="27" t="str">
        <v>Equipment and technology utilisation</v>
      </c>
    </row>
    <row r="34" spans="3:15" x14ac:dyDescent="0.25">
      <c r="C34" s="27" t="s">
        <v>721</v>
      </c>
      <c r="J34" s="27" t="s">
        <v>71</v>
      </c>
      <c r="K34" s="27" t="s">
        <v>358</v>
      </c>
      <c r="O34" s="27" t="str">
        <v>Technical proficiency</v>
      </c>
    </row>
    <row r="35" spans="3:15" x14ac:dyDescent="0.25">
      <c r="C35" s="27" t="s">
        <v>722</v>
      </c>
      <c r="J35" s="27" t="s">
        <v>71</v>
      </c>
      <c r="K35" s="27" t="s">
        <v>413</v>
      </c>
    </row>
    <row r="36" spans="3:15" x14ac:dyDescent="0.25">
      <c r="C36" s="27" t="s">
        <v>723</v>
      </c>
      <c r="J36" s="27" t="s">
        <v>71</v>
      </c>
      <c r="K36" s="27" t="s">
        <v>724</v>
      </c>
      <c r="O36" s="40" t="s">
        <v>725</v>
      </c>
    </row>
    <row r="37" spans="3:15" x14ac:dyDescent="0.25">
      <c r="C37" s="27" t="s">
        <v>726</v>
      </c>
      <c r="J37" s="27" t="s">
        <v>71</v>
      </c>
      <c r="K37" s="27" t="s">
        <v>727</v>
      </c>
      <c r="O37" s="27" t="str" cm="1">
        <f t="array" ref="O37:O42">_xlfn._xlws.FILTER(LISTS_Table[Skill],LISTS_Table[Category]="Application of Knowledge and skills")</f>
        <v>Decision-making</v>
      </c>
    </row>
    <row r="38" spans="3:15" x14ac:dyDescent="0.25">
      <c r="J38" s="27" t="s">
        <v>464</v>
      </c>
      <c r="K38" s="27" t="s">
        <v>516</v>
      </c>
      <c r="O38" s="27" t="str">
        <v>Translational practice</v>
      </c>
    </row>
    <row r="39" spans="3:15" x14ac:dyDescent="0.25">
      <c r="J39" s="27" t="s">
        <v>464</v>
      </c>
      <c r="K39" s="27" t="s">
        <v>728</v>
      </c>
      <c r="O39" s="27" t="str">
        <v>Contextual application</v>
      </c>
    </row>
    <row r="40" spans="3:15" x14ac:dyDescent="0.25">
      <c r="J40" s="27" t="s">
        <v>464</v>
      </c>
      <c r="K40" s="27" t="s">
        <v>517</v>
      </c>
      <c r="O40" s="27" t="str">
        <v>Professional judgement</v>
      </c>
    </row>
    <row r="41" spans="3:15" x14ac:dyDescent="0.25">
      <c r="J41" s="27" t="s">
        <v>464</v>
      </c>
      <c r="K41" s="27" t="s">
        <v>729</v>
      </c>
      <c r="O41" s="27" t="str">
        <v>Adaptability</v>
      </c>
    </row>
    <row r="42" spans="3:15" x14ac:dyDescent="0.25">
      <c r="J42" s="27" t="s">
        <v>464</v>
      </c>
      <c r="K42" s="27" t="s">
        <v>465</v>
      </c>
      <c r="O42" s="27" t="str">
        <v>Risk assessment</v>
      </c>
    </row>
    <row r="43" spans="3:15" x14ac:dyDescent="0.25">
      <c r="J43" s="27" t="s">
        <v>464</v>
      </c>
      <c r="K43" s="27" t="s">
        <v>570</v>
      </c>
    </row>
    <row r="44" spans="3:15" x14ac:dyDescent="0.25">
      <c r="J44" s="27" t="s">
        <v>69</v>
      </c>
      <c r="K44" s="27" t="s">
        <v>70</v>
      </c>
      <c r="O44" s="49" t="s">
        <v>464</v>
      </c>
    </row>
    <row r="45" spans="3:15" x14ac:dyDescent="0.25">
      <c r="J45" s="27" t="s">
        <v>69</v>
      </c>
      <c r="K45" s="27" t="s">
        <v>75</v>
      </c>
      <c r="O45" s="27" t="str" cm="1">
        <f t="array" ref="O45:O50">_xlfn._xlws.FILTER(LISTS_Table[Skill],LISTS_Table[Category]="Understanding and use of research")</f>
        <v>Research literacy</v>
      </c>
    </row>
    <row r="46" spans="3:15" x14ac:dyDescent="0.25">
      <c r="J46" s="27" t="s">
        <v>69</v>
      </c>
      <c r="K46" s="27" t="s">
        <v>730</v>
      </c>
      <c r="O46" s="27" t="str">
        <v>Literature searching</v>
      </c>
    </row>
    <row r="47" spans="3:15" x14ac:dyDescent="0.25">
      <c r="J47" s="27" t="s">
        <v>69</v>
      </c>
      <c r="K47" s="27" t="s">
        <v>731</v>
      </c>
      <c r="O47" s="27" t="str">
        <v>Critical appraisal</v>
      </c>
    </row>
    <row r="48" spans="3:15" x14ac:dyDescent="0.25">
      <c r="J48" s="27" t="s">
        <v>69</v>
      </c>
      <c r="K48" s="27" t="s">
        <v>732</v>
      </c>
      <c r="O48" s="27" t="str">
        <v>Data interpretation</v>
      </c>
    </row>
    <row r="49" spans="10:15" x14ac:dyDescent="0.25">
      <c r="J49" s="27" t="s">
        <v>69</v>
      </c>
      <c r="K49" s="27" t="s">
        <v>302</v>
      </c>
      <c r="O49" s="27" t="str">
        <v>Evidence-based practice</v>
      </c>
    </row>
    <row r="50" spans="10:15" x14ac:dyDescent="0.25">
      <c r="J50" s="27" t="s">
        <v>69</v>
      </c>
      <c r="K50" s="27" t="s">
        <v>733</v>
      </c>
      <c r="O50" s="27" t="str">
        <v>Research communication</v>
      </c>
    </row>
    <row r="51" spans="10:15" x14ac:dyDescent="0.25">
      <c r="J51" s="27" t="s">
        <v>73</v>
      </c>
      <c r="K51" s="27" t="s">
        <v>303</v>
      </c>
    </row>
    <row r="52" spans="10:15" x14ac:dyDescent="0.25">
      <c r="J52" s="27" t="s">
        <v>73</v>
      </c>
      <c r="K52" s="27" t="s">
        <v>140</v>
      </c>
      <c r="O52" s="49" t="s">
        <v>69</v>
      </c>
    </row>
    <row r="53" spans="10:15" x14ac:dyDescent="0.25">
      <c r="J53" s="27" t="s">
        <v>73</v>
      </c>
      <c r="K53" s="27" t="s">
        <v>466</v>
      </c>
      <c r="O53" s="27" t="str" cm="1">
        <f t="array" ref="O53:O59">_xlfn._xlws.FILTER(LISTS_Table[Skill],LISTS_Table[Category]="Self-evaluation and professional development")</f>
        <v>Reflective practice</v>
      </c>
    </row>
    <row r="54" spans="10:15" x14ac:dyDescent="0.25">
      <c r="J54" s="27" t="s">
        <v>73</v>
      </c>
      <c r="K54" s="27" t="s">
        <v>412</v>
      </c>
      <c r="O54" s="27" t="str">
        <v>Self-awareness</v>
      </c>
    </row>
    <row r="55" spans="10:15" x14ac:dyDescent="0.25">
      <c r="J55" s="27" t="s">
        <v>73</v>
      </c>
      <c r="K55" s="27" t="s">
        <v>74</v>
      </c>
      <c r="O55" s="27" t="str">
        <v>Lifelong learning</v>
      </c>
    </row>
    <row r="56" spans="10:15" x14ac:dyDescent="0.25">
      <c r="J56" s="27" t="s">
        <v>73</v>
      </c>
      <c r="K56" s="27" t="s">
        <v>619</v>
      </c>
      <c r="O56" s="27" t="str">
        <v>Personal development planning</v>
      </c>
    </row>
    <row r="57" spans="10:15" x14ac:dyDescent="0.25">
      <c r="J57" s="27" t="s">
        <v>254</v>
      </c>
      <c r="K57" s="27" t="s">
        <v>357</v>
      </c>
      <c r="O57" s="27" t="str">
        <v>Resilience</v>
      </c>
    </row>
    <row r="58" spans="10:15" x14ac:dyDescent="0.25">
      <c r="J58" s="27" t="s">
        <v>254</v>
      </c>
      <c r="K58" s="27" t="s">
        <v>467</v>
      </c>
      <c r="O58" s="27" t="str">
        <v>Initiative</v>
      </c>
    </row>
    <row r="59" spans="10:15" x14ac:dyDescent="0.25">
      <c r="J59" s="27" t="s">
        <v>254</v>
      </c>
      <c r="K59" s="27" t="s">
        <v>734</v>
      </c>
      <c r="O59" s="27" t="str">
        <v>Accountability</v>
      </c>
    </row>
    <row r="60" spans="10:15" x14ac:dyDescent="0.25">
      <c r="J60" s="27" t="s">
        <v>254</v>
      </c>
      <c r="K60" s="27" t="s">
        <v>255</v>
      </c>
    </row>
    <row r="61" spans="10:15" x14ac:dyDescent="0.25">
      <c r="J61" s="27" t="s">
        <v>254</v>
      </c>
      <c r="K61" s="27" t="s">
        <v>735</v>
      </c>
      <c r="O61" s="50" t="s">
        <v>73</v>
      </c>
    </row>
    <row r="62" spans="10:15" x14ac:dyDescent="0.25">
      <c r="J62" s="27" t="s">
        <v>254</v>
      </c>
      <c r="K62" s="27" t="s">
        <v>736</v>
      </c>
      <c r="O62" s="27" t="str" cm="1">
        <f t="array" ref="O62:O67">_xlfn._xlws.FILTER(LISTS_Table[Skill],LISTS_Table[Category]="Communication")</f>
        <v>Written communication</v>
      </c>
    </row>
    <row r="63" spans="10:15" x14ac:dyDescent="0.25">
      <c r="J63" s="27" t="s">
        <v>679</v>
      </c>
      <c r="K63" s="27" t="s">
        <v>737</v>
      </c>
      <c r="O63" s="27" t="str">
        <v>Oral presentation</v>
      </c>
    </row>
    <row r="64" spans="10:15" x14ac:dyDescent="0.25">
      <c r="J64" s="27" t="s">
        <v>679</v>
      </c>
      <c r="K64" s="27" t="s">
        <v>738</v>
      </c>
      <c r="O64" s="27" t="str">
        <v>Active listening</v>
      </c>
    </row>
    <row r="65" spans="10:15" x14ac:dyDescent="0.25">
      <c r="J65" s="27" t="s">
        <v>679</v>
      </c>
      <c r="K65" s="27" t="s">
        <v>739</v>
      </c>
      <c r="O65" s="27" t="str">
        <v>Scientific writing</v>
      </c>
    </row>
    <row r="66" spans="10:15" x14ac:dyDescent="0.25">
      <c r="J66" s="27" t="s">
        <v>679</v>
      </c>
      <c r="K66" s="27" t="s">
        <v>740</v>
      </c>
      <c r="O66" s="27" t="str">
        <v>Interpersonal communication</v>
      </c>
    </row>
    <row r="67" spans="10:15" x14ac:dyDescent="0.25">
      <c r="J67" s="27" t="s">
        <v>679</v>
      </c>
      <c r="K67" s="27" t="s">
        <v>741</v>
      </c>
      <c r="O67" s="27" t="str">
        <v>Digital communication</v>
      </c>
    </row>
    <row r="68" spans="10:15" x14ac:dyDescent="0.25">
      <c r="J68" s="27" t="s">
        <v>679</v>
      </c>
      <c r="K68" s="27" t="s">
        <v>742</v>
      </c>
    </row>
    <row r="69" spans="10:15" x14ac:dyDescent="0.25">
      <c r="J69" s="27" t="s">
        <v>679</v>
      </c>
      <c r="K69" s="27" t="s">
        <v>743</v>
      </c>
      <c r="O69" s="50" t="s">
        <v>254</v>
      </c>
    </row>
    <row r="70" spans="10:15" x14ac:dyDescent="0.25">
      <c r="J70" s="27" t="s">
        <v>679</v>
      </c>
      <c r="K70" s="27" t="s">
        <v>744</v>
      </c>
      <c r="O70" s="27" t="str" cm="1">
        <f t="array" ref="O70:O75">_xlfn._xlws.FILTER(LISTS_Table[Skill],LISTS_Table[Category]="Problem solving and impact")</f>
        <v>Analytical thinking</v>
      </c>
    </row>
    <row r="71" spans="10:15" x14ac:dyDescent="0.25">
      <c r="J71" s="27" t="s">
        <v>679</v>
      </c>
      <c r="K71" s="27" t="s">
        <v>745</v>
      </c>
      <c r="O71" s="27" t="str">
        <v>problem identification</v>
      </c>
    </row>
    <row r="72" spans="10:15" x14ac:dyDescent="0.25">
      <c r="J72" s="27" t="s">
        <v>680</v>
      </c>
      <c r="K72" s="27" t="s">
        <v>746</v>
      </c>
      <c r="O72" s="27" t="str">
        <v>Creative thinking</v>
      </c>
    </row>
    <row r="73" spans="10:15" x14ac:dyDescent="0.25">
      <c r="J73" s="27" t="s">
        <v>680</v>
      </c>
      <c r="K73" s="27" t="s">
        <v>747</v>
      </c>
      <c r="O73" s="27" t="str">
        <v>Evidence-based decision making</v>
      </c>
    </row>
    <row r="74" spans="10:15" x14ac:dyDescent="0.25">
      <c r="J74" s="27" t="s">
        <v>680</v>
      </c>
      <c r="K74" s="27" t="s">
        <v>748</v>
      </c>
      <c r="O74" s="27" t="str">
        <v>Innovation</v>
      </c>
    </row>
    <row r="75" spans="10:15" x14ac:dyDescent="0.25">
      <c r="J75" s="27" t="s">
        <v>680</v>
      </c>
      <c r="K75" s="27" t="s">
        <v>749</v>
      </c>
      <c r="O75" s="27" t="str">
        <v>Evaluation of outcomes</v>
      </c>
    </row>
    <row r="76" spans="10:15" x14ac:dyDescent="0.25">
      <c r="J76" s="27" t="s">
        <v>680</v>
      </c>
      <c r="K76" s="27" t="s">
        <v>750</v>
      </c>
    </row>
    <row r="77" spans="10:15" x14ac:dyDescent="0.25">
      <c r="J77" s="27" t="s">
        <v>682</v>
      </c>
      <c r="K77" s="27" t="s">
        <v>751</v>
      </c>
      <c r="O77" s="50" t="s">
        <v>679</v>
      </c>
    </row>
    <row r="78" spans="10:15" x14ac:dyDescent="0.25">
      <c r="J78" s="27" t="s">
        <v>682</v>
      </c>
      <c r="K78" s="27" t="s">
        <v>752</v>
      </c>
      <c r="O78" s="27" t="str" cm="1">
        <f t="array" ref="O78:O86">_xlfn._xlws.FILTER(LISTS_Table[Skill],LISTS_Table[Category]="Management of self and others")</f>
        <v>Leadership</v>
      </c>
    </row>
    <row r="79" spans="10:15" x14ac:dyDescent="0.25">
      <c r="J79" s="27" t="s">
        <v>682</v>
      </c>
      <c r="K79" s="27" t="s">
        <v>753</v>
      </c>
      <c r="O79" s="27" t="str">
        <v>Coaching and mentoring</v>
      </c>
    </row>
    <row r="80" spans="10:15" x14ac:dyDescent="0.25">
      <c r="J80" s="27" t="s">
        <v>682</v>
      </c>
      <c r="K80" s="27" t="s">
        <v>754</v>
      </c>
      <c r="O80" s="27" t="str">
        <v>Time management</v>
      </c>
    </row>
    <row r="81" spans="10:15" x14ac:dyDescent="0.25">
      <c r="J81" s="27" t="s">
        <v>682</v>
      </c>
      <c r="K81" s="27" t="s">
        <v>755</v>
      </c>
      <c r="O81" s="27" t="str">
        <v>Organisation</v>
      </c>
    </row>
    <row r="82" spans="10:15" x14ac:dyDescent="0.25">
      <c r="J82" s="27" t="s">
        <v>682</v>
      </c>
      <c r="K82" s="27" t="s">
        <v>756</v>
      </c>
      <c r="O82" s="27" t="str">
        <v>Delegation</v>
      </c>
    </row>
    <row r="83" spans="10:15" x14ac:dyDescent="0.25">
      <c r="J83" s="27" t="s">
        <v>682</v>
      </c>
      <c r="K83" s="27" t="s">
        <v>757</v>
      </c>
      <c r="O83" s="27" t="str">
        <v>Conflict resolution</v>
      </c>
    </row>
    <row r="84" spans="10:15" x14ac:dyDescent="0.25">
      <c r="O84" s="27" t="str">
        <v>Empathy</v>
      </c>
    </row>
    <row r="85" spans="10:15" x14ac:dyDescent="0.25">
      <c r="O85" s="27" t="str">
        <v>Multi-tasking</v>
      </c>
    </row>
    <row r="86" spans="10:15" x14ac:dyDescent="0.25">
      <c r="O86" s="27" t="str">
        <v>Resource management</v>
      </c>
    </row>
    <row r="88" spans="10:15" x14ac:dyDescent="0.25">
      <c r="O88" s="49" t="s">
        <v>680</v>
      </c>
    </row>
    <row r="89" spans="10:15" x14ac:dyDescent="0.25">
      <c r="O89" s="27" t="str" cm="1">
        <f t="array" ref="O89:O93">_xlfn._xlws.FILTER(LISTS_Table[Skill],LISTS_Table[Category]="Understanding the delivery environment")</f>
        <v>Organisational awareness</v>
      </c>
    </row>
    <row r="90" spans="10:15" x14ac:dyDescent="0.25">
      <c r="O90" s="27" t="str">
        <v>Policy interpretation</v>
      </c>
    </row>
    <row r="91" spans="10:15" x14ac:dyDescent="0.25">
      <c r="O91" s="27" t="str">
        <v>Stakeholder awareness</v>
      </c>
    </row>
    <row r="92" spans="10:15" x14ac:dyDescent="0.25">
      <c r="O92" s="27" t="str">
        <v>Service delivery</v>
      </c>
    </row>
    <row r="93" spans="10:15" x14ac:dyDescent="0.25">
      <c r="O93" s="27" t="str">
        <v>Professional awareness</v>
      </c>
    </row>
    <row r="95" spans="10:15" x14ac:dyDescent="0.25">
      <c r="O95" s="50" t="s">
        <v>758</v>
      </c>
    </row>
    <row r="96" spans="10:15" x14ac:dyDescent="0.25">
      <c r="O96" s="27" t="str" cm="1">
        <f t="array" ref="O96:O102">_xlfn._xlws.FILTER(LISTS_Table[Skill],LISTS_Table[Category]="Professional relationships and behaviours")</f>
        <v>Teamwork</v>
      </c>
    </row>
    <row r="97" spans="15:15" x14ac:dyDescent="0.25">
      <c r="O97" s="27" t="str">
        <v>Collaboration/multi-disciplinary working</v>
      </c>
    </row>
    <row r="98" spans="15:15" x14ac:dyDescent="0.25">
      <c r="O98" s="27" t="str">
        <v>Ethical practice</v>
      </c>
    </row>
    <row r="99" spans="15:15" x14ac:dyDescent="0.25">
      <c r="O99" s="27" t="str">
        <v>Professionalism</v>
      </c>
    </row>
    <row r="100" spans="15:15" x14ac:dyDescent="0.25">
      <c r="O100" s="27" t="str">
        <v>Cultural awareness and competence</v>
      </c>
    </row>
    <row r="101" spans="15:15" x14ac:dyDescent="0.25">
      <c r="O101" s="27" t="str">
        <v>Integrity</v>
      </c>
    </row>
    <row r="102" spans="15:15" x14ac:dyDescent="0.25">
      <c r="O102" s="27" t="str">
        <v>Respect</v>
      </c>
    </row>
  </sheetData>
  <sheetProtection sheet="1" objects="1" scenarios="1" formatCells="0" formatColumns="0" formatRows="0" insertHyperlinks="0"/>
  <sortState xmlns:xlrd2="http://schemas.microsoft.com/office/spreadsheetml/2017/richdata2" ref="C26:C31">
    <sortCondition ref="C31"/>
  </sortState>
  <phoneticPr fontId="2" type="noConversion"/>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f1436123-e04c-43f8-b7d8-6e3401685a6a">
      <Terms xmlns="http://schemas.microsoft.com/office/infopath/2007/PartnerControls"/>
    </lcf76f155ced4ddcb4097134ff3c332f>
    <TaxCatchAll xmlns="e2acc87f-978a-4c56-9887-574fe2c7e53e"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F5424D8F461E94980DF8EC8486B8636" ma:contentTypeVersion="10" ma:contentTypeDescription="Create a new document." ma:contentTypeScope="" ma:versionID="bcfcf74337161f6441250f8f4cf7d932">
  <xsd:schema xmlns:xsd="http://www.w3.org/2001/XMLSchema" xmlns:xs="http://www.w3.org/2001/XMLSchema" xmlns:p="http://schemas.microsoft.com/office/2006/metadata/properties" xmlns:ns2="f1436123-e04c-43f8-b7d8-6e3401685a6a" xmlns:ns3="e2acc87f-978a-4c56-9887-574fe2c7e53e" targetNamespace="http://schemas.microsoft.com/office/2006/metadata/properties" ma:root="true" ma:fieldsID="c081e04d381fea11733dd13b3c4e862f" ns2:_="" ns3:_="">
    <xsd:import namespace="f1436123-e04c-43f8-b7d8-6e3401685a6a"/>
    <xsd:import namespace="e2acc87f-978a-4c56-9887-574fe2c7e53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Location"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1436123-e04c-43f8-b7d8-6e3401685a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3fea976-0fb7-4036-bc8a-08177e9f5879" ma:termSetId="09814cd3-568e-fe90-9814-8d621ff8fb84" ma:anchorId="fba54fb3-c3e1-fe81-a776-ca4b69148c4d" ma:open="true" ma:isKeyword="false">
      <xsd:complexType>
        <xsd:sequence>
          <xsd:element ref="pc:Terms" minOccurs="0" maxOccurs="1"/>
        </xsd:sequence>
      </xsd:complexType>
    </xsd:element>
    <xsd:element name="MediaServiceLocation" ma:index="15" nillable="true" ma:displayName="Location" ma:indexed="true"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2acc87f-978a-4c56-9887-574fe2c7e53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ac9bdcf-c2d0-47d2-a991-206be5278a68}" ma:internalName="TaxCatchAll" ma:showField="CatchAllData" ma:web="e2acc87f-978a-4c56-9887-574fe2c7e53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097D9ADF-2EBC-4D29-800A-C759B59895A5}">
  <ds:schemaRefs>
    <ds:schemaRef ds:uri="http://schemas.microsoft.com/sharepoint/v3/contenttype/forms"/>
  </ds:schemaRefs>
</ds:datastoreItem>
</file>

<file path=customXml/itemProps2.xml><?xml version="1.0" encoding="utf-8"?>
<ds:datastoreItem xmlns:ds="http://schemas.openxmlformats.org/officeDocument/2006/customXml" ds:itemID="{846B38E3-2A6C-4533-B357-379A79A5690E}">
  <ds:schemaRefs>
    <ds:schemaRef ds:uri="http://schemas.microsoft.com/office/2006/documentManagement/types"/>
    <ds:schemaRef ds:uri="http://schemas.openxmlformats.org/package/2006/metadata/core-properties"/>
    <ds:schemaRef ds:uri="http://purl.org/dc/dcmitype/"/>
    <ds:schemaRef ds:uri="http://schemas.microsoft.com/office/infopath/2007/PartnerControls"/>
    <ds:schemaRef ds:uri="http://www.w3.org/XML/1998/namespace"/>
    <ds:schemaRef ds:uri="http://purl.org/dc/elements/1.1/"/>
    <ds:schemaRef ds:uri="e2acc87f-978a-4c56-9887-574fe2c7e53e"/>
    <ds:schemaRef ds:uri="http://purl.org/dc/terms/"/>
    <ds:schemaRef ds:uri="f1436123-e04c-43f8-b7d8-6e3401685a6a"/>
    <ds:schemaRef ds:uri="http://schemas.microsoft.com/office/2006/metadata/properties"/>
  </ds:schemaRefs>
</ds:datastoreItem>
</file>

<file path=customXml/itemProps3.xml><?xml version="1.0" encoding="utf-8"?>
<ds:datastoreItem xmlns:ds="http://schemas.openxmlformats.org/officeDocument/2006/customXml" ds:itemID="{F1C76B05-8536-4481-8FD8-F9CBC3D0943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1436123-e04c-43f8-b7d8-6e3401685a6a"/>
    <ds:schemaRef ds:uri="e2acc87f-978a-4c56-9887-574fe2c7e5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A4C67DA5-5508-48B5-980F-71A93BB8A6B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23</vt:i4>
      </vt:variant>
      <vt:variant>
        <vt:lpstr>Named Ranges</vt:lpstr>
      </vt:variant>
      <vt:variant>
        <vt:i4>1</vt:i4>
      </vt:variant>
    </vt:vector>
  </HeadingPairs>
  <TitlesOfParts>
    <vt:vector size="24" baseType="lpstr">
      <vt:lpstr>4001SPS</vt:lpstr>
      <vt:lpstr>4003SPS</vt:lpstr>
      <vt:lpstr>4004SPS</vt:lpstr>
      <vt:lpstr>4006SPS</vt:lpstr>
      <vt:lpstr>5001SPS</vt:lpstr>
      <vt:lpstr>5014SPS</vt:lpstr>
      <vt:lpstr>5015SPS</vt:lpstr>
      <vt:lpstr>5005SPS</vt:lpstr>
      <vt:lpstr>6003SPS</vt:lpstr>
      <vt:lpstr>6004SPS</vt:lpstr>
      <vt:lpstr>6007SPS</vt:lpstr>
      <vt:lpstr>6008SPS</vt:lpstr>
      <vt:lpstr>6006SPS</vt:lpstr>
      <vt:lpstr>SN_Meta_Wide</vt:lpstr>
      <vt:lpstr>SN_Module_Overview</vt:lpstr>
      <vt:lpstr>SN_Hours_Wide</vt:lpstr>
      <vt:lpstr>SN_SkillsCoverage</vt:lpstr>
      <vt:lpstr>SN_Mapping</vt:lpstr>
      <vt:lpstr>SN_Hours</vt:lpstr>
      <vt:lpstr>SN_Meta</vt:lpstr>
      <vt:lpstr>SN_Assess</vt:lpstr>
      <vt:lpstr>SN_LO</vt:lpstr>
      <vt:lpstr>LISTS</vt:lpstr>
      <vt:lpstr>SkillNameMap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Robinson, Mark</dc:creator>
  <cp:keywords/>
  <dc:description/>
  <cp:lastModifiedBy>Robinson, Mark</cp:lastModifiedBy>
  <cp:revision/>
  <dcterms:created xsi:type="dcterms:W3CDTF">2026-07-01T09:36:48Z</dcterms:created>
  <dcterms:modified xsi:type="dcterms:W3CDTF">2026-10-06T21:19:14Z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0x010100AF5424D8F461E94980DF8EC8486B8636</vt:lpwstr>
  </property>
  <property fmtid="{D5CDD505-2E9C-101B-9397-08002B2CF9AE}" pid="3" name="MediaServiceImageTags">
    <vt:lpwstr/>
  </property>
</Properties>
</file>